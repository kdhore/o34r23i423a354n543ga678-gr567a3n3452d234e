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39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1" l="1"/>
  <c r="S15" i="21"/>
  <c r="S14" i="21"/>
  <c r="H40" i="21"/>
  <c r="H39" i="21"/>
  <c r="H38" i="21"/>
  <c r="H35" i="21"/>
  <c r="S42" i="21"/>
  <c r="H34" i="21"/>
  <c r="S39" i="21"/>
  <c r="H33" i="21"/>
  <c r="S36" i="21"/>
  <c r="H30" i="21"/>
  <c r="H29" i="21"/>
  <c r="H28" i="21"/>
  <c r="S40" i="21"/>
  <c r="H27" i="21"/>
  <c r="S3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T19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1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1"/>
  <c r="T11" i="2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1"/>
  <c r="T32" i="21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260" i="14"/>
  <c r="AV177" i="14"/>
  <c r="AV175" i="14"/>
  <c r="AU259" i="14"/>
  <c r="AV14" i="14"/>
  <c r="AU181" i="14"/>
  <c r="AU179" i="14"/>
  <c r="AU260" i="14"/>
  <c r="AU177" i="14"/>
  <c r="AU175" i="14"/>
  <c r="AT259" i="14"/>
  <c r="AU14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260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260" i="14"/>
  <c r="AN177" i="14"/>
  <c r="AN175" i="14"/>
  <c r="AM259" i="14"/>
  <c r="AN14" i="14"/>
  <c r="AM181" i="14"/>
  <c r="AM179" i="14"/>
  <c r="AM260" i="14"/>
  <c r="AM177" i="14"/>
  <c r="AM175" i="14"/>
  <c r="AL259" i="14"/>
  <c r="AM14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260" i="14"/>
  <c r="AJ177" i="14"/>
  <c r="AJ175" i="14"/>
  <c r="AI259" i="14"/>
  <c r="AJ14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260" i="14"/>
  <c r="AF177" i="14"/>
  <c r="AF175" i="14"/>
  <c r="AE259" i="14"/>
  <c r="AF14" i="14"/>
  <c r="AE181" i="14"/>
  <c r="AE179" i="14"/>
  <c r="AE260" i="14"/>
  <c r="AE177" i="14"/>
  <c r="AE175" i="14"/>
  <c r="AD259" i="14"/>
  <c r="AE14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260" i="14"/>
  <c r="AB177" i="14"/>
  <c r="AB175" i="14"/>
  <c r="AA259" i="14"/>
  <c r="AB14" i="14"/>
  <c r="AA181" i="14"/>
  <c r="AA179" i="14"/>
  <c r="AA260" i="14"/>
  <c r="AA177" i="14"/>
  <c r="AA175" i="14"/>
  <c r="Z259" i="14"/>
  <c r="AA14" i="14"/>
  <c r="Z181" i="14"/>
  <c r="Z179" i="14"/>
  <c r="Z177" i="14"/>
  <c r="Z175" i="14"/>
  <c r="Z260" i="14"/>
  <c r="Z14" i="14"/>
  <c r="Y259" i="14"/>
  <c r="Y181" i="14"/>
  <c r="Y179" i="14"/>
  <c r="Y177" i="14"/>
  <c r="Y175" i="14"/>
  <c r="Y260" i="14"/>
  <c r="Y14" i="14"/>
  <c r="X259" i="14"/>
  <c r="X181" i="14"/>
  <c r="X179" i="14"/>
  <c r="X260" i="14"/>
  <c r="X177" i="14"/>
  <c r="X175" i="14"/>
  <c r="W259" i="14"/>
  <c r="X14" i="14"/>
  <c r="W181" i="14"/>
  <c r="W179" i="14"/>
  <c r="W260" i="14"/>
  <c r="W177" i="14"/>
  <c r="W175" i="14"/>
  <c r="V259" i="14"/>
  <c r="W14" i="14"/>
  <c r="V181" i="14"/>
  <c r="V179" i="14"/>
  <c r="V177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59" i="14"/>
  <c r="T14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O259" i="14"/>
  <c r="P14" i="14"/>
  <c r="O181" i="14"/>
  <c r="O179" i="14"/>
  <c r="O260" i="14"/>
  <c r="O177" i="14"/>
  <c r="O175" i="14"/>
  <c r="N259" i="14"/>
  <c r="O14" i="14"/>
  <c r="N181" i="14"/>
  <c r="N179" i="14"/>
  <c r="N177" i="14"/>
  <c r="N175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260" i="14"/>
  <c r="L177" i="14"/>
  <c r="L175" i="14"/>
  <c r="K259" i="14"/>
  <c r="L14" i="14"/>
  <c r="K181" i="14"/>
  <c r="K179" i="14"/>
  <c r="K260" i="14"/>
  <c r="K177" i="14"/>
  <c r="K175" i="14"/>
  <c r="J259" i="14"/>
  <c r="K14" i="14"/>
  <c r="J181" i="14"/>
  <c r="J179" i="14"/>
  <c r="J177" i="14"/>
  <c r="J175" i="14"/>
  <c r="J260" i="14"/>
  <c r="J14" i="14"/>
  <c r="I259" i="14"/>
  <c r="I181" i="14"/>
  <c r="I179" i="14"/>
  <c r="I177" i="14"/>
  <c r="I175" i="14"/>
  <c r="I260" i="14"/>
  <c r="I14" i="14"/>
  <c r="H259" i="14"/>
  <c r="H181" i="14"/>
  <c r="H179" i="14"/>
  <c r="H260" i="14"/>
  <c r="H177" i="14"/>
  <c r="H175" i="14"/>
  <c r="G259" i="14"/>
  <c r="H14" i="14"/>
  <c r="G181" i="14"/>
  <c r="G179" i="14"/>
  <c r="G260" i="14"/>
  <c r="G177" i="14"/>
  <c r="G175" i="14"/>
  <c r="F259" i="14"/>
  <c r="G14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BA14" i="14"/>
  <c r="D181" i="14"/>
  <c r="D179" i="14"/>
  <c r="D260" i="14"/>
  <c r="D177" i="14"/>
  <c r="D175" i="14"/>
  <c r="AY259" i="15"/>
  <c r="AZ14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59" i="15"/>
  <c r="AV14" i="15"/>
  <c r="AU181" i="15"/>
  <c r="AU179" i="15"/>
  <c r="AU260" i="15"/>
  <c r="AU177" i="15"/>
  <c r="AU175" i="15"/>
  <c r="AT259" i="15"/>
  <c r="AU14" i="15"/>
  <c r="AT181" i="15"/>
  <c r="AT179" i="15"/>
  <c r="AT177" i="15"/>
  <c r="AT175" i="15"/>
  <c r="AT260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260" i="15"/>
  <c r="AR177" i="15"/>
  <c r="AR175" i="15"/>
  <c r="AQ259" i="15"/>
  <c r="AR14" i="15"/>
  <c r="AQ181" i="15"/>
  <c r="AQ179" i="15"/>
  <c r="AQ260" i="15"/>
  <c r="AQ177" i="15"/>
  <c r="AQ175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M259" i="15"/>
  <c r="AN14" i="15"/>
  <c r="AM181" i="15"/>
  <c r="AM179" i="15"/>
  <c r="AM260" i="15"/>
  <c r="AM177" i="15"/>
  <c r="AM175" i="15"/>
  <c r="AL259" i="15"/>
  <c r="AM14" i="15"/>
  <c r="AL181" i="15"/>
  <c r="AL179" i="15"/>
  <c r="AL177" i="15"/>
  <c r="AL175" i="15"/>
  <c r="AL260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260" i="15"/>
  <c r="AJ177" i="15"/>
  <c r="AJ175" i="15"/>
  <c r="AI259" i="15"/>
  <c r="AJ14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E259" i="15"/>
  <c r="AF14" i="15"/>
  <c r="AE181" i="15"/>
  <c r="AE179" i="15"/>
  <c r="AE260" i="15"/>
  <c r="AE177" i="15"/>
  <c r="AE175" i="15"/>
  <c r="AD259" i="15"/>
  <c r="AE14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W259" i="15"/>
  <c r="X14" i="15"/>
  <c r="W181" i="15"/>
  <c r="W179" i="15"/>
  <c r="W260" i="15"/>
  <c r="W177" i="15"/>
  <c r="W175" i="15"/>
  <c r="V259" i="15"/>
  <c r="W14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260" i="15"/>
  <c r="T177" i="15"/>
  <c r="T175" i="15"/>
  <c r="S259" i="15"/>
  <c r="T14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O259" i="15"/>
  <c r="P14" i="15"/>
  <c r="O181" i="15"/>
  <c r="O179" i="15"/>
  <c r="O260" i="15"/>
  <c r="O177" i="15"/>
  <c r="O175" i="15"/>
  <c r="N259" i="15"/>
  <c r="O14" i="15"/>
  <c r="N181" i="15"/>
  <c r="N179" i="15"/>
  <c r="N177" i="15"/>
  <c r="N175" i="15"/>
  <c r="N260" i="15"/>
  <c r="N14" i="15"/>
  <c r="M259" i="15"/>
  <c r="M181" i="15"/>
  <c r="M179" i="15"/>
  <c r="M177" i="15"/>
  <c r="M175" i="15"/>
  <c r="M260" i="15"/>
  <c r="M14" i="15"/>
  <c r="L259" i="15"/>
  <c r="L181" i="15"/>
  <c r="L179" i="15"/>
  <c r="L260" i="15"/>
  <c r="L177" i="15"/>
  <c r="L175" i="15"/>
  <c r="K259" i="15"/>
  <c r="L14" i="15"/>
  <c r="K181" i="15"/>
  <c r="K179" i="15"/>
  <c r="K260" i="15"/>
  <c r="K177" i="15"/>
  <c r="K175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G259" i="15"/>
  <c r="H14" i="15"/>
  <c r="G181" i="15"/>
  <c r="G179" i="15"/>
  <c r="G260" i="15"/>
  <c r="G177" i="15"/>
  <c r="G175" i="15"/>
  <c r="F259" i="15"/>
  <c r="G14" i="15"/>
  <c r="F181" i="15"/>
  <c r="F179" i="15"/>
  <c r="F177" i="15"/>
  <c r="F175" i="15"/>
  <c r="F260" i="15"/>
  <c r="F14" i="15"/>
  <c r="E259" i="15"/>
  <c r="E181" i="15"/>
  <c r="E179" i="15"/>
  <c r="E177" i="15"/>
  <c r="E175" i="15"/>
  <c r="E260" i="15"/>
  <c r="E14" i="15"/>
  <c r="BA14" i="15"/>
  <c r="D181" i="15"/>
  <c r="D179" i="15"/>
  <c r="D260" i="15"/>
  <c r="D177" i="15"/>
  <c r="D175" i="15"/>
  <c r="AY259" i="16"/>
  <c r="AZ14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U259" i="16"/>
  <c r="AV14" i="16"/>
  <c r="AU181" i="16"/>
  <c r="AU179" i="16"/>
  <c r="AU260" i="16"/>
  <c r="AU177" i="16"/>
  <c r="AU175" i="16"/>
  <c r="AT259" i="16"/>
  <c r="AU14" i="16"/>
  <c r="AT181" i="16"/>
  <c r="AT179" i="16"/>
  <c r="AT177" i="16"/>
  <c r="AT175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59" i="16"/>
  <c r="AN14" i="16"/>
  <c r="AM181" i="16"/>
  <c r="AM179" i="16"/>
  <c r="AM260" i="16"/>
  <c r="AM177" i="16"/>
  <c r="AM175" i="16"/>
  <c r="AL259" i="16"/>
  <c r="AM14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260" i="16"/>
  <c r="AJ177" i="16"/>
  <c r="AJ175" i="16"/>
  <c r="AI259" i="16"/>
  <c r="AJ14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59" i="16"/>
  <c r="AF14" i="16"/>
  <c r="AE181" i="16"/>
  <c r="AE179" i="16"/>
  <c r="AE260" i="16"/>
  <c r="AE177" i="16"/>
  <c r="AE175" i="16"/>
  <c r="AD259" i="16"/>
  <c r="AE14" i="16"/>
  <c r="AD181" i="16"/>
  <c r="AD179" i="16"/>
  <c r="AD177" i="16"/>
  <c r="AD175" i="16"/>
  <c r="AD260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260" i="16"/>
  <c r="AB177" i="16"/>
  <c r="AB175" i="16"/>
  <c r="AA259" i="16"/>
  <c r="AB14" i="16"/>
  <c r="AA181" i="16"/>
  <c r="AA179" i="16"/>
  <c r="AA260" i="16"/>
  <c r="AA177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W259" i="16"/>
  <c r="X14" i="16"/>
  <c r="W181" i="16"/>
  <c r="W179" i="16"/>
  <c r="W260" i="16"/>
  <c r="W177" i="16"/>
  <c r="W175" i="16"/>
  <c r="V259" i="16"/>
  <c r="W14" i="16"/>
  <c r="V181" i="16"/>
  <c r="V179" i="16"/>
  <c r="V177" i="16"/>
  <c r="V175" i="16"/>
  <c r="V260" i="16"/>
  <c r="V14" i="16"/>
  <c r="U259" i="16"/>
  <c r="U181" i="16"/>
  <c r="U179" i="16"/>
  <c r="U177" i="16"/>
  <c r="U175" i="16"/>
  <c r="U260" i="16"/>
  <c r="U14" i="16"/>
  <c r="T259" i="16"/>
  <c r="T181" i="16"/>
  <c r="T179" i="16"/>
  <c r="T260" i="16"/>
  <c r="T177" i="16"/>
  <c r="T175" i="16"/>
  <c r="S259" i="16"/>
  <c r="T14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260" i="16"/>
  <c r="Q14" i="16"/>
  <c r="P259" i="16"/>
  <c r="P181" i="16"/>
  <c r="P179" i="16"/>
  <c r="P177" i="16"/>
  <c r="P175" i="16"/>
  <c r="O259" i="16"/>
  <c r="P14" i="16"/>
  <c r="O181" i="16"/>
  <c r="O179" i="16"/>
  <c r="O260" i="16"/>
  <c r="O177" i="16"/>
  <c r="O175" i="16"/>
  <c r="N259" i="16"/>
  <c r="O14" i="16"/>
  <c r="N181" i="16"/>
  <c r="N179" i="16"/>
  <c r="N177" i="16"/>
  <c r="N175" i="16"/>
  <c r="N260" i="16"/>
  <c r="N14" i="16"/>
  <c r="M259" i="16"/>
  <c r="M181" i="16"/>
  <c r="M179" i="16"/>
  <c r="M177" i="16"/>
  <c r="M175" i="16"/>
  <c r="M260" i="16"/>
  <c r="M14" i="16"/>
  <c r="L259" i="16"/>
  <c r="L181" i="16"/>
  <c r="L179" i="16"/>
  <c r="L260" i="16"/>
  <c r="L177" i="16"/>
  <c r="L175" i="16"/>
  <c r="K259" i="16"/>
  <c r="L14" i="16"/>
  <c r="K181" i="16"/>
  <c r="K179" i="16"/>
  <c r="K260" i="16"/>
  <c r="K177" i="16"/>
  <c r="K175" i="16"/>
  <c r="J259" i="16"/>
  <c r="K14" i="16"/>
  <c r="J181" i="16"/>
  <c r="J179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260" i="16"/>
  <c r="H177" i="16"/>
  <c r="H175" i="16"/>
  <c r="G259" i="16"/>
  <c r="H14" i="16"/>
  <c r="G181" i="16"/>
  <c r="G179" i="16"/>
  <c r="G177" i="16"/>
  <c r="G260" i="16"/>
  <c r="G175" i="16"/>
  <c r="F259" i="16"/>
  <c r="G14" i="16"/>
  <c r="F181" i="16"/>
  <c r="F179" i="16"/>
  <c r="F177" i="16"/>
  <c r="F175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21" i="17"/>
  <c r="AT22" i="17"/>
  <c r="AT24" i="17"/>
  <c r="AT29" i="17"/>
  <c r="AT34" i="17"/>
  <c r="AT40" i="17"/>
  <c r="AT44" i="17"/>
  <c r="AT45" i="17"/>
  <c r="AT51" i="17"/>
  <c r="AT56" i="17"/>
  <c r="AT62" i="17"/>
  <c r="AS16" i="17"/>
  <c r="AT17" i="17"/>
  <c r="AS21" i="17"/>
  <c r="AS22" i="17"/>
  <c r="AS24" i="17"/>
  <c r="AS29" i="17"/>
  <c r="AS34" i="17"/>
  <c r="AS40" i="17"/>
  <c r="AS44" i="17"/>
  <c r="AS45" i="17"/>
  <c r="AS51" i="17"/>
  <c r="AS56" i="17"/>
  <c r="AS62" i="17"/>
  <c r="AR14" i="17"/>
  <c r="AS15" i="17"/>
  <c r="AT16" i="17"/>
  <c r="AR15" i="17"/>
  <c r="AR16" i="17"/>
  <c r="AS17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0" i="17"/>
  <c r="L13" i="17"/>
  <c r="L16" i="17"/>
  <c r="L17" i="17"/>
  <c r="L29" i="17"/>
  <c r="K15" i="17"/>
  <c r="K16" i="17"/>
  <c r="K21" i="17"/>
  <c r="K22" i="17"/>
  <c r="K24" i="17"/>
  <c r="K29" i="17"/>
  <c r="K34" i="17"/>
  <c r="K40" i="17"/>
  <c r="K44" i="17"/>
  <c r="K45" i="17"/>
  <c r="K51" i="17"/>
  <c r="K56" i="17"/>
  <c r="K62" i="17"/>
  <c r="J14" i="17"/>
  <c r="J15" i="17"/>
  <c r="J16" i="17"/>
  <c r="K17" i="17"/>
  <c r="J17" i="17"/>
  <c r="J29" i="17"/>
  <c r="I14" i="17"/>
  <c r="I15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6" i="17"/>
  <c r="G17" i="17"/>
  <c r="G29" i="17"/>
  <c r="F14" i="17"/>
  <c r="F15" i="17"/>
  <c r="F10" i="17"/>
  <c r="F13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0" i="18"/>
  <c r="AV13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0" i="18"/>
  <c r="AP13" i="18"/>
  <c r="AP16" i="18"/>
  <c r="AP17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9" i="18"/>
  <c r="AB14" i="18"/>
  <c r="AB15" i="18"/>
  <c r="AB16" i="18"/>
  <c r="AB10" i="18"/>
  <c r="AB13" i="18"/>
  <c r="AB17" i="18"/>
  <c r="AB29" i="18"/>
  <c r="AA15" i="18"/>
  <c r="AA17" i="18"/>
  <c r="AA21" i="18"/>
  <c r="AA22" i="18"/>
  <c r="AA23" i="18"/>
  <c r="AA29" i="18"/>
  <c r="AA33" i="18"/>
  <c r="AA39" i="18"/>
  <c r="AA44" i="18"/>
  <c r="AA50" i="18"/>
  <c r="AA55" i="18"/>
  <c r="Z14" i="18"/>
  <c r="Z15" i="18"/>
  <c r="AA16" i="18"/>
  <c r="Z16" i="18"/>
  <c r="Z10" i="18"/>
  <c r="Z13" i="18"/>
  <c r="AA14" i="18"/>
  <c r="AA10" i="18"/>
  <c r="AA13" i="18"/>
  <c r="Z17" i="18"/>
  <c r="Z29" i="18"/>
  <c r="Y14" i="18"/>
  <c r="Y15" i="18"/>
  <c r="Y16" i="18"/>
  <c r="Y10" i="18"/>
  <c r="Y13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9" i="18"/>
  <c r="V15" i="18"/>
  <c r="V17" i="18"/>
  <c r="V21" i="18"/>
  <c r="V23" i="18"/>
  <c r="V22" i="18"/>
  <c r="V24" i="18"/>
  <c r="V29" i="18"/>
  <c r="V33" i="18"/>
  <c r="V44" i="18"/>
  <c r="V45" i="18"/>
  <c r="V50" i="18"/>
  <c r="V55" i="18"/>
  <c r="V61" i="18"/>
  <c r="U14" i="18"/>
  <c r="U15" i="18"/>
  <c r="V16" i="18"/>
  <c r="U16" i="18"/>
  <c r="U10" i="18"/>
  <c r="U13" i="18"/>
  <c r="V14" i="18"/>
  <c r="V10" i="18"/>
  <c r="V13" i="18"/>
  <c r="U17" i="18"/>
  <c r="U29" i="18"/>
  <c r="T21" i="18"/>
  <c r="T22" i="18"/>
  <c r="T24" i="18"/>
  <c r="T29" i="18"/>
  <c r="T34" i="18"/>
  <c r="T40" i="18"/>
  <c r="T44" i="18"/>
  <c r="T45" i="18"/>
  <c r="T51" i="18"/>
  <c r="T56" i="18"/>
  <c r="T62" i="18"/>
  <c r="S14" i="18"/>
  <c r="T15" i="18"/>
  <c r="S15" i="18"/>
  <c r="T16" i="18"/>
  <c r="S16" i="18"/>
  <c r="T17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30" i="18"/>
  <c r="D29" i="18"/>
  <c r="AY14" i="19"/>
  <c r="AY15" i="19"/>
  <c r="AY10" i="19"/>
  <c r="AY13" i="19"/>
  <c r="AY16" i="19"/>
  <c r="AY17" i="19"/>
  <c r="AY29" i="19"/>
  <c r="AX15" i="19"/>
  <c r="AX16" i="19"/>
  <c r="AX21" i="19"/>
  <c r="AX22" i="19"/>
  <c r="AX24" i="19"/>
  <c r="AX29" i="19"/>
  <c r="AX34" i="19"/>
  <c r="AX40" i="19"/>
  <c r="AX44" i="19"/>
  <c r="AX45" i="19"/>
  <c r="AX51" i="19"/>
  <c r="AX56" i="19"/>
  <c r="AX62" i="19"/>
  <c r="AW14" i="19"/>
  <c r="AW15" i="19"/>
  <c r="AW16" i="19"/>
  <c r="AX17" i="19"/>
  <c r="AW17" i="19"/>
  <c r="AW29" i="19"/>
  <c r="AV14" i="19"/>
  <c r="AV15" i="19"/>
  <c r="AV10" i="19"/>
  <c r="AV13" i="19"/>
  <c r="AV16" i="19"/>
  <c r="AV17" i="19"/>
  <c r="AV29" i="19"/>
  <c r="AU14" i="19"/>
  <c r="AU15" i="19"/>
  <c r="AU10" i="19"/>
  <c r="AU13" i="19"/>
  <c r="AU16" i="19"/>
  <c r="AU17" i="19"/>
  <c r="AU29" i="19"/>
  <c r="AT14" i="19"/>
  <c r="AT10" i="19"/>
  <c r="AT13" i="19"/>
  <c r="AT15" i="19"/>
  <c r="AT16" i="19"/>
  <c r="AT17" i="19"/>
  <c r="AT29" i="19"/>
  <c r="AS14" i="19"/>
  <c r="AS10" i="19"/>
  <c r="AS15" i="19"/>
  <c r="AS16" i="19"/>
  <c r="AS13" i="19"/>
  <c r="AS17" i="19"/>
  <c r="AS29" i="19"/>
  <c r="AR14" i="19"/>
  <c r="AR10" i="19"/>
  <c r="AR15" i="19"/>
  <c r="AR16" i="19"/>
  <c r="AR13" i="19"/>
  <c r="AR17" i="19"/>
  <c r="AR29" i="19"/>
  <c r="AQ14" i="19"/>
  <c r="AQ10" i="19"/>
  <c r="AQ13" i="19"/>
  <c r="AQ15" i="19"/>
  <c r="AQ16" i="19"/>
  <c r="AQ17" i="19"/>
  <c r="AQ29" i="19"/>
  <c r="AP14" i="19"/>
  <c r="AP10" i="19"/>
  <c r="AP13" i="19"/>
  <c r="AP15" i="19"/>
  <c r="AP16" i="19"/>
  <c r="AP17" i="19"/>
  <c r="AP29" i="19"/>
  <c r="AO14" i="19"/>
  <c r="AO10" i="19"/>
  <c r="AO15" i="19"/>
  <c r="AO16" i="19"/>
  <c r="AO13" i="19"/>
  <c r="AO17" i="19"/>
  <c r="AO29" i="19"/>
  <c r="AN14" i="19"/>
  <c r="AN10" i="19"/>
  <c r="AN15" i="19"/>
  <c r="AN16" i="19"/>
  <c r="AN13" i="19"/>
  <c r="AN17" i="19"/>
  <c r="AN29" i="19"/>
  <c r="AM14" i="19"/>
  <c r="AM10" i="19"/>
  <c r="AM13" i="19"/>
  <c r="AM15" i="19"/>
  <c r="AM16" i="19"/>
  <c r="AM17" i="19"/>
  <c r="AM29" i="19"/>
  <c r="AL14" i="19"/>
  <c r="AL10" i="19"/>
  <c r="AL13" i="19"/>
  <c r="AL15" i="19"/>
  <c r="AL16" i="19"/>
  <c r="AL17" i="19"/>
  <c r="AL29" i="19"/>
  <c r="AK14" i="19"/>
  <c r="AK10" i="19"/>
  <c r="AK15" i="19"/>
  <c r="AK16" i="19"/>
  <c r="AK13" i="19"/>
  <c r="AK17" i="19"/>
  <c r="AK29" i="19"/>
  <c r="AJ14" i="19"/>
  <c r="AJ10" i="19"/>
  <c r="AJ15" i="19"/>
  <c r="AJ16" i="19"/>
  <c r="AJ13" i="19"/>
  <c r="AJ17" i="19"/>
  <c r="AJ29" i="19"/>
  <c r="AI14" i="19"/>
  <c r="AI10" i="19"/>
  <c r="AI13" i="19"/>
  <c r="AI15" i="19"/>
  <c r="AI16" i="19"/>
  <c r="AI17" i="19"/>
  <c r="AI29" i="19"/>
  <c r="AH14" i="19"/>
  <c r="AH10" i="19"/>
  <c r="AH13" i="19"/>
  <c r="AH15" i="19"/>
  <c r="AH16" i="19"/>
  <c r="AH17" i="19"/>
  <c r="AH29" i="19"/>
  <c r="AG14" i="19"/>
  <c r="AG10" i="19"/>
  <c r="AG15" i="19"/>
  <c r="AG16" i="19"/>
  <c r="AG13" i="19"/>
  <c r="AG17" i="19"/>
  <c r="AG29" i="19"/>
  <c r="AF14" i="19"/>
  <c r="AF10" i="19"/>
  <c r="AF15" i="19"/>
  <c r="AF16" i="19"/>
  <c r="AF13" i="19"/>
  <c r="AF17" i="19"/>
  <c r="AF29" i="19"/>
  <c r="AE14" i="19"/>
  <c r="AE10" i="19"/>
  <c r="AE13" i="19"/>
  <c r="AE15" i="19"/>
  <c r="AE16" i="19"/>
  <c r="AE17" i="19"/>
  <c r="AE29" i="19"/>
  <c r="AD14" i="19"/>
  <c r="AD10" i="19"/>
  <c r="AD13" i="19"/>
  <c r="AD15" i="19"/>
  <c r="AD16" i="19"/>
  <c r="AD17" i="19"/>
  <c r="AD29" i="19"/>
  <c r="AC14" i="19"/>
  <c r="AC10" i="19"/>
  <c r="AC15" i="19"/>
  <c r="AC16" i="19"/>
  <c r="AC13" i="19"/>
  <c r="AC17" i="19"/>
  <c r="AC29" i="19"/>
  <c r="AB14" i="19"/>
  <c r="AB10" i="19"/>
  <c r="AB15" i="19"/>
  <c r="AB16" i="19"/>
  <c r="AB13" i="19"/>
  <c r="AB17" i="19"/>
  <c r="AB29" i="19"/>
  <c r="AA14" i="19"/>
  <c r="AA10" i="19"/>
  <c r="AA13" i="19"/>
  <c r="AA15" i="19"/>
  <c r="AA16" i="19"/>
  <c r="AA17" i="19"/>
  <c r="AA29" i="19"/>
  <c r="Z14" i="19"/>
  <c r="Z10" i="19"/>
  <c r="Z13" i="19"/>
  <c r="Z15" i="19"/>
  <c r="Z16" i="19"/>
  <c r="Z17" i="19"/>
  <c r="Z29" i="19"/>
  <c r="Y14" i="19"/>
  <c r="Y10" i="19"/>
  <c r="Y13" i="19"/>
  <c r="Y15" i="19"/>
  <c r="Y16" i="19"/>
  <c r="Y17" i="19"/>
  <c r="Y29" i="19"/>
  <c r="X14" i="19"/>
  <c r="X15" i="19"/>
  <c r="X16" i="19"/>
  <c r="X10" i="19"/>
  <c r="X13" i="19"/>
  <c r="X17" i="19"/>
  <c r="X29" i="19"/>
  <c r="W14" i="19"/>
  <c r="W15" i="19"/>
  <c r="W16" i="19"/>
  <c r="W10" i="19"/>
  <c r="W13" i="19"/>
  <c r="W17" i="19"/>
  <c r="W29" i="19"/>
  <c r="V14" i="19"/>
  <c r="V15" i="19"/>
  <c r="V16" i="19"/>
  <c r="V10" i="19"/>
  <c r="V13" i="19"/>
  <c r="V17" i="19"/>
  <c r="V29" i="19"/>
  <c r="U14" i="19"/>
  <c r="U15" i="19"/>
  <c r="U16" i="19"/>
  <c r="U10" i="19"/>
  <c r="U13" i="19"/>
  <c r="U17" i="19"/>
  <c r="U29" i="19"/>
  <c r="T14" i="19"/>
  <c r="T15" i="19"/>
  <c r="T16" i="19"/>
  <c r="T10" i="19"/>
  <c r="T13" i="19"/>
  <c r="T17" i="19"/>
  <c r="T29" i="19"/>
  <c r="S14" i="19"/>
  <c r="S15" i="19"/>
  <c r="S16" i="19"/>
  <c r="S10" i="19"/>
  <c r="S13" i="19"/>
  <c r="S17" i="19"/>
  <c r="S29" i="19"/>
  <c r="R14" i="19"/>
  <c r="R15" i="19"/>
  <c r="R16" i="19"/>
  <c r="R10" i="19"/>
  <c r="R13" i="19"/>
  <c r="R17" i="19"/>
  <c r="R29" i="19"/>
  <c r="Q14" i="19"/>
  <c r="Q15" i="19"/>
  <c r="Q16" i="19"/>
  <c r="Q10" i="19"/>
  <c r="Q13" i="19"/>
  <c r="Q17" i="19"/>
  <c r="Q29" i="19"/>
  <c r="P14" i="19"/>
  <c r="P15" i="19"/>
  <c r="P16" i="19"/>
  <c r="P10" i="19"/>
  <c r="P13" i="19"/>
  <c r="P17" i="19"/>
  <c r="P29" i="19"/>
  <c r="O14" i="19"/>
  <c r="O15" i="19"/>
  <c r="O16" i="19"/>
  <c r="O10" i="19"/>
  <c r="O13" i="19"/>
  <c r="O17" i="19"/>
  <c r="O29" i="19"/>
  <c r="N14" i="19"/>
  <c r="N15" i="19"/>
  <c r="N16" i="19"/>
  <c r="N10" i="19"/>
  <c r="N13" i="19"/>
  <c r="N17" i="19"/>
  <c r="N29" i="19"/>
  <c r="M14" i="19"/>
  <c r="M15" i="19"/>
  <c r="M16" i="19"/>
  <c r="M10" i="19"/>
  <c r="M13" i="19"/>
  <c r="M17" i="19"/>
  <c r="M29" i="19"/>
  <c r="L14" i="19"/>
  <c r="L15" i="19"/>
  <c r="L16" i="19"/>
  <c r="L10" i="19"/>
  <c r="L13" i="19"/>
  <c r="L17" i="19"/>
  <c r="L29" i="19"/>
  <c r="K14" i="19"/>
  <c r="K15" i="19"/>
  <c r="K16" i="19"/>
  <c r="K10" i="19"/>
  <c r="K13" i="19"/>
  <c r="K17" i="19"/>
  <c r="K29" i="19"/>
  <c r="J14" i="19"/>
  <c r="J15" i="19"/>
  <c r="J16" i="19"/>
  <c r="J10" i="19"/>
  <c r="J13" i="19"/>
  <c r="J17" i="19"/>
  <c r="J29" i="19"/>
  <c r="I14" i="19"/>
  <c r="I15" i="19"/>
  <c r="I16" i="19"/>
  <c r="I10" i="19"/>
  <c r="I13" i="19"/>
  <c r="I17" i="19"/>
  <c r="I29" i="19"/>
  <c r="H14" i="19"/>
  <c r="H15" i="19"/>
  <c r="H16" i="19"/>
  <c r="H10" i="19"/>
  <c r="H13" i="19"/>
  <c r="H17" i="19"/>
  <c r="H29" i="19"/>
  <c r="G14" i="19"/>
  <c r="G15" i="19"/>
  <c r="G16" i="19"/>
  <c r="G10" i="19"/>
  <c r="G13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/>
  <c r="E13" i="19"/>
  <c r="E17" i="19"/>
  <c r="E29" i="19"/>
  <c r="D14" i="19"/>
  <c r="D15" i="19"/>
  <c r="D16" i="19"/>
  <c r="D10" i="19"/>
  <c r="D17" i="19"/>
  <c r="AZ17" i="19"/>
  <c r="D27" i="19"/>
  <c r="E27" i="19"/>
  <c r="D29" i="19"/>
  <c r="B21" i="17"/>
  <c r="B21" i="18"/>
  <c r="B21" i="19"/>
  <c r="D21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B22" i="19"/>
  <c r="D22" i="19"/>
  <c r="B22" i="17"/>
  <c r="AU22" i="19"/>
  <c r="AU21" i="19"/>
  <c r="D34" i="19"/>
  <c r="D40" i="19"/>
  <c r="D45" i="19"/>
  <c r="D51" i="19"/>
  <c r="D56" i="19"/>
  <c r="D62" i="19"/>
  <c r="D24" i="19"/>
  <c r="AA22" i="19"/>
  <c r="AA21" i="19"/>
  <c r="AI22" i="19"/>
  <c r="AI21" i="19"/>
  <c r="AQ22" i="19"/>
  <c r="AQ21" i="19"/>
  <c r="AM22" i="19"/>
  <c r="AM21" i="19"/>
  <c r="D44" i="19"/>
  <c r="D23" i="19"/>
  <c r="D33" i="19"/>
  <c r="D55" i="19"/>
  <c r="F27" i="19"/>
  <c r="E30" i="19"/>
  <c r="F21" i="19"/>
  <c r="F22" i="19"/>
  <c r="H21" i="19"/>
  <c r="H22" i="19"/>
  <c r="J21" i="19"/>
  <c r="J22" i="19"/>
  <c r="L21" i="19"/>
  <c r="L22" i="19"/>
  <c r="N21" i="19"/>
  <c r="N22" i="19"/>
  <c r="P21" i="19"/>
  <c r="P22" i="19"/>
  <c r="R21" i="19"/>
  <c r="R22" i="19"/>
  <c r="T21" i="19"/>
  <c r="T22" i="19"/>
  <c r="V21" i="19"/>
  <c r="V22" i="19"/>
  <c r="X21" i="19"/>
  <c r="X22" i="19"/>
  <c r="AB22" i="19"/>
  <c r="AB21" i="19"/>
  <c r="AJ22" i="19"/>
  <c r="AJ21" i="19"/>
  <c r="AR22" i="19"/>
  <c r="AR21" i="19"/>
  <c r="AE22" i="19"/>
  <c r="AE21" i="19"/>
  <c r="G21" i="19"/>
  <c r="G22" i="19"/>
  <c r="I21" i="19"/>
  <c r="I22" i="19"/>
  <c r="K21" i="19"/>
  <c r="K22" i="19"/>
  <c r="M21" i="19"/>
  <c r="M22" i="19"/>
  <c r="O21" i="19"/>
  <c r="O22" i="19"/>
  <c r="Q21" i="19"/>
  <c r="Q22" i="19"/>
  <c r="S21" i="19"/>
  <c r="S22" i="19"/>
  <c r="U21" i="19"/>
  <c r="U22" i="19"/>
  <c r="W21" i="19"/>
  <c r="W22" i="19"/>
  <c r="Y22" i="19"/>
  <c r="Y21" i="19"/>
  <c r="Z22" i="19"/>
  <c r="Z21" i="19"/>
  <c r="AF22" i="19"/>
  <c r="AF21" i="19"/>
  <c r="AN22" i="19"/>
  <c r="AN21" i="19"/>
  <c r="AK22" i="19"/>
  <c r="AK21" i="19"/>
  <c r="AV22" i="19"/>
  <c r="AV21" i="19"/>
  <c r="AO21" i="18"/>
  <c r="P21" i="18"/>
  <c r="D21" i="18"/>
  <c r="AC22" i="19"/>
  <c r="AC21" i="19"/>
  <c r="AS22" i="19"/>
  <c r="AS21" i="19"/>
  <c r="E30" i="18"/>
  <c r="F27" i="18"/>
  <c r="T46" i="18"/>
  <c r="T50" i="18"/>
  <c r="D22" i="17"/>
  <c r="AC22" i="17"/>
  <c r="U22" i="17"/>
  <c r="Y22" i="17"/>
  <c r="AL21" i="17"/>
  <c r="AJ21" i="17"/>
  <c r="AN21" i="17"/>
  <c r="D21" i="17"/>
  <c r="D30" i="19"/>
  <c r="D13" i="19"/>
  <c r="AD22" i="19"/>
  <c r="AD21" i="19"/>
  <c r="AH22" i="19"/>
  <c r="AH21" i="19"/>
  <c r="AL22" i="19"/>
  <c r="AL21" i="19"/>
  <c r="AP22" i="19"/>
  <c r="AP21" i="19"/>
  <c r="AT22" i="19"/>
  <c r="AT21" i="19"/>
  <c r="O21" i="18"/>
  <c r="AL21" i="18"/>
  <c r="AS21" i="18"/>
  <c r="AG22" i="19"/>
  <c r="AG21" i="19"/>
  <c r="AO22" i="19"/>
  <c r="AO21" i="19"/>
  <c r="AW22" i="19"/>
  <c r="AW21" i="19"/>
  <c r="AX46" i="19"/>
  <c r="AX50" i="19"/>
  <c r="J22" i="18"/>
  <c r="J21" i="18"/>
  <c r="S21" i="18"/>
  <c r="V39" i="18"/>
  <c r="AB21" i="18"/>
  <c r="AX55" i="19"/>
  <c r="AX23" i="19"/>
  <c r="AX33" i="19"/>
  <c r="D10" i="18"/>
  <c r="H22" i="18"/>
  <c r="H21" i="18"/>
  <c r="L21" i="18"/>
  <c r="L10" i="18"/>
  <c r="L13" i="18"/>
  <c r="P10" i="18"/>
  <c r="P13" i="18"/>
  <c r="T55" i="18"/>
  <c r="T23" i="18"/>
  <c r="T33" i="18"/>
  <c r="V51" i="18"/>
  <c r="V46" i="18"/>
  <c r="AD21" i="18"/>
  <c r="AD22" i="18"/>
  <c r="F10" i="18"/>
  <c r="F13" i="18"/>
  <c r="J10" i="18"/>
  <c r="J13" i="18"/>
  <c r="W21" i="18"/>
  <c r="AH21" i="18"/>
  <c r="AR22" i="18"/>
  <c r="AR21" i="18"/>
  <c r="AW10" i="19"/>
  <c r="AW13" i="19"/>
  <c r="AX14" i="19"/>
  <c r="AX10" i="19"/>
  <c r="AX13" i="19"/>
  <c r="E10" i="18"/>
  <c r="E13" i="18"/>
  <c r="H10" i="18"/>
  <c r="H13" i="18"/>
  <c r="M10" i="18"/>
  <c r="M13" i="18"/>
  <c r="Q10" i="18"/>
  <c r="Q13" i="18"/>
  <c r="AZ17" i="18"/>
  <c r="Z21" i="18"/>
  <c r="AA61" i="18"/>
  <c r="AA34" i="18"/>
  <c r="AA56" i="18"/>
  <c r="AA62" i="18"/>
  <c r="AA24" i="18"/>
  <c r="AC21" i="18"/>
  <c r="AG21" i="18"/>
  <c r="AK21" i="18"/>
  <c r="D30" i="17"/>
  <c r="E27" i="17"/>
  <c r="K46" i="17"/>
  <c r="K50" i="17"/>
  <c r="Y21" i="18"/>
  <c r="Z22" i="18"/>
  <c r="AF21" i="18"/>
  <c r="AJ21" i="18"/>
  <c r="AN21" i="18"/>
  <c r="AV21" i="18"/>
  <c r="AW21" i="18"/>
  <c r="I22" i="17"/>
  <c r="I21" i="17"/>
  <c r="AB21" i="17"/>
  <c r="AB22" i="17"/>
  <c r="S10" i="18"/>
  <c r="S13" i="18"/>
  <c r="T14" i="18"/>
  <c r="T10" i="18"/>
  <c r="T13" i="18"/>
  <c r="V34" i="18"/>
  <c r="V40" i="18"/>
  <c r="V56" i="18"/>
  <c r="X21" i="18"/>
  <c r="AA45" i="18"/>
  <c r="AE21" i="18"/>
  <c r="AI21" i="18"/>
  <c r="AJ22" i="18"/>
  <c r="AM21" i="18"/>
  <c r="AQ22" i="18"/>
  <c r="AQ21" i="18"/>
  <c r="AU21" i="18"/>
  <c r="AY21" i="18"/>
  <c r="G22" i="17"/>
  <c r="G21" i="17"/>
  <c r="K55" i="17"/>
  <c r="K23" i="17"/>
  <c r="K33" i="17"/>
  <c r="M22" i="17"/>
  <c r="M21" i="17"/>
  <c r="Q10" i="17"/>
  <c r="Q13" i="17"/>
  <c r="T21" i="17"/>
  <c r="T22" i="17"/>
  <c r="AP21" i="18"/>
  <c r="AT21" i="18"/>
  <c r="AW10" i="18"/>
  <c r="AW13" i="18"/>
  <c r="E10" i="17"/>
  <c r="E13" i="17"/>
  <c r="I10" i="17"/>
  <c r="I13" i="17"/>
  <c r="J10" i="17"/>
  <c r="J13" i="17"/>
  <c r="K14" i="17"/>
  <c r="K10" i="17"/>
  <c r="K13" i="17"/>
  <c r="O10" i="17"/>
  <c r="O13" i="17"/>
  <c r="P10" i="17"/>
  <c r="P13" i="17"/>
  <c r="X21" i="17"/>
  <c r="X22" i="17"/>
  <c r="AY10" i="18"/>
  <c r="AY13" i="18"/>
  <c r="D10" i="17"/>
  <c r="G10" i="17"/>
  <c r="G13" i="17"/>
  <c r="M10" i="17"/>
  <c r="M13" i="17"/>
  <c r="N10" i="17"/>
  <c r="N13" i="17"/>
  <c r="AZ17" i="17"/>
  <c r="S21" i="17"/>
  <c r="W21" i="17"/>
  <c r="AA21" i="17"/>
  <c r="AE22" i="17"/>
  <c r="AE21" i="17"/>
  <c r="AF22" i="17"/>
  <c r="AF21" i="17"/>
  <c r="AM22" i="17"/>
  <c r="AM21" i="17"/>
  <c r="S22" i="17"/>
  <c r="V21" i="17"/>
  <c r="W22" i="17"/>
  <c r="Z21" i="17"/>
  <c r="AA22" i="17"/>
  <c r="AD21" i="17"/>
  <c r="AT50" i="17"/>
  <c r="AT46" i="17"/>
  <c r="U21" i="17"/>
  <c r="V22" i="17"/>
  <c r="Y21" i="17"/>
  <c r="Z22" i="17"/>
  <c r="AC21" i="17"/>
  <c r="AD22" i="17"/>
  <c r="AH22" i="17"/>
  <c r="AH21" i="17"/>
  <c r="AK22" i="17"/>
  <c r="AO22" i="17"/>
  <c r="AO21" i="17"/>
  <c r="AR22" i="17"/>
  <c r="AR21" i="17"/>
  <c r="AF10" i="17"/>
  <c r="AF13" i="17"/>
  <c r="AJ22" i="17"/>
  <c r="AK21" i="17"/>
  <c r="AN22" i="17"/>
  <c r="AP22" i="17"/>
  <c r="AP21" i="17"/>
  <c r="AY21" i="17"/>
  <c r="AZ259" i="16"/>
  <c r="AH10" i="17"/>
  <c r="AH13" i="17"/>
  <c r="AL22" i="17"/>
  <c r="AS50" i="17"/>
  <c r="AS46" i="17"/>
  <c r="AX22" i="17"/>
  <c r="AX21" i="17"/>
  <c r="AP10" i="17"/>
  <c r="AP13" i="17"/>
  <c r="AV10" i="17"/>
  <c r="AV13" i="17"/>
  <c r="AS33" i="17"/>
  <c r="AS55" i="17"/>
  <c r="AS23" i="17"/>
  <c r="AT33" i="17"/>
  <c r="AT55" i="17"/>
  <c r="AT23" i="17"/>
  <c r="AU10" i="17"/>
  <c r="AU13" i="17"/>
  <c r="AY10" i="17"/>
  <c r="AY13" i="17"/>
  <c r="AY22" i="17"/>
  <c r="AZ260" i="14"/>
  <c r="T260" i="14"/>
  <c r="V260" i="14"/>
  <c r="AR10" i="17"/>
  <c r="AR13" i="17"/>
  <c r="AS14" i="17"/>
  <c r="BA14" i="16"/>
  <c r="P260" i="16"/>
  <c r="R260" i="16"/>
  <c r="AF260" i="16"/>
  <c r="AH260" i="16"/>
  <c r="AV260" i="16"/>
  <c r="AX260" i="16"/>
  <c r="P260" i="15"/>
  <c r="R260" i="15"/>
  <c r="AF260" i="15"/>
  <c r="AH260" i="15"/>
  <c r="AV260" i="15"/>
  <c r="AX260" i="15"/>
  <c r="P260" i="14"/>
  <c r="R260" i="14"/>
  <c r="F260" i="16"/>
  <c r="AZ260" i="16"/>
  <c r="J260" i="16"/>
  <c r="X260" i="16"/>
  <c r="Z260" i="16"/>
  <c r="AN260" i="16"/>
  <c r="AP260" i="16"/>
  <c r="H260" i="15"/>
  <c r="AZ260" i="15"/>
  <c r="J260" i="15"/>
  <c r="X260" i="15"/>
  <c r="Z260" i="15"/>
  <c r="AN260" i="15"/>
  <c r="AP260" i="15"/>
  <c r="T43" i="21"/>
  <c r="T45" i="21"/>
  <c r="D259" i="15"/>
  <c r="AZ259" i="15"/>
  <c r="D259" i="14"/>
  <c r="AZ259" i="14"/>
  <c r="B22" i="18"/>
  <c r="AT35" i="17"/>
  <c r="AT39" i="17"/>
  <c r="AO24" i="17"/>
  <c r="AO45" i="17"/>
  <c r="AO51" i="17"/>
  <c r="AO34" i="17"/>
  <c r="AO40" i="17"/>
  <c r="AO56" i="17"/>
  <c r="AO62" i="17"/>
  <c r="AD44" i="17"/>
  <c r="AD23" i="17"/>
  <c r="AD33" i="17"/>
  <c r="AD55" i="17"/>
  <c r="AA44" i="17"/>
  <c r="AA23" i="17"/>
  <c r="AA33" i="17"/>
  <c r="AA55" i="17"/>
  <c r="P22" i="17"/>
  <c r="P21" i="17"/>
  <c r="M45" i="17"/>
  <c r="M51" i="17"/>
  <c r="M56" i="17"/>
  <c r="M62" i="17"/>
  <c r="M24" i="17"/>
  <c r="M34" i="17"/>
  <c r="M40" i="17"/>
  <c r="AQ45" i="18"/>
  <c r="AQ51" i="18"/>
  <c r="AQ56" i="18"/>
  <c r="AQ62" i="18"/>
  <c r="AQ24" i="18"/>
  <c r="AQ34" i="18"/>
  <c r="AQ40" i="18"/>
  <c r="AJ44" i="18"/>
  <c r="AJ23" i="18"/>
  <c r="AJ33" i="18"/>
  <c r="AJ55" i="18"/>
  <c r="AG44" i="18"/>
  <c r="AG23" i="18"/>
  <c r="AG33" i="18"/>
  <c r="AG55" i="18"/>
  <c r="AA40" i="18"/>
  <c r="AA35" i="18"/>
  <c r="M22" i="18"/>
  <c r="M21" i="18"/>
  <c r="O55" i="18"/>
  <c r="O23" i="18"/>
  <c r="O33" i="18"/>
  <c r="O44" i="18"/>
  <c r="AC34" i="17"/>
  <c r="AC40" i="17"/>
  <c r="AC56" i="17"/>
  <c r="AC62" i="17"/>
  <c r="AC24" i="17"/>
  <c r="AC45" i="17"/>
  <c r="AC51" i="17"/>
  <c r="AK55" i="19"/>
  <c r="AK33" i="19"/>
  <c r="AK44" i="19"/>
  <c r="AK23" i="19"/>
  <c r="AE55" i="19"/>
  <c r="AE33" i="19"/>
  <c r="AE44" i="19"/>
  <c r="AE23" i="19"/>
  <c r="D22" i="18"/>
  <c r="AM22" i="18"/>
  <c r="AE22" i="18"/>
  <c r="AI22" i="18"/>
  <c r="X22" i="18"/>
  <c r="AS57" i="17"/>
  <c r="AS61" i="17"/>
  <c r="AX33" i="17"/>
  <c r="AX55" i="17"/>
  <c r="AX23" i="17"/>
  <c r="AX44" i="17"/>
  <c r="AL45" i="17"/>
  <c r="AL51" i="17"/>
  <c r="AL56" i="17"/>
  <c r="AL62" i="17"/>
  <c r="AL24" i="17"/>
  <c r="AL34" i="17"/>
  <c r="AL40" i="17"/>
  <c r="AY33" i="17"/>
  <c r="AY55" i="17"/>
  <c r="AY23" i="17"/>
  <c r="AY44" i="17"/>
  <c r="AK55" i="17"/>
  <c r="AK23" i="17"/>
  <c r="AK33" i="17"/>
  <c r="AK44" i="17"/>
  <c r="AR24" i="17"/>
  <c r="AR45" i="17"/>
  <c r="AR51" i="17"/>
  <c r="AR56" i="17"/>
  <c r="AR62" i="17"/>
  <c r="AR34" i="17"/>
  <c r="AR40" i="17"/>
  <c r="AH55" i="17"/>
  <c r="AH23" i="17"/>
  <c r="AH33" i="17"/>
  <c r="AH44" i="17"/>
  <c r="Z34" i="17"/>
  <c r="Z40" i="17"/>
  <c r="Z56" i="17"/>
  <c r="Z62" i="17"/>
  <c r="Z24" i="17"/>
  <c r="Z45" i="17"/>
  <c r="Z51" i="17"/>
  <c r="Z44" i="17"/>
  <c r="Z23" i="17"/>
  <c r="Z33" i="17"/>
  <c r="Z55" i="17"/>
  <c r="AM55" i="17"/>
  <c r="AM23" i="17"/>
  <c r="AM33" i="17"/>
  <c r="AM44" i="17"/>
  <c r="AE55" i="17"/>
  <c r="AE23" i="17"/>
  <c r="AE33" i="17"/>
  <c r="AE44" i="17"/>
  <c r="S44" i="17"/>
  <c r="S23" i="17"/>
  <c r="S33" i="17"/>
  <c r="S55" i="17"/>
  <c r="H22" i="17"/>
  <c r="H21" i="17"/>
  <c r="X44" i="17"/>
  <c r="X23" i="17"/>
  <c r="X33" i="17"/>
  <c r="X55" i="17"/>
  <c r="J22" i="17"/>
  <c r="J21" i="17"/>
  <c r="AS22" i="18"/>
  <c r="R21" i="17"/>
  <c r="R22" i="17"/>
  <c r="AY55" i="18"/>
  <c r="AY23" i="18"/>
  <c r="AY33" i="18"/>
  <c r="AY44" i="18"/>
  <c r="AT22" i="18"/>
  <c r="AN22" i="18"/>
  <c r="AF22" i="18"/>
  <c r="X44" i="18"/>
  <c r="X23" i="18"/>
  <c r="X33" i="18"/>
  <c r="X55" i="18"/>
  <c r="AB34" i="17"/>
  <c r="AB40" i="17"/>
  <c r="AB56" i="17"/>
  <c r="AB62" i="17"/>
  <c r="AB24" i="17"/>
  <c r="AB45" i="17"/>
  <c r="AB51" i="17"/>
  <c r="AW55" i="18"/>
  <c r="AW23" i="18"/>
  <c r="AW33" i="18"/>
  <c r="AW44" i="18"/>
  <c r="AN44" i="18"/>
  <c r="AN23" i="18"/>
  <c r="AN33" i="18"/>
  <c r="AN55" i="18"/>
  <c r="AF44" i="18"/>
  <c r="AF23" i="18"/>
  <c r="AF33" i="18"/>
  <c r="AF55" i="18"/>
  <c r="AO22" i="18"/>
  <c r="N22" i="18"/>
  <c r="N21" i="18"/>
  <c r="AY22" i="19"/>
  <c r="AY21" i="19"/>
  <c r="AH44" i="18"/>
  <c r="AH23" i="18"/>
  <c r="AH33" i="18"/>
  <c r="AH55" i="18"/>
  <c r="K22" i="18"/>
  <c r="K21" i="18"/>
  <c r="T57" i="18"/>
  <c r="T61" i="18"/>
  <c r="L22" i="18"/>
  <c r="AX35" i="19"/>
  <c r="AX39" i="19"/>
  <c r="AB44" i="18"/>
  <c r="AB23" i="18"/>
  <c r="AB33" i="18"/>
  <c r="AB55" i="18"/>
  <c r="S22" i="18"/>
  <c r="AO45" i="19"/>
  <c r="AO51" i="19"/>
  <c r="AO24" i="19"/>
  <c r="AO34" i="19"/>
  <c r="AO40" i="19"/>
  <c r="AO56" i="19"/>
  <c r="AO62" i="19"/>
  <c r="AL22" i="18"/>
  <c r="AT55" i="19"/>
  <c r="AT33" i="19"/>
  <c r="AT44" i="19"/>
  <c r="AT23" i="19"/>
  <c r="AL55" i="19"/>
  <c r="AL33" i="19"/>
  <c r="AL44" i="19"/>
  <c r="AL23" i="19"/>
  <c r="AD55" i="19"/>
  <c r="AD33" i="19"/>
  <c r="AD44" i="19"/>
  <c r="AD23" i="19"/>
  <c r="D55" i="17"/>
  <c r="D23" i="17"/>
  <c r="D33" i="17"/>
  <c r="D44" i="17"/>
  <c r="Y34" i="17"/>
  <c r="Y40" i="17"/>
  <c r="Y56" i="17"/>
  <c r="Y62" i="17"/>
  <c r="Y24" i="17"/>
  <c r="Y45" i="17"/>
  <c r="Y51" i="17"/>
  <c r="AS55" i="19"/>
  <c r="AS33" i="19"/>
  <c r="AS44" i="19"/>
  <c r="AS23" i="19"/>
  <c r="AZ10" i="19"/>
  <c r="AV55" i="19"/>
  <c r="AV23" i="19"/>
  <c r="AV33" i="19"/>
  <c r="AV44" i="19"/>
  <c r="AN55" i="19"/>
  <c r="AN33" i="19"/>
  <c r="AN44" i="19"/>
  <c r="AN23" i="19"/>
  <c r="Z55" i="19"/>
  <c r="Z33" i="19"/>
  <c r="Z44" i="19"/>
  <c r="Z23" i="19"/>
  <c r="W34" i="19"/>
  <c r="W40" i="19"/>
  <c r="W56" i="19"/>
  <c r="W62" i="19"/>
  <c r="W24" i="19"/>
  <c r="W45" i="19"/>
  <c r="W51" i="19"/>
  <c r="S34" i="19"/>
  <c r="S40" i="19"/>
  <c r="S45" i="19"/>
  <c r="S51" i="19"/>
  <c r="S56" i="19"/>
  <c r="S62" i="19"/>
  <c r="S24" i="19"/>
  <c r="O34" i="19"/>
  <c r="O40" i="19"/>
  <c r="O56" i="19"/>
  <c r="O62" i="19"/>
  <c r="O24" i="19"/>
  <c r="O45" i="19"/>
  <c r="O51" i="19"/>
  <c r="K34" i="19"/>
  <c r="K40" i="19"/>
  <c r="K45" i="19"/>
  <c r="K51" i="19"/>
  <c r="K56" i="19"/>
  <c r="K62" i="19"/>
  <c r="K24" i="19"/>
  <c r="G34" i="19"/>
  <c r="G40" i="19"/>
  <c r="G45" i="19"/>
  <c r="G51" i="19"/>
  <c r="G56" i="19"/>
  <c r="G62" i="19"/>
  <c r="G24" i="19"/>
  <c r="AR55" i="19"/>
  <c r="AR33" i="19"/>
  <c r="AR44" i="19"/>
  <c r="AR23" i="19"/>
  <c r="AB55" i="19"/>
  <c r="AB33" i="19"/>
  <c r="AB44" i="19"/>
  <c r="AB23" i="19"/>
  <c r="V34" i="19"/>
  <c r="V40" i="19"/>
  <c r="V45" i="19"/>
  <c r="V51" i="19"/>
  <c r="V56" i="19"/>
  <c r="V62" i="19"/>
  <c r="V24" i="19"/>
  <c r="R34" i="19"/>
  <c r="R40" i="19"/>
  <c r="R56" i="19"/>
  <c r="R62" i="19"/>
  <c r="R45" i="19"/>
  <c r="R51" i="19"/>
  <c r="R24" i="19"/>
  <c r="N34" i="19"/>
  <c r="N40" i="19"/>
  <c r="N45" i="19"/>
  <c r="N51" i="19"/>
  <c r="N56" i="19"/>
  <c r="N62" i="19"/>
  <c r="N24" i="19"/>
  <c r="J34" i="19"/>
  <c r="J40" i="19"/>
  <c r="J56" i="19"/>
  <c r="J62" i="19"/>
  <c r="J45" i="19"/>
  <c r="J51" i="19"/>
  <c r="J24" i="19"/>
  <c r="F34" i="19"/>
  <c r="F40" i="19"/>
  <c r="F56" i="19"/>
  <c r="F62" i="19"/>
  <c r="F45" i="19"/>
  <c r="F51" i="19"/>
  <c r="F24" i="19"/>
  <c r="D61" i="19"/>
  <c r="D57" i="19"/>
  <c r="AQ45" i="19"/>
  <c r="AQ51" i="19"/>
  <c r="AQ24" i="19"/>
  <c r="AQ34" i="19"/>
  <c r="AQ40" i="19"/>
  <c r="AQ56" i="19"/>
  <c r="AQ62" i="19"/>
  <c r="AA45" i="19"/>
  <c r="AA51" i="19"/>
  <c r="AA24" i="19"/>
  <c r="AA34" i="19"/>
  <c r="AA40" i="19"/>
  <c r="AA56" i="19"/>
  <c r="AA62" i="19"/>
  <c r="AP24" i="17"/>
  <c r="AP45" i="17"/>
  <c r="AP51" i="17"/>
  <c r="AP34" i="17"/>
  <c r="AP40" i="17"/>
  <c r="AP56" i="17"/>
  <c r="AP62" i="17"/>
  <c r="V34" i="17"/>
  <c r="V40" i="17"/>
  <c r="V56" i="17"/>
  <c r="V62" i="17"/>
  <c r="V24" i="17"/>
  <c r="V45" i="17"/>
  <c r="V51" i="17"/>
  <c r="AF55" i="17"/>
  <c r="AF23" i="17"/>
  <c r="AF33" i="17"/>
  <c r="AF44" i="17"/>
  <c r="O22" i="17"/>
  <c r="O21" i="17"/>
  <c r="AX22" i="18"/>
  <c r="AX21" i="18"/>
  <c r="G55" i="17"/>
  <c r="G23" i="17"/>
  <c r="G33" i="17"/>
  <c r="G44" i="17"/>
  <c r="AJ34" i="18"/>
  <c r="AJ40" i="18"/>
  <c r="AJ56" i="18"/>
  <c r="AJ62" i="18"/>
  <c r="AJ24" i="18"/>
  <c r="AJ45" i="18"/>
  <c r="AJ51" i="18"/>
  <c r="I55" i="17"/>
  <c r="I23" i="17"/>
  <c r="I33" i="17"/>
  <c r="I44" i="17"/>
  <c r="Z34" i="18"/>
  <c r="Z40" i="18"/>
  <c r="Z56" i="18"/>
  <c r="Z62" i="18"/>
  <c r="Z24" i="18"/>
  <c r="Z45" i="18"/>
  <c r="Z51" i="18"/>
  <c r="F22" i="18"/>
  <c r="F21" i="18"/>
  <c r="W44" i="18"/>
  <c r="W23" i="18"/>
  <c r="W33" i="18"/>
  <c r="W55" i="18"/>
  <c r="T35" i="18"/>
  <c r="T39" i="18"/>
  <c r="AX57" i="19"/>
  <c r="AX61" i="19"/>
  <c r="AW45" i="19"/>
  <c r="AW51" i="19"/>
  <c r="AW56" i="19"/>
  <c r="AW62" i="19"/>
  <c r="AW24" i="19"/>
  <c r="AW34" i="19"/>
  <c r="AW40" i="19"/>
  <c r="AP55" i="19"/>
  <c r="AP33" i="19"/>
  <c r="AP44" i="19"/>
  <c r="AP23" i="19"/>
  <c r="AJ55" i="17"/>
  <c r="AJ23" i="17"/>
  <c r="AJ33" i="17"/>
  <c r="AJ44" i="17"/>
  <c r="P55" i="18"/>
  <c r="P23" i="18"/>
  <c r="P33" i="18"/>
  <c r="P44" i="18"/>
  <c r="AF55" i="19"/>
  <c r="AF33" i="19"/>
  <c r="AF44" i="19"/>
  <c r="AF23" i="19"/>
  <c r="U34" i="19"/>
  <c r="U40" i="19"/>
  <c r="U45" i="19"/>
  <c r="U51" i="19"/>
  <c r="U56" i="19"/>
  <c r="U62" i="19"/>
  <c r="U24" i="19"/>
  <c r="M34" i="19"/>
  <c r="M40" i="19"/>
  <c r="M56" i="19"/>
  <c r="M62" i="19"/>
  <c r="M45" i="19"/>
  <c r="M51" i="19"/>
  <c r="M24" i="19"/>
  <c r="AJ55" i="19"/>
  <c r="AJ33" i="19"/>
  <c r="AJ44" i="19"/>
  <c r="AJ23" i="19"/>
  <c r="T34" i="19"/>
  <c r="T40" i="19"/>
  <c r="T56" i="19"/>
  <c r="T62" i="19"/>
  <c r="T45" i="19"/>
  <c r="T51" i="19"/>
  <c r="T24" i="19"/>
  <c r="L34" i="19"/>
  <c r="L40" i="19"/>
  <c r="L56" i="19"/>
  <c r="L62" i="19"/>
  <c r="L24" i="19"/>
  <c r="L45" i="19"/>
  <c r="L51" i="19"/>
  <c r="AM45" i="19"/>
  <c r="AM51" i="19"/>
  <c r="AM24" i="19"/>
  <c r="AM34" i="19"/>
  <c r="AM40" i="19"/>
  <c r="AM56" i="19"/>
  <c r="AM62" i="19"/>
  <c r="AI45" i="19"/>
  <c r="AI51" i="19"/>
  <c r="AI24" i="19"/>
  <c r="AI34" i="19"/>
  <c r="AI40" i="19"/>
  <c r="AI56" i="19"/>
  <c r="AI62" i="19"/>
  <c r="AY24" i="17"/>
  <c r="AY45" i="17"/>
  <c r="AY51" i="17"/>
  <c r="AY56" i="17"/>
  <c r="AY62" i="17"/>
  <c r="AY34" i="17"/>
  <c r="AY40" i="17"/>
  <c r="AT57" i="17"/>
  <c r="AT61" i="17"/>
  <c r="AS35" i="17"/>
  <c r="AS39" i="17"/>
  <c r="AX24" i="17"/>
  <c r="AX45" i="17"/>
  <c r="AX51" i="17"/>
  <c r="AX56" i="17"/>
  <c r="AX62" i="17"/>
  <c r="AX34" i="17"/>
  <c r="AX40" i="17"/>
  <c r="AI22" i="17"/>
  <c r="AI21" i="17"/>
  <c r="AP33" i="17"/>
  <c r="AP55" i="17"/>
  <c r="AP23" i="17"/>
  <c r="AP44" i="17"/>
  <c r="AJ45" i="17"/>
  <c r="AJ51" i="17"/>
  <c r="AJ56" i="17"/>
  <c r="AJ62" i="17"/>
  <c r="AJ24" i="17"/>
  <c r="AJ34" i="17"/>
  <c r="AJ40" i="17"/>
  <c r="AO33" i="17"/>
  <c r="AO55" i="17"/>
  <c r="AO23" i="17"/>
  <c r="AO44" i="17"/>
  <c r="AH45" i="17"/>
  <c r="AH51" i="17"/>
  <c r="AH56" i="17"/>
  <c r="AH62" i="17"/>
  <c r="AH24" i="17"/>
  <c r="AH34" i="17"/>
  <c r="AH40" i="17"/>
  <c r="Y44" i="17"/>
  <c r="Y23" i="17"/>
  <c r="Y33" i="17"/>
  <c r="Y55" i="17"/>
  <c r="W34" i="17"/>
  <c r="W40" i="17"/>
  <c r="W56" i="17"/>
  <c r="W62" i="17"/>
  <c r="W24" i="17"/>
  <c r="W45" i="17"/>
  <c r="W51" i="17"/>
  <c r="AM45" i="17"/>
  <c r="AM51" i="17"/>
  <c r="AM56" i="17"/>
  <c r="AM62" i="17"/>
  <c r="AM24" i="17"/>
  <c r="AM34" i="17"/>
  <c r="AM40" i="17"/>
  <c r="AE45" i="17"/>
  <c r="AE51" i="17"/>
  <c r="AE56" i="17"/>
  <c r="AE62" i="17"/>
  <c r="AE24" i="17"/>
  <c r="AE34" i="17"/>
  <c r="AE40" i="17"/>
  <c r="D13" i="17"/>
  <c r="Q22" i="17"/>
  <c r="Q21" i="17"/>
  <c r="F22" i="17"/>
  <c r="F21" i="17"/>
  <c r="AP55" i="18"/>
  <c r="AP23" i="18"/>
  <c r="AP33" i="18"/>
  <c r="AP44" i="18"/>
  <c r="M55" i="17"/>
  <c r="M23" i="17"/>
  <c r="M33" i="17"/>
  <c r="M44" i="17"/>
  <c r="K57" i="17"/>
  <c r="K61" i="17"/>
  <c r="AY22" i="18"/>
  <c r="AQ55" i="18"/>
  <c r="AQ23" i="18"/>
  <c r="AQ33" i="18"/>
  <c r="AQ44" i="18"/>
  <c r="AM44" i="18"/>
  <c r="AM23" i="18"/>
  <c r="AM33" i="18"/>
  <c r="AM55" i="18"/>
  <c r="AE44" i="18"/>
  <c r="AE23" i="18"/>
  <c r="AE33" i="18"/>
  <c r="AE55" i="18"/>
  <c r="V57" i="18"/>
  <c r="V62" i="18"/>
  <c r="AB44" i="17"/>
  <c r="AB23" i="17"/>
  <c r="AB33" i="17"/>
  <c r="AB55" i="17"/>
  <c r="AW22" i="18"/>
  <c r="AK22" i="18"/>
  <c r="AC22" i="18"/>
  <c r="AK44" i="18"/>
  <c r="AK23" i="18"/>
  <c r="AK33" i="18"/>
  <c r="AK55" i="18"/>
  <c r="Z44" i="18"/>
  <c r="Z23" i="18"/>
  <c r="Z33" i="18"/>
  <c r="Z55" i="18"/>
  <c r="I22" i="18"/>
  <c r="I21" i="18"/>
  <c r="AR55" i="18"/>
  <c r="AR23" i="18"/>
  <c r="AR33" i="18"/>
  <c r="AR44" i="18"/>
  <c r="W22" i="18"/>
  <c r="G22" i="18"/>
  <c r="G21" i="18"/>
  <c r="Q22" i="18"/>
  <c r="Q21" i="18"/>
  <c r="H55" i="18"/>
  <c r="H23" i="18"/>
  <c r="H33" i="18"/>
  <c r="H44" i="18"/>
  <c r="V35" i="18"/>
  <c r="J55" i="18"/>
  <c r="J23" i="18"/>
  <c r="J33" i="18"/>
  <c r="J44" i="18"/>
  <c r="AW55" i="19"/>
  <c r="AW23" i="19"/>
  <c r="AW33" i="19"/>
  <c r="AW44" i="19"/>
  <c r="AG55" i="19"/>
  <c r="AG33" i="19"/>
  <c r="AG44" i="19"/>
  <c r="AG23" i="19"/>
  <c r="AL44" i="18"/>
  <c r="AL23" i="18"/>
  <c r="AL33" i="18"/>
  <c r="AL55" i="18"/>
  <c r="AT45" i="19"/>
  <c r="AT51" i="19"/>
  <c r="AT24" i="19"/>
  <c r="AT34" i="19"/>
  <c r="AT40" i="19"/>
  <c r="AT56" i="19"/>
  <c r="AT62" i="19"/>
  <c r="AL45" i="19"/>
  <c r="AL51" i="19"/>
  <c r="AL24" i="19"/>
  <c r="AL34" i="19"/>
  <c r="AL40" i="19"/>
  <c r="AL56" i="19"/>
  <c r="AL62" i="19"/>
  <c r="AD45" i="19"/>
  <c r="AD51" i="19"/>
  <c r="AD24" i="19"/>
  <c r="AD34" i="19"/>
  <c r="AD40" i="19"/>
  <c r="AD56" i="19"/>
  <c r="AD62" i="19"/>
  <c r="AN55" i="17"/>
  <c r="AN23" i="17"/>
  <c r="AN33" i="17"/>
  <c r="AN44" i="17"/>
  <c r="U34" i="17"/>
  <c r="U40" i="17"/>
  <c r="U56" i="17"/>
  <c r="U62" i="17"/>
  <c r="U24" i="17"/>
  <c r="U45" i="17"/>
  <c r="U51" i="17"/>
  <c r="AS45" i="19"/>
  <c r="AS51" i="19"/>
  <c r="AS24" i="19"/>
  <c r="AS34" i="19"/>
  <c r="AS40" i="19"/>
  <c r="AS56" i="19"/>
  <c r="AS62" i="19"/>
  <c r="D55" i="18"/>
  <c r="D23" i="18"/>
  <c r="D33" i="18"/>
  <c r="D44" i="18"/>
  <c r="AV45" i="19"/>
  <c r="AV51" i="19"/>
  <c r="AV56" i="19"/>
  <c r="AV62" i="19"/>
  <c r="AV24" i="19"/>
  <c r="AV34" i="19"/>
  <c r="AV40" i="19"/>
  <c r="AN45" i="19"/>
  <c r="AN51" i="19"/>
  <c r="AN24" i="19"/>
  <c r="AN34" i="19"/>
  <c r="AN40" i="19"/>
  <c r="AN56" i="19"/>
  <c r="AN62" i="19"/>
  <c r="Z45" i="19"/>
  <c r="Z51" i="19"/>
  <c r="Z24" i="19"/>
  <c r="Z34" i="19"/>
  <c r="Z40" i="19"/>
  <c r="Z56" i="19"/>
  <c r="Z62" i="19"/>
  <c r="W44" i="19"/>
  <c r="W23" i="19"/>
  <c r="W55" i="19"/>
  <c r="W33" i="19"/>
  <c r="S44" i="19"/>
  <c r="S23" i="19"/>
  <c r="S55" i="19"/>
  <c r="S33" i="19"/>
  <c r="O44" i="19"/>
  <c r="O55" i="19"/>
  <c r="O23" i="19"/>
  <c r="O33" i="19"/>
  <c r="K44" i="19"/>
  <c r="K55" i="19"/>
  <c r="K23" i="19"/>
  <c r="K33" i="19"/>
  <c r="G44" i="19"/>
  <c r="G23" i="19"/>
  <c r="G55" i="19"/>
  <c r="G33" i="19"/>
  <c r="AR45" i="19"/>
  <c r="AR51" i="19"/>
  <c r="AR24" i="19"/>
  <c r="AR34" i="19"/>
  <c r="AR40" i="19"/>
  <c r="AR56" i="19"/>
  <c r="AR62" i="19"/>
  <c r="AB45" i="19"/>
  <c r="AB51" i="19"/>
  <c r="AB24" i="19"/>
  <c r="AB34" i="19"/>
  <c r="AB40" i="19"/>
  <c r="AB56" i="19"/>
  <c r="AB62" i="19"/>
  <c r="V44" i="19"/>
  <c r="V23" i="19"/>
  <c r="V55" i="19"/>
  <c r="V33" i="19"/>
  <c r="R44" i="19"/>
  <c r="R55" i="19"/>
  <c r="R23" i="19"/>
  <c r="R33" i="19"/>
  <c r="N44" i="19"/>
  <c r="N23" i="19"/>
  <c r="N33" i="19"/>
  <c r="N55" i="19"/>
  <c r="J44" i="19"/>
  <c r="J55" i="19"/>
  <c r="J23" i="19"/>
  <c r="J33" i="19"/>
  <c r="F44" i="19"/>
  <c r="F55" i="19"/>
  <c r="F23" i="19"/>
  <c r="F33" i="19"/>
  <c r="D39" i="19"/>
  <c r="D35" i="19"/>
  <c r="AM55" i="19"/>
  <c r="AM33" i="19"/>
  <c r="AM44" i="19"/>
  <c r="AM23" i="19"/>
  <c r="AI55" i="19"/>
  <c r="AI33" i="19"/>
  <c r="AI44" i="19"/>
  <c r="AI23" i="19"/>
  <c r="AW22" i="17"/>
  <c r="AW21" i="17"/>
  <c r="AG22" i="17"/>
  <c r="AG21" i="17"/>
  <c r="AD34" i="17"/>
  <c r="AD40" i="17"/>
  <c r="AD56" i="17"/>
  <c r="AD62" i="17"/>
  <c r="AD24" i="17"/>
  <c r="AD45" i="17"/>
  <c r="AD51" i="17"/>
  <c r="V44" i="17"/>
  <c r="V23" i="17"/>
  <c r="V33" i="17"/>
  <c r="V55" i="17"/>
  <c r="T34" i="17"/>
  <c r="T40" i="17"/>
  <c r="T56" i="17"/>
  <c r="T62" i="17"/>
  <c r="T24" i="17"/>
  <c r="T45" i="17"/>
  <c r="T51" i="17"/>
  <c r="AU55" i="18"/>
  <c r="AU23" i="18"/>
  <c r="AU33" i="18"/>
  <c r="AU44" i="18"/>
  <c r="AA51" i="18"/>
  <c r="AA46" i="18"/>
  <c r="AV55" i="18"/>
  <c r="AV23" i="18"/>
  <c r="AV33" i="18"/>
  <c r="AV44" i="18"/>
  <c r="E30" i="17"/>
  <c r="F27" i="17"/>
  <c r="AR45" i="18"/>
  <c r="AR51" i="18"/>
  <c r="AR56" i="18"/>
  <c r="AR62" i="18"/>
  <c r="AR24" i="18"/>
  <c r="AR34" i="18"/>
  <c r="AR40" i="18"/>
  <c r="AD34" i="18"/>
  <c r="AD40" i="18"/>
  <c r="AD56" i="18"/>
  <c r="AD62" i="18"/>
  <c r="AD24" i="18"/>
  <c r="AD45" i="18"/>
  <c r="AD51" i="18"/>
  <c r="H45" i="18"/>
  <c r="H51" i="18"/>
  <c r="H56" i="18"/>
  <c r="H62" i="18"/>
  <c r="H24" i="18"/>
  <c r="H34" i="18"/>
  <c r="H40" i="18"/>
  <c r="J45" i="18"/>
  <c r="J51" i="18"/>
  <c r="J56" i="18"/>
  <c r="J62" i="18"/>
  <c r="J24" i="18"/>
  <c r="J34" i="18"/>
  <c r="J40" i="18"/>
  <c r="AG45" i="19"/>
  <c r="AG51" i="19"/>
  <c r="AG24" i="19"/>
  <c r="AG34" i="19"/>
  <c r="AG40" i="19"/>
  <c r="AG56" i="19"/>
  <c r="AG62" i="19"/>
  <c r="AH55" i="19"/>
  <c r="AH33" i="19"/>
  <c r="AH44" i="19"/>
  <c r="AH23" i="19"/>
  <c r="E21" i="19"/>
  <c r="E22" i="19"/>
  <c r="F30" i="18"/>
  <c r="G27" i="18"/>
  <c r="AC55" i="19"/>
  <c r="AC33" i="19"/>
  <c r="AC44" i="19"/>
  <c r="AC23" i="19"/>
  <c r="Y44" i="19"/>
  <c r="Y55" i="19"/>
  <c r="Y23" i="19"/>
  <c r="Y33" i="19"/>
  <c r="Q34" i="19"/>
  <c r="Q40" i="19"/>
  <c r="Q45" i="19"/>
  <c r="Q51" i="19"/>
  <c r="Q56" i="19"/>
  <c r="Q62" i="19"/>
  <c r="Q24" i="19"/>
  <c r="I34" i="19"/>
  <c r="I40" i="19"/>
  <c r="I45" i="19"/>
  <c r="I51" i="19"/>
  <c r="I56" i="19"/>
  <c r="I62" i="19"/>
  <c r="I24" i="19"/>
  <c r="X34" i="19"/>
  <c r="X40" i="19"/>
  <c r="X56" i="19"/>
  <c r="X62" i="19"/>
  <c r="X45" i="19"/>
  <c r="X51" i="19"/>
  <c r="X24" i="19"/>
  <c r="P34" i="19"/>
  <c r="P40" i="19"/>
  <c r="P56" i="19"/>
  <c r="P62" i="19"/>
  <c r="P45" i="19"/>
  <c r="P51" i="19"/>
  <c r="P24" i="19"/>
  <c r="H34" i="19"/>
  <c r="H40" i="19"/>
  <c r="H56" i="19"/>
  <c r="H62" i="19"/>
  <c r="H45" i="19"/>
  <c r="H51" i="19"/>
  <c r="H24" i="19"/>
  <c r="AU55" i="19"/>
  <c r="AU23" i="19"/>
  <c r="AU33" i="19"/>
  <c r="AU44" i="19"/>
  <c r="AT15" i="17"/>
  <c r="AS10" i="17"/>
  <c r="AS13" i="17"/>
  <c r="AT14" i="17"/>
  <c r="AT10" i="17"/>
  <c r="AT13" i="17"/>
  <c r="AV22" i="17"/>
  <c r="AV21" i="17"/>
  <c r="AQ22" i="17"/>
  <c r="AQ21" i="17"/>
  <c r="AN45" i="17"/>
  <c r="AN51" i="17"/>
  <c r="AN56" i="17"/>
  <c r="AN62" i="17"/>
  <c r="AN24" i="17"/>
  <c r="AN34" i="17"/>
  <c r="AN40" i="17"/>
  <c r="AR33" i="17"/>
  <c r="AR55" i="17"/>
  <c r="AR23" i="17"/>
  <c r="AR44" i="17"/>
  <c r="AK45" i="17"/>
  <c r="AK51" i="17"/>
  <c r="AK56" i="17"/>
  <c r="AK62" i="17"/>
  <c r="AK24" i="17"/>
  <c r="AK34" i="17"/>
  <c r="AK40" i="17"/>
  <c r="AC44" i="17"/>
  <c r="AC23" i="17"/>
  <c r="AC33" i="17"/>
  <c r="AC55" i="17"/>
  <c r="U44" i="17"/>
  <c r="U23" i="17"/>
  <c r="U33" i="17"/>
  <c r="U55" i="17"/>
  <c r="AA34" i="17"/>
  <c r="AA40" i="17"/>
  <c r="AA56" i="17"/>
  <c r="AA62" i="17"/>
  <c r="AA24" i="17"/>
  <c r="AA45" i="17"/>
  <c r="AA51" i="17"/>
  <c r="S34" i="17"/>
  <c r="S40" i="17"/>
  <c r="S56" i="17"/>
  <c r="S62" i="17"/>
  <c r="S24" i="17"/>
  <c r="S45" i="17"/>
  <c r="S51" i="17"/>
  <c r="AF45" i="17"/>
  <c r="AF51" i="17"/>
  <c r="AF56" i="17"/>
  <c r="AF62" i="17"/>
  <c r="AF24" i="17"/>
  <c r="AF34" i="17"/>
  <c r="AF40" i="17"/>
  <c r="W44" i="17"/>
  <c r="W23" i="17"/>
  <c r="W33" i="17"/>
  <c r="W55" i="17"/>
  <c r="N22" i="17"/>
  <c r="N21" i="17"/>
  <c r="X34" i="17"/>
  <c r="X40" i="17"/>
  <c r="X56" i="17"/>
  <c r="X62" i="17"/>
  <c r="X24" i="17"/>
  <c r="X45" i="17"/>
  <c r="X51" i="17"/>
  <c r="L22" i="17"/>
  <c r="L21" i="17"/>
  <c r="AT55" i="18"/>
  <c r="AT23" i="18"/>
  <c r="AT33" i="18"/>
  <c r="AT44" i="18"/>
  <c r="T44" i="17"/>
  <c r="T23" i="17"/>
  <c r="T33" i="17"/>
  <c r="T55" i="17"/>
  <c r="K35" i="17"/>
  <c r="K39" i="17"/>
  <c r="G45" i="17"/>
  <c r="G51" i="17"/>
  <c r="G56" i="17"/>
  <c r="G62" i="17"/>
  <c r="G24" i="17"/>
  <c r="G34" i="17"/>
  <c r="G40" i="17"/>
  <c r="AU22" i="18"/>
  <c r="AP22" i="18"/>
  <c r="AI44" i="18"/>
  <c r="AI23" i="18"/>
  <c r="AI33" i="18"/>
  <c r="AI55" i="18"/>
  <c r="Y22" i="18"/>
  <c r="U21" i="18"/>
  <c r="U22" i="18"/>
  <c r="I45" i="17"/>
  <c r="I51" i="17"/>
  <c r="I56" i="17"/>
  <c r="I62" i="17"/>
  <c r="I24" i="17"/>
  <c r="I34" i="17"/>
  <c r="I40" i="17"/>
  <c r="AV22" i="18"/>
  <c r="AG22" i="18"/>
  <c r="Y44" i="18"/>
  <c r="Y23" i="18"/>
  <c r="Y33" i="18"/>
  <c r="Y55" i="18"/>
  <c r="AC44" i="18"/>
  <c r="AC23" i="18"/>
  <c r="AC33" i="18"/>
  <c r="AC55" i="18"/>
  <c r="AA57" i="18"/>
  <c r="R22" i="18"/>
  <c r="R21" i="18"/>
  <c r="AH22" i="18"/>
  <c r="P22" i="18"/>
  <c r="AD44" i="18"/>
  <c r="AD23" i="18"/>
  <c r="AD33" i="18"/>
  <c r="AD55" i="18"/>
  <c r="L55" i="18"/>
  <c r="L23" i="18"/>
  <c r="L33" i="18"/>
  <c r="L44" i="18"/>
  <c r="AZ10" i="18"/>
  <c r="D13" i="18"/>
  <c r="AB22" i="18"/>
  <c r="S55" i="18"/>
  <c r="S23" i="18"/>
  <c r="S33" i="18"/>
  <c r="S44" i="18"/>
  <c r="AO55" i="19"/>
  <c r="AO33" i="19"/>
  <c r="AO44" i="19"/>
  <c r="AO23" i="19"/>
  <c r="AS55" i="18"/>
  <c r="AS23" i="18"/>
  <c r="AS33" i="18"/>
  <c r="AS44" i="18"/>
  <c r="O22" i="18"/>
  <c r="AP45" i="19"/>
  <c r="AP51" i="19"/>
  <c r="AP24" i="19"/>
  <c r="AP34" i="19"/>
  <c r="AP40" i="19"/>
  <c r="AP56" i="19"/>
  <c r="AP62" i="19"/>
  <c r="AH45" i="19"/>
  <c r="AH51" i="19"/>
  <c r="AH24" i="19"/>
  <c r="AH34" i="19"/>
  <c r="AH40" i="19"/>
  <c r="AH56" i="19"/>
  <c r="AH62" i="19"/>
  <c r="AL55" i="17"/>
  <c r="AL23" i="17"/>
  <c r="AL33" i="17"/>
  <c r="AL44" i="17"/>
  <c r="D45" i="17"/>
  <c r="D51" i="17"/>
  <c r="D56" i="17"/>
  <c r="D62" i="17"/>
  <c r="D24" i="17"/>
  <c r="D34" i="17"/>
  <c r="D40" i="17"/>
  <c r="AC45" i="19"/>
  <c r="AC51" i="19"/>
  <c r="AC24" i="19"/>
  <c r="AC34" i="19"/>
  <c r="AC40" i="19"/>
  <c r="AC56" i="19"/>
  <c r="AC62" i="19"/>
  <c r="AO44" i="18"/>
  <c r="AO23" i="18"/>
  <c r="AO33" i="18"/>
  <c r="AO55" i="18"/>
  <c r="AK45" i="19"/>
  <c r="AK51" i="19"/>
  <c r="AK24" i="19"/>
  <c r="AK34" i="19"/>
  <c r="AK40" i="19"/>
  <c r="AK56" i="19"/>
  <c r="AK62" i="19"/>
  <c r="AF45" i="19"/>
  <c r="AF51" i="19"/>
  <c r="AF24" i="19"/>
  <c r="AF34" i="19"/>
  <c r="AF40" i="19"/>
  <c r="AF56" i="19"/>
  <c r="AF62" i="19"/>
  <c r="Y24" i="19"/>
  <c r="Y34" i="19"/>
  <c r="Y40" i="19"/>
  <c r="Y56" i="19"/>
  <c r="Y62" i="19"/>
  <c r="Y45" i="19"/>
  <c r="Y51" i="19"/>
  <c r="U44" i="19"/>
  <c r="U23" i="19"/>
  <c r="U55" i="19"/>
  <c r="U33" i="19"/>
  <c r="Q44" i="19"/>
  <c r="Q23" i="19"/>
  <c r="Q55" i="19"/>
  <c r="Q33" i="19"/>
  <c r="M44" i="19"/>
  <c r="M55" i="19"/>
  <c r="M23" i="19"/>
  <c r="M33" i="19"/>
  <c r="I44" i="19"/>
  <c r="I23" i="19"/>
  <c r="I55" i="19"/>
  <c r="I33" i="19"/>
  <c r="AE45" i="19"/>
  <c r="AE51" i="19"/>
  <c r="AE24" i="19"/>
  <c r="AE34" i="19"/>
  <c r="AE40" i="19"/>
  <c r="AE56" i="19"/>
  <c r="AE62" i="19"/>
  <c r="AJ45" i="19"/>
  <c r="AJ51" i="19"/>
  <c r="AJ24" i="19"/>
  <c r="AJ34" i="19"/>
  <c r="AJ40" i="19"/>
  <c r="AJ56" i="19"/>
  <c r="AJ62" i="19"/>
  <c r="X44" i="19"/>
  <c r="X23" i="19"/>
  <c r="X33" i="19"/>
  <c r="X55" i="19"/>
  <c r="T44" i="19"/>
  <c r="T55" i="19"/>
  <c r="T23" i="19"/>
  <c r="T33" i="19"/>
  <c r="P44" i="19"/>
  <c r="P23" i="19"/>
  <c r="P33" i="19"/>
  <c r="P55" i="19"/>
  <c r="L44" i="19"/>
  <c r="L55" i="19"/>
  <c r="L23" i="19"/>
  <c r="L33" i="19"/>
  <c r="H44" i="19"/>
  <c r="H55" i="19"/>
  <c r="H23" i="19"/>
  <c r="H33" i="19"/>
  <c r="G27" i="19"/>
  <c r="F30" i="19"/>
  <c r="D46" i="19"/>
  <c r="D50" i="19"/>
  <c r="AQ55" i="19"/>
  <c r="AQ33" i="19"/>
  <c r="AQ44" i="19"/>
  <c r="AQ23" i="19"/>
  <c r="AA55" i="19"/>
  <c r="AA33" i="19"/>
  <c r="AA44" i="19"/>
  <c r="AA23" i="19"/>
  <c r="AU45" i="19"/>
  <c r="AU51" i="19"/>
  <c r="AU56" i="19"/>
  <c r="AU62" i="19"/>
  <c r="AU24" i="19"/>
  <c r="AU34" i="19"/>
  <c r="AU40" i="19"/>
  <c r="AQ57" i="19"/>
  <c r="AQ61" i="19"/>
  <c r="L46" i="19"/>
  <c r="L50" i="19"/>
  <c r="X46" i="19"/>
  <c r="X50" i="19"/>
  <c r="I46" i="19"/>
  <c r="I50" i="19"/>
  <c r="U46" i="19"/>
  <c r="U50" i="19"/>
  <c r="AB34" i="18"/>
  <c r="AB40" i="18"/>
  <c r="AB56" i="18"/>
  <c r="AB62" i="18"/>
  <c r="AB24" i="18"/>
  <c r="AB45" i="18"/>
  <c r="AB51" i="18"/>
  <c r="AD39" i="18"/>
  <c r="AD35" i="18"/>
  <c r="AC61" i="18"/>
  <c r="AC57" i="18"/>
  <c r="Y50" i="18"/>
  <c r="AR57" i="17"/>
  <c r="AR61" i="17"/>
  <c r="AV33" i="17"/>
  <c r="AV55" i="17"/>
  <c r="AV23" i="17"/>
  <c r="AV44" i="17"/>
  <c r="E44" i="19"/>
  <c r="E23" i="19"/>
  <c r="E33" i="19"/>
  <c r="E55" i="19"/>
  <c r="AZ21" i="19"/>
  <c r="AV39" i="18"/>
  <c r="AU57" i="18"/>
  <c r="AU61" i="18"/>
  <c r="V46" i="17"/>
  <c r="V50" i="17"/>
  <c r="AI35" i="19"/>
  <c r="AI39" i="19"/>
  <c r="F35" i="19"/>
  <c r="F39" i="19"/>
  <c r="N61" i="19"/>
  <c r="N57" i="19"/>
  <c r="V39" i="19"/>
  <c r="V35" i="19"/>
  <c r="G39" i="19"/>
  <c r="G35" i="19"/>
  <c r="O35" i="19"/>
  <c r="O39" i="19"/>
  <c r="AG57" i="19"/>
  <c r="AG61" i="19"/>
  <c r="J57" i="18"/>
  <c r="J61" i="18"/>
  <c r="AR35" i="18"/>
  <c r="AR39" i="18"/>
  <c r="AP61" i="18"/>
  <c r="Y39" i="17"/>
  <c r="Y35" i="17"/>
  <c r="AI45" i="17"/>
  <c r="AI51" i="17"/>
  <c r="AI56" i="17"/>
  <c r="AI62" i="17"/>
  <c r="AI24" i="17"/>
  <c r="AI34" i="17"/>
  <c r="AI40" i="17"/>
  <c r="AJ57" i="17"/>
  <c r="AJ61" i="17"/>
  <c r="AX45" i="18"/>
  <c r="AX51" i="18"/>
  <c r="AX56" i="18"/>
  <c r="AX62" i="18"/>
  <c r="AX24" i="18"/>
  <c r="AX34" i="18"/>
  <c r="AX40" i="18"/>
  <c r="AQ50" i="19"/>
  <c r="AQ46" i="19"/>
  <c r="P35" i="19"/>
  <c r="P39" i="19"/>
  <c r="I61" i="19"/>
  <c r="I57" i="19"/>
  <c r="U61" i="19"/>
  <c r="U57" i="19"/>
  <c r="AL46" i="17"/>
  <c r="AL50" i="17"/>
  <c r="AO35" i="19"/>
  <c r="AO39" i="19"/>
  <c r="L61" i="18"/>
  <c r="AD46" i="18"/>
  <c r="AD50" i="18"/>
  <c r="R45" i="18"/>
  <c r="R51" i="18"/>
  <c r="R56" i="18"/>
  <c r="R62" i="18"/>
  <c r="R24" i="18"/>
  <c r="R34" i="18"/>
  <c r="R40" i="18"/>
  <c r="Y39" i="18"/>
  <c r="AV45" i="18"/>
  <c r="AV51" i="18"/>
  <c r="AV56" i="18"/>
  <c r="AV62" i="18"/>
  <c r="AV24" i="18"/>
  <c r="AV34" i="18"/>
  <c r="AV40" i="18"/>
  <c r="AI61" i="18"/>
  <c r="AI57" i="18"/>
  <c r="AP45" i="18"/>
  <c r="AP51" i="18"/>
  <c r="AP56" i="18"/>
  <c r="AP62" i="18"/>
  <c r="AP24" i="18"/>
  <c r="AP34" i="18"/>
  <c r="AP40" i="18"/>
  <c r="T61" i="17"/>
  <c r="T57" i="17"/>
  <c r="AT50" i="18"/>
  <c r="L55" i="17"/>
  <c r="L23" i="17"/>
  <c r="L33" i="17"/>
  <c r="L44" i="17"/>
  <c r="W61" i="17"/>
  <c r="W57" i="17"/>
  <c r="U61" i="17"/>
  <c r="U57" i="17"/>
  <c r="AC61" i="17"/>
  <c r="AC57" i="17"/>
  <c r="AR50" i="17"/>
  <c r="AR46" i="17"/>
  <c r="AQ33" i="17"/>
  <c r="AQ55" i="17"/>
  <c r="AQ23" i="17"/>
  <c r="AQ44" i="17"/>
  <c r="AU22" i="17"/>
  <c r="AU21" i="17"/>
  <c r="AC50" i="19"/>
  <c r="AC46" i="19"/>
  <c r="AH50" i="19"/>
  <c r="AH46" i="19"/>
  <c r="AV57" i="18"/>
  <c r="AV61" i="18"/>
  <c r="AU39" i="18"/>
  <c r="V39" i="17"/>
  <c r="V35" i="17"/>
  <c r="AG45" i="17"/>
  <c r="AG51" i="17"/>
  <c r="AG56" i="17"/>
  <c r="AG62" i="17"/>
  <c r="AG24" i="17"/>
  <c r="AG34" i="17"/>
  <c r="AG40" i="17"/>
  <c r="F61" i="19"/>
  <c r="F57" i="19"/>
  <c r="J61" i="19"/>
  <c r="J57" i="19"/>
  <c r="R61" i="19"/>
  <c r="R57" i="19"/>
  <c r="K61" i="19"/>
  <c r="K57" i="19"/>
  <c r="O61" i="19"/>
  <c r="O57" i="19"/>
  <c r="AN35" i="17"/>
  <c r="AN39" i="17"/>
  <c r="AL39" i="18"/>
  <c r="AL35" i="18"/>
  <c r="AG50" i="19"/>
  <c r="AG46" i="19"/>
  <c r="AW35" i="19"/>
  <c r="AW39" i="19"/>
  <c r="J35" i="18"/>
  <c r="J39" i="18"/>
  <c r="H46" i="18"/>
  <c r="H50" i="18"/>
  <c r="Q55" i="18"/>
  <c r="Q23" i="18"/>
  <c r="Q33" i="18"/>
  <c r="Q44" i="18"/>
  <c r="W34" i="18"/>
  <c r="W40" i="18"/>
  <c r="W56" i="18"/>
  <c r="W62" i="18"/>
  <c r="W24" i="18"/>
  <c r="W45" i="18"/>
  <c r="W51" i="18"/>
  <c r="AR57" i="18"/>
  <c r="AR61" i="18"/>
  <c r="Z39" i="18"/>
  <c r="Z35" i="18"/>
  <c r="AK39" i="18"/>
  <c r="AK35" i="18"/>
  <c r="AK34" i="18"/>
  <c r="AK40" i="18"/>
  <c r="AK56" i="18"/>
  <c r="AK62" i="18"/>
  <c r="AK24" i="18"/>
  <c r="AK45" i="18"/>
  <c r="AK51" i="18"/>
  <c r="AE61" i="18"/>
  <c r="AE57" i="18"/>
  <c r="AM61" i="18"/>
  <c r="AQ46" i="18"/>
  <c r="AQ50" i="18"/>
  <c r="AY45" i="18"/>
  <c r="AY51" i="18"/>
  <c r="AY56" i="18"/>
  <c r="AY62" i="18"/>
  <c r="AY24" i="18"/>
  <c r="AY34" i="18"/>
  <c r="AY40" i="18"/>
  <c r="M35" i="17"/>
  <c r="M39" i="17"/>
  <c r="AP39" i="18"/>
  <c r="F45" i="17"/>
  <c r="F51" i="17"/>
  <c r="F56" i="17"/>
  <c r="F62" i="17"/>
  <c r="F24" i="17"/>
  <c r="F34" i="17"/>
  <c r="F40" i="17"/>
  <c r="AZ10" i="17"/>
  <c r="Y46" i="17"/>
  <c r="Y50" i="17"/>
  <c r="AO35" i="17"/>
  <c r="AO39" i="17"/>
  <c r="AP35" i="17"/>
  <c r="AP39" i="17"/>
  <c r="AJ50" i="19"/>
  <c r="AJ46" i="19"/>
  <c r="AF50" i="19"/>
  <c r="AF46" i="19"/>
  <c r="P35" i="18"/>
  <c r="P39" i="18"/>
  <c r="AJ35" i="17"/>
  <c r="AJ39" i="17"/>
  <c r="AP50" i="19"/>
  <c r="AP46" i="19"/>
  <c r="W39" i="18"/>
  <c r="W35" i="18"/>
  <c r="F45" i="18"/>
  <c r="F51" i="18"/>
  <c r="F56" i="18"/>
  <c r="F62" i="18"/>
  <c r="F24" i="18"/>
  <c r="F34" i="18"/>
  <c r="F40" i="18"/>
  <c r="I57" i="17"/>
  <c r="I61" i="17"/>
  <c r="G57" i="17"/>
  <c r="G61" i="17"/>
  <c r="O45" i="17"/>
  <c r="O51" i="17"/>
  <c r="O56" i="17"/>
  <c r="O62" i="17"/>
  <c r="O24" i="17"/>
  <c r="O34" i="17"/>
  <c r="O40" i="17"/>
  <c r="AF57" i="17"/>
  <c r="AF61" i="17"/>
  <c r="AB50" i="19"/>
  <c r="AB46" i="19"/>
  <c r="AR50" i="19"/>
  <c r="AR46" i="19"/>
  <c r="Z50" i="19"/>
  <c r="Z46" i="19"/>
  <c r="AN50" i="19"/>
  <c r="AN46" i="19"/>
  <c r="AV35" i="19"/>
  <c r="AV39" i="19"/>
  <c r="D46" i="17"/>
  <c r="D50" i="17"/>
  <c r="AD57" i="19"/>
  <c r="AD61" i="19"/>
  <c r="AL57" i="19"/>
  <c r="AL61" i="19"/>
  <c r="AT57" i="19"/>
  <c r="AT61" i="19"/>
  <c r="AB39" i="18"/>
  <c r="AB35" i="18"/>
  <c r="K55" i="18"/>
  <c r="K23" i="18"/>
  <c r="K33" i="18"/>
  <c r="K44" i="18"/>
  <c r="N55" i="18"/>
  <c r="N23" i="18"/>
  <c r="N33" i="18"/>
  <c r="N44" i="18"/>
  <c r="AF39" i="18"/>
  <c r="AN39" i="18"/>
  <c r="AW39" i="18"/>
  <c r="X39" i="18"/>
  <c r="AN34" i="18"/>
  <c r="AN40" i="18"/>
  <c r="AN56" i="18"/>
  <c r="AN62" i="18"/>
  <c r="AN24" i="18"/>
  <c r="AN45" i="18"/>
  <c r="AN51" i="18"/>
  <c r="AS45" i="18"/>
  <c r="AS51" i="18"/>
  <c r="AS56" i="18"/>
  <c r="AS62" i="18"/>
  <c r="AS24" i="18"/>
  <c r="AS34" i="18"/>
  <c r="AS40" i="18"/>
  <c r="X39" i="17"/>
  <c r="X35" i="17"/>
  <c r="H45" i="17"/>
  <c r="H51" i="17"/>
  <c r="H56" i="17"/>
  <c r="H62" i="17"/>
  <c r="H24" i="17"/>
  <c r="H34" i="17"/>
  <c r="H40" i="17"/>
  <c r="S46" i="17"/>
  <c r="S50" i="17"/>
  <c r="AE57" i="17"/>
  <c r="AE61" i="17"/>
  <c r="AM57" i="17"/>
  <c r="AM61" i="17"/>
  <c r="Z46" i="17"/>
  <c r="Z50" i="17"/>
  <c r="AH57" i="17"/>
  <c r="AH61" i="17"/>
  <c r="AK57" i="17"/>
  <c r="AK61" i="17"/>
  <c r="AY35" i="17"/>
  <c r="AY39" i="17"/>
  <c r="AX35" i="17"/>
  <c r="AX39" i="17"/>
  <c r="AI34" i="18"/>
  <c r="AI40" i="18"/>
  <c r="AI56" i="18"/>
  <c r="AI62" i="18"/>
  <c r="AI24" i="18"/>
  <c r="AI45" i="18"/>
  <c r="AI51" i="18"/>
  <c r="O50" i="18"/>
  <c r="M55" i="18"/>
  <c r="M23" i="18"/>
  <c r="M33" i="18"/>
  <c r="M44" i="18"/>
  <c r="AG61" i="18"/>
  <c r="AJ61" i="18"/>
  <c r="AJ57" i="18"/>
  <c r="P55" i="17"/>
  <c r="P23" i="17"/>
  <c r="P33" i="17"/>
  <c r="P44" i="17"/>
  <c r="AA57" i="19"/>
  <c r="AA61" i="19"/>
  <c r="H46" i="19"/>
  <c r="H50" i="19"/>
  <c r="T46" i="19"/>
  <c r="T50" i="19"/>
  <c r="Q46" i="19"/>
  <c r="Q50" i="19"/>
  <c r="AO46" i="18"/>
  <c r="AO50" i="18"/>
  <c r="AS46" i="18"/>
  <c r="AS50" i="18"/>
  <c r="S50" i="18"/>
  <c r="AH34" i="18"/>
  <c r="AH40" i="18"/>
  <c r="AH56" i="18"/>
  <c r="AH62" i="18"/>
  <c r="AH24" i="18"/>
  <c r="AH45" i="18"/>
  <c r="AH51" i="18"/>
  <c r="U44" i="18"/>
  <c r="U23" i="18"/>
  <c r="U33" i="18"/>
  <c r="U55" i="18"/>
  <c r="N55" i="17"/>
  <c r="N23" i="17"/>
  <c r="N33" i="17"/>
  <c r="N44" i="17"/>
  <c r="AU46" i="19"/>
  <c r="AU50" i="19"/>
  <c r="Y46" i="19"/>
  <c r="Y50" i="19"/>
  <c r="AC57" i="19"/>
  <c r="AC61" i="19"/>
  <c r="AH57" i="19"/>
  <c r="AH61" i="19"/>
  <c r="AW24" i="17"/>
  <c r="AW45" i="17"/>
  <c r="AW51" i="17"/>
  <c r="AW56" i="17"/>
  <c r="AW62" i="17"/>
  <c r="AW34" i="17"/>
  <c r="AW40" i="17"/>
  <c r="AM35" i="19"/>
  <c r="AM39" i="19"/>
  <c r="J35" i="19"/>
  <c r="J39" i="19"/>
  <c r="R35" i="19"/>
  <c r="R39" i="19"/>
  <c r="K39" i="19"/>
  <c r="K35" i="19"/>
  <c r="S39" i="19"/>
  <c r="S35" i="19"/>
  <c r="W39" i="19"/>
  <c r="W35" i="19"/>
  <c r="D46" i="18"/>
  <c r="D50" i="18"/>
  <c r="AN57" i="17"/>
  <c r="AN61" i="17"/>
  <c r="AL50" i="18"/>
  <c r="AW57" i="19"/>
  <c r="AW61" i="19"/>
  <c r="G55" i="18"/>
  <c r="G23" i="18"/>
  <c r="G33" i="18"/>
  <c r="G44" i="18"/>
  <c r="I45" i="18"/>
  <c r="I51" i="18"/>
  <c r="I56" i="18"/>
  <c r="I62" i="18"/>
  <c r="I24" i="18"/>
  <c r="I34" i="18"/>
  <c r="I40" i="18"/>
  <c r="AB61" i="17"/>
  <c r="AB57" i="17"/>
  <c r="M57" i="17"/>
  <c r="M61" i="17"/>
  <c r="P57" i="18"/>
  <c r="P61" i="18"/>
  <c r="AP57" i="19"/>
  <c r="AP61" i="19"/>
  <c r="W46" i="18"/>
  <c r="W50" i="18"/>
  <c r="I35" i="17"/>
  <c r="I39" i="17"/>
  <c r="G35" i="17"/>
  <c r="G39" i="17"/>
  <c r="Z57" i="19"/>
  <c r="Z61" i="19"/>
  <c r="AV57" i="19"/>
  <c r="AV61" i="19"/>
  <c r="AD50" i="19"/>
  <c r="AD46" i="19"/>
  <c r="AT50" i="19"/>
  <c r="AT46" i="19"/>
  <c r="S45" i="18"/>
  <c r="S51" i="18"/>
  <c r="S56" i="18"/>
  <c r="S62" i="18"/>
  <c r="S24" i="18"/>
  <c r="S34" i="18"/>
  <c r="S40" i="18"/>
  <c r="AH61" i="18"/>
  <c r="AH57" i="18"/>
  <c r="AO34" i="18"/>
  <c r="AO40" i="18"/>
  <c r="AO56" i="18"/>
  <c r="AO62" i="18"/>
  <c r="AO24" i="18"/>
  <c r="AO45" i="18"/>
  <c r="AO51" i="18"/>
  <c r="AN46" i="18"/>
  <c r="AN50" i="18"/>
  <c r="AW61" i="18"/>
  <c r="X46" i="18"/>
  <c r="X50" i="18"/>
  <c r="R34" i="17"/>
  <c r="R40" i="17"/>
  <c r="R56" i="17"/>
  <c r="R62" i="17"/>
  <c r="R24" i="17"/>
  <c r="R45" i="17"/>
  <c r="R51" i="17"/>
  <c r="X46" i="17"/>
  <c r="X50" i="17"/>
  <c r="AE35" i="17"/>
  <c r="AE39" i="17"/>
  <c r="Z39" i="17"/>
  <c r="Z35" i="17"/>
  <c r="AH35" i="17"/>
  <c r="AH39" i="17"/>
  <c r="AK35" i="17"/>
  <c r="AK39" i="17"/>
  <c r="AE35" i="19"/>
  <c r="AE39" i="19"/>
  <c r="AA50" i="19"/>
  <c r="AA46" i="19"/>
  <c r="X35" i="19"/>
  <c r="X39" i="19"/>
  <c r="Q61" i="19"/>
  <c r="Q57" i="19"/>
  <c r="AO39" i="18"/>
  <c r="AA35" i="19"/>
  <c r="AA39" i="19"/>
  <c r="AQ35" i="19"/>
  <c r="AQ39" i="19"/>
  <c r="H61" i="19"/>
  <c r="H57" i="19"/>
  <c r="L61" i="19"/>
  <c r="L57" i="19"/>
  <c r="T61" i="19"/>
  <c r="T57" i="19"/>
  <c r="M61" i="19"/>
  <c r="M57" i="19"/>
  <c r="AL35" i="17"/>
  <c r="AL39" i="17"/>
  <c r="O45" i="18"/>
  <c r="O51" i="18"/>
  <c r="O56" i="18"/>
  <c r="O62" i="18"/>
  <c r="O24" i="18"/>
  <c r="O34" i="18"/>
  <c r="O40" i="18"/>
  <c r="AS57" i="18"/>
  <c r="AS61" i="18"/>
  <c r="AO57" i="19"/>
  <c r="AO61" i="19"/>
  <c r="S57" i="18"/>
  <c r="S61" i="18"/>
  <c r="L50" i="18"/>
  <c r="AD61" i="18"/>
  <c r="AD57" i="18"/>
  <c r="P45" i="18"/>
  <c r="P51" i="18"/>
  <c r="P56" i="18"/>
  <c r="P62" i="18"/>
  <c r="P24" i="18"/>
  <c r="P34" i="18"/>
  <c r="P40" i="18"/>
  <c r="AC50" i="18"/>
  <c r="U34" i="18"/>
  <c r="U40" i="18"/>
  <c r="U56" i="18"/>
  <c r="U62" i="18"/>
  <c r="U24" i="18"/>
  <c r="U45" i="18"/>
  <c r="U51" i="18"/>
  <c r="AI39" i="18"/>
  <c r="AU45" i="18"/>
  <c r="AU51" i="18"/>
  <c r="AU56" i="18"/>
  <c r="AU62" i="18"/>
  <c r="AU24" i="18"/>
  <c r="AU34" i="18"/>
  <c r="AU40" i="18"/>
  <c r="T39" i="17"/>
  <c r="T35" i="17"/>
  <c r="AT35" i="18"/>
  <c r="AT39" i="18"/>
  <c r="L45" i="17"/>
  <c r="L51" i="17"/>
  <c r="L56" i="17"/>
  <c r="L62" i="17"/>
  <c r="L24" i="17"/>
  <c r="L34" i="17"/>
  <c r="L40" i="17"/>
  <c r="W39" i="17"/>
  <c r="W35" i="17"/>
  <c r="U39" i="17"/>
  <c r="U35" i="17"/>
  <c r="AC39" i="17"/>
  <c r="AC35" i="17"/>
  <c r="AQ24" i="17"/>
  <c r="AQ45" i="17"/>
  <c r="AQ51" i="17"/>
  <c r="AQ56" i="17"/>
  <c r="AQ62" i="17"/>
  <c r="AQ34" i="17"/>
  <c r="AQ40" i="17"/>
  <c r="AU57" i="19"/>
  <c r="AU61" i="19"/>
  <c r="Y61" i="19"/>
  <c r="Y57" i="19"/>
  <c r="AC35" i="19"/>
  <c r="AC39" i="19"/>
  <c r="E34" i="19"/>
  <c r="E40" i="19"/>
  <c r="E56" i="19"/>
  <c r="E62" i="19"/>
  <c r="E45" i="19"/>
  <c r="E51" i="19"/>
  <c r="E24" i="19"/>
  <c r="AZ22" i="19"/>
  <c r="AH35" i="19"/>
  <c r="AH39" i="19"/>
  <c r="AV46" i="18"/>
  <c r="AV50" i="18"/>
  <c r="AW33" i="17"/>
  <c r="AW55" i="17"/>
  <c r="AW23" i="17"/>
  <c r="AW44" i="17"/>
  <c r="AI50" i="19"/>
  <c r="AI46" i="19"/>
  <c r="AM50" i="19"/>
  <c r="AM46" i="19"/>
  <c r="F46" i="19"/>
  <c r="F50" i="19"/>
  <c r="J46" i="19"/>
  <c r="J50" i="19"/>
  <c r="N46" i="19"/>
  <c r="N50" i="19"/>
  <c r="R46" i="19"/>
  <c r="R50" i="19"/>
  <c r="V46" i="19"/>
  <c r="V50" i="19"/>
  <c r="G46" i="19"/>
  <c r="G50" i="19"/>
  <c r="K46" i="19"/>
  <c r="K50" i="19"/>
  <c r="O46" i="19"/>
  <c r="O50" i="19"/>
  <c r="S46" i="19"/>
  <c r="S50" i="19"/>
  <c r="W46" i="19"/>
  <c r="W50" i="19"/>
  <c r="D61" i="18"/>
  <c r="AG35" i="19"/>
  <c r="AG39" i="19"/>
  <c r="H35" i="18"/>
  <c r="H39" i="18"/>
  <c r="Q45" i="18"/>
  <c r="Q51" i="18"/>
  <c r="Q56" i="18"/>
  <c r="Q62" i="18"/>
  <c r="Q24" i="18"/>
  <c r="Q34" i="18"/>
  <c r="Q40" i="18"/>
  <c r="AR46" i="18"/>
  <c r="AR50" i="18"/>
  <c r="I55" i="18"/>
  <c r="I23" i="18"/>
  <c r="I33" i="18"/>
  <c r="I44" i="18"/>
  <c r="AW45" i="18"/>
  <c r="AW51" i="18"/>
  <c r="AW56" i="18"/>
  <c r="AW62" i="18"/>
  <c r="AW24" i="18"/>
  <c r="AW34" i="18"/>
  <c r="AW40" i="18"/>
  <c r="AB46" i="17"/>
  <c r="AB50" i="17"/>
  <c r="AE39" i="18"/>
  <c r="AE35" i="18"/>
  <c r="AM39" i="18"/>
  <c r="AM35" i="18"/>
  <c r="AQ35" i="18"/>
  <c r="AQ39" i="18"/>
  <c r="Q55" i="17"/>
  <c r="Q23" i="17"/>
  <c r="Q33" i="17"/>
  <c r="Q44" i="17"/>
  <c r="Y61" i="17"/>
  <c r="Y57" i="17"/>
  <c r="AO50" i="17"/>
  <c r="AO46" i="17"/>
  <c r="AP50" i="17"/>
  <c r="AP46" i="17"/>
  <c r="AI55" i="17"/>
  <c r="AI23" i="17"/>
  <c r="AI33" i="17"/>
  <c r="AI44" i="17"/>
  <c r="AJ35" i="19"/>
  <c r="AJ39" i="19"/>
  <c r="AF35" i="19"/>
  <c r="AF39" i="19"/>
  <c r="AP35" i="19"/>
  <c r="AP39" i="19"/>
  <c r="I46" i="17"/>
  <c r="I50" i="17"/>
  <c r="G46" i="17"/>
  <c r="G50" i="17"/>
  <c r="AX55" i="18"/>
  <c r="AX23" i="18"/>
  <c r="AX33" i="18"/>
  <c r="AX44" i="18"/>
  <c r="AF46" i="17"/>
  <c r="AF50" i="17"/>
  <c r="AB35" i="19"/>
  <c r="AB39" i="19"/>
  <c r="AR35" i="19"/>
  <c r="AR39" i="19"/>
  <c r="Z35" i="19"/>
  <c r="Z39" i="19"/>
  <c r="AN35" i="19"/>
  <c r="AN39" i="19"/>
  <c r="AS50" i="19"/>
  <c r="AS46" i="19"/>
  <c r="D35" i="17"/>
  <c r="D39" i="17"/>
  <c r="AL34" i="18"/>
  <c r="AL40" i="18"/>
  <c r="AL56" i="18"/>
  <c r="AL62" i="18"/>
  <c r="AL24" i="18"/>
  <c r="AL45" i="18"/>
  <c r="AL51" i="18"/>
  <c r="L45" i="18"/>
  <c r="L51" i="18"/>
  <c r="L56" i="18"/>
  <c r="L62" i="18"/>
  <c r="L24" i="18"/>
  <c r="L34" i="18"/>
  <c r="L40" i="18"/>
  <c r="K45" i="18"/>
  <c r="K51" i="18"/>
  <c r="K56" i="18"/>
  <c r="K62" i="18"/>
  <c r="K24" i="18"/>
  <c r="K34" i="18"/>
  <c r="K40" i="18"/>
  <c r="AH46" i="18"/>
  <c r="AH50" i="18"/>
  <c r="N45" i="18"/>
  <c r="N51" i="18"/>
  <c r="N56" i="18"/>
  <c r="N62" i="18"/>
  <c r="N24" i="18"/>
  <c r="N34" i="18"/>
  <c r="N40" i="18"/>
  <c r="AT45" i="18"/>
  <c r="AT51" i="18"/>
  <c r="AT56" i="18"/>
  <c r="AT62" i="18"/>
  <c r="AT24" i="18"/>
  <c r="AT34" i="18"/>
  <c r="AT40" i="18"/>
  <c r="AY57" i="18"/>
  <c r="AY61" i="18"/>
  <c r="J55" i="17"/>
  <c r="J23" i="17"/>
  <c r="J33" i="17"/>
  <c r="J44" i="17"/>
  <c r="S61" i="17"/>
  <c r="S57" i="17"/>
  <c r="AE46" i="17"/>
  <c r="AE50" i="17"/>
  <c r="AM46" i="17"/>
  <c r="AM50" i="17"/>
  <c r="Z61" i="17"/>
  <c r="Z57" i="17"/>
  <c r="AH46" i="17"/>
  <c r="AH50" i="17"/>
  <c r="AK46" i="17"/>
  <c r="AK50" i="17"/>
  <c r="AY50" i="17"/>
  <c r="AY46" i="17"/>
  <c r="AX50" i="17"/>
  <c r="AX46" i="17"/>
  <c r="AE34" i="18"/>
  <c r="AE40" i="18"/>
  <c r="AE56" i="18"/>
  <c r="AE62" i="18"/>
  <c r="AE24" i="18"/>
  <c r="AE45" i="18"/>
  <c r="AE51" i="18"/>
  <c r="AE50" i="19"/>
  <c r="AE46" i="19"/>
  <c r="AK50" i="19"/>
  <c r="AK46" i="19"/>
  <c r="O35" i="18"/>
  <c r="O39" i="18"/>
  <c r="M45" i="18"/>
  <c r="M51" i="18"/>
  <c r="M56" i="18"/>
  <c r="M62" i="18"/>
  <c r="M24" i="18"/>
  <c r="M34" i="18"/>
  <c r="M40" i="18"/>
  <c r="AG39" i="18"/>
  <c r="AG35" i="18"/>
  <c r="AJ39" i="18"/>
  <c r="AJ35" i="18"/>
  <c r="P45" i="17"/>
  <c r="P51" i="17"/>
  <c r="P56" i="17"/>
  <c r="P62" i="17"/>
  <c r="P24" i="17"/>
  <c r="P34" i="17"/>
  <c r="P40" i="17"/>
  <c r="AA46" i="17"/>
  <c r="AA50" i="17"/>
  <c r="AD46" i="17"/>
  <c r="AD50" i="17"/>
  <c r="H27" i="19"/>
  <c r="G30" i="19"/>
  <c r="P46" i="19"/>
  <c r="P50" i="19"/>
  <c r="M46" i="19"/>
  <c r="M50" i="19"/>
  <c r="L39" i="18"/>
  <c r="Z46" i="18"/>
  <c r="Z50" i="18"/>
  <c r="AK46" i="18"/>
  <c r="AK50" i="18"/>
  <c r="Q45" i="17"/>
  <c r="Q51" i="17"/>
  <c r="Q56" i="17"/>
  <c r="Q62" i="17"/>
  <c r="Q24" i="17"/>
  <c r="Q34" i="17"/>
  <c r="Q40" i="17"/>
  <c r="AJ57" i="19"/>
  <c r="AJ61" i="19"/>
  <c r="AF57" i="19"/>
  <c r="AF61" i="19"/>
  <c r="AF35" i="17"/>
  <c r="AF39" i="17"/>
  <c r="AB57" i="19"/>
  <c r="AB61" i="19"/>
  <c r="AR57" i="19"/>
  <c r="AR61" i="19"/>
  <c r="AN57" i="19"/>
  <c r="AN61" i="19"/>
  <c r="AS35" i="19"/>
  <c r="AS39" i="19"/>
  <c r="AL50" i="19"/>
  <c r="AL46" i="19"/>
  <c r="AB46" i="18"/>
  <c r="AB50" i="18"/>
  <c r="AY55" i="19"/>
  <c r="AY23" i="19"/>
  <c r="AY33" i="19"/>
  <c r="AY44" i="19"/>
  <c r="AF50" i="18"/>
  <c r="AY46" i="18"/>
  <c r="AY50" i="18"/>
  <c r="J45" i="17"/>
  <c r="J51" i="17"/>
  <c r="J56" i="17"/>
  <c r="J62" i="17"/>
  <c r="J24" i="17"/>
  <c r="J34" i="17"/>
  <c r="J40" i="17"/>
  <c r="S39" i="17"/>
  <c r="S35" i="17"/>
  <c r="AM35" i="17"/>
  <c r="AM39" i="17"/>
  <c r="AM34" i="18"/>
  <c r="AM40" i="18"/>
  <c r="AM56" i="18"/>
  <c r="AM62" i="18"/>
  <c r="AM24" i="18"/>
  <c r="AM45" i="18"/>
  <c r="AM51" i="18"/>
  <c r="AK35" i="19"/>
  <c r="AK39" i="19"/>
  <c r="AA61" i="17"/>
  <c r="AA57" i="17"/>
  <c r="AD61" i="17"/>
  <c r="AD57" i="17"/>
  <c r="H35" i="19"/>
  <c r="H39" i="19"/>
  <c r="L35" i="19"/>
  <c r="L39" i="19"/>
  <c r="P61" i="19"/>
  <c r="P57" i="19"/>
  <c r="T35" i="19"/>
  <c r="T39" i="19"/>
  <c r="X61" i="19"/>
  <c r="X57" i="19"/>
  <c r="I39" i="19"/>
  <c r="I35" i="19"/>
  <c r="M39" i="19"/>
  <c r="M35" i="19"/>
  <c r="Q39" i="19"/>
  <c r="Q35" i="19"/>
  <c r="U39" i="19"/>
  <c r="U35" i="19"/>
  <c r="AO61" i="18"/>
  <c r="AO57" i="18"/>
  <c r="AL57" i="17"/>
  <c r="AL61" i="17"/>
  <c r="AS35" i="18"/>
  <c r="AS39" i="18"/>
  <c r="AO50" i="19"/>
  <c r="AO46" i="19"/>
  <c r="S35" i="18"/>
  <c r="S39" i="18"/>
  <c r="E22" i="18"/>
  <c r="E21" i="18"/>
  <c r="R55" i="18"/>
  <c r="R23" i="18"/>
  <c r="R33" i="18"/>
  <c r="R44" i="18"/>
  <c r="AC39" i="18"/>
  <c r="Y61" i="18"/>
  <c r="Y57" i="18"/>
  <c r="AG34" i="18"/>
  <c r="AG40" i="18"/>
  <c r="AG56" i="18"/>
  <c r="AG62" i="18"/>
  <c r="AG24" i="18"/>
  <c r="AG45" i="18"/>
  <c r="AG51" i="18"/>
  <c r="Y34" i="18"/>
  <c r="Y40" i="18"/>
  <c r="Y56" i="18"/>
  <c r="Y62" i="18"/>
  <c r="Y24" i="18"/>
  <c r="Y45" i="18"/>
  <c r="Y51" i="18"/>
  <c r="AI46" i="18"/>
  <c r="AI50" i="18"/>
  <c r="T46" i="17"/>
  <c r="T50" i="17"/>
  <c r="AT61" i="18"/>
  <c r="N45" i="17"/>
  <c r="N51" i="17"/>
  <c r="N56" i="17"/>
  <c r="N62" i="17"/>
  <c r="N24" i="17"/>
  <c r="N34" i="17"/>
  <c r="N40" i="17"/>
  <c r="W46" i="17"/>
  <c r="W50" i="17"/>
  <c r="U46" i="17"/>
  <c r="U50" i="17"/>
  <c r="AC46" i="17"/>
  <c r="AC50" i="17"/>
  <c r="AR35" i="17"/>
  <c r="AR39" i="17"/>
  <c r="AV24" i="17"/>
  <c r="AV45" i="17"/>
  <c r="AV51" i="17"/>
  <c r="AV56" i="17"/>
  <c r="AV62" i="17"/>
  <c r="AV34" i="17"/>
  <c r="AV40" i="17"/>
  <c r="AU35" i="19"/>
  <c r="AU39" i="19"/>
  <c r="Y39" i="19"/>
  <c r="Y35" i="19"/>
  <c r="G30" i="18"/>
  <c r="H27" i="18"/>
  <c r="F30" i="17"/>
  <c r="G27" i="17"/>
  <c r="AU46" i="18"/>
  <c r="AU50" i="18"/>
  <c r="V61" i="17"/>
  <c r="V57" i="17"/>
  <c r="AG55" i="17"/>
  <c r="AG23" i="17"/>
  <c r="AG33" i="17"/>
  <c r="AG44" i="17"/>
  <c r="AI57" i="19"/>
  <c r="AI61" i="19"/>
  <c r="AM57" i="19"/>
  <c r="AM61" i="19"/>
  <c r="N39" i="19"/>
  <c r="N35" i="19"/>
  <c r="V61" i="19"/>
  <c r="V57" i="19"/>
  <c r="G61" i="19"/>
  <c r="G57" i="19"/>
  <c r="S61" i="19"/>
  <c r="S57" i="19"/>
  <c r="W61" i="19"/>
  <c r="W57" i="19"/>
  <c r="D39" i="18"/>
  <c r="AN46" i="17"/>
  <c r="AN50" i="17"/>
  <c r="AL61" i="18"/>
  <c r="AL57" i="18"/>
  <c r="AW46" i="19"/>
  <c r="AW50" i="19"/>
  <c r="J46" i="18"/>
  <c r="J50" i="18"/>
  <c r="H57" i="18"/>
  <c r="H61" i="18"/>
  <c r="G45" i="18"/>
  <c r="G51" i="18"/>
  <c r="G56" i="18"/>
  <c r="G62" i="18"/>
  <c r="G24" i="18"/>
  <c r="G34" i="18"/>
  <c r="G40" i="18"/>
  <c r="Z61" i="18"/>
  <c r="Z57" i="18"/>
  <c r="AK61" i="18"/>
  <c r="AC34" i="18"/>
  <c r="AC40" i="18"/>
  <c r="AC56" i="18"/>
  <c r="AC62" i="18"/>
  <c r="AC24" i="18"/>
  <c r="AC45" i="18"/>
  <c r="AC51" i="18"/>
  <c r="AB39" i="17"/>
  <c r="AB35" i="17"/>
  <c r="AE46" i="18"/>
  <c r="AE50" i="18"/>
  <c r="AM46" i="18"/>
  <c r="AM50" i="18"/>
  <c r="AQ57" i="18"/>
  <c r="AQ61" i="18"/>
  <c r="M46" i="17"/>
  <c r="M50" i="17"/>
  <c r="AP46" i="18"/>
  <c r="AP50" i="18"/>
  <c r="F55" i="17"/>
  <c r="F23" i="17"/>
  <c r="F33" i="17"/>
  <c r="F44" i="17"/>
  <c r="E22" i="17"/>
  <c r="E21" i="17"/>
  <c r="AO57" i="17"/>
  <c r="AO61" i="17"/>
  <c r="AP57" i="17"/>
  <c r="AP61" i="17"/>
  <c r="P46" i="18"/>
  <c r="P50" i="18"/>
  <c r="AJ46" i="17"/>
  <c r="AJ50" i="17"/>
  <c r="W61" i="18"/>
  <c r="W57" i="18"/>
  <c r="F55" i="18"/>
  <c r="F23" i="18"/>
  <c r="F33" i="18"/>
  <c r="F44" i="18"/>
  <c r="O55" i="17"/>
  <c r="O23" i="17"/>
  <c r="O33" i="17"/>
  <c r="O44" i="17"/>
  <c r="AV46" i="19"/>
  <c r="AV50" i="19"/>
  <c r="AS57" i="19"/>
  <c r="AS61" i="19"/>
  <c r="D57" i="17"/>
  <c r="D61" i="17"/>
  <c r="AD35" i="19"/>
  <c r="AD39" i="19"/>
  <c r="AL35" i="19"/>
  <c r="AL39" i="19"/>
  <c r="AT35" i="19"/>
  <c r="AT39" i="19"/>
  <c r="AB61" i="18"/>
  <c r="AB57" i="18"/>
  <c r="AH39" i="18"/>
  <c r="AY45" i="19"/>
  <c r="AY51" i="19"/>
  <c r="AY56" i="19"/>
  <c r="AY62" i="19"/>
  <c r="AY24" i="19"/>
  <c r="AY34" i="19"/>
  <c r="AY40" i="19"/>
  <c r="AF61" i="18"/>
  <c r="AN61" i="18"/>
  <c r="AN57" i="18"/>
  <c r="AW46" i="18"/>
  <c r="AW50" i="18"/>
  <c r="X61" i="18"/>
  <c r="AF34" i="18"/>
  <c r="AF40" i="18"/>
  <c r="AF56" i="18"/>
  <c r="AF62" i="18"/>
  <c r="AF24" i="18"/>
  <c r="AF45" i="18"/>
  <c r="AF51" i="18"/>
  <c r="AY39" i="18"/>
  <c r="R44" i="17"/>
  <c r="R23" i="17"/>
  <c r="R33" i="17"/>
  <c r="R55" i="17"/>
  <c r="X61" i="17"/>
  <c r="X57" i="17"/>
  <c r="H55" i="17"/>
  <c r="H23" i="17"/>
  <c r="H33" i="17"/>
  <c r="H44" i="17"/>
  <c r="AY57" i="17"/>
  <c r="AY61" i="17"/>
  <c r="AX57" i="17"/>
  <c r="AX61" i="17"/>
  <c r="X34" i="18"/>
  <c r="X40" i="18"/>
  <c r="X56" i="18"/>
  <c r="X62" i="18"/>
  <c r="X24" i="18"/>
  <c r="X45" i="18"/>
  <c r="X51" i="18"/>
  <c r="D45" i="18"/>
  <c r="D51" i="18"/>
  <c r="D56" i="18"/>
  <c r="D62" i="18"/>
  <c r="D24" i="18"/>
  <c r="D34" i="18"/>
  <c r="D40" i="18"/>
  <c r="AE57" i="19"/>
  <c r="AE61" i="19"/>
  <c r="AK57" i="19"/>
  <c r="AK61" i="19"/>
  <c r="O57" i="18"/>
  <c r="O61" i="18"/>
  <c r="AG46" i="18"/>
  <c r="AG50" i="18"/>
  <c r="AJ46" i="18"/>
  <c r="AJ50" i="18"/>
  <c r="AA39" i="17"/>
  <c r="AA35" i="17"/>
  <c r="AD39" i="17"/>
  <c r="AD35" i="17"/>
  <c r="F35" i="17"/>
  <c r="F39" i="17"/>
  <c r="R35" i="18"/>
  <c r="R39" i="18"/>
  <c r="AW57" i="17"/>
  <c r="AW61" i="17"/>
  <c r="R39" i="17"/>
  <c r="R35" i="17"/>
  <c r="F57" i="18"/>
  <c r="F61" i="18"/>
  <c r="F57" i="17"/>
  <c r="F61" i="17"/>
  <c r="R57" i="18"/>
  <c r="R61" i="18"/>
  <c r="AF46" i="18"/>
  <c r="AY57" i="19"/>
  <c r="AY61" i="19"/>
  <c r="AX46" i="18"/>
  <c r="AX50" i="18"/>
  <c r="Q46" i="17"/>
  <c r="Q50" i="17"/>
  <c r="I46" i="18"/>
  <c r="I50" i="18"/>
  <c r="AW50" i="17"/>
  <c r="AW46" i="17"/>
  <c r="AC46" i="18"/>
  <c r="L46" i="18"/>
  <c r="AW57" i="18"/>
  <c r="G35" i="18"/>
  <c r="G39" i="18"/>
  <c r="N35" i="17"/>
  <c r="N39" i="17"/>
  <c r="U39" i="18"/>
  <c r="U35" i="18"/>
  <c r="S46" i="18"/>
  <c r="P57" i="17"/>
  <c r="P61" i="17"/>
  <c r="M57" i="18"/>
  <c r="M61" i="18"/>
  <c r="AW35" i="18"/>
  <c r="N57" i="18"/>
  <c r="N61" i="18"/>
  <c r="K57" i="18"/>
  <c r="K61" i="18"/>
  <c r="AM57" i="18"/>
  <c r="AU35" i="18"/>
  <c r="AU33" i="17"/>
  <c r="AU55" i="17"/>
  <c r="AU23" i="17"/>
  <c r="AU44" i="17"/>
  <c r="AQ57" i="17"/>
  <c r="AQ61" i="17"/>
  <c r="Y35" i="18"/>
  <c r="AP57" i="18"/>
  <c r="AV35" i="18"/>
  <c r="AZ23" i="19"/>
  <c r="AV57" i="17"/>
  <c r="AV61" i="17"/>
  <c r="H35" i="17"/>
  <c r="H39" i="17"/>
  <c r="O35" i="17"/>
  <c r="O39" i="17"/>
  <c r="E45" i="18"/>
  <c r="E51" i="18"/>
  <c r="E56" i="18"/>
  <c r="E62" i="18"/>
  <c r="E24" i="18"/>
  <c r="E34" i="18"/>
  <c r="E40" i="18"/>
  <c r="AI46" i="17"/>
  <c r="AI50" i="17"/>
  <c r="G57" i="18"/>
  <c r="G61" i="18"/>
  <c r="AZ22" i="18"/>
  <c r="H57" i="17"/>
  <c r="H61" i="17"/>
  <c r="AY35" i="18"/>
  <c r="O57" i="17"/>
  <c r="O61" i="17"/>
  <c r="E45" i="17"/>
  <c r="E51" i="17"/>
  <c r="E56" i="17"/>
  <c r="E62" i="17"/>
  <c r="E24" i="17"/>
  <c r="AZ24" i="17"/>
  <c r="E34" i="17"/>
  <c r="E40" i="17"/>
  <c r="AZ22" i="17"/>
  <c r="D35" i="18"/>
  <c r="AG35" i="17"/>
  <c r="AG39" i="17"/>
  <c r="AT57" i="18"/>
  <c r="AZ24" i="18"/>
  <c r="H46" i="17"/>
  <c r="H50" i="17"/>
  <c r="X57" i="18"/>
  <c r="AH35" i="18"/>
  <c r="O46" i="17"/>
  <c r="O50" i="17"/>
  <c r="F46" i="18"/>
  <c r="F50" i="18"/>
  <c r="F46" i="17"/>
  <c r="F50" i="17"/>
  <c r="AK57" i="18"/>
  <c r="H30" i="18"/>
  <c r="I27" i="18"/>
  <c r="R46" i="18"/>
  <c r="R50" i="18"/>
  <c r="E55" i="18"/>
  <c r="E23" i="18"/>
  <c r="AZ23" i="18"/>
  <c r="E33" i="18"/>
  <c r="E44" i="18"/>
  <c r="AZ21" i="18"/>
  <c r="AY46" i="19"/>
  <c r="AY50" i="19"/>
  <c r="L35" i="18"/>
  <c r="J57" i="17"/>
  <c r="J61" i="17"/>
  <c r="AX35" i="18"/>
  <c r="AX39" i="18"/>
  <c r="AI57" i="17"/>
  <c r="AI61" i="17"/>
  <c r="Q35" i="17"/>
  <c r="Q39" i="17"/>
  <c r="I35" i="18"/>
  <c r="I39" i="18"/>
  <c r="AZ24" i="19"/>
  <c r="AI35" i="18"/>
  <c r="AO35" i="18"/>
  <c r="P46" i="17"/>
  <c r="P50" i="17"/>
  <c r="M46" i="18"/>
  <c r="M50" i="18"/>
  <c r="X35" i="18"/>
  <c r="AN35" i="18"/>
  <c r="N46" i="18"/>
  <c r="N50" i="18"/>
  <c r="K46" i="18"/>
  <c r="K50" i="18"/>
  <c r="Q57" i="18"/>
  <c r="Q61" i="18"/>
  <c r="AU24" i="17"/>
  <c r="AU45" i="17"/>
  <c r="AU51" i="17"/>
  <c r="AU56" i="17"/>
  <c r="AU62" i="17"/>
  <c r="AU34" i="17"/>
  <c r="AU40" i="17"/>
  <c r="AQ35" i="17"/>
  <c r="AQ39" i="17"/>
  <c r="L57" i="17"/>
  <c r="L61" i="17"/>
  <c r="L57" i="18"/>
  <c r="E46" i="19"/>
  <c r="E50" i="19"/>
  <c r="AV35" i="17"/>
  <c r="AV39" i="17"/>
  <c r="Y46" i="18"/>
  <c r="R46" i="17"/>
  <c r="R50" i="17"/>
  <c r="F35" i="18"/>
  <c r="F39" i="18"/>
  <c r="AG57" i="17"/>
  <c r="AG61" i="17"/>
  <c r="AY35" i="19"/>
  <c r="AY39" i="19"/>
  <c r="J46" i="17"/>
  <c r="J50" i="17"/>
  <c r="AL46" i="18"/>
  <c r="N57" i="17"/>
  <c r="N61" i="17"/>
  <c r="U46" i="18"/>
  <c r="U50" i="18"/>
  <c r="P35" i="17"/>
  <c r="P39" i="17"/>
  <c r="M35" i="18"/>
  <c r="M39" i="18"/>
  <c r="O46" i="18"/>
  <c r="N35" i="18"/>
  <c r="N39" i="18"/>
  <c r="K35" i="18"/>
  <c r="K39" i="18"/>
  <c r="Q46" i="18"/>
  <c r="Q50" i="18"/>
  <c r="AQ50" i="17"/>
  <c r="AQ46" i="17"/>
  <c r="L46" i="17"/>
  <c r="L50" i="17"/>
  <c r="E61" i="19"/>
  <c r="E57" i="19"/>
  <c r="AV50" i="17"/>
  <c r="AV46" i="17"/>
  <c r="R61" i="17"/>
  <c r="R57" i="17"/>
  <c r="AF57" i="18"/>
  <c r="E55" i="17"/>
  <c r="E23" i="17"/>
  <c r="AZ23" i="17"/>
  <c r="E33" i="17"/>
  <c r="E44" i="17"/>
  <c r="AZ21" i="17"/>
  <c r="AG46" i="17"/>
  <c r="AG50" i="17"/>
  <c r="G30" i="17"/>
  <c r="H27" i="17"/>
  <c r="AC35" i="18"/>
  <c r="I27" i="19"/>
  <c r="H30" i="19"/>
  <c r="J35" i="17"/>
  <c r="J39" i="17"/>
  <c r="AX57" i="18"/>
  <c r="AX61" i="18"/>
  <c r="AI35" i="17"/>
  <c r="AI39" i="17"/>
  <c r="Q57" i="17"/>
  <c r="Q61" i="17"/>
  <c r="I57" i="18"/>
  <c r="I61" i="18"/>
  <c r="D57" i="18"/>
  <c r="AW35" i="17"/>
  <c r="AW39" i="17"/>
  <c r="G46" i="18"/>
  <c r="G50" i="18"/>
  <c r="N46" i="17"/>
  <c r="N50" i="17"/>
  <c r="U61" i="18"/>
  <c r="U57" i="18"/>
  <c r="AG57" i="18"/>
  <c r="AF35" i="18"/>
  <c r="AP35" i="18"/>
  <c r="Q35" i="18"/>
  <c r="Q39" i="18"/>
  <c r="L35" i="17"/>
  <c r="L39" i="17"/>
  <c r="AT46" i="18"/>
  <c r="E35" i="19"/>
  <c r="E39" i="19"/>
  <c r="E46" i="17"/>
  <c r="E50" i="17"/>
  <c r="E57" i="18"/>
  <c r="E61" i="18"/>
  <c r="AU35" i="17"/>
  <c r="AU39" i="17"/>
  <c r="J27" i="19"/>
  <c r="I30" i="19"/>
  <c r="E35" i="17"/>
  <c r="E39" i="17"/>
  <c r="E46" i="18"/>
  <c r="E50" i="18"/>
  <c r="AU50" i="17"/>
  <c r="AU46" i="17"/>
  <c r="E35" i="18"/>
  <c r="E39" i="18"/>
  <c r="H30" i="17"/>
  <c r="I27" i="17"/>
  <c r="E57" i="17"/>
  <c r="E61" i="17"/>
  <c r="I30" i="18"/>
  <c r="J27" i="18"/>
  <c r="AU57" i="17"/>
  <c r="AU61" i="17"/>
  <c r="J30" i="18"/>
  <c r="K27" i="18"/>
  <c r="I30" i="17"/>
  <c r="J27" i="17"/>
  <c r="K27" i="19"/>
  <c r="J30" i="19"/>
  <c r="K30" i="18"/>
  <c r="L27" i="18"/>
  <c r="J30" i="17"/>
  <c r="K27" i="17"/>
  <c r="L27" i="19"/>
  <c r="K30" i="19"/>
  <c r="L30" i="18"/>
  <c r="M27" i="18"/>
  <c r="K30" i="17"/>
  <c r="L27" i="17"/>
  <c r="M27" i="19"/>
  <c r="L30" i="19"/>
  <c r="M30" i="18"/>
  <c r="N27" i="18"/>
  <c r="L30" i="17"/>
  <c r="M27" i="17"/>
  <c r="N27" i="19"/>
  <c r="M30" i="19"/>
  <c r="N30" i="18"/>
  <c r="O27" i="18"/>
  <c r="O27" i="19"/>
  <c r="N30" i="19"/>
  <c r="M30" i="17"/>
  <c r="N27" i="17"/>
  <c r="N30" i="17"/>
  <c r="O27" i="17"/>
  <c r="O30" i="18"/>
  <c r="P27" i="18"/>
  <c r="P27" i="19"/>
  <c r="O30" i="19"/>
  <c r="O30" i="17"/>
  <c r="P27" i="17"/>
  <c r="Q27" i="19"/>
  <c r="P30" i="19"/>
  <c r="P30" i="18"/>
  <c r="Q27" i="18"/>
  <c r="Q30" i="18"/>
  <c r="R27" i="18"/>
  <c r="P30" i="17"/>
  <c r="Q27" i="17"/>
  <c r="R27" i="19"/>
  <c r="Q30" i="19"/>
  <c r="R30" i="18"/>
  <c r="S27" i="18"/>
  <c r="S27" i="19"/>
  <c r="R30" i="19"/>
  <c r="R27" i="17"/>
  <c r="Q30" i="17"/>
  <c r="S30" i="18"/>
  <c r="T27" i="18"/>
  <c r="S27" i="17"/>
  <c r="R30" i="17"/>
  <c r="T27" i="19"/>
  <c r="S30" i="19"/>
  <c r="U27" i="18"/>
  <c r="T30" i="18"/>
  <c r="U27" i="19"/>
  <c r="T30" i="19"/>
  <c r="T27" i="17"/>
  <c r="S30" i="17"/>
  <c r="U27" i="17"/>
  <c r="T30" i="17"/>
  <c r="V27" i="18"/>
  <c r="U30" i="18"/>
  <c r="V27" i="19"/>
  <c r="U30" i="19"/>
  <c r="W27" i="19"/>
  <c r="V30" i="19"/>
  <c r="V27" i="17"/>
  <c r="U30" i="17"/>
  <c r="W27" i="18"/>
  <c r="V30" i="18"/>
  <c r="X27" i="18"/>
  <c r="W30" i="18"/>
  <c r="X27" i="19"/>
  <c r="W30" i="19"/>
  <c r="W27" i="17"/>
  <c r="V30" i="17"/>
  <c r="X27" i="17"/>
  <c r="W30" i="17"/>
  <c r="Y27" i="18"/>
  <c r="X30" i="18"/>
  <c r="Y27" i="19"/>
  <c r="X30" i="19"/>
  <c r="Z27" i="19"/>
  <c r="Y30" i="19"/>
  <c r="Y27" i="17"/>
  <c r="X30" i="17"/>
  <c r="Z27" i="18"/>
  <c r="Y30" i="18"/>
  <c r="AA27" i="18"/>
  <c r="Z30" i="18"/>
  <c r="AA27" i="19"/>
  <c r="Z30" i="19"/>
  <c r="Z27" i="17"/>
  <c r="Y30" i="17"/>
  <c r="AB27" i="18"/>
  <c r="AA30" i="18"/>
  <c r="AA27" i="17"/>
  <c r="Z30" i="17"/>
  <c r="AB27" i="19"/>
  <c r="AA30" i="19"/>
  <c r="AC27" i="19"/>
  <c r="AB30" i="19"/>
  <c r="AB27" i="17"/>
  <c r="AA30" i="17"/>
  <c r="AC27" i="18"/>
  <c r="AB30" i="18"/>
  <c r="AD27" i="19"/>
  <c r="AC30" i="19"/>
  <c r="AD27" i="18"/>
  <c r="AC30" i="18"/>
  <c r="AC27" i="17"/>
  <c r="AB30" i="17"/>
  <c r="AE27" i="18"/>
  <c r="AD30" i="18"/>
  <c r="AD27" i="17"/>
  <c r="AC30" i="17"/>
  <c r="AE27" i="19"/>
  <c r="AD30" i="19"/>
  <c r="AF27" i="19"/>
  <c r="AE30" i="19"/>
  <c r="AD30" i="17"/>
  <c r="AE27" i="17"/>
  <c r="AF27" i="18"/>
  <c r="AE30" i="18"/>
  <c r="AG27" i="19"/>
  <c r="AF30" i="19"/>
  <c r="AE30" i="17"/>
  <c r="AF27" i="17"/>
  <c r="AG27" i="18"/>
  <c r="AF30" i="18"/>
  <c r="AF30" i="17"/>
  <c r="AG27" i="17"/>
  <c r="AH27" i="18"/>
  <c r="AG30" i="18"/>
  <c r="AH27" i="19"/>
  <c r="AG30" i="19"/>
  <c r="AG30" i="17"/>
  <c r="AH27" i="17"/>
  <c r="AI27" i="18"/>
  <c r="AH30" i="18"/>
  <c r="AI27" i="19"/>
  <c r="AH30" i="19"/>
  <c r="AH30" i="17"/>
  <c r="AI27" i="17"/>
  <c r="AJ27" i="19"/>
  <c r="AI30" i="19"/>
  <c r="AJ27" i="18"/>
  <c r="AI30" i="18"/>
  <c r="AI30" i="17"/>
  <c r="AJ27" i="17"/>
  <c r="AK27" i="18"/>
  <c r="AJ30" i="18"/>
  <c r="AK27" i="19"/>
  <c r="AJ30" i="19"/>
  <c r="AL27" i="18"/>
  <c r="AK30" i="18"/>
  <c r="AJ30" i="17"/>
  <c r="AK27" i="17"/>
  <c r="AL27" i="19"/>
  <c r="AK30" i="19"/>
  <c r="AM27" i="19"/>
  <c r="AL30" i="19"/>
  <c r="AM27" i="18"/>
  <c r="AL30" i="18"/>
  <c r="AK30" i="17"/>
  <c r="AL27" i="17"/>
  <c r="AL30" i="17"/>
  <c r="AM27" i="17"/>
  <c r="AN27" i="19"/>
  <c r="AM30" i="19"/>
  <c r="AN27" i="18"/>
  <c r="AM30" i="18"/>
  <c r="AM30" i="17"/>
  <c r="AN27" i="17"/>
  <c r="AO27" i="18"/>
  <c r="AN30" i="18"/>
  <c r="AO27" i="19"/>
  <c r="AN30" i="19"/>
  <c r="AO30" i="18"/>
  <c r="AP27" i="18"/>
  <c r="AN30" i="17"/>
  <c r="AO27" i="17"/>
  <c r="AP27" i="19"/>
  <c r="AO30" i="19"/>
  <c r="AP30" i="18"/>
  <c r="AQ27" i="18"/>
  <c r="AQ27" i="19"/>
  <c r="AP30" i="19"/>
  <c r="AO30" i="17"/>
  <c r="AP27" i="17"/>
  <c r="AQ30" i="18"/>
  <c r="AR27" i="18"/>
  <c r="AQ27" i="17"/>
  <c r="AP30" i="17"/>
  <c r="AR27" i="19"/>
  <c r="AQ30" i="19"/>
  <c r="AS27" i="19"/>
  <c r="AR30" i="19"/>
  <c r="AR30" i="18"/>
  <c r="AS27" i="18"/>
  <c r="AQ30" i="17"/>
  <c r="AR27" i="17"/>
  <c r="AR30" i="17"/>
  <c r="AS27" i="17"/>
  <c r="AS30" i="18"/>
  <c r="AT27" i="18"/>
  <c r="AT27" i="19"/>
  <c r="AS30" i="19"/>
  <c r="AS30" i="17"/>
  <c r="AT27" i="17"/>
  <c r="AU27" i="19"/>
  <c r="AT30" i="19"/>
  <c r="AT30" i="18"/>
  <c r="AU27" i="18"/>
  <c r="AU30" i="19"/>
  <c r="AV27" i="19"/>
  <c r="AU30" i="18"/>
  <c r="AV27" i="18"/>
  <c r="AT30" i="17"/>
  <c r="AU27" i="17"/>
  <c r="AU30" i="17"/>
  <c r="AV27" i="17"/>
  <c r="AV30" i="19"/>
  <c r="AW27" i="19"/>
  <c r="AV30" i="18"/>
  <c r="AW27" i="18"/>
  <c r="AV30" i="17"/>
  <c r="AW27" i="17"/>
  <c r="AW30" i="19"/>
  <c r="AX27" i="19"/>
  <c r="AW30" i="18"/>
  <c r="AX27" i="18"/>
  <c r="AW30" i="17"/>
  <c r="AX27" i="17"/>
  <c r="AX30" i="19"/>
  <c r="AY27" i="19"/>
  <c r="AY30" i="19"/>
  <c r="AZ30" i="19"/>
  <c r="AX30" i="18"/>
  <c r="AY27" i="18"/>
  <c r="AY30" i="18"/>
  <c r="AZ30" i="18"/>
  <c r="AX30" i="17"/>
  <c r="AY27" i="17"/>
  <c r="AY30" i="17"/>
  <c r="AZ30" i="17"/>
  <c r="H27" i="7"/>
  <c r="H30" i="7"/>
  <c r="C29" i="7"/>
  <c r="C30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O48" i="6"/>
  <c r="I30" i="7"/>
  <c r="G30" i="7"/>
  <c r="F30" i="7"/>
  <c r="E30" i="7"/>
  <c r="D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7" i="6"/>
  <c r="H36" i="5"/>
  <c r="H6" i="5"/>
  <c r="G16" i="5"/>
  <c r="I6" i="7"/>
</calcChain>
</file>

<file path=xl/sharedStrings.xml><?xml version="1.0" encoding="utf-8"?>
<sst xmlns="http://schemas.openxmlformats.org/spreadsheetml/2006/main" count="2769" uniqueCount="415">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</sst>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7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69" applyFill="1"/>
    <xf numFmtId="0" fontId="4" fillId="0" borderId="0" xfId="69"/>
    <xf numFmtId="0" fontId="4" fillId="0" borderId="0" xfId="69" applyFill="1"/>
    <xf numFmtId="0" fontId="1" fillId="0" borderId="0" xfId="69" applyFont="1"/>
    <xf numFmtId="0" fontId="2" fillId="0" borderId="0" xfId="69" applyFont="1"/>
    <xf numFmtId="0" fontId="2" fillId="0" borderId="0" xfId="69" applyFont="1" applyFill="1"/>
    <xf numFmtId="0" fontId="4" fillId="6" borderId="0" xfId="69" applyFill="1"/>
    <xf numFmtId="0" fontId="4" fillId="0" borderId="0" xfId="69" applyFill="1" applyBorder="1"/>
    <xf numFmtId="0" fontId="4" fillId="0" borderId="5" xfId="69" applyBorder="1"/>
    <xf numFmtId="0" fontId="4" fillId="0" borderId="11" xfId="69" applyBorder="1"/>
    <xf numFmtId="0" fontId="4" fillId="0" borderId="6" xfId="69" applyBorder="1"/>
    <xf numFmtId="0" fontId="4" fillId="0" borderId="0" xfId="69" applyBorder="1"/>
    <xf numFmtId="0" fontId="4" fillId="0" borderId="0" xfId="69" applyAlignment="1"/>
    <xf numFmtId="0" fontId="4" fillId="0" borderId="0" xfId="69" applyAlignment="1">
      <alignment horizontal="center"/>
    </xf>
    <xf numFmtId="0" fontId="4" fillId="0" borderId="0" xfId="69" applyBorder="1" applyAlignment="1">
      <alignment horizontal="right"/>
    </xf>
    <xf numFmtId="0" fontId="4" fillId="0" borderId="8" xfId="69" applyFill="1" applyBorder="1"/>
    <xf numFmtId="0" fontId="4" fillId="5" borderId="13" xfId="69" applyFill="1" applyBorder="1" applyAlignment="1">
      <alignment horizontal="right"/>
    </xf>
    <xf numFmtId="0" fontId="4" fillId="7" borderId="8" xfId="69" applyFill="1" applyBorder="1"/>
    <xf numFmtId="0" fontId="4" fillId="0" borderId="13" xfId="69" applyBorder="1"/>
    <xf numFmtId="0" fontId="4" fillId="5" borderId="0" xfId="69" applyFill="1" applyAlignment="1">
      <alignment horizontal="right"/>
    </xf>
    <xf numFmtId="0" fontId="4" fillId="7" borderId="0" xfId="69" applyFill="1" applyBorder="1"/>
    <xf numFmtId="0" fontId="4" fillId="2" borderId="0" xfId="69" applyFill="1" applyBorder="1"/>
    <xf numFmtId="0" fontId="4" fillId="7" borderId="13" xfId="69" applyFill="1" applyBorder="1"/>
    <xf numFmtId="0" fontId="4" fillId="5" borderId="9" xfId="69" applyFill="1" applyBorder="1" applyAlignment="1">
      <alignment horizontal="right"/>
    </xf>
    <xf numFmtId="0" fontId="4" fillId="7" borderId="9" xfId="69" applyFill="1" applyBorder="1"/>
    <xf numFmtId="0" fontId="4" fillId="0" borderId="9" xfId="69" applyBorder="1"/>
    <xf numFmtId="0" fontId="4" fillId="0" borderId="8" xfId="69" applyBorder="1"/>
    <xf numFmtId="0" fontId="4" fillId="5" borderId="1" xfId="69" applyFill="1" applyBorder="1" applyAlignment="1">
      <alignment horizontal="right"/>
    </xf>
    <xf numFmtId="0" fontId="4" fillId="3" borderId="0" xfId="69" applyFill="1" applyBorder="1"/>
    <xf numFmtId="0" fontId="4" fillId="0" borderId="3" xfId="69" applyBorder="1"/>
    <xf numFmtId="0" fontId="4" fillId="8" borderId="8" xfId="69" applyFill="1" applyBorder="1"/>
    <xf numFmtId="0" fontId="4" fillId="8" borderId="0" xfId="69" applyFill="1" applyBorder="1"/>
    <xf numFmtId="0" fontId="4" fillId="5" borderId="6" xfId="69" applyFill="1" applyBorder="1" applyAlignment="1">
      <alignment horizontal="right"/>
    </xf>
    <xf numFmtId="0" fontId="4" fillId="9" borderId="8" xfId="69" applyFill="1" applyBorder="1" applyAlignment="1">
      <alignment horizontal="right"/>
    </xf>
    <xf numFmtId="0" fontId="4" fillId="5" borderId="13" xfId="69" applyFill="1" applyBorder="1"/>
    <xf numFmtId="10" fontId="4" fillId="0" borderId="13" xfId="69" applyNumberFormat="1" applyBorder="1"/>
    <xf numFmtId="0" fontId="4" fillId="5" borderId="9" xfId="69" applyFill="1" applyBorder="1"/>
    <xf numFmtId="0" fontId="4" fillId="5" borderId="8" xfId="69" applyFill="1" applyBorder="1"/>
    <xf numFmtId="0" fontId="4" fillId="6" borderId="9" xfId="69" applyFill="1" applyBorder="1"/>
    <xf numFmtId="0" fontId="4" fillId="0" borderId="9" xfId="69" applyFill="1" applyBorder="1"/>
    <xf numFmtId="0" fontId="4" fillId="0" borderId="10" xfId="69" applyFill="1" applyBorder="1"/>
    <xf numFmtId="0" fontId="4" fillId="6" borderId="8" xfId="69" applyFill="1" applyBorder="1"/>
    <xf numFmtId="0" fontId="4" fillId="0" borderId="15" xfId="69" applyFill="1" applyBorder="1"/>
    <xf numFmtId="0" fontId="4" fillId="0" borderId="0" xfId="69" applyFill="1" applyBorder="1" applyAlignment="1">
      <alignment horizontal="left"/>
    </xf>
    <xf numFmtId="0" fontId="4" fillId="7" borderId="13" xfId="69" applyFill="1" applyBorder="1" applyAlignment="1">
      <alignment horizontal="right"/>
    </xf>
    <xf numFmtId="0" fontId="4" fillId="0" borderId="13" xfId="69" applyFill="1" applyBorder="1"/>
    <xf numFmtId="0" fontId="4" fillId="0" borderId="9" xfId="69" applyFont="1" applyFill="1" applyBorder="1"/>
    <xf numFmtId="0" fontId="4" fillId="0" borderId="0" xfId="69" applyFont="1" applyFill="1" applyBorder="1" applyAlignment="1">
      <alignment horizontal="right"/>
    </xf>
    <xf numFmtId="0" fontId="4" fillId="0" borderId="0" xfId="69" applyFont="1" applyFill="1" applyBorder="1"/>
    <xf numFmtId="0" fontId="4" fillId="0" borderId="0" xfId="69" applyFont="1" applyFill="1" applyBorder="1" applyAlignment="1"/>
    <xf numFmtId="0" fontId="4" fillId="5" borderId="13" xfId="69" applyFont="1" applyFill="1" applyBorder="1" applyAlignment="1">
      <alignment horizontal="right"/>
    </xf>
    <xf numFmtId="0" fontId="4" fillId="7" borderId="13" xfId="69" applyFont="1" applyFill="1" applyBorder="1" applyAlignment="1"/>
    <xf numFmtId="0" fontId="4" fillId="0" borderId="5" xfId="69" applyFill="1" applyBorder="1"/>
    <xf numFmtId="0" fontId="1" fillId="0" borderId="0" xfId="69" applyFont="1" applyBorder="1"/>
    <xf numFmtId="0" fontId="4" fillId="0" borderId="9" xfId="69" applyFill="1" applyBorder="1" applyAlignment="1">
      <alignment horizontal="right"/>
    </xf>
    <xf numFmtId="10" fontId="4" fillId="5" borderId="13" xfId="69" applyNumberFormat="1" applyFill="1" applyBorder="1"/>
    <xf numFmtId="0" fontId="4" fillId="5" borderId="0" xfId="69" applyFill="1" applyBorder="1" applyAlignment="1">
      <alignment horizontal="right"/>
    </xf>
    <xf numFmtId="10" fontId="4" fillId="0" borderId="0" xfId="69" applyNumberFormat="1" applyFill="1" applyBorder="1"/>
    <xf numFmtId="0" fontId="4" fillId="0" borderId="12" xfId="69" applyFill="1" applyBorder="1"/>
    <xf numFmtId="0" fontId="4" fillId="5" borderId="8" xfId="69" applyFill="1" applyBorder="1" applyAlignment="1">
      <alignment horizontal="right"/>
    </xf>
    <xf numFmtId="10" fontId="4" fillId="0" borderId="8" xfId="69" applyNumberFormat="1" applyFill="1" applyBorder="1"/>
    <xf numFmtId="0" fontId="4" fillId="6" borderId="9" xfId="69" applyFill="1" applyBorder="1" applyAlignment="1">
      <alignment horizontal="right"/>
    </xf>
    <xf numFmtId="0" fontId="4" fillId="6" borderId="8" xfId="69" applyFill="1" applyBorder="1" applyAlignment="1">
      <alignment horizontal="right"/>
    </xf>
    <xf numFmtId="0" fontId="4" fillId="0" borderId="8" xfId="69" applyNumberFormat="1" applyFill="1" applyBorder="1"/>
    <xf numFmtId="0" fontId="1" fillId="0" borderId="0" xfId="69" applyFont="1" applyFill="1" applyBorder="1" applyAlignment="1"/>
    <xf numFmtId="0" fontId="4" fillId="0" borderId="2" xfId="69" applyBorder="1"/>
    <xf numFmtId="0" fontId="4" fillId="5" borderId="0" xfId="69" applyFill="1" applyBorder="1"/>
    <xf numFmtId="0" fontId="4" fillId="0" borderId="7" xfId="69" applyBorder="1"/>
    <xf numFmtId="0" fontId="4" fillId="0" borderId="4" xfId="69" applyBorder="1"/>
    <xf numFmtId="0" fontId="4" fillId="0" borderId="3" xfId="69" applyFill="1" applyBorder="1"/>
    <xf numFmtId="0" fontId="4" fillId="6" borderId="13" xfId="69" applyFill="1" applyBorder="1" applyAlignment="1">
      <alignment horizontal="right"/>
    </xf>
    <xf numFmtId="0" fontId="4" fillId="10" borderId="0" xfId="69" applyFill="1"/>
    <xf numFmtId="0" fontId="4" fillId="10" borderId="0" xfId="69" applyFont="1" applyFill="1"/>
    <xf numFmtId="0" fontId="4" fillId="0" borderId="0" xfId="69" applyFont="1" applyFill="1"/>
    <xf numFmtId="0" fontId="4" fillId="5" borderId="0" xfId="69" applyFont="1" applyFill="1"/>
    <xf numFmtId="0" fontId="2" fillId="0" borderId="0" xfId="69" applyNumberFormat="1" applyFont="1" applyFill="1" applyAlignment="1"/>
    <xf numFmtId="0" fontId="4" fillId="0" borderId="0" xfId="69" applyNumberFormat="1" applyAlignment="1"/>
    <xf numFmtId="0" fontId="4" fillId="6" borderId="0" xfId="69" applyNumberFormat="1" applyFill="1" applyAlignment="1"/>
    <xf numFmtId="0" fontId="4" fillId="0" borderId="0" xfId="69" applyAlignment="1">
      <alignment horizontal="right"/>
    </xf>
    <xf numFmtId="0" fontId="4" fillId="6" borderId="0" xfId="69" applyFill="1" applyBorder="1"/>
    <xf numFmtId="0" fontId="4" fillId="0" borderId="0" xfId="69" applyNumberFormat="1"/>
    <xf numFmtId="0" fontId="9" fillId="0" borderId="0" xfId="69" applyFont="1"/>
    <xf numFmtId="0" fontId="10" fillId="0" borderId="0" xfId="69" applyFont="1"/>
    <xf numFmtId="0" fontId="11" fillId="0" borderId="0" xfId="69" applyFont="1"/>
    <xf numFmtId="0" fontId="12" fillId="0" borderId="0" xfId="69" applyFont="1"/>
    <xf numFmtId="0" fontId="13" fillId="0" borderId="0" xfId="69" applyFont="1"/>
    <xf numFmtId="0" fontId="14" fillId="0" borderId="0" xfId="69" applyNumberFormat="1" applyFont="1" applyAlignment="1">
      <alignment horizontal="left"/>
    </xf>
    <xf numFmtId="1" fontId="4" fillId="0" borderId="10" xfId="69" applyNumberFormat="1" applyBorder="1"/>
    <xf numFmtId="164" fontId="4" fillId="0" borderId="10" xfId="69" applyNumberFormat="1" applyBorder="1"/>
    <xf numFmtId="1" fontId="4" fillId="0" borderId="12" xfId="69" applyNumberFormat="1" applyBorder="1"/>
    <xf numFmtId="164" fontId="4" fillId="0" borderId="12" xfId="69" applyNumberFormat="1" applyBorder="1"/>
    <xf numFmtId="1" fontId="4" fillId="0" borderId="15" xfId="69" applyNumberFormat="1" applyBorder="1"/>
    <xf numFmtId="164" fontId="4" fillId="0" borderId="15" xfId="69" applyNumberFormat="1" applyBorder="1"/>
    <xf numFmtId="164" fontId="4" fillId="0" borderId="13" xfId="69" applyNumberFormat="1" applyBorder="1"/>
    <xf numFmtId="1" fontId="4" fillId="0" borderId="5" xfId="69" applyNumberFormat="1" applyBorder="1"/>
    <xf numFmtId="1" fontId="4" fillId="0" borderId="10" xfId="69" applyNumberFormat="1" applyFill="1" applyBorder="1"/>
    <xf numFmtId="1" fontId="4" fillId="0" borderId="12" xfId="69" applyNumberFormat="1" applyFill="1" applyBorder="1"/>
    <xf numFmtId="1" fontId="4" fillId="0" borderId="15" xfId="69" applyNumberFormat="1" applyFill="1" applyBorder="1"/>
    <xf numFmtId="0" fontId="4" fillId="0" borderId="9" xfId="69" applyBorder="1" applyAlignment="1">
      <alignment horizontal="right"/>
    </xf>
    <xf numFmtId="164" fontId="4" fillId="0" borderId="0" xfId="69" applyNumberFormat="1"/>
    <xf numFmtId="0" fontId="15" fillId="0" borderId="0" xfId="69" applyFont="1"/>
    <xf numFmtId="164" fontId="4" fillId="0" borderId="27" xfId="69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69" applyFont="1" applyAlignment="1">
      <alignment horizontal="center"/>
    </xf>
  </cellXfs>
  <cellStyles count="7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  <cellStyle name="Normal 2" xfId="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9" t="s">
        <v>165</v>
      </c>
      <c r="E4" s="200"/>
      <c r="F4" s="201"/>
    </row>
    <row r="5" spans="2:6">
      <c r="B5" s="6"/>
      <c r="C5" s="7" t="s">
        <v>111</v>
      </c>
      <c r="D5" s="202">
        <v>2015</v>
      </c>
      <c r="E5" s="203"/>
      <c r="F5" s="204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338</v>
      </c>
      <c r="D8">
        <v>3</v>
      </c>
      <c r="E8" t="s">
        <v>339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7" workbookViewId="0">
      <selection activeCell="I76" sqref="I7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-31000</v>
      </c>
      <c r="D39" s="14">
        <v>35000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-20000</v>
      </c>
      <c r="D76" s="15">
        <v>40000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I40" sqref="I4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</v>
      </c>
      <c r="F6" s="92">
        <v>0</v>
      </c>
      <c r="G6" s="92">
        <v>0</v>
      </c>
      <c r="H6" s="92">
        <v>40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10</v>
      </c>
      <c r="E7" s="92">
        <v>30</v>
      </c>
      <c r="F7" s="92">
        <v>20</v>
      </c>
      <c r="G7" s="92">
        <v>40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50</v>
      </c>
      <c r="F8" s="92">
        <v>50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22" sqref="R2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98" customWidth="1"/>
    <col min="2" max="6" width="8.83203125" style="98"/>
    <col min="7" max="7" width="2.6640625" style="98" customWidth="1"/>
    <col min="8" max="8" width="11.1640625" style="98" customWidth="1"/>
    <col min="9" max="10" width="8.83203125" style="98"/>
    <col min="11" max="12" width="4.6640625" style="98" customWidth="1"/>
    <col min="13" max="17" width="8.83203125" style="98"/>
    <col min="18" max="18" width="2.6640625" style="98" customWidth="1"/>
    <col min="19" max="19" width="14.6640625" style="98" customWidth="1"/>
    <col min="20" max="20" width="16.6640625" style="98" customWidth="1"/>
    <col min="21" max="21" width="4.6640625" style="98" customWidth="1"/>
    <col min="22" max="16384" width="8.83203125" style="98"/>
  </cols>
  <sheetData>
    <row r="1" spans="1:20">
      <c r="A1" s="177"/>
    </row>
    <row r="2" spans="1:20" ht="15">
      <c r="C2" s="205" t="s">
        <v>165</v>
      </c>
      <c r="D2" s="205"/>
      <c r="E2" s="205"/>
      <c r="F2" s="205"/>
      <c r="G2" s="205"/>
      <c r="H2" s="205"/>
    </row>
    <row r="3" spans="1:20" ht="15">
      <c r="C3" s="178" t="s">
        <v>414</v>
      </c>
      <c r="D3" s="178"/>
      <c r="E3" s="178"/>
      <c r="F3" s="178"/>
      <c r="G3" s="178"/>
    </row>
    <row r="5" spans="1:20" ht="15">
      <c r="A5" s="179" t="s">
        <v>353</v>
      </c>
      <c r="B5" s="180"/>
      <c r="G5" s="181"/>
      <c r="L5" s="179" t="s">
        <v>354</v>
      </c>
      <c r="M5" s="180"/>
      <c r="R5" s="181"/>
    </row>
    <row r="6" spans="1:20">
      <c r="A6" s="182" t="s">
        <v>355</v>
      </c>
      <c r="B6" s="180"/>
      <c r="G6" s="183"/>
      <c r="H6" s="108"/>
      <c r="L6" s="182" t="s">
        <v>356</v>
      </c>
      <c r="M6" s="180"/>
      <c r="S6" s="123"/>
    </row>
    <row r="7" spans="1:20">
      <c r="A7" s="180"/>
      <c r="B7" s="180" t="s">
        <v>357</v>
      </c>
      <c r="G7" s="183"/>
      <c r="H7" s="184">
        <f>SUM(ORA!$D$116:$O$116)</f>
        <v>42854</v>
      </c>
      <c r="L7" s="180"/>
      <c r="M7" s="180" t="s">
        <v>357</v>
      </c>
      <c r="S7" s="185">
        <f>SUM(ORA!$D$127:$O$127)</f>
        <v>217269600</v>
      </c>
    </row>
    <row r="8" spans="1:20">
      <c r="A8" s="180"/>
      <c r="B8" s="180" t="s">
        <v>358</v>
      </c>
      <c r="G8" s="183"/>
      <c r="H8" s="186">
        <f>SUM(POJ!$D$116:$O$116)</f>
        <v>92732.864870456702</v>
      </c>
      <c r="L8" s="180"/>
      <c r="M8" s="180" t="s">
        <v>358</v>
      </c>
      <c r="S8" s="187">
        <f>SUM(POJ!$D$127:$O$127)</f>
        <v>405384041.99568951</v>
      </c>
    </row>
    <row r="9" spans="1:20">
      <c r="A9" s="180"/>
      <c r="B9" s="180" t="s">
        <v>359</v>
      </c>
      <c r="G9" s="183"/>
      <c r="H9" s="186">
        <f>SUM(ROJ!$D$116:$O$116)</f>
        <v>13587.77061357419</v>
      </c>
      <c r="L9" s="180"/>
      <c r="M9" s="180" t="s">
        <v>359</v>
      </c>
      <c r="S9" s="187">
        <f>SUM(ROJ!$D$127:$O$127)</f>
        <v>90495377.761981547</v>
      </c>
    </row>
    <row r="10" spans="1:20">
      <c r="A10" s="180"/>
      <c r="B10" s="180" t="s">
        <v>360</v>
      </c>
      <c r="G10" s="183"/>
      <c r="H10" s="188">
        <f>SUM(FCOJ!$D$116:$O$116)</f>
        <v>4254.8334051595748</v>
      </c>
      <c r="L10" s="180"/>
      <c r="M10" s="180" t="s">
        <v>360</v>
      </c>
      <c r="S10" s="189">
        <f>SUM(FCOJ!$D$127:$O$127)</f>
        <v>28410698.309554562</v>
      </c>
    </row>
    <row r="11" spans="1:20">
      <c r="A11" s="180"/>
      <c r="B11" s="180"/>
      <c r="G11" s="183"/>
      <c r="M11" s="180" t="s">
        <v>361</v>
      </c>
      <c r="T11" s="190">
        <f>SUM($S$7:$S$10)</f>
        <v>741559718.06722569</v>
      </c>
    </row>
    <row r="12" spans="1:20">
      <c r="A12" s="182" t="s">
        <v>362</v>
      </c>
      <c r="B12" s="180"/>
      <c r="G12" s="183"/>
    </row>
    <row r="13" spans="1:20">
      <c r="A13" s="180"/>
      <c r="B13" s="180" t="s">
        <v>363</v>
      </c>
      <c r="G13" s="183"/>
      <c r="H13" s="191">
        <f>SUM(grove!$C$48:$AX$53)</f>
        <v>143509.92580528973</v>
      </c>
      <c r="L13" s="182" t="s">
        <v>364</v>
      </c>
      <c r="M13" s="180"/>
    </row>
    <row r="14" spans="1:20">
      <c r="A14" s="180"/>
      <c r="B14" s="180" t="s">
        <v>365</v>
      </c>
      <c r="G14" s="183"/>
      <c r="H14" s="184">
        <f>raw_materials!$P$30</f>
        <v>0</v>
      </c>
      <c r="L14" s="180"/>
      <c r="M14" s="180" t="s">
        <v>366</v>
      </c>
      <c r="S14" s="185">
        <f>SUM(grove!$C$58:$AX$63)</f>
        <v>205814620.06699517</v>
      </c>
    </row>
    <row r="15" spans="1:20">
      <c r="A15" s="180"/>
      <c r="B15" s="180" t="s">
        <v>367</v>
      </c>
      <c r="G15" s="183"/>
      <c r="H15" s="188">
        <f>raw_materials!$P$36</f>
        <v>10000</v>
      </c>
      <c r="L15" s="180"/>
      <c r="M15" s="180" t="s">
        <v>368</v>
      </c>
      <c r="S15" s="187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0"/>
      <c r="B16" s="180" t="s">
        <v>369</v>
      </c>
      <c r="G16" s="183"/>
      <c r="H16" s="192">
        <v>90902.013263690009</v>
      </c>
      <c r="L16" s="180"/>
      <c r="M16" s="180" t="s">
        <v>370</v>
      </c>
      <c r="S16" s="187">
        <f>(raw_materials!D36*raw_materials!E36+raw_materials!F36*raw_materials!G36+raw_materials!H36*raw_materials!I36+raw_materials!J36*raw_materials!K36+raw_materials!L36*raw_materials!M36)*2000</f>
        <v>21099958.283540692</v>
      </c>
    </row>
    <row r="17" spans="1:21">
      <c r="A17" s="180"/>
      <c r="B17" s="180" t="s">
        <v>371</v>
      </c>
      <c r="G17" s="183"/>
      <c r="H17" s="193">
        <v>0</v>
      </c>
      <c r="L17" s="180"/>
      <c r="M17" s="180" t="s">
        <v>372</v>
      </c>
      <c r="S17" s="187">
        <v>34016008.203425139</v>
      </c>
    </row>
    <row r="18" spans="1:21">
      <c r="A18" s="180"/>
      <c r="B18" s="180" t="s">
        <v>373</v>
      </c>
      <c r="G18" s="183"/>
      <c r="H18" s="194">
        <v>8770.6032184823216</v>
      </c>
      <c r="L18" s="180"/>
      <c r="M18" s="180" t="s">
        <v>374</v>
      </c>
      <c r="S18" s="189">
        <v>3247834.6780000003</v>
      </c>
    </row>
    <row r="19" spans="1:21">
      <c r="A19" s="180"/>
      <c r="B19" s="180" t="s">
        <v>375</v>
      </c>
      <c r="G19" s="183"/>
      <c r="H19" s="193">
        <v>1868.8606969999996</v>
      </c>
      <c r="L19" s="180"/>
      <c r="M19" s="180" t="s">
        <v>376</v>
      </c>
      <c r="S19" s="195" t="s">
        <v>377</v>
      </c>
      <c r="T19" s="196">
        <f>SUM($S$14:$S$18)</f>
        <v>264178421.23196101</v>
      </c>
      <c r="U19" s="98" t="s">
        <v>378</v>
      </c>
    </row>
    <row r="20" spans="1:21">
      <c r="A20" s="180"/>
      <c r="B20" s="180" t="s">
        <v>379</v>
      </c>
      <c r="G20" s="183"/>
      <c r="H20" s="188">
        <v>25328.595915543494</v>
      </c>
      <c r="L20" s="180"/>
      <c r="M20" s="180"/>
    </row>
    <row r="21" spans="1:21">
      <c r="A21" s="180"/>
      <c r="B21" s="180"/>
      <c r="G21" s="183"/>
      <c r="L21" s="182" t="s">
        <v>380</v>
      </c>
      <c r="M21" s="180"/>
      <c r="S21" s="123"/>
    </row>
    <row r="22" spans="1:21">
      <c r="A22" s="182" t="s">
        <v>381</v>
      </c>
      <c r="B22" s="180"/>
      <c r="G22" s="183"/>
      <c r="L22" s="180"/>
      <c r="M22" s="180" t="s">
        <v>382</v>
      </c>
      <c r="S22" s="187">
        <v>181804026.52738005</v>
      </c>
    </row>
    <row r="23" spans="1:21">
      <c r="A23" s="180"/>
      <c r="B23" s="180" t="s">
        <v>383</v>
      </c>
      <c r="G23" s="183"/>
      <c r="H23" s="184">
        <f>SUM(raw_materials!$O$31:$O$35)</f>
        <v>2290.6</v>
      </c>
      <c r="L23" s="180"/>
      <c r="M23" s="180" t="s">
        <v>384</v>
      </c>
      <c r="S23" s="187">
        <v>0</v>
      </c>
    </row>
    <row r="24" spans="1:21">
      <c r="A24" s="180"/>
      <c r="B24" s="180" t="s">
        <v>385</v>
      </c>
      <c r="G24" s="183"/>
      <c r="H24" s="188">
        <f>SUM(raw_materials!$O$37:$O$41)</f>
        <v>298.27199999999999</v>
      </c>
      <c r="L24" s="180"/>
      <c r="M24" s="180" t="s">
        <v>386</v>
      </c>
      <c r="S24" s="189">
        <v>5700892.0920135044</v>
      </c>
    </row>
    <row r="25" spans="1:21">
      <c r="A25" s="180"/>
      <c r="B25" s="180"/>
      <c r="G25" s="183"/>
      <c r="L25" s="180"/>
      <c r="M25" s="180" t="s">
        <v>387</v>
      </c>
      <c r="S25" s="195" t="s">
        <v>377</v>
      </c>
      <c r="T25" s="196">
        <f>SUM($S$22:$S$24)</f>
        <v>187504918.61939356</v>
      </c>
      <c r="U25" s="98" t="s">
        <v>378</v>
      </c>
    </row>
    <row r="26" spans="1:21">
      <c r="A26" s="182" t="s">
        <v>388</v>
      </c>
      <c r="B26" s="180"/>
      <c r="G26" s="183"/>
      <c r="L26" s="180"/>
      <c r="M26" s="180"/>
    </row>
    <row r="27" spans="1:21">
      <c r="A27" s="180"/>
      <c r="B27" s="180" t="s">
        <v>389</v>
      </c>
      <c r="G27" s="183"/>
      <c r="H27" s="184">
        <f>SUMIF(facilities!$C$6:$C$15,"&gt;0",facilities!$C$6:$C$15)</f>
        <v>0</v>
      </c>
      <c r="L27" s="182" t="s">
        <v>390</v>
      </c>
      <c r="M27" s="180"/>
    </row>
    <row r="28" spans="1:21">
      <c r="A28" s="180"/>
      <c r="B28" s="180" t="s">
        <v>391</v>
      </c>
      <c r="G28" s="183"/>
      <c r="H28" s="186">
        <f>SUMIF(facilities!$C$36:$C$106,"&gt;0",facilities!$C$36:$C$106)</f>
        <v>0</v>
      </c>
      <c r="L28" s="180"/>
      <c r="M28" s="180" t="s">
        <v>392</v>
      </c>
      <c r="S28" s="185">
        <v>77849532</v>
      </c>
    </row>
    <row r="29" spans="1:21">
      <c r="A29" s="180"/>
      <c r="B29" s="180" t="s">
        <v>393</v>
      </c>
      <c r="G29" s="183"/>
      <c r="H29" s="186">
        <f>SUMIF(facilities!$C$6:$C$15,"&lt;0",facilities!$C$6:$C$15)</f>
        <v>0</v>
      </c>
      <c r="L29" s="180"/>
      <c r="M29" s="180" t="s">
        <v>394</v>
      </c>
      <c r="S29" s="187">
        <v>11368292.668605249</v>
      </c>
    </row>
    <row r="30" spans="1:21">
      <c r="A30" s="180"/>
      <c r="B30" s="180" t="s">
        <v>395</v>
      </c>
      <c r="G30" s="183"/>
      <c r="H30" s="188">
        <f>SUMIF(facilities!$C$36:$C$106,"&lt;0",facilities!$C$36:$C$106)</f>
        <v>-51000</v>
      </c>
      <c r="L30" s="180"/>
      <c r="M30" s="180" t="s">
        <v>396</v>
      </c>
      <c r="S30" s="187">
        <v>24981101.75826947</v>
      </c>
    </row>
    <row r="31" spans="1:21">
      <c r="L31" s="180"/>
      <c r="M31" s="180" t="s">
        <v>397</v>
      </c>
      <c r="S31" s="189">
        <f>SUM(ORA!D138:O138)+SUM(POJ!D138:O138)+SUM(ROJ!D138:O138)+SUM(FCOJ!D138:O138)</f>
        <v>95877791.301483735</v>
      </c>
    </row>
    <row r="32" spans="1:21">
      <c r="A32" s="182" t="s">
        <v>398</v>
      </c>
      <c r="B32" s="180"/>
      <c r="G32" s="183"/>
      <c r="L32" s="180"/>
      <c r="M32" s="180" t="s">
        <v>399</v>
      </c>
      <c r="S32" s="111" t="s">
        <v>377</v>
      </c>
      <c r="T32" s="196">
        <f>SUM($S$28:$S$31)</f>
        <v>210076717.72835845</v>
      </c>
      <c r="U32" s="98" t="s">
        <v>378</v>
      </c>
    </row>
    <row r="33" spans="1:21">
      <c r="A33" s="180"/>
      <c r="B33" s="180" t="s">
        <v>400</v>
      </c>
      <c r="G33" s="183"/>
      <c r="H33" s="184">
        <f>COUNTIF(facilities!$H$6:$H$15,"=new")</f>
        <v>0</v>
      </c>
      <c r="M33" s="180"/>
    </row>
    <row r="34" spans="1:21">
      <c r="A34" s="180"/>
      <c r="B34" s="180" t="s">
        <v>401</v>
      </c>
      <c r="G34" s="183"/>
      <c r="H34" s="186">
        <f>COUNTIF(facilities!$H$36:$H$106,"=new")</f>
        <v>0</v>
      </c>
      <c r="L34" s="182" t="s">
        <v>402</v>
      </c>
      <c r="M34" s="180"/>
    </row>
    <row r="35" spans="1:21">
      <c r="B35" s="180" t="s">
        <v>18</v>
      </c>
      <c r="H35" s="188">
        <f>SUMIF(facilities!$C$21:$C$30,"&gt;0",facilities!$C$21:$C$30)</f>
        <v>0</v>
      </c>
      <c r="L35" s="180"/>
      <c r="M35" s="180" t="s">
        <v>403</v>
      </c>
      <c r="S35" s="185">
        <v>36722500</v>
      </c>
    </row>
    <row r="36" spans="1:21">
      <c r="L36" s="180"/>
      <c r="M36" s="180" t="s">
        <v>404</v>
      </c>
      <c r="S36" s="187">
        <f>H33*12000000-H38*70/100*12000000</f>
        <v>0</v>
      </c>
    </row>
    <row r="37" spans="1:21">
      <c r="A37" s="182" t="s">
        <v>405</v>
      </c>
      <c r="L37" s="180"/>
      <c r="M37" s="180" t="s">
        <v>406</v>
      </c>
      <c r="S37" s="187">
        <f>H27*8000+H29*70/100*8000</f>
        <v>0</v>
      </c>
    </row>
    <row r="38" spans="1:21">
      <c r="B38" s="180" t="s">
        <v>400</v>
      </c>
      <c r="H38" s="184">
        <f>COUNTIF(facilities!$H$6:$H$15,"=sold")</f>
        <v>0</v>
      </c>
      <c r="L38" s="180"/>
      <c r="M38" s="180" t="s">
        <v>407</v>
      </c>
      <c r="S38" s="187">
        <v>77750000</v>
      </c>
    </row>
    <row r="39" spans="1:21">
      <c r="B39" s="180" t="s">
        <v>401</v>
      </c>
      <c r="H39" s="186">
        <f>COUNTIF(facilities!$H$36:$H$106,"=sold")</f>
        <v>0</v>
      </c>
      <c r="L39" s="180"/>
      <c r="M39" s="180" t="s">
        <v>408</v>
      </c>
      <c r="S39" s="187">
        <f>H34*9000000-H39*80/100*9000000</f>
        <v>0</v>
      </c>
    </row>
    <row r="40" spans="1:21">
      <c r="B40" s="180" t="s">
        <v>18</v>
      </c>
      <c r="H40" s="188">
        <f>-SUMIF(facilities!$C$21:$C$30,"&lt;0",facilities!$C$21:$C$30)</f>
        <v>0</v>
      </c>
      <c r="L40" s="180"/>
      <c r="M40" s="180" t="s">
        <v>409</v>
      </c>
      <c r="S40" s="187">
        <f>H28*6000+H30*80/100*6000</f>
        <v>-244800000</v>
      </c>
    </row>
    <row r="41" spans="1:21">
      <c r="L41" s="180"/>
      <c r="M41" s="180" t="s">
        <v>410</v>
      </c>
      <c r="S41" s="187">
        <v>35550</v>
      </c>
    </row>
    <row r="42" spans="1:21">
      <c r="L42" s="180"/>
      <c r="M42" s="180" t="s">
        <v>411</v>
      </c>
      <c r="S42" s="189">
        <f>H35*100000-H40*60/100*100000</f>
        <v>0</v>
      </c>
    </row>
    <row r="43" spans="1:21">
      <c r="L43" s="180"/>
      <c r="M43" s="180" t="s">
        <v>412</v>
      </c>
      <c r="S43" s="175" t="s">
        <v>377</v>
      </c>
      <c r="T43" s="196">
        <f>SUM($S$35:$S$42)</f>
        <v>-130291950</v>
      </c>
      <c r="U43" s="98" t="s">
        <v>378</v>
      </c>
    </row>
    <row r="44" spans="1:21">
      <c r="L44" s="180"/>
      <c r="S44" s="108"/>
    </row>
    <row r="45" spans="1:21" ht="13" thickBot="1">
      <c r="L45" s="197" t="s">
        <v>413</v>
      </c>
      <c r="M45" s="180"/>
      <c r="T45" s="198">
        <f>$T$11-$T$19-$T$25-$T$32-$T$43</f>
        <v>210091610.48751265</v>
      </c>
    </row>
    <row r="46" spans="1:21" ht="13" thickTop="1">
      <c r="M46" s="180"/>
    </row>
    <row r="316" spans="1:1">
      <c r="A316" s="177"/>
    </row>
    <row r="317" spans="1:1">
      <c r="A317" s="177"/>
    </row>
    <row r="318" spans="1:1">
      <c r="A318" s="177"/>
    </row>
    <row r="319" spans="1:1">
      <c r="A319" s="177"/>
    </row>
    <row r="320" spans="1:1">
      <c r="A320" s="177"/>
    </row>
    <row r="321" spans="1:1">
      <c r="A321" s="177"/>
    </row>
    <row r="322" spans="1:1">
      <c r="A322" s="177"/>
    </row>
    <row r="323" spans="1:1">
      <c r="A323" s="177"/>
    </row>
    <row r="325" spans="1:1">
      <c r="A325" s="177"/>
    </row>
    <row r="326" spans="1:1">
      <c r="A326" s="177"/>
    </row>
    <row r="327" spans="1:1">
      <c r="A327" s="177"/>
    </row>
    <row r="328" spans="1:1">
      <c r="A328" s="177"/>
    </row>
    <row r="329" spans="1:1">
      <c r="A329" s="177"/>
    </row>
    <row r="330" spans="1:1">
      <c r="A330" s="177"/>
    </row>
    <row r="331" spans="1:1">
      <c r="A331" s="177"/>
    </row>
    <row r="332" spans="1:1">
      <c r="A332" s="177"/>
    </row>
    <row r="334" spans="1:1">
      <c r="A334" s="177"/>
    </row>
    <row r="335" spans="1:1">
      <c r="A335" s="177"/>
    </row>
    <row r="336" spans="1:1">
      <c r="A336" s="177"/>
    </row>
    <row r="337" spans="1:1">
      <c r="A337" s="177"/>
    </row>
    <row r="338" spans="1:1">
      <c r="A338" s="177"/>
    </row>
    <row r="339" spans="1:1">
      <c r="A339" s="177"/>
    </row>
    <row r="340" spans="1:1">
      <c r="A340" s="177"/>
    </row>
    <row r="341" spans="1:1">
      <c r="A341" s="177"/>
    </row>
    <row r="343" spans="1:1">
      <c r="A343" s="177"/>
    </row>
    <row r="344" spans="1:1">
      <c r="A344" s="177"/>
    </row>
    <row r="345" spans="1:1">
      <c r="A345" s="177"/>
    </row>
    <row r="346" spans="1:1">
      <c r="A346" s="177"/>
    </row>
    <row r="347" spans="1:1">
      <c r="A347" s="177"/>
    </row>
    <row r="348" spans="1:1">
      <c r="A348" s="177"/>
    </row>
    <row r="349" spans="1:1">
      <c r="A349" s="177"/>
    </row>
    <row r="350" spans="1:1">
      <c r="A350" s="177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8" customWidth="1"/>
    <col min="2" max="2" width="15.6640625" style="98" customWidth="1"/>
    <col min="3" max="16384" width="8.83203125" style="98"/>
  </cols>
  <sheetData>
    <row r="2" spans="2:14">
      <c r="B2" s="100" t="s">
        <v>314</v>
      </c>
    </row>
    <row r="3" spans="2:14">
      <c r="B3" s="101" t="s">
        <v>315</v>
      </c>
    </row>
    <row r="4" spans="2:14">
      <c r="B4" s="168" t="s">
        <v>91</v>
      </c>
      <c r="C4" s="168" t="s">
        <v>92</v>
      </c>
      <c r="D4" s="168" t="s">
        <v>93</v>
      </c>
      <c r="E4" s="168" t="s">
        <v>94</v>
      </c>
      <c r="F4" s="168" t="s">
        <v>95</v>
      </c>
      <c r="G4" s="168" t="s">
        <v>96</v>
      </c>
      <c r="H4" s="168" t="s">
        <v>97</v>
      </c>
      <c r="I4" s="168" t="s">
        <v>98</v>
      </c>
      <c r="J4" s="168" t="s">
        <v>99</v>
      </c>
      <c r="K4" s="168" t="s">
        <v>100</v>
      </c>
      <c r="L4" s="168" t="s">
        <v>101</v>
      </c>
      <c r="M4" s="168" t="s">
        <v>102</v>
      </c>
      <c r="N4" s="168" t="s">
        <v>103</v>
      </c>
    </row>
    <row r="5" spans="2:14">
      <c r="B5" s="169" t="s">
        <v>104</v>
      </c>
      <c r="C5" s="98">
        <v>0.59508827768891015</v>
      </c>
      <c r="D5" s="98">
        <v>0.64341265163737005</v>
      </c>
      <c r="E5" s="98">
        <v>0.7759253811711484</v>
      </c>
      <c r="F5" s="98">
        <v>0.89320561372843932</v>
      </c>
      <c r="G5" s="98">
        <v>0.69987224253902269</v>
      </c>
      <c r="H5" s="98">
        <v>0.72777535823279504</v>
      </c>
      <c r="I5" s="98">
        <v>0.57980206575475068</v>
      </c>
      <c r="J5" s="98">
        <v>0.61076882679360822</v>
      </c>
      <c r="K5" s="98">
        <v>0.71941344975632626</v>
      </c>
      <c r="L5" s="98">
        <v>0.63853542448738554</v>
      </c>
      <c r="M5" s="98">
        <v>0.52949507236871607</v>
      </c>
      <c r="N5" s="98">
        <v>0.50506380667892714</v>
      </c>
    </row>
    <row r="6" spans="2:14">
      <c r="B6" s="169" t="s">
        <v>105</v>
      </c>
      <c r="C6" s="98">
        <v>0.76070126601362875</v>
      </c>
      <c r="D6" s="98">
        <v>0.71426236168385804</v>
      </c>
      <c r="E6" s="98">
        <v>0.68624756334036441</v>
      </c>
      <c r="F6" s="98">
        <v>0.66107632015994</v>
      </c>
      <c r="G6" s="98">
        <v>0.72120168196722856</v>
      </c>
      <c r="H6" s="98">
        <v>0.72290590929895804</v>
      </c>
      <c r="I6" s="98">
        <v>0.6940632502229146</v>
      </c>
      <c r="J6" s="98">
        <v>0.72822938586647201</v>
      </c>
      <c r="K6" s="98">
        <v>0.69621825660398862</v>
      </c>
      <c r="L6" s="98">
        <v>0.66531450487397903</v>
      </c>
      <c r="M6" s="98">
        <v>0.71805241132495101</v>
      </c>
      <c r="N6" s="98">
        <v>0.63434333758202288</v>
      </c>
    </row>
    <row r="7" spans="2:14">
      <c r="B7" s="169" t="s">
        <v>106</v>
      </c>
      <c r="C7" s="98">
        <v>0.72268471044294191</v>
      </c>
      <c r="D7" s="98">
        <v>0.69987633557037476</v>
      </c>
      <c r="E7" s="98">
        <v>0.7622666772009371</v>
      </c>
      <c r="F7" s="98">
        <v>0.84606349555628724</v>
      </c>
      <c r="G7" s="98">
        <v>0.88902496184409641</v>
      </c>
      <c r="H7" s="98">
        <v>0.76829417753845874</v>
      </c>
      <c r="I7" s="98">
        <v>0.74169047050812487</v>
      </c>
      <c r="J7" s="98">
        <v>0.72365320214131668</v>
      </c>
      <c r="K7" s="98">
        <v>0.69560702898040105</v>
      </c>
      <c r="L7" s="98">
        <v>0.79343527456020013</v>
      </c>
      <c r="M7" s="98">
        <v>0.73083405487211128</v>
      </c>
      <c r="N7" s="98">
        <v>0.70232718996971799</v>
      </c>
    </row>
    <row r="8" spans="2:14">
      <c r="B8" s="169" t="s">
        <v>107</v>
      </c>
      <c r="C8" s="98">
        <v>0.98185267293108625</v>
      </c>
      <c r="D8" s="98">
        <v>0.77926926879183789</v>
      </c>
      <c r="E8" s="98">
        <v>0.67940342859649805</v>
      </c>
      <c r="F8" s="98">
        <v>0.7160990235206588</v>
      </c>
      <c r="G8" s="98">
        <v>0.66367177801381738</v>
      </c>
      <c r="H8" s="98">
        <v>0.68964996577162763</v>
      </c>
      <c r="I8" s="98">
        <v>0.8980278551627443</v>
      </c>
      <c r="J8" s="98">
        <v>0.72694867564713028</v>
      </c>
      <c r="K8" s="98">
        <v>0.70799974613154903</v>
      </c>
      <c r="L8" s="98">
        <v>0.68371223896388111</v>
      </c>
      <c r="M8" s="98">
        <v>0.66608418023934657</v>
      </c>
      <c r="N8" s="98">
        <v>0.65790857731170149</v>
      </c>
    </row>
    <row r="9" spans="2:14">
      <c r="B9" s="169" t="s">
        <v>108</v>
      </c>
      <c r="C9" s="98">
        <v>2.0469048655033113</v>
      </c>
      <c r="D9" s="98">
        <v>2.0238013362884524</v>
      </c>
      <c r="E9" s="98">
        <v>2.0455472266674044</v>
      </c>
      <c r="F9" s="98">
        <v>2.0167536473274232</v>
      </c>
      <c r="G9" s="98">
        <v>2.0125521099567414</v>
      </c>
      <c r="H9" s="98">
        <v>2.0406535482406616</v>
      </c>
      <c r="I9" s="98">
        <v>2.0786087548732759</v>
      </c>
      <c r="J9" s="98">
        <v>2.0917145705223086</v>
      </c>
      <c r="K9" s="98">
        <v>2.0902328169345856</v>
      </c>
      <c r="L9" s="98">
        <v>2.024920997619629</v>
      </c>
      <c r="M9" s="98">
        <v>2.098877695798874</v>
      </c>
      <c r="N9" s="98">
        <v>2.0366938805580141</v>
      </c>
    </row>
    <row r="10" spans="2:14">
      <c r="B10" s="169" t="s">
        <v>109</v>
      </c>
      <c r="C10" s="98">
        <v>0.65293648838996887</v>
      </c>
      <c r="D10" s="98">
        <v>0.69888517856597898</v>
      </c>
      <c r="E10" s="98">
        <v>0.65575956702232363</v>
      </c>
      <c r="F10" s="98">
        <v>0.69472502470016484</v>
      </c>
      <c r="G10" s="98">
        <v>0.66781278252601628</v>
      </c>
      <c r="H10" s="98">
        <v>0.62234711647033691</v>
      </c>
      <c r="I10" s="98">
        <v>0.60610129237174992</v>
      </c>
      <c r="J10" s="98">
        <v>0.60651723146438596</v>
      </c>
      <c r="K10" s="98">
        <v>0.66898401379585271</v>
      </c>
      <c r="L10" s="98">
        <v>0.63418986797332766</v>
      </c>
      <c r="M10" s="98">
        <v>0.64950370192527773</v>
      </c>
      <c r="N10" s="98">
        <v>0.66451801061630256</v>
      </c>
    </row>
    <row r="11" spans="2:14">
      <c r="B11" s="170"/>
      <c r="C11" s="99"/>
      <c r="D11" s="99"/>
      <c r="E11" s="99"/>
      <c r="F11" s="99"/>
      <c r="G11" s="99"/>
    </row>
    <row r="12" spans="2:14">
      <c r="B12" s="102" t="s">
        <v>316</v>
      </c>
      <c r="C12" s="99"/>
      <c r="D12" s="99"/>
      <c r="E12" s="99"/>
      <c r="F12" s="99"/>
      <c r="G12" s="99"/>
    </row>
    <row r="13" spans="2:14">
      <c r="B13" s="169" t="s">
        <v>317</v>
      </c>
      <c r="C13" s="169" t="s">
        <v>92</v>
      </c>
      <c r="D13" s="169" t="s">
        <v>93</v>
      </c>
      <c r="E13" s="168" t="s">
        <v>94</v>
      </c>
      <c r="F13" s="168" t="s">
        <v>95</v>
      </c>
      <c r="G13" s="168" t="s">
        <v>96</v>
      </c>
      <c r="H13" s="168" t="s">
        <v>97</v>
      </c>
      <c r="I13" s="168" t="s">
        <v>98</v>
      </c>
      <c r="J13" s="168" t="s">
        <v>99</v>
      </c>
      <c r="K13" s="168" t="s">
        <v>100</v>
      </c>
      <c r="L13" s="168" t="s">
        <v>101</v>
      </c>
      <c r="M13" s="168" t="s">
        <v>102</v>
      </c>
      <c r="N13" s="168" t="s">
        <v>103</v>
      </c>
    </row>
    <row r="14" spans="2:14">
      <c r="B14" s="168" t="s">
        <v>318</v>
      </c>
      <c r="C14" s="99">
        <v>0.34973536705607911</v>
      </c>
      <c r="D14" s="99">
        <v>0.3510335405330573</v>
      </c>
      <c r="E14" s="99">
        <v>0.3523280611870756</v>
      </c>
      <c r="F14" s="99">
        <v>0.35361528647355034</v>
      </c>
      <c r="G14" s="99">
        <v>0.35489159437572926</v>
      </c>
      <c r="H14" s="98">
        <v>0.35615339359638459</v>
      </c>
      <c r="I14" s="98">
        <v>0.3573971336630673</v>
      </c>
      <c r="J14" s="98">
        <v>0.35861931491848792</v>
      </c>
      <c r="K14" s="98">
        <v>0.35981649836791257</v>
      </c>
      <c r="L14" s="98">
        <v>0.36098531535586564</v>
      </c>
      <c r="M14" s="98">
        <v>0.3621224770449113</v>
      </c>
      <c r="N14" s="98">
        <v>0.36322478366984046</v>
      </c>
    </row>
    <row r="15" spans="2:14">
      <c r="B15" s="168" t="s">
        <v>319</v>
      </c>
      <c r="C15" s="98">
        <v>1.1972566932870639</v>
      </c>
      <c r="D15" s="98">
        <v>1.2004310257982889</v>
      </c>
      <c r="E15" s="98">
        <v>1.2035964263178465</v>
      </c>
      <c r="F15" s="98">
        <v>1.2067439879870612</v>
      </c>
      <c r="G15" s="98">
        <v>1.2098648541425234</v>
      </c>
      <c r="H15" s="98">
        <v>1.2129502432371213</v>
      </c>
      <c r="I15" s="98">
        <v>1.2159914735497097</v>
      </c>
      <c r="J15" s="98">
        <v>1.2189799876138872</v>
      </c>
      <c r="K15" s="98">
        <v>1.2219073762971431</v>
      </c>
      <c r="L15" s="98">
        <v>1.2247654024626202</v>
      </c>
      <c r="M15" s="98">
        <v>1.2275460241469112</v>
      </c>
      <c r="N15" s="98">
        <v>1.2302414171886766</v>
      </c>
    </row>
    <row r="16" spans="2:14">
      <c r="B16" s="99"/>
    </row>
    <row r="17" spans="2:14">
      <c r="B17" s="101" t="s">
        <v>320</v>
      </c>
    </row>
    <row r="18" spans="2:14">
      <c r="B18" s="97" t="s">
        <v>91</v>
      </c>
      <c r="C18" s="97" t="s">
        <v>92</v>
      </c>
      <c r="D18" s="97" t="s">
        <v>93</v>
      </c>
      <c r="E18" s="97" t="s">
        <v>94</v>
      </c>
      <c r="F18" s="97" t="s">
        <v>95</v>
      </c>
      <c r="G18" s="97" t="s">
        <v>96</v>
      </c>
      <c r="H18" s="97" t="s">
        <v>97</v>
      </c>
      <c r="I18" s="97" t="s">
        <v>98</v>
      </c>
      <c r="J18" s="97" t="s">
        <v>99</v>
      </c>
      <c r="K18" s="97" t="s">
        <v>100</v>
      </c>
      <c r="L18" s="97" t="s">
        <v>101</v>
      </c>
      <c r="M18" s="97" t="s">
        <v>102</v>
      </c>
      <c r="N18" s="97" t="s">
        <v>103</v>
      </c>
    </row>
    <row r="19" spans="2:14">
      <c r="B19" s="171" t="s">
        <v>104</v>
      </c>
      <c r="C19" s="98">
        <f>C5</f>
        <v>0.59508827768891015</v>
      </c>
      <c r="D19" s="98">
        <f t="shared" ref="D19:N20" si="0">D5</f>
        <v>0.64341265163737005</v>
      </c>
      <c r="E19" s="98">
        <f t="shared" si="0"/>
        <v>0.7759253811711484</v>
      </c>
      <c r="F19" s="98">
        <f t="shared" si="0"/>
        <v>0.89320561372843932</v>
      </c>
      <c r="G19" s="98">
        <f t="shared" si="0"/>
        <v>0.69987224253902269</v>
      </c>
      <c r="H19" s="98">
        <f t="shared" si="0"/>
        <v>0.72777535823279504</v>
      </c>
      <c r="I19" s="98">
        <f t="shared" si="0"/>
        <v>0.57980206575475068</v>
      </c>
      <c r="J19" s="98">
        <f t="shared" si="0"/>
        <v>0.61076882679360822</v>
      </c>
      <c r="K19" s="98">
        <f t="shared" si="0"/>
        <v>0.71941344975632626</v>
      </c>
      <c r="L19" s="98">
        <f t="shared" si="0"/>
        <v>0.63853542448738554</v>
      </c>
      <c r="M19" s="98">
        <f t="shared" si="0"/>
        <v>0.52949507236871607</v>
      </c>
      <c r="N19" s="98">
        <f t="shared" si="0"/>
        <v>0.50506380667892714</v>
      </c>
    </row>
    <row r="20" spans="2:14">
      <c r="B20" s="171" t="s">
        <v>105</v>
      </c>
      <c r="C20" s="98">
        <f>C6</f>
        <v>0.76070126601362875</v>
      </c>
      <c r="D20" s="98">
        <f t="shared" si="0"/>
        <v>0.71426236168385804</v>
      </c>
      <c r="E20" s="98">
        <f t="shared" si="0"/>
        <v>0.68624756334036441</v>
      </c>
      <c r="F20" s="98">
        <f t="shared" si="0"/>
        <v>0.66107632015994</v>
      </c>
      <c r="G20" s="98">
        <f t="shared" si="0"/>
        <v>0.72120168196722856</v>
      </c>
      <c r="H20" s="98">
        <f t="shared" si="0"/>
        <v>0.72290590929895804</v>
      </c>
      <c r="I20" s="98">
        <f t="shared" si="0"/>
        <v>0.6940632502229146</v>
      </c>
      <c r="J20" s="98">
        <f t="shared" si="0"/>
        <v>0.72822938586647201</v>
      </c>
      <c r="K20" s="98">
        <f t="shared" si="0"/>
        <v>0.69621825660398862</v>
      </c>
      <c r="L20" s="98">
        <f t="shared" si="0"/>
        <v>0.66531450487397903</v>
      </c>
      <c r="M20" s="98">
        <f t="shared" si="0"/>
        <v>0.71805241132495101</v>
      </c>
      <c r="N20" s="98">
        <f t="shared" si="0"/>
        <v>0.63434333758202288</v>
      </c>
    </row>
    <row r="21" spans="2:14">
      <c r="B21" s="171" t="s">
        <v>106</v>
      </c>
      <c r="C21" s="98">
        <f t="shared" ref="C21:N22" si="1">C7</f>
        <v>0.72268471044294191</v>
      </c>
      <c r="D21" s="98">
        <f t="shared" si="1"/>
        <v>0.69987633557037476</v>
      </c>
      <c r="E21" s="98">
        <f t="shared" si="1"/>
        <v>0.7622666772009371</v>
      </c>
      <c r="F21" s="98">
        <f t="shared" si="1"/>
        <v>0.84606349555628724</v>
      </c>
      <c r="G21" s="98">
        <f t="shared" si="1"/>
        <v>0.88902496184409641</v>
      </c>
      <c r="H21" s="98">
        <f t="shared" si="1"/>
        <v>0.76829417753845874</v>
      </c>
      <c r="I21" s="98">
        <f t="shared" si="1"/>
        <v>0.74169047050812487</v>
      </c>
      <c r="J21" s="98">
        <f t="shared" si="1"/>
        <v>0.72365320214131668</v>
      </c>
      <c r="K21" s="98">
        <f t="shared" si="1"/>
        <v>0.69560702898040105</v>
      </c>
      <c r="L21" s="98">
        <f t="shared" si="1"/>
        <v>0.79343527456020013</v>
      </c>
      <c r="M21" s="98">
        <f t="shared" si="1"/>
        <v>0.73083405487211128</v>
      </c>
      <c r="N21" s="98">
        <f t="shared" si="1"/>
        <v>0.70232718996971799</v>
      </c>
    </row>
    <row r="22" spans="2:14">
      <c r="B22" s="171" t="s">
        <v>107</v>
      </c>
      <c r="C22" s="98">
        <f t="shared" si="1"/>
        <v>0.98185267293108625</v>
      </c>
      <c r="D22" s="98">
        <f t="shared" si="1"/>
        <v>0.77926926879183789</v>
      </c>
      <c r="E22" s="98">
        <f t="shared" si="1"/>
        <v>0.67940342859649805</v>
      </c>
      <c r="F22" s="98">
        <f t="shared" si="1"/>
        <v>0.7160990235206588</v>
      </c>
      <c r="G22" s="98">
        <f t="shared" si="1"/>
        <v>0.66367177801381738</v>
      </c>
      <c r="H22" s="98">
        <f t="shared" si="1"/>
        <v>0.68964996577162763</v>
      </c>
      <c r="I22" s="98">
        <f t="shared" si="1"/>
        <v>0.8980278551627443</v>
      </c>
      <c r="J22" s="98">
        <f t="shared" si="1"/>
        <v>0.72694867564713028</v>
      </c>
      <c r="K22" s="98">
        <f t="shared" si="1"/>
        <v>0.70799974613154903</v>
      </c>
      <c r="L22" s="98">
        <f t="shared" si="1"/>
        <v>0.68371223896388111</v>
      </c>
      <c r="M22" s="98">
        <f t="shared" si="1"/>
        <v>0.66608418023934657</v>
      </c>
      <c r="N22" s="98">
        <f t="shared" si="1"/>
        <v>0.65790857731170149</v>
      </c>
    </row>
    <row r="23" spans="2:14">
      <c r="B23" s="171" t="s">
        <v>108</v>
      </c>
      <c r="C23" s="98">
        <f>C9*C14</f>
        <v>0.71587502446567486</v>
      </c>
      <c r="D23" s="98">
        <f t="shared" ref="D23:N24" si="2">D9*D14</f>
        <v>0.71042214841286799</v>
      </c>
      <c r="E23" s="98">
        <f t="shared" si="2"/>
        <v>0.72070368843832611</v>
      </c>
      <c r="F23" s="98">
        <f t="shared" si="2"/>
        <v>0.71315491874626424</v>
      </c>
      <c r="G23" s="98">
        <f t="shared" si="2"/>
        <v>0.71423782706678596</v>
      </c>
      <c r="H23" s="98">
        <f t="shared" si="2"/>
        <v>0.72678568636041518</v>
      </c>
      <c r="I23" s="98">
        <f t="shared" si="2"/>
        <v>0.7428888109986661</v>
      </c>
      <c r="J23" s="98">
        <f t="shared" si="2"/>
        <v>0.75012924628572952</v>
      </c>
      <c r="K23" s="98">
        <f t="shared" si="2"/>
        <v>0.75210025296310068</v>
      </c>
      <c r="L23" s="98">
        <f t="shared" si="2"/>
        <v>0.73096674489643587</v>
      </c>
      <c r="M23" s="98">
        <f t="shared" si="2"/>
        <v>0.76005079021700406</v>
      </c>
      <c r="N23" s="98">
        <f t="shared" si="2"/>
        <v>0.7397776941673726</v>
      </c>
    </row>
    <row r="24" spans="2:14">
      <c r="B24" s="171" t="s">
        <v>109</v>
      </c>
      <c r="C24" s="98">
        <f>C10*C15</f>
        <v>0.78173258101624155</v>
      </c>
      <c r="D24" s="98">
        <f t="shared" si="2"/>
        <v>0.83896345182117849</v>
      </c>
      <c r="E24" s="98">
        <f t="shared" si="2"/>
        <v>0.78926987139180704</v>
      </c>
      <c r="F24" s="98">
        <f t="shared" si="2"/>
        <v>0.83835524686108653</v>
      </c>
      <c r="G24" s="98">
        <f t="shared" si="2"/>
        <v>0.80796321472535138</v>
      </c>
      <c r="H24" s="98">
        <f t="shared" si="2"/>
        <v>0.7548760863006162</v>
      </c>
      <c r="I24" s="98">
        <f t="shared" si="2"/>
        <v>0.7370140036315076</v>
      </c>
      <c r="J24" s="98">
        <f t="shared" si="2"/>
        <v>0.73933236729806628</v>
      </c>
      <c r="K24" s="98">
        <f t="shared" si="2"/>
        <v>0.81743650108202215</v>
      </c>
      <c r="L24" s="98">
        <f t="shared" si="2"/>
        <v>0.77673380888606869</v>
      </c>
      <c r="M24" s="98">
        <f t="shared" si="2"/>
        <v>0.7972956869670752</v>
      </c>
      <c r="N24" s="98">
        <f t="shared" si="2"/>
        <v>0.81751757912800016</v>
      </c>
    </row>
    <row r="25" spans="2:14">
      <c r="B25" s="170"/>
    </row>
    <row r="26" spans="2:14">
      <c r="B26" s="102" t="s">
        <v>321</v>
      </c>
    </row>
    <row r="27" spans="2:14">
      <c r="B27" s="97" t="s">
        <v>322</v>
      </c>
      <c r="C27" s="97" t="s">
        <v>92</v>
      </c>
      <c r="D27" s="97" t="s">
        <v>93</v>
      </c>
      <c r="E27" s="97" t="s">
        <v>94</v>
      </c>
      <c r="F27" s="97" t="s">
        <v>95</v>
      </c>
      <c r="G27" s="97" t="s">
        <v>96</v>
      </c>
      <c r="H27" s="97" t="s">
        <v>97</v>
      </c>
      <c r="I27" s="97" t="s">
        <v>98</v>
      </c>
      <c r="J27" s="97" t="s">
        <v>99</v>
      </c>
      <c r="K27" s="97" t="s">
        <v>100</v>
      </c>
      <c r="L27" s="97" t="s">
        <v>101</v>
      </c>
      <c r="M27" s="97" t="s">
        <v>102</v>
      </c>
      <c r="N27" s="97" t="s">
        <v>103</v>
      </c>
    </row>
    <row r="28" spans="2:14">
      <c r="B28" s="97" t="s">
        <v>104</v>
      </c>
      <c r="C28" s="98">
        <f>IF(C19&lt;=raw_materials!$D17,raw_materials!$C17,IF(C19&lt;=raw_materials!$F17,raw_materials!$E17,IF(C19&lt;=raw_materials!$H17,raw_materials!$G17,0)))</f>
        <v>1</v>
      </c>
      <c r="D28" s="98">
        <f>IF(D19&lt;=raw_materials!$D17,raw_materials!$C17,IF(D19&lt;=raw_materials!$F17,raw_materials!$E17,IF(D19&lt;=raw_materials!$H17,raw_materials!$G17,0)))</f>
        <v>1</v>
      </c>
      <c r="E28" s="98">
        <f>IF(E19&lt;=raw_materials!$D17,raw_materials!$C17,IF(E19&lt;=raw_materials!$F17,raw_materials!$E17,IF(E19&lt;=raw_materials!$H17,raw_materials!$G17,0)))</f>
        <v>1</v>
      </c>
      <c r="F28" s="98">
        <f>IF(F19&lt;=raw_materials!$D17,raw_materials!$C17,IF(F19&lt;=raw_materials!$F17,raw_materials!$E17,IF(F19&lt;=raw_materials!$H17,raw_materials!$G17,0)))</f>
        <v>0.8</v>
      </c>
      <c r="G28" s="98">
        <f>IF(G19&lt;=raw_materials!$D17,raw_materials!$C17,IF(G19&lt;=raw_materials!$F17,raw_materials!$E17,IF(G19&lt;=raw_materials!$H17,raw_materials!$G17,0)))</f>
        <v>1</v>
      </c>
      <c r="H28" s="98">
        <f>IF(H19&lt;=raw_materials!$D17,raw_materials!$C17,IF(H19&lt;=raw_materials!$F17,raw_materials!$E17,IF(H19&lt;=raw_materials!$H17,raw_materials!$G17,0)))</f>
        <v>1</v>
      </c>
      <c r="I28" s="98">
        <f>IF(I19&lt;=raw_materials!$D17,raw_materials!$C17,IF(I19&lt;=raw_materials!$F17,raw_materials!$E17,IF(I19&lt;=raw_materials!$H17,raw_materials!$G17,0)))</f>
        <v>1</v>
      </c>
      <c r="J28" s="98">
        <f>IF(J19&lt;=raw_materials!$D17,raw_materials!$C17,IF(J19&lt;=raw_materials!$F17,raw_materials!$E17,IF(J19&lt;=raw_materials!$H17,raw_materials!$G17,0)))</f>
        <v>1</v>
      </c>
      <c r="K28" s="98">
        <f>IF(K19&lt;=raw_materials!$D17,raw_materials!$C17,IF(K19&lt;=raw_materials!$F17,raw_materials!$E17,IF(K19&lt;=raw_materials!$H17,raw_materials!$G17,0)))</f>
        <v>1</v>
      </c>
      <c r="L28" s="98">
        <f>IF(L19&lt;=raw_materials!$D17,raw_materials!$C17,IF(L19&lt;=raw_materials!$F17,raw_materials!$E17,IF(L19&lt;=raw_materials!$H17,raw_materials!$G17,0)))</f>
        <v>1</v>
      </c>
      <c r="M28" s="98">
        <f>IF(M19&lt;=raw_materials!$D17,raw_materials!$C17,IF(M19&lt;=raw_materials!$F17,raw_materials!$E17,IF(M19&lt;=raw_materials!$H17,raw_materials!$G17,0)))</f>
        <v>1.2</v>
      </c>
      <c r="N28" s="98">
        <f>IF(N19&lt;=raw_materials!$D17,raw_materials!$C17,IF(N19&lt;=raw_materials!$F17,raw_materials!$E17,IF(N19&lt;=raw_materials!$H17,raw_materials!$G17,0)))</f>
        <v>1.2</v>
      </c>
    </row>
    <row r="29" spans="2:14">
      <c r="B29" s="97" t="s">
        <v>105</v>
      </c>
      <c r="C29" s="98">
        <f>IF(C20&lt;=raw_materials!$D18,raw_materials!$C18,IF(C20&lt;=raw_materials!$F18,raw_materials!$E18,IF(C20&lt;=raw_materials!$H18,raw_materials!$G18,0)))</f>
        <v>1</v>
      </c>
      <c r="D29" s="98">
        <f>IF(D20&lt;=raw_materials!$D18,raw_materials!$C18,IF(D20&lt;=raw_materials!$F18,raw_materials!$E18,IF(D20&lt;=raw_materials!$H18,raw_materials!$G18,0)))</f>
        <v>1</v>
      </c>
      <c r="E29" s="98">
        <f>IF(E20&lt;=raw_materials!$D18,raw_materials!$C18,IF(E20&lt;=raw_materials!$F18,raw_materials!$E18,IF(E20&lt;=raw_materials!$H18,raw_materials!$G18,0)))</f>
        <v>1</v>
      </c>
      <c r="F29" s="98">
        <f>IF(F20&lt;=raw_materials!$D18,raw_materials!$C18,IF(F20&lt;=raw_materials!$F18,raw_materials!$E18,IF(F20&lt;=raw_materials!$H18,raw_materials!$G18,0)))</f>
        <v>1</v>
      </c>
      <c r="G29" s="98">
        <f>IF(G20&lt;=raw_materials!$D18,raw_materials!$C18,IF(G20&lt;=raw_materials!$F18,raw_materials!$E18,IF(G20&lt;=raw_materials!$H18,raw_materials!$G18,0)))</f>
        <v>1</v>
      </c>
      <c r="H29" s="98">
        <f>IF(H20&lt;=raw_materials!$D18,raw_materials!$C18,IF(H20&lt;=raw_materials!$F18,raw_materials!$E18,IF(H20&lt;=raw_materials!$H18,raw_materials!$G18,0)))</f>
        <v>1</v>
      </c>
      <c r="I29" s="98">
        <f>IF(I20&lt;=raw_materials!$D18,raw_materials!$C18,IF(I20&lt;=raw_materials!$F18,raw_materials!$E18,IF(I20&lt;=raw_materials!$H18,raw_materials!$G18,0)))</f>
        <v>1</v>
      </c>
      <c r="J29" s="98">
        <f>IF(J20&lt;=raw_materials!$D18,raw_materials!$C18,IF(J20&lt;=raw_materials!$F18,raw_materials!$E18,IF(J20&lt;=raw_materials!$H18,raw_materials!$G18,0)))</f>
        <v>1</v>
      </c>
      <c r="K29" s="98">
        <f>IF(K20&lt;=raw_materials!$D18,raw_materials!$C18,IF(K20&lt;=raw_materials!$F18,raw_materials!$E18,IF(K20&lt;=raw_materials!$H18,raw_materials!$G18,0)))</f>
        <v>1</v>
      </c>
      <c r="L29" s="98">
        <f>IF(L20&lt;=raw_materials!$D18,raw_materials!$C18,IF(L20&lt;=raw_materials!$F18,raw_materials!$E18,IF(L20&lt;=raw_materials!$H18,raw_materials!$G18,0)))</f>
        <v>1</v>
      </c>
      <c r="M29" s="98">
        <f>IF(M20&lt;=raw_materials!$D18,raw_materials!$C18,IF(M20&lt;=raw_materials!$F18,raw_materials!$E18,IF(M20&lt;=raw_materials!$H18,raw_materials!$G18,0)))</f>
        <v>1</v>
      </c>
      <c r="N29" s="98">
        <f>IF(N20&lt;=raw_materials!$D18,raw_materials!$C18,IF(N20&lt;=raw_materials!$F18,raw_materials!$E18,IF(N20&lt;=raw_materials!$H18,raw_materials!$G18,0)))</f>
        <v>1.2</v>
      </c>
    </row>
    <row r="30" spans="2:14">
      <c r="B30" s="97" t="s">
        <v>106</v>
      </c>
      <c r="C30" s="98">
        <f>IF(C21&lt;=raw_materials!$D19,raw_materials!$C19,IF(C21&lt;=raw_materials!$F19,raw_materials!$E19,IF(C21&lt;=raw_materials!$H19,raw_materials!$G19,0)))</f>
        <v>1</v>
      </c>
      <c r="D30" s="98">
        <f>IF(D21&lt;=raw_materials!$D19,raw_materials!$C19,IF(D21&lt;=raw_materials!$F19,raw_materials!$E19,IF(D21&lt;=raw_materials!$H19,raw_materials!$G19,0)))</f>
        <v>1</v>
      </c>
      <c r="E30" s="98">
        <f>IF(E21&lt;=raw_materials!$D19,raw_materials!$C19,IF(E21&lt;=raw_materials!$F19,raw_materials!$E19,IF(E21&lt;=raw_materials!$H19,raw_materials!$G19,0)))</f>
        <v>1</v>
      </c>
      <c r="F30" s="98">
        <f>IF(F21&lt;=raw_materials!$D19,raw_materials!$C19,IF(F21&lt;=raw_materials!$F19,raw_materials!$E19,IF(F21&lt;=raw_materials!$H19,raw_materials!$G19,0)))</f>
        <v>0.8</v>
      </c>
      <c r="G30" s="98">
        <f>IF(G21&lt;=raw_materials!$D19,raw_materials!$C19,IF(G21&lt;=raw_materials!$F19,raw_materials!$E19,IF(G21&lt;=raw_materials!$H19,raw_materials!$G19,0)))</f>
        <v>0.8</v>
      </c>
      <c r="H30" s="98">
        <f>IF(H21&lt;=raw_materials!$D19,raw_materials!$C19,IF(H21&lt;=raw_materials!$F19,raw_materials!$E19,IF(H21&lt;=raw_materials!$H19,raw_materials!$G19,0)))</f>
        <v>1</v>
      </c>
      <c r="I30" s="98">
        <f>IF(I21&lt;=raw_materials!$D19,raw_materials!$C19,IF(I21&lt;=raw_materials!$F19,raw_materials!$E19,IF(I21&lt;=raw_materials!$H19,raw_materials!$G19,0)))</f>
        <v>1</v>
      </c>
      <c r="J30" s="98">
        <f>IF(J21&lt;=raw_materials!$D19,raw_materials!$C19,IF(J21&lt;=raw_materials!$F19,raw_materials!$E19,IF(J21&lt;=raw_materials!$H19,raw_materials!$G19,0)))</f>
        <v>1</v>
      </c>
      <c r="K30" s="98">
        <f>IF(K21&lt;=raw_materials!$D19,raw_materials!$C19,IF(K21&lt;=raw_materials!$F19,raw_materials!$E19,IF(K21&lt;=raw_materials!$H19,raw_materials!$G19,0)))</f>
        <v>1</v>
      </c>
      <c r="L30" s="98">
        <f>IF(L21&lt;=raw_materials!$D19,raw_materials!$C19,IF(L21&lt;=raw_materials!$F19,raw_materials!$E19,IF(L21&lt;=raw_materials!$H19,raw_materials!$G19,0)))</f>
        <v>1</v>
      </c>
      <c r="M30" s="98">
        <f>IF(M21&lt;=raw_materials!$D19,raw_materials!$C19,IF(M21&lt;=raw_materials!$F19,raw_materials!$E19,IF(M21&lt;=raw_materials!$H19,raw_materials!$G19,0)))</f>
        <v>1</v>
      </c>
      <c r="N30" s="98">
        <f>IF(N21&lt;=raw_materials!$D19,raw_materials!$C19,IF(N21&lt;=raw_materials!$F19,raw_materials!$E19,IF(N21&lt;=raw_materials!$H19,raw_materials!$G19,0)))</f>
        <v>1</v>
      </c>
    </row>
    <row r="31" spans="2:14">
      <c r="B31" s="97" t="s">
        <v>107</v>
      </c>
      <c r="C31" s="98">
        <f>IF(C22&lt;=raw_materials!$D20,raw_materials!$C20,IF(C22&lt;=raw_materials!$F20,raw_materials!$E20,IF(C22&lt;=raw_materials!$H20,raw_materials!$G20,0)))</f>
        <v>0.8</v>
      </c>
      <c r="D31" s="98">
        <f>IF(D22&lt;=raw_materials!$D20,raw_materials!$C20,IF(D22&lt;=raw_materials!$F20,raw_materials!$E20,IF(D22&lt;=raw_materials!$H20,raw_materials!$G20,0)))</f>
        <v>1</v>
      </c>
      <c r="E31" s="98">
        <f>IF(E22&lt;=raw_materials!$D20,raw_materials!$C20,IF(E22&lt;=raw_materials!$F20,raw_materials!$E20,IF(E22&lt;=raw_materials!$H20,raw_materials!$G20,0)))</f>
        <v>1</v>
      </c>
      <c r="F31" s="98">
        <f>IF(F22&lt;=raw_materials!$D20,raw_materials!$C20,IF(F22&lt;=raw_materials!$F20,raw_materials!$E20,IF(F22&lt;=raw_materials!$H20,raw_materials!$G20,0)))</f>
        <v>1</v>
      </c>
      <c r="G31" s="98">
        <f>IF(G22&lt;=raw_materials!$D20,raw_materials!$C20,IF(G22&lt;=raw_materials!$F20,raw_materials!$E20,IF(G22&lt;=raw_materials!$H20,raw_materials!$G20,0)))</f>
        <v>1</v>
      </c>
      <c r="H31" s="98">
        <f>IF(H22&lt;=raw_materials!$D20,raw_materials!$C20,IF(H22&lt;=raw_materials!$F20,raw_materials!$E20,IF(H22&lt;=raw_materials!$H20,raw_materials!$G20,0)))</f>
        <v>1</v>
      </c>
      <c r="I31" s="98">
        <f>IF(I22&lt;=raw_materials!$D20,raw_materials!$C20,IF(I22&lt;=raw_materials!$F20,raw_materials!$E20,IF(I22&lt;=raw_materials!$H20,raw_materials!$G20,0)))</f>
        <v>0.8</v>
      </c>
      <c r="J31" s="98">
        <f>IF(J22&lt;=raw_materials!$D20,raw_materials!$C20,IF(J22&lt;=raw_materials!$F20,raw_materials!$E20,IF(J22&lt;=raw_materials!$H20,raw_materials!$G20,0)))</f>
        <v>1</v>
      </c>
      <c r="K31" s="98">
        <f>IF(K22&lt;=raw_materials!$D20,raw_materials!$C20,IF(K22&lt;=raw_materials!$F20,raw_materials!$E20,IF(K22&lt;=raw_materials!$H20,raw_materials!$G20,0)))</f>
        <v>1</v>
      </c>
      <c r="L31" s="98">
        <f>IF(L22&lt;=raw_materials!$D20,raw_materials!$C20,IF(L22&lt;=raw_materials!$F20,raw_materials!$E20,IF(L22&lt;=raw_materials!$H20,raw_materials!$G20,0)))</f>
        <v>1</v>
      </c>
      <c r="M31" s="98">
        <f>IF(M22&lt;=raw_materials!$D20,raw_materials!$C20,IF(M22&lt;=raw_materials!$F20,raw_materials!$E20,IF(M22&lt;=raw_materials!$H20,raw_materials!$G20,0)))</f>
        <v>1</v>
      </c>
      <c r="N31" s="98">
        <f>IF(N22&lt;=raw_materials!$D20,raw_materials!$C20,IF(N22&lt;=raw_materials!$F20,raw_materials!$E20,IF(N22&lt;=raw_materials!$H20,raw_materials!$G20,0)))</f>
        <v>1</v>
      </c>
    </row>
    <row r="32" spans="2:14">
      <c r="B32" s="97" t="s">
        <v>108</v>
      </c>
      <c r="C32" s="98">
        <f>IF(C23&lt;=raw_materials!$D21,raw_materials!$C21,IF(C23&lt;=raw_materials!$F21,raw_materials!$E21,IF(C23&lt;=raw_materials!$H21,raw_materials!$G21,0)))</f>
        <v>1.2</v>
      </c>
      <c r="D32" s="98">
        <f>IF(D23&lt;=raw_materials!$D21,raw_materials!$C21,IF(D23&lt;=raw_materials!$F21,raw_materials!$E21,IF(D23&lt;=raw_materials!$H21,raw_materials!$G21,0)))</f>
        <v>1.2</v>
      </c>
      <c r="E32" s="98">
        <f>IF(E23&lt;=raw_materials!$D21,raw_materials!$C21,IF(E23&lt;=raw_materials!$F21,raw_materials!$E21,IF(E23&lt;=raw_materials!$H21,raw_materials!$G21,0)))</f>
        <v>1.2</v>
      </c>
      <c r="F32" s="98">
        <f>IF(F23&lt;=raw_materials!$D21,raw_materials!$C21,IF(F23&lt;=raw_materials!$F21,raw_materials!$E21,IF(F23&lt;=raw_materials!$H21,raw_materials!$G21,0)))</f>
        <v>1.2</v>
      </c>
      <c r="G32" s="98">
        <f>IF(G23&lt;=raw_materials!$D21,raw_materials!$C21,IF(G23&lt;=raw_materials!$F21,raw_materials!$E21,IF(G23&lt;=raw_materials!$H21,raw_materials!$G21,0)))</f>
        <v>1.2</v>
      </c>
      <c r="H32" s="98">
        <f>IF(H23&lt;=raw_materials!$D21,raw_materials!$C21,IF(H23&lt;=raw_materials!$F21,raw_materials!$E21,IF(H23&lt;=raw_materials!$H21,raw_materials!$G21,0)))</f>
        <v>1.2</v>
      </c>
      <c r="I32" s="98">
        <f>IF(I23&lt;=raw_materials!$D21,raw_materials!$C21,IF(I23&lt;=raw_materials!$F21,raw_materials!$E21,IF(I23&lt;=raw_materials!$H21,raw_materials!$G21,0)))</f>
        <v>1</v>
      </c>
      <c r="J32" s="98">
        <f>IF(J23&lt;=raw_materials!$D21,raw_materials!$C21,IF(J23&lt;=raw_materials!$F21,raw_materials!$E21,IF(J23&lt;=raw_materials!$H21,raw_materials!$G21,0)))</f>
        <v>1</v>
      </c>
      <c r="K32" s="98">
        <f>IF(K23&lt;=raw_materials!$D21,raw_materials!$C21,IF(K23&lt;=raw_materials!$F21,raw_materials!$E21,IF(K23&lt;=raw_materials!$H21,raw_materials!$G21,0)))</f>
        <v>1</v>
      </c>
      <c r="L32" s="98">
        <f>IF(L23&lt;=raw_materials!$D21,raw_materials!$C21,IF(L23&lt;=raw_materials!$F21,raw_materials!$E21,IF(L23&lt;=raw_materials!$H21,raw_materials!$G21,0)))</f>
        <v>1</v>
      </c>
      <c r="M32" s="98">
        <f>IF(M23&lt;=raw_materials!$D21,raw_materials!$C21,IF(M23&lt;=raw_materials!$F21,raw_materials!$E21,IF(M23&lt;=raw_materials!$H21,raw_materials!$G21,0)))</f>
        <v>0.8</v>
      </c>
      <c r="N32" s="98">
        <f>IF(N23&lt;=raw_materials!$D21,raw_materials!$C21,IF(N23&lt;=raw_materials!$F21,raw_materials!$E21,IF(N23&lt;=raw_materials!$H21,raw_materials!$G21,0)))</f>
        <v>1</v>
      </c>
    </row>
    <row r="33" spans="2:50">
      <c r="B33" s="97" t="s">
        <v>109</v>
      </c>
      <c r="C33" s="98">
        <f>IF(C24&lt;=raw_materials!$D22,raw_materials!$C22,IF(C24&lt;=raw_materials!$F22,raw_materials!$E22,IF(C24&lt;=raw_materials!$H22,raw_materials!$G22,0)))</f>
        <v>0.8</v>
      </c>
      <c r="D33" s="98">
        <f>IF(D24&lt;=raw_materials!$D22,raw_materials!$C22,IF(D24&lt;=raw_materials!$F22,raw_materials!$E22,IF(D24&lt;=raw_materials!$H22,raw_materials!$G22,0)))</f>
        <v>0</v>
      </c>
      <c r="E33" s="98">
        <f>IF(E24&lt;=raw_materials!$D22,raw_materials!$C22,IF(E24&lt;=raw_materials!$F22,raw_materials!$E22,IF(E24&lt;=raw_materials!$H22,raw_materials!$G22,0)))</f>
        <v>0.8</v>
      </c>
      <c r="F33" s="98">
        <f>IF(F24&lt;=raw_materials!$D22,raw_materials!$C22,IF(F24&lt;=raw_materials!$F22,raw_materials!$E22,IF(F24&lt;=raw_materials!$H22,raw_materials!$G22,0)))</f>
        <v>0</v>
      </c>
      <c r="G33" s="98">
        <f>IF(G24&lt;=raw_materials!$D22,raw_materials!$C22,IF(G24&lt;=raw_materials!$F22,raw_materials!$E22,IF(G24&lt;=raw_materials!$H22,raw_materials!$G22,0)))</f>
        <v>0</v>
      </c>
      <c r="H33" s="98">
        <f>IF(H24&lt;=raw_materials!$D22,raw_materials!$C22,IF(H24&lt;=raw_materials!$F22,raw_materials!$E22,IF(H24&lt;=raw_materials!$H22,raw_materials!$G22,0)))</f>
        <v>0.8</v>
      </c>
      <c r="I33" s="98">
        <f>IF(I24&lt;=raw_materials!$D22,raw_materials!$C22,IF(I24&lt;=raw_materials!$F22,raw_materials!$E22,IF(I24&lt;=raw_materials!$H22,raw_materials!$G22,0)))</f>
        <v>1</v>
      </c>
      <c r="J33" s="98">
        <f>IF(J24&lt;=raw_materials!$D22,raw_materials!$C22,IF(J24&lt;=raw_materials!$F22,raw_materials!$E22,IF(J24&lt;=raw_materials!$H22,raw_materials!$G22,0)))</f>
        <v>1</v>
      </c>
      <c r="K33" s="98">
        <f>IF(K24&lt;=raw_materials!$D22,raw_materials!$C22,IF(K24&lt;=raw_materials!$F22,raw_materials!$E22,IF(K24&lt;=raw_materials!$H22,raw_materials!$G22,0)))</f>
        <v>0</v>
      </c>
      <c r="L33" s="98">
        <f>IF(L24&lt;=raw_materials!$D22,raw_materials!$C22,IF(L24&lt;=raw_materials!$F22,raw_materials!$E22,IF(L24&lt;=raw_materials!$H22,raw_materials!$G22,0)))</f>
        <v>0.8</v>
      </c>
      <c r="M33" s="98">
        <f>IF(M24&lt;=raw_materials!$D22,raw_materials!$C22,IF(M24&lt;=raw_materials!$F22,raw_materials!$E22,IF(M24&lt;=raw_materials!$H22,raw_materials!$G22,0)))</f>
        <v>0.8</v>
      </c>
      <c r="N33" s="98">
        <f>IF(N24&lt;=raw_materials!$D22,raw_materials!$C22,IF(N24&lt;=raw_materials!$F22,raw_materials!$E22,IF(N24&lt;=raw_materials!$H22,raw_materials!$G22,0)))</f>
        <v>0</v>
      </c>
    </row>
    <row r="35" spans="2:50">
      <c r="B35" s="101" t="s">
        <v>323</v>
      </c>
    </row>
    <row r="36" spans="2:50">
      <c r="B36" s="168" t="s">
        <v>275</v>
      </c>
      <c r="C36" s="168" t="s">
        <v>92</v>
      </c>
      <c r="D36" s="99"/>
      <c r="E36" s="99"/>
      <c r="F36" s="99"/>
      <c r="G36" s="168" t="s">
        <v>93</v>
      </c>
      <c r="H36" s="99"/>
      <c r="I36" s="99"/>
      <c r="J36" s="99"/>
      <c r="K36" s="168" t="s">
        <v>94</v>
      </c>
      <c r="L36" s="99"/>
      <c r="M36" s="99"/>
      <c r="N36" s="99"/>
      <c r="O36" s="168" t="s">
        <v>95</v>
      </c>
      <c r="P36" s="99"/>
      <c r="Q36" s="99"/>
      <c r="R36" s="99"/>
      <c r="S36" s="168" t="s">
        <v>96</v>
      </c>
      <c r="T36" s="99"/>
      <c r="U36" s="99"/>
      <c r="V36" s="99"/>
      <c r="W36" s="168" t="s">
        <v>97</v>
      </c>
      <c r="X36" s="99"/>
      <c r="Y36" s="99"/>
      <c r="Z36" s="99"/>
      <c r="AA36" s="168" t="s">
        <v>98</v>
      </c>
      <c r="AB36" s="99"/>
      <c r="AC36" s="99"/>
      <c r="AD36" s="99"/>
      <c r="AE36" s="168" t="s">
        <v>99</v>
      </c>
      <c r="AF36" s="99"/>
      <c r="AG36" s="99"/>
      <c r="AH36" s="99"/>
      <c r="AI36" s="168" t="s">
        <v>100</v>
      </c>
      <c r="AJ36" s="99"/>
      <c r="AK36" s="99"/>
      <c r="AL36" s="99"/>
      <c r="AM36" s="168" t="s">
        <v>101</v>
      </c>
      <c r="AN36" s="99"/>
      <c r="AO36" s="99"/>
      <c r="AP36" s="99"/>
      <c r="AQ36" s="168" t="s">
        <v>102</v>
      </c>
      <c r="AR36" s="99"/>
      <c r="AS36" s="99"/>
      <c r="AT36" s="99"/>
      <c r="AU36" s="168" t="s">
        <v>103</v>
      </c>
      <c r="AV36" s="99"/>
      <c r="AW36" s="99"/>
      <c r="AX36" s="99"/>
    </row>
    <row r="37" spans="2:50">
      <c r="B37" s="168" t="s">
        <v>324</v>
      </c>
      <c r="C37" s="168">
        <v>1</v>
      </c>
      <c r="D37" s="168">
        <v>2</v>
      </c>
      <c r="E37" s="168">
        <v>3</v>
      </c>
      <c r="F37" s="168">
        <v>4</v>
      </c>
      <c r="G37" s="168">
        <v>1</v>
      </c>
      <c r="H37" s="168">
        <v>2</v>
      </c>
      <c r="I37" s="168">
        <v>3</v>
      </c>
      <c r="J37" s="168">
        <v>4</v>
      </c>
      <c r="K37" s="168">
        <v>1</v>
      </c>
      <c r="L37" s="168">
        <v>2</v>
      </c>
      <c r="M37" s="168">
        <v>3</v>
      </c>
      <c r="N37" s="168">
        <v>4</v>
      </c>
      <c r="O37" s="168">
        <v>1</v>
      </c>
      <c r="P37" s="168">
        <v>2</v>
      </c>
      <c r="Q37" s="168">
        <v>3</v>
      </c>
      <c r="R37" s="168">
        <v>4</v>
      </c>
      <c r="S37" s="168">
        <v>1</v>
      </c>
      <c r="T37" s="168">
        <v>2</v>
      </c>
      <c r="U37" s="168">
        <v>3</v>
      </c>
      <c r="V37" s="168">
        <v>4</v>
      </c>
      <c r="W37" s="168">
        <v>1</v>
      </c>
      <c r="X37" s="168">
        <v>2</v>
      </c>
      <c r="Y37" s="168">
        <v>3</v>
      </c>
      <c r="Z37" s="168">
        <v>4</v>
      </c>
      <c r="AA37" s="168">
        <v>1</v>
      </c>
      <c r="AB37" s="168">
        <v>2</v>
      </c>
      <c r="AC37" s="168">
        <v>3</v>
      </c>
      <c r="AD37" s="168">
        <v>4</v>
      </c>
      <c r="AE37" s="168">
        <v>1</v>
      </c>
      <c r="AF37" s="168">
        <v>2</v>
      </c>
      <c r="AG37" s="168">
        <v>3</v>
      </c>
      <c r="AH37" s="168">
        <v>4</v>
      </c>
      <c r="AI37" s="168">
        <v>1</v>
      </c>
      <c r="AJ37" s="168">
        <v>2</v>
      </c>
      <c r="AK37" s="168">
        <v>3</v>
      </c>
      <c r="AL37" s="168">
        <v>4</v>
      </c>
      <c r="AM37" s="168">
        <v>1</v>
      </c>
      <c r="AN37" s="168">
        <v>2</v>
      </c>
      <c r="AO37" s="168">
        <v>3</v>
      </c>
      <c r="AP37" s="168">
        <v>4</v>
      </c>
      <c r="AQ37" s="168">
        <v>1</v>
      </c>
      <c r="AR37" s="168">
        <v>2</v>
      </c>
      <c r="AS37" s="168">
        <v>3</v>
      </c>
      <c r="AT37" s="168">
        <v>4</v>
      </c>
      <c r="AU37" s="168">
        <v>1</v>
      </c>
      <c r="AV37" s="168">
        <v>2</v>
      </c>
      <c r="AW37" s="168">
        <v>3</v>
      </c>
      <c r="AX37" s="168">
        <v>4</v>
      </c>
    </row>
    <row r="38" spans="2:50">
      <c r="B38" s="168" t="s">
        <v>104</v>
      </c>
      <c r="C38" s="98">
        <v>25054.902514011505</v>
      </c>
      <c r="D38" s="98">
        <v>25109.81675262624</v>
      </c>
      <c r="E38" s="98">
        <v>25164.733912812586</v>
      </c>
      <c r="F38" s="98">
        <v>25219.64518704552</v>
      </c>
      <c r="G38" s="98">
        <v>25274.541764850626</v>
      </c>
      <c r="H38" s="98">
        <v>25329.41483434946</v>
      </c>
      <c r="I38" s="98">
        <v>25384.255583806131</v>
      </c>
      <c r="J38" s="98">
        <v>25439.055203174696</v>
      </c>
      <c r="K38" s="98">
        <v>25493.804885647136</v>
      </c>
      <c r="L38" s="98">
        <v>10219.398331680677</v>
      </c>
      <c r="M38" s="98">
        <v>25603.119238151201</v>
      </c>
      <c r="N38" s="98">
        <v>25657.666324691218</v>
      </c>
      <c r="O38" s="98">
        <v>25712.128310447646</v>
      </c>
      <c r="P38" s="98">
        <v>10619.769969808851</v>
      </c>
      <c r="Q38" s="98">
        <v>8609.5216549976667</v>
      </c>
      <c r="R38" s="98">
        <v>3200.2307235444814</v>
      </c>
      <c r="S38" s="98">
        <v>9114.3687099970721</v>
      </c>
      <c r="T38" s="98">
        <v>25982.855339308269</v>
      </c>
      <c r="U38" s="98">
        <v>26036.623097350748</v>
      </c>
      <c r="V38" s="98">
        <v>26090.24469980675</v>
      </c>
      <c r="W38" s="98">
        <v>18300.598049515342</v>
      </c>
      <c r="X38" s="98">
        <v>18337.910410242886</v>
      </c>
      <c r="Y38" s="98">
        <v>26250.146217950878</v>
      </c>
      <c r="Z38" s="98">
        <v>26303.096964916222</v>
      </c>
      <c r="AA38" s="98">
        <v>26355.858567616488</v>
      </c>
      <c r="AB38" s="98">
        <v>26408.422510375025</v>
      </c>
      <c r="AC38" s="98">
        <v>26460.780308405316</v>
      </c>
      <c r="AD38" s="98">
        <v>26512.923509318131</v>
      </c>
      <c r="AE38" s="98">
        <v>26564.8436946238</v>
      </c>
      <c r="AF38" s="98">
        <v>26616.532481229282</v>
      </c>
      <c r="AG38" s="98">
        <v>26667.981522929855</v>
      </c>
      <c r="AH38" s="98">
        <v>26719.182511895149</v>
      </c>
      <c r="AI38" s="98">
        <v>26770.127180149142</v>
      </c>
      <c r="AJ38" s="98">
        <v>26820.807301044035</v>
      </c>
      <c r="AK38" s="98">
        <v>18809.850283509291</v>
      </c>
      <c r="AL38" s="98">
        <v>26921.341209603564</v>
      </c>
      <c r="AM38" s="98">
        <v>26971.178763785614</v>
      </c>
      <c r="AN38" s="98">
        <v>27020.719306543244</v>
      </c>
      <c r="AO38" s="98">
        <v>18948.968387818528</v>
      </c>
      <c r="AP38" s="98">
        <v>10847.550966107259</v>
      </c>
      <c r="AQ38" s="98">
        <v>27167.47913646403</v>
      </c>
      <c r="AR38" s="98">
        <v>27215.752159530173</v>
      </c>
      <c r="AS38" s="98">
        <v>27263.688694937566</v>
      </c>
      <c r="AT38" s="98">
        <v>27311.281008823513</v>
      </c>
      <c r="AU38" s="98">
        <v>27358.521424379818</v>
      </c>
      <c r="AV38" s="98">
        <v>27405.40232323145</v>
      </c>
      <c r="AW38" s="98">
        <v>27451.916146805794</v>
      </c>
      <c r="AX38" s="98">
        <v>27498.055397691911</v>
      </c>
    </row>
    <row r="39" spans="2:50">
      <c r="B39" s="168" t="s">
        <v>105</v>
      </c>
      <c r="C39" s="98">
        <v>15032.941508406904</v>
      </c>
      <c r="D39" s="98">
        <v>15065.890051575743</v>
      </c>
      <c r="E39" s="98">
        <v>15098.84034768755</v>
      </c>
      <c r="F39" s="98">
        <v>15131.787112227312</v>
      </c>
      <c r="G39" s="98">
        <v>15164.725058910377</v>
      </c>
      <c r="H39" s="98">
        <v>15197.648900609674</v>
      </c>
      <c r="I39" s="98">
        <v>15230.553350283679</v>
      </c>
      <c r="J39" s="98">
        <v>15263.433121904818</v>
      </c>
      <c r="K39" s="98">
        <v>15296.282931388283</v>
      </c>
      <c r="L39" s="98">
        <v>15329.097497521014</v>
      </c>
      <c r="M39" s="98">
        <v>15361.87154289072</v>
      </c>
      <c r="N39" s="98">
        <v>10776.21985637031</v>
      </c>
      <c r="O39" s="98">
        <v>15427.276986268587</v>
      </c>
      <c r="P39" s="98">
        <v>15459.897856814132</v>
      </c>
      <c r="Q39" s="98">
        <v>15492.457153526968</v>
      </c>
      <c r="R39" s="98">
        <v>15524.949631923135</v>
      </c>
      <c r="S39" s="98">
        <v>15557.370056884829</v>
      </c>
      <c r="T39" s="98">
        <v>15589.713203584963</v>
      </c>
      <c r="U39" s="98">
        <v>15621.973858410449</v>
      </c>
      <c r="V39" s="98">
        <v>15654.14681988405</v>
      </c>
      <c r="W39" s="98">
        <v>15686.226899584581</v>
      </c>
      <c r="X39" s="98">
        <v>15718.208923065331</v>
      </c>
      <c r="Y39" s="98">
        <v>15750.087730770527</v>
      </c>
      <c r="Z39" s="98">
        <v>15781.858178949733</v>
      </c>
      <c r="AA39" s="98">
        <v>15813.515140569893</v>
      </c>
      <c r="AB39" s="98">
        <v>15845.053506225015</v>
      </c>
      <c r="AC39" s="98">
        <v>15876.468185043188</v>
      </c>
      <c r="AD39" s="98">
        <v>15907.754105590879</v>
      </c>
      <c r="AE39" s="98">
        <v>15938.90621677428</v>
      </c>
      <c r="AF39" s="98">
        <v>11178.943642116297</v>
      </c>
      <c r="AG39" s="98">
        <v>16000.788913757913</v>
      </c>
      <c r="AH39" s="98">
        <v>16031.509507137089</v>
      </c>
      <c r="AI39" s="98">
        <v>16062.076308089485</v>
      </c>
      <c r="AJ39" s="98">
        <v>16092.48438062642</v>
      </c>
      <c r="AK39" s="98">
        <v>16122.728814436536</v>
      </c>
      <c r="AL39" s="98">
        <v>16152.80472576214</v>
      </c>
      <c r="AM39" s="98">
        <v>16182.707258271368</v>
      </c>
      <c r="AN39" s="98">
        <v>16212.431583925947</v>
      </c>
      <c r="AO39" s="98">
        <v>16241.972903844453</v>
      </c>
      <c r="AP39" s="98">
        <v>16271.326449160888</v>
      </c>
      <c r="AQ39" s="98">
        <v>16300.487481878417</v>
      </c>
      <c r="AR39" s="98">
        <v>16329.451295718105</v>
      </c>
      <c r="AS39" s="98">
        <v>16358.213216962538</v>
      </c>
      <c r="AT39" s="98">
        <v>16386.768605294106</v>
      </c>
      <c r="AU39" s="98">
        <v>16415.112854627889</v>
      </c>
      <c r="AV39" s="98">
        <v>16443.241393938872</v>
      </c>
      <c r="AW39" s="98">
        <v>16471.149688083475</v>
      </c>
      <c r="AX39" s="98">
        <v>16498.833238615145</v>
      </c>
    </row>
    <row r="40" spans="2:50">
      <c r="B40" s="168" t="s">
        <v>106</v>
      </c>
      <c r="C40" s="98">
        <v>5010.9805028023011</v>
      </c>
      <c r="D40" s="98">
        <v>5021.9633505252477</v>
      </c>
      <c r="E40" s="98">
        <v>3523.0627477937614</v>
      </c>
      <c r="F40" s="98">
        <v>5043.9290374091042</v>
      </c>
      <c r="G40" s="98">
        <v>5054.9083529701256</v>
      </c>
      <c r="H40" s="98">
        <v>5065.8829668698918</v>
      </c>
      <c r="I40" s="98">
        <v>5076.851116761226</v>
      </c>
      <c r="J40" s="98">
        <v>5087.8110406349388</v>
      </c>
      <c r="K40" s="98">
        <v>3569.1326839905992</v>
      </c>
      <c r="L40" s="98">
        <v>3576.7894160882365</v>
      </c>
      <c r="M40" s="98">
        <v>5120.6238476302397</v>
      </c>
      <c r="N40" s="98">
        <v>5131.5332649382435</v>
      </c>
      <c r="O40" s="98">
        <v>5142.4256620895294</v>
      </c>
      <c r="P40" s="98">
        <v>3607.3094999232972</v>
      </c>
      <c r="Q40" s="98">
        <v>5164.1523845089887</v>
      </c>
      <c r="R40" s="98">
        <v>2069.9932842564181</v>
      </c>
      <c r="S40" s="98">
        <v>3630.0530132731265</v>
      </c>
      <c r="T40" s="98">
        <v>2078.6284271446616</v>
      </c>
      <c r="U40" s="98">
        <v>5207.3246194701496</v>
      </c>
      <c r="V40" s="98">
        <v>3652.6342579729449</v>
      </c>
      <c r="W40" s="98">
        <v>3660.1196099030685</v>
      </c>
      <c r="X40" s="98">
        <v>5239.40297435511</v>
      </c>
      <c r="Y40" s="98">
        <v>5250.0292435901756</v>
      </c>
      <c r="Z40" s="98">
        <v>5260.6193929832443</v>
      </c>
      <c r="AA40" s="98">
        <v>5271.1717135232975</v>
      </c>
      <c r="AB40" s="98">
        <v>3697.179151452503</v>
      </c>
      <c r="AC40" s="98">
        <v>5292.156061681063</v>
      </c>
      <c r="AD40" s="98">
        <v>5302.5847018636268</v>
      </c>
      <c r="AE40" s="98">
        <v>5312.9687389247601</v>
      </c>
      <c r="AF40" s="98">
        <v>5323.3064962458566</v>
      </c>
      <c r="AG40" s="98">
        <v>5333.5963045859717</v>
      </c>
      <c r="AH40" s="98">
        <v>3740.6855516653204</v>
      </c>
      <c r="AI40" s="98">
        <v>5354.0254360298286</v>
      </c>
      <c r="AJ40" s="98">
        <v>5364.1614602088066</v>
      </c>
      <c r="AK40" s="98">
        <v>5374.2429381455113</v>
      </c>
      <c r="AL40" s="98">
        <v>5384.2682419207131</v>
      </c>
      <c r="AM40" s="98">
        <v>5394.2357527571221</v>
      </c>
      <c r="AN40" s="98">
        <v>5404.1438613086484</v>
      </c>
      <c r="AO40" s="98">
        <v>541.39909679481514</v>
      </c>
      <c r="AP40" s="98">
        <v>5423.7754830536296</v>
      </c>
      <c r="AQ40" s="98">
        <v>5433.4958272928061</v>
      </c>
      <c r="AR40" s="98">
        <v>5443.150431906035</v>
      </c>
      <c r="AS40" s="98">
        <v>5452.7377389875128</v>
      </c>
      <c r="AT40" s="98">
        <v>3823.5793412352914</v>
      </c>
      <c r="AU40" s="98">
        <v>5471.7042848759638</v>
      </c>
      <c r="AV40" s="98">
        <v>5481.0804646462902</v>
      </c>
      <c r="AW40" s="98">
        <v>5490.3832293611586</v>
      </c>
      <c r="AX40" s="98">
        <v>3849.7277556768672</v>
      </c>
    </row>
    <row r="41" spans="2:50">
      <c r="B41" s="168" t="s">
        <v>107</v>
      </c>
      <c r="C41" s="98">
        <v>3006.5883016813805</v>
      </c>
      <c r="D41" s="98">
        <v>1205.2712041260595</v>
      </c>
      <c r="E41" s="98">
        <v>1207.907227815004</v>
      </c>
      <c r="F41" s="98">
        <v>1210.5429689781852</v>
      </c>
      <c r="G41" s="98">
        <v>303.29450117820755</v>
      </c>
      <c r="H41" s="98">
        <v>3039.5297801219349</v>
      </c>
      <c r="I41" s="98">
        <v>3046.1106700567357</v>
      </c>
      <c r="J41" s="98">
        <v>3052.6866243809636</v>
      </c>
      <c r="K41" s="98">
        <v>3059.2565862776564</v>
      </c>
      <c r="L41" s="98">
        <v>3065.8194995042027</v>
      </c>
      <c r="M41" s="98">
        <v>3072.3743085781439</v>
      </c>
      <c r="N41" s="98">
        <v>3078.9199589629461</v>
      </c>
      <c r="O41" s="98">
        <v>3085.4553972537178</v>
      </c>
      <c r="P41" s="98">
        <v>3091.9795713628264</v>
      </c>
      <c r="Q41" s="98">
        <v>3098.4914307053937</v>
      </c>
      <c r="R41" s="98">
        <v>3104.9899263846269</v>
      </c>
      <c r="S41" s="98">
        <v>3111.4740113769658</v>
      </c>
      <c r="T41" s="98">
        <v>3117.9426407169926</v>
      </c>
      <c r="U41" s="98">
        <v>3124.3947716820899</v>
      </c>
      <c r="V41" s="98">
        <v>3130.8293639768099</v>
      </c>
      <c r="W41" s="98">
        <v>3137.2453799169161</v>
      </c>
      <c r="X41" s="98">
        <v>3143.6417846130662</v>
      </c>
      <c r="Y41" s="98">
        <v>3150.0175461541053</v>
      </c>
      <c r="Z41" s="98">
        <v>3156.3716357899466</v>
      </c>
      <c r="AA41" s="98">
        <v>3162.7030281139782</v>
      </c>
      <c r="AB41" s="98">
        <v>3169.010701245003</v>
      </c>
      <c r="AC41" s="98">
        <v>1270.1174548034551</v>
      </c>
      <c r="AD41" s="98">
        <v>318.15508211181759</v>
      </c>
      <c r="AE41" s="98">
        <v>3187.7812433548561</v>
      </c>
      <c r="AF41" s="98">
        <v>3193.9838977475138</v>
      </c>
      <c r="AG41" s="98">
        <v>2240.1104479261076</v>
      </c>
      <c r="AH41" s="98">
        <v>3206.3019014274178</v>
      </c>
      <c r="AI41" s="98">
        <v>3212.4152616178967</v>
      </c>
      <c r="AJ41" s="98">
        <v>2252.9478132876989</v>
      </c>
      <c r="AK41" s="98">
        <v>3224.5457628873069</v>
      </c>
      <c r="AL41" s="98">
        <v>3230.5609451524278</v>
      </c>
      <c r="AM41" s="98">
        <v>3236.5414516542737</v>
      </c>
      <c r="AN41" s="98">
        <v>3242.486316785189</v>
      </c>
      <c r="AO41" s="98">
        <v>3248.3945807688906</v>
      </c>
      <c r="AP41" s="98">
        <v>3254.2652898321776</v>
      </c>
      <c r="AQ41" s="98">
        <v>3260.0974963756835</v>
      </c>
      <c r="AR41" s="98">
        <v>3265.8902591436208</v>
      </c>
      <c r="AS41" s="98">
        <v>3271.6426433925076</v>
      </c>
      <c r="AT41" s="98">
        <v>3277.3537210588215</v>
      </c>
      <c r="AU41" s="98">
        <v>3283.0225709255783</v>
      </c>
      <c r="AV41" s="98">
        <v>3288.648278787774</v>
      </c>
      <c r="AW41" s="98">
        <v>3294.2299376166952</v>
      </c>
      <c r="AX41" s="98">
        <v>3299.7666477230291</v>
      </c>
    </row>
    <row r="42" spans="2:50">
      <c r="B42" s="168" t="s">
        <v>108</v>
      </c>
      <c r="C42" s="98">
        <v>10000000</v>
      </c>
      <c r="D42" s="98">
        <v>10000000</v>
      </c>
      <c r="E42" s="98">
        <v>10000000</v>
      </c>
      <c r="F42" s="98">
        <v>10000000</v>
      </c>
      <c r="G42" s="98">
        <v>10000000</v>
      </c>
      <c r="H42" s="98">
        <v>10000000</v>
      </c>
      <c r="I42" s="98">
        <v>10000000</v>
      </c>
      <c r="J42" s="98">
        <v>10000000</v>
      </c>
      <c r="K42" s="98">
        <v>10000000</v>
      </c>
      <c r="L42" s="98">
        <v>10000000</v>
      </c>
      <c r="M42" s="98">
        <v>10000000</v>
      </c>
      <c r="N42" s="98">
        <v>10000000</v>
      </c>
      <c r="O42" s="98">
        <v>10000000</v>
      </c>
      <c r="P42" s="98">
        <v>10000000</v>
      </c>
      <c r="Q42" s="98">
        <v>10000000</v>
      </c>
      <c r="R42" s="98">
        <v>10000000</v>
      </c>
      <c r="S42" s="98">
        <v>10000000</v>
      </c>
      <c r="T42" s="98">
        <v>10000000</v>
      </c>
      <c r="U42" s="98">
        <v>10000000</v>
      </c>
      <c r="V42" s="98">
        <v>10000000</v>
      </c>
      <c r="W42" s="98">
        <v>10000000</v>
      </c>
      <c r="X42" s="98">
        <v>10000000</v>
      </c>
      <c r="Y42" s="98">
        <v>10000000</v>
      </c>
      <c r="Z42" s="98">
        <v>10000000</v>
      </c>
      <c r="AA42" s="98">
        <v>10000000</v>
      </c>
      <c r="AB42" s="98">
        <v>10000000</v>
      </c>
      <c r="AC42" s="98">
        <v>10000000</v>
      </c>
      <c r="AD42" s="98">
        <v>10000000</v>
      </c>
      <c r="AE42" s="98">
        <v>10000000</v>
      </c>
      <c r="AF42" s="98">
        <v>10000000</v>
      </c>
      <c r="AG42" s="98">
        <v>10000000</v>
      </c>
      <c r="AH42" s="98">
        <v>10000000</v>
      </c>
      <c r="AI42" s="98">
        <v>10000000</v>
      </c>
      <c r="AJ42" s="98">
        <v>10000000</v>
      </c>
      <c r="AK42" s="98">
        <v>10000000</v>
      </c>
      <c r="AL42" s="98">
        <v>10000000</v>
      </c>
      <c r="AM42" s="98">
        <v>10000000</v>
      </c>
      <c r="AN42" s="98">
        <v>10000000</v>
      </c>
      <c r="AO42" s="98">
        <v>10000000</v>
      </c>
      <c r="AP42" s="98">
        <v>10000000</v>
      </c>
      <c r="AQ42" s="98">
        <v>10000000</v>
      </c>
      <c r="AR42" s="98">
        <v>10000000</v>
      </c>
      <c r="AS42" s="98">
        <v>10000000</v>
      </c>
      <c r="AT42" s="98">
        <v>10000000</v>
      </c>
      <c r="AU42" s="98">
        <v>10000000</v>
      </c>
      <c r="AV42" s="98">
        <v>10000000</v>
      </c>
      <c r="AW42" s="98">
        <v>10000000</v>
      </c>
      <c r="AX42" s="98">
        <v>10000000</v>
      </c>
    </row>
    <row r="43" spans="2:50">
      <c r="B43" s="168" t="s">
        <v>109</v>
      </c>
      <c r="C43" s="98">
        <v>10000000</v>
      </c>
      <c r="D43" s="98">
        <v>10000000</v>
      </c>
      <c r="E43" s="98">
        <v>10000000</v>
      </c>
      <c r="F43" s="98">
        <v>10000000</v>
      </c>
      <c r="G43" s="98">
        <v>10000000</v>
      </c>
      <c r="H43" s="98">
        <v>10000000</v>
      </c>
      <c r="I43" s="98">
        <v>10000000</v>
      </c>
      <c r="J43" s="98">
        <v>10000000</v>
      </c>
      <c r="K43" s="98">
        <v>10000000</v>
      </c>
      <c r="L43" s="98">
        <v>10000000</v>
      </c>
      <c r="M43" s="98">
        <v>10000000</v>
      </c>
      <c r="N43" s="98">
        <v>10000000</v>
      </c>
      <c r="O43" s="98">
        <v>10000000</v>
      </c>
      <c r="P43" s="98">
        <v>10000000</v>
      </c>
      <c r="Q43" s="98">
        <v>10000000</v>
      </c>
      <c r="R43" s="98">
        <v>10000000</v>
      </c>
      <c r="S43" s="98">
        <v>10000000</v>
      </c>
      <c r="T43" s="98">
        <v>10000000</v>
      </c>
      <c r="U43" s="98">
        <v>10000000</v>
      </c>
      <c r="V43" s="98">
        <v>10000000</v>
      </c>
      <c r="W43" s="98">
        <v>10000000</v>
      </c>
      <c r="X43" s="98">
        <v>10000000</v>
      </c>
      <c r="Y43" s="98">
        <v>10000000</v>
      </c>
      <c r="Z43" s="98">
        <v>10000000</v>
      </c>
      <c r="AA43" s="98">
        <v>10000000</v>
      </c>
      <c r="AB43" s="98">
        <v>10000000</v>
      </c>
      <c r="AC43" s="98">
        <v>10000000</v>
      </c>
      <c r="AD43" s="98">
        <v>10000000</v>
      </c>
      <c r="AE43" s="98">
        <v>10000000</v>
      </c>
      <c r="AF43" s="98">
        <v>10000000</v>
      </c>
      <c r="AG43" s="98">
        <v>10000000</v>
      </c>
      <c r="AH43" s="98">
        <v>10000000</v>
      </c>
      <c r="AI43" s="98">
        <v>10000000</v>
      </c>
      <c r="AJ43" s="98">
        <v>10000000</v>
      </c>
      <c r="AK43" s="98">
        <v>10000000</v>
      </c>
      <c r="AL43" s="98">
        <v>10000000</v>
      </c>
      <c r="AM43" s="98">
        <v>10000000</v>
      </c>
      <c r="AN43" s="98">
        <v>10000000</v>
      </c>
      <c r="AO43" s="98">
        <v>10000000</v>
      </c>
      <c r="AP43" s="98">
        <v>10000000</v>
      </c>
      <c r="AQ43" s="98">
        <v>10000000</v>
      </c>
      <c r="AR43" s="98">
        <v>10000000</v>
      </c>
      <c r="AS43" s="98">
        <v>10000000</v>
      </c>
      <c r="AT43" s="98">
        <v>10000000</v>
      </c>
      <c r="AU43" s="98">
        <v>10000000</v>
      </c>
      <c r="AV43" s="98">
        <v>10000000</v>
      </c>
      <c r="AW43" s="98">
        <v>10000000</v>
      </c>
      <c r="AX43" s="98">
        <v>10000000</v>
      </c>
    </row>
    <row r="45" spans="2:50">
      <c r="B45" s="101" t="s">
        <v>325</v>
      </c>
    </row>
    <row r="46" spans="2:50">
      <c r="B46" s="97" t="s">
        <v>275</v>
      </c>
      <c r="C46" s="97" t="s">
        <v>92</v>
      </c>
      <c r="D46" s="99"/>
      <c r="E46" s="99"/>
      <c r="F46" s="99"/>
      <c r="G46" s="97" t="s">
        <v>93</v>
      </c>
      <c r="H46" s="99"/>
      <c r="I46" s="99"/>
      <c r="J46" s="99"/>
      <c r="K46" s="97" t="s">
        <v>94</v>
      </c>
      <c r="L46" s="99"/>
      <c r="M46" s="99"/>
      <c r="N46" s="99"/>
      <c r="O46" s="97" t="s">
        <v>95</v>
      </c>
      <c r="P46" s="99"/>
      <c r="Q46" s="99"/>
      <c r="R46" s="99"/>
      <c r="S46" s="97" t="s">
        <v>96</v>
      </c>
      <c r="T46" s="99"/>
      <c r="U46" s="99"/>
      <c r="V46" s="99"/>
      <c r="W46" s="97" t="s">
        <v>97</v>
      </c>
      <c r="X46" s="99"/>
      <c r="Y46" s="99"/>
      <c r="Z46" s="99"/>
      <c r="AA46" s="97" t="s">
        <v>98</v>
      </c>
      <c r="AB46" s="99"/>
      <c r="AC46" s="99"/>
      <c r="AD46" s="99"/>
      <c r="AE46" s="97" t="s">
        <v>99</v>
      </c>
      <c r="AF46" s="99"/>
      <c r="AG46" s="99"/>
      <c r="AH46" s="99"/>
      <c r="AI46" s="97" t="s">
        <v>100</v>
      </c>
      <c r="AJ46" s="99"/>
      <c r="AK46" s="99"/>
      <c r="AL46" s="99"/>
      <c r="AM46" s="97" t="s">
        <v>101</v>
      </c>
      <c r="AN46" s="99"/>
      <c r="AO46" s="99"/>
      <c r="AP46" s="99"/>
      <c r="AQ46" s="97" t="s">
        <v>102</v>
      </c>
      <c r="AR46" s="99"/>
      <c r="AS46" s="99"/>
      <c r="AT46" s="99"/>
      <c r="AU46" s="97" t="s">
        <v>103</v>
      </c>
      <c r="AV46" s="99"/>
      <c r="AW46" s="99"/>
    </row>
    <row r="47" spans="2:50">
      <c r="B47" s="97" t="s">
        <v>326</v>
      </c>
      <c r="C47" s="97">
        <v>1</v>
      </c>
      <c r="D47" s="97">
        <v>2</v>
      </c>
      <c r="E47" s="97">
        <v>3</v>
      </c>
      <c r="F47" s="97">
        <v>4</v>
      </c>
      <c r="G47" s="97">
        <v>1</v>
      </c>
      <c r="H47" s="97">
        <v>2</v>
      </c>
      <c r="I47" s="97">
        <v>3</v>
      </c>
      <c r="J47" s="97">
        <v>4</v>
      </c>
      <c r="K47" s="97">
        <v>1</v>
      </c>
      <c r="L47" s="97">
        <v>2</v>
      </c>
      <c r="M47" s="97">
        <v>3</v>
      </c>
      <c r="N47" s="97">
        <v>4</v>
      </c>
      <c r="O47" s="97">
        <v>1</v>
      </c>
      <c r="P47" s="97">
        <v>2</v>
      </c>
      <c r="Q47" s="97">
        <v>3</v>
      </c>
      <c r="R47" s="97">
        <v>4</v>
      </c>
      <c r="S47" s="97">
        <v>1</v>
      </c>
      <c r="T47" s="97">
        <v>2</v>
      </c>
      <c r="U47" s="97">
        <v>3</v>
      </c>
      <c r="V47" s="97">
        <v>4</v>
      </c>
      <c r="W47" s="97">
        <v>1</v>
      </c>
      <c r="X47" s="97">
        <v>2</v>
      </c>
      <c r="Y47" s="97">
        <v>3</v>
      </c>
      <c r="Z47" s="97">
        <v>4</v>
      </c>
      <c r="AA47" s="97">
        <v>1</v>
      </c>
      <c r="AB47" s="97">
        <v>2</v>
      </c>
      <c r="AC47" s="97">
        <v>3</v>
      </c>
      <c r="AD47" s="97">
        <v>4</v>
      </c>
      <c r="AE47" s="97">
        <v>1</v>
      </c>
      <c r="AF47" s="97">
        <v>2</v>
      </c>
      <c r="AG47" s="97">
        <v>3</v>
      </c>
      <c r="AH47" s="97">
        <v>4</v>
      </c>
      <c r="AI47" s="97">
        <v>1</v>
      </c>
      <c r="AJ47" s="97">
        <v>2</v>
      </c>
      <c r="AK47" s="97">
        <v>3</v>
      </c>
      <c r="AL47" s="97">
        <v>4</v>
      </c>
      <c r="AM47" s="97">
        <v>1</v>
      </c>
      <c r="AN47" s="97">
        <v>2</v>
      </c>
      <c r="AO47" s="97">
        <v>3</v>
      </c>
      <c r="AP47" s="97">
        <v>4</v>
      </c>
      <c r="AQ47" s="97">
        <v>1</v>
      </c>
      <c r="AR47" s="97">
        <v>2</v>
      </c>
      <c r="AS47" s="97">
        <v>3</v>
      </c>
      <c r="AT47" s="97">
        <v>4</v>
      </c>
      <c r="AU47" s="97">
        <v>1</v>
      </c>
      <c r="AV47" s="97">
        <v>2</v>
      </c>
      <c r="AW47" s="97">
        <v>3</v>
      </c>
      <c r="AX47" s="97">
        <v>4</v>
      </c>
    </row>
    <row r="48" spans="2:50">
      <c r="B48" s="97" t="s">
        <v>104</v>
      </c>
      <c r="C48" s="98">
        <v>531.37386000000004</v>
      </c>
      <c r="D48" s="98">
        <v>531.37386000000004</v>
      </c>
      <c r="E48" s="98">
        <v>531.37386000000004</v>
      </c>
      <c r="F48" s="98">
        <v>531.37386000000004</v>
      </c>
      <c r="G48" s="98">
        <v>531.37386000000004</v>
      </c>
      <c r="H48" s="98">
        <v>531.37386000000004</v>
      </c>
      <c r="I48" s="98">
        <v>531.37386000000004</v>
      </c>
      <c r="J48" s="98">
        <v>531.37386000000004</v>
      </c>
      <c r="K48" s="98">
        <v>531.37386000000004</v>
      </c>
      <c r="L48" s="98">
        <v>531.37386000000004</v>
      </c>
      <c r="M48" s="98">
        <v>531.37386000000004</v>
      </c>
      <c r="N48" s="98">
        <v>531.37386000000004</v>
      </c>
      <c r="O48" s="98">
        <v>425.09908800000005</v>
      </c>
      <c r="P48" s="98">
        <v>425.09908800000005</v>
      </c>
      <c r="Q48" s="98">
        <v>425.09908800000005</v>
      </c>
      <c r="R48" s="98">
        <v>425.09908800000005</v>
      </c>
      <c r="S48" s="98">
        <v>531.37386000000004</v>
      </c>
      <c r="T48" s="98">
        <v>531.37386000000004</v>
      </c>
      <c r="U48" s="98">
        <v>531.37386000000004</v>
      </c>
      <c r="V48" s="98">
        <v>531.37386000000004</v>
      </c>
      <c r="W48" s="98">
        <v>531.37386000000004</v>
      </c>
      <c r="X48" s="98">
        <v>531.37386000000004</v>
      </c>
      <c r="Y48" s="98">
        <v>531.37386000000004</v>
      </c>
      <c r="Z48" s="98">
        <v>531.37386000000004</v>
      </c>
      <c r="AA48" s="98">
        <v>531.37386000000004</v>
      </c>
      <c r="AB48" s="98">
        <v>531.37386000000004</v>
      </c>
      <c r="AC48" s="98">
        <v>531.37386000000004</v>
      </c>
      <c r="AD48" s="98">
        <v>531.37386000000004</v>
      </c>
      <c r="AE48" s="98">
        <v>531.37386000000004</v>
      </c>
      <c r="AF48" s="98">
        <v>531.37386000000004</v>
      </c>
      <c r="AG48" s="98">
        <v>531.37386000000004</v>
      </c>
      <c r="AH48" s="98">
        <v>531.37386000000004</v>
      </c>
      <c r="AI48" s="98">
        <v>531.37386000000004</v>
      </c>
      <c r="AJ48" s="98">
        <v>531.37386000000004</v>
      </c>
      <c r="AK48" s="98">
        <v>531.37386000000004</v>
      </c>
      <c r="AL48" s="98">
        <v>531.37386000000004</v>
      </c>
      <c r="AM48" s="98">
        <v>531.37386000000004</v>
      </c>
      <c r="AN48" s="98">
        <v>531.37386000000004</v>
      </c>
      <c r="AO48" s="98">
        <v>531.37386000000004</v>
      </c>
      <c r="AP48" s="98">
        <v>531.37386000000004</v>
      </c>
      <c r="AQ48" s="98">
        <v>637.64863200000002</v>
      </c>
      <c r="AR48" s="98">
        <v>637.64863200000002</v>
      </c>
      <c r="AS48" s="98">
        <v>637.64863200000002</v>
      </c>
      <c r="AT48" s="98">
        <v>637.64863200000002</v>
      </c>
      <c r="AU48" s="98">
        <v>637.64863200000002</v>
      </c>
      <c r="AV48" s="98">
        <v>637.64863200000002</v>
      </c>
      <c r="AW48" s="98">
        <v>637.64863200000002</v>
      </c>
      <c r="AX48" s="98">
        <v>637.64863200000002</v>
      </c>
    </row>
    <row r="49" spans="2:51">
      <c r="B49" s="97" t="s">
        <v>105</v>
      </c>
      <c r="C49" s="98">
        <v>533.05227000000002</v>
      </c>
      <c r="D49" s="98">
        <v>533.05227000000002</v>
      </c>
      <c r="E49" s="98">
        <v>533.05227000000002</v>
      </c>
      <c r="F49" s="98">
        <v>533.05227000000002</v>
      </c>
      <c r="G49" s="98">
        <v>533.05227000000002</v>
      </c>
      <c r="H49" s="98">
        <v>533.05227000000002</v>
      </c>
      <c r="I49" s="98">
        <v>533.05227000000002</v>
      </c>
      <c r="J49" s="98">
        <v>533.05227000000002</v>
      </c>
      <c r="K49" s="98">
        <v>533.05227000000002</v>
      </c>
      <c r="L49" s="98">
        <v>533.05227000000002</v>
      </c>
      <c r="M49" s="98">
        <v>533.05227000000002</v>
      </c>
      <c r="N49" s="98">
        <v>533.05227000000002</v>
      </c>
      <c r="O49" s="98">
        <v>533.05227000000002</v>
      </c>
      <c r="P49" s="98">
        <v>533.05227000000002</v>
      </c>
      <c r="Q49" s="98">
        <v>533.05227000000002</v>
      </c>
      <c r="R49" s="98">
        <v>533.05227000000002</v>
      </c>
      <c r="S49" s="98">
        <v>533.05227000000002</v>
      </c>
      <c r="T49" s="98">
        <v>533.05227000000002</v>
      </c>
      <c r="U49" s="98">
        <v>533.05227000000002</v>
      </c>
      <c r="V49" s="98">
        <v>533.05227000000002</v>
      </c>
      <c r="W49" s="98">
        <v>533.05227000000002</v>
      </c>
      <c r="X49" s="98">
        <v>533.05227000000002</v>
      </c>
      <c r="Y49" s="98">
        <v>533.05227000000002</v>
      </c>
      <c r="Z49" s="98">
        <v>533.05227000000002</v>
      </c>
      <c r="AA49" s="98">
        <v>533.05227000000002</v>
      </c>
      <c r="AB49" s="98">
        <v>533.05227000000002</v>
      </c>
      <c r="AC49" s="98">
        <v>533.05227000000002</v>
      </c>
      <c r="AD49" s="98">
        <v>533.05227000000002</v>
      </c>
      <c r="AE49" s="98">
        <v>533.05227000000002</v>
      </c>
      <c r="AF49" s="98">
        <v>533.05227000000002</v>
      </c>
      <c r="AG49" s="98">
        <v>533.05227000000002</v>
      </c>
      <c r="AH49" s="98">
        <v>533.05227000000002</v>
      </c>
      <c r="AI49" s="98">
        <v>533.05227000000002</v>
      </c>
      <c r="AJ49" s="98">
        <v>533.05227000000002</v>
      </c>
      <c r="AK49" s="98">
        <v>533.05227000000002</v>
      </c>
      <c r="AL49" s="98">
        <v>533.05227000000002</v>
      </c>
      <c r="AM49" s="98">
        <v>533.05227000000002</v>
      </c>
      <c r="AN49" s="98">
        <v>533.05227000000002</v>
      </c>
      <c r="AO49" s="98">
        <v>533.05227000000002</v>
      </c>
      <c r="AP49" s="98">
        <v>533.05227000000002</v>
      </c>
      <c r="AQ49" s="98">
        <v>533.05227000000002</v>
      </c>
      <c r="AR49" s="98">
        <v>533.05227000000002</v>
      </c>
      <c r="AS49" s="98">
        <v>533.05227000000002</v>
      </c>
      <c r="AT49" s="98">
        <v>533.05227000000002</v>
      </c>
      <c r="AU49" s="98">
        <v>639.66272400000003</v>
      </c>
      <c r="AV49" s="98">
        <v>639.66272400000003</v>
      </c>
      <c r="AW49" s="98">
        <v>639.66272400000003</v>
      </c>
      <c r="AX49" s="98">
        <v>639.66272400000003</v>
      </c>
    </row>
    <row r="50" spans="2:51">
      <c r="B50" s="97" t="s">
        <v>106</v>
      </c>
      <c r="C50" s="98">
        <v>536.27301</v>
      </c>
      <c r="D50" s="98">
        <v>536.27301</v>
      </c>
      <c r="E50" s="98">
        <v>536.27301</v>
      </c>
      <c r="F50" s="98">
        <v>536.27301</v>
      </c>
      <c r="G50" s="98">
        <v>536.27301</v>
      </c>
      <c r="H50" s="98">
        <v>536.27301</v>
      </c>
      <c r="I50" s="98">
        <v>536.27301</v>
      </c>
      <c r="J50" s="98">
        <v>536.27301</v>
      </c>
      <c r="K50" s="98">
        <v>536.27301</v>
      </c>
      <c r="L50" s="98">
        <v>536.27301</v>
      </c>
      <c r="M50" s="98">
        <v>536.27301</v>
      </c>
      <c r="N50" s="98">
        <v>536.27301</v>
      </c>
      <c r="O50" s="98">
        <v>429.01840800000002</v>
      </c>
      <c r="P50" s="98">
        <v>429.01840800000002</v>
      </c>
      <c r="Q50" s="98">
        <v>429.01840800000002</v>
      </c>
      <c r="R50" s="98">
        <v>429.01840800000002</v>
      </c>
      <c r="S50" s="98">
        <v>429.01840800000002</v>
      </c>
      <c r="T50" s="98">
        <v>429.01840800000002</v>
      </c>
      <c r="U50" s="98">
        <v>429.01840800000002</v>
      </c>
      <c r="V50" s="98">
        <v>429.01840800000002</v>
      </c>
      <c r="W50" s="98">
        <v>536.27301</v>
      </c>
      <c r="X50" s="98">
        <v>536.27301</v>
      </c>
      <c r="Y50" s="98">
        <v>536.27301</v>
      </c>
      <c r="Z50" s="98">
        <v>536.27301</v>
      </c>
      <c r="AA50" s="98">
        <v>536.27301</v>
      </c>
      <c r="AB50" s="98">
        <v>536.27301</v>
      </c>
      <c r="AC50" s="98">
        <v>536.27301</v>
      </c>
      <c r="AD50" s="98">
        <v>536.27301</v>
      </c>
      <c r="AE50" s="98">
        <v>536.27301</v>
      </c>
      <c r="AF50" s="98">
        <v>536.27301</v>
      </c>
      <c r="AG50" s="98">
        <v>536.27301</v>
      </c>
      <c r="AH50" s="98">
        <v>536.27301</v>
      </c>
      <c r="AI50" s="98">
        <v>536.27301</v>
      </c>
      <c r="AJ50" s="98">
        <v>536.27301</v>
      </c>
      <c r="AK50" s="98">
        <v>536.27301</v>
      </c>
      <c r="AL50" s="98">
        <v>536.27301</v>
      </c>
      <c r="AM50" s="98">
        <v>536.27301</v>
      </c>
      <c r="AN50" s="98">
        <v>536.27301</v>
      </c>
      <c r="AO50" s="98">
        <v>536.27301</v>
      </c>
      <c r="AP50" s="98">
        <v>536.27301</v>
      </c>
      <c r="AQ50" s="98">
        <v>536.27301</v>
      </c>
      <c r="AR50" s="98">
        <v>536.27301</v>
      </c>
      <c r="AS50" s="98">
        <v>536.27301</v>
      </c>
      <c r="AT50" s="98">
        <v>536.27301</v>
      </c>
      <c r="AU50" s="98">
        <v>536.27301</v>
      </c>
      <c r="AV50" s="98">
        <v>536.27301</v>
      </c>
      <c r="AW50" s="98">
        <v>536.27301</v>
      </c>
      <c r="AX50" s="98">
        <v>536.27301</v>
      </c>
      <c r="AY50" s="110"/>
    </row>
    <row r="51" spans="2:51">
      <c r="B51" s="97" t="s">
        <v>107</v>
      </c>
      <c r="C51" s="98">
        <v>460.57399200000003</v>
      </c>
      <c r="D51" s="98">
        <v>460.57399200000003</v>
      </c>
      <c r="E51" s="98">
        <v>460.57399200000003</v>
      </c>
      <c r="F51" s="98">
        <v>460.57399200000003</v>
      </c>
      <c r="G51" s="98">
        <v>303.29450117820755</v>
      </c>
      <c r="H51" s="98">
        <v>575.71749</v>
      </c>
      <c r="I51" s="98">
        <v>575.71749</v>
      </c>
      <c r="J51" s="98">
        <v>575.71749</v>
      </c>
      <c r="K51" s="98">
        <v>575.71749</v>
      </c>
      <c r="L51" s="98">
        <v>575.71749</v>
      </c>
      <c r="M51" s="98">
        <v>575.71749</v>
      </c>
      <c r="N51" s="98">
        <v>575.71749</v>
      </c>
      <c r="O51" s="98">
        <v>575.71749</v>
      </c>
      <c r="P51" s="98">
        <v>575.71749</v>
      </c>
      <c r="Q51" s="98">
        <v>575.71749</v>
      </c>
      <c r="R51" s="98">
        <v>575.71749</v>
      </c>
      <c r="S51" s="98">
        <v>575.71749</v>
      </c>
      <c r="T51" s="98">
        <v>575.71749</v>
      </c>
      <c r="U51" s="98">
        <v>575.71749</v>
      </c>
      <c r="V51" s="98">
        <v>575.71749</v>
      </c>
      <c r="W51" s="98">
        <v>575.71749</v>
      </c>
      <c r="X51" s="98">
        <v>575.71749</v>
      </c>
      <c r="Y51" s="98">
        <v>575.71749</v>
      </c>
      <c r="Z51" s="98">
        <v>575.71749</v>
      </c>
      <c r="AA51" s="98">
        <v>460.57399200000003</v>
      </c>
      <c r="AB51" s="98">
        <v>460.57399200000003</v>
      </c>
      <c r="AC51" s="98">
        <v>460.57399200000003</v>
      </c>
      <c r="AD51" s="98">
        <v>318.15508211181759</v>
      </c>
      <c r="AE51" s="98">
        <v>575.71749</v>
      </c>
      <c r="AF51" s="98">
        <v>575.71749</v>
      </c>
      <c r="AG51" s="98">
        <v>575.71749</v>
      </c>
      <c r="AH51" s="98">
        <v>575.71749</v>
      </c>
      <c r="AI51" s="98">
        <v>575.71749</v>
      </c>
      <c r="AJ51" s="98">
        <v>575.71749</v>
      </c>
      <c r="AK51" s="98">
        <v>575.71749</v>
      </c>
      <c r="AL51" s="98">
        <v>575.71749</v>
      </c>
      <c r="AM51" s="98">
        <v>575.71749</v>
      </c>
      <c r="AN51" s="98">
        <v>575.71749</v>
      </c>
      <c r="AO51" s="98">
        <v>575.71749</v>
      </c>
      <c r="AP51" s="98">
        <v>575.71749</v>
      </c>
      <c r="AQ51" s="98">
        <v>575.71749</v>
      </c>
      <c r="AR51" s="98">
        <v>575.71749</v>
      </c>
      <c r="AS51" s="98">
        <v>575.71749</v>
      </c>
      <c r="AT51" s="98">
        <v>575.71749</v>
      </c>
      <c r="AU51" s="98">
        <v>575.71749</v>
      </c>
      <c r="AV51" s="98">
        <v>575.71749</v>
      </c>
      <c r="AW51" s="98">
        <v>575.71749</v>
      </c>
      <c r="AX51" s="98">
        <v>575.71749</v>
      </c>
      <c r="AY51" s="109"/>
    </row>
    <row r="52" spans="2:51">
      <c r="B52" s="97" t="s">
        <v>108</v>
      </c>
      <c r="C52" s="98">
        <v>637.64863200000002</v>
      </c>
      <c r="D52" s="98">
        <v>637.64863200000002</v>
      </c>
      <c r="E52" s="98">
        <v>637.64863200000002</v>
      </c>
      <c r="F52" s="98">
        <v>637.64863200000002</v>
      </c>
      <c r="G52" s="98">
        <v>637.64863200000002</v>
      </c>
      <c r="H52" s="98">
        <v>637.64863200000002</v>
      </c>
      <c r="I52" s="98">
        <v>637.64863200000002</v>
      </c>
      <c r="J52" s="98">
        <v>637.64863200000002</v>
      </c>
      <c r="K52" s="98">
        <v>637.64863200000002</v>
      </c>
      <c r="L52" s="98">
        <v>637.64863200000002</v>
      </c>
      <c r="M52" s="98">
        <v>637.64863200000002</v>
      </c>
      <c r="N52" s="98">
        <v>637.64863200000002</v>
      </c>
      <c r="O52" s="98">
        <v>637.64863200000002</v>
      </c>
      <c r="P52" s="98">
        <v>637.64863200000002</v>
      </c>
      <c r="Q52" s="98">
        <v>637.64863200000002</v>
      </c>
      <c r="R52" s="98">
        <v>637.64863200000002</v>
      </c>
      <c r="S52" s="98">
        <v>637.64863200000002</v>
      </c>
      <c r="T52" s="98">
        <v>637.64863200000002</v>
      </c>
      <c r="U52" s="98">
        <v>637.64863200000002</v>
      </c>
      <c r="V52" s="98">
        <v>637.64863200000002</v>
      </c>
      <c r="W52" s="98">
        <v>637.64863200000002</v>
      </c>
      <c r="X52" s="98">
        <v>637.64863200000002</v>
      </c>
      <c r="Y52" s="98">
        <v>637.64863200000002</v>
      </c>
      <c r="Z52" s="98">
        <v>637.64863200000002</v>
      </c>
      <c r="AA52" s="98">
        <v>531.37386000000004</v>
      </c>
      <c r="AB52" s="98">
        <v>531.37386000000004</v>
      </c>
      <c r="AC52" s="98">
        <v>531.37386000000004</v>
      </c>
      <c r="AD52" s="98">
        <v>531.37386000000004</v>
      </c>
      <c r="AE52" s="98">
        <v>531.37386000000004</v>
      </c>
      <c r="AF52" s="98">
        <v>531.37386000000004</v>
      </c>
      <c r="AG52" s="98">
        <v>531.37386000000004</v>
      </c>
      <c r="AH52" s="98">
        <v>531.37386000000004</v>
      </c>
      <c r="AI52" s="98">
        <v>531.37386000000004</v>
      </c>
      <c r="AJ52" s="98">
        <v>531.37386000000004</v>
      </c>
      <c r="AK52" s="98">
        <v>531.37386000000004</v>
      </c>
      <c r="AL52" s="98">
        <v>531.37386000000004</v>
      </c>
      <c r="AM52" s="98">
        <v>531.37386000000004</v>
      </c>
      <c r="AN52" s="98">
        <v>531.37386000000004</v>
      </c>
      <c r="AO52" s="98">
        <v>531.37386000000004</v>
      </c>
      <c r="AP52" s="98">
        <v>531.37386000000004</v>
      </c>
      <c r="AQ52" s="98">
        <v>425.09908800000005</v>
      </c>
      <c r="AR52" s="98">
        <v>425.09908800000005</v>
      </c>
      <c r="AS52" s="98">
        <v>425.09908800000005</v>
      </c>
      <c r="AT52" s="98">
        <v>425.09908800000005</v>
      </c>
      <c r="AU52" s="98">
        <v>531.37386000000004</v>
      </c>
      <c r="AV52" s="98">
        <v>531.37386000000004</v>
      </c>
      <c r="AW52" s="98">
        <v>531.37386000000004</v>
      </c>
      <c r="AX52" s="98">
        <v>531.37386000000004</v>
      </c>
    </row>
    <row r="53" spans="2:51">
      <c r="B53" s="97" t="s">
        <v>109</v>
      </c>
      <c r="C53" s="98">
        <v>425.09908800000005</v>
      </c>
      <c r="D53" s="98">
        <v>425.09908800000005</v>
      </c>
      <c r="E53" s="98">
        <v>425.09908800000005</v>
      </c>
      <c r="F53" s="98">
        <v>425.09908800000005</v>
      </c>
      <c r="G53" s="98">
        <v>0</v>
      </c>
      <c r="H53" s="98">
        <v>0</v>
      </c>
      <c r="I53" s="98">
        <v>0</v>
      </c>
      <c r="J53" s="98">
        <v>0</v>
      </c>
      <c r="K53" s="98">
        <v>425.09908800000005</v>
      </c>
      <c r="L53" s="98">
        <v>425.09908800000005</v>
      </c>
      <c r="M53" s="98">
        <v>425.09908800000005</v>
      </c>
      <c r="N53" s="98">
        <v>425.09908800000005</v>
      </c>
      <c r="O53" s="98">
        <v>0</v>
      </c>
      <c r="P53" s="98">
        <v>0</v>
      </c>
      <c r="Q53" s="98">
        <v>0</v>
      </c>
      <c r="R53" s="98">
        <v>0</v>
      </c>
      <c r="S53" s="98">
        <v>0</v>
      </c>
      <c r="T53" s="98">
        <v>0</v>
      </c>
      <c r="U53" s="98">
        <v>0</v>
      </c>
      <c r="V53" s="98">
        <v>0</v>
      </c>
      <c r="W53" s="98">
        <v>425.09908800000005</v>
      </c>
      <c r="X53" s="98">
        <v>425.09908800000005</v>
      </c>
      <c r="Y53" s="98">
        <v>425.09908800000005</v>
      </c>
      <c r="Z53" s="98">
        <v>425.09908800000005</v>
      </c>
      <c r="AA53" s="98">
        <v>531.37386000000004</v>
      </c>
      <c r="AB53" s="98">
        <v>531.37386000000004</v>
      </c>
      <c r="AC53" s="98">
        <v>531.37386000000004</v>
      </c>
      <c r="AD53" s="98">
        <v>531.37386000000004</v>
      </c>
      <c r="AE53" s="98">
        <v>531.37386000000004</v>
      </c>
      <c r="AF53" s="98">
        <v>531.37386000000004</v>
      </c>
      <c r="AG53" s="98">
        <v>531.37386000000004</v>
      </c>
      <c r="AH53" s="98">
        <v>531.37386000000004</v>
      </c>
      <c r="AI53" s="98">
        <v>0</v>
      </c>
      <c r="AJ53" s="98">
        <v>0</v>
      </c>
      <c r="AK53" s="98">
        <v>0</v>
      </c>
      <c r="AL53" s="98">
        <v>0</v>
      </c>
      <c r="AM53" s="98">
        <v>425.09908800000005</v>
      </c>
      <c r="AN53" s="98">
        <v>425.09908800000005</v>
      </c>
      <c r="AO53" s="98">
        <v>425.09908800000005</v>
      </c>
      <c r="AP53" s="98">
        <v>425.09908800000005</v>
      </c>
      <c r="AQ53" s="98">
        <v>425.09908800000005</v>
      </c>
      <c r="AR53" s="98">
        <v>425.09908800000005</v>
      </c>
      <c r="AS53" s="98">
        <v>425.09908800000005</v>
      </c>
      <c r="AT53" s="98">
        <v>425.09908800000005</v>
      </c>
      <c r="AU53" s="98">
        <v>0</v>
      </c>
      <c r="AV53" s="98">
        <v>0</v>
      </c>
      <c r="AW53" s="98">
        <v>0</v>
      </c>
      <c r="AX53" s="98">
        <v>0</v>
      </c>
    </row>
    <row r="55" spans="2:51">
      <c r="B55" s="172" t="s">
        <v>327</v>
      </c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</row>
    <row r="56" spans="2:51">
      <c r="B56" s="103" t="s">
        <v>275</v>
      </c>
      <c r="C56" s="103" t="s">
        <v>92</v>
      </c>
      <c r="D56" s="99"/>
      <c r="E56" s="99"/>
      <c r="F56" s="99"/>
      <c r="G56" s="103" t="s">
        <v>93</v>
      </c>
      <c r="H56" s="99"/>
      <c r="I56" s="99"/>
      <c r="J56" s="99"/>
      <c r="K56" s="103" t="s">
        <v>94</v>
      </c>
      <c r="L56" s="99"/>
      <c r="M56" s="99"/>
      <c r="N56" s="99"/>
      <c r="O56" s="103" t="s">
        <v>95</v>
      </c>
      <c r="P56" s="99"/>
      <c r="Q56" s="99"/>
      <c r="R56" s="99"/>
      <c r="S56" s="103" t="s">
        <v>96</v>
      </c>
      <c r="T56" s="99"/>
      <c r="U56" s="99"/>
      <c r="V56" s="99"/>
      <c r="W56" s="103" t="s">
        <v>97</v>
      </c>
      <c r="X56" s="99"/>
      <c r="Y56" s="99"/>
      <c r="Z56" s="99"/>
      <c r="AA56" s="103" t="s">
        <v>98</v>
      </c>
      <c r="AB56" s="99"/>
      <c r="AC56" s="99"/>
      <c r="AD56" s="99"/>
      <c r="AE56" s="103" t="s">
        <v>99</v>
      </c>
      <c r="AF56" s="99"/>
      <c r="AG56" s="99"/>
      <c r="AH56" s="99"/>
      <c r="AI56" s="103" t="s">
        <v>100</v>
      </c>
      <c r="AJ56" s="99"/>
      <c r="AK56" s="99"/>
      <c r="AL56" s="99"/>
      <c r="AM56" s="103" t="s">
        <v>101</v>
      </c>
      <c r="AN56" s="99"/>
      <c r="AO56" s="99"/>
      <c r="AP56" s="99"/>
      <c r="AQ56" s="103" t="s">
        <v>102</v>
      </c>
      <c r="AR56" s="99"/>
      <c r="AS56" s="99"/>
      <c r="AT56" s="99"/>
      <c r="AU56" s="103" t="s">
        <v>103</v>
      </c>
      <c r="AV56" s="99"/>
      <c r="AW56" s="99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 s="98">
        <v>632428.7103126162</v>
      </c>
      <c r="D58" s="98">
        <v>632428.7103126162</v>
      </c>
      <c r="E58" s="98">
        <v>632428.7103126162</v>
      </c>
      <c r="F58" s="98">
        <v>632428.7103126162</v>
      </c>
      <c r="G58" s="98">
        <v>683785.32854676933</v>
      </c>
      <c r="H58" s="98">
        <v>683785.32854676933</v>
      </c>
      <c r="I58" s="98">
        <v>683785.32854676933</v>
      </c>
      <c r="J58" s="98">
        <v>683785.32854676933</v>
      </c>
      <c r="K58" s="98">
        <v>824612.92972976889</v>
      </c>
      <c r="L58" s="98">
        <v>824612.92972976889</v>
      </c>
      <c r="M58" s="98">
        <v>824612.92972976889</v>
      </c>
      <c r="N58" s="98">
        <v>824612.92972976889</v>
      </c>
      <c r="O58" s="98">
        <v>759401.78358487983</v>
      </c>
      <c r="P58" s="98">
        <v>759401.78358487983</v>
      </c>
      <c r="Q58" s="98">
        <v>759401.78358487983</v>
      </c>
      <c r="R58" s="98">
        <v>759401.78358487983</v>
      </c>
      <c r="S58" s="98">
        <v>743787.63004963344</v>
      </c>
      <c r="T58" s="98">
        <v>743787.63004963344</v>
      </c>
      <c r="U58" s="98">
        <v>743787.63004963344</v>
      </c>
      <c r="V58" s="98">
        <v>743787.63004963344</v>
      </c>
      <c r="W58" s="98">
        <v>773441.60263408616</v>
      </c>
      <c r="X58" s="98">
        <v>773441.60263408616</v>
      </c>
      <c r="Y58" s="98">
        <v>773441.60263408616</v>
      </c>
      <c r="Z58" s="98">
        <v>773441.60263408616</v>
      </c>
      <c r="AA58" s="98">
        <v>616183.32343215134</v>
      </c>
      <c r="AB58" s="98">
        <v>616183.32343215134</v>
      </c>
      <c r="AC58" s="98">
        <v>616183.32343215134</v>
      </c>
      <c r="AD58" s="98">
        <v>616183.32343215134</v>
      </c>
      <c r="AE58" s="98">
        <v>649093.17812198203</v>
      </c>
      <c r="AF58" s="98">
        <v>649093.17812198203</v>
      </c>
      <c r="AG58" s="98">
        <v>649093.17812198203</v>
      </c>
      <c r="AH58" s="98">
        <v>649093.17812198203</v>
      </c>
      <c r="AI58" s="98">
        <v>764555.00346587028</v>
      </c>
      <c r="AJ58" s="98">
        <v>764555.00346587028</v>
      </c>
      <c r="AK58" s="98">
        <v>764555.00346587028</v>
      </c>
      <c r="AL58" s="98">
        <v>764555.00346587028</v>
      </c>
      <c r="AM58" s="98">
        <v>678602.06651320122</v>
      </c>
      <c r="AN58" s="98">
        <v>678602.06651320122</v>
      </c>
      <c r="AO58" s="98">
        <v>678602.06651320122</v>
      </c>
      <c r="AP58" s="98">
        <v>678602.06651320122</v>
      </c>
      <c r="AQ58" s="98">
        <v>675263.61709330557</v>
      </c>
      <c r="AR58" s="98">
        <v>675263.61709330557</v>
      </c>
      <c r="AS58" s="98">
        <v>675263.61709330557</v>
      </c>
      <c r="AT58" s="98">
        <v>675263.61709330557</v>
      </c>
      <c r="AU58" s="98">
        <v>644106.4908030607</v>
      </c>
      <c r="AV58" s="98">
        <v>644106.4908030607</v>
      </c>
      <c r="AW58" s="98">
        <v>644106.4908030607</v>
      </c>
      <c r="AX58" s="98">
        <v>644106.4908030607</v>
      </c>
    </row>
    <row r="59" spans="2:51">
      <c r="B59" s="103" t="s">
        <v>105</v>
      </c>
      <c r="C59" s="98">
        <v>810987.07328087732</v>
      </c>
      <c r="D59" s="98">
        <v>810987.07328087732</v>
      </c>
      <c r="E59" s="98">
        <v>810987.07328087732</v>
      </c>
      <c r="F59" s="98">
        <v>810987.07328087732</v>
      </c>
      <c r="G59" s="98">
        <v>761478.34654228308</v>
      </c>
      <c r="H59" s="98">
        <v>761478.34654228308</v>
      </c>
      <c r="I59" s="98">
        <v>761478.34654228308</v>
      </c>
      <c r="J59" s="98">
        <v>761478.34654228308</v>
      </c>
      <c r="K59" s="98">
        <v>731611.64284110011</v>
      </c>
      <c r="L59" s="98">
        <v>731611.64284110011</v>
      </c>
      <c r="M59" s="98">
        <v>731611.64284110011</v>
      </c>
      <c r="N59" s="98">
        <v>731611.64284110011</v>
      </c>
      <c r="O59" s="98">
        <v>704776.46620900556</v>
      </c>
      <c r="P59" s="98">
        <v>704776.46620900556</v>
      </c>
      <c r="Q59" s="98">
        <v>704776.46620900556</v>
      </c>
      <c r="R59" s="98">
        <v>704776.46620900556</v>
      </c>
      <c r="S59" s="98">
        <v>768876.38740089862</v>
      </c>
      <c r="T59" s="98">
        <v>768876.38740089862</v>
      </c>
      <c r="U59" s="98">
        <v>768876.38740089862</v>
      </c>
      <c r="V59" s="98">
        <v>768876.38740089862</v>
      </c>
      <c r="W59" s="98">
        <v>770693.2718964474</v>
      </c>
      <c r="X59" s="98">
        <v>770693.2718964474</v>
      </c>
      <c r="Y59" s="98">
        <v>770693.2718964474</v>
      </c>
      <c r="Z59" s="98">
        <v>770693.2718964474</v>
      </c>
      <c r="AA59" s="98">
        <v>739943.98210980534</v>
      </c>
      <c r="AB59" s="98">
        <v>739943.98210980534</v>
      </c>
      <c r="AC59" s="98">
        <v>739943.98210980534</v>
      </c>
      <c r="AD59" s="98">
        <v>739943.98210980534</v>
      </c>
      <c r="AE59" s="98">
        <v>776368.65443365765</v>
      </c>
      <c r="AF59" s="98">
        <v>776368.65443365765</v>
      </c>
      <c r="AG59" s="98">
        <v>776368.65443365765</v>
      </c>
      <c r="AH59" s="98">
        <v>776368.65443365765</v>
      </c>
      <c r="AI59" s="98">
        <v>742241.44419639732</v>
      </c>
      <c r="AJ59" s="98">
        <v>742241.44419639732</v>
      </c>
      <c r="AK59" s="98">
        <v>742241.44419639732</v>
      </c>
      <c r="AL59" s="98">
        <v>742241.44419639732</v>
      </c>
      <c r="AM59" s="98">
        <v>709294.81417400122</v>
      </c>
      <c r="AN59" s="98">
        <v>709294.81417400122</v>
      </c>
      <c r="AO59" s="98">
        <v>709294.81417400122</v>
      </c>
      <c r="AP59" s="98">
        <v>709294.81417400122</v>
      </c>
      <c r="AQ59" s="98">
        <v>765518.93567147769</v>
      </c>
      <c r="AR59" s="98">
        <v>765518.93567147769</v>
      </c>
      <c r="AS59" s="98">
        <v>765518.93567147769</v>
      </c>
      <c r="AT59" s="98">
        <v>765518.93567147769</v>
      </c>
      <c r="AU59" s="98">
        <v>811531.5745379366</v>
      </c>
      <c r="AV59" s="98">
        <v>811531.5745379366</v>
      </c>
      <c r="AW59" s="98">
        <v>811531.5745379366</v>
      </c>
      <c r="AX59" s="98">
        <v>811531.5745379366</v>
      </c>
    </row>
    <row r="60" spans="2:51">
      <c r="B60" s="103" t="s">
        <v>106</v>
      </c>
      <c r="C60" s="98">
        <v>775112.60990042984</v>
      </c>
      <c r="D60" s="98">
        <v>775112.60990042984</v>
      </c>
      <c r="E60" s="98">
        <v>775112.60990042984</v>
      </c>
      <c r="F60" s="98">
        <v>775112.60990042984</v>
      </c>
      <c r="G60" s="98">
        <v>750649.57820818981</v>
      </c>
      <c r="H60" s="98">
        <v>750649.57820818981</v>
      </c>
      <c r="I60" s="98">
        <v>750649.57820818981</v>
      </c>
      <c r="J60" s="98">
        <v>750649.57820818981</v>
      </c>
      <c r="K60" s="98">
        <v>817566.09081048984</v>
      </c>
      <c r="L60" s="98">
        <v>817566.09081048984</v>
      </c>
      <c r="M60" s="98">
        <v>817566.09081048984</v>
      </c>
      <c r="N60" s="98">
        <v>817566.09081048984</v>
      </c>
      <c r="O60" s="98">
        <v>725953.62786094693</v>
      </c>
      <c r="P60" s="98">
        <v>725953.62786094693</v>
      </c>
      <c r="Q60" s="98">
        <v>725953.62786094693</v>
      </c>
      <c r="R60" s="98">
        <v>725953.62786094693</v>
      </c>
      <c r="S60" s="98">
        <v>762816.14760522998</v>
      </c>
      <c r="T60" s="98">
        <v>762816.14760522998</v>
      </c>
      <c r="U60" s="98">
        <v>762816.14760522998</v>
      </c>
      <c r="V60" s="98">
        <v>762816.14760522998</v>
      </c>
      <c r="W60" s="98">
        <v>824030.86230804725</v>
      </c>
      <c r="X60" s="98">
        <v>824030.86230804725</v>
      </c>
      <c r="Y60" s="98">
        <v>824030.86230804725</v>
      </c>
      <c r="Z60" s="98">
        <v>824030.86230804725</v>
      </c>
      <c r="AA60" s="98">
        <v>795497.16221541667</v>
      </c>
      <c r="AB60" s="98">
        <v>795497.16221541667</v>
      </c>
      <c r="AC60" s="98">
        <v>795497.16221541667</v>
      </c>
      <c r="AD60" s="98">
        <v>795497.16221541667</v>
      </c>
      <c r="AE60" s="98">
        <v>776151.36181692465</v>
      </c>
      <c r="AF60" s="98">
        <v>776151.36181692465</v>
      </c>
      <c r="AG60" s="98">
        <v>776151.36181692465</v>
      </c>
      <c r="AH60" s="98">
        <v>776151.36181692465</v>
      </c>
      <c r="AI60" s="98">
        <v>746070.55041695375</v>
      </c>
      <c r="AJ60" s="98">
        <v>746070.55041695375</v>
      </c>
      <c r="AK60" s="98">
        <v>746070.55041695375</v>
      </c>
      <c r="AL60" s="98">
        <v>746070.55041695375</v>
      </c>
      <c r="AM60" s="98">
        <v>850995.84585714992</v>
      </c>
      <c r="AN60" s="98">
        <v>850995.84585714992</v>
      </c>
      <c r="AO60" s="98">
        <v>850995.84585714992</v>
      </c>
      <c r="AP60" s="98">
        <v>850995.84585714992</v>
      </c>
      <c r="AQ60" s="98">
        <v>783853.15683354449</v>
      </c>
      <c r="AR60" s="98">
        <v>783853.15683354449</v>
      </c>
      <c r="AS60" s="98">
        <v>783853.15683354449</v>
      </c>
      <c r="AT60" s="98">
        <v>783853.15683354449</v>
      </c>
      <c r="AU60" s="98">
        <v>753278.23233980499</v>
      </c>
      <c r="AV60" s="98">
        <v>753278.23233980499</v>
      </c>
      <c r="AW60" s="98">
        <v>753278.23233980499</v>
      </c>
      <c r="AX60" s="98">
        <v>753278.23233980499</v>
      </c>
    </row>
    <row r="61" spans="2:51">
      <c r="B61" s="103" t="s">
        <v>107</v>
      </c>
      <c r="C61" s="98">
        <v>904431.61025548144</v>
      </c>
      <c r="D61" s="98">
        <v>904431.61025548144</v>
      </c>
      <c r="E61" s="98">
        <v>904431.61025548144</v>
      </c>
      <c r="F61" s="98">
        <v>904431.61025548144</v>
      </c>
      <c r="G61" s="98">
        <v>472696.16832345398</v>
      </c>
      <c r="H61" s="98">
        <v>897277.89492594451</v>
      </c>
      <c r="I61" s="98">
        <v>897277.89492594451</v>
      </c>
      <c r="J61" s="98">
        <v>897277.89492594451</v>
      </c>
      <c r="K61" s="98">
        <v>782288.8732179401</v>
      </c>
      <c r="L61" s="98">
        <v>782288.8732179401</v>
      </c>
      <c r="M61" s="98">
        <v>782288.8732179401</v>
      </c>
      <c r="N61" s="98">
        <v>782288.8732179401</v>
      </c>
      <c r="O61" s="98">
        <v>824541.46482552926</v>
      </c>
      <c r="P61" s="98">
        <v>824541.46482552926</v>
      </c>
      <c r="Q61" s="98">
        <v>824541.46482552926</v>
      </c>
      <c r="R61" s="98">
        <v>824541.46482552926</v>
      </c>
      <c r="S61" s="98">
        <v>764174.90044390422</v>
      </c>
      <c r="T61" s="98">
        <v>764174.90044390422</v>
      </c>
      <c r="U61" s="98">
        <v>764174.90044390422</v>
      </c>
      <c r="V61" s="98">
        <v>764174.90044390422</v>
      </c>
      <c r="W61" s="98">
        <v>794087.09454525483</v>
      </c>
      <c r="X61" s="98">
        <v>794087.09454525483</v>
      </c>
      <c r="Y61" s="98">
        <v>794087.09454525483</v>
      </c>
      <c r="Z61" s="98">
        <v>794087.09454525483</v>
      </c>
      <c r="AA61" s="98">
        <v>827216.54835900594</v>
      </c>
      <c r="AB61" s="98">
        <v>827216.54835900594</v>
      </c>
      <c r="AC61" s="98">
        <v>827216.54835900594</v>
      </c>
      <c r="AD61" s="98">
        <v>571424.25199600472</v>
      </c>
      <c r="AE61" s="98">
        <v>837034.13380477997</v>
      </c>
      <c r="AF61" s="98">
        <v>837034.13380477997</v>
      </c>
      <c r="AG61" s="98">
        <v>837034.13380477997</v>
      </c>
      <c r="AH61" s="98">
        <v>837034.13380477997</v>
      </c>
      <c r="AI61" s="98">
        <v>815215.67352698522</v>
      </c>
      <c r="AJ61" s="98">
        <v>815215.67352698522</v>
      </c>
      <c r="AK61" s="98">
        <v>815215.67352698522</v>
      </c>
      <c r="AL61" s="98">
        <v>815215.67352698522</v>
      </c>
      <c r="AM61" s="98">
        <v>787250.18819713173</v>
      </c>
      <c r="AN61" s="98">
        <v>787250.18819713173</v>
      </c>
      <c r="AO61" s="98">
        <v>787250.18819713173</v>
      </c>
      <c r="AP61" s="98">
        <v>787250.18819713173</v>
      </c>
      <c r="AQ61" s="98">
        <v>766952.62475220836</v>
      </c>
      <c r="AR61" s="98">
        <v>766952.62475220836</v>
      </c>
      <c r="AS61" s="98">
        <v>766952.62475220836</v>
      </c>
      <c r="AT61" s="98">
        <v>766952.62475220836</v>
      </c>
      <c r="AU61" s="98">
        <v>757538.94955872744</v>
      </c>
      <c r="AV61" s="98">
        <v>757538.94955872744</v>
      </c>
      <c r="AW61" s="98">
        <v>757538.94955872744</v>
      </c>
      <c r="AX61" s="98">
        <v>757538.94955872744</v>
      </c>
    </row>
    <row r="62" spans="2:51">
      <c r="B62" s="103" t="s">
        <v>108</v>
      </c>
      <c r="C62" s="98">
        <v>912953.46006700827</v>
      </c>
      <c r="D62" s="98">
        <v>912953.46006700827</v>
      </c>
      <c r="E62" s="98">
        <v>912953.46006700827</v>
      </c>
      <c r="F62" s="98">
        <v>912953.46006700827</v>
      </c>
      <c r="G62" s="98">
        <v>905999.42215593252</v>
      </c>
      <c r="H62" s="98">
        <v>905999.42215593252</v>
      </c>
      <c r="I62" s="98">
        <v>905999.42215593252</v>
      </c>
      <c r="J62" s="98">
        <v>905999.42215593252</v>
      </c>
      <c r="K62" s="98">
        <v>919111.44202010578</v>
      </c>
      <c r="L62" s="98">
        <v>919111.44202010578</v>
      </c>
      <c r="M62" s="98">
        <v>919111.44202010578</v>
      </c>
      <c r="N62" s="98">
        <v>919111.44202010578</v>
      </c>
      <c r="O62" s="98">
        <v>909484.51668525313</v>
      </c>
      <c r="P62" s="98">
        <v>909484.51668525313</v>
      </c>
      <c r="Q62" s="98">
        <v>909484.51668525313</v>
      </c>
      <c r="R62" s="98">
        <v>909484.51668525313</v>
      </c>
      <c r="S62" s="98">
        <v>910865.54670357727</v>
      </c>
      <c r="T62" s="98">
        <v>910865.54670357727</v>
      </c>
      <c r="U62" s="98">
        <v>910865.54670357727</v>
      </c>
      <c r="V62" s="98">
        <v>910865.54670357727</v>
      </c>
      <c r="W62" s="98">
        <v>926867.79732979962</v>
      </c>
      <c r="X62" s="98">
        <v>926867.79732979962</v>
      </c>
      <c r="Y62" s="98">
        <v>926867.79732979962</v>
      </c>
      <c r="Z62" s="98">
        <v>926867.79732979962</v>
      </c>
      <c r="AA62" s="98">
        <v>789503.3901023434</v>
      </c>
      <c r="AB62" s="98">
        <v>789503.3901023434</v>
      </c>
      <c r="AC62" s="98">
        <v>789503.3901023434</v>
      </c>
      <c r="AD62" s="98">
        <v>789503.3901023434</v>
      </c>
      <c r="AE62" s="98">
        <v>797198.14619547757</v>
      </c>
      <c r="AF62" s="98">
        <v>797198.14619547757</v>
      </c>
      <c r="AG62" s="98">
        <v>797198.14619547757</v>
      </c>
      <c r="AH62" s="98">
        <v>797198.14619547757</v>
      </c>
      <c r="AI62" s="98">
        <v>799292.8290479586</v>
      </c>
      <c r="AJ62" s="98">
        <v>799292.8290479586</v>
      </c>
      <c r="AK62" s="98">
        <v>799292.8290479586</v>
      </c>
      <c r="AL62" s="98">
        <v>799292.8290479586</v>
      </c>
      <c r="AM62" s="98">
        <v>776833.241534509</v>
      </c>
      <c r="AN62" s="98">
        <v>776833.241534509</v>
      </c>
      <c r="AO62" s="98">
        <v>776833.241534509</v>
      </c>
      <c r="AP62" s="98">
        <v>776833.241534509</v>
      </c>
      <c r="AQ62" s="98">
        <v>646193.79550985561</v>
      </c>
      <c r="AR62" s="98">
        <v>646193.79550985561</v>
      </c>
      <c r="AS62" s="98">
        <v>646193.79550985561</v>
      </c>
      <c r="AT62" s="98">
        <v>646193.79550985561</v>
      </c>
      <c r="AU62" s="98">
        <v>786197.05778323254</v>
      </c>
      <c r="AV62" s="98">
        <v>786197.05778323254</v>
      </c>
      <c r="AW62" s="98">
        <v>786197.05778323254</v>
      </c>
      <c r="AX62" s="98">
        <v>786197.05778323254</v>
      </c>
    </row>
    <row r="63" spans="2:51">
      <c r="B63" s="103" t="s">
        <v>109</v>
      </c>
      <c r="C63" s="98">
        <v>664627.61449978082</v>
      </c>
      <c r="D63" s="98">
        <v>664627.61449978082</v>
      </c>
      <c r="E63" s="98">
        <v>664627.61449978082</v>
      </c>
      <c r="F63" s="98">
        <v>664627.61449978082</v>
      </c>
      <c r="G63" s="98">
        <v>0</v>
      </c>
      <c r="H63" s="98">
        <v>0</v>
      </c>
      <c r="I63" s="98">
        <v>0</v>
      </c>
      <c r="J63" s="98">
        <v>0</v>
      </c>
      <c r="K63" s="98">
        <v>671035.80502906907</v>
      </c>
      <c r="L63" s="98">
        <v>671035.80502906907</v>
      </c>
      <c r="M63" s="98">
        <v>671035.80502906907</v>
      </c>
      <c r="N63" s="98">
        <v>671035.80502906907</v>
      </c>
      <c r="O63" s="98">
        <v>0</v>
      </c>
      <c r="P63" s="98">
        <v>0</v>
      </c>
      <c r="Q63" s="98">
        <v>0</v>
      </c>
      <c r="R63" s="98">
        <v>0</v>
      </c>
      <c r="S63" s="98">
        <v>0</v>
      </c>
      <c r="T63" s="98">
        <v>0</v>
      </c>
      <c r="U63" s="98">
        <v>0</v>
      </c>
      <c r="V63" s="98">
        <v>0</v>
      </c>
      <c r="W63" s="98">
        <v>641794.27167880256</v>
      </c>
      <c r="X63" s="98">
        <v>641794.27167880256</v>
      </c>
      <c r="Y63" s="98">
        <v>641794.27167880256</v>
      </c>
      <c r="Z63" s="98">
        <v>641794.27167880256</v>
      </c>
      <c r="AA63" s="98">
        <v>783259.95196745649</v>
      </c>
      <c r="AB63" s="98">
        <v>783259.95196745649</v>
      </c>
      <c r="AC63" s="98">
        <v>783259.95196745649</v>
      </c>
      <c r="AD63" s="98">
        <v>783259.95196745649</v>
      </c>
      <c r="AE63" s="98">
        <v>785723.78766822256</v>
      </c>
      <c r="AF63" s="98">
        <v>785723.78766822256</v>
      </c>
      <c r="AG63" s="98">
        <v>785723.78766822256</v>
      </c>
      <c r="AH63" s="98">
        <v>785723.78766822256</v>
      </c>
      <c r="AI63" s="98">
        <v>0</v>
      </c>
      <c r="AJ63" s="98">
        <v>0</v>
      </c>
      <c r="AK63" s="98">
        <v>0</v>
      </c>
      <c r="AL63" s="98">
        <v>0</v>
      </c>
      <c r="AM63" s="98">
        <v>660377.66755246837</v>
      </c>
      <c r="AN63" s="98">
        <v>660377.66755246837</v>
      </c>
      <c r="AO63" s="98">
        <v>660377.66755246837</v>
      </c>
      <c r="AP63" s="98">
        <v>660377.66755246837</v>
      </c>
      <c r="AQ63" s="98">
        <v>677859.33879207436</v>
      </c>
      <c r="AR63" s="98">
        <v>677859.33879207436</v>
      </c>
      <c r="AS63" s="98">
        <v>677859.33879207436</v>
      </c>
      <c r="AT63" s="98">
        <v>677859.33879207436</v>
      </c>
      <c r="AU63" s="98">
        <v>0</v>
      </c>
      <c r="AV63" s="98">
        <v>0</v>
      </c>
      <c r="AW63" s="98">
        <v>0</v>
      </c>
      <c r="AX63" s="98">
        <v>0</v>
      </c>
    </row>
    <row r="64" spans="2:51">
      <c r="B64" s="99"/>
    </row>
    <row r="65" spans="1:14">
      <c r="B65" s="102" t="s">
        <v>328</v>
      </c>
    </row>
    <row r="66" spans="1:14">
      <c r="B66" s="97" t="s">
        <v>329</v>
      </c>
      <c r="C66" s="97" t="s">
        <v>92</v>
      </c>
      <c r="D66" s="97" t="s">
        <v>93</v>
      </c>
      <c r="E66" s="97" t="s">
        <v>94</v>
      </c>
      <c r="F66" s="97" t="s">
        <v>95</v>
      </c>
      <c r="G66" s="97" t="s">
        <v>96</v>
      </c>
      <c r="H66" s="97" t="s">
        <v>97</v>
      </c>
      <c r="I66" s="97" t="s">
        <v>98</v>
      </c>
      <c r="J66" s="97" t="s">
        <v>99</v>
      </c>
      <c r="K66" s="97" t="s">
        <v>100</v>
      </c>
      <c r="L66" s="97" t="s">
        <v>101</v>
      </c>
      <c r="M66" s="97" t="s">
        <v>102</v>
      </c>
      <c r="N66" s="97" t="s">
        <v>103</v>
      </c>
    </row>
    <row r="67" spans="1:14">
      <c r="B67" s="97" t="s">
        <v>330</v>
      </c>
      <c r="C67" s="98">
        <v>0</v>
      </c>
      <c r="D67" s="98">
        <v>0</v>
      </c>
      <c r="E67" s="98">
        <v>0</v>
      </c>
      <c r="F67" s="98">
        <v>0</v>
      </c>
      <c r="G67" s="98">
        <v>0</v>
      </c>
      <c r="H67" s="98">
        <v>0</v>
      </c>
      <c r="I67" s="98">
        <v>0</v>
      </c>
      <c r="J67" s="98">
        <v>0</v>
      </c>
      <c r="K67" s="98">
        <v>0</v>
      </c>
      <c r="L67" s="98">
        <v>0</v>
      </c>
      <c r="M67" s="98">
        <v>0</v>
      </c>
      <c r="N67" s="98">
        <v>0</v>
      </c>
    </row>
    <row r="68" spans="1:14">
      <c r="B68" s="97" t="s">
        <v>331</v>
      </c>
      <c r="C68" s="98">
        <v>833.33333333333348</v>
      </c>
      <c r="D68" s="98">
        <v>833.33333333333348</v>
      </c>
      <c r="E68" s="98">
        <v>833.33333333333348</v>
      </c>
      <c r="F68" s="98">
        <v>833.33333333333348</v>
      </c>
      <c r="G68" s="98">
        <v>833.33333333333348</v>
      </c>
      <c r="H68" s="98">
        <v>833.33333333333348</v>
      </c>
      <c r="I68" s="98">
        <v>833.33333333333348</v>
      </c>
      <c r="J68" s="98">
        <v>833.33333333333348</v>
      </c>
      <c r="K68" s="98">
        <v>833.33333333333348</v>
      </c>
      <c r="L68" s="98">
        <v>833.33333333333348</v>
      </c>
      <c r="M68" s="98">
        <v>833.33333333333348</v>
      </c>
      <c r="N68" s="98">
        <v>833.33333333333348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 s="98">
        <v>27754.42908333334</v>
      </c>
      <c r="D72" s="98">
        <v>98314.199500000002</v>
      </c>
      <c r="E72" s="98">
        <v>144584.26125000004</v>
      </c>
    </row>
    <row r="73" spans="1:14">
      <c r="B73" s="103" t="s">
        <v>93</v>
      </c>
      <c r="C73" s="98">
        <v>27754.42908333334</v>
      </c>
      <c r="D73" s="98">
        <v>98314.199500000002</v>
      </c>
      <c r="E73" s="98">
        <v>144584.26125000004</v>
      </c>
    </row>
    <row r="74" spans="1:14">
      <c r="B74" s="103" t="s">
        <v>94</v>
      </c>
      <c r="C74" s="98">
        <v>27754.42908333334</v>
      </c>
      <c r="D74" s="98">
        <v>98314.199500000002</v>
      </c>
      <c r="E74" s="98">
        <v>144584.26125000004</v>
      </c>
    </row>
    <row r="75" spans="1:14">
      <c r="B75" s="103" t="s">
        <v>95</v>
      </c>
      <c r="C75" s="98">
        <v>27754.42908333334</v>
      </c>
      <c r="D75" s="98">
        <v>98314.199500000002</v>
      </c>
      <c r="E75" s="98">
        <v>144584.26125000004</v>
      </c>
    </row>
    <row r="76" spans="1:14">
      <c r="B76" s="103" t="s">
        <v>96</v>
      </c>
      <c r="C76" s="98">
        <v>27754.42908333334</v>
      </c>
      <c r="D76" s="98">
        <v>98314.199500000002</v>
      </c>
      <c r="E76" s="98">
        <v>144584.26125000004</v>
      </c>
    </row>
    <row r="77" spans="1:14">
      <c r="B77" s="103" t="s">
        <v>97</v>
      </c>
      <c r="C77" s="98">
        <v>27754.42908333334</v>
      </c>
      <c r="D77" s="98">
        <v>98314.199500000002</v>
      </c>
      <c r="E77" s="98">
        <v>144584.26125000004</v>
      </c>
    </row>
    <row r="78" spans="1:14">
      <c r="B78" s="103" t="s">
        <v>98</v>
      </c>
      <c r="C78" s="98">
        <v>27754.42908333334</v>
      </c>
      <c r="D78" s="98">
        <v>98314.199500000002</v>
      </c>
      <c r="E78" s="98">
        <v>144584.26125000004</v>
      </c>
    </row>
    <row r="79" spans="1:14">
      <c r="B79" s="103" t="s">
        <v>99</v>
      </c>
      <c r="C79" s="98">
        <v>27754.42908333334</v>
      </c>
      <c r="D79" s="98">
        <v>98314.199500000002</v>
      </c>
      <c r="E79" s="98">
        <v>144584.26125000004</v>
      </c>
    </row>
    <row r="80" spans="1:14">
      <c r="B80" s="103" t="s">
        <v>100</v>
      </c>
      <c r="C80" s="98">
        <v>27754.42908333334</v>
      </c>
      <c r="D80" s="98">
        <v>98314.199500000002</v>
      </c>
      <c r="E80" s="98">
        <v>144584.26125000004</v>
      </c>
    </row>
    <row r="81" spans="2:50">
      <c r="B81" s="103" t="s">
        <v>101</v>
      </c>
      <c r="C81" s="98">
        <v>27754.42908333334</v>
      </c>
      <c r="D81" s="98">
        <v>98314.199500000002</v>
      </c>
      <c r="E81" s="98">
        <v>144584.26125000004</v>
      </c>
    </row>
    <row r="82" spans="2:50">
      <c r="B82" s="103" t="s">
        <v>102</v>
      </c>
      <c r="C82" s="98">
        <v>27754.42908333334</v>
      </c>
      <c r="D82" s="98">
        <v>98314.199500000002</v>
      </c>
      <c r="E82" s="98">
        <v>144584.26125000004</v>
      </c>
    </row>
    <row r="83" spans="2:50">
      <c r="B83" s="103" t="s">
        <v>103</v>
      </c>
      <c r="C83" s="98">
        <v>27754.42908333334</v>
      </c>
      <c r="D83" s="98">
        <v>98314.199500000002</v>
      </c>
      <c r="E83" s="98">
        <v>144584.26125000004</v>
      </c>
    </row>
    <row r="85" spans="2:50">
      <c r="B85" s="101" t="s">
        <v>334</v>
      </c>
    </row>
    <row r="86" spans="2:50">
      <c r="B86" s="97" t="s">
        <v>275</v>
      </c>
      <c r="C86" s="97" t="s">
        <v>92</v>
      </c>
      <c r="D86" s="99"/>
      <c r="E86" s="99"/>
      <c r="F86" s="99"/>
      <c r="G86" s="97" t="s">
        <v>93</v>
      </c>
      <c r="H86" s="99"/>
      <c r="I86" s="99"/>
      <c r="J86" s="99"/>
      <c r="K86" s="97" t="s">
        <v>94</v>
      </c>
      <c r="L86" s="99"/>
      <c r="M86" s="99"/>
      <c r="N86" s="99"/>
      <c r="O86" s="97" t="s">
        <v>95</v>
      </c>
      <c r="P86" s="99"/>
      <c r="Q86" s="99"/>
      <c r="R86" s="99"/>
      <c r="S86" s="97" t="s">
        <v>96</v>
      </c>
      <c r="T86" s="99"/>
      <c r="U86" s="99"/>
      <c r="V86" s="99"/>
      <c r="W86" s="97" t="s">
        <v>97</v>
      </c>
      <c r="X86" s="99"/>
      <c r="Y86" s="99"/>
      <c r="Z86" s="99"/>
      <c r="AA86" s="97" t="s">
        <v>98</v>
      </c>
      <c r="AB86" s="99"/>
      <c r="AC86" s="99"/>
      <c r="AD86" s="99"/>
      <c r="AE86" s="97" t="s">
        <v>99</v>
      </c>
      <c r="AF86" s="99"/>
      <c r="AG86" s="99"/>
      <c r="AH86" s="99"/>
      <c r="AI86" s="97" t="s">
        <v>100</v>
      </c>
      <c r="AJ86" s="99"/>
      <c r="AK86" s="99"/>
      <c r="AL86" s="99"/>
      <c r="AM86" s="97" t="s">
        <v>101</v>
      </c>
      <c r="AN86" s="99"/>
      <c r="AO86" s="99"/>
      <c r="AP86" s="99"/>
      <c r="AQ86" s="97" t="s">
        <v>102</v>
      </c>
      <c r="AR86" s="99"/>
      <c r="AS86" s="99"/>
      <c r="AT86" s="99"/>
      <c r="AU86" s="97" t="s">
        <v>103</v>
      </c>
      <c r="AV86" s="99"/>
      <c r="AW86" s="99"/>
    </row>
    <row r="87" spans="2:50">
      <c r="B87" s="97" t="s">
        <v>335</v>
      </c>
      <c r="C87" s="97">
        <v>1</v>
      </c>
      <c r="D87" s="97">
        <v>2</v>
      </c>
      <c r="E87" s="97">
        <v>3</v>
      </c>
      <c r="F87" s="97">
        <v>4</v>
      </c>
      <c r="G87" s="97">
        <v>1</v>
      </c>
      <c r="H87" s="97">
        <v>2</v>
      </c>
      <c r="I87" s="97">
        <v>3</v>
      </c>
      <c r="J87" s="97">
        <v>4</v>
      </c>
      <c r="K87" s="97">
        <v>1</v>
      </c>
      <c r="L87" s="97">
        <v>2</v>
      </c>
      <c r="M87" s="97">
        <v>3</v>
      </c>
      <c r="N87" s="97">
        <v>4</v>
      </c>
      <c r="O87" s="97">
        <v>1</v>
      </c>
      <c r="P87" s="97">
        <v>2</v>
      </c>
      <c r="Q87" s="97">
        <v>3</v>
      </c>
      <c r="R87" s="97">
        <v>4</v>
      </c>
      <c r="S87" s="97">
        <v>1</v>
      </c>
      <c r="T87" s="97">
        <v>2</v>
      </c>
      <c r="U87" s="97">
        <v>3</v>
      </c>
      <c r="V87" s="97">
        <v>4</v>
      </c>
      <c r="W87" s="97">
        <v>1</v>
      </c>
      <c r="X87" s="97">
        <v>2</v>
      </c>
      <c r="Y87" s="97">
        <v>3</v>
      </c>
      <c r="Z87" s="97">
        <v>4</v>
      </c>
      <c r="AA87" s="97">
        <v>1</v>
      </c>
      <c r="AB87" s="97">
        <v>2</v>
      </c>
      <c r="AC87" s="97">
        <v>3</v>
      </c>
      <c r="AD87" s="97">
        <v>4</v>
      </c>
      <c r="AE87" s="97">
        <v>1</v>
      </c>
      <c r="AF87" s="97">
        <v>2</v>
      </c>
      <c r="AG87" s="97">
        <v>3</v>
      </c>
      <c r="AH87" s="97">
        <v>4</v>
      </c>
      <c r="AI87" s="97">
        <v>1</v>
      </c>
      <c r="AJ87" s="97">
        <v>2</v>
      </c>
      <c r="AK87" s="97">
        <v>3</v>
      </c>
      <c r="AL87" s="97">
        <v>4</v>
      </c>
      <c r="AM87" s="97">
        <v>1</v>
      </c>
      <c r="AN87" s="97">
        <v>2</v>
      </c>
      <c r="AO87" s="97">
        <v>3</v>
      </c>
      <c r="AP87" s="97">
        <v>4</v>
      </c>
      <c r="AQ87" s="97">
        <v>1</v>
      </c>
      <c r="AR87" s="97">
        <v>2</v>
      </c>
      <c r="AS87" s="97">
        <v>3</v>
      </c>
      <c r="AT87" s="97">
        <v>4</v>
      </c>
      <c r="AU87" s="97">
        <v>1</v>
      </c>
      <c r="AV87" s="97">
        <v>2</v>
      </c>
      <c r="AW87" s="97">
        <v>3</v>
      </c>
      <c r="AX87" s="97">
        <v>4</v>
      </c>
    </row>
    <row r="88" spans="2:50">
      <c r="B88" s="97" t="s">
        <v>104</v>
      </c>
      <c r="C88" s="98">
        <f>C48+$C$67/4</f>
        <v>531.37386000000004</v>
      </c>
      <c r="D88" s="98">
        <f>D48+$C$67/4</f>
        <v>531.37386000000004</v>
      </c>
      <c r="E88" s="98">
        <f>E48+$C$67/4</f>
        <v>531.37386000000004</v>
      </c>
      <c r="F88" s="98">
        <f>F48+$C$67/4</f>
        <v>531.37386000000004</v>
      </c>
      <c r="G88" s="98">
        <f>G48+$D$67/4</f>
        <v>531.37386000000004</v>
      </c>
      <c r="H88" s="98">
        <f>H48+$D$67/4</f>
        <v>531.37386000000004</v>
      </c>
      <c r="I88" s="98">
        <f>I48+$D$67/4</f>
        <v>531.37386000000004</v>
      </c>
      <c r="J88" s="98">
        <f>J48+$D$67/4</f>
        <v>531.37386000000004</v>
      </c>
      <c r="K88" s="98">
        <f>K48+$E$67/4</f>
        <v>531.37386000000004</v>
      </c>
      <c r="L88" s="98">
        <f>L48+$E$67/4</f>
        <v>531.37386000000004</v>
      </c>
      <c r="M88" s="98">
        <f>M48+$E$67/4</f>
        <v>531.37386000000004</v>
      </c>
      <c r="N88" s="98">
        <f>N48+$E$67/4</f>
        <v>531.37386000000004</v>
      </c>
      <c r="O88" s="98">
        <f>O48+$F$67/4</f>
        <v>425.09908800000005</v>
      </c>
      <c r="P88" s="98">
        <f>P48+$F$67/4</f>
        <v>425.09908800000005</v>
      </c>
      <c r="Q88" s="98">
        <f>Q48+$F$67/4</f>
        <v>425.09908800000005</v>
      </c>
      <c r="R88" s="98">
        <f>R48+$F$67/4</f>
        <v>425.09908800000005</v>
      </c>
      <c r="S88" s="98">
        <f>S48+$G$67/4</f>
        <v>531.37386000000004</v>
      </c>
      <c r="T88" s="98">
        <f>T48+$G$67/4</f>
        <v>531.37386000000004</v>
      </c>
      <c r="U88" s="98">
        <f>U48+$G$67/4</f>
        <v>531.37386000000004</v>
      </c>
      <c r="V88" s="98">
        <f>V48+$G$67/4</f>
        <v>531.37386000000004</v>
      </c>
      <c r="W88" s="98">
        <f>W48+$H$67/4</f>
        <v>531.37386000000004</v>
      </c>
      <c r="X88" s="98">
        <f>X48+$H$67/4</f>
        <v>531.37386000000004</v>
      </c>
      <c r="Y88" s="98">
        <f>Y48+$H$67/4</f>
        <v>531.37386000000004</v>
      </c>
      <c r="Z88" s="98">
        <f>Z48+$H$67/4</f>
        <v>531.37386000000004</v>
      </c>
      <c r="AA88" s="98">
        <f>AA48+$I$67/4</f>
        <v>531.37386000000004</v>
      </c>
      <c r="AB88" s="98">
        <f>AB48+$I$67/4</f>
        <v>531.37386000000004</v>
      </c>
      <c r="AC88" s="98">
        <f>AC48+$I$67/4</f>
        <v>531.37386000000004</v>
      </c>
      <c r="AD88" s="98">
        <f>AD48+$I$67/4</f>
        <v>531.37386000000004</v>
      </c>
      <c r="AE88" s="98">
        <f>AE48+$J$67/4</f>
        <v>531.37386000000004</v>
      </c>
      <c r="AF88" s="98">
        <f>AF48+$J$67/4</f>
        <v>531.37386000000004</v>
      </c>
      <c r="AG88" s="98">
        <f>AG48+$J$67/4</f>
        <v>531.37386000000004</v>
      </c>
      <c r="AH88" s="98">
        <f>AH48+$J$67/4</f>
        <v>531.37386000000004</v>
      </c>
      <c r="AI88" s="98">
        <f>AI48+$K$67/4</f>
        <v>531.37386000000004</v>
      </c>
      <c r="AJ88" s="98">
        <f>AJ48+$K$67/4</f>
        <v>531.37386000000004</v>
      </c>
      <c r="AK88" s="98">
        <f>AK48+$K$67/4</f>
        <v>531.37386000000004</v>
      </c>
      <c r="AL88" s="98">
        <f>AL48+$K$67/4</f>
        <v>531.37386000000004</v>
      </c>
      <c r="AM88" s="98">
        <f>AM48+$L$67/4</f>
        <v>531.37386000000004</v>
      </c>
      <c r="AN88" s="98">
        <f>AN48+$L$67/4</f>
        <v>531.37386000000004</v>
      </c>
      <c r="AO88" s="98">
        <f>AO48+$L$67/4</f>
        <v>531.37386000000004</v>
      </c>
      <c r="AP88" s="98">
        <f>AP48+$L$67/4</f>
        <v>531.37386000000004</v>
      </c>
      <c r="AQ88" s="98">
        <f>AQ48+$M$67/4</f>
        <v>637.64863200000002</v>
      </c>
      <c r="AR88" s="98">
        <f>AR48+$M$67/4</f>
        <v>637.64863200000002</v>
      </c>
      <c r="AS88" s="98">
        <f>AS48+$M$67/4</f>
        <v>637.64863200000002</v>
      </c>
      <c r="AT88" s="98">
        <f>AT48+$M$67/4</f>
        <v>637.64863200000002</v>
      </c>
      <c r="AU88" s="98">
        <f>AU48+$N$67/4</f>
        <v>637.64863200000002</v>
      </c>
      <c r="AV88" s="98">
        <f>AV48+$N$67/4</f>
        <v>637.64863200000002</v>
      </c>
      <c r="AW88" s="98">
        <f>AW48+$N$67/4</f>
        <v>637.64863200000002</v>
      </c>
      <c r="AX88" s="98">
        <f>AX48+$N$67/4</f>
        <v>637.64863200000002</v>
      </c>
    </row>
    <row r="89" spans="2:50">
      <c r="B89" s="97" t="s">
        <v>105</v>
      </c>
      <c r="C89" s="98">
        <f>C49</f>
        <v>533.05227000000002</v>
      </c>
      <c r="D89" s="98">
        <f t="shared" ref="D89:AX93" si="3">D49</f>
        <v>533.05227000000002</v>
      </c>
      <c r="E89" s="98">
        <f t="shared" si="3"/>
        <v>533.05227000000002</v>
      </c>
      <c r="F89" s="98">
        <f t="shared" si="3"/>
        <v>533.05227000000002</v>
      </c>
      <c r="G89" s="98">
        <f t="shared" si="3"/>
        <v>533.05227000000002</v>
      </c>
      <c r="H89" s="98">
        <f t="shared" si="3"/>
        <v>533.05227000000002</v>
      </c>
      <c r="I89" s="98">
        <f t="shared" si="3"/>
        <v>533.05227000000002</v>
      </c>
      <c r="J89" s="98">
        <f t="shared" si="3"/>
        <v>533.05227000000002</v>
      </c>
      <c r="K89" s="98">
        <f t="shared" si="3"/>
        <v>533.05227000000002</v>
      </c>
      <c r="L89" s="98">
        <f t="shared" si="3"/>
        <v>533.05227000000002</v>
      </c>
      <c r="M89" s="98">
        <f t="shared" si="3"/>
        <v>533.05227000000002</v>
      </c>
      <c r="N89" s="98">
        <f t="shared" si="3"/>
        <v>533.05227000000002</v>
      </c>
      <c r="O89" s="98">
        <f t="shared" si="3"/>
        <v>533.05227000000002</v>
      </c>
      <c r="P89" s="98">
        <f t="shared" si="3"/>
        <v>533.05227000000002</v>
      </c>
      <c r="Q89" s="98">
        <f t="shared" si="3"/>
        <v>533.05227000000002</v>
      </c>
      <c r="R89" s="98">
        <f t="shared" si="3"/>
        <v>533.05227000000002</v>
      </c>
      <c r="S89" s="98">
        <f t="shared" si="3"/>
        <v>533.05227000000002</v>
      </c>
      <c r="T89" s="98">
        <f t="shared" si="3"/>
        <v>533.05227000000002</v>
      </c>
      <c r="U89" s="98">
        <f t="shared" si="3"/>
        <v>533.05227000000002</v>
      </c>
      <c r="V89" s="98">
        <f t="shared" si="3"/>
        <v>533.05227000000002</v>
      </c>
      <c r="W89" s="98">
        <f t="shared" si="3"/>
        <v>533.05227000000002</v>
      </c>
      <c r="X89" s="98">
        <f t="shared" si="3"/>
        <v>533.05227000000002</v>
      </c>
      <c r="Y89" s="98">
        <f t="shared" si="3"/>
        <v>533.05227000000002</v>
      </c>
      <c r="Z89" s="98">
        <f t="shared" si="3"/>
        <v>533.05227000000002</v>
      </c>
      <c r="AA89" s="98">
        <f t="shared" si="3"/>
        <v>533.05227000000002</v>
      </c>
      <c r="AB89" s="98">
        <f t="shared" si="3"/>
        <v>533.05227000000002</v>
      </c>
      <c r="AC89" s="98">
        <f t="shared" si="3"/>
        <v>533.05227000000002</v>
      </c>
      <c r="AD89" s="98">
        <f t="shared" si="3"/>
        <v>533.05227000000002</v>
      </c>
      <c r="AE89" s="98">
        <f t="shared" si="3"/>
        <v>533.05227000000002</v>
      </c>
      <c r="AF89" s="98">
        <f t="shared" si="3"/>
        <v>533.05227000000002</v>
      </c>
      <c r="AG89" s="98">
        <f t="shared" si="3"/>
        <v>533.05227000000002</v>
      </c>
      <c r="AH89" s="98">
        <f t="shared" si="3"/>
        <v>533.05227000000002</v>
      </c>
      <c r="AI89" s="98">
        <f t="shared" si="3"/>
        <v>533.05227000000002</v>
      </c>
      <c r="AJ89" s="98">
        <f t="shared" si="3"/>
        <v>533.05227000000002</v>
      </c>
      <c r="AK89" s="98">
        <f t="shared" si="3"/>
        <v>533.05227000000002</v>
      </c>
      <c r="AL89" s="98">
        <f t="shared" si="3"/>
        <v>533.05227000000002</v>
      </c>
      <c r="AM89" s="98">
        <f t="shared" si="3"/>
        <v>533.05227000000002</v>
      </c>
      <c r="AN89" s="98">
        <f t="shared" si="3"/>
        <v>533.05227000000002</v>
      </c>
      <c r="AO89" s="98">
        <f t="shared" si="3"/>
        <v>533.05227000000002</v>
      </c>
      <c r="AP89" s="98">
        <f t="shared" si="3"/>
        <v>533.05227000000002</v>
      </c>
      <c r="AQ89" s="98">
        <f t="shared" si="3"/>
        <v>533.05227000000002</v>
      </c>
      <c r="AR89" s="98">
        <f t="shared" si="3"/>
        <v>533.05227000000002</v>
      </c>
      <c r="AS89" s="98">
        <f t="shared" si="3"/>
        <v>533.05227000000002</v>
      </c>
      <c r="AT89" s="98">
        <f t="shared" si="3"/>
        <v>533.05227000000002</v>
      </c>
      <c r="AU89" s="98">
        <f t="shared" si="3"/>
        <v>639.66272400000003</v>
      </c>
      <c r="AV89" s="98">
        <f t="shared" si="3"/>
        <v>639.66272400000003</v>
      </c>
      <c r="AW89" s="98">
        <f t="shared" si="3"/>
        <v>639.66272400000003</v>
      </c>
      <c r="AX89" s="98">
        <f t="shared" si="3"/>
        <v>639.66272400000003</v>
      </c>
    </row>
    <row r="90" spans="2:50">
      <c r="B90" s="97" t="s">
        <v>106</v>
      </c>
      <c r="C90" s="98">
        <f t="shared" ref="C90:R93" si="4">C50</f>
        <v>536.27301</v>
      </c>
      <c r="D90" s="98">
        <f t="shared" si="4"/>
        <v>536.27301</v>
      </c>
      <c r="E90" s="98">
        <f t="shared" si="4"/>
        <v>536.27301</v>
      </c>
      <c r="F90" s="98">
        <f t="shared" si="4"/>
        <v>536.27301</v>
      </c>
      <c r="G90" s="98">
        <f t="shared" si="4"/>
        <v>536.27301</v>
      </c>
      <c r="H90" s="98">
        <f t="shared" si="4"/>
        <v>536.27301</v>
      </c>
      <c r="I90" s="98">
        <f t="shared" si="4"/>
        <v>536.27301</v>
      </c>
      <c r="J90" s="98">
        <f t="shared" si="4"/>
        <v>536.27301</v>
      </c>
      <c r="K90" s="98">
        <f t="shared" si="4"/>
        <v>536.27301</v>
      </c>
      <c r="L90" s="98">
        <f t="shared" si="4"/>
        <v>536.27301</v>
      </c>
      <c r="M90" s="98">
        <f t="shared" si="4"/>
        <v>536.27301</v>
      </c>
      <c r="N90" s="98">
        <f t="shared" si="4"/>
        <v>536.27301</v>
      </c>
      <c r="O90" s="98">
        <f t="shared" si="4"/>
        <v>429.01840800000002</v>
      </c>
      <c r="P90" s="98">
        <f t="shared" si="4"/>
        <v>429.01840800000002</v>
      </c>
      <c r="Q90" s="98">
        <f t="shared" si="4"/>
        <v>429.01840800000002</v>
      </c>
      <c r="R90" s="98">
        <f t="shared" si="4"/>
        <v>429.01840800000002</v>
      </c>
      <c r="S90" s="98">
        <f t="shared" si="3"/>
        <v>429.01840800000002</v>
      </c>
      <c r="T90" s="98">
        <f t="shared" si="3"/>
        <v>429.01840800000002</v>
      </c>
      <c r="U90" s="98">
        <f t="shared" si="3"/>
        <v>429.01840800000002</v>
      </c>
      <c r="V90" s="98">
        <f t="shared" si="3"/>
        <v>429.01840800000002</v>
      </c>
      <c r="W90" s="98">
        <f t="shared" si="3"/>
        <v>536.27301</v>
      </c>
      <c r="X90" s="98">
        <f t="shared" si="3"/>
        <v>536.27301</v>
      </c>
      <c r="Y90" s="98">
        <f t="shared" si="3"/>
        <v>536.27301</v>
      </c>
      <c r="Z90" s="98">
        <f t="shared" si="3"/>
        <v>536.27301</v>
      </c>
      <c r="AA90" s="98">
        <f t="shared" si="3"/>
        <v>536.27301</v>
      </c>
      <c r="AB90" s="98">
        <f t="shared" si="3"/>
        <v>536.27301</v>
      </c>
      <c r="AC90" s="98">
        <f t="shared" si="3"/>
        <v>536.27301</v>
      </c>
      <c r="AD90" s="98">
        <f t="shared" si="3"/>
        <v>536.27301</v>
      </c>
      <c r="AE90" s="98">
        <f t="shared" si="3"/>
        <v>536.27301</v>
      </c>
      <c r="AF90" s="98">
        <f t="shared" si="3"/>
        <v>536.27301</v>
      </c>
      <c r="AG90" s="98">
        <f t="shared" si="3"/>
        <v>536.27301</v>
      </c>
      <c r="AH90" s="98">
        <f t="shared" si="3"/>
        <v>536.27301</v>
      </c>
      <c r="AI90" s="98">
        <f t="shared" si="3"/>
        <v>536.27301</v>
      </c>
      <c r="AJ90" s="98">
        <f t="shared" si="3"/>
        <v>536.27301</v>
      </c>
      <c r="AK90" s="98">
        <f t="shared" si="3"/>
        <v>536.27301</v>
      </c>
      <c r="AL90" s="98">
        <f t="shared" si="3"/>
        <v>536.27301</v>
      </c>
      <c r="AM90" s="98">
        <f t="shared" si="3"/>
        <v>536.27301</v>
      </c>
      <c r="AN90" s="98">
        <f t="shared" si="3"/>
        <v>536.27301</v>
      </c>
      <c r="AO90" s="98">
        <f t="shared" si="3"/>
        <v>536.27301</v>
      </c>
      <c r="AP90" s="98">
        <f t="shared" si="3"/>
        <v>536.27301</v>
      </c>
      <c r="AQ90" s="98">
        <f t="shared" si="3"/>
        <v>536.27301</v>
      </c>
      <c r="AR90" s="98">
        <f t="shared" si="3"/>
        <v>536.27301</v>
      </c>
      <c r="AS90" s="98">
        <f t="shared" si="3"/>
        <v>536.27301</v>
      </c>
      <c r="AT90" s="98">
        <f t="shared" si="3"/>
        <v>536.27301</v>
      </c>
      <c r="AU90" s="98">
        <f t="shared" si="3"/>
        <v>536.27301</v>
      </c>
      <c r="AV90" s="98">
        <f t="shared" si="3"/>
        <v>536.27301</v>
      </c>
      <c r="AW90" s="98">
        <f t="shared" si="3"/>
        <v>536.27301</v>
      </c>
      <c r="AX90" s="98">
        <f t="shared" si="3"/>
        <v>536.27301</v>
      </c>
    </row>
    <row r="91" spans="2:50">
      <c r="B91" s="97" t="s">
        <v>107</v>
      </c>
      <c r="C91" s="98">
        <f t="shared" si="4"/>
        <v>460.57399200000003</v>
      </c>
      <c r="D91" s="98">
        <f t="shared" si="3"/>
        <v>460.57399200000003</v>
      </c>
      <c r="E91" s="98">
        <f t="shared" si="3"/>
        <v>460.57399200000003</v>
      </c>
      <c r="F91" s="98">
        <f t="shared" si="3"/>
        <v>460.57399200000003</v>
      </c>
      <c r="G91" s="98">
        <f t="shared" si="3"/>
        <v>303.29450117820755</v>
      </c>
      <c r="H91" s="98">
        <f t="shared" si="3"/>
        <v>575.71749</v>
      </c>
      <c r="I91" s="98">
        <f t="shared" si="3"/>
        <v>575.71749</v>
      </c>
      <c r="J91" s="98">
        <f t="shared" si="3"/>
        <v>575.71749</v>
      </c>
      <c r="K91" s="98">
        <f t="shared" si="3"/>
        <v>575.71749</v>
      </c>
      <c r="L91" s="98">
        <f t="shared" si="3"/>
        <v>575.71749</v>
      </c>
      <c r="M91" s="98">
        <f t="shared" si="3"/>
        <v>575.71749</v>
      </c>
      <c r="N91" s="98">
        <f t="shared" si="3"/>
        <v>575.71749</v>
      </c>
      <c r="O91" s="98">
        <f t="shared" si="3"/>
        <v>575.71749</v>
      </c>
      <c r="P91" s="98">
        <f t="shared" si="3"/>
        <v>575.71749</v>
      </c>
      <c r="Q91" s="98">
        <f t="shared" si="3"/>
        <v>575.71749</v>
      </c>
      <c r="R91" s="98">
        <f t="shared" si="3"/>
        <v>575.71749</v>
      </c>
      <c r="S91" s="98">
        <f t="shared" si="3"/>
        <v>575.71749</v>
      </c>
      <c r="T91" s="98">
        <f t="shared" si="3"/>
        <v>575.71749</v>
      </c>
      <c r="U91" s="98">
        <f t="shared" si="3"/>
        <v>575.71749</v>
      </c>
      <c r="V91" s="98">
        <f t="shared" si="3"/>
        <v>575.71749</v>
      </c>
      <c r="W91" s="98">
        <f t="shared" si="3"/>
        <v>575.71749</v>
      </c>
      <c r="X91" s="98">
        <f t="shared" si="3"/>
        <v>575.71749</v>
      </c>
      <c r="Y91" s="98">
        <f t="shared" si="3"/>
        <v>575.71749</v>
      </c>
      <c r="Z91" s="98">
        <f t="shared" si="3"/>
        <v>575.71749</v>
      </c>
      <c r="AA91" s="98">
        <f t="shared" si="3"/>
        <v>460.57399200000003</v>
      </c>
      <c r="AB91" s="98">
        <f t="shared" si="3"/>
        <v>460.57399200000003</v>
      </c>
      <c r="AC91" s="98">
        <f t="shared" si="3"/>
        <v>460.57399200000003</v>
      </c>
      <c r="AD91" s="98">
        <f t="shared" si="3"/>
        <v>318.15508211181759</v>
      </c>
      <c r="AE91" s="98">
        <f t="shared" si="3"/>
        <v>575.71749</v>
      </c>
      <c r="AF91" s="98">
        <f t="shared" si="3"/>
        <v>575.71749</v>
      </c>
      <c r="AG91" s="98">
        <f t="shared" si="3"/>
        <v>575.71749</v>
      </c>
      <c r="AH91" s="98">
        <f t="shared" si="3"/>
        <v>575.71749</v>
      </c>
      <c r="AI91" s="98">
        <f t="shared" si="3"/>
        <v>575.71749</v>
      </c>
      <c r="AJ91" s="98">
        <f t="shared" si="3"/>
        <v>575.71749</v>
      </c>
      <c r="AK91" s="98">
        <f t="shared" si="3"/>
        <v>575.71749</v>
      </c>
      <c r="AL91" s="98">
        <f t="shared" si="3"/>
        <v>575.71749</v>
      </c>
      <c r="AM91" s="98">
        <f t="shared" si="3"/>
        <v>575.71749</v>
      </c>
      <c r="AN91" s="98">
        <f t="shared" si="3"/>
        <v>575.71749</v>
      </c>
      <c r="AO91" s="98">
        <f t="shared" si="3"/>
        <v>575.71749</v>
      </c>
      <c r="AP91" s="98">
        <f t="shared" si="3"/>
        <v>575.71749</v>
      </c>
      <c r="AQ91" s="98">
        <f t="shared" si="3"/>
        <v>575.71749</v>
      </c>
      <c r="AR91" s="98">
        <f t="shared" si="3"/>
        <v>575.71749</v>
      </c>
      <c r="AS91" s="98">
        <f t="shared" si="3"/>
        <v>575.71749</v>
      </c>
      <c r="AT91" s="98">
        <f t="shared" si="3"/>
        <v>575.71749</v>
      </c>
      <c r="AU91" s="98">
        <f t="shared" si="3"/>
        <v>575.71749</v>
      </c>
      <c r="AV91" s="98">
        <f t="shared" si="3"/>
        <v>575.71749</v>
      </c>
      <c r="AW91" s="98">
        <f t="shared" si="3"/>
        <v>575.71749</v>
      </c>
      <c r="AX91" s="98">
        <f t="shared" si="3"/>
        <v>575.71749</v>
      </c>
    </row>
    <row r="92" spans="2:50">
      <c r="B92" s="97" t="s">
        <v>108</v>
      </c>
      <c r="C92" s="98">
        <f t="shared" si="4"/>
        <v>637.64863200000002</v>
      </c>
      <c r="D92" s="98">
        <f t="shared" si="4"/>
        <v>637.64863200000002</v>
      </c>
      <c r="E92" s="98">
        <f t="shared" si="4"/>
        <v>637.64863200000002</v>
      </c>
      <c r="F92" s="98">
        <f t="shared" si="4"/>
        <v>637.64863200000002</v>
      </c>
      <c r="G92" s="98">
        <f t="shared" si="4"/>
        <v>637.64863200000002</v>
      </c>
      <c r="H92" s="98">
        <f t="shared" si="4"/>
        <v>637.64863200000002</v>
      </c>
      <c r="I92" s="98">
        <f t="shared" si="4"/>
        <v>637.64863200000002</v>
      </c>
      <c r="J92" s="98">
        <f t="shared" si="4"/>
        <v>637.64863200000002</v>
      </c>
      <c r="K92" s="98">
        <f t="shared" si="4"/>
        <v>637.64863200000002</v>
      </c>
      <c r="L92" s="98">
        <f t="shared" si="4"/>
        <v>637.64863200000002</v>
      </c>
      <c r="M92" s="98">
        <f t="shared" si="4"/>
        <v>637.64863200000002</v>
      </c>
      <c r="N92" s="98">
        <f t="shared" si="4"/>
        <v>637.64863200000002</v>
      </c>
      <c r="O92" s="98">
        <f t="shared" si="4"/>
        <v>637.64863200000002</v>
      </c>
      <c r="P92" s="98">
        <f t="shared" si="4"/>
        <v>637.64863200000002</v>
      </c>
      <c r="Q92" s="98">
        <f t="shared" si="4"/>
        <v>637.64863200000002</v>
      </c>
      <c r="R92" s="98">
        <f t="shared" si="4"/>
        <v>637.64863200000002</v>
      </c>
      <c r="S92" s="98">
        <f t="shared" si="3"/>
        <v>637.64863200000002</v>
      </c>
      <c r="T92" s="98">
        <f t="shared" si="3"/>
        <v>637.64863200000002</v>
      </c>
      <c r="U92" s="98">
        <f t="shared" si="3"/>
        <v>637.64863200000002</v>
      </c>
      <c r="V92" s="98">
        <f t="shared" si="3"/>
        <v>637.64863200000002</v>
      </c>
      <c r="W92" s="98">
        <f t="shared" si="3"/>
        <v>637.64863200000002</v>
      </c>
      <c r="X92" s="98">
        <f t="shared" si="3"/>
        <v>637.64863200000002</v>
      </c>
      <c r="Y92" s="98">
        <f t="shared" si="3"/>
        <v>637.64863200000002</v>
      </c>
      <c r="Z92" s="98">
        <f t="shared" si="3"/>
        <v>637.64863200000002</v>
      </c>
      <c r="AA92" s="98">
        <f t="shared" si="3"/>
        <v>531.37386000000004</v>
      </c>
      <c r="AB92" s="98">
        <f t="shared" si="3"/>
        <v>531.37386000000004</v>
      </c>
      <c r="AC92" s="98">
        <f t="shared" si="3"/>
        <v>531.37386000000004</v>
      </c>
      <c r="AD92" s="98">
        <f t="shared" si="3"/>
        <v>531.37386000000004</v>
      </c>
      <c r="AE92" s="98">
        <f t="shared" si="3"/>
        <v>531.37386000000004</v>
      </c>
      <c r="AF92" s="98">
        <f t="shared" si="3"/>
        <v>531.37386000000004</v>
      </c>
      <c r="AG92" s="98">
        <f t="shared" si="3"/>
        <v>531.37386000000004</v>
      </c>
      <c r="AH92" s="98">
        <f t="shared" si="3"/>
        <v>531.37386000000004</v>
      </c>
      <c r="AI92" s="98">
        <f t="shared" si="3"/>
        <v>531.37386000000004</v>
      </c>
      <c r="AJ92" s="98">
        <f t="shared" si="3"/>
        <v>531.37386000000004</v>
      </c>
      <c r="AK92" s="98">
        <f t="shared" si="3"/>
        <v>531.37386000000004</v>
      </c>
      <c r="AL92" s="98">
        <f t="shared" si="3"/>
        <v>531.37386000000004</v>
      </c>
      <c r="AM92" s="98">
        <f t="shared" si="3"/>
        <v>531.37386000000004</v>
      </c>
      <c r="AN92" s="98">
        <f t="shared" si="3"/>
        <v>531.37386000000004</v>
      </c>
      <c r="AO92" s="98">
        <f t="shared" si="3"/>
        <v>531.37386000000004</v>
      </c>
      <c r="AP92" s="98">
        <f t="shared" si="3"/>
        <v>531.37386000000004</v>
      </c>
      <c r="AQ92" s="98">
        <f t="shared" si="3"/>
        <v>425.09908800000005</v>
      </c>
      <c r="AR92" s="98">
        <f t="shared" si="3"/>
        <v>425.09908800000005</v>
      </c>
      <c r="AS92" s="98">
        <f t="shared" si="3"/>
        <v>425.09908800000005</v>
      </c>
      <c r="AT92" s="98">
        <f t="shared" si="3"/>
        <v>425.09908800000005</v>
      </c>
      <c r="AU92" s="98">
        <f t="shared" si="3"/>
        <v>531.37386000000004</v>
      </c>
      <c r="AV92" s="98">
        <f t="shared" si="3"/>
        <v>531.37386000000004</v>
      </c>
      <c r="AW92" s="98">
        <f t="shared" si="3"/>
        <v>531.37386000000004</v>
      </c>
      <c r="AX92" s="98">
        <f t="shared" si="3"/>
        <v>531.37386000000004</v>
      </c>
    </row>
    <row r="93" spans="2:50">
      <c r="B93" s="97" t="s">
        <v>109</v>
      </c>
      <c r="C93" s="98">
        <f t="shared" si="4"/>
        <v>425.09908800000005</v>
      </c>
      <c r="D93" s="98">
        <f t="shared" si="4"/>
        <v>425.09908800000005</v>
      </c>
      <c r="E93" s="98">
        <f t="shared" si="4"/>
        <v>425.09908800000005</v>
      </c>
      <c r="F93" s="98">
        <f t="shared" si="4"/>
        <v>425.09908800000005</v>
      </c>
      <c r="G93" s="98">
        <f t="shared" si="4"/>
        <v>0</v>
      </c>
      <c r="H93" s="98">
        <f t="shared" si="4"/>
        <v>0</v>
      </c>
      <c r="I93" s="98">
        <f t="shared" si="4"/>
        <v>0</v>
      </c>
      <c r="J93" s="98">
        <f t="shared" si="4"/>
        <v>0</v>
      </c>
      <c r="K93" s="98">
        <f t="shared" si="4"/>
        <v>425.09908800000005</v>
      </c>
      <c r="L93" s="98">
        <f t="shared" si="4"/>
        <v>425.09908800000005</v>
      </c>
      <c r="M93" s="98">
        <f t="shared" si="4"/>
        <v>425.09908800000005</v>
      </c>
      <c r="N93" s="98">
        <f t="shared" si="4"/>
        <v>425.09908800000005</v>
      </c>
      <c r="O93" s="98">
        <f t="shared" si="4"/>
        <v>0</v>
      </c>
      <c r="P93" s="98">
        <f t="shared" si="4"/>
        <v>0</v>
      </c>
      <c r="Q93" s="98">
        <f t="shared" si="4"/>
        <v>0</v>
      </c>
      <c r="R93" s="98">
        <f t="shared" si="4"/>
        <v>0</v>
      </c>
      <c r="S93" s="98">
        <f t="shared" si="3"/>
        <v>0</v>
      </c>
      <c r="T93" s="98">
        <f t="shared" si="3"/>
        <v>0</v>
      </c>
      <c r="U93" s="98">
        <f t="shared" si="3"/>
        <v>0</v>
      </c>
      <c r="V93" s="98">
        <f t="shared" si="3"/>
        <v>0</v>
      </c>
      <c r="W93" s="98">
        <f t="shared" si="3"/>
        <v>425.09908800000005</v>
      </c>
      <c r="X93" s="98">
        <f t="shared" si="3"/>
        <v>425.09908800000005</v>
      </c>
      <c r="Y93" s="98">
        <f t="shared" si="3"/>
        <v>425.09908800000005</v>
      </c>
      <c r="Z93" s="98">
        <f t="shared" si="3"/>
        <v>425.09908800000005</v>
      </c>
      <c r="AA93" s="98">
        <f t="shared" si="3"/>
        <v>531.37386000000004</v>
      </c>
      <c r="AB93" s="98">
        <f t="shared" si="3"/>
        <v>531.37386000000004</v>
      </c>
      <c r="AC93" s="98">
        <f t="shared" si="3"/>
        <v>531.37386000000004</v>
      </c>
      <c r="AD93" s="98">
        <f t="shared" si="3"/>
        <v>531.37386000000004</v>
      </c>
      <c r="AE93" s="98">
        <f t="shared" si="3"/>
        <v>531.37386000000004</v>
      </c>
      <c r="AF93" s="98">
        <f t="shared" si="3"/>
        <v>531.37386000000004</v>
      </c>
      <c r="AG93" s="98">
        <f t="shared" si="3"/>
        <v>531.37386000000004</v>
      </c>
      <c r="AH93" s="98">
        <f t="shared" si="3"/>
        <v>531.37386000000004</v>
      </c>
      <c r="AI93" s="98">
        <f t="shared" si="3"/>
        <v>0</v>
      </c>
      <c r="AJ93" s="98">
        <f t="shared" si="3"/>
        <v>0</v>
      </c>
      <c r="AK93" s="98">
        <f t="shared" si="3"/>
        <v>0</v>
      </c>
      <c r="AL93" s="98">
        <f t="shared" si="3"/>
        <v>0</v>
      </c>
      <c r="AM93" s="98">
        <f t="shared" si="3"/>
        <v>425.09908800000005</v>
      </c>
      <c r="AN93" s="98">
        <f t="shared" si="3"/>
        <v>425.09908800000005</v>
      </c>
      <c r="AO93" s="98">
        <f t="shared" si="3"/>
        <v>425.09908800000005</v>
      </c>
      <c r="AP93" s="98">
        <f t="shared" si="3"/>
        <v>425.09908800000005</v>
      </c>
      <c r="AQ93" s="98">
        <f t="shared" si="3"/>
        <v>425.09908800000005</v>
      </c>
      <c r="AR93" s="98">
        <f t="shared" si="3"/>
        <v>425.09908800000005</v>
      </c>
      <c r="AS93" s="98">
        <f t="shared" si="3"/>
        <v>425.09908800000005</v>
      </c>
      <c r="AT93" s="98">
        <f t="shared" si="3"/>
        <v>425.09908800000005</v>
      </c>
      <c r="AU93" s="98">
        <f t="shared" si="3"/>
        <v>0</v>
      </c>
      <c r="AV93" s="98">
        <f t="shared" si="3"/>
        <v>0</v>
      </c>
      <c r="AW93" s="98">
        <f t="shared" si="3"/>
        <v>0</v>
      </c>
      <c r="AX93" s="98">
        <f t="shared" si="3"/>
        <v>0</v>
      </c>
    </row>
    <row r="94" spans="2:50">
      <c r="B94" s="99"/>
    </row>
    <row r="95" spans="2:50">
      <c r="B95" s="172" t="s">
        <v>336</v>
      </c>
    </row>
    <row r="96" spans="2:50">
      <c r="B96" s="173"/>
      <c r="C96" s="103" t="s">
        <v>92</v>
      </c>
      <c r="D96" s="99"/>
      <c r="E96" s="99"/>
      <c r="F96" s="99"/>
      <c r="G96" s="103" t="s">
        <v>93</v>
      </c>
      <c r="H96" s="99"/>
      <c r="I96" s="99"/>
      <c r="J96" s="99"/>
      <c r="K96" s="103" t="s">
        <v>94</v>
      </c>
      <c r="L96" s="99"/>
      <c r="M96" s="99"/>
      <c r="N96" s="99"/>
      <c r="O96" s="103" t="s">
        <v>95</v>
      </c>
      <c r="P96" s="99"/>
      <c r="Q96" s="99"/>
      <c r="R96" s="99"/>
      <c r="S96" s="103" t="s">
        <v>96</v>
      </c>
      <c r="T96" s="99"/>
      <c r="U96" s="99"/>
      <c r="V96" s="99"/>
      <c r="W96" s="103" t="s">
        <v>97</v>
      </c>
      <c r="X96" s="99"/>
      <c r="Y96" s="99"/>
      <c r="Z96" s="99"/>
      <c r="AA96" s="103" t="s">
        <v>98</v>
      </c>
      <c r="AB96" s="99"/>
      <c r="AC96" s="99"/>
      <c r="AD96" s="99"/>
      <c r="AE96" s="103" t="s">
        <v>99</v>
      </c>
      <c r="AF96" s="99"/>
      <c r="AG96" s="99"/>
      <c r="AH96" s="99"/>
      <c r="AI96" s="103" t="s">
        <v>100</v>
      </c>
      <c r="AJ96" s="99"/>
      <c r="AK96" s="99"/>
      <c r="AL96" s="99"/>
      <c r="AM96" s="103" t="s">
        <v>101</v>
      </c>
      <c r="AN96" s="99"/>
      <c r="AO96" s="99"/>
      <c r="AP96" s="99"/>
      <c r="AQ96" s="103" t="s">
        <v>102</v>
      </c>
      <c r="AR96" s="99"/>
      <c r="AS96" s="99"/>
      <c r="AT96" s="99"/>
      <c r="AU96" s="103" t="s">
        <v>103</v>
      </c>
      <c r="AV96" s="99"/>
      <c r="AW96" s="99"/>
    </row>
    <row r="97" spans="1:50">
      <c r="A97" s="174" t="s">
        <v>121</v>
      </c>
      <c r="B97" s="174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5</v>
      </c>
      <c r="C98" s="98">
        <v>0</v>
      </c>
      <c r="D98" s="98">
        <v>0</v>
      </c>
      <c r="E98" s="98">
        <v>0</v>
      </c>
      <c r="F98" s="98">
        <v>0</v>
      </c>
      <c r="G98" s="98">
        <v>0</v>
      </c>
      <c r="H98" s="98">
        <v>0</v>
      </c>
      <c r="I98" s="98">
        <v>0</v>
      </c>
      <c r="J98" s="98">
        <v>0</v>
      </c>
      <c r="K98" s="98">
        <v>0</v>
      </c>
      <c r="L98" s="98">
        <v>0</v>
      </c>
      <c r="M98" s="98">
        <v>0</v>
      </c>
      <c r="N98" s="98">
        <v>0</v>
      </c>
      <c r="O98" s="98">
        <v>0</v>
      </c>
      <c r="P98" s="98">
        <v>0</v>
      </c>
      <c r="Q98" s="98">
        <v>0</v>
      </c>
      <c r="R98" s="98">
        <v>0</v>
      </c>
      <c r="S98" s="98">
        <v>0</v>
      </c>
      <c r="T98" s="98">
        <v>0</v>
      </c>
      <c r="U98" s="98">
        <v>0</v>
      </c>
      <c r="V98" s="98">
        <v>0</v>
      </c>
      <c r="W98" s="98">
        <v>0</v>
      </c>
      <c r="X98" s="98">
        <v>0</v>
      </c>
      <c r="Y98" s="98">
        <v>0</v>
      </c>
      <c r="Z98" s="98">
        <v>0</v>
      </c>
      <c r="AA98" s="98">
        <v>0</v>
      </c>
      <c r="AB98" s="98">
        <v>0</v>
      </c>
      <c r="AC98" s="98">
        <v>0</v>
      </c>
      <c r="AD98" s="98">
        <v>0</v>
      </c>
      <c r="AE98" s="98">
        <v>0</v>
      </c>
      <c r="AF98" s="98">
        <v>0</v>
      </c>
      <c r="AG98" s="98">
        <v>0</v>
      </c>
      <c r="AH98" s="98">
        <v>0</v>
      </c>
      <c r="AI98" s="98">
        <v>0</v>
      </c>
      <c r="AJ98" s="98">
        <v>0</v>
      </c>
      <c r="AK98" s="98">
        <v>0</v>
      </c>
      <c r="AL98" s="98">
        <v>0</v>
      </c>
      <c r="AM98" s="98">
        <v>0</v>
      </c>
      <c r="AN98" s="98">
        <v>0</v>
      </c>
      <c r="AO98" s="98">
        <v>0</v>
      </c>
      <c r="AP98" s="98">
        <v>0</v>
      </c>
      <c r="AQ98" s="98">
        <v>0</v>
      </c>
      <c r="AR98" s="98">
        <v>0</v>
      </c>
      <c r="AS98" s="98">
        <v>0</v>
      </c>
      <c r="AT98" s="98">
        <v>0</v>
      </c>
      <c r="AU98" s="98">
        <v>0</v>
      </c>
      <c r="AV98" s="98">
        <v>0</v>
      </c>
      <c r="AW98" s="98">
        <v>0</v>
      </c>
      <c r="AX98" s="98">
        <v>0</v>
      </c>
    </row>
    <row r="99" spans="1:50">
      <c r="B99" s="103" t="s">
        <v>10</v>
      </c>
      <c r="C99" s="98">
        <v>0</v>
      </c>
      <c r="D99" s="98">
        <v>0</v>
      </c>
      <c r="E99" s="98">
        <v>0</v>
      </c>
      <c r="F99" s="98">
        <v>0</v>
      </c>
      <c r="G99" s="98">
        <v>0</v>
      </c>
      <c r="H99" s="98">
        <v>0</v>
      </c>
      <c r="I99" s="98">
        <v>0</v>
      </c>
      <c r="J99" s="98">
        <v>0</v>
      </c>
      <c r="K99" s="98">
        <v>0</v>
      </c>
      <c r="L99" s="98">
        <v>0</v>
      </c>
      <c r="M99" s="98">
        <v>0</v>
      </c>
      <c r="N99" s="98">
        <v>0</v>
      </c>
      <c r="O99" s="98">
        <v>0</v>
      </c>
      <c r="P99" s="98">
        <v>0</v>
      </c>
      <c r="Q99" s="98">
        <v>0</v>
      </c>
      <c r="R99" s="98">
        <v>0</v>
      </c>
      <c r="S99" s="98">
        <v>0</v>
      </c>
      <c r="T99" s="98">
        <v>0</v>
      </c>
      <c r="U99" s="98">
        <v>0</v>
      </c>
      <c r="V99" s="98">
        <v>0</v>
      </c>
      <c r="W99" s="98">
        <v>0</v>
      </c>
      <c r="X99" s="98">
        <v>0</v>
      </c>
      <c r="Y99" s="98">
        <v>0</v>
      </c>
      <c r="Z99" s="98">
        <v>0</v>
      </c>
      <c r="AA99" s="98">
        <v>0</v>
      </c>
      <c r="AB99" s="98">
        <v>0</v>
      </c>
      <c r="AC99" s="98">
        <v>0</v>
      </c>
      <c r="AD99" s="98">
        <v>0</v>
      </c>
      <c r="AE99" s="98">
        <v>0</v>
      </c>
      <c r="AF99" s="98">
        <v>0</v>
      </c>
      <c r="AG99" s="98">
        <v>0</v>
      </c>
      <c r="AH99" s="98">
        <v>0</v>
      </c>
      <c r="AI99" s="98">
        <v>0</v>
      </c>
      <c r="AJ99" s="98">
        <v>0</v>
      </c>
      <c r="AK99" s="98">
        <v>0</v>
      </c>
      <c r="AL99" s="98">
        <v>0</v>
      </c>
      <c r="AM99" s="98">
        <v>0</v>
      </c>
      <c r="AN99" s="98">
        <v>0</v>
      </c>
      <c r="AO99" s="98">
        <v>0</v>
      </c>
      <c r="AP99" s="98">
        <v>0</v>
      </c>
      <c r="AQ99" s="98">
        <v>0</v>
      </c>
      <c r="AR99" s="98">
        <v>0</v>
      </c>
      <c r="AS99" s="98">
        <v>0</v>
      </c>
      <c r="AT99" s="98">
        <v>0</v>
      </c>
      <c r="AU99" s="98">
        <v>0</v>
      </c>
      <c r="AV99" s="98">
        <v>0</v>
      </c>
      <c r="AW99" s="98">
        <v>0</v>
      </c>
      <c r="AX99" s="98">
        <v>0</v>
      </c>
    </row>
    <row r="100" spans="1:50">
      <c r="B100" s="103" t="s">
        <v>12</v>
      </c>
      <c r="C100" s="98">
        <v>81434.106792720006</v>
      </c>
      <c r="D100" s="98">
        <v>81434.106792720006</v>
      </c>
      <c r="E100" s="98">
        <v>81434.106792720006</v>
      </c>
      <c r="F100" s="98">
        <v>81434.106792720006</v>
      </c>
      <c r="G100" s="98">
        <v>81434.106792720006</v>
      </c>
      <c r="H100" s="98">
        <v>81434.106792720006</v>
      </c>
      <c r="I100" s="98">
        <v>81434.106792720006</v>
      </c>
      <c r="J100" s="98">
        <v>81434.106792720006</v>
      </c>
      <c r="K100" s="98">
        <v>81434.106792720006</v>
      </c>
      <c r="L100" s="98">
        <v>81434.106792720006</v>
      </c>
      <c r="M100" s="98">
        <v>81434.106792720006</v>
      </c>
      <c r="N100" s="98">
        <v>81434.106792720006</v>
      </c>
      <c r="O100" s="98">
        <v>65147.285434176003</v>
      </c>
      <c r="P100" s="98">
        <v>65147.285434176003</v>
      </c>
      <c r="Q100" s="98">
        <v>65147.285434176003</v>
      </c>
      <c r="R100" s="98">
        <v>65147.285434176003</v>
      </c>
      <c r="S100" s="98">
        <v>81434.106792720006</v>
      </c>
      <c r="T100" s="98">
        <v>81434.106792720006</v>
      </c>
      <c r="U100" s="98">
        <v>81434.106792720006</v>
      </c>
      <c r="V100" s="98">
        <v>81434.106792720006</v>
      </c>
      <c r="W100" s="98">
        <v>81434.106792720006</v>
      </c>
      <c r="X100" s="98">
        <v>81434.106792720006</v>
      </c>
      <c r="Y100" s="98">
        <v>81434.106792720006</v>
      </c>
      <c r="Z100" s="98">
        <v>81434.106792720006</v>
      </c>
      <c r="AA100" s="98">
        <v>81434.106792720006</v>
      </c>
      <c r="AB100" s="98">
        <v>81434.106792720006</v>
      </c>
      <c r="AC100" s="98">
        <v>81434.106792720006</v>
      </c>
      <c r="AD100" s="98">
        <v>81434.106792720006</v>
      </c>
      <c r="AE100" s="98">
        <v>81434.106792720006</v>
      </c>
      <c r="AF100" s="98">
        <v>81434.106792720006</v>
      </c>
      <c r="AG100" s="98">
        <v>81434.106792720006</v>
      </c>
      <c r="AH100" s="98">
        <v>81434.106792720006</v>
      </c>
      <c r="AI100" s="98">
        <v>81434.106792720006</v>
      </c>
      <c r="AJ100" s="98">
        <v>81434.106792720006</v>
      </c>
      <c r="AK100" s="98">
        <v>81434.106792720006</v>
      </c>
      <c r="AL100" s="98">
        <v>81434.106792720006</v>
      </c>
      <c r="AM100" s="98">
        <v>81434.106792720006</v>
      </c>
      <c r="AN100" s="98">
        <v>81434.106792720006</v>
      </c>
      <c r="AO100" s="98">
        <v>81434.106792720006</v>
      </c>
      <c r="AP100" s="98">
        <v>81434.106792720006</v>
      </c>
      <c r="AQ100" s="98">
        <v>97720.928151264001</v>
      </c>
      <c r="AR100" s="98">
        <v>97720.928151264001</v>
      </c>
      <c r="AS100" s="98">
        <v>97720.928151264001</v>
      </c>
      <c r="AT100" s="98">
        <v>97720.928151264001</v>
      </c>
      <c r="AU100" s="98">
        <v>97720.928151264001</v>
      </c>
      <c r="AV100" s="98">
        <v>97720.928151264001</v>
      </c>
      <c r="AW100" s="98">
        <v>97720.928151264001</v>
      </c>
      <c r="AX100" s="98">
        <v>97720.928151264001</v>
      </c>
    </row>
    <row r="101" spans="1:50">
      <c r="B101" s="103" t="s">
        <v>22</v>
      </c>
      <c r="C101" s="98">
        <v>0</v>
      </c>
      <c r="D101" s="98">
        <v>0</v>
      </c>
      <c r="E101" s="98">
        <v>0</v>
      </c>
      <c r="F101" s="98">
        <v>0</v>
      </c>
      <c r="G101" s="98">
        <v>0</v>
      </c>
      <c r="H101" s="98">
        <v>0</v>
      </c>
      <c r="I101" s="98">
        <v>0</v>
      </c>
      <c r="J101" s="98">
        <v>0</v>
      </c>
      <c r="K101" s="98">
        <v>0</v>
      </c>
      <c r="L101" s="98">
        <v>0</v>
      </c>
      <c r="M101" s="98">
        <v>0</v>
      </c>
      <c r="N101" s="98">
        <v>0</v>
      </c>
      <c r="O101" s="98">
        <v>0</v>
      </c>
      <c r="P101" s="98">
        <v>0</v>
      </c>
      <c r="Q101" s="98">
        <v>0</v>
      </c>
      <c r="R101" s="98">
        <v>0</v>
      </c>
      <c r="S101" s="98">
        <v>0</v>
      </c>
      <c r="T101" s="98">
        <v>0</v>
      </c>
      <c r="U101" s="98">
        <v>0</v>
      </c>
      <c r="V101" s="98">
        <v>0</v>
      </c>
      <c r="W101" s="98">
        <v>0</v>
      </c>
      <c r="X101" s="98">
        <v>0</v>
      </c>
      <c r="Y101" s="98">
        <v>0</v>
      </c>
      <c r="Z101" s="98">
        <v>0</v>
      </c>
      <c r="AA101" s="98">
        <v>0</v>
      </c>
      <c r="AB101" s="98">
        <v>0</v>
      </c>
      <c r="AC101" s="98">
        <v>0</v>
      </c>
      <c r="AD101" s="98">
        <v>0</v>
      </c>
      <c r="AE101" s="98">
        <v>0</v>
      </c>
      <c r="AF101" s="98">
        <v>0</v>
      </c>
      <c r="AG101" s="98">
        <v>0</v>
      </c>
      <c r="AH101" s="98">
        <v>0</v>
      </c>
      <c r="AI101" s="98">
        <v>0</v>
      </c>
      <c r="AJ101" s="98">
        <v>0</v>
      </c>
      <c r="AK101" s="98">
        <v>0</v>
      </c>
      <c r="AL101" s="98">
        <v>0</v>
      </c>
      <c r="AM101" s="98">
        <v>0</v>
      </c>
      <c r="AN101" s="98">
        <v>0</v>
      </c>
      <c r="AO101" s="98">
        <v>0</v>
      </c>
      <c r="AP101" s="98">
        <v>0</v>
      </c>
      <c r="AQ101" s="98">
        <v>0</v>
      </c>
      <c r="AR101" s="98">
        <v>0</v>
      </c>
      <c r="AS101" s="98">
        <v>0</v>
      </c>
      <c r="AT101" s="98">
        <v>0</v>
      </c>
      <c r="AU101" s="98">
        <v>0</v>
      </c>
      <c r="AV101" s="98">
        <v>0</v>
      </c>
      <c r="AW101" s="98">
        <v>0</v>
      </c>
      <c r="AX101" s="98">
        <v>0</v>
      </c>
    </row>
    <row r="102" spans="1:50">
      <c r="B102" s="103" t="s">
        <v>46</v>
      </c>
      <c r="C102" s="98">
        <v>0</v>
      </c>
      <c r="D102" s="98">
        <v>0</v>
      </c>
      <c r="E102" s="98">
        <v>0</v>
      </c>
      <c r="F102" s="98">
        <v>0</v>
      </c>
      <c r="G102" s="98">
        <v>0</v>
      </c>
      <c r="H102" s="98">
        <v>0</v>
      </c>
      <c r="I102" s="98">
        <v>0</v>
      </c>
      <c r="J102" s="98">
        <v>0</v>
      </c>
      <c r="K102" s="98">
        <v>0</v>
      </c>
      <c r="L102" s="98">
        <v>0</v>
      </c>
      <c r="M102" s="98">
        <v>0</v>
      </c>
      <c r="N102" s="98">
        <v>0</v>
      </c>
      <c r="O102" s="98">
        <v>0</v>
      </c>
      <c r="P102" s="98">
        <v>0</v>
      </c>
      <c r="Q102" s="98">
        <v>0</v>
      </c>
      <c r="R102" s="98">
        <v>0</v>
      </c>
      <c r="S102" s="98">
        <v>0</v>
      </c>
      <c r="T102" s="98">
        <v>0</v>
      </c>
      <c r="U102" s="98">
        <v>0</v>
      </c>
      <c r="V102" s="98">
        <v>0</v>
      </c>
      <c r="W102" s="98">
        <v>0</v>
      </c>
      <c r="X102" s="98">
        <v>0</v>
      </c>
      <c r="Y102" s="98">
        <v>0</v>
      </c>
      <c r="Z102" s="98">
        <v>0</v>
      </c>
      <c r="AA102" s="98">
        <v>0</v>
      </c>
      <c r="AB102" s="98">
        <v>0</v>
      </c>
      <c r="AC102" s="98">
        <v>0</v>
      </c>
      <c r="AD102" s="98">
        <v>0</v>
      </c>
      <c r="AE102" s="98">
        <v>0</v>
      </c>
      <c r="AF102" s="98">
        <v>0</v>
      </c>
      <c r="AG102" s="98">
        <v>0</v>
      </c>
      <c r="AH102" s="98">
        <v>0</v>
      </c>
      <c r="AI102" s="98">
        <v>0</v>
      </c>
      <c r="AJ102" s="98">
        <v>0</v>
      </c>
      <c r="AK102" s="98">
        <v>0</v>
      </c>
      <c r="AL102" s="98">
        <v>0</v>
      </c>
      <c r="AM102" s="98">
        <v>0</v>
      </c>
      <c r="AN102" s="98">
        <v>0</v>
      </c>
      <c r="AO102" s="98">
        <v>0</v>
      </c>
      <c r="AP102" s="98">
        <v>0</v>
      </c>
      <c r="AQ102" s="98">
        <v>0</v>
      </c>
      <c r="AR102" s="98">
        <v>0</v>
      </c>
      <c r="AS102" s="98">
        <v>0</v>
      </c>
      <c r="AT102" s="98">
        <v>0</v>
      </c>
      <c r="AU102" s="98">
        <v>0</v>
      </c>
      <c r="AV102" s="98">
        <v>0</v>
      </c>
      <c r="AW102" s="98">
        <v>0</v>
      </c>
      <c r="AX102" s="98">
        <v>0</v>
      </c>
    </row>
    <row r="103" spans="1:50">
      <c r="B103" s="103" t="s">
        <v>59</v>
      </c>
      <c r="C103" s="98">
        <v>53447.708334240007</v>
      </c>
      <c r="D103" s="98">
        <v>53447.708334240007</v>
      </c>
      <c r="E103" s="98">
        <v>53447.708334240007</v>
      </c>
      <c r="F103" s="98">
        <v>53447.708334240007</v>
      </c>
      <c r="G103" s="98">
        <v>53447.708334240007</v>
      </c>
      <c r="H103" s="98">
        <v>53447.708334240007</v>
      </c>
      <c r="I103" s="98">
        <v>53447.708334240007</v>
      </c>
      <c r="J103" s="98">
        <v>53447.708334240007</v>
      </c>
      <c r="K103" s="98">
        <v>53447.708334240007</v>
      </c>
      <c r="L103" s="98">
        <v>53447.708334240007</v>
      </c>
      <c r="M103" s="98">
        <v>53447.708334240007</v>
      </c>
      <c r="N103" s="98">
        <v>53447.708334240007</v>
      </c>
      <c r="O103" s="98">
        <v>42758.166667392012</v>
      </c>
      <c r="P103" s="98">
        <v>42758.166667392012</v>
      </c>
      <c r="Q103" s="98">
        <v>42758.166667392012</v>
      </c>
      <c r="R103" s="98">
        <v>42758.166667392012</v>
      </c>
      <c r="S103" s="98">
        <v>53447.708334240007</v>
      </c>
      <c r="T103" s="98">
        <v>53447.708334240007</v>
      </c>
      <c r="U103" s="98">
        <v>53447.708334240007</v>
      </c>
      <c r="V103" s="98">
        <v>53447.708334240007</v>
      </c>
      <c r="W103" s="98">
        <v>53447.708334240007</v>
      </c>
      <c r="X103" s="98">
        <v>53447.708334240007</v>
      </c>
      <c r="Y103" s="98">
        <v>53447.708334240007</v>
      </c>
      <c r="Z103" s="98">
        <v>53447.708334240007</v>
      </c>
      <c r="AA103" s="98">
        <v>53447.708334240007</v>
      </c>
      <c r="AB103" s="98">
        <v>53447.708334240007</v>
      </c>
      <c r="AC103" s="98">
        <v>53447.708334240007</v>
      </c>
      <c r="AD103" s="98">
        <v>53447.708334240007</v>
      </c>
      <c r="AE103" s="98">
        <v>53447.708334240007</v>
      </c>
      <c r="AF103" s="98">
        <v>53447.708334240007</v>
      </c>
      <c r="AG103" s="98">
        <v>53447.708334240007</v>
      </c>
      <c r="AH103" s="98">
        <v>53447.708334240007</v>
      </c>
      <c r="AI103" s="98">
        <v>53447.708334240007</v>
      </c>
      <c r="AJ103" s="98">
        <v>53447.708334240007</v>
      </c>
      <c r="AK103" s="98">
        <v>53447.708334240007</v>
      </c>
      <c r="AL103" s="98">
        <v>53447.708334240007</v>
      </c>
      <c r="AM103" s="98">
        <v>53447.708334240007</v>
      </c>
      <c r="AN103" s="98">
        <v>53447.708334240007</v>
      </c>
      <c r="AO103" s="98">
        <v>53447.708334240007</v>
      </c>
      <c r="AP103" s="98">
        <v>53447.708334240007</v>
      </c>
      <c r="AQ103" s="98">
        <v>64137.250001088003</v>
      </c>
      <c r="AR103" s="98">
        <v>64137.250001088003</v>
      </c>
      <c r="AS103" s="98">
        <v>64137.250001088003</v>
      </c>
      <c r="AT103" s="98">
        <v>64137.250001088003</v>
      </c>
      <c r="AU103" s="98">
        <v>64137.250001088003</v>
      </c>
      <c r="AV103" s="98">
        <v>64137.250001088003</v>
      </c>
      <c r="AW103" s="98">
        <v>64137.250001088003</v>
      </c>
      <c r="AX103" s="98">
        <v>64137.250001088003</v>
      </c>
    </row>
    <row r="104" spans="1:50">
      <c r="B104" s="98" t="s">
        <v>279</v>
      </c>
      <c r="C104" s="103">
        <f>SUM(C$98:C$103)</f>
        <v>134881.81512696002</v>
      </c>
      <c r="D104" s="103">
        <f t="shared" ref="D104:AX104" si="5">SUM(D$98:D$103)</f>
        <v>134881.81512696002</v>
      </c>
      <c r="E104" s="103">
        <f t="shared" si="5"/>
        <v>134881.81512696002</v>
      </c>
      <c r="F104" s="103">
        <f t="shared" si="5"/>
        <v>134881.81512696002</v>
      </c>
      <c r="G104" s="103">
        <f t="shared" si="5"/>
        <v>134881.81512696002</v>
      </c>
      <c r="H104" s="103">
        <f t="shared" si="5"/>
        <v>134881.81512696002</v>
      </c>
      <c r="I104" s="103">
        <f t="shared" si="5"/>
        <v>134881.81512696002</v>
      </c>
      <c r="J104" s="103">
        <f t="shared" si="5"/>
        <v>134881.81512696002</v>
      </c>
      <c r="K104" s="103">
        <f t="shared" si="5"/>
        <v>134881.81512696002</v>
      </c>
      <c r="L104" s="103">
        <f t="shared" si="5"/>
        <v>134881.81512696002</v>
      </c>
      <c r="M104" s="103">
        <f t="shared" si="5"/>
        <v>134881.81512696002</v>
      </c>
      <c r="N104" s="103">
        <f t="shared" si="5"/>
        <v>134881.81512696002</v>
      </c>
      <c r="O104" s="103">
        <f t="shared" si="5"/>
        <v>107905.45210156802</v>
      </c>
      <c r="P104" s="103">
        <f t="shared" si="5"/>
        <v>107905.45210156802</v>
      </c>
      <c r="Q104" s="103">
        <f t="shared" si="5"/>
        <v>107905.45210156802</v>
      </c>
      <c r="R104" s="103">
        <f t="shared" si="5"/>
        <v>107905.45210156802</v>
      </c>
      <c r="S104" s="103">
        <f t="shared" si="5"/>
        <v>134881.81512696002</v>
      </c>
      <c r="T104" s="103">
        <f t="shared" si="5"/>
        <v>134881.81512696002</v>
      </c>
      <c r="U104" s="103">
        <f t="shared" si="5"/>
        <v>134881.81512696002</v>
      </c>
      <c r="V104" s="103">
        <f t="shared" si="5"/>
        <v>134881.81512696002</v>
      </c>
      <c r="W104" s="103">
        <f t="shared" si="5"/>
        <v>134881.81512696002</v>
      </c>
      <c r="X104" s="103">
        <f t="shared" si="5"/>
        <v>134881.81512696002</v>
      </c>
      <c r="Y104" s="103">
        <f t="shared" si="5"/>
        <v>134881.81512696002</v>
      </c>
      <c r="Z104" s="103">
        <f t="shared" si="5"/>
        <v>134881.81512696002</v>
      </c>
      <c r="AA104" s="103">
        <f t="shared" si="5"/>
        <v>134881.81512696002</v>
      </c>
      <c r="AB104" s="103">
        <f t="shared" si="5"/>
        <v>134881.81512696002</v>
      </c>
      <c r="AC104" s="103">
        <f t="shared" si="5"/>
        <v>134881.81512696002</v>
      </c>
      <c r="AD104" s="103">
        <f t="shared" si="5"/>
        <v>134881.81512696002</v>
      </c>
      <c r="AE104" s="103">
        <f t="shared" si="5"/>
        <v>134881.81512696002</v>
      </c>
      <c r="AF104" s="103">
        <f t="shared" si="5"/>
        <v>134881.81512696002</v>
      </c>
      <c r="AG104" s="103">
        <f t="shared" si="5"/>
        <v>134881.81512696002</v>
      </c>
      <c r="AH104" s="103">
        <f t="shared" si="5"/>
        <v>134881.81512696002</v>
      </c>
      <c r="AI104" s="103">
        <f t="shared" si="5"/>
        <v>134881.81512696002</v>
      </c>
      <c r="AJ104" s="103">
        <f t="shared" si="5"/>
        <v>134881.81512696002</v>
      </c>
      <c r="AK104" s="103">
        <f t="shared" si="5"/>
        <v>134881.81512696002</v>
      </c>
      <c r="AL104" s="103">
        <f t="shared" si="5"/>
        <v>134881.81512696002</v>
      </c>
      <c r="AM104" s="103">
        <f t="shared" si="5"/>
        <v>134881.81512696002</v>
      </c>
      <c r="AN104" s="103">
        <f t="shared" si="5"/>
        <v>134881.81512696002</v>
      </c>
      <c r="AO104" s="103">
        <f t="shared" si="5"/>
        <v>134881.81512696002</v>
      </c>
      <c r="AP104" s="103">
        <f t="shared" si="5"/>
        <v>134881.81512696002</v>
      </c>
      <c r="AQ104" s="103">
        <f t="shared" si="5"/>
        <v>161858.17815235199</v>
      </c>
      <c r="AR104" s="103">
        <f t="shared" si="5"/>
        <v>161858.17815235199</v>
      </c>
      <c r="AS104" s="103">
        <f t="shared" si="5"/>
        <v>161858.17815235199</v>
      </c>
      <c r="AT104" s="103">
        <f t="shared" si="5"/>
        <v>161858.17815235199</v>
      </c>
      <c r="AU104" s="103">
        <f t="shared" si="5"/>
        <v>161858.17815235199</v>
      </c>
      <c r="AV104" s="103">
        <f t="shared" si="5"/>
        <v>161858.17815235199</v>
      </c>
      <c r="AW104" s="103">
        <f t="shared" si="5"/>
        <v>161858.17815235199</v>
      </c>
      <c r="AX104" s="103">
        <f t="shared" si="5"/>
        <v>161858.17815235199</v>
      </c>
    </row>
    <row r="105" spans="1:50">
      <c r="A105" s="103" t="s">
        <v>105</v>
      </c>
      <c r="B105" s="103" t="s">
        <v>5</v>
      </c>
      <c r="C105" s="98">
        <v>0</v>
      </c>
      <c r="D105" s="98">
        <v>0</v>
      </c>
      <c r="E105" s="98">
        <v>0</v>
      </c>
      <c r="F105" s="98">
        <v>0</v>
      </c>
      <c r="G105" s="98">
        <v>0</v>
      </c>
      <c r="H105" s="98">
        <v>0</v>
      </c>
      <c r="I105" s="98">
        <v>0</v>
      </c>
      <c r="J105" s="98">
        <v>0</v>
      </c>
      <c r="K105" s="98">
        <v>0</v>
      </c>
      <c r="L105" s="98">
        <v>0</v>
      </c>
      <c r="M105" s="98">
        <v>0</v>
      </c>
      <c r="N105" s="98">
        <v>0</v>
      </c>
      <c r="O105" s="98">
        <v>0</v>
      </c>
      <c r="P105" s="98">
        <v>0</v>
      </c>
      <c r="Q105" s="98">
        <v>0</v>
      </c>
      <c r="R105" s="98">
        <v>0</v>
      </c>
      <c r="S105" s="98">
        <v>0</v>
      </c>
      <c r="T105" s="98">
        <v>0</v>
      </c>
      <c r="U105" s="98">
        <v>0</v>
      </c>
      <c r="V105" s="98">
        <v>0</v>
      </c>
      <c r="W105" s="98">
        <v>0</v>
      </c>
      <c r="X105" s="98">
        <v>0</v>
      </c>
      <c r="Y105" s="98">
        <v>0</v>
      </c>
      <c r="Z105" s="98">
        <v>0</v>
      </c>
      <c r="AA105" s="98">
        <v>0</v>
      </c>
      <c r="AB105" s="98">
        <v>0</v>
      </c>
      <c r="AC105" s="98">
        <v>0</v>
      </c>
      <c r="AD105" s="98">
        <v>0</v>
      </c>
      <c r="AE105" s="98">
        <v>0</v>
      </c>
      <c r="AF105" s="98">
        <v>0</v>
      </c>
      <c r="AG105" s="98">
        <v>0</v>
      </c>
      <c r="AH105" s="98">
        <v>0</v>
      </c>
      <c r="AI105" s="98">
        <v>0</v>
      </c>
      <c r="AJ105" s="98">
        <v>0</v>
      </c>
      <c r="AK105" s="98">
        <v>0</v>
      </c>
      <c r="AL105" s="98">
        <v>0</v>
      </c>
      <c r="AM105" s="98">
        <v>0</v>
      </c>
      <c r="AN105" s="98">
        <v>0</v>
      </c>
      <c r="AO105" s="98">
        <v>0</v>
      </c>
      <c r="AP105" s="98">
        <v>0</v>
      </c>
      <c r="AQ105" s="98">
        <v>0</v>
      </c>
      <c r="AR105" s="98">
        <v>0</v>
      </c>
      <c r="AS105" s="98">
        <v>0</v>
      </c>
      <c r="AT105" s="98">
        <v>0</v>
      </c>
      <c r="AU105" s="98">
        <v>0</v>
      </c>
      <c r="AV105" s="98">
        <v>0</v>
      </c>
      <c r="AW105" s="98">
        <v>0</v>
      </c>
      <c r="AX105" s="98">
        <v>0</v>
      </c>
    </row>
    <row r="106" spans="1:50">
      <c r="B106" s="103" t="s">
        <v>10</v>
      </c>
      <c r="C106" s="98">
        <v>4116.2296289400001</v>
      </c>
      <c r="D106" s="98">
        <v>4116.2296289400001</v>
      </c>
      <c r="E106" s="98">
        <v>4116.2296289400001</v>
      </c>
      <c r="F106" s="98">
        <v>4116.2296289400001</v>
      </c>
      <c r="G106" s="98">
        <v>4116.2296289400001</v>
      </c>
      <c r="H106" s="98">
        <v>4116.2296289400001</v>
      </c>
      <c r="I106" s="98">
        <v>4116.2296289400001</v>
      </c>
      <c r="J106" s="98">
        <v>4116.2296289400001</v>
      </c>
      <c r="K106" s="98">
        <v>4116.2296289400001</v>
      </c>
      <c r="L106" s="98">
        <v>4116.2296289400001</v>
      </c>
      <c r="M106" s="98">
        <v>4116.2296289400001</v>
      </c>
      <c r="N106" s="98">
        <v>4116.2296289400001</v>
      </c>
      <c r="O106" s="98">
        <v>4116.2296289400001</v>
      </c>
      <c r="P106" s="98">
        <v>4116.2296289400001</v>
      </c>
      <c r="Q106" s="98">
        <v>4116.2296289400001</v>
      </c>
      <c r="R106" s="98">
        <v>4116.2296289400001</v>
      </c>
      <c r="S106" s="98">
        <v>4116.2296289400001</v>
      </c>
      <c r="T106" s="98">
        <v>4116.2296289400001</v>
      </c>
      <c r="U106" s="98">
        <v>4116.2296289400001</v>
      </c>
      <c r="V106" s="98">
        <v>4116.2296289400001</v>
      </c>
      <c r="W106" s="98">
        <v>4116.2296289400001</v>
      </c>
      <c r="X106" s="98">
        <v>4116.2296289400001</v>
      </c>
      <c r="Y106" s="98">
        <v>4116.2296289400001</v>
      </c>
      <c r="Z106" s="98">
        <v>4116.2296289400001</v>
      </c>
      <c r="AA106" s="98">
        <v>4116.2296289400001</v>
      </c>
      <c r="AB106" s="98">
        <v>4116.2296289400001</v>
      </c>
      <c r="AC106" s="98">
        <v>4116.2296289400001</v>
      </c>
      <c r="AD106" s="98">
        <v>4116.2296289400001</v>
      </c>
      <c r="AE106" s="98">
        <v>4116.2296289400001</v>
      </c>
      <c r="AF106" s="98">
        <v>4116.2296289400001</v>
      </c>
      <c r="AG106" s="98">
        <v>4116.2296289400001</v>
      </c>
      <c r="AH106" s="98">
        <v>4116.2296289400001</v>
      </c>
      <c r="AI106" s="98">
        <v>4116.2296289400001</v>
      </c>
      <c r="AJ106" s="98">
        <v>4116.2296289400001</v>
      </c>
      <c r="AK106" s="98">
        <v>4116.2296289400001</v>
      </c>
      <c r="AL106" s="98">
        <v>4116.2296289400001</v>
      </c>
      <c r="AM106" s="98">
        <v>4116.2296289400001</v>
      </c>
      <c r="AN106" s="98">
        <v>4116.2296289400001</v>
      </c>
      <c r="AO106" s="98">
        <v>4116.2296289400001</v>
      </c>
      <c r="AP106" s="98">
        <v>4116.2296289400001</v>
      </c>
      <c r="AQ106" s="98">
        <v>4116.2296289400001</v>
      </c>
      <c r="AR106" s="98">
        <v>4116.2296289400001</v>
      </c>
      <c r="AS106" s="98">
        <v>4116.2296289400001</v>
      </c>
      <c r="AT106" s="98">
        <v>4116.2296289400001</v>
      </c>
      <c r="AU106" s="98">
        <v>4939.475554728001</v>
      </c>
      <c r="AV106" s="98">
        <v>4939.475554728001</v>
      </c>
      <c r="AW106" s="98">
        <v>4939.475554728001</v>
      </c>
      <c r="AX106" s="98">
        <v>4939.475554728001</v>
      </c>
    </row>
    <row r="107" spans="1:50">
      <c r="B107" s="103" t="s">
        <v>12</v>
      </c>
      <c r="C107" s="98">
        <v>77047.375105800005</v>
      </c>
      <c r="D107" s="98">
        <v>77047.375105800005</v>
      </c>
      <c r="E107" s="98">
        <v>77047.375105800005</v>
      </c>
      <c r="F107" s="98">
        <v>77047.375105800005</v>
      </c>
      <c r="G107" s="98">
        <v>77047.375105800005</v>
      </c>
      <c r="H107" s="98">
        <v>77047.375105800005</v>
      </c>
      <c r="I107" s="98">
        <v>77047.375105800005</v>
      </c>
      <c r="J107" s="98">
        <v>77047.375105800005</v>
      </c>
      <c r="K107" s="98">
        <v>77047.375105800005</v>
      </c>
      <c r="L107" s="98">
        <v>77047.375105800005</v>
      </c>
      <c r="M107" s="98">
        <v>77047.375105800005</v>
      </c>
      <c r="N107" s="98">
        <v>77047.375105800005</v>
      </c>
      <c r="O107" s="98">
        <v>77047.375105800005</v>
      </c>
      <c r="P107" s="98">
        <v>77047.375105800005</v>
      </c>
      <c r="Q107" s="98">
        <v>77047.375105800005</v>
      </c>
      <c r="R107" s="98">
        <v>77047.375105800005</v>
      </c>
      <c r="S107" s="98">
        <v>77047.375105800005</v>
      </c>
      <c r="T107" s="98">
        <v>77047.375105800005</v>
      </c>
      <c r="U107" s="98">
        <v>77047.375105800005</v>
      </c>
      <c r="V107" s="98">
        <v>77047.375105800005</v>
      </c>
      <c r="W107" s="98">
        <v>77047.375105800005</v>
      </c>
      <c r="X107" s="98">
        <v>77047.375105800005</v>
      </c>
      <c r="Y107" s="98">
        <v>77047.375105800005</v>
      </c>
      <c r="Z107" s="98">
        <v>77047.375105800005</v>
      </c>
      <c r="AA107" s="98">
        <v>77047.375105800005</v>
      </c>
      <c r="AB107" s="98">
        <v>77047.375105800005</v>
      </c>
      <c r="AC107" s="98">
        <v>77047.375105800005</v>
      </c>
      <c r="AD107" s="98">
        <v>77047.375105800005</v>
      </c>
      <c r="AE107" s="98">
        <v>77047.375105800005</v>
      </c>
      <c r="AF107" s="98">
        <v>77047.375105800005</v>
      </c>
      <c r="AG107" s="98">
        <v>77047.375105800005</v>
      </c>
      <c r="AH107" s="98">
        <v>77047.375105800005</v>
      </c>
      <c r="AI107" s="98">
        <v>77047.375105800005</v>
      </c>
      <c r="AJ107" s="98">
        <v>77047.375105800005</v>
      </c>
      <c r="AK107" s="98">
        <v>77047.375105800005</v>
      </c>
      <c r="AL107" s="98">
        <v>77047.375105800005</v>
      </c>
      <c r="AM107" s="98">
        <v>77047.375105800005</v>
      </c>
      <c r="AN107" s="98">
        <v>77047.375105800005</v>
      </c>
      <c r="AO107" s="98">
        <v>77047.375105800005</v>
      </c>
      <c r="AP107" s="98">
        <v>77047.375105800005</v>
      </c>
      <c r="AQ107" s="98">
        <v>77047.375105800005</v>
      </c>
      <c r="AR107" s="98">
        <v>77047.375105800005</v>
      </c>
      <c r="AS107" s="98">
        <v>77047.375105800005</v>
      </c>
      <c r="AT107" s="98">
        <v>77047.375105800005</v>
      </c>
      <c r="AU107" s="98">
        <v>92456.850126960009</v>
      </c>
      <c r="AV107" s="98">
        <v>92456.850126960009</v>
      </c>
      <c r="AW107" s="98">
        <v>92456.850126960009</v>
      </c>
      <c r="AX107" s="98">
        <v>92456.850126960009</v>
      </c>
    </row>
    <row r="108" spans="1:50">
      <c r="B108" s="103" t="s">
        <v>22</v>
      </c>
      <c r="C108" s="98">
        <v>36377.619113879999</v>
      </c>
      <c r="D108" s="98">
        <v>36377.619113879999</v>
      </c>
      <c r="E108" s="98">
        <v>36377.619113879999</v>
      </c>
      <c r="F108" s="98">
        <v>36377.619113879999</v>
      </c>
      <c r="G108" s="98">
        <v>36377.619113879999</v>
      </c>
      <c r="H108" s="98">
        <v>36377.619113879999</v>
      </c>
      <c r="I108" s="98">
        <v>36377.619113879999</v>
      </c>
      <c r="J108" s="98">
        <v>36377.619113879999</v>
      </c>
      <c r="K108" s="98">
        <v>36377.619113879999</v>
      </c>
      <c r="L108" s="98">
        <v>36377.619113879999</v>
      </c>
      <c r="M108" s="98">
        <v>36377.619113879999</v>
      </c>
      <c r="N108" s="98">
        <v>36377.619113879999</v>
      </c>
      <c r="O108" s="98">
        <v>36377.619113879999</v>
      </c>
      <c r="P108" s="98">
        <v>36377.619113879999</v>
      </c>
      <c r="Q108" s="98">
        <v>36377.619113879999</v>
      </c>
      <c r="R108" s="98">
        <v>36377.619113879999</v>
      </c>
      <c r="S108" s="98">
        <v>36377.619113879999</v>
      </c>
      <c r="T108" s="98">
        <v>36377.619113879999</v>
      </c>
      <c r="U108" s="98">
        <v>36377.619113879999</v>
      </c>
      <c r="V108" s="98">
        <v>36377.619113879999</v>
      </c>
      <c r="W108" s="98">
        <v>36377.619113879999</v>
      </c>
      <c r="X108" s="98">
        <v>36377.619113879999</v>
      </c>
      <c r="Y108" s="98">
        <v>36377.619113879999</v>
      </c>
      <c r="Z108" s="98">
        <v>36377.619113879999</v>
      </c>
      <c r="AA108" s="98">
        <v>36377.619113879999</v>
      </c>
      <c r="AB108" s="98">
        <v>36377.619113879999</v>
      </c>
      <c r="AC108" s="98">
        <v>36377.619113879999</v>
      </c>
      <c r="AD108" s="98">
        <v>36377.619113879999</v>
      </c>
      <c r="AE108" s="98">
        <v>36377.619113879999</v>
      </c>
      <c r="AF108" s="98">
        <v>36377.619113879999</v>
      </c>
      <c r="AG108" s="98">
        <v>36377.619113879999</v>
      </c>
      <c r="AH108" s="98">
        <v>36377.619113879999</v>
      </c>
      <c r="AI108" s="98">
        <v>36377.619113879999</v>
      </c>
      <c r="AJ108" s="98">
        <v>36377.619113879999</v>
      </c>
      <c r="AK108" s="98">
        <v>36377.619113879999</v>
      </c>
      <c r="AL108" s="98">
        <v>36377.619113879999</v>
      </c>
      <c r="AM108" s="98">
        <v>36377.619113879999</v>
      </c>
      <c r="AN108" s="98">
        <v>36377.619113879999</v>
      </c>
      <c r="AO108" s="98">
        <v>36377.619113879999</v>
      </c>
      <c r="AP108" s="98">
        <v>36377.619113879999</v>
      </c>
      <c r="AQ108" s="98">
        <v>36377.619113879999</v>
      </c>
      <c r="AR108" s="98">
        <v>36377.619113879999</v>
      </c>
      <c r="AS108" s="98">
        <v>36377.619113879999</v>
      </c>
      <c r="AT108" s="98">
        <v>36377.619113879999</v>
      </c>
      <c r="AU108" s="98">
        <v>43653.142936656011</v>
      </c>
      <c r="AV108" s="98">
        <v>43653.142936656011</v>
      </c>
      <c r="AW108" s="98">
        <v>43653.142936656011</v>
      </c>
      <c r="AX108" s="98">
        <v>43653.142936656011</v>
      </c>
    </row>
    <row r="109" spans="1:50">
      <c r="B109" s="103" t="s">
        <v>46</v>
      </c>
      <c r="C109" s="98">
        <v>16464.91851576</v>
      </c>
      <c r="D109" s="98">
        <v>16464.91851576</v>
      </c>
      <c r="E109" s="98">
        <v>16464.91851576</v>
      </c>
      <c r="F109" s="98">
        <v>16464.91851576</v>
      </c>
      <c r="G109" s="98">
        <v>16464.91851576</v>
      </c>
      <c r="H109" s="98">
        <v>16464.91851576</v>
      </c>
      <c r="I109" s="98">
        <v>16464.91851576</v>
      </c>
      <c r="J109" s="98">
        <v>16464.91851576</v>
      </c>
      <c r="K109" s="98">
        <v>16464.91851576</v>
      </c>
      <c r="L109" s="98">
        <v>16464.91851576</v>
      </c>
      <c r="M109" s="98">
        <v>16464.91851576</v>
      </c>
      <c r="N109" s="98">
        <v>16464.91851576</v>
      </c>
      <c r="O109" s="98">
        <v>16464.91851576</v>
      </c>
      <c r="P109" s="98">
        <v>16464.91851576</v>
      </c>
      <c r="Q109" s="98">
        <v>16464.91851576</v>
      </c>
      <c r="R109" s="98">
        <v>16464.91851576</v>
      </c>
      <c r="S109" s="98">
        <v>16464.91851576</v>
      </c>
      <c r="T109" s="98">
        <v>16464.91851576</v>
      </c>
      <c r="U109" s="98">
        <v>16464.91851576</v>
      </c>
      <c r="V109" s="98">
        <v>16464.91851576</v>
      </c>
      <c r="W109" s="98">
        <v>16464.91851576</v>
      </c>
      <c r="X109" s="98">
        <v>16464.91851576</v>
      </c>
      <c r="Y109" s="98">
        <v>16464.91851576</v>
      </c>
      <c r="Z109" s="98">
        <v>16464.91851576</v>
      </c>
      <c r="AA109" s="98">
        <v>16464.91851576</v>
      </c>
      <c r="AB109" s="98">
        <v>16464.91851576</v>
      </c>
      <c r="AC109" s="98">
        <v>16464.91851576</v>
      </c>
      <c r="AD109" s="98">
        <v>16464.91851576</v>
      </c>
      <c r="AE109" s="98">
        <v>16464.91851576</v>
      </c>
      <c r="AF109" s="98">
        <v>16464.91851576</v>
      </c>
      <c r="AG109" s="98">
        <v>16464.91851576</v>
      </c>
      <c r="AH109" s="98">
        <v>16464.91851576</v>
      </c>
      <c r="AI109" s="98">
        <v>16464.91851576</v>
      </c>
      <c r="AJ109" s="98">
        <v>16464.91851576</v>
      </c>
      <c r="AK109" s="98">
        <v>16464.91851576</v>
      </c>
      <c r="AL109" s="98">
        <v>16464.91851576</v>
      </c>
      <c r="AM109" s="98">
        <v>16464.91851576</v>
      </c>
      <c r="AN109" s="98">
        <v>16464.91851576</v>
      </c>
      <c r="AO109" s="98">
        <v>16464.91851576</v>
      </c>
      <c r="AP109" s="98">
        <v>16464.91851576</v>
      </c>
      <c r="AQ109" s="98">
        <v>16464.91851576</v>
      </c>
      <c r="AR109" s="98">
        <v>16464.91851576</v>
      </c>
      <c r="AS109" s="98">
        <v>16464.91851576</v>
      </c>
      <c r="AT109" s="98">
        <v>16464.91851576</v>
      </c>
      <c r="AU109" s="98">
        <v>19757.902218912004</v>
      </c>
      <c r="AV109" s="98">
        <v>19757.902218912004</v>
      </c>
      <c r="AW109" s="98">
        <v>19757.902218912004</v>
      </c>
      <c r="AX109" s="98">
        <v>19757.902218912004</v>
      </c>
    </row>
    <row r="110" spans="1:50">
      <c r="B110" s="103" t="s">
        <v>59</v>
      </c>
      <c r="C110" s="98">
        <v>0</v>
      </c>
      <c r="D110" s="98">
        <v>0</v>
      </c>
      <c r="E110" s="98">
        <v>0</v>
      </c>
      <c r="F110" s="98">
        <v>0</v>
      </c>
      <c r="G110" s="98">
        <v>0</v>
      </c>
      <c r="H110" s="98">
        <v>0</v>
      </c>
      <c r="I110" s="98">
        <v>0</v>
      </c>
      <c r="J110" s="98">
        <v>0</v>
      </c>
      <c r="K110" s="98">
        <v>0</v>
      </c>
      <c r="L110" s="98">
        <v>0</v>
      </c>
      <c r="M110" s="98">
        <v>0</v>
      </c>
      <c r="N110" s="98">
        <v>0</v>
      </c>
      <c r="O110" s="98">
        <v>0</v>
      </c>
      <c r="P110" s="98">
        <v>0</v>
      </c>
      <c r="Q110" s="98">
        <v>0</v>
      </c>
      <c r="R110" s="98">
        <v>0</v>
      </c>
      <c r="S110" s="98">
        <v>0</v>
      </c>
      <c r="T110" s="98">
        <v>0</v>
      </c>
      <c r="U110" s="98">
        <v>0</v>
      </c>
      <c r="V110" s="98">
        <v>0</v>
      </c>
      <c r="W110" s="98">
        <v>0</v>
      </c>
      <c r="X110" s="98">
        <v>0</v>
      </c>
      <c r="Y110" s="98">
        <v>0</v>
      </c>
      <c r="Z110" s="98">
        <v>0</v>
      </c>
      <c r="AA110" s="98">
        <v>0</v>
      </c>
      <c r="AB110" s="98">
        <v>0</v>
      </c>
      <c r="AC110" s="98">
        <v>0</v>
      </c>
      <c r="AD110" s="98">
        <v>0</v>
      </c>
      <c r="AE110" s="98">
        <v>0</v>
      </c>
      <c r="AF110" s="98">
        <v>0</v>
      </c>
      <c r="AG110" s="98">
        <v>0</v>
      </c>
      <c r="AH110" s="98">
        <v>0</v>
      </c>
      <c r="AI110" s="98">
        <v>0</v>
      </c>
      <c r="AJ110" s="98">
        <v>0</v>
      </c>
      <c r="AK110" s="98">
        <v>0</v>
      </c>
      <c r="AL110" s="98">
        <v>0</v>
      </c>
      <c r="AM110" s="98">
        <v>0</v>
      </c>
      <c r="AN110" s="98">
        <v>0</v>
      </c>
      <c r="AO110" s="98">
        <v>0</v>
      </c>
      <c r="AP110" s="98">
        <v>0</v>
      </c>
      <c r="AQ110" s="98">
        <v>0</v>
      </c>
      <c r="AR110" s="98">
        <v>0</v>
      </c>
      <c r="AS110" s="98">
        <v>0</v>
      </c>
      <c r="AT110" s="98">
        <v>0</v>
      </c>
      <c r="AU110" s="98">
        <v>0</v>
      </c>
      <c r="AV110" s="98">
        <v>0</v>
      </c>
      <c r="AW110" s="98">
        <v>0</v>
      </c>
      <c r="AX110" s="98">
        <v>0</v>
      </c>
    </row>
    <row r="111" spans="1:50">
      <c r="B111" s="99" t="s">
        <v>279</v>
      </c>
      <c r="C111" s="103">
        <f>SUM(C$105:C$110)</f>
        <v>134006.14236438001</v>
      </c>
      <c r="D111" s="103">
        <f t="shared" ref="D111:AX111" si="6">SUM(D$105:D$110)</f>
        <v>134006.14236438001</v>
      </c>
      <c r="E111" s="103">
        <f t="shared" si="6"/>
        <v>134006.14236438001</v>
      </c>
      <c r="F111" s="103">
        <f t="shared" si="6"/>
        <v>134006.14236438001</v>
      </c>
      <c r="G111" s="103">
        <f t="shared" si="6"/>
        <v>134006.14236438001</v>
      </c>
      <c r="H111" s="103">
        <f t="shared" si="6"/>
        <v>134006.14236438001</v>
      </c>
      <c r="I111" s="103">
        <f t="shared" si="6"/>
        <v>134006.14236438001</v>
      </c>
      <c r="J111" s="103">
        <f t="shared" si="6"/>
        <v>134006.14236438001</v>
      </c>
      <c r="K111" s="103">
        <f t="shared" si="6"/>
        <v>134006.14236438001</v>
      </c>
      <c r="L111" s="103">
        <f t="shared" si="6"/>
        <v>134006.14236438001</v>
      </c>
      <c r="M111" s="103">
        <f t="shared" si="6"/>
        <v>134006.14236438001</v>
      </c>
      <c r="N111" s="103">
        <f t="shared" si="6"/>
        <v>134006.14236438001</v>
      </c>
      <c r="O111" s="103">
        <f t="shared" si="6"/>
        <v>134006.14236438001</v>
      </c>
      <c r="P111" s="103">
        <f t="shared" si="6"/>
        <v>134006.14236438001</v>
      </c>
      <c r="Q111" s="103">
        <f t="shared" si="6"/>
        <v>134006.14236438001</v>
      </c>
      <c r="R111" s="103">
        <f t="shared" si="6"/>
        <v>134006.14236438001</v>
      </c>
      <c r="S111" s="103">
        <f t="shared" si="6"/>
        <v>134006.14236438001</v>
      </c>
      <c r="T111" s="103">
        <f t="shared" si="6"/>
        <v>134006.14236438001</v>
      </c>
      <c r="U111" s="103">
        <f t="shared" si="6"/>
        <v>134006.14236438001</v>
      </c>
      <c r="V111" s="103">
        <f t="shared" si="6"/>
        <v>134006.14236438001</v>
      </c>
      <c r="W111" s="103">
        <f t="shared" si="6"/>
        <v>134006.14236438001</v>
      </c>
      <c r="X111" s="103">
        <f t="shared" si="6"/>
        <v>134006.14236438001</v>
      </c>
      <c r="Y111" s="103">
        <f t="shared" si="6"/>
        <v>134006.14236438001</v>
      </c>
      <c r="Z111" s="103">
        <f t="shared" si="6"/>
        <v>134006.14236438001</v>
      </c>
      <c r="AA111" s="103">
        <f t="shared" si="6"/>
        <v>134006.14236438001</v>
      </c>
      <c r="AB111" s="103">
        <f t="shared" si="6"/>
        <v>134006.14236438001</v>
      </c>
      <c r="AC111" s="103">
        <f t="shared" si="6"/>
        <v>134006.14236438001</v>
      </c>
      <c r="AD111" s="103">
        <f t="shared" si="6"/>
        <v>134006.14236438001</v>
      </c>
      <c r="AE111" s="103">
        <f t="shared" si="6"/>
        <v>134006.14236438001</v>
      </c>
      <c r="AF111" s="103">
        <f t="shared" si="6"/>
        <v>134006.14236438001</v>
      </c>
      <c r="AG111" s="103">
        <f t="shared" si="6"/>
        <v>134006.14236438001</v>
      </c>
      <c r="AH111" s="103">
        <f t="shared" si="6"/>
        <v>134006.14236438001</v>
      </c>
      <c r="AI111" s="103">
        <f t="shared" si="6"/>
        <v>134006.14236438001</v>
      </c>
      <c r="AJ111" s="103">
        <f t="shared" si="6"/>
        <v>134006.14236438001</v>
      </c>
      <c r="AK111" s="103">
        <f t="shared" si="6"/>
        <v>134006.14236438001</v>
      </c>
      <c r="AL111" s="103">
        <f t="shared" si="6"/>
        <v>134006.14236438001</v>
      </c>
      <c r="AM111" s="103">
        <f t="shared" si="6"/>
        <v>134006.14236438001</v>
      </c>
      <c r="AN111" s="103">
        <f t="shared" si="6"/>
        <v>134006.14236438001</v>
      </c>
      <c r="AO111" s="103">
        <f t="shared" si="6"/>
        <v>134006.14236438001</v>
      </c>
      <c r="AP111" s="103">
        <f t="shared" si="6"/>
        <v>134006.14236438001</v>
      </c>
      <c r="AQ111" s="103">
        <f t="shared" si="6"/>
        <v>134006.14236438001</v>
      </c>
      <c r="AR111" s="103">
        <f t="shared" si="6"/>
        <v>134006.14236438001</v>
      </c>
      <c r="AS111" s="103">
        <f t="shared" si="6"/>
        <v>134006.14236438001</v>
      </c>
      <c r="AT111" s="103">
        <f t="shared" si="6"/>
        <v>134006.14236438001</v>
      </c>
      <c r="AU111" s="103">
        <f t="shared" si="6"/>
        <v>160807.37083725602</v>
      </c>
      <c r="AV111" s="103">
        <f t="shared" si="6"/>
        <v>160807.37083725602</v>
      </c>
      <c r="AW111" s="103">
        <f t="shared" si="6"/>
        <v>160807.37083725602</v>
      </c>
      <c r="AX111" s="103">
        <f t="shared" si="6"/>
        <v>160807.37083725602</v>
      </c>
    </row>
    <row r="112" spans="1:50">
      <c r="A112" s="103" t="s">
        <v>106</v>
      </c>
      <c r="B112" s="103" t="s">
        <v>5</v>
      </c>
      <c r="C112" s="98">
        <v>0</v>
      </c>
      <c r="D112" s="98">
        <v>0</v>
      </c>
      <c r="E112" s="98">
        <v>0</v>
      </c>
      <c r="F112" s="98">
        <v>0</v>
      </c>
      <c r="G112" s="98">
        <v>0</v>
      </c>
      <c r="H112" s="98">
        <v>0</v>
      </c>
      <c r="I112" s="98">
        <v>0</v>
      </c>
      <c r="J112" s="98">
        <v>0</v>
      </c>
      <c r="K112" s="98">
        <v>0</v>
      </c>
      <c r="L112" s="98">
        <v>0</v>
      </c>
      <c r="M112" s="98">
        <v>0</v>
      </c>
      <c r="N112" s="98">
        <v>0</v>
      </c>
      <c r="O112" s="98">
        <v>0</v>
      </c>
      <c r="P112" s="98">
        <v>0</v>
      </c>
      <c r="Q112" s="98">
        <v>0</v>
      </c>
      <c r="R112" s="98">
        <v>0</v>
      </c>
      <c r="S112" s="98">
        <v>0</v>
      </c>
      <c r="T112" s="98">
        <v>0</v>
      </c>
      <c r="U112" s="98">
        <v>0</v>
      </c>
      <c r="V112" s="98">
        <v>0</v>
      </c>
      <c r="W112" s="98">
        <v>0</v>
      </c>
      <c r="X112" s="98">
        <v>0</v>
      </c>
      <c r="Y112" s="98">
        <v>0</v>
      </c>
      <c r="Z112" s="98">
        <v>0</v>
      </c>
      <c r="AA112" s="98">
        <v>0</v>
      </c>
      <c r="AB112" s="98">
        <v>0</v>
      </c>
      <c r="AC112" s="98">
        <v>0</v>
      </c>
      <c r="AD112" s="98">
        <v>0</v>
      </c>
      <c r="AE112" s="98">
        <v>0</v>
      </c>
      <c r="AF112" s="98">
        <v>0</v>
      </c>
      <c r="AG112" s="98">
        <v>0</v>
      </c>
      <c r="AH112" s="98">
        <v>0</v>
      </c>
      <c r="AI112" s="98">
        <v>0</v>
      </c>
      <c r="AJ112" s="98">
        <v>0</v>
      </c>
      <c r="AK112" s="98">
        <v>0</v>
      </c>
      <c r="AL112" s="98">
        <v>0</v>
      </c>
      <c r="AM112" s="98">
        <v>0</v>
      </c>
      <c r="AN112" s="98">
        <v>0</v>
      </c>
      <c r="AO112" s="98">
        <v>0</v>
      </c>
      <c r="AP112" s="98">
        <v>0</v>
      </c>
      <c r="AQ112" s="98">
        <v>0</v>
      </c>
      <c r="AR112" s="98">
        <v>0</v>
      </c>
      <c r="AS112" s="98">
        <v>0</v>
      </c>
      <c r="AT112" s="98">
        <v>0</v>
      </c>
      <c r="AU112" s="98">
        <v>0</v>
      </c>
      <c r="AV112" s="98">
        <v>0</v>
      </c>
      <c r="AW112" s="98">
        <v>0</v>
      </c>
      <c r="AX112" s="98">
        <v>0</v>
      </c>
    </row>
    <row r="113" spans="1:50">
      <c r="B113" s="103" t="s">
        <v>10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8">
        <v>0</v>
      </c>
      <c r="P113" s="98">
        <v>0</v>
      </c>
      <c r="Q113" s="98">
        <v>0</v>
      </c>
      <c r="R113" s="98">
        <v>0</v>
      </c>
      <c r="S113" s="98">
        <v>0</v>
      </c>
      <c r="T113" s="98">
        <v>0</v>
      </c>
      <c r="U113" s="98">
        <v>0</v>
      </c>
      <c r="V113" s="98">
        <v>0</v>
      </c>
      <c r="W113" s="98">
        <v>0</v>
      </c>
      <c r="X113" s="98">
        <v>0</v>
      </c>
      <c r="Y113" s="98">
        <v>0</v>
      </c>
      <c r="Z113" s="98">
        <v>0</v>
      </c>
      <c r="AA113" s="98">
        <v>0</v>
      </c>
      <c r="AB113" s="98">
        <v>0</v>
      </c>
      <c r="AC113" s="98">
        <v>0</v>
      </c>
      <c r="AD113" s="98">
        <v>0</v>
      </c>
      <c r="AE113" s="98">
        <v>0</v>
      </c>
      <c r="AF113" s="98">
        <v>0</v>
      </c>
      <c r="AG113" s="98">
        <v>0</v>
      </c>
      <c r="AH113" s="98">
        <v>0</v>
      </c>
      <c r="AI113" s="98">
        <v>0</v>
      </c>
      <c r="AJ113" s="98">
        <v>0</v>
      </c>
      <c r="AK113" s="98">
        <v>0</v>
      </c>
      <c r="AL113" s="98">
        <v>0</v>
      </c>
      <c r="AM113" s="98">
        <v>0</v>
      </c>
      <c r="AN113" s="98">
        <v>0</v>
      </c>
      <c r="AO113" s="98">
        <v>0</v>
      </c>
      <c r="AP113" s="98">
        <v>0</v>
      </c>
      <c r="AQ113" s="98">
        <v>0</v>
      </c>
      <c r="AR113" s="98">
        <v>0</v>
      </c>
      <c r="AS113" s="98">
        <v>0</v>
      </c>
      <c r="AT113" s="98">
        <v>0</v>
      </c>
      <c r="AU113" s="98">
        <v>0</v>
      </c>
      <c r="AV113" s="98">
        <v>0</v>
      </c>
      <c r="AW113" s="98">
        <v>0</v>
      </c>
      <c r="AX113" s="98">
        <v>0</v>
      </c>
    </row>
    <row r="114" spans="1:50">
      <c r="B114" s="103" t="s">
        <v>12</v>
      </c>
      <c r="C114" s="98">
        <v>68074.495889400001</v>
      </c>
      <c r="D114" s="98">
        <v>68074.495889400001</v>
      </c>
      <c r="E114" s="98">
        <v>68074.495889400001</v>
      </c>
      <c r="F114" s="98">
        <v>68074.495889400001</v>
      </c>
      <c r="G114" s="98">
        <v>68074.495889400001</v>
      </c>
      <c r="H114" s="98">
        <v>68074.495889400001</v>
      </c>
      <c r="I114" s="98">
        <v>68074.495889400001</v>
      </c>
      <c r="J114" s="98">
        <v>68074.495889400001</v>
      </c>
      <c r="K114" s="98">
        <v>68074.495889400001</v>
      </c>
      <c r="L114" s="98">
        <v>68074.495889400001</v>
      </c>
      <c r="M114" s="98">
        <v>68074.495889400001</v>
      </c>
      <c r="N114" s="98">
        <v>68074.495889400001</v>
      </c>
      <c r="O114" s="98">
        <v>54459.596711520004</v>
      </c>
      <c r="P114" s="98">
        <v>54459.596711520004</v>
      </c>
      <c r="Q114" s="98">
        <v>54459.596711520004</v>
      </c>
      <c r="R114" s="98">
        <v>54459.596711520004</v>
      </c>
      <c r="S114" s="98">
        <v>54459.596711520004</v>
      </c>
      <c r="T114" s="98">
        <v>54459.596711520004</v>
      </c>
      <c r="U114" s="98">
        <v>54459.596711520004</v>
      </c>
      <c r="V114" s="98">
        <v>54459.596711520004</v>
      </c>
      <c r="W114" s="98">
        <v>68074.495889400001</v>
      </c>
      <c r="X114" s="98">
        <v>68074.495889400001</v>
      </c>
      <c r="Y114" s="98">
        <v>68074.495889400001</v>
      </c>
      <c r="Z114" s="98">
        <v>68074.495889400001</v>
      </c>
      <c r="AA114" s="98">
        <v>68074.495889400001</v>
      </c>
      <c r="AB114" s="98">
        <v>68074.495889400001</v>
      </c>
      <c r="AC114" s="98">
        <v>68074.495889400001</v>
      </c>
      <c r="AD114" s="98">
        <v>68074.495889400001</v>
      </c>
      <c r="AE114" s="98">
        <v>68074.495889400001</v>
      </c>
      <c r="AF114" s="98">
        <v>68074.495889400001</v>
      </c>
      <c r="AG114" s="98">
        <v>68074.495889400001</v>
      </c>
      <c r="AH114" s="98">
        <v>68074.495889400001</v>
      </c>
      <c r="AI114" s="98">
        <v>68074.495889400001</v>
      </c>
      <c r="AJ114" s="98">
        <v>68074.495889400001</v>
      </c>
      <c r="AK114" s="98">
        <v>68074.495889400001</v>
      </c>
      <c r="AL114" s="98">
        <v>68074.495889400001</v>
      </c>
      <c r="AM114" s="98">
        <v>68074.495889400001</v>
      </c>
      <c r="AN114" s="98">
        <v>68074.495889400001</v>
      </c>
      <c r="AO114" s="98">
        <v>68074.495889400001</v>
      </c>
      <c r="AP114" s="98">
        <v>68074.495889400001</v>
      </c>
      <c r="AQ114" s="98">
        <v>68074.495889400001</v>
      </c>
      <c r="AR114" s="98">
        <v>68074.495889400001</v>
      </c>
      <c r="AS114" s="98">
        <v>68074.495889400001</v>
      </c>
      <c r="AT114" s="98">
        <v>68074.495889400001</v>
      </c>
      <c r="AU114" s="98">
        <v>68074.495889400001</v>
      </c>
      <c r="AV114" s="98">
        <v>68074.495889400001</v>
      </c>
      <c r="AW114" s="98">
        <v>68074.495889400001</v>
      </c>
      <c r="AX114" s="98">
        <v>68074.495889400001</v>
      </c>
    </row>
    <row r="115" spans="1:50">
      <c r="B115" s="103" t="s">
        <v>22</v>
      </c>
      <c r="C115" s="98">
        <v>5663.0429856000001</v>
      </c>
      <c r="D115" s="98">
        <v>5663.0429856000001</v>
      </c>
      <c r="E115" s="98">
        <v>5663.0429856000001</v>
      </c>
      <c r="F115" s="98">
        <v>5663.0429856000001</v>
      </c>
      <c r="G115" s="98">
        <v>5663.0429856000001</v>
      </c>
      <c r="H115" s="98">
        <v>5663.0429856000001</v>
      </c>
      <c r="I115" s="98">
        <v>5663.0429856000001</v>
      </c>
      <c r="J115" s="98">
        <v>5663.0429856000001</v>
      </c>
      <c r="K115" s="98">
        <v>5663.0429856000001</v>
      </c>
      <c r="L115" s="98">
        <v>5663.0429856000001</v>
      </c>
      <c r="M115" s="98">
        <v>5663.0429856000001</v>
      </c>
      <c r="N115" s="98">
        <v>5663.0429856000001</v>
      </c>
      <c r="O115" s="98">
        <v>4530.434388480001</v>
      </c>
      <c r="P115" s="98">
        <v>4530.434388480001</v>
      </c>
      <c r="Q115" s="98">
        <v>4530.434388480001</v>
      </c>
      <c r="R115" s="98">
        <v>4530.434388480001</v>
      </c>
      <c r="S115" s="98">
        <v>4530.434388480001</v>
      </c>
      <c r="T115" s="98">
        <v>4530.434388480001</v>
      </c>
      <c r="U115" s="98">
        <v>4530.434388480001</v>
      </c>
      <c r="V115" s="98">
        <v>4530.434388480001</v>
      </c>
      <c r="W115" s="98">
        <v>5663.0429856000001</v>
      </c>
      <c r="X115" s="98">
        <v>5663.0429856000001</v>
      </c>
      <c r="Y115" s="98">
        <v>5663.0429856000001</v>
      </c>
      <c r="Z115" s="98">
        <v>5663.0429856000001</v>
      </c>
      <c r="AA115" s="98">
        <v>5663.0429856000001</v>
      </c>
      <c r="AB115" s="98">
        <v>5663.0429856000001</v>
      </c>
      <c r="AC115" s="98">
        <v>5663.0429856000001</v>
      </c>
      <c r="AD115" s="98">
        <v>5663.0429856000001</v>
      </c>
      <c r="AE115" s="98">
        <v>5663.0429856000001</v>
      </c>
      <c r="AF115" s="98">
        <v>5663.0429856000001</v>
      </c>
      <c r="AG115" s="98">
        <v>5663.0429856000001</v>
      </c>
      <c r="AH115" s="98">
        <v>5663.0429856000001</v>
      </c>
      <c r="AI115" s="98">
        <v>5663.0429856000001</v>
      </c>
      <c r="AJ115" s="98">
        <v>5663.0429856000001</v>
      </c>
      <c r="AK115" s="98">
        <v>5663.0429856000001</v>
      </c>
      <c r="AL115" s="98">
        <v>5663.0429856000001</v>
      </c>
      <c r="AM115" s="98">
        <v>5663.0429856000001</v>
      </c>
      <c r="AN115" s="98">
        <v>5663.0429856000001</v>
      </c>
      <c r="AO115" s="98">
        <v>5663.0429856000001</v>
      </c>
      <c r="AP115" s="98">
        <v>5663.0429856000001</v>
      </c>
      <c r="AQ115" s="98">
        <v>5663.0429856000001</v>
      </c>
      <c r="AR115" s="98">
        <v>5663.0429856000001</v>
      </c>
      <c r="AS115" s="98">
        <v>5663.0429856000001</v>
      </c>
      <c r="AT115" s="98">
        <v>5663.0429856000001</v>
      </c>
      <c r="AU115" s="98">
        <v>5663.0429856000001</v>
      </c>
      <c r="AV115" s="98">
        <v>5663.0429856000001</v>
      </c>
      <c r="AW115" s="98">
        <v>5663.0429856000001</v>
      </c>
      <c r="AX115" s="98">
        <v>5663.0429856000001</v>
      </c>
    </row>
    <row r="116" spans="1:50">
      <c r="B116" s="103" t="s">
        <v>46</v>
      </c>
      <c r="C116" s="98">
        <v>0</v>
      </c>
      <c r="D116" s="98">
        <v>0</v>
      </c>
      <c r="E116" s="98">
        <v>0</v>
      </c>
      <c r="F116" s="98">
        <v>0</v>
      </c>
      <c r="G116" s="98">
        <v>0</v>
      </c>
      <c r="H116" s="98">
        <v>0</v>
      </c>
      <c r="I116" s="98">
        <v>0</v>
      </c>
      <c r="J116" s="98">
        <v>0</v>
      </c>
      <c r="K116" s="98">
        <v>0</v>
      </c>
      <c r="L116" s="98">
        <v>0</v>
      </c>
      <c r="M116" s="98">
        <v>0</v>
      </c>
      <c r="N116" s="98">
        <v>0</v>
      </c>
      <c r="O116" s="98">
        <v>0</v>
      </c>
      <c r="P116" s="98">
        <v>0</v>
      </c>
      <c r="Q116" s="98">
        <v>0</v>
      </c>
      <c r="R116" s="98">
        <v>0</v>
      </c>
      <c r="S116" s="98">
        <v>0</v>
      </c>
      <c r="T116" s="98">
        <v>0</v>
      </c>
      <c r="U116" s="98">
        <v>0</v>
      </c>
      <c r="V116" s="98">
        <v>0</v>
      </c>
      <c r="W116" s="98">
        <v>0</v>
      </c>
      <c r="X116" s="98">
        <v>0</v>
      </c>
      <c r="Y116" s="98">
        <v>0</v>
      </c>
      <c r="Z116" s="98">
        <v>0</v>
      </c>
      <c r="AA116" s="98">
        <v>0</v>
      </c>
      <c r="AB116" s="98">
        <v>0</v>
      </c>
      <c r="AC116" s="98">
        <v>0</v>
      </c>
      <c r="AD116" s="98">
        <v>0</v>
      </c>
      <c r="AE116" s="98">
        <v>0</v>
      </c>
      <c r="AF116" s="98">
        <v>0</v>
      </c>
      <c r="AG116" s="98">
        <v>0</v>
      </c>
      <c r="AH116" s="98">
        <v>0</v>
      </c>
      <c r="AI116" s="98">
        <v>0</v>
      </c>
      <c r="AJ116" s="98">
        <v>0</v>
      </c>
      <c r="AK116" s="98">
        <v>0</v>
      </c>
      <c r="AL116" s="98">
        <v>0</v>
      </c>
      <c r="AM116" s="98">
        <v>0</v>
      </c>
      <c r="AN116" s="98">
        <v>0</v>
      </c>
      <c r="AO116" s="98">
        <v>0</v>
      </c>
      <c r="AP116" s="98">
        <v>0</v>
      </c>
      <c r="AQ116" s="98">
        <v>0</v>
      </c>
      <c r="AR116" s="98">
        <v>0</v>
      </c>
      <c r="AS116" s="98">
        <v>0</v>
      </c>
      <c r="AT116" s="98">
        <v>0</v>
      </c>
      <c r="AU116" s="98">
        <v>0</v>
      </c>
      <c r="AV116" s="98">
        <v>0</v>
      </c>
      <c r="AW116" s="98">
        <v>0</v>
      </c>
      <c r="AX116" s="98">
        <v>0</v>
      </c>
    </row>
    <row r="117" spans="1:50">
      <c r="B117" s="103" t="s">
        <v>59</v>
      </c>
      <c r="C117" s="98">
        <v>0</v>
      </c>
      <c r="D117" s="98">
        <v>0</v>
      </c>
      <c r="E117" s="98">
        <v>0</v>
      </c>
      <c r="F117" s="98">
        <v>0</v>
      </c>
      <c r="G117" s="98">
        <v>0</v>
      </c>
      <c r="H117" s="98">
        <v>0</v>
      </c>
      <c r="I117" s="98">
        <v>0</v>
      </c>
      <c r="J117" s="98">
        <v>0</v>
      </c>
      <c r="K117" s="98">
        <v>0</v>
      </c>
      <c r="L117" s="98">
        <v>0</v>
      </c>
      <c r="M117" s="98">
        <v>0</v>
      </c>
      <c r="N117" s="98">
        <v>0</v>
      </c>
      <c r="O117" s="98">
        <v>0</v>
      </c>
      <c r="P117" s="98">
        <v>0</v>
      </c>
      <c r="Q117" s="98">
        <v>0</v>
      </c>
      <c r="R117" s="98">
        <v>0</v>
      </c>
      <c r="S117" s="98">
        <v>0</v>
      </c>
      <c r="T117" s="98">
        <v>0</v>
      </c>
      <c r="U117" s="98">
        <v>0</v>
      </c>
      <c r="V117" s="98">
        <v>0</v>
      </c>
      <c r="W117" s="98">
        <v>0</v>
      </c>
      <c r="X117" s="98">
        <v>0</v>
      </c>
      <c r="Y117" s="98">
        <v>0</v>
      </c>
      <c r="Z117" s="98">
        <v>0</v>
      </c>
      <c r="AA117" s="98">
        <v>0</v>
      </c>
      <c r="AB117" s="98">
        <v>0</v>
      </c>
      <c r="AC117" s="98">
        <v>0</v>
      </c>
      <c r="AD117" s="98">
        <v>0</v>
      </c>
      <c r="AE117" s="98">
        <v>0</v>
      </c>
      <c r="AF117" s="98">
        <v>0</v>
      </c>
      <c r="AG117" s="98">
        <v>0</v>
      </c>
      <c r="AH117" s="98">
        <v>0</v>
      </c>
      <c r="AI117" s="98">
        <v>0</v>
      </c>
      <c r="AJ117" s="98">
        <v>0</v>
      </c>
      <c r="AK117" s="98">
        <v>0</v>
      </c>
      <c r="AL117" s="98">
        <v>0</v>
      </c>
      <c r="AM117" s="98">
        <v>0</v>
      </c>
      <c r="AN117" s="98">
        <v>0</v>
      </c>
      <c r="AO117" s="98">
        <v>0</v>
      </c>
      <c r="AP117" s="98">
        <v>0</v>
      </c>
      <c r="AQ117" s="98">
        <v>0</v>
      </c>
      <c r="AR117" s="98">
        <v>0</v>
      </c>
      <c r="AS117" s="98">
        <v>0</v>
      </c>
      <c r="AT117" s="98">
        <v>0</v>
      </c>
      <c r="AU117" s="98">
        <v>0</v>
      </c>
      <c r="AV117" s="98">
        <v>0</v>
      </c>
      <c r="AW117" s="98">
        <v>0</v>
      </c>
      <c r="AX117" s="98">
        <v>0</v>
      </c>
    </row>
    <row r="118" spans="1:50">
      <c r="B118" s="98" t="s">
        <v>279</v>
      </c>
      <c r="C118" s="103">
        <f>SUM(C$112:C$117)</f>
        <v>73737.538874999998</v>
      </c>
      <c r="D118" s="103">
        <f t="shared" ref="D118:AX118" si="7">SUM(D$112:D$117)</f>
        <v>73737.538874999998</v>
      </c>
      <c r="E118" s="103">
        <f t="shared" si="7"/>
        <v>73737.538874999998</v>
      </c>
      <c r="F118" s="103">
        <f t="shared" si="7"/>
        <v>73737.538874999998</v>
      </c>
      <c r="G118" s="103">
        <f t="shared" si="7"/>
        <v>73737.538874999998</v>
      </c>
      <c r="H118" s="103">
        <f t="shared" si="7"/>
        <v>73737.538874999998</v>
      </c>
      <c r="I118" s="103">
        <f t="shared" si="7"/>
        <v>73737.538874999998</v>
      </c>
      <c r="J118" s="103">
        <f t="shared" si="7"/>
        <v>73737.538874999998</v>
      </c>
      <c r="K118" s="103">
        <f t="shared" si="7"/>
        <v>73737.538874999998</v>
      </c>
      <c r="L118" s="103">
        <f t="shared" si="7"/>
        <v>73737.538874999998</v>
      </c>
      <c r="M118" s="103">
        <f t="shared" si="7"/>
        <v>73737.538874999998</v>
      </c>
      <c r="N118" s="103">
        <f t="shared" si="7"/>
        <v>73737.538874999998</v>
      </c>
      <c r="O118" s="103">
        <f t="shared" si="7"/>
        <v>58990.031100000007</v>
      </c>
      <c r="P118" s="103">
        <f t="shared" si="7"/>
        <v>58990.031100000007</v>
      </c>
      <c r="Q118" s="103">
        <f t="shared" si="7"/>
        <v>58990.031100000007</v>
      </c>
      <c r="R118" s="103">
        <f t="shared" si="7"/>
        <v>58990.031100000007</v>
      </c>
      <c r="S118" s="103">
        <f t="shared" si="7"/>
        <v>58990.031100000007</v>
      </c>
      <c r="T118" s="103">
        <f t="shared" si="7"/>
        <v>58990.031100000007</v>
      </c>
      <c r="U118" s="103">
        <f t="shared" si="7"/>
        <v>58990.031100000007</v>
      </c>
      <c r="V118" s="103">
        <f t="shared" si="7"/>
        <v>58990.031100000007</v>
      </c>
      <c r="W118" s="103">
        <f t="shared" si="7"/>
        <v>73737.538874999998</v>
      </c>
      <c r="X118" s="103">
        <f t="shared" si="7"/>
        <v>73737.538874999998</v>
      </c>
      <c r="Y118" s="103">
        <f t="shared" si="7"/>
        <v>73737.538874999998</v>
      </c>
      <c r="Z118" s="103">
        <f t="shared" si="7"/>
        <v>73737.538874999998</v>
      </c>
      <c r="AA118" s="103">
        <f t="shared" si="7"/>
        <v>73737.538874999998</v>
      </c>
      <c r="AB118" s="103">
        <f t="shared" si="7"/>
        <v>73737.538874999998</v>
      </c>
      <c r="AC118" s="103">
        <f t="shared" si="7"/>
        <v>73737.538874999998</v>
      </c>
      <c r="AD118" s="103">
        <f t="shared" si="7"/>
        <v>73737.538874999998</v>
      </c>
      <c r="AE118" s="103">
        <f t="shared" si="7"/>
        <v>73737.538874999998</v>
      </c>
      <c r="AF118" s="103">
        <f t="shared" si="7"/>
        <v>73737.538874999998</v>
      </c>
      <c r="AG118" s="103">
        <f t="shared" si="7"/>
        <v>73737.538874999998</v>
      </c>
      <c r="AH118" s="103">
        <f t="shared" si="7"/>
        <v>73737.538874999998</v>
      </c>
      <c r="AI118" s="103">
        <f t="shared" si="7"/>
        <v>73737.538874999998</v>
      </c>
      <c r="AJ118" s="103">
        <f t="shared" si="7"/>
        <v>73737.538874999998</v>
      </c>
      <c r="AK118" s="103">
        <f t="shared" si="7"/>
        <v>73737.538874999998</v>
      </c>
      <c r="AL118" s="103">
        <f t="shared" si="7"/>
        <v>73737.538874999998</v>
      </c>
      <c r="AM118" s="103">
        <f t="shared" si="7"/>
        <v>73737.538874999998</v>
      </c>
      <c r="AN118" s="103">
        <f t="shared" si="7"/>
        <v>73737.538874999998</v>
      </c>
      <c r="AO118" s="103">
        <f t="shared" si="7"/>
        <v>73737.538874999998</v>
      </c>
      <c r="AP118" s="103">
        <f t="shared" si="7"/>
        <v>73737.538874999998</v>
      </c>
      <c r="AQ118" s="103">
        <f t="shared" si="7"/>
        <v>73737.538874999998</v>
      </c>
      <c r="AR118" s="103">
        <f t="shared" si="7"/>
        <v>73737.538874999998</v>
      </c>
      <c r="AS118" s="103">
        <f t="shared" si="7"/>
        <v>73737.538874999998</v>
      </c>
      <c r="AT118" s="103">
        <f t="shared" si="7"/>
        <v>73737.538874999998</v>
      </c>
      <c r="AU118" s="103">
        <f t="shared" si="7"/>
        <v>73737.538874999998</v>
      </c>
      <c r="AV118" s="103">
        <f t="shared" si="7"/>
        <v>73737.538874999998</v>
      </c>
      <c r="AW118" s="103">
        <f t="shared" si="7"/>
        <v>73737.538874999998</v>
      </c>
      <c r="AX118" s="103">
        <f t="shared" si="7"/>
        <v>73737.538874999998</v>
      </c>
    </row>
    <row r="119" spans="1:50">
      <c r="A119" s="103" t="s">
        <v>107</v>
      </c>
      <c r="B119" s="103" t="s">
        <v>5</v>
      </c>
      <c r="C119" s="98">
        <v>0</v>
      </c>
      <c r="D119" s="98">
        <v>0</v>
      </c>
      <c r="E119" s="98">
        <v>0</v>
      </c>
      <c r="F119" s="98">
        <v>0</v>
      </c>
      <c r="G119" s="98">
        <v>0</v>
      </c>
      <c r="H119" s="98">
        <v>0</v>
      </c>
      <c r="I119" s="98">
        <v>0</v>
      </c>
      <c r="J119" s="98">
        <v>0</v>
      </c>
      <c r="K119" s="98">
        <v>0</v>
      </c>
      <c r="L119" s="98">
        <v>0</v>
      </c>
      <c r="M119" s="98">
        <v>0</v>
      </c>
      <c r="N119" s="98">
        <v>0</v>
      </c>
      <c r="O119" s="98">
        <v>0</v>
      </c>
      <c r="P119" s="98">
        <v>0</v>
      </c>
      <c r="Q119" s="98">
        <v>0</v>
      </c>
      <c r="R119" s="98">
        <v>0</v>
      </c>
      <c r="S119" s="98">
        <v>0</v>
      </c>
      <c r="T119" s="98">
        <v>0</v>
      </c>
      <c r="U119" s="98">
        <v>0</v>
      </c>
      <c r="V119" s="98">
        <v>0</v>
      </c>
      <c r="W119" s="98">
        <v>0</v>
      </c>
      <c r="X119" s="98">
        <v>0</v>
      </c>
      <c r="Y119" s="98">
        <v>0</v>
      </c>
      <c r="Z119" s="98">
        <v>0</v>
      </c>
      <c r="AA119" s="98">
        <v>0</v>
      </c>
      <c r="AB119" s="98">
        <v>0</v>
      </c>
      <c r="AC119" s="98">
        <v>0</v>
      </c>
      <c r="AD119" s="98">
        <v>0</v>
      </c>
      <c r="AE119" s="98">
        <v>0</v>
      </c>
      <c r="AF119" s="98">
        <v>0</v>
      </c>
      <c r="AG119" s="98">
        <v>0</v>
      </c>
      <c r="AH119" s="98">
        <v>0</v>
      </c>
      <c r="AI119" s="98">
        <v>0</v>
      </c>
      <c r="AJ119" s="98">
        <v>0</v>
      </c>
      <c r="AK119" s="98">
        <v>0</v>
      </c>
      <c r="AL119" s="98">
        <v>0</v>
      </c>
      <c r="AM119" s="98">
        <v>0</v>
      </c>
      <c r="AN119" s="98">
        <v>0</v>
      </c>
      <c r="AO119" s="98">
        <v>0</v>
      </c>
      <c r="AP119" s="98">
        <v>0</v>
      </c>
      <c r="AQ119" s="98">
        <v>0</v>
      </c>
      <c r="AR119" s="98">
        <v>0</v>
      </c>
      <c r="AS119" s="98">
        <v>0</v>
      </c>
      <c r="AT119" s="98">
        <v>0</v>
      </c>
      <c r="AU119" s="98">
        <v>0</v>
      </c>
      <c r="AV119" s="98">
        <v>0</v>
      </c>
      <c r="AW119" s="98">
        <v>0</v>
      </c>
      <c r="AX119" s="98">
        <v>0</v>
      </c>
    </row>
    <row r="120" spans="1:50">
      <c r="B120" s="103" t="s">
        <v>10</v>
      </c>
      <c r="C120" s="98">
        <v>4458.3562425600003</v>
      </c>
      <c r="D120" s="98">
        <v>4458.3562425600003</v>
      </c>
      <c r="E120" s="98">
        <v>4458.3562425600003</v>
      </c>
      <c r="F120" s="98">
        <v>4458.3562425600003</v>
      </c>
      <c r="G120" s="98">
        <v>2935.8907714050492</v>
      </c>
      <c r="H120" s="98">
        <v>5572.9453032000001</v>
      </c>
      <c r="I120" s="98">
        <v>5572.9453032000001</v>
      </c>
      <c r="J120" s="98">
        <v>5572.9453032000001</v>
      </c>
      <c r="K120" s="98">
        <v>5572.9453032000001</v>
      </c>
      <c r="L120" s="98">
        <v>5572.9453032000001</v>
      </c>
      <c r="M120" s="98">
        <v>5572.9453032000001</v>
      </c>
      <c r="N120" s="98">
        <v>5572.9453032000001</v>
      </c>
      <c r="O120" s="98">
        <v>5572.9453032000001</v>
      </c>
      <c r="P120" s="98">
        <v>5572.9453032000001</v>
      </c>
      <c r="Q120" s="98">
        <v>5572.9453032000001</v>
      </c>
      <c r="R120" s="98">
        <v>5572.9453032000001</v>
      </c>
      <c r="S120" s="98">
        <v>5572.9453032000001</v>
      </c>
      <c r="T120" s="98">
        <v>5572.9453032000001</v>
      </c>
      <c r="U120" s="98">
        <v>5572.9453032000001</v>
      </c>
      <c r="V120" s="98">
        <v>5572.9453032000001</v>
      </c>
      <c r="W120" s="98">
        <v>5572.9453032000001</v>
      </c>
      <c r="X120" s="98">
        <v>5572.9453032000001</v>
      </c>
      <c r="Y120" s="98">
        <v>5572.9453032000001</v>
      </c>
      <c r="Z120" s="98">
        <v>5572.9453032000001</v>
      </c>
      <c r="AA120" s="98">
        <v>4458.3562425600003</v>
      </c>
      <c r="AB120" s="98">
        <v>4458.3562425600003</v>
      </c>
      <c r="AC120" s="98">
        <v>4458.3562425600003</v>
      </c>
      <c r="AD120" s="98">
        <v>3079.7411948423942</v>
      </c>
      <c r="AE120" s="98">
        <v>5572.9453032000001</v>
      </c>
      <c r="AF120" s="98">
        <v>5572.9453032000001</v>
      </c>
      <c r="AG120" s="98">
        <v>5572.9453032000001</v>
      </c>
      <c r="AH120" s="98">
        <v>5572.9453032000001</v>
      </c>
      <c r="AI120" s="98">
        <v>5572.9453032000001</v>
      </c>
      <c r="AJ120" s="98">
        <v>5572.9453032000001</v>
      </c>
      <c r="AK120" s="98">
        <v>5572.9453032000001</v>
      </c>
      <c r="AL120" s="98">
        <v>5572.9453032000001</v>
      </c>
      <c r="AM120" s="98">
        <v>5572.9453032000001</v>
      </c>
      <c r="AN120" s="98">
        <v>5572.9453032000001</v>
      </c>
      <c r="AO120" s="98">
        <v>5572.9453032000001</v>
      </c>
      <c r="AP120" s="98">
        <v>5572.9453032000001</v>
      </c>
      <c r="AQ120" s="98">
        <v>5572.9453032000001</v>
      </c>
      <c r="AR120" s="98">
        <v>5572.9453032000001</v>
      </c>
      <c r="AS120" s="98">
        <v>5572.9453032000001</v>
      </c>
      <c r="AT120" s="98">
        <v>5572.9453032000001</v>
      </c>
      <c r="AU120" s="98">
        <v>5572.9453032000001</v>
      </c>
      <c r="AV120" s="98">
        <v>5572.9453032000001</v>
      </c>
      <c r="AW120" s="98">
        <v>5572.9453032000001</v>
      </c>
      <c r="AX120" s="98">
        <v>5572.9453032000001</v>
      </c>
    </row>
    <row r="121" spans="1:50">
      <c r="B121" s="103" t="s">
        <v>12</v>
      </c>
      <c r="C121" s="98">
        <v>95297.364684720014</v>
      </c>
      <c r="D121" s="98">
        <v>95297.364684720014</v>
      </c>
      <c r="E121" s="98">
        <v>95297.364684720014</v>
      </c>
      <c r="F121" s="98">
        <v>95297.364684720014</v>
      </c>
      <c r="G121" s="98">
        <v>62754.665238782924</v>
      </c>
      <c r="H121" s="98">
        <v>119121.70585589999</v>
      </c>
      <c r="I121" s="98">
        <v>119121.70585589999</v>
      </c>
      <c r="J121" s="98">
        <v>119121.70585589999</v>
      </c>
      <c r="K121" s="98">
        <v>119121.70585589999</v>
      </c>
      <c r="L121" s="98">
        <v>119121.70585589999</v>
      </c>
      <c r="M121" s="98">
        <v>119121.70585589999</v>
      </c>
      <c r="N121" s="98">
        <v>119121.70585589999</v>
      </c>
      <c r="O121" s="98">
        <v>119121.70585589999</v>
      </c>
      <c r="P121" s="98">
        <v>119121.70585589999</v>
      </c>
      <c r="Q121" s="98">
        <v>119121.70585589999</v>
      </c>
      <c r="R121" s="98">
        <v>119121.70585589999</v>
      </c>
      <c r="S121" s="98">
        <v>119121.70585589999</v>
      </c>
      <c r="T121" s="98">
        <v>119121.70585589999</v>
      </c>
      <c r="U121" s="98">
        <v>119121.70585589999</v>
      </c>
      <c r="V121" s="98">
        <v>119121.70585589999</v>
      </c>
      <c r="W121" s="98">
        <v>119121.70585589999</v>
      </c>
      <c r="X121" s="98">
        <v>119121.70585589999</v>
      </c>
      <c r="Y121" s="98">
        <v>119121.70585589999</v>
      </c>
      <c r="Z121" s="98">
        <v>119121.70585589999</v>
      </c>
      <c r="AA121" s="98">
        <v>95297.364684720014</v>
      </c>
      <c r="AB121" s="98">
        <v>95297.364684720014</v>
      </c>
      <c r="AC121" s="98">
        <v>95297.364684720014</v>
      </c>
      <c r="AD121" s="98">
        <v>65829.468039756175</v>
      </c>
      <c r="AE121" s="98">
        <v>119121.70585589999</v>
      </c>
      <c r="AF121" s="98">
        <v>119121.70585589999</v>
      </c>
      <c r="AG121" s="98">
        <v>119121.70585589999</v>
      </c>
      <c r="AH121" s="98">
        <v>119121.70585589999</v>
      </c>
      <c r="AI121" s="98">
        <v>119121.70585589999</v>
      </c>
      <c r="AJ121" s="98">
        <v>119121.70585589999</v>
      </c>
      <c r="AK121" s="98">
        <v>119121.70585589999</v>
      </c>
      <c r="AL121" s="98">
        <v>119121.70585589999</v>
      </c>
      <c r="AM121" s="98">
        <v>119121.70585589999</v>
      </c>
      <c r="AN121" s="98">
        <v>119121.70585589999</v>
      </c>
      <c r="AO121" s="98">
        <v>119121.70585589999</v>
      </c>
      <c r="AP121" s="98">
        <v>119121.70585589999</v>
      </c>
      <c r="AQ121" s="98">
        <v>119121.70585589999</v>
      </c>
      <c r="AR121" s="98">
        <v>119121.70585589999</v>
      </c>
      <c r="AS121" s="98">
        <v>119121.70585589999</v>
      </c>
      <c r="AT121" s="98">
        <v>119121.70585589999</v>
      </c>
      <c r="AU121" s="98">
        <v>119121.70585589999</v>
      </c>
      <c r="AV121" s="98">
        <v>119121.70585589999</v>
      </c>
      <c r="AW121" s="98">
        <v>119121.70585589999</v>
      </c>
      <c r="AX121" s="98">
        <v>119121.70585589999</v>
      </c>
    </row>
    <row r="122" spans="1:50">
      <c r="B122" s="103" t="s">
        <v>22</v>
      </c>
      <c r="C122" s="98">
        <v>0</v>
      </c>
      <c r="D122" s="98">
        <v>0</v>
      </c>
      <c r="E122" s="98">
        <v>0</v>
      </c>
      <c r="F122" s="98">
        <v>0</v>
      </c>
      <c r="G122" s="98">
        <v>0</v>
      </c>
      <c r="H122" s="98">
        <v>0</v>
      </c>
      <c r="I122" s="98">
        <v>0</v>
      </c>
      <c r="J122" s="98">
        <v>0</v>
      </c>
      <c r="K122" s="98">
        <v>0</v>
      </c>
      <c r="L122" s="98">
        <v>0</v>
      </c>
      <c r="M122" s="98">
        <v>0</v>
      </c>
      <c r="N122" s="98">
        <v>0</v>
      </c>
      <c r="O122" s="98">
        <v>0</v>
      </c>
      <c r="P122" s="98">
        <v>0</v>
      </c>
      <c r="Q122" s="98">
        <v>0</v>
      </c>
      <c r="R122" s="98">
        <v>0</v>
      </c>
      <c r="S122" s="98">
        <v>0</v>
      </c>
      <c r="T122" s="98">
        <v>0</v>
      </c>
      <c r="U122" s="98">
        <v>0</v>
      </c>
      <c r="V122" s="98">
        <v>0</v>
      </c>
      <c r="W122" s="98">
        <v>0</v>
      </c>
      <c r="X122" s="98">
        <v>0</v>
      </c>
      <c r="Y122" s="98">
        <v>0</v>
      </c>
      <c r="Z122" s="98">
        <v>0</v>
      </c>
      <c r="AA122" s="98">
        <v>0</v>
      </c>
      <c r="AB122" s="98">
        <v>0</v>
      </c>
      <c r="AC122" s="98">
        <v>0</v>
      </c>
      <c r="AD122" s="98">
        <v>0</v>
      </c>
      <c r="AE122" s="98">
        <v>0</v>
      </c>
      <c r="AF122" s="98">
        <v>0</v>
      </c>
      <c r="AG122" s="98">
        <v>0</v>
      </c>
      <c r="AH122" s="98">
        <v>0</v>
      </c>
      <c r="AI122" s="98">
        <v>0</v>
      </c>
      <c r="AJ122" s="98">
        <v>0</v>
      </c>
      <c r="AK122" s="98">
        <v>0</v>
      </c>
      <c r="AL122" s="98">
        <v>0</v>
      </c>
      <c r="AM122" s="98">
        <v>0</v>
      </c>
      <c r="AN122" s="98">
        <v>0</v>
      </c>
      <c r="AO122" s="98">
        <v>0</v>
      </c>
      <c r="AP122" s="98">
        <v>0</v>
      </c>
      <c r="AQ122" s="98">
        <v>0</v>
      </c>
      <c r="AR122" s="98">
        <v>0</v>
      </c>
      <c r="AS122" s="98">
        <v>0</v>
      </c>
      <c r="AT122" s="98">
        <v>0</v>
      </c>
      <c r="AU122" s="98">
        <v>0</v>
      </c>
      <c r="AV122" s="98">
        <v>0</v>
      </c>
      <c r="AW122" s="98">
        <v>0</v>
      </c>
      <c r="AX122" s="98">
        <v>0</v>
      </c>
    </row>
    <row r="123" spans="1:50">
      <c r="B123" s="103" t="s">
        <v>46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8">
        <v>0</v>
      </c>
      <c r="P123" s="98">
        <v>0</v>
      </c>
      <c r="Q123" s="98">
        <v>0</v>
      </c>
      <c r="R123" s="98">
        <v>0</v>
      </c>
      <c r="S123" s="98">
        <v>0</v>
      </c>
      <c r="T123" s="98">
        <v>0</v>
      </c>
      <c r="U123" s="98">
        <v>0</v>
      </c>
      <c r="V123" s="98">
        <v>0</v>
      </c>
      <c r="W123" s="98">
        <v>0</v>
      </c>
      <c r="X123" s="98">
        <v>0</v>
      </c>
      <c r="Y123" s="98">
        <v>0</v>
      </c>
      <c r="Z123" s="98">
        <v>0</v>
      </c>
      <c r="AA123" s="98">
        <v>0</v>
      </c>
      <c r="AB123" s="98">
        <v>0</v>
      </c>
      <c r="AC123" s="98">
        <v>0</v>
      </c>
      <c r="AD123" s="98">
        <v>0</v>
      </c>
      <c r="AE123" s="98">
        <v>0</v>
      </c>
      <c r="AF123" s="98">
        <v>0</v>
      </c>
      <c r="AG123" s="98">
        <v>0</v>
      </c>
      <c r="AH123" s="98">
        <v>0</v>
      </c>
      <c r="AI123" s="98">
        <v>0</v>
      </c>
      <c r="AJ123" s="98">
        <v>0</v>
      </c>
      <c r="AK123" s="98">
        <v>0</v>
      </c>
      <c r="AL123" s="98">
        <v>0</v>
      </c>
      <c r="AM123" s="98">
        <v>0</v>
      </c>
      <c r="AN123" s="98">
        <v>0</v>
      </c>
      <c r="AO123" s="98">
        <v>0</v>
      </c>
      <c r="AP123" s="98">
        <v>0</v>
      </c>
      <c r="AQ123" s="98">
        <v>0</v>
      </c>
      <c r="AR123" s="98">
        <v>0</v>
      </c>
      <c r="AS123" s="98">
        <v>0</v>
      </c>
      <c r="AT123" s="98">
        <v>0</v>
      </c>
      <c r="AU123" s="98">
        <v>0</v>
      </c>
      <c r="AV123" s="98">
        <v>0</v>
      </c>
      <c r="AW123" s="98">
        <v>0</v>
      </c>
      <c r="AX123" s="98">
        <v>0</v>
      </c>
    </row>
    <row r="124" spans="1:50">
      <c r="B124" s="103" t="s">
        <v>59</v>
      </c>
      <c r="C124" s="98">
        <v>0</v>
      </c>
      <c r="D124" s="98">
        <v>0</v>
      </c>
      <c r="E124" s="98">
        <v>0</v>
      </c>
      <c r="F124" s="98">
        <v>0</v>
      </c>
      <c r="G124" s="98">
        <v>0</v>
      </c>
      <c r="H124" s="98">
        <v>0</v>
      </c>
      <c r="I124" s="98">
        <v>0</v>
      </c>
      <c r="J124" s="98">
        <v>0</v>
      </c>
      <c r="K124" s="98">
        <v>0</v>
      </c>
      <c r="L124" s="98">
        <v>0</v>
      </c>
      <c r="M124" s="98">
        <v>0</v>
      </c>
      <c r="N124" s="98">
        <v>0</v>
      </c>
      <c r="O124" s="98">
        <v>0</v>
      </c>
      <c r="P124" s="98">
        <v>0</v>
      </c>
      <c r="Q124" s="98">
        <v>0</v>
      </c>
      <c r="R124" s="98">
        <v>0</v>
      </c>
      <c r="S124" s="98">
        <v>0</v>
      </c>
      <c r="T124" s="98">
        <v>0</v>
      </c>
      <c r="U124" s="98">
        <v>0</v>
      </c>
      <c r="V124" s="98">
        <v>0</v>
      </c>
      <c r="W124" s="98">
        <v>0</v>
      </c>
      <c r="X124" s="98">
        <v>0</v>
      </c>
      <c r="Y124" s="98">
        <v>0</v>
      </c>
      <c r="Z124" s="98">
        <v>0</v>
      </c>
      <c r="AA124" s="98">
        <v>0</v>
      </c>
      <c r="AB124" s="98">
        <v>0</v>
      </c>
      <c r="AC124" s="98">
        <v>0</v>
      </c>
      <c r="AD124" s="98">
        <v>0</v>
      </c>
      <c r="AE124" s="98">
        <v>0</v>
      </c>
      <c r="AF124" s="98">
        <v>0</v>
      </c>
      <c r="AG124" s="98">
        <v>0</v>
      </c>
      <c r="AH124" s="98">
        <v>0</v>
      </c>
      <c r="AI124" s="98">
        <v>0</v>
      </c>
      <c r="AJ124" s="98">
        <v>0</v>
      </c>
      <c r="AK124" s="98">
        <v>0</v>
      </c>
      <c r="AL124" s="98">
        <v>0</v>
      </c>
      <c r="AM124" s="98">
        <v>0</v>
      </c>
      <c r="AN124" s="98">
        <v>0</v>
      </c>
      <c r="AO124" s="98">
        <v>0</v>
      </c>
      <c r="AP124" s="98">
        <v>0</v>
      </c>
      <c r="AQ124" s="98">
        <v>0</v>
      </c>
      <c r="AR124" s="98">
        <v>0</v>
      </c>
      <c r="AS124" s="98">
        <v>0</v>
      </c>
      <c r="AT124" s="98">
        <v>0</v>
      </c>
      <c r="AU124" s="98">
        <v>0</v>
      </c>
      <c r="AV124" s="98">
        <v>0</v>
      </c>
      <c r="AW124" s="98">
        <v>0</v>
      </c>
      <c r="AX124" s="98">
        <v>0</v>
      </c>
    </row>
    <row r="125" spans="1:50">
      <c r="B125" s="98" t="s">
        <v>279</v>
      </c>
      <c r="C125" s="103">
        <f>SUM(C$119:C$124)</f>
        <v>99755.72092728001</v>
      </c>
      <c r="D125" s="103">
        <f t="shared" ref="D125:AX125" si="8">SUM(D$119:D$124)</f>
        <v>99755.72092728001</v>
      </c>
      <c r="E125" s="103">
        <f t="shared" si="8"/>
        <v>99755.72092728001</v>
      </c>
      <c r="F125" s="103">
        <f t="shared" si="8"/>
        <v>99755.72092728001</v>
      </c>
      <c r="G125" s="103">
        <f t="shared" si="8"/>
        <v>65690.556010187967</v>
      </c>
      <c r="H125" s="103">
        <f t="shared" si="8"/>
        <v>124694.65115909999</v>
      </c>
      <c r="I125" s="103">
        <f t="shared" si="8"/>
        <v>124694.65115909999</v>
      </c>
      <c r="J125" s="103">
        <f t="shared" si="8"/>
        <v>124694.65115909999</v>
      </c>
      <c r="K125" s="103">
        <f t="shared" si="8"/>
        <v>124694.65115909999</v>
      </c>
      <c r="L125" s="103">
        <f t="shared" si="8"/>
        <v>124694.65115909999</v>
      </c>
      <c r="M125" s="103">
        <f t="shared" si="8"/>
        <v>124694.65115909999</v>
      </c>
      <c r="N125" s="103">
        <f t="shared" si="8"/>
        <v>124694.65115909999</v>
      </c>
      <c r="O125" s="103">
        <f t="shared" si="8"/>
        <v>124694.65115909999</v>
      </c>
      <c r="P125" s="103">
        <f t="shared" si="8"/>
        <v>124694.65115909999</v>
      </c>
      <c r="Q125" s="103">
        <f t="shared" si="8"/>
        <v>124694.65115909999</v>
      </c>
      <c r="R125" s="103">
        <f t="shared" si="8"/>
        <v>124694.65115909999</v>
      </c>
      <c r="S125" s="103">
        <f t="shared" si="8"/>
        <v>124694.65115909999</v>
      </c>
      <c r="T125" s="103">
        <f t="shared" si="8"/>
        <v>124694.65115909999</v>
      </c>
      <c r="U125" s="103">
        <f t="shared" si="8"/>
        <v>124694.65115909999</v>
      </c>
      <c r="V125" s="103">
        <f t="shared" si="8"/>
        <v>124694.65115909999</v>
      </c>
      <c r="W125" s="103">
        <f t="shared" si="8"/>
        <v>124694.65115909999</v>
      </c>
      <c r="X125" s="103">
        <f t="shared" si="8"/>
        <v>124694.65115909999</v>
      </c>
      <c r="Y125" s="103">
        <f t="shared" si="8"/>
        <v>124694.65115909999</v>
      </c>
      <c r="Z125" s="103">
        <f t="shared" si="8"/>
        <v>124694.65115909999</v>
      </c>
      <c r="AA125" s="103">
        <f t="shared" si="8"/>
        <v>99755.72092728001</v>
      </c>
      <c r="AB125" s="103">
        <f t="shared" si="8"/>
        <v>99755.72092728001</v>
      </c>
      <c r="AC125" s="103">
        <f t="shared" si="8"/>
        <v>99755.72092728001</v>
      </c>
      <c r="AD125" s="103">
        <f t="shared" si="8"/>
        <v>68909.209234598573</v>
      </c>
      <c r="AE125" s="103">
        <f t="shared" si="8"/>
        <v>124694.65115909999</v>
      </c>
      <c r="AF125" s="103">
        <f t="shared" si="8"/>
        <v>124694.65115909999</v>
      </c>
      <c r="AG125" s="103">
        <f t="shared" si="8"/>
        <v>124694.65115909999</v>
      </c>
      <c r="AH125" s="103">
        <f t="shared" si="8"/>
        <v>124694.65115909999</v>
      </c>
      <c r="AI125" s="103">
        <f t="shared" si="8"/>
        <v>124694.65115909999</v>
      </c>
      <c r="AJ125" s="103">
        <f t="shared" si="8"/>
        <v>124694.65115909999</v>
      </c>
      <c r="AK125" s="103">
        <f t="shared" si="8"/>
        <v>124694.65115909999</v>
      </c>
      <c r="AL125" s="103">
        <f t="shared" si="8"/>
        <v>124694.65115909999</v>
      </c>
      <c r="AM125" s="103">
        <f t="shared" si="8"/>
        <v>124694.65115909999</v>
      </c>
      <c r="AN125" s="103">
        <f t="shared" si="8"/>
        <v>124694.65115909999</v>
      </c>
      <c r="AO125" s="103">
        <f t="shared" si="8"/>
        <v>124694.65115909999</v>
      </c>
      <c r="AP125" s="103">
        <f t="shared" si="8"/>
        <v>124694.65115909999</v>
      </c>
      <c r="AQ125" s="103">
        <f t="shared" si="8"/>
        <v>124694.65115909999</v>
      </c>
      <c r="AR125" s="103">
        <f t="shared" si="8"/>
        <v>124694.65115909999</v>
      </c>
      <c r="AS125" s="103">
        <f t="shared" si="8"/>
        <v>124694.65115909999</v>
      </c>
      <c r="AT125" s="103">
        <f t="shared" si="8"/>
        <v>124694.65115909999</v>
      </c>
      <c r="AU125" s="103">
        <f t="shared" si="8"/>
        <v>124694.65115909999</v>
      </c>
      <c r="AV125" s="103">
        <f t="shared" si="8"/>
        <v>124694.65115909999</v>
      </c>
      <c r="AW125" s="103">
        <f t="shared" si="8"/>
        <v>124694.65115909999</v>
      </c>
      <c r="AX125" s="103">
        <f t="shared" si="8"/>
        <v>124694.65115909999</v>
      </c>
    </row>
    <row r="126" spans="1:50">
      <c r="A126" s="103" t="s">
        <v>108</v>
      </c>
      <c r="B126" s="103" t="s">
        <v>5</v>
      </c>
      <c r="C126" s="98">
        <v>6368.8345364160004</v>
      </c>
      <c r="D126" s="98">
        <v>6368.8345364160004</v>
      </c>
      <c r="E126" s="98">
        <v>6368.8345364160004</v>
      </c>
      <c r="F126" s="98">
        <v>6368.8345364160004</v>
      </c>
      <c r="G126" s="98">
        <v>6368.8345364160004</v>
      </c>
      <c r="H126" s="98">
        <v>6368.8345364160004</v>
      </c>
      <c r="I126" s="98">
        <v>6368.8345364160004</v>
      </c>
      <c r="J126" s="98">
        <v>6368.8345364160004</v>
      </c>
      <c r="K126" s="98">
        <v>6368.8345364160004</v>
      </c>
      <c r="L126" s="98">
        <v>6368.8345364160004</v>
      </c>
      <c r="M126" s="98">
        <v>6368.8345364160004</v>
      </c>
      <c r="N126" s="98">
        <v>6368.8345364160004</v>
      </c>
      <c r="O126" s="98">
        <v>6368.8345364160004</v>
      </c>
      <c r="P126" s="98">
        <v>6368.8345364160004</v>
      </c>
      <c r="Q126" s="98">
        <v>6368.8345364160004</v>
      </c>
      <c r="R126" s="98">
        <v>6368.8345364160004</v>
      </c>
      <c r="S126" s="98">
        <v>6368.8345364160004</v>
      </c>
      <c r="T126" s="98">
        <v>6368.8345364160004</v>
      </c>
      <c r="U126" s="98">
        <v>6368.8345364160004</v>
      </c>
      <c r="V126" s="98">
        <v>6368.8345364160004</v>
      </c>
      <c r="W126" s="98">
        <v>6368.8345364160004</v>
      </c>
      <c r="X126" s="98">
        <v>6368.8345364160004</v>
      </c>
      <c r="Y126" s="98">
        <v>6368.8345364160004</v>
      </c>
      <c r="Z126" s="98">
        <v>6368.8345364160004</v>
      </c>
      <c r="AA126" s="98">
        <v>5307.3621136800002</v>
      </c>
      <c r="AB126" s="98">
        <v>5307.3621136800002</v>
      </c>
      <c r="AC126" s="98">
        <v>5307.3621136800002</v>
      </c>
      <c r="AD126" s="98">
        <v>5307.3621136800002</v>
      </c>
      <c r="AE126" s="98">
        <v>5307.3621136800002</v>
      </c>
      <c r="AF126" s="98">
        <v>5307.3621136800002</v>
      </c>
      <c r="AG126" s="98">
        <v>5307.3621136800002</v>
      </c>
      <c r="AH126" s="98">
        <v>5307.3621136800002</v>
      </c>
      <c r="AI126" s="98">
        <v>5307.3621136800002</v>
      </c>
      <c r="AJ126" s="98">
        <v>5307.3621136800002</v>
      </c>
      <c r="AK126" s="98">
        <v>5307.3621136800002</v>
      </c>
      <c r="AL126" s="98">
        <v>5307.3621136800002</v>
      </c>
      <c r="AM126" s="98">
        <v>5307.3621136800002</v>
      </c>
      <c r="AN126" s="98">
        <v>5307.3621136800002</v>
      </c>
      <c r="AO126" s="98">
        <v>5307.3621136800002</v>
      </c>
      <c r="AP126" s="98">
        <v>5307.3621136800002</v>
      </c>
      <c r="AQ126" s="98">
        <v>4245.8896909440009</v>
      </c>
      <c r="AR126" s="98">
        <v>4245.8896909440009</v>
      </c>
      <c r="AS126" s="98">
        <v>4245.8896909440009</v>
      </c>
      <c r="AT126" s="98">
        <v>4245.8896909440009</v>
      </c>
      <c r="AU126" s="98">
        <v>5307.3621136800002</v>
      </c>
      <c r="AV126" s="98">
        <v>5307.3621136800002</v>
      </c>
      <c r="AW126" s="98">
        <v>5307.3621136800002</v>
      </c>
      <c r="AX126" s="98">
        <v>5307.3621136800002</v>
      </c>
    </row>
    <row r="127" spans="1:50">
      <c r="B127" s="103" t="s">
        <v>10</v>
      </c>
      <c r="C127" s="98">
        <v>36319.190781456011</v>
      </c>
      <c r="D127" s="98">
        <v>36319.190781456011</v>
      </c>
      <c r="E127" s="98">
        <v>36319.190781456011</v>
      </c>
      <c r="F127" s="98">
        <v>36319.190781456011</v>
      </c>
      <c r="G127" s="98">
        <v>36319.190781456011</v>
      </c>
      <c r="H127" s="98">
        <v>36319.190781456011</v>
      </c>
      <c r="I127" s="98">
        <v>36319.190781456011</v>
      </c>
      <c r="J127" s="98">
        <v>36319.190781456011</v>
      </c>
      <c r="K127" s="98">
        <v>36319.190781456011</v>
      </c>
      <c r="L127" s="98">
        <v>36319.190781456011</v>
      </c>
      <c r="M127" s="98">
        <v>36319.190781456011</v>
      </c>
      <c r="N127" s="98">
        <v>36319.190781456011</v>
      </c>
      <c r="O127" s="98">
        <v>36319.190781456011</v>
      </c>
      <c r="P127" s="98">
        <v>36319.190781456011</v>
      </c>
      <c r="Q127" s="98">
        <v>36319.190781456011</v>
      </c>
      <c r="R127" s="98">
        <v>36319.190781456011</v>
      </c>
      <c r="S127" s="98">
        <v>36319.190781456011</v>
      </c>
      <c r="T127" s="98">
        <v>36319.190781456011</v>
      </c>
      <c r="U127" s="98">
        <v>36319.190781456011</v>
      </c>
      <c r="V127" s="98">
        <v>36319.190781456011</v>
      </c>
      <c r="W127" s="98">
        <v>36319.190781456011</v>
      </c>
      <c r="X127" s="98">
        <v>36319.190781456011</v>
      </c>
      <c r="Y127" s="98">
        <v>36319.190781456011</v>
      </c>
      <c r="Z127" s="98">
        <v>36319.190781456011</v>
      </c>
      <c r="AA127" s="98">
        <v>30265.992317880005</v>
      </c>
      <c r="AB127" s="98">
        <v>30265.992317880005</v>
      </c>
      <c r="AC127" s="98">
        <v>30265.992317880005</v>
      </c>
      <c r="AD127" s="98">
        <v>30265.992317880005</v>
      </c>
      <c r="AE127" s="98">
        <v>30265.992317880005</v>
      </c>
      <c r="AF127" s="98">
        <v>30265.992317880005</v>
      </c>
      <c r="AG127" s="98">
        <v>30265.992317880005</v>
      </c>
      <c r="AH127" s="98">
        <v>30265.992317880005</v>
      </c>
      <c r="AI127" s="98">
        <v>30265.992317880005</v>
      </c>
      <c r="AJ127" s="98">
        <v>30265.992317880005</v>
      </c>
      <c r="AK127" s="98">
        <v>30265.992317880005</v>
      </c>
      <c r="AL127" s="98">
        <v>30265.992317880005</v>
      </c>
      <c r="AM127" s="98">
        <v>30265.992317880005</v>
      </c>
      <c r="AN127" s="98">
        <v>30265.992317880005</v>
      </c>
      <c r="AO127" s="98">
        <v>30265.992317880005</v>
      </c>
      <c r="AP127" s="98">
        <v>30265.992317880005</v>
      </c>
      <c r="AQ127" s="98">
        <v>24212.793854304004</v>
      </c>
      <c r="AR127" s="98">
        <v>24212.793854304004</v>
      </c>
      <c r="AS127" s="98">
        <v>24212.793854304004</v>
      </c>
      <c r="AT127" s="98">
        <v>24212.793854304004</v>
      </c>
      <c r="AU127" s="98">
        <v>30265.992317880005</v>
      </c>
      <c r="AV127" s="98">
        <v>30265.992317880005</v>
      </c>
      <c r="AW127" s="98">
        <v>30265.992317880005</v>
      </c>
      <c r="AX127" s="98">
        <v>30265.992317880005</v>
      </c>
    </row>
    <row r="128" spans="1:50">
      <c r="B128" s="103" t="s">
        <v>12</v>
      </c>
      <c r="C128" s="98">
        <v>65147.285434176003</v>
      </c>
      <c r="D128" s="98">
        <v>65147.285434176003</v>
      </c>
      <c r="E128" s="98">
        <v>65147.285434176003</v>
      </c>
      <c r="F128" s="98">
        <v>65147.285434176003</v>
      </c>
      <c r="G128" s="98">
        <v>65147.285434176003</v>
      </c>
      <c r="H128" s="98">
        <v>65147.285434176003</v>
      </c>
      <c r="I128" s="98">
        <v>65147.285434176003</v>
      </c>
      <c r="J128" s="98">
        <v>65147.285434176003</v>
      </c>
      <c r="K128" s="98">
        <v>65147.285434176003</v>
      </c>
      <c r="L128" s="98">
        <v>65147.285434176003</v>
      </c>
      <c r="M128" s="98">
        <v>65147.285434176003</v>
      </c>
      <c r="N128" s="98">
        <v>65147.285434176003</v>
      </c>
      <c r="O128" s="98">
        <v>65147.285434176003</v>
      </c>
      <c r="P128" s="98">
        <v>65147.285434176003</v>
      </c>
      <c r="Q128" s="98">
        <v>65147.285434176003</v>
      </c>
      <c r="R128" s="98">
        <v>65147.285434176003</v>
      </c>
      <c r="S128" s="98">
        <v>65147.285434176003</v>
      </c>
      <c r="T128" s="98">
        <v>65147.285434176003</v>
      </c>
      <c r="U128" s="98">
        <v>65147.285434176003</v>
      </c>
      <c r="V128" s="98">
        <v>65147.285434176003</v>
      </c>
      <c r="W128" s="98">
        <v>65147.285434176003</v>
      </c>
      <c r="X128" s="98">
        <v>65147.285434176003</v>
      </c>
      <c r="Y128" s="98">
        <v>65147.285434176003</v>
      </c>
      <c r="Z128" s="98">
        <v>65147.285434176003</v>
      </c>
      <c r="AA128" s="98">
        <v>54289.404528480009</v>
      </c>
      <c r="AB128" s="98">
        <v>54289.404528480009</v>
      </c>
      <c r="AC128" s="98">
        <v>54289.404528480009</v>
      </c>
      <c r="AD128" s="98">
        <v>54289.404528480009</v>
      </c>
      <c r="AE128" s="98">
        <v>54289.404528480009</v>
      </c>
      <c r="AF128" s="98">
        <v>54289.404528480009</v>
      </c>
      <c r="AG128" s="98">
        <v>54289.404528480009</v>
      </c>
      <c r="AH128" s="98">
        <v>54289.404528480009</v>
      </c>
      <c r="AI128" s="98">
        <v>54289.404528480009</v>
      </c>
      <c r="AJ128" s="98">
        <v>54289.404528480009</v>
      </c>
      <c r="AK128" s="98">
        <v>54289.404528480009</v>
      </c>
      <c r="AL128" s="98">
        <v>54289.404528480009</v>
      </c>
      <c r="AM128" s="98">
        <v>54289.404528480009</v>
      </c>
      <c r="AN128" s="98">
        <v>54289.404528480009</v>
      </c>
      <c r="AO128" s="98">
        <v>54289.404528480009</v>
      </c>
      <c r="AP128" s="98">
        <v>54289.404528480009</v>
      </c>
      <c r="AQ128" s="98">
        <v>43431.523622784</v>
      </c>
      <c r="AR128" s="98">
        <v>43431.523622784</v>
      </c>
      <c r="AS128" s="98">
        <v>43431.523622784</v>
      </c>
      <c r="AT128" s="98">
        <v>43431.523622784</v>
      </c>
      <c r="AU128" s="98">
        <v>54289.404528480009</v>
      </c>
      <c r="AV128" s="98">
        <v>54289.404528480009</v>
      </c>
      <c r="AW128" s="98">
        <v>54289.404528480009</v>
      </c>
      <c r="AX128" s="98">
        <v>54289.404528480009</v>
      </c>
    </row>
    <row r="129" spans="1:50">
      <c r="B129" s="103" t="s">
        <v>22</v>
      </c>
      <c r="C129" s="98">
        <v>0</v>
      </c>
      <c r="D129" s="98">
        <v>0</v>
      </c>
      <c r="E129" s="98">
        <v>0</v>
      </c>
      <c r="F129" s="98">
        <v>0</v>
      </c>
      <c r="G129" s="98">
        <v>0</v>
      </c>
      <c r="H129" s="98">
        <v>0</v>
      </c>
      <c r="I129" s="98">
        <v>0</v>
      </c>
      <c r="J129" s="98">
        <v>0</v>
      </c>
      <c r="K129" s="98">
        <v>0</v>
      </c>
      <c r="L129" s="98">
        <v>0</v>
      </c>
      <c r="M129" s="98">
        <v>0</v>
      </c>
      <c r="N129" s="98">
        <v>0</v>
      </c>
      <c r="O129" s="98">
        <v>0</v>
      </c>
      <c r="P129" s="98">
        <v>0</v>
      </c>
      <c r="Q129" s="98">
        <v>0</v>
      </c>
      <c r="R129" s="98">
        <v>0</v>
      </c>
      <c r="S129" s="98">
        <v>0</v>
      </c>
      <c r="T129" s="98">
        <v>0</v>
      </c>
      <c r="U129" s="98">
        <v>0</v>
      </c>
      <c r="V129" s="98">
        <v>0</v>
      </c>
      <c r="W129" s="98">
        <v>0</v>
      </c>
      <c r="X129" s="98">
        <v>0</v>
      </c>
      <c r="Y129" s="98">
        <v>0</v>
      </c>
      <c r="Z129" s="98">
        <v>0</v>
      </c>
      <c r="AA129" s="98">
        <v>0</v>
      </c>
      <c r="AB129" s="98">
        <v>0</v>
      </c>
      <c r="AC129" s="98">
        <v>0</v>
      </c>
      <c r="AD129" s="98">
        <v>0</v>
      </c>
      <c r="AE129" s="98">
        <v>0</v>
      </c>
      <c r="AF129" s="98">
        <v>0</v>
      </c>
      <c r="AG129" s="98">
        <v>0</v>
      </c>
      <c r="AH129" s="98">
        <v>0</v>
      </c>
      <c r="AI129" s="98">
        <v>0</v>
      </c>
      <c r="AJ129" s="98">
        <v>0</v>
      </c>
      <c r="AK129" s="98">
        <v>0</v>
      </c>
      <c r="AL129" s="98">
        <v>0</v>
      </c>
      <c r="AM129" s="98">
        <v>0</v>
      </c>
      <c r="AN129" s="98">
        <v>0</v>
      </c>
      <c r="AO129" s="98">
        <v>0</v>
      </c>
      <c r="AP129" s="98">
        <v>0</v>
      </c>
      <c r="AQ129" s="98">
        <v>0</v>
      </c>
      <c r="AR129" s="98">
        <v>0</v>
      </c>
      <c r="AS129" s="98">
        <v>0</v>
      </c>
      <c r="AT129" s="98">
        <v>0</v>
      </c>
      <c r="AU129" s="98">
        <v>0</v>
      </c>
      <c r="AV129" s="98">
        <v>0</v>
      </c>
      <c r="AW129" s="98">
        <v>0</v>
      </c>
      <c r="AX129" s="98">
        <v>0</v>
      </c>
    </row>
    <row r="130" spans="1:50">
      <c r="B130" s="103" t="s">
        <v>46</v>
      </c>
      <c r="C130" s="98">
        <v>36347.247321264003</v>
      </c>
      <c r="D130" s="98">
        <v>36347.247321264003</v>
      </c>
      <c r="E130" s="98">
        <v>36347.247321264003</v>
      </c>
      <c r="F130" s="98">
        <v>36347.247321264003</v>
      </c>
      <c r="G130" s="98">
        <v>36347.247321264003</v>
      </c>
      <c r="H130" s="98">
        <v>36347.247321264003</v>
      </c>
      <c r="I130" s="98">
        <v>36347.247321264003</v>
      </c>
      <c r="J130" s="98">
        <v>36347.247321264003</v>
      </c>
      <c r="K130" s="98">
        <v>36347.247321264003</v>
      </c>
      <c r="L130" s="98">
        <v>36347.247321264003</v>
      </c>
      <c r="M130" s="98">
        <v>36347.247321264003</v>
      </c>
      <c r="N130" s="98">
        <v>36347.247321264003</v>
      </c>
      <c r="O130" s="98">
        <v>36347.247321264003</v>
      </c>
      <c r="P130" s="98">
        <v>36347.247321264003</v>
      </c>
      <c r="Q130" s="98">
        <v>36347.247321264003</v>
      </c>
      <c r="R130" s="98">
        <v>36347.247321264003</v>
      </c>
      <c r="S130" s="98">
        <v>36347.247321264003</v>
      </c>
      <c r="T130" s="98">
        <v>36347.247321264003</v>
      </c>
      <c r="U130" s="98">
        <v>36347.247321264003</v>
      </c>
      <c r="V130" s="98">
        <v>36347.247321264003</v>
      </c>
      <c r="W130" s="98">
        <v>36347.247321264003</v>
      </c>
      <c r="X130" s="98">
        <v>36347.247321264003</v>
      </c>
      <c r="Y130" s="98">
        <v>36347.247321264003</v>
      </c>
      <c r="Z130" s="98">
        <v>36347.247321264003</v>
      </c>
      <c r="AA130" s="98">
        <v>30289.37276772</v>
      </c>
      <c r="AB130" s="98">
        <v>30289.37276772</v>
      </c>
      <c r="AC130" s="98">
        <v>30289.37276772</v>
      </c>
      <c r="AD130" s="98">
        <v>30289.37276772</v>
      </c>
      <c r="AE130" s="98">
        <v>30289.37276772</v>
      </c>
      <c r="AF130" s="98">
        <v>30289.37276772</v>
      </c>
      <c r="AG130" s="98">
        <v>30289.37276772</v>
      </c>
      <c r="AH130" s="98">
        <v>30289.37276772</v>
      </c>
      <c r="AI130" s="98">
        <v>30289.37276772</v>
      </c>
      <c r="AJ130" s="98">
        <v>30289.37276772</v>
      </c>
      <c r="AK130" s="98">
        <v>30289.37276772</v>
      </c>
      <c r="AL130" s="98">
        <v>30289.37276772</v>
      </c>
      <c r="AM130" s="98">
        <v>30289.37276772</v>
      </c>
      <c r="AN130" s="98">
        <v>30289.37276772</v>
      </c>
      <c r="AO130" s="98">
        <v>30289.37276772</v>
      </c>
      <c r="AP130" s="98">
        <v>30289.37276772</v>
      </c>
      <c r="AQ130" s="98">
        <v>24231.498214176005</v>
      </c>
      <c r="AR130" s="98">
        <v>24231.498214176005</v>
      </c>
      <c r="AS130" s="98">
        <v>24231.498214176005</v>
      </c>
      <c r="AT130" s="98">
        <v>24231.498214176005</v>
      </c>
      <c r="AU130" s="98">
        <v>30289.37276772</v>
      </c>
      <c r="AV130" s="98">
        <v>30289.37276772</v>
      </c>
      <c r="AW130" s="98">
        <v>30289.37276772</v>
      </c>
      <c r="AX130" s="98">
        <v>30289.37276772</v>
      </c>
    </row>
    <row r="131" spans="1:50">
      <c r="B131" s="103" t="s">
        <v>59</v>
      </c>
      <c r="C131" s="98">
        <v>48102.937500815999</v>
      </c>
      <c r="D131" s="98">
        <v>48102.937500815999</v>
      </c>
      <c r="E131" s="98">
        <v>48102.937500815999</v>
      </c>
      <c r="F131" s="98">
        <v>48102.937500815999</v>
      </c>
      <c r="G131" s="98">
        <v>48102.937500815999</v>
      </c>
      <c r="H131" s="98">
        <v>48102.937500815999</v>
      </c>
      <c r="I131" s="98">
        <v>48102.937500815999</v>
      </c>
      <c r="J131" s="98">
        <v>48102.937500815999</v>
      </c>
      <c r="K131" s="98">
        <v>48102.937500815999</v>
      </c>
      <c r="L131" s="98">
        <v>48102.937500815999</v>
      </c>
      <c r="M131" s="98">
        <v>48102.937500815999</v>
      </c>
      <c r="N131" s="98">
        <v>48102.937500815999</v>
      </c>
      <c r="O131" s="98">
        <v>48102.937500815999</v>
      </c>
      <c r="P131" s="98">
        <v>48102.937500815999</v>
      </c>
      <c r="Q131" s="98">
        <v>48102.937500815999</v>
      </c>
      <c r="R131" s="98">
        <v>48102.937500815999</v>
      </c>
      <c r="S131" s="98">
        <v>48102.937500815999</v>
      </c>
      <c r="T131" s="98">
        <v>48102.937500815999</v>
      </c>
      <c r="U131" s="98">
        <v>48102.937500815999</v>
      </c>
      <c r="V131" s="98">
        <v>48102.937500815999</v>
      </c>
      <c r="W131" s="98">
        <v>48102.937500815999</v>
      </c>
      <c r="X131" s="98">
        <v>48102.937500815999</v>
      </c>
      <c r="Y131" s="98">
        <v>48102.937500815999</v>
      </c>
      <c r="Z131" s="98">
        <v>48102.937500815999</v>
      </c>
      <c r="AA131" s="98">
        <v>40085.781250680004</v>
      </c>
      <c r="AB131" s="98">
        <v>40085.781250680004</v>
      </c>
      <c r="AC131" s="98">
        <v>40085.781250680004</v>
      </c>
      <c r="AD131" s="98">
        <v>40085.781250680004</v>
      </c>
      <c r="AE131" s="98">
        <v>40085.781250680004</v>
      </c>
      <c r="AF131" s="98">
        <v>40085.781250680004</v>
      </c>
      <c r="AG131" s="98">
        <v>40085.781250680004</v>
      </c>
      <c r="AH131" s="98">
        <v>40085.781250680004</v>
      </c>
      <c r="AI131" s="98">
        <v>40085.781250680004</v>
      </c>
      <c r="AJ131" s="98">
        <v>40085.781250680004</v>
      </c>
      <c r="AK131" s="98">
        <v>40085.781250680004</v>
      </c>
      <c r="AL131" s="98">
        <v>40085.781250680004</v>
      </c>
      <c r="AM131" s="98">
        <v>40085.781250680004</v>
      </c>
      <c r="AN131" s="98">
        <v>40085.781250680004</v>
      </c>
      <c r="AO131" s="98">
        <v>40085.781250680004</v>
      </c>
      <c r="AP131" s="98">
        <v>40085.781250680004</v>
      </c>
      <c r="AQ131" s="98">
        <v>32068.625000544002</v>
      </c>
      <c r="AR131" s="98">
        <v>32068.625000544002</v>
      </c>
      <c r="AS131" s="98">
        <v>32068.625000544002</v>
      </c>
      <c r="AT131" s="98">
        <v>32068.625000544002</v>
      </c>
      <c r="AU131" s="98">
        <v>40085.781250680004</v>
      </c>
      <c r="AV131" s="98">
        <v>40085.781250680004</v>
      </c>
      <c r="AW131" s="98">
        <v>40085.781250680004</v>
      </c>
      <c r="AX131" s="98">
        <v>40085.781250680004</v>
      </c>
    </row>
    <row r="132" spans="1:50">
      <c r="B132" s="98" t="s">
        <v>279</v>
      </c>
      <c r="C132" s="103">
        <f>SUM(C$126:C$131)</f>
        <v>192285.495574128</v>
      </c>
      <c r="D132" s="103">
        <f t="shared" ref="D132:AX132" si="9">SUM(D$126:D$131)</f>
        <v>192285.495574128</v>
      </c>
      <c r="E132" s="103">
        <f t="shared" si="9"/>
        <v>192285.495574128</v>
      </c>
      <c r="F132" s="103">
        <f t="shared" si="9"/>
        <v>192285.495574128</v>
      </c>
      <c r="G132" s="103">
        <f t="shared" si="9"/>
        <v>192285.495574128</v>
      </c>
      <c r="H132" s="103">
        <f t="shared" si="9"/>
        <v>192285.495574128</v>
      </c>
      <c r="I132" s="103">
        <f t="shared" si="9"/>
        <v>192285.495574128</v>
      </c>
      <c r="J132" s="103">
        <f t="shared" si="9"/>
        <v>192285.495574128</v>
      </c>
      <c r="K132" s="103">
        <f t="shared" si="9"/>
        <v>192285.495574128</v>
      </c>
      <c r="L132" s="103">
        <f t="shared" si="9"/>
        <v>192285.495574128</v>
      </c>
      <c r="M132" s="103">
        <f t="shared" si="9"/>
        <v>192285.495574128</v>
      </c>
      <c r="N132" s="103">
        <f t="shared" si="9"/>
        <v>192285.495574128</v>
      </c>
      <c r="O132" s="103">
        <f t="shared" si="9"/>
        <v>192285.495574128</v>
      </c>
      <c r="P132" s="103">
        <f t="shared" si="9"/>
        <v>192285.495574128</v>
      </c>
      <c r="Q132" s="103">
        <f t="shared" si="9"/>
        <v>192285.495574128</v>
      </c>
      <c r="R132" s="103">
        <f t="shared" si="9"/>
        <v>192285.495574128</v>
      </c>
      <c r="S132" s="103">
        <f t="shared" si="9"/>
        <v>192285.495574128</v>
      </c>
      <c r="T132" s="103">
        <f t="shared" si="9"/>
        <v>192285.495574128</v>
      </c>
      <c r="U132" s="103">
        <f t="shared" si="9"/>
        <v>192285.495574128</v>
      </c>
      <c r="V132" s="103">
        <f t="shared" si="9"/>
        <v>192285.495574128</v>
      </c>
      <c r="W132" s="103">
        <f t="shared" si="9"/>
        <v>192285.495574128</v>
      </c>
      <c r="X132" s="103">
        <f t="shared" si="9"/>
        <v>192285.495574128</v>
      </c>
      <c r="Y132" s="103">
        <f t="shared" si="9"/>
        <v>192285.495574128</v>
      </c>
      <c r="Z132" s="103">
        <f t="shared" si="9"/>
        <v>192285.495574128</v>
      </c>
      <c r="AA132" s="103">
        <f t="shared" si="9"/>
        <v>160237.91297844003</v>
      </c>
      <c r="AB132" s="103">
        <f t="shared" si="9"/>
        <v>160237.91297844003</v>
      </c>
      <c r="AC132" s="103">
        <f t="shared" si="9"/>
        <v>160237.91297844003</v>
      </c>
      <c r="AD132" s="103">
        <f t="shared" si="9"/>
        <v>160237.91297844003</v>
      </c>
      <c r="AE132" s="103">
        <f t="shared" si="9"/>
        <v>160237.91297844003</v>
      </c>
      <c r="AF132" s="103">
        <f t="shared" si="9"/>
        <v>160237.91297844003</v>
      </c>
      <c r="AG132" s="103">
        <f t="shared" si="9"/>
        <v>160237.91297844003</v>
      </c>
      <c r="AH132" s="103">
        <f t="shared" si="9"/>
        <v>160237.91297844003</v>
      </c>
      <c r="AI132" s="103">
        <f t="shared" si="9"/>
        <v>160237.91297844003</v>
      </c>
      <c r="AJ132" s="103">
        <f t="shared" si="9"/>
        <v>160237.91297844003</v>
      </c>
      <c r="AK132" s="103">
        <f t="shared" si="9"/>
        <v>160237.91297844003</v>
      </c>
      <c r="AL132" s="103">
        <f t="shared" si="9"/>
        <v>160237.91297844003</v>
      </c>
      <c r="AM132" s="103">
        <f t="shared" si="9"/>
        <v>160237.91297844003</v>
      </c>
      <c r="AN132" s="103">
        <f t="shared" si="9"/>
        <v>160237.91297844003</v>
      </c>
      <c r="AO132" s="103">
        <f t="shared" si="9"/>
        <v>160237.91297844003</v>
      </c>
      <c r="AP132" s="103">
        <f t="shared" si="9"/>
        <v>160237.91297844003</v>
      </c>
      <c r="AQ132" s="103">
        <f t="shared" si="9"/>
        <v>128190.33038275203</v>
      </c>
      <c r="AR132" s="103">
        <f t="shared" si="9"/>
        <v>128190.33038275203</v>
      </c>
      <c r="AS132" s="103">
        <f t="shared" si="9"/>
        <v>128190.33038275203</v>
      </c>
      <c r="AT132" s="103">
        <f t="shared" si="9"/>
        <v>128190.33038275203</v>
      </c>
      <c r="AU132" s="103">
        <f t="shared" si="9"/>
        <v>160237.91297844003</v>
      </c>
      <c r="AV132" s="103">
        <f t="shared" si="9"/>
        <v>160237.91297844003</v>
      </c>
      <c r="AW132" s="103">
        <f t="shared" si="9"/>
        <v>160237.91297844003</v>
      </c>
      <c r="AX132" s="103">
        <f t="shared" si="9"/>
        <v>160237.91297844003</v>
      </c>
    </row>
    <row r="133" spans="1:50">
      <c r="A133" s="103" t="s">
        <v>109</v>
      </c>
      <c r="B133" s="103" t="s">
        <v>5</v>
      </c>
      <c r="C133" s="98">
        <v>4245.8896909440009</v>
      </c>
      <c r="D133" s="98">
        <v>4245.8896909440009</v>
      </c>
      <c r="E133" s="98">
        <v>4245.8896909440009</v>
      </c>
      <c r="F133" s="98">
        <v>4245.8896909440009</v>
      </c>
      <c r="G133" s="98">
        <v>0</v>
      </c>
      <c r="H133" s="98">
        <v>0</v>
      </c>
      <c r="I133" s="98">
        <v>0</v>
      </c>
      <c r="J133" s="98">
        <v>0</v>
      </c>
      <c r="K133" s="98">
        <v>4245.8896909440009</v>
      </c>
      <c r="L133" s="98">
        <v>4245.8896909440009</v>
      </c>
      <c r="M133" s="98">
        <v>4245.8896909440009</v>
      </c>
      <c r="N133" s="98">
        <v>4245.8896909440009</v>
      </c>
      <c r="O133" s="98">
        <v>0</v>
      </c>
      <c r="P133" s="98">
        <v>0</v>
      </c>
      <c r="Q133" s="98">
        <v>0</v>
      </c>
      <c r="R133" s="98">
        <v>0</v>
      </c>
      <c r="S133" s="98">
        <v>0</v>
      </c>
      <c r="T133" s="98">
        <v>0</v>
      </c>
      <c r="U133" s="98">
        <v>0</v>
      </c>
      <c r="V133" s="98">
        <v>0</v>
      </c>
      <c r="W133" s="98">
        <v>4245.8896909440009</v>
      </c>
      <c r="X133" s="98">
        <v>4245.8896909440009</v>
      </c>
      <c r="Y133" s="98">
        <v>4245.8896909440009</v>
      </c>
      <c r="Z133" s="98">
        <v>4245.8896909440009</v>
      </c>
      <c r="AA133" s="98">
        <v>5307.3621136800002</v>
      </c>
      <c r="AB133" s="98">
        <v>5307.3621136800002</v>
      </c>
      <c r="AC133" s="98">
        <v>5307.3621136800002</v>
      </c>
      <c r="AD133" s="98">
        <v>5307.3621136800002</v>
      </c>
      <c r="AE133" s="98">
        <v>5307.3621136800002</v>
      </c>
      <c r="AF133" s="98">
        <v>5307.3621136800002</v>
      </c>
      <c r="AG133" s="98">
        <v>5307.3621136800002</v>
      </c>
      <c r="AH133" s="98">
        <v>5307.3621136800002</v>
      </c>
      <c r="AI133" s="98">
        <v>0</v>
      </c>
      <c r="AJ133" s="98">
        <v>0</v>
      </c>
      <c r="AK133" s="98">
        <v>0</v>
      </c>
      <c r="AL133" s="98">
        <v>0</v>
      </c>
      <c r="AM133" s="98">
        <v>4245.8896909440009</v>
      </c>
      <c r="AN133" s="98">
        <v>4245.8896909440009</v>
      </c>
      <c r="AO133" s="98">
        <v>4245.8896909440009</v>
      </c>
      <c r="AP133" s="98">
        <v>4245.8896909440009</v>
      </c>
      <c r="AQ133" s="98">
        <v>4245.8896909440009</v>
      </c>
      <c r="AR133" s="98">
        <v>4245.8896909440009</v>
      </c>
      <c r="AS133" s="98">
        <v>4245.8896909440009</v>
      </c>
      <c r="AT133" s="98">
        <v>4245.8896909440009</v>
      </c>
      <c r="AU133" s="98">
        <v>0</v>
      </c>
      <c r="AV133" s="98">
        <v>0</v>
      </c>
      <c r="AW133" s="98">
        <v>0</v>
      </c>
      <c r="AX133" s="98">
        <v>0</v>
      </c>
    </row>
    <row r="134" spans="1:50">
      <c r="B134" s="103" t="s">
        <v>10</v>
      </c>
      <c r="C134" s="98">
        <v>24212.793854304004</v>
      </c>
      <c r="D134" s="98">
        <v>24212.793854304004</v>
      </c>
      <c r="E134" s="98">
        <v>24212.793854304004</v>
      </c>
      <c r="F134" s="98">
        <v>24212.793854304004</v>
      </c>
      <c r="G134" s="98">
        <v>0</v>
      </c>
      <c r="H134" s="98">
        <v>0</v>
      </c>
      <c r="I134" s="98">
        <v>0</v>
      </c>
      <c r="J134" s="98">
        <v>0</v>
      </c>
      <c r="K134" s="98">
        <v>24212.793854304004</v>
      </c>
      <c r="L134" s="98">
        <v>24212.793854304004</v>
      </c>
      <c r="M134" s="98">
        <v>24212.793854304004</v>
      </c>
      <c r="N134" s="98">
        <v>24212.793854304004</v>
      </c>
      <c r="O134" s="98">
        <v>0</v>
      </c>
      <c r="P134" s="98">
        <v>0</v>
      </c>
      <c r="Q134" s="98">
        <v>0</v>
      </c>
      <c r="R134" s="98">
        <v>0</v>
      </c>
      <c r="S134" s="98">
        <v>0</v>
      </c>
      <c r="T134" s="98">
        <v>0</v>
      </c>
      <c r="U134" s="98">
        <v>0</v>
      </c>
      <c r="V134" s="98">
        <v>0</v>
      </c>
      <c r="W134" s="98">
        <v>24212.793854304004</v>
      </c>
      <c r="X134" s="98">
        <v>24212.793854304004</v>
      </c>
      <c r="Y134" s="98">
        <v>24212.793854304004</v>
      </c>
      <c r="Z134" s="98">
        <v>24212.793854304004</v>
      </c>
      <c r="AA134" s="98">
        <v>30265.992317880005</v>
      </c>
      <c r="AB134" s="98">
        <v>30265.992317880005</v>
      </c>
      <c r="AC134" s="98">
        <v>30265.992317880005</v>
      </c>
      <c r="AD134" s="98">
        <v>30265.992317880005</v>
      </c>
      <c r="AE134" s="98">
        <v>30265.992317880005</v>
      </c>
      <c r="AF134" s="98">
        <v>30265.992317880005</v>
      </c>
      <c r="AG134" s="98">
        <v>30265.992317880005</v>
      </c>
      <c r="AH134" s="98">
        <v>30265.992317880005</v>
      </c>
      <c r="AI134" s="98">
        <v>0</v>
      </c>
      <c r="AJ134" s="98">
        <v>0</v>
      </c>
      <c r="AK134" s="98">
        <v>0</v>
      </c>
      <c r="AL134" s="98">
        <v>0</v>
      </c>
      <c r="AM134" s="98">
        <v>24212.793854304004</v>
      </c>
      <c r="AN134" s="98">
        <v>24212.793854304004</v>
      </c>
      <c r="AO134" s="98">
        <v>24212.793854304004</v>
      </c>
      <c r="AP134" s="98">
        <v>24212.793854304004</v>
      </c>
      <c r="AQ134" s="98">
        <v>24212.793854304004</v>
      </c>
      <c r="AR134" s="98">
        <v>24212.793854304004</v>
      </c>
      <c r="AS134" s="98">
        <v>24212.793854304004</v>
      </c>
      <c r="AT134" s="98">
        <v>24212.793854304004</v>
      </c>
      <c r="AU134" s="98">
        <v>0</v>
      </c>
      <c r="AV134" s="98">
        <v>0</v>
      </c>
      <c r="AW134" s="98">
        <v>0</v>
      </c>
      <c r="AX134" s="98">
        <v>0</v>
      </c>
    </row>
    <row r="135" spans="1:50">
      <c r="B135" s="103" t="s">
        <v>12</v>
      </c>
      <c r="C135" s="98">
        <v>54289.404528480009</v>
      </c>
      <c r="D135" s="98">
        <v>54289.404528480009</v>
      </c>
      <c r="E135" s="98">
        <v>54289.404528480009</v>
      </c>
      <c r="F135" s="98">
        <v>54289.404528480009</v>
      </c>
      <c r="G135" s="98">
        <v>0</v>
      </c>
      <c r="H135" s="98">
        <v>0</v>
      </c>
      <c r="I135" s="98">
        <v>0</v>
      </c>
      <c r="J135" s="98">
        <v>0</v>
      </c>
      <c r="K135" s="98">
        <v>54289.404528480009</v>
      </c>
      <c r="L135" s="98">
        <v>54289.404528480009</v>
      </c>
      <c r="M135" s="98">
        <v>54289.404528480009</v>
      </c>
      <c r="N135" s="98">
        <v>54289.404528480009</v>
      </c>
      <c r="O135" s="98">
        <v>0</v>
      </c>
      <c r="P135" s="98">
        <v>0</v>
      </c>
      <c r="Q135" s="98">
        <v>0</v>
      </c>
      <c r="R135" s="98">
        <v>0</v>
      </c>
      <c r="S135" s="98">
        <v>0</v>
      </c>
      <c r="T135" s="98">
        <v>0</v>
      </c>
      <c r="U135" s="98">
        <v>0</v>
      </c>
      <c r="V135" s="98">
        <v>0</v>
      </c>
      <c r="W135" s="98">
        <v>54289.404528480009</v>
      </c>
      <c r="X135" s="98">
        <v>54289.404528480009</v>
      </c>
      <c r="Y135" s="98">
        <v>54289.404528480009</v>
      </c>
      <c r="Z135" s="98">
        <v>54289.404528480009</v>
      </c>
      <c r="AA135" s="98">
        <v>67861.7556606</v>
      </c>
      <c r="AB135" s="98">
        <v>67861.7556606</v>
      </c>
      <c r="AC135" s="98">
        <v>67861.7556606</v>
      </c>
      <c r="AD135" s="98">
        <v>67861.7556606</v>
      </c>
      <c r="AE135" s="98">
        <v>67861.7556606</v>
      </c>
      <c r="AF135" s="98">
        <v>67861.7556606</v>
      </c>
      <c r="AG135" s="98">
        <v>67861.7556606</v>
      </c>
      <c r="AH135" s="98">
        <v>67861.7556606</v>
      </c>
      <c r="AI135" s="98">
        <v>0</v>
      </c>
      <c r="AJ135" s="98">
        <v>0</v>
      </c>
      <c r="AK135" s="98">
        <v>0</v>
      </c>
      <c r="AL135" s="98">
        <v>0</v>
      </c>
      <c r="AM135" s="98">
        <v>54289.404528480009</v>
      </c>
      <c r="AN135" s="98">
        <v>54289.404528480009</v>
      </c>
      <c r="AO135" s="98">
        <v>54289.404528480009</v>
      </c>
      <c r="AP135" s="98">
        <v>54289.404528480009</v>
      </c>
      <c r="AQ135" s="98">
        <v>54289.404528480009</v>
      </c>
      <c r="AR135" s="98">
        <v>54289.404528480009</v>
      </c>
      <c r="AS135" s="98">
        <v>54289.404528480009</v>
      </c>
      <c r="AT135" s="98">
        <v>54289.404528480009</v>
      </c>
      <c r="AU135" s="98">
        <v>0</v>
      </c>
      <c r="AV135" s="98">
        <v>0</v>
      </c>
      <c r="AW135" s="98">
        <v>0</v>
      </c>
      <c r="AX135" s="98">
        <v>0</v>
      </c>
    </row>
    <row r="136" spans="1:50">
      <c r="B136" s="103" t="s">
        <v>22</v>
      </c>
      <c r="C136" s="98">
        <v>0</v>
      </c>
      <c r="D136" s="98">
        <v>0</v>
      </c>
      <c r="E136" s="98">
        <v>0</v>
      </c>
      <c r="F136" s="98">
        <v>0</v>
      </c>
      <c r="G136" s="98">
        <v>0</v>
      </c>
      <c r="H136" s="98">
        <v>0</v>
      </c>
      <c r="I136" s="98">
        <v>0</v>
      </c>
      <c r="J136" s="98">
        <v>0</v>
      </c>
      <c r="K136" s="98">
        <v>0</v>
      </c>
      <c r="L136" s="98">
        <v>0</v>
      </c>
      <c r="M136" s="98">
        <v>0</v>
      </c>
      <c r="N136" s="98">
        <v>0</v>
      </c>
      <c r="O136" s="98">
        <v>0</v>
      </c>
      <c r="P136" s="98">
        <v>0</v>
      </c>
      <c r="Q136" s="98">
        <v>0</v>
      </c>
      <c r="R136" s="98">
        <v>0</v>
      </c>
      <c r="S136" s="98">
        <v>0</v>
      </c>
      <c r="T136" s="98">
        <v>0</v>
      </c>
      <c r="U136" s="98">
        <v>0</v>
      </c>
      <c r="V136" s="98">
        <v>0</v>
      </c>
      <c r="W136" s="98">
        <v>0</v>
      </c>
      <c r="X136" s="98">
        <v>0</v>
      </c>
      <c r="Y136" s="98">
        <v>0</v>
      </c>
      <c r="Z136" s="98">
        <v>0</v>
      </c>
      <c r="AA136" s="98">
        <v>0</v>
      </c>
      <c r="AB136" s="98">
        <v>0</v>
      </c>
      <c r="AC136" s="98">
        <v>0</v>
      </c>
      <c r="AD136" s="98">
        <v>0</v>
      </c>
      <c r="AE136" s="98">
        <v>0</v>
      </c>
      <c r="AF136" s="98">
        <v>0</v>
      </c>
      <c r="AG136" s="98">
        <v>0</v>
      </c>
      <c r="AH136" s="98">
        <v>0</v>
      </c>
      <c r="AI136" s="98">
        <v>0</v>
      </c>
      <c r="AJ136" s="98">
        <v>0</v>
      </c>
      <c r="AK136" s="98">
        <v>0</v>
      </c>
      <c r="AL136" s="98">
        <v>0</v>
      </c>
      <c r="AM136" s="98">
        <v>0</v>
      </c>
      <c r="AN136" s="98">
        <v>0</v>
      </c>
      <c r="AO136" s="98">
        <v>0</v>
      </c>
      <c r="AP136" s="98">
        <v>0</v>
      </c>
      <c r="AQ136" s="98">
        <v>0</v>
      </c>
      <c r="AR136" s="98">
        <v>0</v>
      </c>
      <c r="AS136" s="98">
        <v>0</v>
      </c>
      <c r="AT136" s="98">
        <v>0</v>
      </c>
      <c r="AU136" s="98">
        <v>0</v>
      </c>
      <c r="AV136" s="98">
        <v>0</v>
      </c>
      <c r="AW136" s="98">
        <v>0</v>
      </c>
      <c r="AX136" s="98">
        <v>0</v>
      </c>
    </row>
    <row r="137" spans="1:50">
      <c r="B137" s="103" t="s">
        <v>46</v>
      </c>
      <c r="C137" s="98">
        <v>0</v>
      </c>
      <c r="D137" s="98">
        <v>0</v>
      </c>
      <c r="E137" s="98">
        <v>0</v>
      </c>
      <c r="F137" s="98">
        <v>0</v>
      </c>
      <c r="G137" s="98">
        <v>0</v>
      </c>
      <c r="H137" s="98">
        <v>0</v>
      </c>
      <c r="I137" s="98">
        <v>0</v>
      </c>
      <c r="J137" s="98">
        <v>0</v>
      </c>
      <c r="K137" s="98">
        <v>0</v>
      </c>
      <c r="L137" s="98">
        <v>0</v>
      </c>
      <c r="M137" s="98">
        <v>0</v>
      </c>
      <c r="N137" s="98">
        <v>0</v>
      </c>
      <c r="O137" s="98">
        <v>0</v>
      </c>
      <c r="P137" s="98">
        <v>0</v>
      </c>
      <c r="Q137" s="98">
        <v>0</v>
      </c>
      <c r="R137" s="98">
        <v>0</v>
      </c>
      <c r="S137" s="98">
        <v>0</v>
      </c>
      <c r="T137" s="98">
        <v>0</v>
      </c>
      <c r="U137" s="98">
        <v>0</v>
      </c>
      <c r="V137" s="98">
        <v>0</v>
      </c>
      <c r="W137" s="98">
        <v>0</v>
      </c>
      <c r="X137" s="98">
        <v>0</v>
      </c>
      <c r="Y137" s="98">
        <v>0</v>
      </c>
      <c r="Z137" s="98">
        <v>0</v>
      </c>
      <c r="AA137" s="98">
        <v>0</v>
      </c>
      <c r="AB137" s="98">
        <v>0</v>
      </c>
      <c r="AC137" s="98">
        <v>0</v>
      </c>
      <c r="AD137" s="98">
        <v>0</v>
      </c>
      <c r="AE137" s="98">
        <v>0</v>
      </c>
      <c r="AF137" s="98">
        <v>0</v>
      </c>
      <c r="AG137" s="98">
        <v>0</v>
      </c>
      <c r="AH137" s="98">
        <v>0</v>
      </c>
      <c r="AI137" s="98">
        <v>0</v>
      </c>
      <c r="AJ137" s="98">
        <v>0</v>
      </c>
      <c r="AK137" s="98">
        <v>0</v>
      </c>
      <c r="AL137" s="98">
        <v>0</v>
      </c>
      <c r="AM137" s="98">
        <v>0</v>
      </c>
      <c r="AN137" s="98">
        <v>0</v>
      </c>
      <c r="AO137" s="98">
        <v>0</v>
      </c>
      <c r="AP137" s="98">
        <v>0</v>
      </c>
      <c r="AQ137" s="98">
        <v>0</v>
      </c>
      <c r="AR137" s="98">
        <v>0</v>
      </c>
      <c r="AS137" s="98">
        <v>0</v>
      </c>
      <c r="AT137" s="98">
        <v>0</v>
      </c>
      <c r="AU137" s="98">
        <v>0</v>
      </c>
      <c r="AV137" s="98">
        <v>0</v>
      </c>
      <c r="AW137" s="98">
        <v>0</v>
      </c>
      <c r="AX137" s="98">
        <v>0</v>
      </c>
    </row>
    <row r="138" spans="1:50">
      <c r="B138" s="103" t="s">
        <v>59</v>
      </c>
      <c r="C138" s="98">
        <v>32068.625000544002</v>
      </c>
      <c r="D138" s="98">
        <v>32068.625000544002</v>
      </c>
      <c r="E138" s="98">
        <v>32068.625000544002</v>
      </c>
      <c r="F138" s="98">
        <v>32068.625000544002</v>
      </c>
      <c r="G138" s="98">
        <v>0</v>
      </c>
      <c r="H138" s="98">
        <v>0</v>
      </c>
      <c r="I138" s="98">
        <v>0</v>
      </c>
      <c r="J138" s="98">
        <v>0</v>
      </c>
      <c r="K138" s="98">
        <v>32068.625000544002</v>
      </c>
      <c r="L138" s="98">
        <v>32068.625000544002</v>
      </c>
      <c r="M138" s="98">
        <v>32068.625000544002</v>
      </c>
      <c r="N138" s="98">
        <v>32068.625000544002</v>
      </c>
      <c r="O138" s="98">
        <v>0</v>
      </c>
      <c r="P138" s="98">
        <v>0</v>
      </c>
      <c r="Q138" s="98">
        <v>0</v>
      </c>
      <c r="R138" s="98">
        <v>0</v>
      </c>
      <c r="S138" s="98">
        <v>0</v>
      </c>
      <c r="T138" s="98">
        <v>0</v>
      </c>
      <c r="U138" s="98">
        <v>0</v>
      </c>
      <c r="V138" s="98">
        <v>0</v>
      </c>
      <c r="W138" s="98">
        <v>32068.625000544002</v>
      </c>
      <c r="X138" s="98">
        <v>32068.625000544002</v>
      </c>
      <c r="Y138" s="98">
        <v>32068.625000544002</v>
      </c>
      <c r="Z138" s="98">
        <v>32068.625000544002</v>
      </c>
      <c r="AA138" s="98">
        <v>40085.781250680004</v>
      </c>
      <c r="AB138" s="98">
        <v>40085.781250680004</v>
      </c>
      <c r="AC138" s="98">
        <v>40085.781250680004</v>
      </c>
      <c r="AD138" s="98">
        <v>40085.781250680004</v>
      </c>
      <c r="AE138" s="98">
        <v>40085.781250680004</v>
      </c>
      <c r="AF138" s="98">
        <v>40085.781250680004</v>
      </c>
      <c r="AG138" s="98">
        <v>40085.781250680004</v>
      </c>
      <c r="AH138" s="98">
        <v>40085.781250680004</v>
      </c>
      <c r="AI138" s="98">
        <v>0</v>
      </c>
      <c r="AJ138" s="98">
        <v>0</v>
      </c>
      <c r="AK138" s="98">
        <v>0</v>
      </c>
      <c r="AL138" s="98">
        <v>0</v>
      </c>
      <c r="AM138" s="98">
        <v>32068.625000544002</v>
      </c>
      <c r="AN138" s="98">
        <v>32068.625000544002</v>
      </c>
      <c r="AO138" s="98">
        <v>32068.625000544002</v>
      </c>
      <c r="AP138" s="98">
        <v>32068.625000544002</v>
      </c>
      <c r="AQ138" s="98">
        <v>32068.625000544002</v>
      </c>
      <c r="AR138" s="98">
        <v>32068.625000544002</v>
      </c>
      <c r="AS138" s="98">
        <v>32068.625000544002</v>
      </c>
      <c r="AT138" s="98">
        <v>32068.625000544002</v>
      </c>
      <c r="AU138" s="98">
        <v>0</v>
      </c>
      <c r="AV138" s="98">
        <v>0</v>
      </c>
      <c r="AW138" s="98">
        <v>0</v>
      </c>
      <c r="AX138" s="98">
        <v>0</v>
      </c>
    </row>
    <row r="139" spans="1:50">
      <c r="B139" s="98" t="s">
        <v>279</v>
      </c>
      <c r="C139" s="103">
        <f>SUM(C$133:C$138)</f>
        <v>114816.713074272</v>
      </c>
      <c r="D139" s="103">
        <f t="shared" ref="D139:AX139" si="10">SUM(D$133:D$138)</f>
        <v>114816.713074272</v>
      </c>
      <c r="E139" s="103">
        <f t="shared" si="10"/>
        <v>114816.713074272</v>
      </c>
      <c r="F139" s="103">
        <f t="shared" si="10"/>
        <v>114816.713074272</v>
      </c>
      <c r="G139" s="103">
        <f t="shared" si="10"/>
        <v>0</v>
      </c>
      <c r="H139" s="103">
        <f t="shared" si="10"/>
        <v>0</v>
      </c>
      <c r="I139" s="103">
        <f t="shared" si="10"/>
        <v>0</v>
      </c>
      <c r="J139" s="103">
        <f t="shared" si="10"/>
        <v>0</v>
      </c>
      <c r="K139" s="103">
        <f t="shared" si="10"/>
        <v>114816.713074272</v>
      </c>
      <c r="L139" s="103">
        <f t="shared" si="10"/>
        <v>114816.713074272</v>
      </c>
      <c r="M139" s="103">
        <f t="shared" si="10"/>
        <v>114816.713074272</v>
      </c>
      <c r="N139" s="103">
        <f t="shared" si="10"/>
        <v>114816.713074272</v>
      </c>
      <c r="O139" s="103">
        <f t="shared" si="10"/>
        <v>0</v>
      </c>
      <c r="P139" s="103">
        <f t="shared" si="10"/>
        <v>0</v>
      </c>
      <c r="Q139" s="103">
        <f t="shared" si="10"/>
        <v>0</v>
      </c>
      <c r="R139" s="103">
        <f t="shared" si="10"/>
        <v>0</v>
      </c>
      <c r="S139" s="103">
        <f t="shared" si="10"/>
        <v>0</v>
      </c>
      <c r="T139" s="103">
        <f t="shared" si="10"/>
        <v>0</v>
      </c>
      <c r="U139" s="103">
        <f t="shared" si="10"/>
        <v>0</v>
      </c>
      <c r="V139" s="103">
        <f t="shared" si="10"/>
        <v>0</v>
      </c>
      <c r="W139" s="103">
        <f t="shared" si="10"/>
        <v>114816.713074272</v>
      </c>
      <c r="X139" s="103">
        <f t="shared" si="10"/>
        <v>114816.713074272</v>
      </c>
      <c r="Y139" s="103">
        <f t="shared" si="10"/>
        <v>114816.713074272</v>
      </c>
      <c r="Z139" s="103">
        <f t="shared" si="10"/>
        <v>114816.713074272</v>
      </c>
      <c r="AA139" s="103">
        <f t="shared" si="10"/>
        <v>143520.89134284001</v>
      </c>
      <c r="AB139" s="103">
        <f t="shared" si="10"/>
        <v>143520.89134284001</v>
      </c>
      <c r="AC139" s="103">
        <f t="shared" si="10"/>
        <v>143520.89134284001</v>
      </c>
      <c r="AD139" s="103">
        <f t="shared" si="10"/>
        <v>143520.89134284001</v>
      </c>
      <c r="AE139" s="103">
        <f t="shared" si="10"/>
        <v>143520.89134284001</v>
      </c>
      <c r="AF139" s="103">
        <f t="shared" si="10"/>
        <v>143520.89134284001</v>
      </c>
      <c r="AG139" s="103">
        <f t="shared" si="10"/>
        <v>143520.89134284001</v>
      </c>
      <c r="AH139" s="103">
        <f t="shared" si="10"/>
        <v>143520.89134284001</v>
      </c>
      <c r="AI139" s="103">
        <f t="shared" si="10"/>
        <v>0</v>
      </c>
      <c r="AJ139" s="103">
        <f t="shared" si="10"/>
        <v>0</v>
      </c>
      <c r="AK139" s="103">
        <f t="shared" si="10"/>
        <v>0</v>
      </c>
      <c r="AL139" s="103">
        <f t="shared" si="10"/>
        <v>0</v>
      </c>
      <c r="AM139" s="103">
        <f t="shared" si="10"/>
        <v>114816.713074272</v>
      </c>
      <c r="AN139" s="103">
        <f t="shared" si="10"/>
        <v>114816.713074272</v>
      </c>
      <c r="AO139" s="103">
        <f t="shared" si="10"/>
        <v>114816.713074272</v>
      </c>
      <c r="AP139" s="103">
        <f t="shared" si="10"/>
        <v>114816.713074272</v>
      </c>
      <c r="AQ139" s="103">
        <f t="shared" si="10"/>
        <v>114816.713074272</v>
      </c>
      <c r="AR139" s="103">
        <f t="shared" si="10"/>
        <v>114816.713074272</v>
      </c>
      <c r="AS139" s="103">
        <f t="shared" si="10"/>
        <v>114816.713074272</v>
      </c>
      <c r="AT139" s="103">
        <f t="shared" si="10"/>
        <v>114816.713074272</v>
      </c>
      <c r="AU139" s="103">
        <f t="shared" si="10"/>
        <v>0</v>
      </c>
      <c r="AV139" s="103">
        <f t="shared" si="10"/>
        <v>0</v>
      </c>
      <c r="AW139" s="103">
        <f t="shared" si="10"/>
        <v>0</v>
      </c>
      <c r="AX139" s="103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5</v>
      </c>
      <c r="E2" s="108"/>
    </row>
    <row r="3" spans="1:52">
      <c r="A3" s="98" t="s">
        <v>287</v>
      </c>
      <c r="B3" s="105">
        <v>1000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106.27477200000001</v>
      </c>
      <c r="E7" s="142">
        <v>106.27477200000001</v>
      </c>
      <c r="F7" s="142">
        <v>106.27477200000001</v>
      </c>
      <c r="G7" s="142">
        <v>106.27477200000001</v>
      </c>
      <c r="H7" s="142">
        <v>63.764863200000008</v>
      </c>
      <c r="I7" s="142">
        <v>63.764863200000008</v>
      </c>
      <c r="J7" s="142">
        <v>63.764863200000008</v>
      </c>
      <c r="K7" s="142">
        <v>63.764863200000008</v>
      </c>
      <c r="L7" s="142">
        <v>106.27477200000001</v>
      </c>
      <c r="M7" s="142">
        <v>106.27477200000001</v>
      </c>
      <c r="N7" s="142">
        <v>106.27477200000001</v>
      </c>
      <c r="O7" s="142">
        <v>106.27477200000001</v>
      </c>
      <c r="P7" s="142">
        <v>63.764863200000008</v>
      </c>
      <c r="Q7" s="142">
        <v>63.764863200000008</v>
      </c>
      <c r="R7" s="142">
        <v>63.764863200000008</v>
      </c>
      <c r="S7" s="142">
        <v>63.764863200000008</v>
      </c>
      <c r="T7" s="142">
        <v>63.764863200000008</v>
      </c>
      <c r="U7" s="142">
        <v>63.764863200000008</v>
      </c>
      <c r="V7" s="142">
        <v>63.764863200000008</v>
      </c>
      <c r="W7" s="142">
        <v>63.764863200000008</v>
      </c>
      <c r="X7" s="142">
        <v>106.27477200000001</v>
      </c>
      <c r="Y7" s="142">
        <v>106.27477200000001</v>
      </c>
      <c r="Z7" s="142">
        <v>106.27477200000001</v>
      </c>
      <c r="AA7" s="142">
        <v>106.27477200000001</v>
      </c>
      <c r="AB7" s="142">
        <v>106.27477200000001</v>
      </c>
      <c r="AC7" s="142">
        <v>106.27477200000001</v>
      </c>
      <c r="AD7" s="142">
        <v>106.27477200000001</v>
      </c>
      <c r="AE7" s="142">
        <v>106.27477200000001</v>
      </c>
      <c r="AF7" s="142">
        <v>106.27477200000001</v>
      </c>
      <c r="AG7" s="142">
        <v>106.27477200000001</v>
      </c>
      <c r="AH7" s="142">
        <v>106.27477200000001</v>
      </c>
      <c r="AI7" s="142">
        <v>106.27477200000001</v>
      </c>
      <c r="AJ7" s="142">
        <v>53.137386000000006</v>
      </c>
      <c r="AK7" s="142">
        <v>53.137386000000006</v>
      </c>
      <c r="AL7" s="142">
        <v>53.137386000000006</v>
      </c>
      <c r="AM7" s="142">
        <v>53.137386000000006</v>
      </c>
      <c r="AN7" s="142">
        <v>95.647294800000012</v>
      </c>
      <c r="AO7" s="142">
        <v>95.647294800000012</v>
      </c>
      <c r="AP7" s="142">
        <v>95.647294800000012</v>
      </c>
      <c r="AQ7" s="142">
        <v>95.647294800000012</v>
      </c>
      <c r="AR7" s="142">
        <v>85.01981760000001</v>
      </c>
      <c r="AS7" s="142">
        <v>85.01981760000001</v>
      </c>
      <c r="AT7" s="142">
        <v>85.01981760000001</v>
      </c>
      <c r="AU7" s="142">
        <v>85.01981760000001</v>
      </c>
      <c r="AV7" s="142">
        <v>53.137386000000006</v>
      </c>
      <c r="AW7" s="142">
        <v>53.137386000000006</v>
      </c>
      <c r="AX7" s="142">
        <v>53.137386000000006</v>
      </c>
      <c r="AY7" s="142">
        <v>53.137386000000006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0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345</v>
      </c>
      <c r="D13" s="136">
        <f t="shared" ref="D13:AY13" si="1">D$7-D$10</f>
        <v>106.27477200000001</v>
      </c>
      <c r="E13" s="136">
        <f t="shared" si="1"/>
        <v>106.27477200000001</v>
      </c>
      <c r="F13" s="136">
        <f t="shared" si="1"/>
        <v>106.27477200000001</v>
      </c>
      <c r="G13" s="136">
        <f t="shared" si="1"/>
        <v>106.27477200000001</v>
      </c>
      <c r="H13" s="136">
        <f t="shared" si="1"/>
        <v>63.764863200000008</v>
      </c>
      <c r="I13" s="136">
        <f t="shared" si="1"/>
        <v>63.764863200000008</v>
      </c>
      <c r="J13" s="136">
        <f t="shared" si="1"/>
        <v>63.764863200000008</v>
      </c>
      <c r="K13" s="136">
        <f t="shared" si="1"/>
        <v>63.764863200000008</v>
      </c>
      <c r="L13" s="136">
        <f t="shared" si="1"/>
        <v>106.27477200000001</v>
      </c>
      <c r="M13" s="136">
        <f t="shared" si="1"/>
        <v>106.27477200000001</v>
      </c>
      <c r="N13" s="136">
        <f t="shared" si="1"/>
        <v>106.27477200000001</v>
      </c>
      <c r="O13" s="136">
        <f t="shared" si="1"/>
        <v>106.27477200000001</v>
      </c>
      <c r="P13" s="136">
        <f t="shared" si="1"/>
        <v>63.764863200000008</v>
      </c>
      <c r="Q13" s="136">
        <f t="shared" si="1"/>
        <v>63.764863200000008</v>
      </c>
      <c r="R13" s="136">
        <f t="shared" si="1"/>
        <v>63.764863200000008</v>
      </c>
      <c r="S13" s="136">
        <f t="shared" si="1"/>
        <v>63.764863200000008</v>
      </c>
      <c r="T13" s="136">
        <f t="shared" si="1"/>
        <v>63.764863200000008</v>
      </c>
      <c r="U13" s="136">
        <f t="shared" si="1"/>
        <v>63.764863200000008</v>
      </c>
      <c r="V13" s="136">
        <f t="shared" si="1"/>
        <v>63.764863200000008</v>
      </c>
      <c r="W13" s="136">
        <f t="shared" si="1"/>
        <v>63.764863200000008</v>
      </c>
      <c r="X13" s="136">
        <f t="shared" si="1"/>
        <v>106.27477200000001</v>
      </c>
      <c r="Y13" s="136">
        <f t="shared" si="1"/>
        <v>106.27477200000001</v>
      </c>
      <c r="Z13" s="136">
        <f t="shared" si="1"/>
        <v>106.27477200000001</v>
      </c>
      <c r="AA13" s="136">
        <f t="shared" si="1"/>
        <v>106.27477200000001</v>
      </c>
      <c r="AB13" s="136">
        <f t="shared" si="1"/>
        <v>106.27477200000001</v>
      </c>
      <c r="AC13" s="136">
        <f t="shared" si="1"/>
        <v>106.27477200000001</v>
      </c>
      <c r="AD13" s="136">
        <f t="shared" si="1"/>
        <v>106.27477200000001</v>
      </c>
      <c r="AE13" s="136">
        <f t="shared" si="1"/>
        <v>106.27477200000001</v>
      </c>
      <c r="AF13" s="136">
        <f t="shared" si="1"/>
        <v>106.27477200000001</v>
      </c>
      <c r="AG13" s="136">
        <f t="shared" si="1"/>
        <v>106.27477200000001</v>
      </c>
      <c r="AH13" s="136">
        <f t="shared" si="1"/>
        <v>106.27477200000001</v>
      </c>
      <c r="AI13" s="136">
        <f t="shared" si="1"/>
        <v>106.27477200000001</v>
      </c>
      <c r="AJ13" s="136">
        <f t="shared" si="1"/>
        <v>53.137386000000006</v>
      </c>
      <c r="AK13" s="136">
        <f t="shared" si="1"/>
        <v>53.137386000000006</v>
      </c>
      <c r="AL13" s="136">
        <f t="shared" si="1"/>
        <v>53.137386000000006</v>
      </c>
      <c r="AM13" s="136">
        <f t="shared" si="1"/>
        <v>53.137386000000006</v>
      </c>
      <c r="AN13" s="136">
        <f t="shared" si="1"/>
        <v>95.647294800000012</v>
      </c>
      <c r="AO13" s="136">
        <f t="shared" si="1"/>
        <v>95.647294800000012</v>
      </c>
      <c r="AP13" s="136">
        <f t="shared" si="1"/>
        <v>95.647294800000012</v>
      </c>
      <c r="AQ13" s="136">
        <f t="shared" si="1"/>
        <v>95.647294800000012</v>
      </c>
      <c r="AR13" s="136">
        <f t="shared" si="1"/>
        <v>85.01981760000001</v>
      </c>
      <c r="AS13" s="136">
        <f t="shared" si="1"/>
        <v>85.01981760000001</v>
      </c>
      <c r="AT13" s="136">
        <f t="shared" si="1"/>
        <v>85.01981760000001</v>
      </c>
      <c r="AU13" s="136">
        <f t="shared" si="1"/>
        <v>85.01981760000001</v>
      </c>
      <c r="AV13" s="136">
        <f t="shared" si="1"/>
        <v>53.137386000000006</v>
      </c>
      <c r="AW13" s="136">
        <f t="shared" si="1"/>
        <v>53.137386000000006</v>
      </c>
      <c r="AX13" s="136">
        <f t="shared" si="1"/>
        <v>53.137386000000006</v>
      </c>
      <c r="AY13" s="136">
        <f t="shared" si="1"/>
        <v>53.137386000000006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53.137386000000006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 t="s">
        <v>340</v>
      </c>
      <c r="AX20" s="115"/>
      <c r="AY20" s="115"/>
      <c r="AZ20" s="105"/>
    </row>
    <row r="21" spans="1:52" s="108" customFormat="1">
      <c r="A21" s="153" t="s">
        <v>133</v>
      </c>
      <c r="B21" s="154">
        <f>shipping_manufacturing!$C$19/100</f>
        <v>1</v>
      </c>
      <c r="C21" s="154" t="s">
        <v>294</v>
      </c>
      <c r="D21" s="104">
        <f>IF(C$20="Yes",0,SUM(C$13:C$16)*$B$21)</f>
        <v>345</v>
      </c>
      <c r="E21" s="104">
        <f t="shared" ref="E21:AY21" si="3">IF(D$20="Yes",0,SUM(D$13:D$16)*$B$21)</f>
        <v>106.27477200000001</v>
      </c>
      <c r="F21" s="104">
        <f t="shared" si="3"/>
        <v>106.27477200000001</v>
      </c>
      <c r="G21" s="104">
        <f t="shared" si="3"/>
        <v>106.27477200000001</v>
      </c>
      <c r="H21" s="104">
        <f t="shared" si="3"/>
        <v>106.27477200000001</v>
      </c>
      <c r="I21" s="104">
        <f t="shared" si="3"/>
        <v>63.764863200000008</v>
      </c>
      <c r="J21" s="104">
        <f t="shared" si="3"/>
        <v>63.764863200000008</v>
      </c>
      <c r="K21" s="104">
        <f t="shared" si="3"/>
        <v>63.764863200000008</v>
      </c>
      <c r="L21" s="104">
        <f t="shared" si="3"/>
        <v>63.764863200000008</v>
      </c>
      <c r="M21" s="104">
        <f t="shared" si="3"/>
        <v>106.27477200000001</v>
      </c>
      <c r="N21" s="104">
        <f t="shared" si="3"/>
        <v>106.27477200000001</v>
      </c>
      <c r="O21" s="104">
        <f t="shared" si="3"/>
        <v>106.27477200000001</v>
      </c>
      <c r="P21" s="104">
        <f t="shared" si="3"/>
        <v>106.27477200000001</v>
      </c>
      <c r="Q21" s="104">
        <f t="shared" si="3"/>
        <v>63.764863200000008</v>
      </c>
      <c r="R21" s="104">
        <f t="shared" si="3"/>
        <v>63.764863200000008</v>
      </c>
      <c r="S21" s="104">
        <f t="shared" si="3"/>
        <v>63.764863200000008</v>
      </c>
      <c r="T21" s="104">
        <f t="shared" si="3"/>
        <v>63.764863200000008</v>
      </c>
      <c r="U21" s="104">
        <f t="shared" si="3"/>
        <v>63.764863200000008</v>
      </c>
      <c r="V21" s="104">
        <f t="shared" si="3"/>
        <v>63.764863200000008</v>
      </c>
      <c r="W21" s="104">
        <f t="shared" si="3"/>
        <v>63.764863200000008</v>
      </c>
      <c r="X21" s="104">
        <f t="shared" si="3"/>
        <v>63.764863200000008</v>
      </c>
      <c r="Y21" s="104">
        <f t="shared" si="3"/>
        <v>106.27477200000001</v>
      </c>
      <c r="Z21" s="104">
        <f t="shared" si="3"/>
        <v>106.27477200000001</v>
      </c>
      <c r="AA21" s="104">
        <f t="shared" si="3"/>
        <v>106.27477200000001</v>
      </c>
      <c r="AB21" s="104">
        <f t="shared" si="3"/>
        <v>106.27477200000001</v>
      </c>
      <c r="AC21" s="104">
        <f t="shared" si="3"/>
        <v>106.27477200000001</v>
      </c>
      <c r="AD21" s="104">
        <f t="shared" si="3"/>
        <v>106.27477200000001</v>
      </c>
      <c r="AE21" s="104">
        <f t="shared" si="3"/>
        <v>106.27477200000001</v>
      </c>
      <c r="AF21" s="104">
        <f t="shared" si="3"/>
        <v>106.27477200000001</v>
      </c>
      <c r="AG21" s="104">
        <f t="shared" si="3"/>
        <v>106.27477200000001</v>
      </c>
      <c r="AH21" s="104">
        <f t="shared" si="3"/>
        <v>106.27477200000001</v>
      </c>
      <c r="AI21" s="104">
        <f t="shared" si="3"/>
        <v>106.27477200000001</v>
      </c>
      <c r="AJ21" s="104">
        <f t="shared" si="3"/>
        <v>106.27477200000001</v>
      </c>
      <c r="AK21" s="104">
        <f t="shared" si="3"/>
        <v>53.137386000000006</v>
      </c>
      <c r="AL21" s="104">
        <f t="shared" si="3"/>
        <v>53.137386000000006</v>
      </c>
      <c r="AM21" s="104">
        <f t="shared" si="3"/>
        <v>53.137386000000006</v>
      </c>
      <c r="AN21" s="104">
        <f t="shared" si="3"/>
        <v>53.137386000000006</v>
      </c>
      <c r="AO21" s="104">
        <f t="shared" si="3"/>
        <v>95.647294800000012</v>
      </c>
      <c r="AP21" s="104">
        <f t="shared" si="3"/>
        <v>95.647294800000012</v>
      </c>
      <c r="AQ21" s="104">
        <f t="shared" si="3"/>
        <v>95.647294800000012</v>
      </c>
      <c r="AR21" s="104">
        <f t="shared" si="3"/>
        <v>95.647294800000012</v>
      </c>
      <c r="AS21" s="104">
        <f t="shared" si="3"/>
        <v>85.01981760000001</v>
      </c>
      <c r="AT21" s="104">
        <f t="shared" si="3"/>
        <v>85.01981760000001</v>
      </c>
      <c r="AU21" s="104">
        <f t="shared" si="3"/>
        <v>85.01981760000001</v>
      </c>
      <c r="AV21" s="104">
        <f t="shared" si="3"/>
        <v>85.01981760000001</v>
      </c>
      <c r="AW21" s="104">
        <f t="shared" si="3"/>
        <v>53.137386000000006</v>
      </c>
      <c r="AX21" s="104">
        <f t="shared" si="3"/>
        <v>0</v>
      </c>
      <c r="AY21" s="104">
        <f t="shared" si="3"/>
        <v>106.27477200000001</v>
      </c>
      <c r="AZ21" s="155">
        <f>SUM($D21:$AY21)</f>
        <v>4330.3039500000023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690000</v>
      </c>
      <c r="E23" s="98">
        <f t="shared" ref="E23:AY23" si="6">E$21*$B$23</f>
        <v>212549.54400000002</v>
      </c>
      <c r="F23" s="98">
        <f t="shared" si="6"/>
        <v>212549.54400000002</v>
      </c>
      <c r="G23" s="98">
        <f t="shared" si="6"/>
        <v>212549.54400000002</v>
      </c>
      <c r="H23" s="98">
        <f t="shared" si="6"/>
        <v>212549.54400000002</v>
      </c>
      <c r="I23" s="98">
        <f t="shared" si="6"/>
        <v>127529.72640000001</v>
      </c>
      <c r="J23" s="98">
        <f t="shared" si="6"/>
        <v>127529.72640000001</v>
      </c>
      <c r="K23" s="98">
        <f t="shared" si="6"/>
        <v>127529.72640000001</v>
      </c>
      <c r="L23" s="98">
        <f t="shared" si="6"/>
        <v>127529.72640000001</v>
      </c>
      <c r="M23" s="98">
        <f t="shared" si="6"/>
        <v>212549.54400000002</v>
      </c>
      <c r="N23" s="98">
        <f t="shared" si="6"/>
        <v>212549.54400000002</v>
      </c>
      <c r="O23" s="98">
        <f t="shared" si="6"/>
        <v>212549.54400000002</v>
      </c>
      <c r="P23" s="98">
        <f t="shared" si="6"/>
        <v>212549.54400000002</v>
      </c>
      <c r="Q23" s="98">
        <f t="shared" si="6"/>
        <v>127529.72640000001</v>
      </c>
      <c r="R23" s="98">
        <f t="shared" si="6"/>
        <v>127529.72640000001</v>
      </c>
      <c r="S23" s="98">
        <f t="shared" si="6"/>
        <v>127529.72640000001</v>
      </c>
      <c r="T23" s="98">
        <f t="shared" si="6"/>
        <v>127529.72640000001</v>
      </c>
      <c r="U23" s="98">
        <f t="shared" si="6"/>
        <v>127529.72640000001</v>
      </c>
      <c r="V23" s="98">
        <f t="shared" si="6"/>
        <v>127529.72640000001</v>
      </c>
      <c r="W23" s="98">
        <f t="shared" si="6"/>
        <v>127529.72640000001</v>
      </c>
      <c r="X23" s="98">
        <f t="shared" si="6"/>
        <v>127529.72640000001</v>
      </c>
      <c r="Y23" s="98">
        <f t="shared" si="6"/>
        <v>212549.54400000002</v>
      </c>
      <c r="Z23" s="98">
        <f t="shared" si="6"/>
        <v>212549.54400000002</v>
      </c>
      <c r="AA23" s="98">
        <f t="shared" si="6"/>
        <v>212549.54400000002</v>
      </c>
      <c r="AB23" s="98">
        <f t="shared" si="6"/>
        <v>212549.54400000002</v>
      </c>
      <c r="AC23" s="98">
        <f t="shared" si="6"/>
        <v>212549.54400000002</v>
      </c>
      <c r="AD23" s="98">
        <f t="shared" si="6"/>
        <v>212549.54400000002</v>
      </c>
      <c r="AE23" s="98">
        <f t="shared" si="6"/>
        <v>212549.54400000002</v>
      </c>
      <c r="AF23" s="98">
        <f t="shared" si="6"/>
        <v>212549.54400000002</v>
      </c>
      <c r="AG23" s="98">
        <f t="shared" si="6"/>
        <v>212549.54400000002</v>
      </c>
      <c r="AH23" s="98">
        <f t="shared" si="6"/>
        <v>212549.54400000002</v>
      </c>
      <c r="AI23" s="98">
        <f t="shared" si="6"/>
        <v>212549.54400000002</v>
      </c>
      <c r="AJ23" s="98">
        <f t="shared" si="6"/>
        <v>212549.54400000002</v>
      </c>
      <c r="AK23" s="98">
        <f t="shared" si="6"/>
        <v>106274.77200000001</v>
      </c>
      <c r="AL23" s="98">
        <f t="shared" si="6"/>
        <v>106274.77200000001</v>
      </c>
      <c r="AM23" s="98">
        <f t="shared" si="6"/>
        <v>106274.77200000001</v>
      </c>
      <c r="AN23" s="98">
        <f t="shared" si="6"/>
        <v>106274.77200000001</v>
      </c>
      <c r="AO23" s="98">
        <f t="shared" si="6"/>
        <v>191294.58960000004</v>
      </c>
      <c r="AP23" s="98">
        <f t="shared" si="6"/>
        <v>191294.58960000004</v>
      </c>
      <c r="AQ23" s="98">
        <f t="shared" si="6"/>
        <v>191294.58960000004</v>
      </c>
      <c r="AR23" s="98">
        <f t="shared" si="6"/>
        <v>191294.58960000004</v>
      </c>
      <c r="AS23" s="98">
        <f t="shared" si="6"/>
        <v>170039.63520000002</v>
      </c>
      <c r="AT23" s="98">
        <f t="shared" si="6"/>
        <v>170039.63520000002</v>
      </c>
      <c r="AU23" s="98">
        <f t="shared" si="6"/>
        <v>170039.63520000002</v>
      </c>
      <c r="AV23" s="98">
        <f t="shared" si="6"/>
        <v>170039.63520000002</v>
      </c>
      <c r="AW23" s="98">
        <f t="shared" si="6"/>
        <v>106274.77200000001</v>
      </c>
      <c r="AX23" s="98">
        <f t="shared" si="6"/>
        <v>0</v>
      </c>
      <c r="AY23" s="98">
        <f t="shared" si="6"/>
        <v>212549.54400000002</v>
      </c>
      <c r="AZ23" s="137">
        <f t="shared" si="5"/>
        <v>8660607.8999999985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19</v>
      </c>
      <c r="D27" s="122">
        <f>C$27-C$28+C$29</f>
        <v>30</v>
      </c>
      <c r="E27" s="122">
        <f t="shared" ref="E27:AY27" si="8">D27-D28+D29</f>
        <v>17</v>
      </c>
      <c r="F27" s="122">
        <f t="shared" si="8"/>
        <v>25</v>
      </c>
      <c r="G27" s="122">
        <f t="shared" si="8"/>
        <v>25</v>
      </c>
      <c r="H27" s="122">
        <f t="shared" si="8"/>
        <v>25</v>
      </c>
      <c r="I27" s="122">
        <f t="shared" si="8"/>
        <v>25</v>
      </c>
      <c r="J27" s="122">
        <f t="shared" si="8"/>
        <v>26</v>
      </c>
      <c r="K27" s="122">
        <f t="shared" si="8"/>
        <v>26</v>
      </c>
      <c r="L27" s="122">
        <f t="shared" si="8"/>
        <v>26</v>
      </c>
      <c r="M27" s="122">
        <f t="shared" si="8"/>
        <v>26</v>
      </c>
      <c r="N27" s="122">
        <f t="shared" si="8"/>
        <v>25</v>
      </c>
      <c r="O27" s="122">
        <f t="shared" si="8"/>
        <v>25</v>
      </c>
      <c r="P27" s="122">
        <f t="shared" si="8"/>
        <v>25</v>
      </c>
      <c r="Q27" s="122">
        <f t="shared" si="8"/>
        <v>25</v>
      </c>
      <c r="R27" s="122">
        <f t="shared" si="8"/>
        <v>26</v>
      </c>
      <c r="S27" s="122">
        <f t="shared" si="8"/>
        <v>26</v>
      </c>
      <c r="T27" s="122">
        <f t="shared" si="8"/>
        <v>26</v>
      </c>
      <c r="U27" s="122">
        <f t="shared" si="8"/>
        <v>26</v>
      </c>
      <c r="V27" s="122">
        <f t="shared" si="8"/>
        <v>26</v>
      </c>
      <c r="W27" s="122">
        <f t="shared" si="8"/>
        <v>26</v>
      </c>
      <c r="X27" s="122">
        <f t="shared" si="8"/>
        <v>26</v>
      </c>
      <c r="Y27" s="122">
        <f t="shared" si="8"/>
        <v>26</v>
      </c>
      <c r="Z27" s="122">
        <f t="shared" si="8"/>
        <v>25</v>
      </c>
      <c r="AA27" s="122">
        <f t="shared" si="8"/>
        <v>25</v>
      </c>
      <c r="AB27" s="122">
        <f t="shared" si="8"/>
        <v>25</v>
      </c>
      <c r="AC27" s="122">
        <f t="shared" si="8"/>
        <v>25</v>
      </c>
      <c r="AD27" s="122">
        <f t="shared" si="8"/>
        <v>25</v>
      </c>
      <c r="AE27" s="122">
        <f t="shared" si="8"/>
        <v>25</v>
      </c>
      <c r="AF27" s="122">
        <f t="shared" si="8"/>
        <v>25</v>
      </c>
      <c r="AG27" s="122">
        <f t="shared" si="8"/>
        <v>25</v>
      </c>
      <c r="AH27" s="122">
        <f t="shared" si="8"/>
        <v>25</v>
      </c>
      <c r="AI27" s="122">
        <f t="shared" si="8"/>
        <v>25</v>
      </c>
      <c r="AJ27" s="122">
        <f t="shared" si="8"/>
        <v>25</v>
      </c>
      <c r="AK27" s="122">
        <f t="shared" si="8"/>
        <v>25</v>
      </c>
      <c r="AL27" s="122">
        <f t="shared" si="8"/>
        <v>26</v>
      </c>
      <c r="AM27" s="122">
        <f t="shared" si="8"/>
        <v>26</v>
      </c>
      <c r="AN27" s="122">
        <f t="shared" si="8"/>
        <v>26</v>
      </c>
      <c r="AO27" s="122">
        <f t="shared" si="8"/>
        <v>26</v>
      </c>
      <c r="AP27" s="122">
        <f t="shared" si="8"/>
        <v>25</v>
      </c>
      <c r="AQ27" s="122">
        <f t="shared" si="8"/>
        <v>25</v>
      </c>
      <c r="AR27" s="122">
        <f t="shared" si="8"/>
        <v>25</v>
      </c>
      <c r="AS27" s="122">
        <f t="shared" si="8"/>
        <v>25</v>
      </c>
      <c r="AT27" s="122">
        <f t="shared" si="8"/>
        <v>26</v>
      </c>
      <c r="AU27" s="122">
        <f t="shared" si="8"/>
        <v>26</v>
      </c>
      <c r="AV27" s="122">
        <f t="shared" si="8"/>
        <v>26</v>
      </c>
      <c r="AW27" s="122">
        <f t="shared" si="8"/>
        <v>26</v>
      </c>
      <c r="AX27" s="122">
        <f t="shared" si="8"/>
        <v>26</v>
      </c>
      <c r="AY27" s="162">
        <f t="shared" si="8"/>
        <v>30</v>
      </c>
      <c r="AZ27" s="104"/>
    </row>
    <row r="28" spans="1:52">
      <c r="B28" s="163" t="s">
        <v>311</v>
      </c>
      <c r="C28" s="108">
        <v>0</v>
      </c>
      <c r="D28" s="108">
        <v>13</v>
      </c>
      <c r="E28" s="108">
        <v>5</v>
      </c>
      <c r="F28" s="108">
        <v>5</v>
      </c>
      <c r="G28" s="108">
        <v>5</v>
      </c>
      <c r="H28" s="108">
        <v>5</v>
      </c>
      <c r="I28" s="108">
        <v>4</v>
      </c>
      <c r="J28" s="108">
        <v>4</v>
      </c>
      <c r="K28" s="108">
        <v>4</v>
      </c>
      <c r="L28" s="108">
        <v>4</v>
      </c>
      <c r="M28" s="108">
        <v>5</v>
      </c>
      <c r="N28" s="108">
        <v>5</v>
      </c>
      <c r="O28" s="108">
        <v>5</v>
      </c>
      <c r="P28" s="108">
        <v>5</v>
      </c>
      <c r="Q28" s="108">
        <v>4</v>
      </c>
      <c r="R28" s="108">
        <v>4</v>
      </c>
      <c r="S28" s="108">
        <v>4</v>
      </c>
      <c r="T28" s="108">
        <v>4</v>
      </c>
      <c r="U28" s="108">
        <v>4</v>
      </c>
      <c r="V28" s="108">
        <v>4</v>
      </c>
      <c r="W28" s="108">
        <v>4</v>
      </c>
      <c r="X28" s="108">
        <v>4</v>
      </c>
      <c r="Y28" s="108">
        <v>5</v>
      </c>
      <c r="Z28" s="108">
        <v>5</v>
      </c>
      <c r="AA28" s="108">
        <v>5</v>
      </c>
      <c r="AB28" s="108">
        <v>5</v>
      </c>
      <c r="AC28" s="108">
        <v>5</v>
      </c>
      <c r="AD28" s="108">
        <v>5</v>
      </c>
      <c r="AE28" s="108">
        <v>5</v>
      </c>
      <c r="AF28" s="108">
        <v>5</v>
      </c>
      <c r="AG28" s="108">
        <v>5</v>
      </c>
      <c r="AH28" s="108">
        <v>5</v>
      </c>
      <c r="AI28" s="108">
        <v>5</v>
      </c>
      <c r="AJ28" s="108">
        <v>5</v>
      </c>
      <c r="AK28" s="108">
        <v>4</v>
      </c>
      <c r="AL28" s="108">
        <v>4</v>
      </c>
      <c r="AM28" s="108">
        <v>4</v>
      </c>
      <c r="AN28" s="108">
        <v>4</v>
      </c>
      <c r="AO28" s="108">
        <v>5</v>
      </c>
      <c r="AP28" s="108">
        <v>5</v>
      </c>
      <c r="AQ28" s="108">
        <v>5</v>
      </c>
      <c r="AR28" s="108">
        <v>5</v>
      </c>
      <c r="AS28" s="108">
        <v>4</v>
      </c>
      <c r="AT28" s="108">
        <v>4</v>
      </c>
      <c r="AU28" s="108">
        <v>4</v>
      </c>
      <c r="AV28" s="108">
        <v>4</v>
      </c>
      <c r="AW28" s="108">
        <v>4</v>
      </c>
      <c r="AX28" s="108">
        <v>0</v>
      </c>
      <c r="AY28" s="164">
        <v>5</v>
      </c>
      <c r="AZ28" s="104"/>
    </row>
    <row r="29" spans="1:52">
      <c r="B29" s="134" t="s">
        <v>312</v>
      </c>
      <c r="C29" s="123">
        <v>11</v>
      </c>
      <c r="D29" s="123">
        <f>C$28</f>
        <v>0</v>
      </c>
      <c r="E29" s="123">
        <f t="shared" ref="E29:AY29" si="9">D$28</f>
        <v>13</v>
      </c>
      <c r="F29" s="123">
        <f t="shared" si="9"/>
        <v>5</v>
      </c>
      <c r="G29" s="123">
        <f t="shared" si="9"/>
        <v>5</v>
      </c>
      <c r="H29" s="123">
        <f t="shared" si="9"/>
        <v>5</v>
      </c>
      <c r="I29" s="123">
        <f t="shared" si="9"/>
        <v>5</v>
      </c>
      <c r="J29" s="123">
        <f t="shared" si="9"/>
        <v>4</v>
      </c>
      <c r="K29" s="123">
        <f t="shared" si="9"/>
        <v>4</v>
      </c>
      <c r="L29" s="123">
        <f t="shared" si="9"/>
        <v>4</v>
      </c>
      <c r="M29" s="123">
        <f t="shared" si="9"/>
        <v>4</v>
      </c>
      <c r="N29" s="123">
        <f t="shared" si="9"/>
        <v>5</v>
      </c>
      <c r="O29" s="123">
        <f t="shared" si="9"/>
        <v>5</v>
      </c>
      <c r="P29" s="123">
        <f t="shared" si="9"/>
        <v>5</v>
      </c>
      <c r="Q29" s="123">
        <f t="shared" si="9"/>
        <v>5</v>
      </c>
      <c r="R29" s="123">
        <f t="shared" si="9"/>
        <v>4</v>
      </c>
      <c r="S29" s="123">
        <f t="shared" si="9"/>
        <v>4</v>
      </c>
      <c r="T29" s="123">
        <f t="shared" si="9"/>
        <v>4</v>
      </c>
      <c r="U29" s="123">
        <f t="shared" si="9"/>
        <v>4</v>
      </c>
      <c r="V29" s="123">
        <f t="shared" si="9"/>
        <v>4</v>
      </c>
      <c r="W29" s="123">
        <f t="shared" si="9"/>
        <v>4</v>
      </c>
      <c r="X29" s="123">
        <f t="shared" si="9"/>
        <v>4</v>
      </c>
      <c r="Y29" s="123">
        <f t="shared" si="9"/>
        <v>4</v>
      </c>
      <c r="Z29" s="123">
        <f t="shared" si="9"/>
        <v>5</v>
      </c>
      <c r="AA29" s="123">
        <f t="shared" si="9"/>
        <v>5</v>
      </c>
      <c r="AB29" s="123">
        <f t="shared" si="9"/>
        <v>5</v>
      </c>
      <c r="AC29" s="123">
        <f t="shared" si="9"/>
        <v>5</v>
      </c>
      <c r="AD29" s="123">
        <f t="shared" si="9"/>
        <v>5</v>
      </c>
      <c r="AE29" s="123">
        <f t="shared" si="9"/>
        <v>5</v>
      </c>
      <c r="AF29" s="123">
        <f t="shared" si="9"/>
        <v>5</v>
      </c>
      <c r="AG29" s="123">
        <f t="shared" si="9"/>
        <v>5</v>
      </c>
      <c r="AH29" s="123">
        <f t="shared" si="9"/>
        <v>5</v>
      </c>
      <c r="AI29" s="123">
        <f t="shared" si="9"/>
        <v>5</v>
      </c>
      <c r="AJ29" s="123">
        <f t="shared" si="9"/>
        <v>5</v>
      </c>
      <c r="AK29" s="123">
        <f t="shared" si="9"/>
        <v>5</v>
      </c>
      <c r="AL29" s="123">
        <f t="shared" si="9"/>
        <v>4</v>
      </c>
      <c r="AM29" s="123">
        <f t="shared" si="9"/>
        <v>4</v>
      </c>
      <c r="AN29" s="123">
        <f t="shared" si="9"/>
        <v>4</v>
      </c>
      <c r="AO29" s="123">
        <f t="shared" si="9"/>
        <v>4</v>
      </c>
      <c r="AP29" s="123">
        <f t="shared" si="9"/>
        <v>5</v>
      </c>
      <c r="AQ29" s="123">
        <f t="shared" si="9"/>
        <v>5</v>
      </c>
      <c r="AR29" s="123">
        <f t="shared" si="9"/>
        <v>5</v>
      </c>
      <c r="AS29" s="123">
        <f t="shared" si="9"/>
        <v>5</v>
      </c>
      <c r="AT29" s="123">
        <f t="shared" si="9"/>
        <v>4</v>
      </c>
      <c r="AU29" s="123">
        <f t="shared" si="9"/>
        <v>4</v>
      </c>
      <c r="AV29" s="123">
        <f t="shared" si="9"/>
        <v>4</v>
      </c>
      <c r="AW29" s="123">
        <f t="shared" si="9"/>
        <v>4</v>
      </c>
      <c r="AX29" s="123">
        <f t="shared" si="9"/>
        <v>4</v>
      </c>
      <c r="AY29" s="165">
        <f t="shared" si="9"/>
        <v>0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300</v>
      </c>
      <c r="E30" s="115">
        <f t="shared" ref="E30:AY30" si="10">E$27*$B$30</f>
        <v>170</v>
      </c>
      <c r="F30" s="115">
        <f t="shared" si="10"/>
        <v>250</v>
      </c>
      <c r="G30" s="115">
        <f t="shared" si="10"/>
        <v>250</v>
      </c>
      <c r="H30" s="115">
        <f t="shared" si="10"/>
        <v>250</v>
      </c>
      <c r="I30" s="115">
        <f t="shared" si="10"/>
        <v>250</v>
      </c>
      <c r="J30" s="115">
        <f t="shared" si="10"/>
        <v>260</v>
      </c>
      <c r="K30" s="115">
        <f t="shared" si="10"/>
        <v>260</v>
      </c>
      <c r="L30" s="115">
        <f t="shared" si="10"/>
        <v>260</v>
      </c>
      <c r="M30" s="115">
        <f t="shared" si="10"/>
        <v>260</v>
      </c>
      <c r="N30" s="115">
        <f t="shared" si="10"/>
        <v>250</v>
      </c>
      <c r="O30" s="115">
        <f t="shared" si="10"/>
        <v>250</v>
      </c>
      <c r="P30" s="115">
        <f t="shared" si="10"/>
        <v>250</v>
      </c>
      <c r="Q30" s="115">
        <f t="shared" si="10"/>
        <v>250</v>
      </c>
      <c r="R30" s="115">
        <f>R$27*$B$30</f>
        <v>260</v>
      </c>
      <c r="S30" s="115">
        <f t="shared" si="10"/>
        <v>260</v>
      </c>
      <c r="T30" s="115">
        <f t="shared" si="10"/>
        <v>260</v>
      </c>
      <c r="U30" s="115">
        <f t="shared" si="10"/>
        <v>260</v>
      </c>
      <c r="V30" s="115">
        <f t="shared" si="10"/>
        <v>260</v>
      </c>
      <c r="W30" s="115">
        <f t="shared" si="10"/>
        <v>260</v>
      </c>
      <c r="X30" s="115">
        <f t="shared" si="10"/>
        <v>260</v>
      </c>
      <c r="Y30" s="115">
        <f t="shared" si="10"/>
        <v>260</v>
      </c>
      <c r="Z30" s="115">
        <f t="shared" si="10"/>
        <v>250</v>
      </c>
      <c r="AA30" s="115">
        <f t="shared" si="10"/>
        <v>250</v>
      </c>
      <c r="AB30" s="115">
        <f t="shared" si="10"/>
        <v>250</v>
      </c>
      <c r="AC30" s="115">
        <f t="shared" si="10"/>
        <v>250</v>
      </c>
      <c r="AD30" s="115">
        <f t="shared" si="10"/>
        <v>250</v>
      </c>
      <c r="AE30" s="115">
        <f>AE$27*$B$30</f>
        <v>250</v>
      </c>
      <c r="AF30" s="115">
        <f t="shared" si="10"/>
        <v>250</v>
      </c>
      <c r="AG30" s="115">
        <f t="shared" si="10"/>
        <v>250</v>
      </c>
      <c r="AH30" s="115">
        <f t="shared" si="10"/>
        <v>250</v>
      </c>
      <c r="AI30" s="115">
        <f t="shared" si="10"/>
        <v>250</v>
      </c>
      <c r="AJ30" s="115">
        <f t="shared" si="10"/>
        <v>250</v>
      </c>
      <c r="AK30" s="115">
        <f t="shared" si="10"/>
        <v>250</v>
      </c>
      <c r="AL30" s="115">
        <f t="shared" si="10"/>
        <v>260</v>
      </c>
      <c r="AM30" s="115">
        <f t="shared" si="10"/>
        <v>260</v>
      </c>
      <c r="AN30" s="115">
        <f t="shared" si="10"/>
        <v>260</v>
      </c>
      <c r="AO30" s="115">
        <f t="shared" si="10"/>
        <v>260</v>
      </c>
      <c r="AP30" s="115">
        <f t="shared" si="10"/>
        <v>250</v>
      </c>
      <c r="AQ30" s="115">
        <f t="shared" si="10"/>
        <v>250</v>
      </c>
      <c r="AR30" s="115">
        <f t="shared" si="10"/>
        <v>250</v>
      </c>
      <c r="AS30" s="115">
        <f t="shared" si="10"/>
        <v>250</v>
      </c>
      <c r="AT30" s="115">
        <f t="shared" si="10"/>
        <v>260</v>
      </c>
      <c r="AU30" s="115">
        <f t="shared" si="10"/>
        <v>260</v>
      </c>
      <c r="AV30" s="115">
        <f t="shared" si="10"/>
        <v>260</v>
      </c>
      <c r="AW30" s="115">
        <f t="shared" si="10"/>
        <v>260</v>
      </c>
      <c r="AX30" s="115">
        <f t="shared" si="10"/>
        <v>260</v>
      </c>
      <c r="AY30" s="115">
        <f t="shared" si="10"/>
        <v>300</v>
      </c>
      <c r="AZ30" s="139">
        <f t="shared" si="5"/>
        <v>12230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D$21*shipping_manufacturing!$D$27/100</f>
        <v>46.05198</v>
      </c>
      <c r="E33" s="122">
        <f>E$21*shipping_manufacturing!$D$27/100</f>
        <v>14.185981665648001</v>
      </c>
      <c r="F33" s="122">
        <f>F$21*shipping_manufacturing!$D$27/100</f>
        <v>14.185981665648001</v>
      </c>
      <c r="G33" s="122">
        <f>G$21*shipping_manufacturing!$D$27/100</f>
        <v>14.185981665648001</v>
      </c>
      <c r="H33" s="122">
        <f>H$21*shipping_manufacturing!$D$27/100</f>
        <v>14.185981665648001</v>
      </c>
      <c r="I33" s="122">
        <f>I$21*shipping_manufacturing!$D$27/100</f>
        <v>8.5115889993888008</v>
      </c>
      <c r="J33" s="122">
        <f>J$21*shipping_manufacturing!$D$27/100</f>
        <v>8.5115889993888008</v>
      </c>
      <c r="K33" s="122">
        <f>K$21*shipping_manufacturing!$D$27/100</f>
        <v>8.5115889993888008</v>
      </c>
      <c r="L33" s="122">
        <f>L$21*shipping_manufacturing!$D$27/100</f>
        <v>8.5115889993888008</v>
      </c>
      <c r="M33" s="122">
        <f>M$21*shipping_manufacturing!$D$27/100</f>
        <v>14.185981665648001</v>
      </c>
      <c r="N33" s="122">
        <f>N$21*shipping_manufacturing!$D$27/100</f>
        <v>14.185981665648001</v>
      </c>
      <c r="O33" s="122">
        <f>O$21*shipping_manufacturing!$D$27/100</f>
        <v>14.185981665648001</v>
      </c>
      <c r="P33" s="122">
        <f>P$21*shipping_manufacturing!$D$27/100</f>
        <v>14.185981665648001</v>
      </c>
      <c r="Q33" s="122">
        <f>Q$21*shipping_manufacturing!$D$27/100</f>
        <v>8.5115889993888008</v>
      </c>
      <c r="R33" s="122">
        <f>R$21*shipping_manufacturing!$D$27/100</f>
        <v>8.5115889993888008</v>
      </c>
      <c r="S33" s="122">
        <f>S$21*shipping_manufacturing!$D$27/100</f>
        <v>8.5115889993888008</v>
      </c>
      <c r="T33" s="122">
        <f>T$21*shipping_manufacturing!$D$27/100</f>
        <v>8.5115889993888008</v>
      </c>
      <c r="U33" s="122">
        <f>U$21*shipping_manufacturing!$D$27/100</f>
        <v>8.5115889993888008</v>
      </c>
      <c r="V33" s="122">
        <f>V$21*shipping_manufacturing!$D$27/100</f>
        <v>8.5115889993888008</v>
      </c>
      <c r="W33" s="122">
        <f>W$21*shipping_manufacturing!$D$27/100</f>
        <v>8.5115889993888008</v>
      </c>
      <c r="X33" s="122">
        <f>X$21*shipping_manufacturing!$D$27/100</f>
        <v>8.5115889993888008</v>
      </c>
      <c r="Y33" s="122">
        <f>Y$21*shipping_manufacturing!$D$27/100</f>
        <v>14.185981665648001</v>
      </c>
      <c r="Z33" s="122">
        <f>Z$21*shipping_manufacturing!$D$27/100</f>
        <v>14.185981665648001</v>
      </c>
      <c r="AA33" s="122">
        <f>AA$21*shipping_manufacturing!$D$27/100</f>
        <v>14.185981665648001</v>
      </c>
      <c r="AB33" s="122">
        <f>AB$21*shipping_manufacturing!$D$27/100</f>
        <v>14.185981665648001</v>
      </c>
      <c r="AC33" s="122">
        <f>AC$21*shipping_manufacturing!$D$27/100</f>
        <v>14.185981665648001</v>
      </c>
      <c r="AD33" s="122">
        <f>AD$21*shipping_manufacturing!$D$27/100</f>
        <v>14.185981665648001</v>
      </c>
      <c r="AE33" s="122">
        <f>AE$21*shipping_manufacturing!$D$27/100</f>
        <v>14.185981665648001</v>
      </c>
      <c r="AF33" s="122">
        <f>AF$21*shipping_manufacturing!$D$27/100</f>
        <v>14.185981665648001</v>
      </c>
      <c r="AG33" s="122">
        <f>AG$21*shipping_manufacturing!$D$27/100</f>
        <v>14.185981665648001</v>
      </c>
      <c r="AH33" s="122">
        <f>AH$21*shipping_manufacturing!$D$27/100</f>
        <v>14.185981665648001</v>
      </c>
      <c r="AI33" s="122">
        <f>AI$21*shipping_manufacturing!$D$27/100</f>
        <v>14.185981665648001</v>
      </c>
      <c r="AJ33" s="122">
        <f>AJ$21*shipping_manufacturing!$D$27/100</f>
        <v>14.185981665648001</v>
      </c>
      <c r="AK33" s="122">
        <f>AK$21*shipping_manufacturing!$D$27/100</f>
        <v>7.0929908328240003</v>
      </c>
      <c r="AL33" s="122">
        <f>AL$21*shipping_manufacturing!$D$27/100</f>
        <v>7.0929908328240003</v>
      </c>
      <c r="AM33" s="122">
        <f>AM$21*shipping_manufacturing!$D$27/100</f>
        <v>7.0929908328240003</v>
      </c>
      <c r="AN33" s="122">
        <f>AN$21*shipping_manufacturing!$D$27/100</f>
        <v>7.0929908328240003</v>
      </c>
      <c r="AO33" s="122">
        <f>AO$21*shipping_manufacturing!$D$27/100</f>
        <v>12.7673834990832</v>
      </c>
      <c r="AP33" s="122">
        <f>AP$21*shipping_manufacturing!$D$27/100</f>
        <v>12.7673834990832</v>
      </c>
      <c r="AQ33" s="122">
        <f>AQ$21*shipping_manufacturing!$D$27/100</f>
        <v>12.7673834990832</v>
      </c>
      <c r="AR33" s="122">
        <f>AR$21*shipping_manufacturing!$D$27/100</f>
        <v>12.7673834990832</v>
      </c>
      <c r="AS33" s="122">
        <f>AS$21*shipping_manufacturing!$D$27/100</f>
        <v>11.3487853325184</v>
      </c>
      <c r="AT33" s="122">
        <f>AT$21*shipping_manufacturing!$D$27/100</f>
        <v>11.3487853325184</v>
      </c>
      <c r="AU33" s="122">
        <f>AU$21*shipping_manufacturing!$D$27/100</f>
        <v>11.3487853325184</v>
      </c>
      <c r="AV33" s="122">
        <f>AV$21*shipping_manufacturing!$D$27/100</f>
        <v>11.3487853325184</v>
      </c>
      <c r="AW33" s="122">
        <f>AW$21*shipping_manufacturing!$D$27/100</f>
        <v>7.0929908328240003</v>
      </c>
      <c r="AX33" s="122">
        <f>AX$21*shipping_manufacturing!$D$27/100</f>
        <v>0</v>
      </c>
      <c r="AY33" s="122">
        <f>AY$21*shipping_manufacturing!$D$27/100</f>
        <v>14.185981665648001</v>
      </c>
    </row>
    <row r="34" spans="1:52">
      <c r="A34" s="111" t="s">
        <v>341</v>
      </c>
      <c r="B34" s="163" t="s">
        <v>343</v>
      </c>
      <c r="C34" s="108"/>
      <c r="D34" s="108">
        <f>D$22*shipping_manufacturing!$E$27/100</f>
        <v>0</v>
      </c>
      <c r="E34" s="108">
        <f>E$22*shipping_manufacturing!$E$27/100</f>
        <v>0</v>
      </c>
      <c r="F34" s="108">
        <f>F$22*shipping_manufacturing!$E$27/100</f>
        <v>0</v>
      </c>
      <c r="G34" s="108">
        <f>G$22*shipping_manufacturing!$E$27/100</f>
        <v>0</v>
      </c>
      <c r="H34" s="108">
        <f>H$22*shipping_manufacturing!$E$27/100</f>
        <v>0</v>
      </c>
      <c r="I34" s="108">
        <f>I$22*shipping_manufacturing!$E$27/100</f>
        <v>0</v>
      </c>
      <c r="J34" s="108">
        <f>J$22*shipping_manufacturing!$E$27/100</f>
        <v>0</v>
      </c>
      <c r="K34" s="108">
        <f>K$22*shipping_manufacturing!$E$27/100</f>
        <v>0</v>
      </c>
      <c r="L34" s="108">
        <f>L$22*shipping_manufacturing!$E$27/100</f>
        <v>0</v>
      </c>
      <c r="M34" s="108">
        <f>M$22*shipping_manufacturing!$E$27/100</f>
        <v>0</v>
      </c>
      <c r="N34" s="108">
        <f>N$22*shipping_manufacturing!$E$27/100</f>
        <v>0</v>
      </c>
      <c r="O34" s="108">
        <f>O$22*shipping_manufacturing!$E$27/100</f>
        <v>0</v>
      </c>
      <c r="P34" s="108">
        <f>P$22*shipping_manufacturing!$E$27/100</f>
        <v>0</v>
      </c>
      <c r="Q34" s="108">
        <f>Q$22*shipping_manufacturing!$E$27/100</f>
        <v>0</v>
      </c>
      <c r="R34" s="108">
        <f>R$22*shipping_manufacturing!$E$27/100</f>
        <v>0</v>
      </c>
      <c r="S34" s="108">
        <f>S$22*shipping_manufacturing!$E$27/100</f>
        <v>0</v>
      </c>
      <c r="T34" s="108">
        <f>T$22*shipping_manufacturing!$E$27/100</f>
        <v>0</v>
      </c>
      <c r="U34" s="108">
        <f>U$22*shipping_manufacturing!$E$27/100</f>
        <v>0</v>
      </c>
      <c r="V34" s="108">
        <f>V$22*shipping_manufacturing!$E$27/100</f>
        <v>0</v>
      </c>
      <c r="W34" s="108">
        <f>W$22*shipping_manufacturing!$E$27/100</f>
        <v>0</v>
      </c>
      <c r="X34" s="108">
        <f>X$22*shipping_manufacturing!$E$27/100</f>
        <v>0</v>
      </c>
      <c r="Y34" s="108">
        <f>Y$22*shipping_manufacturing!$E$27/100</f>
        <v>0</v>
      </c>
      <c r="Z34" s="108">
        <f>Z$22*shipping_manufacturing!$E$27/100</f>
        <v>0</v>
      </c>
      <c r="AA34" s="108">
        <f>AA$22*shipping_manufacturing!$E$27/100</f>
        <v>0</v>
      </c>
      <c r="AB34" s="108">
        <f>AB$22*shipping_manufacturing!$E$27/100</f>
        <v>0</v>
      </c>
      <c r="AC34" s="108">
        <f>AC$22*shipping_manufacturing!$E$27/100</f>
        <v>0</v>
      </c>
      <c r="AD34" s="108">
        <f>AD$22*shipping_manufacturing!$E$27/100</f>
        <v>0</v>
      </c>
      <c r="AE34" s="108">
        <f>AE$22*shipping_manufacturing!$E$27/100</f>
        <v>0</v>
      </c>
      <c r="AF34" s="108">
        <f>AF$22*shipping_manufacturing!$E$27/100</f>
        <v>0</v>
      </c>
      <c r="AG34" s="108">
        <f>AG$22*shipping_manufacturing!$E$27/100</f>
        <v>0</v>
      </c>
      <c r="AH34" s="108">
        <f>AH$22*shipping_manufacturing!$E$27/100</f>
        <v>0</v>
      </c>
      <c r="AI34" s="108">
        <f>AI$22*shipping_manufacturing!$E$27/100</f>
        <v>0</v>
      </c>
      <c r="AJ34" s="108">
        <f>AJ$22*shipping_manufacturing!$E$27/100</f>
        <v>0</v>
      </c>
      <c r="AK34" s="108">
        <f>AK$22*shipping_manufacturing!$E$27/100</f>
        <v>0</v>
      </c>
      <c r="AL34" s="108">
        <f>AL$22*shipping_manufacturing!$E$27/100</f>
        <v>0</v>
      </c>
      <c r="AM34" s="108">
        <f>AM$22*shipping_manufacturing!$E$27/100</f>
        <v>0</v>
      </c>
      <c r="AN34" s="108">
        <f>AN$22*shipping_manufacturing!$E$27/100</f>
        <v>0</v>
      </c>
      <c r="AO34" s="108">
        <f>AO$22*shipping_manufacturing!$E$27/100</f>
        <v>0</v>
      </c>
      <c r="AP34" s="108">
        <f>AP$22*shipping_manufacturing!$E$27/100</f>
        <v>0</v>
      </c>
      <c r="AQ34" s="108">
        <f>AQ$22*shipping_manufacturing!$E$27/100</f>
        <v>0</v>
      </c>
      <c r="AR34" s="108">
        <f>AR$22*shipping_manufacturing!$E$27/100</f>
        <v>0</v>
      </c>
      <c r="AS34" s="108">
        <f>AS$22*shipping_manufacturing!$E$27/100</f>
        <v>0</v>
      </c>
      <c r="AT34" s="108">
        <f>AT$22*shipping_manufacturing!$E$27/100</f>
        <v>0</v>
      </c>
      <c r="AU34" s="108">
        <f>AU$22*shipping_manufacturing!$E$27/100</f>
        <v>0</v>
      </c>
      <c r="AV34" s="108">
        <f>AV$22*shipping_manufacturing!$E$27/100</f>
        <v>0</v>
      </c>
      <c r="AW34" s="108">
        <f>AW$22*shipping_manufacturing!$E$27/100</f>
        <v>0</v>
      </c>
      <c r="AX34" s="108">
        <f>AX$22*shipping_manufacturing!$E$27/100</f>
        <v>0</v>
      </c>
      <c r="AY34" s="108">
        <f>AY$22*shipping_manufacturing!$E$27/100</f>
        <v>0</v>
      </c>
    </row>
    <row r="35" spans="1:52">
      <c r="A35" s="108">
        <v>1335</v>
      </c>
      <c r="B35" s="163" t="s">
        <v>344</v>
      </c>
      <c r="C35" s="108"/>
      <c r="D35" s="108">
        <f>SUM(D33:D34)</f>
        <v>46.05198</v>
      </c>
      <c r="E35" s="108">
        <f t="shared" ref="E35:AY35" si="11">SUM(E33:E34)</f>
        <v>14.185981665648001</v>
      </c>
      <c r="F35" s="108">
        <f t="shared" si="11"/>
        <v>14.185981665648001</v>
      </c>
      <c r="G35" s="108">
        <f t="shared" si="11"/>
        <v>14.185981665648001</v>
      </c>
      <c r="H35" s="108">
        <f t="shared" si="11"/>
        <v>14.185981665648001</v>
      </c>
      <c r="I35" s="108">
        <f t="shared" si="11"/>
        <v>8.5115889993888008</v>
      </c>
      <c r="J35" s="108">
        <f t="shared" si="11"/>
        <v>8.5115889993888008</v>
      </c>
      <c r="K35" s="108">
        <f t="shared" si="11"/>
        <v>8.5115889993888008</v>
      </c>
      <c r="L35" s="108">
        <f t="shared" si="11"/>
        <v>8.5115889993888008</v>
      </c>
      <c r="M35" s="108">
        <f t="shared" si="11"/>
        <v>14.185981665648001</v>
      </c>
      <c r="N35" s="108">
        <f t="shared" si="11"/>
        <v>14.185981665648001</v>
      </c>
      <c r="O35" s="108">
        <f t="shared" si="11"/>
        <v>14.185981665648001</v>
      </c>
      <c r="P35" s="108">
        <f t="shared" si="11"/>
        <v>14.185981665648001</v>
      </c>
      <c r="Q35" s="108">
        <f t="shared" si="11"/>
        <v>8.5115889993888008</v>
      </c>
      <c r="R35" s="108">
        <f t="shared" si="11"/>
        <v>8.5115889993888008</v>
      </c>
      <c r="S35" s="108">
        <f t="shared" si="11"/>
        <v>8.5115889993888008</v>
      </c>
      <c r="T35" s="108">
        <f t="shared" si="11"/>
        <v>8.5115889993888008</v>
      </c>
      <c r="U35" s="108">
        <f t="shared" si="11"/>
        <v>8.5115889993888008</v>
      </c>
      <c r="V35" s="108">
        <f t="shared" si="11"/>
        <v>8.5115889993888008</v>
      </c>
      <c r="W35" s="108">
        <f t="shared" si="11"/>
        <v>8.5115889993888008</v>
      </c>
      <c r="X35" s="108">
        <f t="shared" si="11"/>
        <v>8.5115889993888008</v>
      </c>
      <c r="Y35" s="108">
        <f t="shared" si="11"/>
        <v>14.185981665648001</v>
      </c>
      <c r="Z35" s="108">
        <f t="shared" si="11"/>
        <v>14.185981665648001</v>
      </c>
      <c r="AA35" s="108">
        <f t="shared" si="11"/>
        <v>14.185981665648001</v>
      </c>
      <c r="AB35" s="108">
        <f t="shared" si="11"/>
        <v>14.185981665648001</v>
      </c>
      <c r="AC35" s="108">
        <f t="shared" si="11"/>
        <v>14.185981665648001</v>
      </c>
      <c r="AD35" s="108">
        <f t="shared" si="11"/>
        <v>14.185981665648001</v>
      </c>
      <c r="AE35" s="108">
        <f t="shared" si="11"/>
        <v>14.185981665648001</v>
      </c>
      <c r="AF35" s="108">
        <f t="shared" si="11"/>
        <v>14.185981665648001</v>
      </c>
      <c r="AG35" s="108">
        <f t="shared" si="11"/>
        <v>14.185981665648001</v>
      </c>
      <c r="AH35" s="108">
        <f t="shared" si="11"/>
        <v>14.185981665648001</v>
      </c>
      <c r="AI35" s="108">
        <f t="shared" si="11"/>
        <v>14.185981665648001</v>
      </c>
      <c r="AJ35" s="108">
        <f t="shared" si="11"/>
        <v>14.185981665648001</v>
      </c>
      <c r="AK35" s="108">
        <f t="shared" si="11"/>
        <v>7.0929908328240003</v>
      </c>
      <c r="AL35" s="108">
        <f t="shared" si="11"/>
        <v>7.0929908328240003</v>
      </c>
      <c r="AM35" s="108">
        <f t="shared" si="11"/>
        <v>7.0929908328240003</v>
      </c>
      <c r="AN35" s="108">
        <f t="shared" si="11"/>
        <v>7.0929908328240003</v>
      </c>
      <c r="AO35" s="108">
        <f t="shared" si="11"/>
        <v>12.7673834990832</v>
      </c>
      <c r="AP35" s="108">
        <f t="shared" si="11"/>
        <v>12.7673834990832</v>
      </c>
      <c r="AQ35" s="108">
        <f t="shared" si="11"/>
        <v>12.7673834990832</v>
      </c>
      <c r="AR35" s="108">
        <f t="shared" si="11"/>
        <v>12.7673834990832</v>
      </c>
      <c r="AS35" s="108">
        <f t="shared" si="11"/>
        <v>11.3487853325184</v>
      </c>
      <c r="AT35" s="108">
        <f t="shared" si="11"/>
        <v>11.3487853325184</v>
      </c>
      <c r="AU35" s="108">
        <f t="shared" si="11"/>
        <v>11.3487853325184</v>
      </c>
      <c r="AV35" s="108">
        <f t="shared" si="11"/>
        <v>11.3487853325184</v>
      </c>
      <c r="AW35" s="108">
        <f t="shared" si="11"/>
        <v>7.0929908328240003</v>
      </c>
      <c r="AX35" s="108">
        <f t="shared" si="11"/>
        <v>0</v>
      </c>
      <c r="AY35" s="108">
        <f t="shared" si="11"/>
        <v>14.185981665648001</v>
      </c>
    </row>
    <row r="36" spans="1:52">
      <c r="A36" s="108"/>
      <c r="B36" s="163" t="s">
        <v>345</v>
      </c>
      <c r="C36" s="108"/>
      <c r="D36" s="108">
        <v>46.05198</v>
      </c>
      <c r="E36" s="108">
        <v>14.185981665648001</v>
      </c>
      <c r="F36" s="108">
        <v>14.185981665648001</v>
      </c>
      <c r="G36" s="108">
        <v>14.185981665648001</v>
      </c>
      <c r="H36" s="108">
        <v>14.185981665648001</v>
      </c>
      <c r="I36" s="108">
        <v>8.5115889993888008</v>
      </c>
      <c r="J36" s="108">
        <v>8.5115889993888008</v>
      </c>
      <c r="K36" s="108">
        <v>8.5115889993888008</v>
      </c>
      <c r="L36" s="108">
        <v>8.5115889993888008</v>
      </c>
      <c r="M36" s="108">
        <v>14.185981665648001</v>
      </c>
      <c r="N36" s="108">
        <v>14.185981665648001</v>
      </c>
      <c r="O36" s="108">
        <v>14.185981665648001</v>
      </c>
      <c r="P36" s="108">
        <v>14.185981665648001</v>
      </c>
      <c r="Q36" s="108">
        <v>8.5115889993888008</v>
      </c>
      <c r="R36" s="108">
        <v>8.5115889993888008</v>
      </c>
      <c r="S36" s="108">
        <v>8.5115889993888008</v>
      </c>
      <c r="T36" s="108">
        <v>8.5115889993888008</v>
      </c>
      <c r="U36" s="108">
        <v>8.5115889993888008</v>
      </c>
      <c r="V36" s="108">
        <v>8.5115889993888008</v>
      </c>
      <c r="W36" s="108">
        <v>8.5115889993888008</v>
      </c>
      <c r="X36" s="108">
        <v>8.5115889993888008</v>
      </c>
      <c r="Y36" s="108">
        <v>14.185981665648001</v>
      </c>
      <c r="Z36" s="108">
        <v>14.185981665648001</v>
      </c>
      <c r="AA36" s="108">
        <v>14.185981665648001</v>
      </c>
      <c r="AB36" s="108">
        <v>14.185981665648001</v>
      </c>
      <c r="AC36" s="108">
        <v>14.185981665648001</v>
      </c>
      <c r="AD36" s="108">
        <v>14.185981665648001</v>
      </c>
      <c r="AE36" s="108">
        <v>14.185981665648001</v>
      </c>
      <c r="AF36" s="108">
        <v>14.185981665648001</v>
      </c>
      <c r="AG36" s="108">
        <v>14.185981665648001</v>
      </c>
      <c r="AH36" s="108">
        <v>14.185981665648001</v>
      </c>
      <c r="AI36" s="108">
        <v>14.185981665648001</v>
      </c>
      <c r="AJ36" s="108">
        <v>14.185981665648001</v>
      </c>
      <c r="AK36" s="108">
        <v>7.0929908328240003</v>
      </c>
      <c r="AL36" s="108">
        <v>7.0929908328240003</v>
      </c>
      <c r="AM36" s="108">
        <v>7.0929908328240003</v>
      </c>
      <c r="AN36" s="108">
        <v>7.0929908328240003</v>
      </c>
      <c r="AO36" s="108">
        <v>12.7673834990832</v>
      </c>
      <c r="AP36" s="108">
        <v>12.7673834990832</v>
      </c>
      <c r="AQ36" s="108">
        <v>12.7673834990832</v>
      </c>
      <c r="AR36" s="108">
        <v>12.7673834990832</v>
      </c>
      <c r="AS36" s="108">
        <v>11.3487853325184</v>
      </c>
      <c r="AT36" s="108">
        <v>11.3487853325184</v>
      </c>
      <c r="AU36" s="108">
        <v>11.3487853325184</v>
      </c>
      <c r="AV36" s="108">
        <v>11.3487853325184</v>
      </c>
      <c r="AW36" s="108">
        <v>7.0929908328240003</v>
      </c>
      <c r="AX36" s="108"/>
      <c r="AY36" s="108">
        <v>14.185981665648001</v>
      </c>
    </row>
    <row r="37" spans="1:52">
      <c r="A37" s="108"/>
      <c r="B37" s="163" t="s">
        <v>346</v>
      </c>
      <c r="C37" s="108"/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  <c r="AU37" s="108">
        <v>0</v>
      </c>
      <c r="AV37" s="108">
        <v>0</v>
      </c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>
        <v>2</v>
      </c>
      <c r="E38" s="108">
        <v>1</v>
      </c>
      <c r="F38" s="108">
        <v>1</v>
      </c>
      <c r="G38" s="108">
        <v>1</v>
      </c>
      <c r="H38" s="108">
        <v>1</v>
      </c>
      <c r="I38" s="108">
        <v>1</v>
      </c>
      <c r="J38" s="108">
        <v>1</v>
      </c>
      <c r="K38" s="108">
        <v>1</v>
      </c>
      <c r="L38" s="108">
        <v>1</v>
      </c>
      <c r="M38" s="108">
        <v>1</v>
      </c>
      <c r="N38" s="108">
        <v>1</v>
      </c>
      <c r="O38" s="108">
        <v>1</v>
      </c>
      <c r="P38" s="108">
        <v>1</v>
      </c>
      <c r="Q38" s="108">
        <v>1</v>
      </c>
      <c r="R38" s="108">
        <v>1</v>
      </c>
      <c r="S38" s="108">
        <v>1</v>
      </c>
      <c r="T38" s="108">
        <v>1</v>
      </c>
      <c r="U38" s="108">
        <v>1</v>
      </c>
      <c r="V38" s="108">
        <v>1</v>
      </c>
      <c r="W38" s="108">
        <v>1</v>
      </c>
      <c r="X38" s="108">
        <v>1</v>
      </c>
      <c r="Y38" s="108">
        <v>1</v>
      </c>
      <c r="Z38" s="108">
        <v>1</v>
      </c>
      <c r="AA38" s="108">
        <v>1</v>
      </c>
      <c r="AB38" s="108">
        <v>1</v>
      </c>
      <c r="AC38" s="108">
        <v>1</v>
      </c>
      <c r="AD38" s="108">
        <v>1</v>
      </c>
      <c r="AE38" s="108">
        <v>1</v>
      </c>
      <c r="AF38" s="108">
        <v>1</v>
      </c>
      <c r="AG38" s="108">
        <v>1</v>
      </c>
      <c r="AH38" s="108">
        <v>1</v>
      </c>
      <c r="AI38" s="108">
        <v>1</v>
      </c>
      <c r="AJ38" s="108">
        <v>1</v>
      </c>
      <c r="AK38" s="108">
        <v>1</v>
      </c>
      <c r="AL38" s="108">
        <v>1</v>
      </c>
      <c r="AM38" s="108">
        <v>1</v>
      </c>
      <c r="AN38" s="108">
        <v>1</v>
      </c>
      <c r="AO38" s="108">
        <v>1</v>
      </c>
      <c r="AP38" s="108">
        <v>1</v>
      </c>
      <c r="AQ38" s="108">
        <v>1</v>
      </c>
      <c r="AR38" s="108">
        <v>1</v>
      </c>
      <c r="AS38" s="108">
        <v>1</v>
      </c>
      <c r="AT38" s="108">
        <v>1</v>
      </c>
      <c r="AU38" s="108">
        <v>1</v>
      </c>
      <c r="AV38" s="108">
        <v>1</v>
      </c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0</v>
      </c>
      <c r="E39" s="108">
        <f t="shared" ref="E39:AY39" si="12">E33-E36</f>
        <v>0</v>
      </c>
      <c r="F39" s="108">
        <f t="shared" si="12"/>
        <v>0</v>
      </c>
      <c r="G39" s="108">
        <f t="shared" si="12"/>
        <v>0</v>
      </c>
      <c r="H39" s="108">
        <f t="shared" si="12"/>
        <v>0</v>
      </c>
      <c r="I39" s="108">
        <f t="shared" si="12"/>
        <v>0</v>
      </c>
      <c r="J39" s="108">
        <f t="shared" si="12"/>
        <v>0</v>
      </c>
      <c r="K39" s="108">
        <f t="shared" si="12"/>
        <v>0</v>
      </c>
      <c r="L39" s="108">
        <f t="shared" si="12"/>
        <v>0</v>
      </c>
      <c r="M39" s="108">
        <f t="shared" si="12"/>
        <v>0</v>
      </c>
      <c r="N39" s="108">
        <f t="shared" si="12"/>
        <v>0</v>
      </c>
      <c r="O39" s="108">
        <f t="shared" si="12"/>
        <v>0</v>
      </c>
      <c r="P39" s="108">
        <f t="shared" si="12"/>
        <v>0</v>
      </c>
      <c r="Q39" s="108">
        <f t="shared" si="12"/>
        <v>0</v>
      </c>
      <c r="R39" s="108">
        <f t="shared" si="12"/>
        <v>0</v>
      </c>
      <c r="S39" s="108">
        <f t="shared" si="12"/>
        <v>0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0</v>
      </c>
      <c r="Y39" s="108">
        <f t="shared" si="12"/>
        <v>0</v>
      </c>
      <c r="Z39" s="108">
        <f t="shared" si="12"/>
        <v>0</v>
      </c>
      <c r="AA39" s="108">
        <f t="shared" si="12"/>
        <v>0</v>
      </c>
      <c r="AB39" s="108">
        <f t="shared" si="12"/>
        <v>0</v>
      </c>
      <c r="AC39" s="108">
        <f t="shared" si="12"/>
        <v>0</v>
      </c>
      <c r="AD39" s="108">
        <f t="shared" si="12"/>
        <v>0</v>
      </c>
      <c r="AE39" s="108">
        <f t="shared" si="12"/>
        <v>0</v>
      </c>
      <c r="AF39" s="108">
        <f t="shared" si="12"/>
        <v>0</v>
      </c>
      <c r="AG39" s="108">
        <f t="shared" si="12"/>
        <v>0</v>
      </c>
      <c r="AH39" s="108">
        <f t="shared" si="12"/>
        <v>0</v>
      </c>
      <c r="AI39" s="108">
        <f t="shared" si="12"/>
        <v>0</v>
      </c>
      <c r="AJ39" s="108">
        <f t="shared" si="12"/>
        <v>0</v>
      </c>
      <c r="AK39" s="108">
        <f t="shared" si="12"/>
        <v>0</v>
      </c>
      <c r="AL39" s="108">
        <f t="shared" si="12"/>
        <v>0</v>
      </c>
      <c r="AM39" s="108">
        <f t="shared" si="12"/>
        <v>0</v>
      </c>
      <c r="AN39" s="108">
        <f t="shared" si="12"/>
        <v>0</v>
      </c>
      <c r="AO39" s="108">
        <f t="shared" si="12"/>
        <v>0</v>
      </c>
      <c r="AP39" s="108">
        <f t="shared" si="12"/>
        <v>0</v>
      </c>
      <c r="AQ39" s="108">
        <f t="shared" si="12"/>
        <v>0</v>
      </c>
      <c r="AR39" s="108">
        <f t="shared" si="12"/>
        <v>0</v>
      </c>
      <c r="AS39" s="108">
        <f t="shared" si="12"/>
        <v>0</v>
      </c>
      <c r="AT39" s="108">
        <f t="shared" si="12"/>
        <v>0</v>
      </c>
      <c r="AU39" s="108">
        <f t="shared" si="12"/>
        <v>0</v>
      </c>
      <c r="AV39" s="108">
        <f t="shared" si="12"/>
        <v>0</v>
      </c>
      <c r="AW39" s="108">
        <f t="shared" si="12"/>
        <v>0</v>
      </c>
      <c r="AX39" s="108">
        <f t="shared" si="12"/>
        <v>0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2</v>
      </c>
      <c r="E41" s="108">
        <v>2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1</v>
      </c>
      <c r="L41" s="108">
        <v>2</v>
      </c>
      <c r="M41" s="108">
        <v>1</v>
      </c>
      <c r="N41" s="108">
        <v>2</v>
      </c>
      <c r="O41" s="108">
        <v>2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2</v>
      </c>
      <c r="W41" s="108">
        <v>1</v>
      </c>
      <c r="X41" s="108">
        <v>1</v>
      </c>
      <c r="Y41" s="108">
        <v>2</v>
      </c>
      <c r="Z41" s="108">
        <v>1</v>
      </c>
      <c r="AA41" s="108">
        <v>1</v>
      </c>
      <c r="AB41" s="108">
        <v>1</v>
      </c>
      <c r="AC41" s="108">
        <v>1</v>
      </c>
      <c r="AD41" s="108">
        <v>1</v>
      </c>
      <c r="AE41" s="108">
        <v>2</v>
      </c>
      <c r="AF41" s="108">
        <v>1</v>
      </c>
      <c r="AG41" s="108">
        <v>2</v>
      </c>
      <c r="AH41" s="108">
        <v>2</v>
      </c>
      <c r="AI41" s="108">
        <v>1</v>
      </c>
      <c r="AJ41" s="108">
        <v>3</v>
      </c>
      <c r="AK41" s="108">
        <v>2</v>
      </c>
      <c r="AL41" s="108">
        <v>2</v>
      </c>
      <c r="AM41" s="108">
        <v>2</v>
      </c>
      <c r="AN41" s="108">
        <v>1</v>
      </c>
      <c r="AO41" s="108">
        <v>1</v>
      </c>
      <c r="AP41" s="108">
        <v>1</v>
      </c>
      <c r="AQ41" s="108">
        <v>2</v>
      </c>
      <c r="AR41" s="108">
        <v>3</v>
      </c>
      <c r="AS41" s="108">
        <v>1</v>
      </c>
      <c r="AT41" s="108">
        <v>2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6" t="s">
        <v>351</v>
      </c>
      <c r="C42" s="108"/>
      <c r="D42" s="108">
        <v>96120</v>
      </c>
      <c r="E42" s="108">
        <v>48060</v>
      </c>
      <c r="F42" s="108">
        <v>48060</v>
      </c>
      <c r="G42" s="108">
        <v>48060</v>
      </c>
      <c r="H42" s="108">
        <v>48060</v>
      </c>
      <c r="I42" s="108">
        <v>48060</v>
      </c>
      <c r="J42" s="108">
        <v>48060</v>
      </c>
      <c r="K42" s="108">
        <v>48060</v>
      </c>
      <c r="L42" s="108">
        <v>48060</v>
      </c>
      <c r="M42" s="108">
        <v>48060</v>
      </c>
      <c r="N42" s="108">
        <v>48060</v>
      </c>
      <c r="O42" s="108">
        <v>48060</v>
      </c>
      <c r="P42" s="108">
        <v>48060</v>
      </c>
      <c r="Q42" s="108">
        <v>48060</v>
      </c>
      <c r="R42" s="108">
        <v>48060</v>
      </c>
      <c r="S42" s="108">
        <v>48060</v>
      </c>
      <c r="T42" s="108">
        <v>48060</v>
      </c>
      <c r="U42" s="108">
        <v>48060</v>
      </c>
      <c r="V42" s="108">
        <v>48060</v>
      </c>
      <c r="W42" s="108">
        <v>48060</v>
      </c>
      <c r="X42" s="108">
        <v>48060</v>
      </c>
      <c r="Y42" s="108">
        <v>48060</v>
      </c>
      <c r="Z42" s="108">
        <v>48060</v>
      </c>
      <c r="AA42" s="108">
        <v>48060</v>
      </c>
      <c r="AB42" s="108">
        <v>48060</v>
      </c>
      <c r="AC42" s="108">
        <v>48060</v>
      </c>
      <c r="AD42" s="108">
        <v>48060</v>
      </c>
      <c r="AE42" s="108">
        <v>48060</v>
      </c>
      <c r="AF42" s="108">
        <v>48060</v>
      </c>
      <c r="AG42" s="108">
        <v>48060</v>
      </c>
      <c r="AH42" s="108">
        <v>48060</v>
      </c>
      <c r="AI42" s="108">
        <v>48060</v>
      </c>
      <c r="AJ42" s="108">
        <v>48060</v>
      </c>
      <c r="AK42" s="108">
        <v>48060</v>
      </c>
      <c r="AL42" s="108">
        <v>48060</v>
      </c>
      <c r="AM42" s="108">
        <v>48060</v>
      </c>
      <c r="AN42" s="108">
        <v>48060</v>
      </c>
      <c r="AO42" s="108">
        <v>48060</v>
      </c>
      <c r="AP42" s="108">
        <v>48060</v>
      </c>
      <c r="AQ42" s="108">
        <v>48060</v>
      </c>
      <c r="AR42" s="108">
        <v>48060</v>
      </c>
      <c r="AS42" s="108">
        <v>48060</v>
      </c>
      <c r="AT42" s="108">
        <v>48060</v>
      </c>
      <c r="AU42" s="108">
        <v>48060</v>
      </c>
      <c r="AV42" s="108">
        <v>48060</v>
      </c>
      <c r="AW42" s="108">
        <v>48060</v>
      </c>
      <c r="AX42" s="108">
        <v>0</v>
      </c>
      <c r="AY42" s="108">
        <v>48060</v>
      </c>
      <c r="AZ42" s="98">
        <f>SUM($D$42:$AY$42)</f>
        <v>2306880</v>
      </c>
    </row>
    <row r="43" spans="1:52">
      <c r="A43" s="108"/>
      <c r="B43" s="176" t="s">
        <v>352</v>
      </c>
      <c r="C43" s="108"/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  <c r="AU43" s="108">
        <v>0</v>
      </c>
      <c r="AV43" s="108">
        <v>0</v>
      </c>
      <c r="AW43" s="108">
        <v>0</v>
      </c>
      <c r="AX43" s="108">
        <v>0</v>
      </c>
      <c r="AY43" s="108">
        <v>0</v>
      </c>
      <c r="AZ43" s="98">
        <f>SUM($D$43:$AY$43)</f>
        <v>0</v>
      </c>
    </row>
    <row r="44" spans="1:52">
      <c r="A44" s="133" t="s">
        <v>46</v>
      </c>
      <c r="B44" s="133" t="s">
        <v>342</v>
      </c>
      <c r="C44" s="122"/>
      <c r="D44" s="122">
        <f>D$21*shipping_manufacturing!$D$28/100</f>
        <v>71.571629999999999</v>
      </c>
      <c r="E44" s="122">
        <f>E$21*shipping_manufacturing!$D$28/100</f>
        <v>22.047126550488002</v>
      </c>
      <c r="F44" s="122">
        <f>F$21*shipping_manufacturing!$D$28/100</f>
        <v>22.047126550488002</v>
      </c>
      <c r="G44" s="122">
        <f>G$21*shipping_manufacturing!$D$28/100</f>
        <v>22.047126550488002</v>
      </c>
      <c r="H44" s="122">
        <f>H$21*shipping_manufacturing!$D$28/100</f>
        <v>22.047126550488002</v>
      </c>
      <c r="I44" s="122">
        <f>I$21*shipping_manufacturing!$D$28/100</f>
        <v>13.228275930292803</v>
      </c>
      <c r="J44" s="122">
        <f>J$21*shipping_manufacturing!$D$28/100</f>
        <v>13.228275930292803</v>
      </c>
      <c r="K44" s="122">
        <f>K$21*shipping_manufacturing!$D$28/100</f>
        <v>13.228275930292803</v>
      </c>
      <c r="L44" s="122">
        <f>L$21*shipping_manufacturing!$D$28/100</f>
        <v>13.228275930292803</v>
      </c>
      <c r="M44" s="122">
        <f>M$21*shipping_manufacturing!$D$28/100</f>
        <v>22.047126550488002</v>
      </c>
      <c r="N44" s="122">
        <f>N$21*shipping_manufacturing!$D$28/100</f>
        <v>22.047126550488002</v>
      </c>
      <c r="O44" s="122">
        <f>O$21*shipping_manufacturing!$D$28/100</f>
        <v>22.047126550488002</v>
      </c>
      <c r="P44" s="122">
        <f>P$21*shipping_manufacturing!$D$28/100</f>
        <v>22.047126550488002</v>
      </c>
      <c r="Q44" s="122">
        <f>Q$21*shipping_manufacturing!$D$28/100</f>
        <v>13.228275930292803</v>
      </c>
      <c r="R44" s="122">
        <f>R$21*shipping_manufacturing!$D$28/100</f>
        <v>13.228275930292803</v>
      </c>
      <c r="S44" s="122">
        <f>S$21*shipping_manufacturing!$D$28/100</f>
        <v>13.228275930292803</v>
      </c>
      <c r="T44" s="122">
        <f>T$21*shipping_manufacturing!$D$28/100</f>
        <v>13.228275930292803</v>
      </c>
      <c r="U44" s="122">
        <f>U$21*shipping_manufacturing!$D$28/100</f>
        <v>13.228275930292803</v>
      </c>
      <c r="V44" s="122">
        <f>V$21*shipping_manufacturing!$D$28/100</f>
        <v>13.228275930292803</v>
      </c>
      <c r="W44" s="122">
        <f>W$21*shipping_manufacturing!$D$28/100</f>
        <v>13.228275930292803</v>
      </c>
      <c r="X44" s="122">
        <f>X$21*shipping_manufacturing!$D$28/100</f>
        <v>13.228275930292803</v>
      </c>
      <c r="Y44" s="122">
        <f>Y$21*shipping_manufacturing!$D$28/100</f>
        <v>22.047126550488002</v>
      </c>
      <c r="Z44" s="122">
        <f>Z$21*shipping_manufacturing!$D$28/100</f>
        <v>22.047126550488002</v>
      </c>
      <c r="AA44" s="122">
        <f>AA$21*shipping_manufacturing!$D$28/100</f>
        <v>22.047126550488002</v>
      </c>
      <c r="AB44" s="122">
        <f>AB$21*shipping_manufacturing!$D$28/100</f>
        <v>22.047126550488002</v>
      </c>
      <c r="AC44" s="122">
        <f>AC$21*shipping_manufacturing!$D$28/100</f>
        <v>22.047126550488002</v>
      </c>
      <c r="AD44" s="122">
        <f>AD$21*shipping_manufacturing!$D$28/100</f>
        <v>22.047126550488002</v>
      </c>
      <c r="AE44" s="122">
        <f>AE$21*shipping_manufacturing!$D$28/100</f>
        <v>22.047126550488002</v>
      </c>
      <c r="AF44" s="122">
        <f>AF$21*shipping_manufacturing!$D$28/100</f>
        <v>22.047126550488002</v>
      </c>
      <c r="AG44" s="122">
        <f>AG$21*shipping_manufacturing!$D$28/100</f>
        <v>22.047126550488002</v>
      </c>
      <c r="AH44" s="122">
        <f>AH$21*shipping_manufacturing!$D$28/100</f>
        <v>22.047126550488002</v>
      </c>
      <c r="AI44" s="122">
        <f>AI$21*shipping_manufacturing!$D$28/100</f>
        <v>22.047126550488002</v>
      </c>
      <c r="AJ44" s="122">
        <f>AJ$21*shipping_manufacturing!$D$28/100</f>
        <v>22.047126550488002</v>
      </c>
      <c r="AK44" s="122">
        <f>AK$21*shipping_manufacturing!$D$28/100</f>
        <v>11.023563275244001</v>
      </c>
      <c r="AL44" s="122">
        <f>AL$21*shipping_manufacturing!$D$28/100</f>
        <v>11.023563275244001</v>
      </c>
      <c r="AM44" s="122">
        <f>AM$21*shipping_manufacturing!$D$28/100</f>
        <v>11.023563275244001</v>
      </c>
      <c r="AN44" s="122">
        <f>AN$21*shipping_manufacturing!$D$28/100</f>
        <v>11.023563275244001</v>
      </c>
      <c r="AO44" s="122">
        <f>AO$21*shipping_manufacturing!$D$28/100</f>
        <v>19.842413895439201</v>
      </c>
      <c r="AP44" s="122">
        <f>AP$21*shipping_manufacturing!$D$28/100</f>
        <v>19.842413895439201</v>
      </c>
      <c r="AQ44" s="122">
        <f>AQ$21*shipping_manufacturing!$D$28/100</f>
        <v>19.842413895439201</v>
      </c>
      <c r="AR44" s="122">
        <f>AR$21*shipping_manufacturing!$D$28/100</f>
        <v>19.842413895439201</v>
      </c>
      <c r="AS44" s="122">
        <f>AS$21*shipping_manufacturing!$D$28/100</f>
        <v>17.637701240390403</v>
      </c>
      <c r="AT44" s="122">
        <f>AT$21*shipping_manufacturing!$D$28/100</f>
        <v>17.637701240390403</v>
      </c>
      <c r="AU44" s="122">
        <f>AU$21*shipping_manufacturing!$D$28/100</f>
        <v>17.637701240390403</v>
      </c>
      <c r="AV44" s="122">
        <f>AV$21*shipping_manufacturing!$D$28/100</f>
        <v>17.637701240390403</v>
      </c>
      <c r="AW44" s="122">
        <f>AW$21*shipping_manufacturing!$D$28/100</f>
        <v>11.023563275244001</v>
      </c>
      <c r="AX44" s="122">
        <f>AX$21*shipping_manufacturing!$D$28/100</f>
        <v>0</v>
      </c>
      <c r="AY44" s="122">
        <f>AY$21*shipping_manufacturing!$D$28/100</f>
        <v>22.047126550488002</v>
      </c>
    </row>
    <row r="45" spans="1:52">
      <c r="A45" s="111" t="s">
        <v>341</v>
      </c>
      <c r="B45" s="163" t="s">
        <v>343</v>
      </c>
      <c r="C45" s="108"/>
      <c r="D45" s="108">
        <f>D$22*shipping_manufacturing!$E$28/100</f>
        <v>0</v>
      </c>
      <c r="E45" s="108">
        <f>E$22*shipping_manufacturing!$E$28/100</f>
        <v>0</v>
      </c>
      <c r="F45" s="108">
        <f>F$22*shipping_manufacturing!$E$28/100</f>
        <v>0</v>
      </c>
      <c r="G45" s="108">
        <f>G$22*shipping_manufacturing!$E$28/100</f>
        <v>0</v>
      </c>
      <c r="H45" s="108">
        <f>H$22*shipping_manufacturing!$E$28/100</f>
        <v>0</v>
      </c>
      <c r="I45" s="108">
        <f>I$22*shipping_manufacturing!$E$28/100</f>
        <v>0</v>
      </c>
      <c r="J45" s="108">
        <f>J$22*shipping_manufacturing!$E$28/100</f>
        <v>0</v>
      </c>
      <c r="K45" s="108">
        <f>K$22*shipping_manufacturing!$E$28/100</f>
        <v>0</v>
      </c>
      <c r="L45" s="108">
        <f>L$22*shipping_manufacturing!$E$28/100</f>
        <v>0</v>
      </c>
      <c r="M45" s="108">
        <f>M$22*shipping_manufacturing!$E$28/100</f>
        <v>0</v>
      </c>
      <c r="N45" s="108">
        <f>N$22*shipping_manufacturing!$E$28/100</f>
        <v>0</v>
      </c>
      <c r="O45" s="108">
        <f>O$22*shipping_manufacturing!$E$28/100</f>
        <v>0</v>
      </c>
      <c r="P45" s="108">
        <f>P$22*shipping_manufacturing!$E$28/100</f>
        <v>0</v>
      </c>
      <c r="Q45" s="108">
        <f>Q$22*shipping_manufacturing!$E$28/100</f>
        <v>0</v>
      </c>
      <c r="R45" s="108">
        <f>R$22*shipping_manufacturing!$E$28/100</f>
        <v>0</v>
      </c>
      <c r="S45" s="108">
        <f>S$22*shipping_manufacturing!$E$28/100</f>
        <v>0</v>
      </c>
      <c r="T45" s="108">
        <f>T$22*shipping_manufacturing!$E$28/100</f>
        <v>0</v>
      </c>
      <c r="U45" s="108">
        <f>U$22*shipping_manufacturing!$E$28/100</f>
        <v>0</v>
      </c>
      <c r="V45" s="108">
        <f>V$22*shipping_manufacturing!$E$28/100</f>
        <v>0</v>
      </c>
      <c r="W45" s="108">
        <f>W$22*shipping_manufacturing!$E$28/100</f>
        <v>0</v>
      </c>
      <c r="X45" s="108">
        <f>X$22*shipping_manufacturing!$E$28/100</f>
        <v>0</v>
      </c>
      <c r="Y45" s="108">
        <f>Y$22*shipping_manufacturing!$E$28/100</f>
        <v>0</v>
      </c>
      <c r="Z45" s="108">
        <f>Z$22*shipping_manufacturing!$E$28/100</f>
        <v>0</v>
      </c>
      <c r="AA45" s="108">
        <f>AA$22*shipping_manufacturing!$E$28/100</f>
        <v>0</v>
      </c>
      <c r="AB45" s="108">
        <f>AB$22*shipping_manufacturing!$E$28/100</f>
        <v>0</v>
      </c>
      <c r="AC45" s="108">
        <f>AC$22*shipping_manufacturing!$E$28/100</f>
        <v>0</v>
      </c>
      <c r="AD45" s="108">
        <f>AD$22*shipping_manufacturing!$E$28/100</f>
        <v>0</v>
      </c>
      <c r="AE45" s="108">
        <f>AE$22*shipping_manufacturing!$E$28/100</f>
        <v>0</v>
      </c>
      <c r="AF45" s="108">
        <f>AF$22*shipping_manufacturing!$E$28/100</f>
        <v>0</v>
      </c>
      <c r="AG45" s="108">
        <f>AG$22*shipping_manufacturing!$E$28/100</f>
        <v>0</v>
      </c>
      <c r="AH45" s="108">
        <f>AH$22*shipping_manufacturing!$E$28/100</f>
        <v>0</v>
      </c>
      <c r="AI45" s="108">
        <f>AI$22*shipping_manufacturing!$E$28/100</f>
        <v>0</v>
      </c>
      <c r="AJ45" s="108">
        <f>AJ$22*shipping_manufacturing!$E$28/100</f>
        <v>0</v>
      </c>
      <c r="AK45" s="108">
        <f>AK$22*shipping_manufacturing!$E$28/100</f>
        <v>0</v>
      </c>
      <c r="AL45" s="108">
        <f>AL$22*shipping_manufacturing!$E$28/100</f>
        <v>0</v>
      </c>
      <c r="AM45" s="108">
        <f>AM$22*shipping_manufacturing!$E$28/100</f>
        <v>0</v>
      </c>
      <c r="AN45" s="108">
        <f>AN$22*shipping_manufacturing!$E$28/100</f>
        <v>0</v>
      </c>
      <c r="AO45" s="108">
        <f>AO$22*shipping_manufacturing!$E$28/100</f>
        <v>0</v>
      </c>
      <c r="AP45" s="108">
        <f>AP$22*shipping_manufacturing!$E$28/100</f>
        <v>0</v>
      </c>
      <c r="AQ45" s="108">
        <f>AQ$22*shipping_manufacturing!$E$28/100</f>
        <v>0</v>
      </c>
      <c r="AR45" s="108">
        <f>AR$22*shipping_manufacturing!$E$28/100</f>
        <v>0</v>
      </c>
      <c r="AS45" s="108">
        <f>AS$22*shipping_manufacturing!$E$28/100</f>
        <v>0</v>
      </c>
      <c r="AT45" s="108">
        <f>AT$22*shipping_manufacturing!$E$28/100</f>
        <v>0</v>
      </c>
      <c r="AU45" s="108">
        <f>AU$22*shipping_manufacturing!$E$28/100</f>
        <v>0</v>
      </c>
      <c r="AV45" s="108">
        <f>AV$22*shipping_manufacturing!$E$28/100</f>
        <v>0</v>
      </c>
      <c r="AW45" s="108">
        <f>AW$22*shipping_manufacturing!$E$28/100</f>
        <v>0</v>
      </c>
      <c r="AX45" s="108">
        <f>AX$22*shipping_manufacturing!$E$28/100</f>
        <v>0</v>
      </c>
      <c r="AY45" s="108">
        <f>AY$22*shipping_manufacturing!$E$28/100</f>
        <v>0</v>
      </c>
    </row>
    <row r="46" spans="1:52">
      <c r="A46" s="108">
        <v>2334</v>
      </c>
      <c r="B46" s="163" t="s">
        <v>344</v>
      </c>
      <c r="C46" s="108"/>
      <c r="D46" s="108">
        <f>SUM(D44:D45)</f>
        <v>71.571629999999999</v>
      </c>
      <c r="E46" s="108">
        <f t="shared" ref="E46:AY46" si="14">SUM(E44:E45)</f>
        <v>22.047126550488002</v>
      </c>
      <c r="F46" s="108">
        <f t="shared" si="14"/>
        <v>22.047126550488002</v>
      </c>
      <c r="G46" s="108">
        <f t="shared" si="14"/>
        <v>22.047126550488002</v>
      </c>
      <c r="H46" s="108">
        <f t="shared" si="14"/>
        <v>22.047126550488002</v>
      </c>
      <c r="I46" s="108">
        <f t="shared" si="14"/>
        <v>13.228275930292803</v>
      </c>
      <c r="J46" s="108">
        <f t="shared" si="14"/>
        <v>13.228275930292803</v>
      </c>
      <c r="K46" s="108">
        <f t="shared" si="14"/>
        <v>13.228275930292803</v>
      </c>
      <c r="L46" s="108">
        <f t="shared" si="14"/>
        <v>13.228275930292803</v>
      </c>
      <c r="M46" s="108">
        <f t="shared" si="14"/>
        <v>22.047126550488002</v>
      </c>
      <c r="N46" s="108">
        <f t="shared" si="14"/>
        <v>22.047126550488002</v>
      </c>
      <c r="O46" s="108">
        <f t="shared" si="14"/>
        <v>22.047126550488002</v>
      </c>
      <c r="P46" s="108">
        <f t="shared" si="14"/>
        <v>22.047126550488002</v>
      </c>
      <c r="Q46" s="108">
        <f t="shared" si="14"/>
        <v>13.228275930292803</v>
      </c>
      <c r="R46" s="108">
        <f t="shared" si="14"/>
        <v>13.228275930292803</v>
      </c>
      <c r="S46" s="108">
        <f t="shared" si="14"/>
        <v>13.228275930292803</v>
      </c>
      <c r="T46" s="108">
        <f t="shared" si="14"/>
        <v>13.228275930292803</v>
      </c>
      <c r="U46" s="108">
        <f t="shared" si="14"/>
        <v>13.228275930292803</v>
      </c>
      <c r="V46" s="108">
        <f t="shared" si="14"/>
        <v>13.228275930292803</v>
      </c>
      <c r="W46" s="108">
        <f t="shared" si="14"/>
        <v>13.228275930292803</v>
      </c>
      <c r="X46" s="108">
        <f t="shared" si="14"/>
        <v>13.228275930292803</v>
      </c>
      <c r="Y46" s="108">
        <f t="shared" si="14"/>
        <v>22.047126550488002</v>
      </c>
      <c r="Z46" s="108">
        <f t="shared" si="14"/>
        <v>22.047126550488002</v>
      </c>
      <c r="AA46" s="108">
        <f t="shared" si="14"/>
        <v>22.047126550488002</v>
      </c>
      <c r="AB46" s="108">
        <f t="shared" si="14"/>
        <v>22.047126550488002</v>
      </c>
      <c r="AC46" s="108">
        <f t="shared" si="14"/>
        <v>22.047126550488002</v>
      </c>
      <c r="AD46" s="108">
        <f t="shared" si="14"/>
        <v>22.047126550488002</v>
      </c>
      <c r="AE46" s="108">
        <f t="shared" si="14"/>
        <v>22.047126550488002</v>
      </c>
      <c r="AF46" s="108">
        <f t="shared" si="14"/>
        <v>22.047126550488002</v>
      </c>
      <c r="AG46" s="108">
        <f t="shared" si="14"/>
        <v>22.047126550488002</v>
      </c>
      <c r="AH46" s="108">
        <f t="shared" si="14"/>
        <v>22.047126550488002</v>
      </c>
      <c r="AI46" s="108">
        <f t="shared" si="14"/>
        <v>22.047126550488002</v>
      </c>
      <c r="AJ46" s="108">
        <f t="shared" si="14"/>
        <v>22.047126550488002</v>
      </c>
      <c r="AK46" s="108">
        <f t="shared" si="14"/>
        <v>11.023563275244001</v>
      </c>
      <c r="AL46" s="108">
        <f t="shared" si="14"/>
        <v>11.023563275244001</v>
      </c>
      <c r="AM46" s="108">
        <f t="shared" si="14"/>
        <v>11.023563275244001</v>
      </c>
      <c r="AN46" s="108">
        <f t="shared" si="14"/>
        <v>11.023563275244001</v>
      </c>
      <c r="AO46" s="108">
        <f t="shared" si="14"/>
        <v>19.842413895439201</v>
      </c>
      <c r="AP46" s="108">
        <f t="shared" si="14"/>
        <v>19.842413895439201</v>
      </c>
      <c r="AQ46" s="108">
        <f t="shared" si="14"/>
        <v>19.842413895439201</v>
      </c>
      <c r="AR46" s="108">
        <f t="shared" si="14"/>
        <v>19.842413895439201</v>
      </c>
      <c r="AS46" s="108">
        <f t="shared" si="14"/>
        <v>17.637701240390403</v>
      </c>
      <c r="AT46" s="108">
        <f t="shared" si="14"/>
        <v>17.637701240390403</v>
      </c>
      <c r="AU46" s="108">
        <f t="shared" si="14"/>
        <v>17.637701240390403</v>
      </c>
      <c r="AV46" s="108">
        <f t="shared" si="14"/>
        <v>17.637701240390403</v>
      </c>
      <c r="AW46" s="108">
        <f t="shared" si="14"/>
        <v>11.023563275244001</v>
      </c>
      <c r="AX46" s="108">
        <f t="shared" si="14"/>
        <v>0</v>
      </c>
      <c r="AY46" s="108">
        <f t="shared" si="14"/>
        <v>22.047126550488002</v>
      </c>
    </row>
    <row r="47" spans="1:52">
      <c r="A47" s="108"/>
      <c r="B47" s="163" t="s">
        <v>345</v>
      </c>
      <c r="C47" s="108"/>
      <c r="D47" s="108">
        <v>71.571629999999999</v>
      </c>
      <c r="E47" s="108">
        <v>22.047126550488002</v>
      </c>
      <c r="F47" s="108">
        <v>22.047126550488002</v>
      </c>
      <c r="G47" s="108">
        <v>22.047126550488002</v>
      </c>
      <c r="H47" s="108">
        <v>22.047126550488002</v>
      </c>
      <c r="I47" s="108">
        <v>13.228275930292803</v>
      </c>
      <c r="J47" s="108">
        <v>13.228275930292803</v>
      </c>
      <c r="K47" s="108">
        <v>13.228275930292803</v>
      </c>
      <c r="L47" s="108">
        <v>13.228275930292803</v>
      </c>
      <c r="M47" s="108">
        <v>22.047126550488002</v>
      </c>
      <c r="N47" s="108">
        <v>22.047126550488002</v>
      </c>
      <c r="O47" s="108">
        <v>22.047126550488002</v>
      </c>
      <c r="P47" s="108">
        <v>22.047126550488002</v>
      </c>
      <c r="Q47" s="108">
        <v>13.228275930292803</v>
      </c>
      <c r="R47" s="108">
        <v>13.228275930292803</v>
      </c>
      <c r="S47" s="108">
        <v>13.228275930292803</v>
      </c>
      <c r="T47" s="108">
        <v>13.228275930292803</v>
      </c>
      <c r="U47" s="108">
        <v>13.228275930292803</v>
      </c>
      <c r="V47" s="108">
        <v>13.228275930292803</v>
      </c>
      <c r="W47" s="108">
        <v>13.228275930292803</v>
      </c>
      <c r="X47" s="108">
        <v>13.228275930292803</v>
      </c>
      <c r="Y47" s="108">
        <v>22.047126550488002</v>
      </c>
      <c r="Z47" s="108">
        <v>22.047126550488002</v>
      </c>
      <c r="AA47" s="108">
        <v>22.047126550488002</v>
      </c>
      <c r="AB47" s="108">
        <v>22.047126550488002</v>
      </c>
      <c r="AC47" s="108">
        <v>22.047126550488002</v>
      </c>
      <c r="AD47" s="108">
        <v>22.047126550488002</v>
      </c>
      <c r="AE47" s="108">
        <v>22.047126550488002</v>
      </c>
      <c r="AF47" s="108">
        <v>22.047126550488002</v>
      </c>
      <c r="AG47" s="108">
        <v>22.047126550488002</v>
      </c>
      <c r="AH47" s="108">
        <v>22.047126550488002</v>
      </c>
      <c r="AI47" s="108">
        <v>22.047126550488002</v>
      </c>
      <c r="AJ47" s="108">
        <v>22.047126550488002</v>
      </c>
      <c r="AK47" s="108">
        <v>11.023563275244001</v>
      </c>
      <c r="AL47" s="108">
        <v>11.023563275244001</v>
      </c>
      <c r="AM47" s="108">
        <v>11.023563275244001</v>
      </c>
      <c r="AN47" s="108">
        <v>11.023563275244001</v>
      </c>
      <c r="AO47" s="108">
        <v>19.842413895439201</v>
      </c>
      <c r="AP47" s="108">
        <v>19.842413895439201</v>
      </c>
      <c r="AQ47" s="108">
        <v>19.842413895439201</v>
      </c>
      <c r="AR47" s="108">
        <v>19.842413895439201</v>
      </c>
      <c r="AS47" s="108">
        <v>17.637701240390403</v>
      </c>
      <c r="AT47" s="108">
        <v>17.637701240390403</v>
      </c>
      <c r="AU47" s="108">
        <v>17.637701240390403</v>
      </c>
      <c r="AV47" s="108">
        <v>17.637701240390403</v>
      </c>
      <c r="AW47" s="108">
        <v>11.023563275244001</v>
      </c>
      <c r="AX47" s="108"/>
      <c r="AY47" s="108">
        <v>22.047126550488002</v>
      </c>
    </row>
    <row r="48" spans="1:52">
      <c r="A48" s="108"/>
      <c r="B48" s="163" t="s">
        <v>346</v>
      </c>
      <c r="C48" s="108"/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0</v>
      </c>
      <c r="O48" s="108">
        <v>0</v>
      </c>
      <c r="P48" s="108">
        <v>0</v>
      </c>
      <c r="Q48" s="108">
        <v>0</v>
      </c>
      <c r="R48" s="108">
        <v>0</v>
      </c>
      <c r="S48" s="108">
        <v>0</v>
      </c>
      <c r="T48" s="108">
        <v>0</v>
      </c>
      <c r="U48" s="108">
        <v>0</v>
      </c>
      <c r="V48" s="108">
        <v>0</v>
      </c>
      <c r="W48" s="108">
        <v>0</v>
      </c>
      <c r="X48" s="108">
        <v>0</v>
      </c>
      <c r="Y48" s="108">
        <v>0</v>
      </c>
      <c r="Z48" s="108">
        <v>0</v>
      </c>
      <c r="AA48" s="108">
        <v>0</v>
      </c>
      <c r="AB48" s="108">
        <v>0</v>
      </c>
      <c r="AC48" s="108">
        <v>0</v>
      </c>
      <c r="AD48" s="108">
        <v>0</v>
      </c>
      <c r="AE48" s="108">
        <v>0</v>
      </c>
      <c r="AF48" s="108">
        <v>0</v>
      </c>
      <c r="AG48" s="108">
        <v>0</v>
      </c>
      <c r="AH48" s="108">
        <v>0</v>
      </c>
      <c r="AI48" s="108">
        <v>0</v>
      </c>
      <c r="AJ48" s="108">
        <v>0</v>
      </c>
      <c r="AK48" s="108">
        <v>0</v>
      </c>
      <c r="AL48" s="108">
        <v>0</v>
      </c>
      <c r="AM48" s="108">
        <v>0</v>
      </c>
      <c r="AN48" s="108">
        <v>0</v>
      </c>
      <c r="AO48" s="108">
        <v>0</v>
      </c>
      <c r="AP48" s="108">
        <v>0</v>
      </c>
      <c r="AQ48" s="108">
        <v>0</v>
      </c>
      <c r="AR48" s="108">
        <v>0</v>
      </c>
      <c r="AS48" s="108">
        <v>0</v>
      </c>
      <c r="AT48" s="108">
        <v>0</v>
      </c>
      <c r="AU48" s="108">
        <v>0</v>
      </c>
      <c r="AV48" s="108">
        <v>0</v>
      </c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>
        <v>3</v>
      </c>
      <c r="E49" s="108">
        <v>1</v>
      </c>
      <c r="F49" s="108">
        <v>1</v>
      </c>
      <c r="G49" s="108">
        <v>1</v>
      </c>
      <c r="H49" s="108">
        <v>1</v>
      </c>
      <c r="I49" s="108">
        <v>1</v>
      </c>
      <c r="J49" s="108">
        <v>1</v>
      </c>
      <c r="K49" s="108">
        <v>1</v>
      </c>
      <c r="L49" s="108">
        <v>1</v>
      </c>
      <c r="M49" s="108">
        <v>1</v>
      </c>
      <c r="N49" s="108">
        <v>1</v>
      </c>
      <c r="O49" s="108">
        <v>1</v>
      </c>
      <c r="P49" s="108">
        <v>1</v>
      </c>
      <c r="Q49" s="108">
        <v>1</v>
      </c>
      <c r="R49" s="108">
        <v>1</v>
      </c>
      <c r="S49" s="108">
        <v>1</v>
      </c>
      <c r="T49" s="108">
        <v>1</v>
      </c>
      <c r="U49" s="108">
        <v>1</v>
      </c>
      <c r="V49" s="108">
        <v>1</v>
      </c>
      <c r="W49" s="108">
        <v>1</v>
      </c>
      <c r="X49" s="108">
        <v>1</v>
      </c>
      <c r="Y49" s="108">
        <v>1</v>
      </c>
      <c r="Z49" s="108">
        <v>1</v>
      </c>
      <c r="AA49" s="108">
        <v>1</v>
      </c>
      <c r="AB49" s="108">
        <v>1</v>
      </c>
      <c r="AC49" s="108">
        <v>1</v>
      </c>
      <c r="AD49" s="108">
        <v>1</v>
      </c>
      <c r="AE49" s="108">
        <v>1</v>
      </c>
      <c r="AF49" s="108">
        <v>1</v>
      </c>
      <c r="AG49" s="108">
        <v>1</v>
      </c>
      <c r="AH49" s="108">
        <v>1</v>
      </c>
      <c r="AI49" s="108">
        <v>1</v>
      </c>
      <c r="AJ49" s="108">
        <v>1</v>
      </c>
      <c r="AK49" s="108">
        <v>1</v>
      </c>
      <c r="AL49" s="108">
        <v>1</v>
      </c>
      <c r="AM49" s="108">
        <v>1</v>
      </c>
      <c r="AN49" s="108">
        <v>1</v>
      </c>
      <c r="AO49" s="108">
        <v>1</v>
      </c>
      <c r="AP49" s="108">
        <v>1</v>
      </c>
      <c r="AQ49" s="108">
        <v>1</v>
      </c>
      <c r="AR49" s="108">
        <v>1</v>
      </c>
      <c r="AS49" s="108">
        <v>1</v>
      </c>
      <c r="AT49" s="108">
        <v>1</v>
      </c>
      <c r="AU49" s="108">
        <v>1</v>
      </c>
      <c r="AV49" s="108">
        <v>1</v>
      </c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3</v>
      </c>
      <c r="E52" s="108">
        <v>2</v>
      </c>
      <c r="F52" s="108">
        <v>3</v>
      </c>
      <c r="G52" s="108">
        <v>3</v>
      </c>
      <c r="H52" s="108">
        <v>3</v>
      </c>
      <c r="I52" s="108">
        <v>4</v>
      </c>
      <c r="J52" s="108">
        <v>3</v>
      </c>
      <c r="K52" s="108">
        <v>2</v>
      </c>
      <c r="L52" s="108">
        <v>4</v>
      </c>
      <c r="M52" s="108">
        <v>4</v>
      </c>
      <c r="N52" s="108">
        <v>2</v>
      </c>
      <c r="O52" s="108">
        <v>2</v>
      </c>
      <c r="P52" s="108">
        <v>2</v>
      </c>
      <c r="Q52" s="108">
        <v>4</v>
      </c>
      <c r="R52" s="108">
        <v>2</v>
      </c>
      <c r="S52" s="108">
        <v>3</v>
      </c>
      <c r="T52" s="108">
        <v>2</v>
      </c>
      <c r="U52" s="108">
        <v>2</v>
      </c>
      <c r="V52" s="108">
        <v>2</v>
      </c>
      <c r="W52" s="108">
        <v>2</v>
      </c>
      <c r="X52" s="108">
        <v>3</v>
      </c>
      <c r="Y52" s="108">
        <v>2</v>
      </c>
      <c r="Z52" s="108">
        <v>2</v>
      </c>
      <c r="AA52" s="108">
        <v>2</v>
      </c>
      <c r="AB52" s="108">
        <v>2</v>
      </c>
      <c r="AC52" s="108">
        <v>3</v>
      </c>
      <c r="AD52" s="108">
        <v>2</v>
      </c>
      <c r="AE52" s="108">
        <v>2</v>
      </c>
      <c r="AF52" s="108">
        <v>3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2</v>
      </c>
      <c r="AM52" s="108">
        <v>4</v>
      </c>
      <c r="AN52" s="108">
        <v>2</v>
      </c>
      <c r="AO52" s="108">
        <v>2</v>
      </c>
      <c r="AP52" s="108">
        <v>2</v>
      </c>
      <c r="AQ52" s="108">
        <v>2</v>
      </c>
      <c r="AR52" s="108">
        <v>2</v>
      </c>
      <c r="AS52" s="108">
        <v>3</v>
      </c>
      <c r="AT52" s="108">
        <v>2</v>
      </c>
      <c r="AU52" s="108">
        <v>3</v>
      </c>
      <c r="AV52" s="108">
        <v>2</v>
      </c>
      <c r="AW52" s="108">
        <v>4</v>
      </c>
      <c r="AX52" s="108">
        <v>2</v>
      </c>
      <c r="AY52" s="108">
        <v>4</v>
      </c>
    </row>
    <row r="53" spans="1:52">
      <c r="A53" s="108"/>
      <c r="B53" s="176" t="s">
        <v>351</v>
      </c>
      <c r="C53" s="108"/>
      <c r="D53" s="108">
        <v>252072</v>
      </c>
      <c r="E53" s="108">
        <v>84024</v>
      </c>
      <c r="F53" s="108">
        <v>84024</v>
      </c>
      <c r="G53" s="108">
        <v>84024</v>
      </c>
      <c r="H53" s="108">
        <v>84024</v>
      </c>
      <c r="I53" s="108">
        <v>84024</v>
      </c>
      <c r="J53" s="108">
        <v>84024</v>
      </c>
      <c r="K53" s="108">
        <v>84024</v>
      </c>
      <c r="L53" s="108">
        <v>84024</v>
      </c>
      <c r="M53" s="108">
        <v>84024</v>
      </c>
      <c r="N53" s="108">
        <v>84024</v>
      </c>
      <c r="O53" s="108">
        <v>84024</v>
      </c>
      <c r="P53" s="108">
        <v>84024</v>
      </c>
      <c r="Q53" s="108">
        <v>84024</v>
      </c>
      <c r="R53" s="108">
        <v>84024</v>
      </c>
      <c r="S53" s="108">
        <v>84024</v>
      </c>
      <c r="T53" s="108">
        <v>84024</v>
      </c>
      <c r="U53" s="108">
        <v>84024</v>
      </c>
      <c r="V53" s="108">
        <v>84024</v>
      </c>
      <c r="W53" s="108">
        <v>84024</v>
      </c>
      <c r="X53" s="108">
        <v>84024</v>
      </c>
      <c r="Y53" s="108">
        <v>84024</v>
      </c>
      <c r="Z53" s="108">
        <v>84024</v>
      </c>
      <c r="AA53" s="108">
        <v>84024</v>
      </c>
      <c r="AB53" s="108">
        <v>84024</v>
      </c>
      <c r="AC53" s="108">
        <v>84024</v>
      </c>
      <c r="AD53" s="108">
        <v>84024</v>
      </c>
      <c r="AE53" s="108">
        <v>84024</v>
      </c>
      <c r="AF53" s="108">
        <v>84024</v>
      </c>
      <c r="AG53" s="108">
        <v>84024</v>
      </c>
      <c r="AH53" s="108">
        <v>84024</v>
      </c>
      <c r="AI53" s="108">
        <v>84024</v>
      </c>
      <c r="AJ53" s="108">
        <v>84024</v>
      </c>
      <c r="AK53" s="108">
        <v>84024</v>
      </c>
      <c r="AL53" s="108">
        <v>84024</v>
      </c>
      <c r="AM53" s="108">
        <v>84024</v>
      </c>
      <c r="AN53" s="108">
        <v>84024</v>
      </c>
      <c r="AO53" s="108">
        <v>84024</v>
      </c>
      <c r="AP53" s="108">
        <v>84024</v>
      </c>
      <c r="AQ53" s="108">
        <v>84024</v>
      </c>
      <c r="AR53" s="108">
        <v>84024</v>
      </c>
      <c r="AS53" s="108">
        <v>84024</v>
      </c>
      <c r="AT53" s="108">
        <v>84024</v>
      </c>
      <c r="AU53" s="108">
        <v>84024</v>
      </c>
      <c r="AV53" s="108">
        <v>84024</v>
      </c>
      <c r="AW53" s="108">
        <v>84024</v>
      </c>
      <c r="AX53" s="108">
        <v>0</v>
      </c>
      <c r="AY53" s="108">
        <v>84024</v>
      </c>
      <c r="AZ53" s="98">
        <f>SUM($D$53:$AY$53)</f>
        <v>4117176</v>
      </c>
    </row>
    <row r="54" spans="1:52">
      <c r="A54" s="108"/>
      <c r="B54" s="176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 s="98">
        <f>SUM($D$54:$AY$54)</f>
        <v>0</v>
      </c>
    </row>
    <row r="55" spans="1:52">
      <c r="A55" s="133" t="s">
        <v>59</v>
      </c>
      <c r="B55" s="133" t="s">
        <v>342</v>
      </c>
      <c r="C55" s="122"/>
      <c r="D55" s="122">
        <f>D$21*shipping_manufacturing!$D$29/100</f>
        <v>227.37638999999999</v>
      </c>
      <c r="E55" s="122">
        <f>E$21*shipping_manufacturing!$D$29/100</f>
        <v>70.04166378386401</v>
      </c>
      <c r="F55" s="122">
        <f>F$21*shipping_manufacturing!$D$29/100</f>
        <v>70.04166378386401</v>
      </c>
      <c r="G55" s="122">
        <f>G$21*shipping_manufacturing!$D$29/100</f>
        <v>70.04166378386401</v>
      </c>
      <c r="H55" s="122">
        <f>H$21*shipping_manufacturing!$D$29/100</f>
        <v>70.04166378386401</v>
      </c>
      <c r="I55" s="122">
        <f>I$21*shipping_manufacturing!$D$29/100</f>
        <v>42.024998270318399</v>
      </c>
      <c r="J55" s="122">
        <f>J$21*shipping_manufacturing!$D$29/100</f>
        <v>42.024998270318399</v>
      </c>
      <c r="K55" s="122">
        <f>K$21*shipping_manufacturing!$D$29/100</f>
        <v>42.024998270318399</v>
      </c>
      <c r="L55" s="122">
        <f>L$21*shipping_manufacturing!$D$29/100</f>
        <v>42.024998270318399</v>
      </c>
      <c r="M55" s="122">
        <f>M$21*shipping_manufacturing!$D$29/100</f>
        <v>70.04166378386401</v>
      </c>
      <c r="N55" s="122">
        <f>N$21*shipping_manufacturing!$D$29/100</f>
        <v>70.04166378386401</v>
      </c>
      <c r="O55" s="122">
        <f>O$21*shipping_manufacturing!$D$29/100</f>
        <v>70.04166378386401</v>
      </c>
      <c r="P55" s="122">
        <f>P$21*shipping_manufacturing!$D$29/100</f>
        <v>70.04166378386401</v>
      </c>
      <c r="Q55" s="122">
        <f>Q$21*shipping_manufacturing!$D$29/100</f>
        <v>42.024998270318399</v>
      </c>
      <c r="R55" s="122">
        <f>R$21*shipping_manufacturing!$D$29/100</f>
        <v>42.024998270318399</v>
      </c>
      <c r="S55" s="122">
        <f>S$21*shipping_manufacturing!$D$29/100</f>
        <v>42.024998270318399</v>
      </c>
      <c r="T55" s="122">
        <f>T$21*shipping_manufacturing!$D$29/100</f>
        <v>42.024998270318399</v>
      </c>
      <c r="U55" s="122">
        <f>U$21*shipping_manufacturing!$D$29/100</f>
        <v>42.024998270318399</v>
      </c>
      <c r="V55" s="122">
        <f>V$21*shipping_manufacturing!$D$29/100</f>
        <v>42.024998270318399</v>
      </c>
      <c r="W55" s="122">
        <f>W$21*shipping_manufacturing!$D$29/100</f>
        <v>42.024998270318399</v>
      </c>
      <c r="X55" s="122">
        <f>X$21*shipping_manufacturing!$D$29/100</f>
        <v>42.024998270318399</v>
      </c>
      <c r="Y55" s="122">
        <f>Y$21*shipping_manufacturing!$D$29/100</f>
        <v>70.04166378386401</v>
      </c>
      <c r="Z55" s="122">
        <f>Z$21*shipping_manufacturing!$D$29/100</f>
        <v>70.04166378386401</v>
      </c>
      <c r="AA55" s="122">
        <f>AA$21*shipping_manufacturing!$D$29/100</f>
        <v>70.04166378386401</v>
      </c>
      <c r="AB55" s="122">
        <f>AB$21*shipping_manufacturing!$D$29/100</f>
        <v>70.04166378386401</v>
      </c>
      <c r="AC55" s="122">
        <f>AC$21*shipping_manufacturing!$D$29/100</f>
        <v>70.04166378386401</v>
      </c>
      <c r="AD55" s="122">
        <f>AD$21*shipping_manufacturing!$D$29/100</f>
        <v>70.04166378386401</v>
      </c>
      <c r="AE55" s="122">
        <f>AE$21*shipping_manufacturing!$D$29/100</f>
        <v>70.04166378386401</v>
      </c>
      <c r="AF55" s="122">
        <f>AF$21*shipping_manufacturing!$D$29/100</f>
        <v>70.04166378386401</v>
      </c>
      <c r="AG55" s="122">
        <f>AG$21*shipping_manufacturing!$D$29/100</f>
        <v>70.04166378386401</v>
      </c>
      <c r="AH55" s="122">
        <f>AH$21*shipping_manufacturing!$D$29/100</f>
        <v>70.04166378386401</v>
      </c>
      <c r="AI55" s="122">
        <f>AI$21*shipping_manufacturing!$D$29/100</f>
        <v>70.04166378386401</v>
      </c>
      <c r="AJ55" s="122">
        <f>AJ$21*shipping_manufacturing!$D$29/100</f>
        <v>70.04166378386401</v>
      </c>
      <c r="AK55" s="122">
        <f>AK$21*shipping_manufacturing!$D$29/100</f>
        <v>35.020831891932005</v>
      </c>
      <c r="AL55" s="122">
        <f>AL$21*shipping_manufacturing!$D$29/100</f>
        <v>35.020831891932005</v>
      </c>
      <c r="AM55" s="122">
        <f>AM$21*shipping_manufacturing!$D$29/100</f>
        <v>35.020831891932005</v>
      </c>
      <c r="AN55" s="122">
        <f>AN$21*shipping_manufacturing!$D$29/100</f>
        <v>35.020831891932005</v>
      </c>
      <c r="AO55" s="122">
        <f>AO$21*shipping_manufacturing!$D$29/100</f>
        <v>63.037497405477609</v>
      </c>
      <c r="AP55" s="122">
        <f>AP$21*shipping_manufacturing!$D$29/100</f>
        <v>63.037497405477609</v>
      </c>
      <c r="AQ55" s="122">
        <f>AQ$21*shipping_manufacturing!$D$29/100</f>
        <v>63.037497405477609</v>
      </c>
      <c r="AR55" s="122">
        <f>AR$21*shipping_manufacturing!$D$29/100</f>
        <v>63.037497405477609</v>
      </c>
      <c r="AS55" s="122">
        <f>AS$21*shipping_manufacturing!$D$29/100</f>
        <v>56.033331027091208</v>
      </c>
      <c r="AT55" s="122">
        <f>AT$21*shipping_manufacturing!$D$29/100</f>
        <v>56.033331027091208</v>
      </c>
      <c r="AU55" s="122">
        <f>AU$21*shipping_manufacturing!$D$29/100</f>
        <v>56.033331027091208</v>
      </c>
      <c r="AV55" s="122">
        <f>AV$21*shipping_manufacturing!$D$29/100</f>
        <v>56.033331027091208</v>
      </c>
      <c r="AW55" s="122">
        <f>AW$21*shipping_manufacturing!$D$29/100</f>
        <v>35.020831891932005</v>
      </c>
      <c r="AX55" s="122">
        <f>AX$21*shipping_manufacturing!$D$29/100</f>
        <v>0</v>
      </c>
      <c r="AY55" s="122">
        <f>AY$21*shipping_manufacturing!$D$29/100</f>
        <v>70.04166378386401</v>
      </c>
    </row>
    <row r="56" spans="1:52">
      <c r="A56" s="111" t="s">
        <v>341</v>
      </c>
      <c r="B56" s="163" t="s">
        <v>343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718</v>
      </c>
      <c r="B57" s="163" t="s">
        <v>344</v>
      </c>
      <c r="C57" s="108"/>
      <c r="D57" s="108">
        <f>SUM(D55:D56)</f>
        <v>227.37638999999999</v>
      </c>
      <c r="E57" s="108">
        <f t="shared" ref="E57:AY57" si="17">SUM(E55:E56)</f>
        <v>70.04166378386401</v>
      </c>
      <c r="F57" s="108">
        <f t="shared" si="17"/>
        <v>70.04166378386401</v>
      </c>
      <c r="G57" s="108">
        <f t="shared" si="17"/>
        <v>70.04166378386401</v>
      </c>
      <c r="H57" s="108">
        <f t="shared" si="17"/>
        <v>70.04166378386401</v>
      </c>
      <c r="I57" s="108">
        <f t="shared" si="17"/>
        <v>42.024998270318399</v>
      </c>
      <c r="J57" s="108">
        <f t="shared" si="17"/>
        <v>42.024998270318399</v>
      </c>
      <c r="K57" s="108">
        <f t="shared" si="17"/>
        <v>42.024998270318399</v>
      </c>
      <c r="L57" s="108">
        <f t="shared" si="17"/>
        <v>42.024998270318399</v>
      </c>
      <c r="M57" s="108">
        <f t="shared" si="17"/>
        <v>70.04166378386401</v>
      </c>
      <c r="N57" s="108">
        <f t="shared" si="17"/>
        <v>70.04166378386401</v>
      </c>
      <c r="O57" s="108">
        <f t="shared" si="17"/>
        <v>70.04166378386401</v>
      </c>
      <c r="P57" s="108">
        <f t="shared" si="17"/>
        <v>70.04166378386401</v>
      </c>
      <c r="Q57" s="108">
        <f t="shared" si="17"/>
        <v>42.024998270318399</v>
      </c>
      <c r="R57" s="108">
        <f t="shared" si="17"/>
        <v>42.024998270318399</v>
      </c>
      <c r="S57" s="108">
        <f t="shared" si="17"/>
        <v>42.024998270318399</v>
      </c>
      <c r="T57" s="108">
        <f t="shared" si="17"/>
        <v>42.024998270318399</v>
      </c>
      <c r="U57" s="108">
        <f t="shared" si="17"/>
        <v>42.024998270318399</v>
      </c>
      <c r="V57" s="108">
        <f t="shared" si="17"/>
        <v>42.024998270318399</v>
      </c>
      <c r="W57" s="108">
        <f t="shared" si="17"/>
        <v>42.024998270318399</v>
      </c>
      <c r="X57" s="108">
        <f t="shared" si="17"/>
        <v>42.024998270318399</v>
      </c>
      <c r="Y57" s="108">
        <f t="shared" si="17"/>
        <v>70.04166378386401</v>
      </c>
      <c r="Z57" s="108">
        <f t="shared" si="17"/>
        <v>70.04166378386401</v>
      </c>
      <c r="AA57" s="108">
        <f t="shared" si="17"/>
        <v>70.04166378386401</v>
      </c>
      <c r="AB57" s="108">
        <f t="shared" si="17"/>
        <v>70.04166378386401</v>
      </c>
      <c r="AC57" s="108">
        <f t="shared" si="17"/>
        <v>70.04166378386401</v>
      </c>
      <c r="AD57" s="108">
        <f t="shared" si="17"/>
        <v>70.04166378386401</v>
      </c>
      <c r="AE57" s="108">
        <f t="shared" si="17"/>
        <v>70.04166378386401</v>
      </c>
      <c r="AF57" s="108">
        <f t="shared" si="17"/>
        <v>70.04166378386401</v>
      </c>
      <c r="AG57" s="108">
        <f t="shared" si="17"/>
        <v>70.04166378386401</v>
      </c>
      <c r="AH57" s="108">
        <f t="shared" si="17"/>
        <v>70.04166378386401</v>
      </c>
      <c r="AI57" s="108">
        <f t="shared" si="17"/>
        <v>70.04166378386401</v>
      </c>
      <c r="AJ57" s="108">
        <f t="shared" si="17"/>
        <v>70.04166378386401</v>
      </c>
      <c r="AK57" s="108">
        <f t="shared" si="17"/>
        <v>35.020831891932005</v>
      </c>
      <c r="AL57" s="108">
        <f t="shared" si="17"/>
        <v>35.020831891932005</v>
      </c>
      <c r="AM57" s="108">
        <f t="shared" si="17"/>
        <v>35.020831891932005</v>
      </c>
      <c r="AN57" s="108">
        <f t="shared" si="17"/>
        <v>35.020831891932005</v>
      </c>
      <c r="AO57" s="108">
        <f t="shared" si="17"/>
        <v>63.037497405477609</v>
      </c>
      <c r="AP57" s="108">
        <f t="shared" si="17"/>
        <v>63.037497405477609</v>
      </c>
      <c r="AQ57" s="108">
        <f t="shared" si="17"/>
        <v>63.037497405477609</v>
      </c>
      <c r="AR57" s="108">
        <f t="shared" si="17"/>
        <v>63.037497405477609</v>
      </c>
      <c r="AS57" s="108">
        <f t="shared" si="17"/>
        <v>56.033331027091208</v>
      </c>
      <c r="AT57" s="108">
        <f t="shared" si="17"/>
        <v>56.033331027091208</v>
      </c>
      <c r="AU57" s="108">
        <f t="shared" si="17"/>
        <v>56.033331027091208</v>
      </c>
      <c r="AV57" s="108">
        <f t="shared" si="17"/>
        <v>56.033331027091208</v>
      </c>
      <c r="AW57" s="108">
        <f t="shared" si="17"/>
        <v>35.020831891932005</v>
      </c>
      <c r="AX57" s="108">
        <f t="shared" si="17"/>
        <v>0</v>
      </c>
      <c r="AY57" s="108">
        <f t="shared" si="17"/>
        <v>70.04166378386401</v>
      </c>
    </row>
    <row r="58" spans="1:52">
      <c r="A58" s="108"/>
      <c r="B58" s="163" t="s">
        <v>345</v>
      </c>
      <c r="C58" s="108"/>
      <c r="D58" s="108">
        <v>227.37638999999999</v>
      </c>
      <c r="E58" s="108">
        <v>70.04166378386401</v>
      </c>
      <c r="F58" s="108">
        <v>70.04166378386401</v>
      </c>
      <c r="G58" s="108">
        <v>70.04166378386401</v>
      </c>
      <c r="H58" s="108">
        <v>70.04166378386401</v>
      </c>
      <c r="I58" s="108">
        <v>42.024998270318399</v>
      </c>
      <c r="J58" s="108">
        <v>42.024998270318399</v>
      </c>
      <c r="K58" s="108">
        <v>42.024998270318399</v>
      </c>
      <c r="L58" s="108">
        <v>42.024998270318399</v>
      </c>
      <c r="M58" s="108">
        <v>70.04166378386401</v>
      </c>
      <c r="N58" s="108">
        <v>70.04166378386401</v>
      </c>
      <c r="O58" s="108">
        <v>70.04166378386401</v>
      </c>
      <c r="P58" s="108">
        <v>70.04166378386401</v>
      </c>
      <c r="Q58" s="108">
        <v>42.024998270318399</v>
      </c>
      <c r="R58" s="108">
        <v>42.024998270318399</v>
      </c>
      <c r="S58" s="108">
        <v>42.024998270318399</v>
      </c>
      <c r="T58" s="108">
        <v>42.024998270318399</v>
      </c>
      <c r="U58" s="108">
        <v>42.024998270318399</v>
      </c>
      <c r="V58" s="108">
        <v>42.024998270318399</v>
      </c>
      <c r="W58" s="108">
        <v>42.024998270318399</v>
      </c>
      <c r="X58" s="108">
        <v>42.024998270318399</v>
      </c>
      <c r="Y58" s="108">
        <v>70.04166378386401</v>
      </c>
      <c r="Z58" s="108">
        <v>70.04166378386401</v>
      </c>
      <c r="AA58" s="108">
        <v>70.04166378386401</v>
      </c>
      <c r="AB58" s="108">
        <v>70.04166378386401</v>
      </c>
      <c r="AC58" s="108">
        <v>70.04166378386401</v>
      </c>
      <c r="AD58" s="108">
        <v>70.04166378386401</v>
      </c>
      <c r="AE58" s="108">
        <v>70.04166378386401</v>
      </c>
      <c r="AF58" s="108">
        <v>70.04166378386401</v>
      </c>
      <c r="AG58" s="108">
        <v>70.04166378386401</v>
      </c>
      <c r="AH58" s="108">
        <v>70.04166378386401</v>
      </c>
      <c r="AI58" s="108">
        <v>70.04166378386401</v>
      </c>
      <c r="AJ58" s="108">
        <v>70.04166378386401</v>
      </c>
      <c r="AK58" s="108">
        <v>35.020831891932005</v>
      </c>
      <c r="AL58" s="108">
        <v>35.020831891932005</v>
      </c>
      <c r="AM58" s="108">
        <v>35.020831891932005</v>
      </c>
      <c r="AN58" s="108">
        <v>35.020831891932005</v>
      </c>
      <c r="AO58" s="108">
        <v>63.037497405477609</v>
      </c>
      <c r="AP58" s="108">
        <v>63.037497405477609</v>
      </c>
      <c r="AQ58" s="108">
        <v>63.037497405477609</v>
      </c>
      <c r="AR58" s="108">
        <v>63.037497405477609</v>
      </c>
      <c r="AS58" s="108">
        <v>56.033331027091208</v>
      </c>
      <c r="AT58" s="108">
        <v>56.033331027091208</v>
      </c>
      <c r="AU58" s="108">
        <v>56.033331027091208</v>
      </c>
      <c r="AV58" s="108">
        <v>56.033331027091208</v>
      </c>
      <c r="AW58" s="108">
        <v>35.020831891932005</v>
      </c>
      <c r="AX58" s="108"/>
      <c r="AY58" s="108">
        <v>70.04166378386401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/>
      <c r="AY59" s="108">
        <v>0</v>
      </c>
    </row>
    <row r="60" spans="1:52">
      <c r="A60" s="108"/>
      <c r="B60" s="163" t="s">
        <v>347</v>
      </c>
      <c r="C60" s="108"/>
      <c r="D60" s="108">
        <v>8</v>
      </c>
      <c r="E60" s="108">
        <v>3</v>
      </c>
      <c r="F60" s="108">
        <v>3</v>
      </c>
      <c r="G60" s="108">
        <v>3</v>
      </c>
      <c r="H60" s="108">
        <v>3</v>
      </c>
      <c r="I60" s="108">
        <v>2</v>
      </c>
      <c r="J60" s="108">
        <v>2</v>
      </c>
      <c r="K60" s="108">
        <v>2</v>
      </c>
      <c r="L60" s="108">
        <v>2</v>
      </c>
      <c r="M60" s="108">
        <v>3</v>
      </c>
      <c r="N60" s="108">
        <v>3</v>
      </c>
      <c r="O60" s="108">
        <v>3</v>
      </c>
      <c r="P60" s="108">
        <v>3</v>
      </c>
      <c r="Q60" s="108">
        <v>2</v>
      </c>
      <c r="R60" s="108">
        <v>2</v>
      </c>
      <c r="S60" s="108">
        <v>2</v>
      </c>
      <c r="T60" s="108">
        <v>2</v>
      </c>
      <c r="U60" s="108">
        <v>2</v>
      </c>
      <c r="V60" s="108">
        <v>2</v>
      </c>
      <c r="W60" s="108">
        <v>2</v>
      </c>
      <c r="X60" s="108">
        <v>2</v>
      </c>
      <c r="Y60" s="108">
        <v>3</v>
      </c>
      <c r="Z60" s="108">
        <v>3</v>
      </c>
      <c r="AA60" s="108">
        <v>3</v>
      </c>
      <c r="AB60" s="108">
        <v>3</v>
      </c>
      <c r="AC60" s="108">
        <v>3</v>
      </c>
      <c r="AD60" s="108">
        <v>3</v>
      </c>
      <c r="AE60" s="108">
        <v>3</v>
      </c>
      <c r="AF60" s="108">
        <v>3</v>
      </c>
      <c r="AG60" s="108">
        <v>3</v>
      </c>
      <c r="AH60" s="108">
        <v>3</v>
      </c>
      <c r="AI60" s="108">
        <v>3</v>
      </c>
      <c r="AJ60" s="108">
        <v>3</v>
      </c>
      <c r="AK60" s="108">
        <v>2</v>
      </c>
      <c r="AL60" s="108">
        <v>2</v>
      </c>
      <c r="AM60" s="108">
        <v>2</v>
      </c>
      <c r="AN60" s="108">
        <v>2</v>
      </c>
      <c r="AO60" s="108">
        <v>3</v>
      </c>
      <c r="AP60" s="108">
        <v>3</v>
      </c>
      <c r="AQ60" s="108">
        <v>3</v>
      </c>
      <c r="AR60" s="108">
        <v>3</v>
      </c>
      <c r="AS60" s="108">
        <v>2</v>
      </c>
      <c r="AT60" s="108">
        <v>2</v>
      </c>
      <c r="AU60" s="108">
        <v>2</v>
      </c>
      <c r="AV60" s="108">
        <v>2</v>
      </c>
      <c r="AW60" s="108">
        <v>2</v>
      </c>
      <c r="AX60" s="108"/>
      <c r="AY60" s="108">
        <v>3</v>
      </c>
    </row>
    <row r="61" spans="1:52">
      <c r="A61" s="108"/>
      <c r="B61" s="163" t="s">
        <v>348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2</v>
      </c>
      <c r="G63" s="108">
        <v>1</v>
      </c>
      <c r="H63" s="108">
        <v>1</v>
      </c>
      <c r="I63" s="108">
        <v>2</v>
      </c>
      <c r="J63" s="108">
        <v>1</v>
      </c>
      <c r="K63" s="108">
        <v>2</v>
      </c>
      <c r="L63" s="108">
        <v>2</v>
      </c>
      <c r="M63" s="108">
        <v>1</v>
      </c>
      <c r="N63" s="108">
        <v>1</v>
      </c>
      <c r="O63" s="108">
        <v>2</v>
      </c>
      <c r="P63" s="108">
        <v>1</v>
      </c>
      <c r="Q63" s="108">
        <v>1</v>
      </c>
      <c r="R63" s="108">
        <v>1</v>
      </c>
      <c r="S63" s="108">
        <v>1</v>
      </c>
      <c r="T63" s="108">
        <v>2</v>
      </c>
      <c r="U63" s="108">
        <v>3</v>
      </c>
      <c r="V63" s="108">
        <v>1</v>
      </c>
      <c r="W63" s="108">
        <v>1</v>
      </c>
      <c r="X63" s="108">
        <v>1</v>
      </c>
      <c r="Y63" s="108">
        <v>1</v>
      </c>
      <c r="Z63" s="108">
        <v>1</v>
      </c>
      <c r="AA63" s="108">
        <v>1</v>
      </c>
      <c r="AB63" s="108">
        <v>3</v>
      </c>
      <c r="AC63" s="108">
        <v>1</v>
      </c>
      <c r="AD63" s="108">
        <v>1</v>
      </c>
      <c r="AE63" s="108">
        <v>3</v>
      </c>
      <c r="AF63" s="108">
        <v>1</v>
      </c>
      <c r="AG63" s="108">
        <v>2</v>
      </c>
      <c r="AH63" s="108">
        <v>1</v>
      </c>
      <c r="AI63" s="108">
        <v>1</v>
      </c>
      <c r="AJ63" s="108">
        <v>2</v>
      </c>
      <c r="AK63" s="108">
        <v>1</v>
      </c>
      <c r="AL63" s="108">
        <v>1</v>
      </c>
      <c r="AM63" s="108">
        <v>1</v>
      </c>
      <c r="AN63" s="108">
        <v>1</v>
      </c>
      <c r="AO63" s="108">
        <v>2</v>
      </c>
      <c r="AP63" s="108">
        <v>1</v>
      </c>
      <c r="AQ63" s="108">
        <v>1</v>
      </c>
      <c r="AR63" s="108">
        <v>2</v>
      </c>
      <c r="AS63" s="108">
        <v>1</v>
      </c>
      <c r="AT63" s="108">
        <v>2</v>
      </c>
      <c r="AU63" s="108">
        <v>2</v>
      </c>
      <c r="AV63" s="108">
        <v>3</v>
      </c>
      <c r="AW63" s="108">
        <v>3</v>
      </c>
      <c r="AX63" s="108">
        <v>1</v>
      </c>
      <c r="AY63" s="108">
        <v>3</v>
      </c>
    </row>
    <row r="64" spans="1:52">
      <c r="A64" s="108"/>
      <c r="B64" s="176" t="s">
        <v>351</v>
      </c>
      <c r="C64" s="108"/>
      <c r="D64" s="108">
        <v>206784</v>
      </c>
      <c r="E64" s="108">
        <v>77544</v>
      </c>
      <c r="F64" s="108">
        <v>77544</v>
      </c>
      <c r="G64" s="108">
        <v>77544</v>
      </c>
      <c r="H64" s="108">
        <v>77544</v>
      </c>
      <c r="I64" s="108">
        <v>51696</v>
      </c>
      <c r="J64" s="108">
        <v>51696</v>
      </c>
      <c r="K64" s="108">
        <v>51696</v>
      </c>
      <c r="L64" s="108">
        <v>51696</v>
      </c>
      <c r="M64" s="108">
        <v>77544</v>
      </c>
      <c r="N64" s="108">
        <v>77544</v>
      </c>
      <c r="O64" s="108">
        <v>77544</v>
      </c>
      <c r="P64" s="108">
        <v>77544</v>
      </c>
      <c r="Q64" s="108">
        <v>51696</v>
      </c>
      <c r="R64" s="108">
        <v>51696</v>
      </c>
      <c r="S64" s="108">
        <v>51696</v>
      </c>
      <c r="T64" s="108">
        <v>51696</v>
      </c>
      <c r="U64" s="108">
        <v>51696</v>
      </c>
      <c r="V64" s="108">
        <v>51696</v>
      </c>
      <c r="W64" s="108">
        <v>51696</v>
      </c>
      <c r="X64" s="108">
        <v>51696</v>
      </c>
      <c r="Y64" s="108">
        <v>77544</v>
      </c>
      <c r="Z64" s="108">
        <v>77544</v>
      </c>
      <c r="AA64" s="108">
        <v>77544</v>
      </c>
      <c r="AB64" s="108">
        <v>77544</v>
      </c>
      <c r="AC64" s="108">
        <v>77544</v>
      </c>
      <c r="AD64" s="108">
        <v>77544</v>
      </c>
      <c r="AE64" s="108">
        <v>77544</v>
      </c>
      <c r="AF64" s="108">
        <v>77544</v>
      </c>
      <c r="AG64" s="108">
        <v>77544</v>
      </c>
      <c r="AH64" s="108">
        <v>77544</v>
      </c>
      <c r="AI64" s="108">
        <v>77544</v>
      </c>
      <c r="AJ64" s="108">
        <v>77544</v>
      </c>
      <c r="AK64" s="108">
        <v>51696</v>
      </c>
      <c r="AL64" s="108">
        <v>51696</v>
      </c>
      <c r="AM64" s="108">
        <v>51696</v>
      </c>
      <c r="AN64" s="108">
        <v>51696</v>
      </c>
      <c r="AO64" s="108">
        <v>77544</v>
      </c>
      <c r="AP64" s="108">
        <v>77544</v>
      </c>
      <c r="AQ64" s="108">
        <v>77544</v>
      </c>
      <c r="AR64" s="108">
        <v>77544</v>
      </c>
      <c r="AS64" s="108">
        <v>51696</v>
      </c>
      <c r="AT64" s="108">
        <v>51696</v>
      </c>
      <c r="AU64" s="108">
        <v>51696</v>
      </c>
      <c r="AV64" s="108">
        <v>51696</v>
      </c>
      <c r="AW64" s="108">
        <v>51696</v>
      </c>
      <c r="AX64" s="108">
        <v>0</v>
      </c>
      <c r="AY64" s="108">
        <v>77544</v>
      </c>
      <c r="AZ64" s="98">
        <f>SUM($D$64:$AY$64)</f>
        <v>3231000</v>
      </c>
    </row>
    <row r="65" spans="1:52">
      <c r="A65" s="123"/>
      <c r="B65" s="138" t="s">
        <v>352</v>
      </c>
      <c r="C65" s="123"/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3">
        <v>0</v>
      </c>
      <c r="AP65" s="123">
        <v>0</v>
      </c>
      <c r="AQ65" s="123">
        <v>0</v>
      </c>
      <c r="AR65" s="123">
        <v>0</v>
      </c>
      <c r="AS65" s="123">
        <v>0</v>
      </c>
      <c r="AT65" s="123">
        <v>0</v>
      </c>
      <c r="AU65" s="123">
        <v>0</v>
      </c>
      <c r="AV65" s="123">
        <v>0</v>
      </c>
      <c r="AW65" s="123">
        <v>0</v>
      </c>
      <c r="AX65" s="123">
        <v>0</v>
      </c>
      <c r="AY65" s="123">
        <v>0</v>
      </c>
      <c r="AZ65" s="98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10</v>
      </c>
      <c r="E2" s="108"/>
    </row>
    <row r="3" spans="1:52">
      <c r="A3" s="98" t="s">
        <v>287</v>
      </c>
      <c r="B3" s="105">
        <v>500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389.86699500000003</v>
      </c>
      <c r="E7" s="142">
        <v>389.86699500000003</v>
      </c>
      <c r="F7" s="142">
        <v>389.86699500000003</v>
      </c>
      <c r="G7" s="142">
        <v>389.86699500000003</v>
      </c>
      <c r="H7" s="142">
        <v>268.71734078910379</v>
      </c>
      <c r="I7" s="142">
        <v>404.92883519999998</v>
      </c>
      <c r="J7" s="142">
        <v>404.92883519999998</v>
      </c>
      <c r="K7" s="142">
        <v>404.92883519999998</v>
      </c>
      <c r="L7" s="142">
        <v>447.43874399999999</v>
      </c>
      <c r="M7" s="142">
        <v>447.43874399999999</v>
      </c>
      <c r="N7" s="142">
        <v>447.43874399999999</v>
      </c>
      <c r="O7" s="142">
        <v>447.43874399999999</v>
      </c>
      <c r="P7" s="142">
        <v>404.92883519999998</v>
      </c>
      <c r="Q7" s="142">
        <v>404.92883519999998</v>
      </c>
      <c r="R7" s="142">
        <v>404.92883519999998</v>
      </c>
      <c r="S7" s="142">
        <v>404.92883519999998</v>
      </c>
      <c r="T7" s="142">
        <v>404.92883519999998</v>
      </c>
      <c r="U7" s="142">
        <v>404.92883519999998</v>
      </c>
      <c r="V7" s="142">
        <v>404.92883519999998</v>
      </c>
      <c r="W7" s="142">
        <v>404.92883519999998</v>
      </c>
      <c r="X7" s="142">
        <v>447.43874399999999</v>
      </c>
      <c r="Y7" s="142">
        <v>447.43874399999999</v>
      </c>
      <c r="Z7" s="142">
        <v>447.43874399999999</v>
      </c>
      <c r="AA7" s="142">
        <v>447.43874399999999</v>
      </c>
      <c r="AB7" s="142">
        <v>389.86699499999997</v>
      </c>
      <c r="AC7" s="142">
        <v>389.86699499999997</v>
      </c>
      <c r="AD7" s="142">
        <v>389.86699499999997</v>
      </c>
      <c r="AE7" s="142">
        <v>318.65754005590878</v>
      </c>
      <c r="AF7" s="142">
        <v>447.43874399999999</v>
      </c>
      <c r="AG7" s="142">
        <v>447.43874399999999</v>
      </c>
      <c r="AH7" s="142">
        <v>447.43874399999999</v>
      </c>
      <c r="AI7" s="142">
        <v>447.43874399999999</v>
      </c>
      <c r="AJ7" s="142">
        <v>394.30135799999999</v>
      </c>
      <c r="AK7" s="142">
        <v>394.30135799999999</v>
      </c>
      <c r="AL7" s="142">
        <v>394.30135799999999</v>
      </c>
      <c r="AM7" s="142">
        <v>394.30135799999999</v>
      </c>
      <c r="AN7" s="142">
        <v>436.8112668</v>
      </c>
      <c r="AO7" s="142">
        <v>436.8112668</v>
      </c>
      <c r="AP7" s="142">
        <v>436.8112668</v>
      </c>
      <c r="AQ7" s="142">
        <v>436.8112668</v>
      </c>
      <c r="AR7" s="142">
        <v>426.18378960000001</v>
      </c>
      <c r="AS7" s="142">
        <v>426.18378960000001</v>
      </c>
      <c r="AT7" s="142">
        <v>426.18378960000001</v>
      </c>
      <c r="AU7" s="142">
        <v>426.18378960000001</v>
      </c>
      <c r="AV7" s="142">
        <v>404.96240339999997</v>
      </c>
      <c r="AW7" s="142">
        <v>404.96240339999997</v>
      </c>
      <c r="AX7" s="142">
        <v>404.96240339999997</v>
      </c>
      <c r="AY7" s="142">
        <v>404.96240339999997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309.85767039999996</v>
      </c>
      <c r="U10" s="142">
        <f t="shared" si="0"/>
        <v>0</v>
      </c>
      <c r="V10" s="142">
        <f t="shared" si="0"/>
        <v>309.85767039999996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394.87748799999997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1014.5928287999999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500</v>
      </c>
      <c r="D13" s="136">
        <f t="shared" ref="D13:AY13" si="1">D$7-D$10</f>
        <v>389.86699500000003</v>
      </c>
      <c r="E13" s="136">
        <f t="shared" si="1"/>
        <v>389.86699500000003</v>
      </c>
      <c r="F13" s="136">
        <f t="shared" si="1"/>
        <v>389.86699500000003</v>
      </c>
      <c r="G13" s="136">
        <f t="shared" si="1"/>
        <v>389.86699500000003</v>
      </c>
      <c r="H13" s="136">
        <f t="shared" si="1"/>
        <v>268.71734078910379</v>
      </c>
      <c r="I13" s="136">
        <f t="shared" si="1"/>
        <v>404.92883519999998</v>
      </c>
      <c r="J13" s="136">
        <f t="shared" si="1"/>
        <v>404.92883519999998</v>
      </c>
      <c r="K13" s="136">
        <f t="shared" si="1"/>
        <v>404.92883519999998</v>
      </c>
      <c r="L13" s="136">
        <f t="shared" si="1"/>
        <v>447.43874399999999</v>
      </c>
      <c r="M13" s="136">
        <f t="shared" si="1"/>
        <v>447.43874399999999</v>
      </c>
      <c r="N13" s="136">
        <f t="shared" si="1"/>
        <v>447.43874399999999</v>
      </c>
      <c r="O13" s="136">
        <f t="shared" si="1"/>
        <v>447.43874399999999</v>
      </c>
      <c r="P13" s="136">
        <f t="shared" si="1"/>
        <v>404.92883519999998</v>
      </c>
      <c r="Q13" s="136">
        <f t="shared" si="1"/>
        <v>404.92883519999998</v>
      </c>
      <c r="R13" s="136">
        <f t="shared" si="1"/>
        <v>404.92883519999998</v>
      </c>
      <c r="S13" s="136">
        <f t="shared" si="1"/>
        <v>404.92883519999998</v>
      </c>
      <c r="T13" s="136">
        <f t="shared" si="1"/>
        <v>95.07116480000002</v>
      </c>
      <c r="U13" s="136">
        <f t="shared" si="1"/>
        <v>404.92883519999998</v>
      </c>
      <c r="V13" s="136">
        <f t="shared" si="1"/>
        <v>95.07116480000002</v>
      </c>
      <c r="W13" s="136">
        <f t="shared" si="1"/>
        <v>404.92883519999998</v>
      </c>
      <c r="X13" s="136">
        <f t="shared" si="1"/>
        <v>447.43874399999999</v>
      </c>
      <c r="Y13" s="136">
        <f t="shared" si="1"/>
        <v>447.43874399999999</v>
      </c>
      <c r="Z13" s="136">
        <f t="shared" si="1"/>
        <v>447.43874399999999</v>
      </c>
      <c r="AA13" s="136">
        <f t="shared" si="1"/>
        <v>52.561256000000014</v>
      </c>
      <c r="AB13" s="136">
        <f t="shared" si="1"/>
        <v>389.86699499999997</v>
      </c>
      <c r="AC13" s="136">
        <f t="shared" si="1"/>
        <v>389.86699499999997</v>
      </c>
      <c r="AD13" s="136">
        <f t="shared" si="1"/>
        <v>389.86699499999997</v>
      </c>
      <c r="AE13" s="136">
        <f t="shared" si="1"/>
        <v>318.65754005590878</v>
      </c>
      <c r="AF13" s="136">
        <f t="shared" si="1"/>
        <v>447.43874399999999</v>
      </c>
      <c r="AG13" s="136">
        <f t="shared" si="1"/>
        <v>447.43874399999999</v>
      </c>
      <c r="AH13" s="136">
        <f t="shared" si="1"/>
        <v>447.43874399999999</v>
      </c>
      <c r="AI13" s="136">
        <f t="shared" si="1"/>
        <v>447.43874399999999</v>
      </c>
      <c r="AJ13" s="136">
        <f t="shared" si="1"/>
        <v>394.30135799999999</v>
      </c>
      <c r="AK13" s="136">
        <f t="shared" si="1"/>
        <v>394.30135799999999</v>
      </c>
      <c r="AL13" s="136">
        <f t="shared" si="1"/>
        <v>394.30135799999999</v>
      </c>
      <c r="AM13" s="136">
        <f t="shared" si="1"/>
        <v>394.30135799999999</v>
      </c>
      <c r="AN13" s="136">
        <f t="shared" si="1"/>
        <v>436.8112668</v>
      </c>
      <c r="AO13" s="136">
        <f t="shared" si="1"/>
        <v>436.8112668</v>
      </c>
      <c r="AP13" s="136">
        <f t="shared" si="1"/>
        <v>436.8112668</v>
      </c>
      <c r="AQ13" s="136">
        <f t="shared" si="1"/>
        <v>436.8112668</v>
      </c>
      <c r="AR13" s="136">
        <f t="shared" si="1"/>
        <v>426.18378960000001</v>
      </c>
      <c r="AS13" s="136">
        <f t="shared" si="1"/>
        <v>426.18378960000001</v>
      </c>
      <c r="AT13" s="136">
        <f t="shared" si="1"/>
        <v>426.18378960000001</v>
      </c>
      <c r="AU13" s="136">
        <f t="shared" si="1"/>
        <v>426.18378960000001</v>
      </c>
      <c r="AV13" s="136">
        <f t="shared" si="1"/>
        <v>404.96240339999997</v>
      </c>
      <c r="AW13" s="136">
        <f t="shared" si="1"/>
        <v>404.96240339999997</v>
      </c>
      <c r="AX13" s="136">
        <f t="shared" si="1"/>
        <v>404.96240339999997</v>
      </c>
      <c r="AY13" s="136">
        <f t="shared" si="1"/>
        <v>404.96240339999997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404.92883519999998</v>
      </c>
      <c r="U14" s="104">
        <f t="shared" si="2"/>
        <v>0</v>
      </c>
      <c r="V14" s="104">
        <f t="shared" si="2"/>
        <v>404.92883519999998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447.43874399999999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 t="s">
        <v>340</v>
      </c>
      <c r="T20" s="115"/>
      <c r="U20" s="115" t="s">
        <v>340</v>
      </c>
      <c r="V20" s="115"/>
      <c r="W20" s="115"/>
      <c r="X20" s="115"/>
      <c r="Y20" s="115"/>
      <c r="Z20" s="115" t="s">
        <v>340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shipping_manufacturing!$E$19/100</f>
        <v>1</v>
      </c>
      <c r="C21" s="154" t="s">
        <v>294</v>
      </c>
      <c r="D21" s="104">
        <f>IF(C$20="Yes",0,SUM(C$13:C$16)*$B$21)</f>
        <v>500</v>
      </c>
      <c r="E21" s="104">
        <f t="shared" ref="E21:AY21" si="3">IF(D$20="Yes",0,SUM(D$13:D$16)*$B$21)</f>
        <v>389.86699500000003</v>
      </c>
      <c r="F21" s="104">
        <f t="shared" si="3"/>
        <v>389.86699500000003</v>
      </c>
      <c r="G21" s="104">
        <f t="shared" si="3"/>
        <v>389.86699500000003</v>
      </c>
      <c r="H21" s="104">
        <f t="shared" si="3"/>
        <v>389.86699500000003</v>
      </c>
      <c r="I21" s="104">
        <f t="shared" si="3"/>
        <v>268.71734078910379</v>
      </c>
      <c r="J21" s="104">
        <f t="shared" si="3"/>
        <v>404.92883519999998</v>
      </c>
      <c r="K21" s="104">
        <f t="shared" si="3"/>
        <v>404.92883519999998</v>
      </c>
      <c r="L21" s="104">
        <f t="shared" si="3"/>
        <v>404.92883519999998</v>
      </c>
      <c r="M21" s="104">
        <f t="shared" si="3"/>
        <v>447.43874399999999</v>
      </c>
      <c r="N21" s="104">
        <f t="shared" si="3"/>
        <v>447.43874399999999</v>
      </c>
      <c r="O21" s="104">
        <f t="shared" si="3"/>
        <v>447.43874399999999</v>
      </c>
      <c r="P21" s="104">
        <f t="shared" si="3"/>
        <v>447.43874399999999</v>
      </c>
      <c r="Q21" s="104">
        <f t="shared" si="3"/>
        <v>404.92883519999998</v>
      </c>
      <c r="R21" s="104">
        <f t="shared" si="3"/>
        <v>404.92883519999998</v>
      </c>
      <c r="S21" s="104">
        <f t="shared" si="3"/>
        <v>404.92883519999998</v>
      </c>
      <c r="T21" s="104">
        <f t="shared" si="3"/>
        <v>0</v>
      </c>
      <c r="U21" s="104">
        <f t="shared" si="3"/>
        <v>500</v>
      </c>
      <c r="V21" s="104">
        <f t="shared" si="3"/>
        <v>0</v>
      </c>
      <c r="W21" s="104">
        <f t="shared" si="3"/>
        <v>500</v>
      </c>
      <c r="X21" s="104">
        <f t="shared" si="3"/>
        <v>404.92883519999998</v>
      </c>
      <c r="Y21" s="104">
        <f t="shared" si="3"/>
        <v>447.43874399999999</v>
      </c>
      <c r="Z21" s="104">
        <f t="shared" si="3"/>
        <v>447.43874399999999</v>
      </c>
      <c r="AA21" s="104">
        <f t="shared" si="3"/>
        <v>0</v>
      </c>
      <c r="AB21" s="104">
        <f t="shared" si="3"/>
        <v>500</v>
      </c>
      <c r="AC21" s="104">
        <f t="shared" si="3"/>
        <v>389.86699499999997</v>
      </c>
      <c r="AD21" s="104">
        <f t="shared" si="3"/>
        <v>389.86699499999997</v>
      </c>
      <c r="AE21" s="104">
        <f t="shared" si="3"/>
        <v>389.86699499999997</v>
      </c>
      <c r="AF21" s="104">
        <f t="shared" si="3"/>
        <v>318.65754005590878</v>
      </c>
      <c r="AG21" s="104">
        <f t="shared" si="3"/>
        <v>447.43874399999999</v>
      </c>
      <c r="AH21" s="104">
        <f t="shared" si="3"/>
        <v>447.43874399999999</v>
      </c>
      <c r="AI21" s="104">
        <f t="shared" si="3"/>
        <v>447.43874399999999</v>
      </c>
      <c r="AJ21" s="104">
        <f t="shared" si="3"/>
        <v>447.43874399999999</v>
      </c>
      <c r="AK21" s="104">
        <f t="shared" si="3"/>
        <v>394.30135799999999</v>
      </c>
      <c r="AL21" s="104">
        <f t="shared" si="3"/>
        <v>394.30135799999999</v>
      </c>
      <c r="AM21" s="104">
        <f t="shared" si="3"/>
        <v>394.30135799999999</v>
      </c>
      <c r="AN21" s="104">
        <f t="shared" si="3"/>
        <v>394.30135799999999</v>
      </c>
      <c r="AO21" s="104">
        <f t="shared" si="3"/>
        <v>436.8112668</v>
      </c>
      <c r="AP21" s="104">
        <f t="shared" si="3"/>
        <v>436.8112668</v>
      </c>
      <c r="AQ21" s="104">
        <f t="shared" si="3"/>
        <v>436.8112668</v>
      </c>
      <c r="AR21" s="104">
        <f t="shared" si="3"/>
        <v>436.8112668</v>
      </c>
      <c r="AS21" s="104">
        <f t="shared" si="3"/>
        <v>426.18378960000001</v>
      </c>
      <c r="AT21" s="104">
        <f t="shared" si="3"/>
        <v>426.18378960000001</v>
      </c>
      <c r="AU21" s="104">
        <f t="shared" si="3"/>
        <v>426.18378960000001</v>
      </c>
      <c r="AV21" s="104">
        <f t="shared" si="3"/>
        <v>426.18378960000001</v>
      </c>
      <c r="AW21" s="104">
        <f t="shared" si="3"/>
        <v>404.96240339999997</v>
      </c>
      <c r="AX21" s="104">
        <f t="shared" si="3"/>
        <v>404.96240339999997</v>
      </c>
      <c r="AY21" s="104">
        <f t="shared" si="3"/>
        <v>404.96240339999997</v>
      </c>
      <c r="AZ21" s="155">
        <f>SUM($D21:$AY21)</f>
        <v>18869.406000045012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1000000</v>
      </c>
      <c r="E23" s="98">
        <f t="shared" ref="E23:AY23" si="6">E$21*$B$23</f>
        <v>779733.99000000011</v>
      </c>
      <c r="F23" s="98">
        <f t="shared" si="6"/>
        <v>779733.99000000011</v>
      </c>
      <c r="G23" s="98">
        <f t="shared" si="6"/>
        <v>779733.99000000011</v>
      </c>
      <c r="H23" s="98">
        <f t="shared" si="6"/>
        <v>779733.99000000011</v>
      </c>
      <c r="I23" s="98">
        <f t="shared" si="6"/>
        <v>537434.68157820753</v>
      </c>
      <c r="J23" s="98">
        <f t="shared" si="6"/>
        <v>809857.67039999994</v>
      </c>
      <c r="K23" s="98">
        <f t="shared" si="6"/>
        <v>809857.67039999994</v>
      </c>
      <c r="L23" s="98">
        <f t="shared" si="6"/>
        <v>809857.67039999994</v>
      </c>
      <c r="M23" s="98">
        <f t="shared" si="6"/>
        <v>894877.48800000001</v>
      </c>
      <c r="N23" s="98">
        <f t="shared" si="6"/>
        <v>894877.48800000001</v>
      </c>
      <c r="O23" s="98">
        <f t="shared" si="6"/>
        <v>894877.48800000001</v>
      </c>
      <c r="P23" s="98">
        <f t="shared" si="6"/>
        <v>894877.48800000001</v>
      </c>
      <c r="Q23" s="98">
        <f t="shared" si="6"/>
        <v>809857.67039999994</v>
      </c>
      <c r="R23" s="98">
        <f t="shared" si="6"/>
        <v>809857.67039999994</v>
      </c>
      <c r="S23" s="98">
        <f t="shared" si="6"/>
        <v>809857.67039999994</v>
      </c>
      <c r="T23" s="98">
        <f t="shared" si="6"/>
        <v>0</v>
      </c>
      <c r="U23" s="98">
        <f t="shared" si="6"/>
        <v>1000000</v>
      </c>
      <c r="V23" s="98">
        <f t="shared" si="6"/>
        <v>0</v>
      </c>
      <c r="W23" s="98">
        <f t="shared" si="6"/>
        <v>1000000</v>
      </c>
      <c r="X23" s="98">
        <f t="shared" si="6"/>
        <v>809857.67039999994</v>
      </c>
      <c r="Y23" s="98">
        <f t="shared" si="6"/>
        <v>894877.48800000001</v>
      </c>
      <c r="Z23" s="98">
        <f t="shared" si="6"/>
        <v>894877.48800000001</v>
      </c>
      <c r="AA23" s="98">
        <f t="shared" si="6"/>
        <v>0</v>
      </c>
      <c r="AB23" s="98">
        <f t="shared" si="6"/>
        <v>1000000</v>
      </c>
      <c r="AC23" s="98">
        <f t="shared" si="6"/>
        <v>779733.99</v>
      </c>
      <c r="AD23" s="98">
        <f t="shared" si="6"/>
        <v>779733.99</v>
      </c>
      <c r="AE23" s="98">
        <f t="shared" si="6"/>
        <v>779733.99</v>
      </c>
      <c r="AF23" s="98">
        <f t="shared" si="6"/>
        <v>637315.08011181757</v>
      </c>
      <c r="AG23" s="98">
        <f t="shared" si="6"/>
        <v>894877.48800000001</v>
      </c>
      <c r="AH23" s="98">
        <f t="shared" si="6"/>
        <v>894877.48800000001</v>
      </c>
      <c r="AI23" s="98">
        <f t="shared" si="6"/>
        <v>894877.48800000001</v>
      </c>
      <c r="AJ23" s="98">
        <f t="shared" si="6"/>
        <v>894877.48800000001</v>
      </c>
      <c r="AK23" s="98">
        <f t="shared" si="6"/>
        <v>788602.71600000001</v>
      </c>
      <c r="AL23" s="98">
        <f t="shared" si="6"/>
        <v>788602.71600000001</v>
      </c>
      <c r="AM23" s="98">
        <f t="shared" si="6"/>
        <v>788602.71600000001</v>
      </c>
      <c r="AN23" s="98">
        <f t="shared" si="6"/>
        <v>788602.71600000001</v>
      </c>
      <c r="AO23" s="98">
        <f t="shared" si="6"/>
        <v>873622.53359999997</v>
      </c>
      <c r="AP23" s="98">
        <f t="shared" si="6"/>
        <v>873622.53359999997</v>
      </c>
      <c r="AQ23" s="98">
        <f t="shared" si="6"/>
        <v>873622.53359999997</v>
      </c>
      <c r="AR23" s="98">
        <f t="shared" si="6"/>
        <v>873622.53359999997</v>
      </c>
      <c r="AS23" s="98">
        <f t="shared" si="6"/>
        <v>852367.57920000004</v>
      </c>
      <c r="AT23" s="98">
        <f t="shared" si="6"/>
        <v>852367.57920000004</v>
      </c>
      <c r="AU23" s="98">
        <f t="shared" si="6"/>
        <v>852367.57920000004</v>
      </c>
      <c r="AV23" s="98">
        <f t="shared" si="6"/>
        <v>852367.57920000004</v>
      </c>
      <c r="AW23" s="98">
        <f t="shared" si="6"/>
        <v>809924.8067999999</v>
      </c>
      <c r="AX23" s="98">
        <f t="shared" si="6"/>
        <v>809924.8067999999</v>
      </c>
      <c r="AY23" s="98">
        <f t="shared" si="6"/>
        <v>809924.8067999999</v>
      </c>
      <c r="AZ23" s="137">
        <f t="shared" si="5"/>
        <v>37738812.000090018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17</v>
      </c>
      <c r="D27" s="122">
        <f>C$27-C$28+C$29</f>
        <v>5</v>
      </c>
      <c r="E27" s="122">
        <f t="shared" ref="E27:AY27" si="8">D27-D28+D29</f>
        <v>17</v>
      </c>
      <c r="F27" s="122">
        <f t="shared" si="8"/>
        <v>8</v>
      </c>
      <c r="G27" s="122">
        <f t="shared" si="8"/>
        <v>14</v>
      </c>
      <c r="H27" s="122">
        <f t="shared" si="8"/>
        <v>8</v>
      </c>
      <c r="I27" s="122">
        <f t="shared" si="8"/>
        <v>14</v>
      </c>
      <c r="J27" s="122">
        <f t="shared" si="8"/>
        <v>11</v>
      </c>
      <c r="K27" s="122">
        <f t="shared" si="8"/>
        <v>11</v>
      </c>
      <c r="L27" s="122">
        <f t="shared" si="8"/>
        <v>11</v>
      </c>
      <c r="M27" s="122">
        <f t="shared" si="8"/>
        <v>11</v>
      </c>
      <c r="N27" s="122">
        <f t="shared" si="8"/>
        <v>11</v>
      </c>
      <c r="O27" s="122">
        <f t="shared" si="8"/>
        <v>11</v>
      </c>
      <c r="P27" s="122">
        <f t="shared" si="8"/>
        <v>11</v>
      </c>
      <c r="Q27" s="122">
        <f t="shared" si="8"/>
        <v>11</v>
      </c>
      <c r="R27" s="122">
        <f t="shared" si="8"/>
        <v>11</v>
      </c>
      <c r="S27" s="122">
        <f t="shared" si="8"/>
        <v>11</v>
      </c>
      <c r="T27" s="122">
        <f t="shared" si="8"/>
        <v>11</v>
      </c>
      <c r="U27" s="122">
        <f t="shared" si="8"/>
        <v>22</v>
      </c>
      <c r="V27" s="122">
        <f t="shared" si="8"/>
        <v>4</v>
      </c>
      <c r="W27" s="122">
        <f t="shared" si="8"/>
        <v>22</v>
      </c>
      <c r="X27" s="122">
        <f t="shared" si="8"/>
        <v>4</v>
      </c>
      <c r="Y27" s="122">
        <f t="shared" si="8"/>
        <v>18</v>
      </c>
      <c r="Z27" s="122">
        <f t="shared" si="8"/>
        <v>6</v>
      </c>
      <c r="AA27" s="122">
        <f t="shared" si="8"/>
        <v>16</v>
      </c>
      <c r="AB27" s="122">
        <f t="shared" si="8"/>
        <v>22</v>
      </c>
      <c r="AC27" s="122">
        <f t="shared" si="8"/>
        <v>4</v>
      </c>
      <c r="AD27" s="122">
        <f t="shared" si="8"/>
        <v>18</v>
      </c>
      <c r="AE27" s="122">
        <f t="shared" si="8"/>
        <v>8</v>
      </c>
      <c r="AF27" s="122">
        <f t="shared" si="8"/>
        <v>14</v>
      </c>
      <c r="AG27" s="122">
        <f t="shared" si="8"/>
        <v>10</v>
      </c>
      <c r="AH27" s="122">
        <f t="shared" si="8"/>
        <v>12</v>
      </c>
      <c r="AI27" s="122">
        <f t="shared" si="8"/>
        <v>10</v>
      </c>
      <c r="AJ27" s="122">
        <f t="shared" si="8"/>
        <v>12</v>
      </c>
      <c r="AK27" s="122">
        <f t="shared" si="8"/>
        <v>10</v>
      </c>
      <c r="AL27" s="122">
        <f t="shared" si="8"/>
        <v>12</v>
      </c>
      <c r="AM27" s="122">
        <f t="shared" si="8"/>
        <v>10</v>
      </c>
      <c r="AN27" s="122">
        <f t="shared" si="8"/>
        <v>12</v>
      </c>
      <c r="AO27" s="122">
        <f t="shared" si="8"/>
        <v>10</v>
      </c>
      <c r="AP27" s="122">
        <f t="shared" si="8"/>
        <v>12</v>
      </c>
      <c r="AQ27" s="122">
        <f t="shared" si="8"/>
        <v>10</v>
      </c>
      <c r="AR27" s="122">
        <f t="shared" si="8"/>
        <v>12</v>
      </c>
      <c r="AS27" s="122">
        <f t="shared" si="8"/>
        <v>10</v>
      </c>
      <c r="AT27" s="122">
        <f t="shared" si="8"/>
        <v>12</v>
      </c>
      <c r="AU27" s="122">
        <f t="shared" si="8"/>
        <v>10</v>
      </c>
      <c r="AV27" s="122">
        <f t="shared" si="8"/>
        <v>12</v>
      </c>
      <c r="AW27" s="122">
        <f t="shared" si="8"/>
        <v>10</v>
      </c>
      <c r="AX27" s="122">
        <f t="shared" si="8"/>
        <v>12</v>
      </c>
      <c r="AY27" s="162">
        <f t="shared" si="8"/>
        <v>10</v>
      </c>
      <c r="AZ27" s="104"/>
    </row>
    <row r="28" spans="1:52">
      <c r="B28" s="163" t="s">
        <v>311</v>
      </c>
      <c r="C28" s="108">
        <v>17</v>
      </c>
      <c r="D28" s="108">
        <v>5</v>
      </c>
      <c r="E28" s="108">
        <v>14</v>
      </c>
      <c r="F28" s="108">
        <v>8</v>
      </c>
      <c r="G28" s="108">
        <v>14</v>
      </c>
      <c r="H28" s="108">
        <v>8</v>
      </c>
      <c r="I28" s="108">
        <v>11</v>
      </c>
      <c r="J28" s="108">
        <v>11</v>
      </c>
      <c r="K28" s="108">
        <v>11</v>
      </c>
      <c r="L28" s="108">
        <v>11</v>
      </c>
      <c r="M28" s="108">
        <v>11</v>
      </c>
      <c r="N28" s="108">
        <v>11</v>
      </c>
      <c r="O28" s="108">
        <v>11</v>
      </c>
      <c r="P28" s="108">
        <v>11</v>
      </c>
      <c r="Q28" s="108">
        <v>11</v>
      </c>
      <c r="R28" s="108">
        <v>11</v>
      </c>
      <c r="S28" s="108">
        <v>11</v>
      </c>
      <c r="T28" s="108">
        <v>0</v>
      </c>
      <c r="U28" s="108">
        <v>18</v>
      </c>
      <c r="V28" s="108">
        <v>0</v>
      </c>
      <c r="W28" s="108">
        <v>18</v>
      </c>
      <c r="X28" s="108">
        <v>4</v>
      </c>
      <c r="Y28" s="108">
        <v>16</v>
      </c>
      <c r="Z28" s="108">
        <v>6</v>
      </c>
      <c r="AA28" s="108">
        <v>0</v>
      </c>
      <c r="AB28" s="108">
        <v>18</v>
      </c>
      <c r="AC28" s="108">
        <v>4</v>
      </c>
      <c r="AD28" s="108">
        <v>14</v>
      </c>
      <c r="AE28" s="108">
        <v>8</v>
      </c>
      <c r="AF28" s="108">
        <v>12</v>
      </c>
      <c r="AG28" s="108">
        <v>10</v>
      </c>
      <c r="AH28" s="108">
        <v>12</v>
      </c>
      <c r="AI28" s="108">
        <v>10</v>
      </c>
      <c r="AJ28" s="108">
        <v>12</v>
      </c>
      <c r="AK28" s="108">
        <v>10</v>
      </c>
      <c r="AL28" s="108">
        <v>12</v>
      </c>
      <c r="AM28" s="108">
        <v>10</v>
      </c>
      <c r="AN28" s="108">
        <v>12</v>
      </c>
      <c r="AO28" s="108">
        <v>10</v>
      </c>
      <c r="AP28" s="108">
        <v>12</v>
      </c>
      <c r="AQ28" s="108">
        <v>10</v>
      </c>
      <c r="AR28" s="108">
        <v>12</v>
      </c>
      <c r="AS28" s="108">
        <v>10</v>
      </c>
      <c r="AT28" s="108">
        <v>12</v>
      </c>
      <c r="AU28" s="108">
        <v>10</v>
      </c>
      <c r="AV28" s="108">
        <v>12</v>
      </c>
      <c r="AW28" s="108">
        <v>10</v>
      </c>
      <c r="AX28" s="108">
        <v>12</v>
      </c>
      <c r="AY28" s="164">
        <v>10</v>
      </c>
      <c r="AZ28" s="104"/>
    </row>
    <row r="29" spans="1:52">
      <c r="B29" s="134" t="s">
        <v>312</v>
      </c>
      <c r="C29" s="123">
        <v>5</v>
      </c>
      <c r="D29" s="123">
        <f>C$28</f>
        <v>17</v>
      </c>
      <c r="E29" s="123">
        <f t="shared" ref="E29:AY29" si="9">D$28</f>
        <v>5</v>
      </c>
      <c r="F29" s="123">
        <f t="shared" si="9"/>
        <v>14</v>
      </c>
      <c r="G29" s="123">
        <f t="shared" si="9"/>
        <v>8</v>
      </c>
      <c r="H29" s="123">
        <f t="shared" si="9"/>
        <v>14</v>
      </c>
      <c r="I29" s="123">
        <f t="shared" si="9"/>
        <v>8</v>
      </c>
      <c r="J29" s="123">
        <f t="shared" si="9"/>
        <v>11</v>
      </c>
      <c r="K29" s="123">
        <f t="shared" si="9"/>
        <v>11</v>
      </c>
      <c r="L29" s="123">
        <f t="shared" si="9"/>
        <v>11</v>
      </c>
      <c r="M29" s="123">
        <f t="shared" si="9"/>
        <v>11</v>
      </c>
      <c r="N29" s="123">
        <f t="shared" si="9"/>
        <v>11</v>
      </c>
      <c r="O29" s="123">
        <f t="shared" si="9"/>
        <v>11</v>
      </c>
      <c r="P29" s="123">
        <f t="shared" si="9"/>
        <v>11</v>
      </c>
      <c r="Q29" s="123">
        <f t="shared" si="9"/>
        <v>11</v>
      </c>
      <c r="R29" s="123">
        <f t="shared" si="9"/>
        <v>11</v>
      </c>
      <c r="S29" s="123">
        <f t="shared" si="9"/>
        <v>11</v>
      </c>
      <c r="T29" s="123">
        <f t="shared" si="9"/>
        <v>11</v>
      </c>
      <c r="U29" s="123">
        <f t="shared" si="9"/>
        <v>0</v>
      </c>
      <c r="V29" s="123">
        <f t="shared" si="9"/>
        <v>18</v>
      </c>
      <c r="W29" s="123">
        <f t="shared" si="9"/>
        <v>0</v>
      </c>
      <c r="X29" s="123">
        <f t="shared" si="9"/>
        <v>18</v>
      </c>
      <c r="Y29" s="123">
        <f t="shared" si="9"/>
        <v>4</v>
      </c>
      <c r="Z29" s="123">
        <f t="shared" si="9"/>
        <v>16</v>
      </c>
      <c r="AA29" s="123">
        <f t="shared" si="9"/>
        <v>6</v>
      </c>
      <c r="AB29" s="123">
        <f t="shared" si="9"/>
        <v>0</v>
      </c>
      <c r="AC29" s="123">
        <f t="shared" si="9"/>
        <v>18</v>
      </c>
      <c r="AD29" s="123">
        <f t="shared" si="9"/>
        <v>4</v>
      </c>
      <c r="AE29" s="123">
        <f t="shared" si="9"/>
        <v>14</v>
      </c>
      <c r="AF29" s="123">
        <f t="shared" si="9"/>
        <v>8</v>
      </c>
      <c r="AG29" s="123">
        <f t="shared" si="9"/>
        <v>12</v>
      </c>
      <c r="AH29" s="123">
        <f t="shared" si="9"/>
        <v>10</v>
      </c>
      <c r="AI29" s="123">
        <f t="shared" si="9"/>
        <v>12</v>
      </c>
      <c r="AJ29" s="123">
        <f t="shared" si="9"/>
        <v>10</v>
      </c>
      <c r="AK29" s="123">
        <f t="shared" si="9"/>
        <v>12</v>
      </c>
      <c r="AL29" s="123">
        <f t="shared" si="9"/>
        <v>10</v>
      </c>
      <c r="AM29" s="123">
        <f t="shared" si="9"/>
        <v>12</v>
      </c>
      <c r="AN29" s="123">
        <f t="shared" si="9"/>
        <v>10</v>
      </c>
      <c r="AO29" s="123">
        <f t="shared" si="9"/>
        <v>12</v>
      </c>
      <c r="AP29" s="123">
        <f t="shared" si="9"/>
        <v>10</v>
      </c>
      <c r="AQ29" s="123">
        <f t="shared" si="9"/>
        <v>12</v>
      </c>
      <c r="AR29" s="123">
        <f t="shared" si="9"/>
        <v>10</v>
      </c>
      <c r="AS29" s="123">
        <f t="shared" si="9"/>
        <v>12</v>
      </c>
      <c r="AT29" s="123">
        <f t="shared" si="9"/>
        <v>10</v>
      </c>
      <c r="AU29" s="123">
        <f t="shared" si="9"/>
        <v>12</v>
      </c>
      <c r="AV29" s="123">
        <f t="shared" si="9"/>
        <v>10</v>
      </c>
      <c r="AW29" s="123">
        <f t="shared" si="9"/>
        <v>12</v>
      </c>
      <c r="AX29" s="123">
        <f t="shared" si="9"/>
        <v>10</v>
      </c>
      <c r="AY29" s="165">
        <f t="shared" si="9"/>
        <v>12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50</v>
      </c>
      <c r="E30" s="115">
        <f t="shared" ref="E30:AY30" si="10">E$27*$B$30</f>
        <v>170</v>
      </c>
      <c r="F30" s="115">
        <f t="shared" si="10"/>
        <v>80</v>
      </c>
      <c r="G30" s="115">
        <f t="shared" si="10"/>
        <v>140</v>
      </c>
      <c r="H30" s="115">
        <f t="shared" si="10"/>
        <v>80</v>
      </c>
      <c r="I30" s="115">
        <f t="shared" si="10"/>
        <v>140</v>
      </c>
      <c r="J30" s="115">
        <f t="shared" si="10"/>
        <v>110</v>
      </c>
      <c r="K30" s="115">
        <f t="shared" si="10"/>
        <v>110</v>
      </c>
      <c r="L30" s="115">
        <f t="shared" si="10"/>
        <v>110</v>
      </c>
      <c r="M30" s="115">
        <f t="shared" si="10"/>
        <v>110</v>
      </c>
      <c r="N30" s="115">
        <f t="shared" si="10"/>
        <v>110</v>
      </c>
      <c r="O30" s="115">
        <f t="shared" si="10"/>
        <v>110</v>
      </c>
      <c r="P30" s="115">
        <f t="shared" si="10"/>
        <v>110</v>
      </c>
      <c r="Q30" s="115">
        <f t="shared" si="10"/>
        <v>110</v>
      </c>
      <c r="R30" s="115">
        <f>R$27*$B$30</f>
        <v>110</v>
      </c>
      <c r="S30" s="115">
        <f t="shared" si="10"/>
        <v>110</v>
      </c>
      <c r="T30" s="115">
        <f t="shared" si="10"/>
        <v>110</v>
      </c>
      <c r="U30" s="115">
        <f t="shared" si="10"/>
        <v>220</v>
      </c>
      <c r="V30" s="115">
        <f t="shared" si="10"/>
        <v>40</v>
      </c>
      <c r="W30" s="115">
        <f t="shared" si="10"/>
        <v>220</v>
      </c>
      <c r="X30" s="115">
        <f t="shared" si="10"/>
        <v>40</v>
      </c>
      <c r="Y30" s="115">
        <f t="shared" si="10"/>
        <v>180</v>
      </c>
      <c r="Z30" s="115">
        <f t="shared" si="10"/>
        <v>60</v>
      </c>
      <c r="AA30" s="115">
        <f t="shared" si="10"/>
        <v>160</v>
      </c>
      <c r="AB30" s="115">
        <f t="shared" si="10"/>
        <v>220</v>
      </c>
      <c r="AC30" s="115">
        <f t="shared" si="10"/>
        <v>40</v>
      </c>
      <c r="AD30" s="115">
        <f t="shared" si="10"/>
        <v>180</v>
      </c>
      <c r="AE30" s="115">
        <f>AE$27*$B$30</f>
        <v>80</v>
      </c>
      <c r="AF30" s="115">
        <f t="shared" si="10"/>
        <v>140</v>
      </c>
      <c r="AG30" s="115">
        <f t="shared" si="10"/>
        <v>100</v>
      </c>
      <c r="AH30" s="115">
        <f t="shared" si="10"/>
        <v>120</v>
      </c>
      <c r="AI30" s="115">
        <f t="shared" si="10"/>
        <v>100</v>
      </c>
      <c r="AJ30" s="115">
        <f t="shared" si="10"/>
        <v>120</v>
      </c>
      <c r="AK30" s="115">
        <f t="shared" si="10"/>
        <v>100</v>
      </c>
      <c r="AL30" s="115">
        <f t="shared" si="10"/>
        <v>120</v>
      </c>
      <c r="AM30" s="115">
        <f t="shared" si="10"/>
        <v>100</v>
      </c>
      <c r="AN30" s="115">
        <f t="shared" si="10"/>
        <v>120</v>
      </c>
      <c r="AO30" s="115">
        <f t="shared" si="10"/>
        <v>100</v>
      </c>
      <c r="AP30" s="115">
        <f t="shared" si="10"/>
        <v>120</v>
      </c>
      <c r="AQ30" s="115">
        <f t="shared" si="10"/>
        <v>100</v>
      </c>
      <c r="AR30" s="115">
        <f t="shared" si="10"/>
        <v>120</v>
      </c>
      <c r="AS30" s="115">
        <f t="shared" si="10"/>
        <v>100</v>
      </c>
      <c r="AT30" s="115">
        <f t="shared" si="10"/>
        <v>120</v>
      </c>
      <c r="AU30" s="115">
        <f t="shared" si="10"/>
        <v>100</v>
      </c>
      <c r="AV30" s="115">
        <f t="shared" si="10"/>
        <v>120</v>
      </c>
      <c r="AW30" s="115">
        <f t="shared" si="10"/>
        <v>100</v>
      </c>
      <c r="AX30" s="115">
        <f t="shared" si="10"/>
        <v>120</v>
      </c>
      <c r="AY30" s="115">
        <f t="shared" si="10"/>
        <v>100</v>
      </c>
      <c r="AZ30" s="139">
        <f t="shared" si="5"/>
        <v>5530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D$21*shipping_manufacturing!$F$27/100</f>
        <v>66.302000000000007</v>
      </c>
      <c r="E33" s="122">
        <f>E$21*shipping_manufacturing!$F$27/100</f>
        <v>51.697923004980005</v>
      </c>
      <c r="F33" s="122">
        <f>F$21*shipping_manufacturing!$F$27/100</f>
        <v>51.697923004980005</v>
      </c>
      <c r="G33" s="122">
        <f>G$21*shipping_manufacturing!$F$27/100</f>
        <v>51.697923004980005</v>
      </c>
      <c r="H33" s="122">
        <f>H$21*shipping_manufacturing!$F$27/100</f>
        <v>51.697923004980005</v>
      </c>
      <c r="I33" s="122">
        <f>I$21*shipping_manufacturing!$F$27/100</f>
        <v>35.63299425799832</v>
      </c>
      <c r="J33" s="122">
        <f>J$21*shipping_manufacturing!$F$27/100</f>
        <v>53.695183262860802</v>
      </c>
      <c r="K33" s="122">
        <f>K$21*shipping_manufacturing!$F$27/100</f>
        <v>53.695183262860802</v>
      </c>
      <c r="L33" s="122">
        <f>L$21*shipping_manufacturing!$F$27/100</f>
        <v>53.695183262860802</v>
      </c>
      <c r="M33" s="122">
        <f>M$21*shipping_manufacturing!$F$27/100</f>
        <v>59.332167209376003</v>
      </c>
      <c r="N33" s="122">
        <f>N$21*shipping_manufacturing!$F$27/100</f>
        <v>59.332167209376003</v>
      </c>
      <c r="O33" s="122">
        <f>O$21*shipping_manufacturing!$F$27/100</f>
        <v>59.332167209376003</v>
      </c>
      <c r="P33" s="122">
        <f>P$21*shipping_manufacturing!$F$27/100</f>
        <v>59.332167209376003</v>
      </c>
      <c r="Q33" s="122">
        <f>Q$21*shipping_manufacturing!$F$27/100</f>
        <v>53.695183262860802</v>
      </c>
      <c r="R33" s="122">
        <f>R$21*shipping_manufacturing!$F$27/100</f>
        <v>53.695183262860802</v>
      </c>
      <c r="S33" s="122">
        <f>S$21*shipping_manufacturing!$F$27/100</f>
        <v>53.695183262860802</v>
      </c>
      <c r="T33" s="122">
        <f>T$21*shipping_manufacturing!$F$27/100</f>
        <v>0</v>
      </c>
      <c r="U33" s="122">
        <f>U$21*shipping_manufacturing!$F$27/100</f>
        <v>66.302000000000007</v>
      </c>
      <c r="V33" s="122">
        <f>V$21*shipping_manufacturing!$F$27/100</f>
        <v>0</v>
      </c>
      <c r="W33" s="122">
        <f>W$21*shipping_manufacturing!$F$27/100</f>
        <v>66.302000000000007</v>
      </c>
      <c r="X33" s="122">
        <f>X$21*shipping_manufacturing!$F$27/100</f>
        <v>53.695183262860802</v>
      </c>
      <c r="Y33" s="122">
        <f>Y$21*shipping_manufacturing!$F$27/100</f>
        <v>59.332167209376003</v>
      </c>
      <c r="Z33" s="122">
        <f>Z$21*shipping_manufacturing!$F$27/100</f>
        <v>59.332167209376003</v>
      </c>
      <c r="AA33" s="122">
        <f>AA$21*shipping_manufacturing!$F$27/100</f>
        <v>0</v>
      </c>
      <c r="AB33" s="122">
        <f>AB$21*shipping_manufacturing!$F$27/100</f>
        <v>66.302000000000007</v>
      </c>
      <c r="AC33" s="122">
        <f>AC$21*shipping_manufacturing!$F$27/100</f>
        <v>51.697923004980005</v>
      </c>
      <c r="AD33" s="122">
        <f>AD$21*shipping_manufacturing!$F$27/100</f>
        <v>51.697923004980005</v>
      </c>
      <c r="AE33" s="122">
        <f>AE$21*shipping_manufacturing!$F$27/100</f>
        <v>51.697923004980005</v>
      </c>
      <c r="AF33" s="122">
        <f>AF$21*shipping_manufacturing!$F$27/100</f>
        <v>42.255264441573729</v>
      </c>
      <c r="AG33" s="122">
        <f>AG$21*shipping_manufacturing!$F$27/100</f>
        <v>59.332167209376003</v>
      </c>
      <c r="AH33" s="122">
        <f>AH$21*shipping_manufacturing!$F$27/100</f>
        <v>59.332167209376003</v>
      </c>
      <c r="AI33" s="122">
        <f>AI$21*shipping_manufacturing!$F$27/100</f>
        <v>59.332167209376003</v>
      </c>
      <c r="AJ33" s="122">
        <f>AJ$21*shipping_manufacturing!$F$27/100</f>
        <v>59.332167209376003</v>
      </c>
      <c r="AK33" s="122">
        <f>AK$21*shipping_manufacturing!$F$27/100</f>
        <v>52.285937276231998</v>
      </c>
      <c r="AL33" s="122">
        <f>AL$21*shipping_manufacturing!$F$27/100</f>
        <v>52.285937276231998</v>
      </c>
      <c r="AM33" s="122">
        <f>AM$21*shipping_manufacturing!$F$27/100</f>
        <v>52.285937276231998</v>
      </c>
      <c r="AN33" s="122">
        <f>AN$21*shipping_manufacturing!$F$27/100</f>
        <v>52.285937276231998</v>
      </c>
      <c r="AO33" s="122">
        <f>AO$21*shipping_manufacturing!$F$27/100</f>
        <v>57.922921222747199</v>
      </c>
      <c r="AP33" s="122">
        <f>AP$21*shipping_manufacturing!$F$27/100</f>
        <v>57.922921222747199</v>
      </c>
      <c r="AQ33" s="122">
        <f>AQ$21*shipping_manufacturing!$F$27/100</f>
        <v>57.922921222747199</v>
      </c>
      <c r="AR33" s="122">
        <f>AR$21*shipping_manufacturing!$F$27/100</f>
        <v>57.922921222747199</v>
      </c>
      <c r="AS33" s="122">
        <f>AS$21*shipping_manufacturing!$F$27/100</f>
        <v>56.513675236118409</v>
      </c>
      <c r="AT33" s="122">
        <f>AT$21*shipping_manufacturing!$F$27/100</f>
        <v>56.513675236118409</v>
      </c>
      <c r="AU33" s="122">
        <f>AU$21*shipping_manufacturing!$F$27/100</f>
        <v>56.513675236118409</v>
      </c>
      <c r="AV33" s="122">
        <f>AV$21*shipping_manufacturing!$F$27/100</f>
        <v>56.513675236118409</v>
      </c>
      <c r="AW33" s="122">
        <f>AW$21*shipping_manufacturing!$F$27/100</f>
        <v>53.699634540453602</v>
      </c>
      <c r="AX33" s="122">
        <f>AX$21*shipping_manufacturing!$F$27/100</f>
        <v>53.699634540453602</v>
      </c>
      <c r="AY33" s="122">
        <f>AY$21*shipping_manufacturing!$F$27/100</f>
        <v>53.699634540453602</v>
      </c>
    </row>
    <row r="34" spans="1:52">
      <c r="A34" s="111" t="s">
        <v>341</v>
      </c>
      <c r="B34" s="163" t="s">
        <v>343</v>
      </c>
      <c r="C34" s="108"/>
      <c r="D34" s="108">
        <f>D$22*shipping_manufacturing!$G$27/100</f>
        <v>0</v>
      </c>
      <c r="E34" s="108">
        <f>E$22*shipping_manufacturing!$G$27/100</f>
        <v>0</v>
      </c>
      <c r="F34" s="108">
        <f>F$22*shipping_manufacturing!$G$27/100</f>
        <v>0</v>
      </c>
      <c r="G34" s="108">
        <f>G$22*shipping_manufacturing!$G$27/100</f>
        <v>0</v>
      </c>
      <c r="H34" s="108">
        <f>H$22*shipping_manufacturing!$G$27/100</f>
        <v>0</v>
      </c>
      <c r="I34" s="108">
        <f>I$22*shipping_manufacturing!$G$27/100</f>
        <v>0</v>
      </c>
      <c r="J34" s="108">
        <f>J$22*shipping_manufacturing!$G$27/100</f>
        <v>0</v>
      </c>
      <c r="K34" s="108">
        <f>K$22*shipping_manufacturing!$G$27/100</f>
        <v>0</v>
      </c>
      <c r="L34" s="108">
        <f>L$22*shipping_manufacturing!$G$27/100</f>
        <v>0</v>
      </c>
      <c r="M34" s="108">
        <f>M$22*shipping_manufacturing!$G$27/100</f>
        <v>0</v>
      </c>
      <c r="N34" s="108">
        <f>N$22*shipping_manufacturing!$G$27/100</f>
        <v>0</v>
      </c>
      <c r="O34" s="108">
        <f>O$22*shipping_manufacturing!$G$27/100</f>
        <v>0</v>
      </c>
      <c r="P34" s="108">
        <f>P$22*shipping_manufacturing!$G$27/100</f>
        <v>0</v>
      </c>
      <c r="Q34" s="108">
        <f>Q$22*shipping_manufacturing!$G$27/100</f>
        <v>0</v>
      </c>
      <c r="R34" s="108">
        <f>R$22*shipping_manufacturing!$G$27/100</f>
        <v>0</v>
      </c>
      <c r="S34" s="108">
        <f>S$22*shipping_manufacturing!$G$27/100</f>
        <v>0</v>
      </c>
      <c r="T34" s="108">
        <f>T$22*shipping_manufacturing!$G$27/100</f>
        <v>0</v>
      </c>
      <c r="U34" s="108">
        <f>U$22*shipping_manufacturing!$G$27/100</f>
        <v>0</v>
      </c>
      <c r="V34" s="108">
        <f>V$22*shipping_manufacturing!$G$27/100</f>
        <v>0</v>
      </c>
      <c r="W34" s="108">
        <f>W$22*shipping_manufacturing!$G$27/100</f>
        <v>0</v>
      </c>
      <c r="X34" s="108">
        <f>X$22*shipping_manufacturing!$G$27/100</f>
        <v>0</v>
      </c>
      <c r="Y34" s="108">
        <f>Y$22*shipping_manufacturing!$G$27/100</f>
        <v>0</v>
      </c>
      <c r="Z34" s="108">
        <f>Z$22*shipping_manufacturing!$G$27/100</f>
        <v>0</v>
      </c>
      <c r="AA34" s="108">
        <f>AA$22*shipping_manufacturing!$G$27/100</f>
        <v>0</v>
      </c>
      <c r="AB34" s="108">
        <f>AB$22*shipping_manufacturing!$G$27/100</f>
        <v>0</v>
      </c>
      <c r="AC34" s="108">
        <f>AC$22*shipping_manufacturing!$G$27/100</f>
        <v>0</v>
      </c>
      <c r="AD34" s="108">
        <f>AD$22*shipping_manufacturing!$G$27/100</f>
        <v>0</v>
      </c>
      <c r="AE34" s="108">
        <f>AE$22*shipping_manufacturing!$G$27/100</f>
        <v>0</v>
      </c>
      <c r="AF34" s="108">
        <f>AF$22*shipping_manufacturing!$G$27/100</f>
        <v>0</v>
      </c>
      <c r="AG34" s="108">
        <f>AG$22*shipping_manufacturing!$G$27/100</f>
        <v>0</v>
      </c>
      <c r="AH34" s="108">
        <f>AH$22*shipping_manufacturing!$G$27/100</f>
        <v>0</v>
      </c>
      <c r="AI34" s="108">
        <f>AI$22*shipping_manufacturing!$G$27/100</f>
        <v>0</v>
      </c>
      <c r="AJ34" s="108">
        <f>AJ$22*shipping_manufacturing!$G$27/100</f>
        <v>0</v>
      </c>
      <c r="AK34" s="108">
        <f>AK$22*shipping_manufacturing!$G$27/100</f>
        <v>0</v>
      </c>
      <c r="AL34" s="108">
        <f>AL$22*shipping_manufacturing!$G$27/100</f>
        <v>0</v>
      </c>
      <c r="AM34" s="108">
        <f>AM$22*shipping_manufacturing!$G$27/100</f>
        <v>0</v>
      </c>
      <c r="AN34" s="108">
        <f>AN$22*shipping_manufacturing!$G$27/100</f>
        <v>0</v>
      </c>
      <c r="AO34" s="108">
        <f>AO$22*shipping_manufacturing!$G$27/100</f>
        <v>0</v>
      </c>
      <c r="AP34" s="108">
        <f>AP$22*shipping_manufacturing!$G$27/100</f>
        <v>0</v>
      </c>
      <c r="AQ34" s="108">
        <f>AQ$22*shipping_manufacturing!$G$27/100</f>
        <v>0</v>
      </c>
      <c r="AR34" s="108">
        <f>AR$22*shipping_manufacturing!$G$27/100</f>
        <v>0</v>
      </c>
      <c r="AS34" s="108">
        <f>AS$22*shipping_manufacturing!$G$27/100</f>
        <v>0</v>
      </c>
      <c r="AT34" s="108">
        <f>AT$22*shipping_manufacturing!$G$27/100</f>
        <v>0</v>
      </c>
      <c r="AU34" s="108">
        <f>AU$22*shipping_manufacturing!$G$27/100</f>
        <v>0</v>
      </c>
      <c r="AV34" s="108">
        <f>AV$22*shipping_manufacturing!$G$27/100</f>
        <v>0</v>
      </c>
      <c r="AW34" s="108">
        <f>AW$22*shipping_manufacturing!$G$27/100</f>
        <v>0</v>
      </c>
      <c r="AX34" s="108">
        <f>AX$22*shipping_manufacturing!$G$27/100</f>
        <v>0</v>
      </c>
      <c r="AY34" s="108">
        <f>AY$22*shipping_manufacturing!$G$27/100</f>
        <v>0</v>
      </c>
    </row>
    <row r="35" spans="1:52">
      <c r="A35" s="108">
        <v>1225</v>
      </c>
      <c r="B35" s="163" t="s">
        <v>344</v>
      </c>
      <c r="C35" s="108"/>
      <c r="D35" s="108">
        <f>SUM(D33:D34)</f>
        <v>66.302000000000007</v>
      </c>
      <c r="E35" s="108">
        <f t="shared" ref="E35:AY35" si="11">SUM(E33:E34)</f>
        <v>51.697923004980005</v>
      </c>
      <c r="F35" s="108">
        <f t="shared" si="11"/>
        <v>51.697923004980005</v>
      </c>
      <c r="G35" s="108">
        <f t="shared" si="11"/>
        <v>51.697923004980005</v>
      </c>
      <c r="H35" s="108">
        <f t="shared" si="11"/>
        <v>51.697923004980005</v>
      </c>
      <c r="I35" s="108">
        <f t="shared" si="11"/>
        <v>35.63299425799832</v>
      </c>
      <c r="J35" s="108">
        <f t="shared" si="11"/>
        <v>53.695183262860802</v>
      </c>
      <c r="K35" s="108">
        <f t="shared" si="11"/>
        <v>53.695183262860802</v>
      </c>
      <c r="L35" s="108">
        <f t="shared" si="11"/>
        <v>53.695183262860802</v>
      </c>
      <c r="M35" s="108">
        <f t="shared" si="11"/>
        <v>59.332167209376003</v>
      </c>
      <c r="N35" s="108">
        <f t="shared" si="11"/>
        <v>59.332167209376003</v>
      </c>
      <c r="O35" s="108">
        <f t="shared" si="11"/>
        <v>59.332167209376003</v>
      </c>
      <c r="P35" s="108">
        <f t="shared" si="11"/>
        <v>59.332167209376003</v>
      </c>
      <c r="Q35" s="108">
        <f t="shared" si="11"/>
        <v>53.695183262860802</v>
      </c>
      <c r="R35" s="108">
        <f t="shared" si="11"/>
        <v>53.695183262860802</v>
      </c>
      <c r="S35" s="108">
        <f t="shared" si="11"/>
        <v>53.695183262860802</v>
      </c>
      <c r="T35" s="108">
        <f t="shared" si="11"/>
        <v>0</v>
      </c>
      <c r="U35" s="108">
        <f t="shared" si="11"/>
        <v>66.302000000000007</v>
      </c>
      <c r="V35" s="108">
        <f t="shared" si="11"/>
        <v>0</v>
      </c>
      <c r="W35" s="108">
        <f t="shared" si="11"/>
        <v>66.302000000000007</v>
      </c>
      <c r="X35" s="108">
        <f t="shared" si="11"/>
        <v>53.695183262860802</v>
      </c>
      <c r="Y35" s="108">
        <f t="shared" si="11"/>
        <v>59.332167209376003</v>
      </c>
      <c r="Z35" s="108">
        <f t="shared" si="11"/>
        <v>59.332167209376003</v>
      </c>
      <c r="AA35" s="108">
        <f t="shared" si="11"/>
        <v>0</v>
      </c>
      <c r="AB35" s="108">
        <f t="shared" si="11"/>
        <v>66.302000000000007</v>
      </c>
      <c r="AC35" s="108">
        <f t="shared" si="11"/>
        <v>51.697923004980005</v>
      </c>
      <c r="AD35" s="108">
        <f t="shared" si="11"/>
        <v>51.697923004980005</v>
      </c>
      <c r="AE35" s="108">
        <f t="shared" si="11"/>
        <v>51.697923004980005</v>
      </c>
      <c r="AF35" s="108">
        <f t="shared" si="11"/>
        <v>42.255264441573729</v>
      </c>
      <c r="AG35" s="108">
        <f t="shared" si="11"/>
        <v>59.332167209376003</v>
      </c>
      <c r="AH35" s="108">
        <f t="shared" si="11"/>
        <v>59.332167209376003</v>
      </c>
      <c r="AI35" s="108">
        <f t="shared" si="11"/>
        <v>59.332167209376003</v>
      </c>
      <c r="AJ35" s="108">
        <f t="shared" si="11"/>
        <v>59.332167209376003</v>
      </c>
      <c r="AK35" s="108">
        <f t="shared" si="11"/>
        <v>52.285937276231998</v>
      </c>
      <c r="AL35" s="108">
        <f t="shared" si="11"/>
        <v>52.285937276231998</v>
      </c>
      <c r="AM35" s="108">
        <f t="shared" si="11"/>
        <v>52.285937276231998</v>
      </c>
      <c r="AN35" s="108">
        <f t="shared" si="11"/>
        <v>52.285937276231998</v>
      </c>
      <c r="AO35" s="108">
        <f t="shared" si="11"/>
        <v>57.922921222747199</v>
      </c>
      <c r="AP35" s="108">
        <f t="shared" si="11"/>
        <v>57.922921222747199</v>
      </c>
      <c r="AQ35" s="108">
        <f t="shared" si="11"/>
        <v>57.922921222747199</v>
      </c>
      <c r="AR35" s="108">
        <f t="shared" si="11"/>
        <v>57.922921222747199</v>
      </c>
      <c r="AS35" s="108">
        <f t="shared" si="11"/>
        <v>56.513675236118409</v>
      </c>
      <c r="AT35" s="108">
        <f t="shared" si="11"/>
        <v>56.513675236118409</v>
      </c>
      <c r="AU35" s="108">
        <f t="shared" si="11"/>
        <v>56.513675236118409</v>
      </c>
      <c r="AV35" s="108">
        <f t="shared" si="11"/>
        <v>56.513675236118409</v>
      </c>
      <c r="AW35" s="108">
        <f t="shared" si="11"/>
        <v>53.699634540453602</v>
      </c>
      <c r="AX35" s="108">
        <f t="shared" si="11"/>
        <v>53.699634540453602</v>
      </c>
      <c r="AY35" s="108">
        <f t="shared" si="11"/>
        <v>53.699634540453602</v>
      </c>
    </row>
    <row r="36" spans="1:52">
      <c r="A36" s="108"/>
      <c r="B36" s="163" t="s">
        <v>345</v>
      </c>
      <c r="C36" s="108"/>
      <c r="D36" s="108"/>
      <c r="E36" s="108">
        <v>51.697923004980005</v>
      </c>
      <c r="F36" s="108"/>
      <c r="G36" s="108">
        <v>51.697923004980005</v>
      </c>
      <c r="H36" s="108"/>
      <c r="I36" s="108">
        <v>35.63299425799832</v>
      </c>
      <c r="J36" s="108">
        <v>30</v>
      </c>
      <c r="K36" s="108">
        <v>30</v>
      </c>
      <c r="L36" s="108">
        <v>30</v>
      </c>
      <c r="M36" s="108"/>
      <c r="N36" s="108"/>
      <c r="O36" s="108"/>
      <c r="P36" s="108"/>
      <c r="Q36" s="108">
        <v>30</v>
      </c>
      <c r="R36" s="108">
        <v>30</v>
      </c>
      <c r="S36" s="108">
        <v>30</v>
      </c>
      <c r="T36" s="108"/>
      <c r="U36" s="108">
        <v>66.302000000000007</v>
      </c>
      <c r="V36" s="108"/>
      <c r="W36" s="108">
        <v>66.302000000000007</v>
      </c>
      <c r="X36" s="108"/>
      <c r="Y36" s="108">
        <v>59.332167209376003</v>
      </c>
      <c r="Z36" s="108"/>
      <c r="AA36" s="108"/>
      <c r="AB36" s="108">
        <v>66.302000000000007</v>
      </c>
      <c r="AC36" s="108"/>
      <c r="AD36" s="108">
        <v>51.697923004980005</v>
      </c>
      <c r="AE36" s="108"/>
      <c r="AF36" s="108">
        <v>42.255264441573729</v>
      </c>
      <c r="AG36" s="108"/>
      <c r="AH36" s="108">
        <v>30</v>
      </c>
      <c r="AI36" s="108"/>
      <c r="AJ36" s="108">
        <v>30</v>
      </c>
      <c r="AK36" s="108">
        <v>30</v>
      </c>
      <c r="AL36" s="108">
        <v>52.285937276231998</v>
      </c>
      <c r="AM36" s="108">
        <v>30</v>
      </c>
      <c r="AN36" s="108">
        <v>52.285937276231998</v>
      </c>
      <c r="AO36" s="108"/>
      <c r="AP36" s="108">
        <v>30</v>
      </c>
      <c r="AQ36" s="108"/>
      <c r="AR36" s="108">
        <v>30</v>
      </c>
      <c r="AS36" s="108"/>
      <c r="AT36" s="108">
        <v>30</v>
      </c>
      <c r="AU36" s="108"/>
      <c r="AV36" s="108">
        <v>30</v>
      </c>
      <c r="AW36" s="108"/>
      <c r="AX36" s="108">
        <v>30</v>
      </c>
      <c r="AY36" s="108"/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>
        <v>0</v>
      </c>
      <c r="K37" s="108">
        <v>0</v>
      </c>
      <c r="L37" s="108">
        <v>0</v>
      </c>
      <c r="M37" s="108"/>
      <c r="N37" s="108"/>
      <c r="O37" s="108"/>
      <c r="P37" s="108"/>
      <c r="Q37" s="108">
        <v>0</v>
      </c>
      <c r="R37" s="108">
        <v>0</v>
      </c>
      <c r="S37" s="108">
        <v>0</v>
      </c>
      <c r="T37" s="108"/>
      <c r="U37" s="108">
        <v>0</v>
      </c>
      <c r="V37" s="108"/>
      <c r="W37" s="108">
        <v>0</v>
      </c>
      <c r="X37" s="108"/>
      <c r="Y37" s="108">
        <v>0</v>
      </c>
      <c r="Z37" s="108"/>
      <c r="AA37" s="108"/>
      <c r="AB37" s="108">
        <v>0</v>
      </c>
      <c r="AC37" s="108"/>
      <c r="AD37" s="108">
        <v>0</v>
      </c>
      <c r="AE37" s="108"/>
      <c r="AF37" s="108">
        <v>0</v>
      </c>
      <c r="AG37" s="108"/>
      <c r="AH37" s="108">
        <v>0</v>
      </c>
      <c r="AI37" s="108"/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/>
      <c r="AP37" s="108">
        <v>0</v>
      </c>
      <c r="AQ37" s="108"/>
      <c r="AR37" s="108">
        <v>0</v>
      </c>
      <c r="AS37" s="108"/>
      <c r="AT37" s="108">
        <v>0</v>
      </c>
      <c r="AU37" s="108"/>
      <c r="AV37" s="108">
        <v>0</v>
      </c>
      <c r="AW37" s="108"/>
      <c r="AX37" s="108">
        <v>0</v>
      </c>
      <c r="AY37" s="108"/>
    </row>
    <row r="38" spans="1:52">
      <c r="A38" s="108"/>
      <c r="B38" s="163" t="s">
        <v>347</v>
      </c>
      <c r="C38" s="108"/>
      <c r="D38" s="108"/>
      <c r="E38" s="108">
        <v>2</v>
      </c>
      <c r="F38" s="108"/>
      <c r="G38" s="108">
        <v>2</v>
      </c>
      <c r="H38" s="108"/>
      <c r="I38" s="108">
        <v>2</v>
      </c>
      <c r="J38" s="108">
        <v>1</v>
      </c>
      <c r="K38" s="108">
        <v>1</v>
      </c>
      <c r="L38" s="108">
        <v>1</v>
      </c>
      <c r="M38" s="108"/>
      <c r="N38" s="108"/>
      <c r="O38" s="108"/>
      <c r="P38" s="108"/>
      <c r="Q38" s="108">
        <v>1</v>
      </c>
      <c r="R38" s="108">
        <v>1</v>
      </c>
      <c r="S38" s="108">
        <v>1</v>
      </c>
      <c r="T38" s="108"/>
      <c r="U38" s="108">
        <v>3</v>
      </c>
      <c r="V38" s="108"/>
      <c r="W38" s="108">
        <v>3</v>
      </c>
      <c r="X38" s="108"/>
      <c r="Y38" s="108">
        <v>2</v>
      </c>
      <c r="Z38" s="108"/>
      <c r="AA38" s="108"/>
      <c r="AB38" s="108">
        <v>3</v>
      </c>
      <c r="AC38" s="108"/>
      <c r="AD38" s="108">
        <v>2</v>
      </c>
      <c r="AE38" s="108"/>
      <c r="AF38" s="108">
        <v>2</v>
      </c>
      <c r="AG38" s="108"/>
      <c r="AH38" s="108">
        <v>1</v>
      </c>
      <c r="AI38" s="108"/>
      <c r="AJ38" s="108">
        <v>1</v>
      </c>
      <c r="AK38" s="108">
        <v>1</v>
      </c>
      <c r="AL38" s="108">
        <v>2</v>
      </c>
      <c r="AM38" s="108">
        <v>1</v>
      </c>
      <c r="AN38" s="108">
        <v>2</v>
      </c>
      <c r="AO38" s="108"/>
      <c r="AP38" s="108">
        <v>1</v>
      </c>
      <c r="AQ38" s="108"/>
      <c r="AR38" s="108">
        <v>1</v>
      </c>
      <c r="AS38" s="108"/>
      <c r="AT38" s="108">
        <v>1</v>
      </c>
      <c r="AU38" s="108"/>
      <c r="AV38" s="108">
        <v>1</v>
      </c>
      <c r="AW38" s="108"/>
      <c r="AX38" s="108">
        <v>1</v>
      </c>
      <c r="AY38" s="108"/>
    </row>
    <row r="39" spans="1:52">
      <c r="A39" s="108"/>
      <c r="B39" s="163" t="s">
        <v>348</v>
      </c>
      <c r="C39" s="108"/>
      <c r="D39" s="108">
        <f>D33-D36</f>
        <v>66.302000000000007</v>
      </c>
      <c r="E39" s="108">
        <f t="shared" ref="E39:AY39" si="12">E33-E36</f>
        <v>0</v>
      </c>
      <c r="F39" s="108">
        <f t="shared" si="12"/>
        <v>51.697923004980005</v>
      </c>
      <c r="G39" s="108">
        <f t="shared" si="12"/>
        <v>0</v>
      </c>
      <c r="H39" s="108">
        <f t="shared" si="12"/>
        <v>51.697923004980005</v>
      </c>
      <c r="I39" s="108">
        <f t="shared" si="12"/>
        <v>0</v>
      </c>
      <c r="J39" s="108">
        <f t="shared" si="12"/>
        <v>23.695183262860802</v>
      </c>
      <c r="K39" s="108">
        <f t="shared" si="12"/>
        <v>23.695183262860802</v>
      </c>
      <c r="L39" s="108">
        <f t="shared" si="12"/>
        <v>23.695183262860802</v>
      </c>
      <c r="M39" s="108">
        <f t="shared" si="12"/>
        <v>59.332167209376003</v>
      </c>
      <c r="N39" s="108">
        <f t="shared" si="12"/>
        <v>59.332167209376003</v>
      </c>
      <c r="O39" s="108">
        <f t="shared" si="12"/>
        <v>59.332167209376003</v>
      </c>
      <c r="P39" s="108">
        <f t="shared" si="12"/>
        <v>59.332167209376003</v>
      </c>
      <c r="Q39" s="108">
        <f t="shared" si="12"/>
        <v>23.695183262860802</v>
      </c>
      <c r="R39" s="108">
        <f t="shared" si="12"/>
        <v>23.695183262860802</v>
      </c>
      <c r="S39" s="108">
        <f t="shared" si="12"/>
        <v>23.695183262860802</v>
      </c>
      <c r="T39" s="108">
        <f t="shared" si="12"/>
        <v>0</v>
      </c>
      <c r="U39" s="108">
        <f t="shared" si="12"/>
        <v>0</v>
      </c>
      <c r="V39" s="108">
        <f t="shared" si="12"/>
        <v>0</v>
      </c>
      <c r="W39" s="108">
        <f t="shared" si="12"/>
        <v>0</v>
      </c>
      <c r="X39" s="108">
        <f t="shared" si="12"/>
        <v>53.695183262860802</v>
      </c>
      <c r="Y39" s="108">
        <f t="shared" si="12"/>
        <v>0</v>
      </c>
      <c r="Z39" s="108">
        <f t="shared" si="12"/>
        <v>59.332167209376003</v>
      </c>
      <c r="AA39" s="108">
        <f t="shared" si="12"/>
        <v>0</v>
      </c>
      <c r="AB39" s="108">
        <f t="shared" si="12"/>
        <v>0</v>
      </c>
      <c r="AC39" s="108">
        <f t="shared" si="12"/>
        <v>51.697923004980005</v>
      </c>
      <c r="AD39" s="108">
        <f t="shared" si="12"/>
        <v>0</v>
      </c>
      <c r="AE39" s="108">
        <f t="shared" si="12"/>
        <v>51.697923004980005</v>
      </c>
      <c r="AF39" s="108">
        <f t="shared" si="12"/>
        <v>0</v>
      </c>
      <c r="AG39" s="108">
        <f t="shared" si="12"/>
        <v>59.332167209376003</v>
      </c>
      <c r="AH39" s="108">
        <f t="shared" si="12"/>
        <v>29.332167209376003</v>
      </c>
      <c r="AI39" s="108">
        <f t="shared" si="12"/>
        <v>59.332167209376003</v>
      </c>
      <c r="AJ39" s="108">
        <f t="shared" si="12"/>
        <v>29.332167209376003</v>
      </c>
      <c r="AK39" s="108">
        <f t="shared" si="12"/>
        <v>22.285937276231998</v>
      </c>
      <c r="AL39" s="108">
        <f t="shared" si="12"/>
        <v>0</v>
      </c>
      <c r="AM39" s="108">
        <f t="shared" si="12"/>
        <v>22.285937276231998</v>
      </c>
      <c r="AN39" s="108">
        <f t="shared" si="12"/>
        <v>0</v>
      </c>
      <c r="AO39" s="108">
        <f t="shared" si="12"/>
        <v>57.922921222747199</v>
      </c>
      <c r="AP39" s="108">
        <f t="shared" si="12"/>
        <v>27.922921222747199</v>
      </c>
      <c r="AQ39" s="108">
        <f t="shared" si="12"/>
        <v>57.922921222747199</v>
      </c>
      <c r="AR39" s="108">
        <f t="shared" si="12"/>
        <v>27.922921222747199</v>
      </c>
      <c r="AS39" s="108">
        <f t="shared" si="12"/>
        <v>56.513675236118409</v>
      </c>
      <c r="AT39" s="108">
        <f t="shared" si="12"/>
        <v>26.513675236118409</v>
      </c>
      <c r="AU39" s="108">
        <f t="shared" si="12"/>
        <v>56.513675236118409</v>
      </c>
      <c r="AV39" s="108">
        <f t="shared" si="12"/>
        <v>26.513675236118409</v>
      </c>
      <c r="AW39" s="108">
        <f t="shared" si="12"/>
        <v>53.699634540453602</v>
      </c>
      <c r="AX39" s="108">
        <f t="shared" si="12"/>
        <v>23.699634540453602</v>
      </c>
      <c r="AY39" s="108">
        <f t="shared" si="12"/>
        <v>53.699634540453602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1</v>
      </c>
      <c r="H41" s="108">
        <v>2</v>
      </c>
      <c r="I41" s="108">
        <v>2</v>
      </c>
      <c r="J41" s="108">
        <v>1</v>
      </c>
      <c r="K41" s="108">
        <v>2</v>
      </c>
      <c r="L41" s="108">
        <v>2</v>
      </c>
      <c r="M41" s="108">
        <v>1</v>
      </c>
      <c r="N41" s="108">
        <v>2</v>
      </c>
      <c r="O41" s="108">
        <v>2</v>
      </c>
      <c r="P41" s="108">
        <v>3</v>
      </c>
      <c r="Q41" s="108">
        <v>1</v>
      </c>
      <c r="R41" s="108">
        <v>1</v>
      </c>
      <c r="S41" s="108">
        <v>1</v>
      </c>
      <c r="T41" s="108">
        <v>2</v>
      </c>
      <c r="U41" s="108">
        <v>2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2</v>
      </c>
      <c r="AB41" s="108">
        <v>3</v>
      </c>
      <c r="AC41" s="108">
        <v>1</v>
      </c>
      <c r="AD41" s="108">
        <v>3</v>
      </c>
      <c r="AE41" s="108">
        <v>2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1</v>
      </c>
      <c r="AM41" s="108">
        <v>2</v>
      </c>
      <c r="AN41" s="108">
        <v>1</v>
      </c>
      <c r="AO41" s="108">
        <v>1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1</v>
      </c>
      <c r="AX41" s="108">
        <v>1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88200</v>
      </c>
      <c r="F42" s="108">
        <v>0</v>
      </c>
      <c r="G42" s="108">
        <v>88200</v>
      </c>
      <c r="H42" s="108">
        <v>0</v>
      </c>
      <c r="I42" s="108">
        <v>88200</v>
      </c>
      <c r="J42" s="108">
        <v>44100</v>
      </c>
      <c r="K42" s="108">
        <v>44100</v>
      </c>
      <c r="L42" s="108">
        <v>44100</v>
      </c>
      <c r="M42" s="108">
        <v>0</v>
      </c>
      <c r="N42" s="108">
        <v>0</v>
      </c>
      <c r="O42" s="108">
        <v>0</v>
      </c>
      <c r="P42" s="108">
        <v>0</v>
      </c>
      <c r="Q42" s="108">
        <v>44100</v>
      </c>
      <c r="R42" s="108">
        <v>44100</v>
      </c>
      <c r="S42" s="108">
        <v>44100</v>
      </c>
      <c r="T42" s="108">
        <v>0</v>
      </c>
      <c r="U42" s="108">
        <v>132300</v>
      </c>
      <c r="V42" s="108">
        <v>0</v>
      </c>
      <c r="W42" s="108">
        <v>132300</v>
      </c>
      <c r="X42" s="108">
        <v>0</v>
      </c>
      <c r="Y42" s="108">
        <v>88200</v>
      </c>
      <c r="Z42" s="108">
        <v>0</v>
      </c>
      <c r="AA42" s="108">
        <v>0</v>
      </c>
      <c r="AB42" s="108">
        <v>132300</v>
      </c>
      <c r="AC42" s="108">
        <v>0</v>
      </c>
      <c r="AD42" s="108">
        <v>88200</v>
      </c>
      <c r="AE42" s="108">
        <v>0</v>
      </c>
      <c r="AF42" s="108">
        <v>88200</v>
      </c>
      <c r="AG42" s="108">
        <v>0</v>
      </c>
      <c r="AH42" s="108">
        <v>44100</v>
      </c>
      <c r="AI42" s="108">
        <v>0</v>
      </c>
      <c r="AJ42" s="108">
        <v>44100</v>
      </c>
      <c r="AK42" s="108">
        <v>44100</v>
      </c>
      <c r="AL42" s="108">
        <v>88200</v>
      </c>
      <c r="AM42" s="108">
        <v>44100</v>
      </c>
      <c r="AN42" s="108">
        <v>88200</v>
      </c>
      <c r="AO42" s="108">
        <v>0</v>
      </c>
      <c r="AP42" s="108">
        <v>44100</v>
      </c>
      <c r="AQ42" s="108">
        <v>0</v>
      </c>
      <c r="AR42" s="108">
        <v>44100</v>
      </c>
      <c r="AS42" s="108">
        <v>0</v>
      </c>
      <c r="AT42" s="108">
        <v>44100</v>
      </c>
      <c r="AU42" s="108">
        <v>0</v>
      </c>
      <c r="AV42" s="108">
        <v>44100</v>
      </c>
      <c r="AW42" s="108">
        <v>0</v>
      </c>
      <c r="AX42" s="108">
        <v>44100</v>
      </c>
      <c r="AY42" s="108">
        <v>0</v>
      </c>
      <c r="AZ42" s="98">
        <f>SUM($D$42:$AY$42)</f>
        <v>1764000</v>
      </c>
    </row>
    <row r="43" spans="1:52">
      <c r="A43" s="108"/>
      <c r="B43" s="176" t="s">
        <v>352</v>
      </c>
      <c r="C43" s="108"/>
      <c r="D43" s="108">
        <v>52792.967500000006</v>
      </c>
      <c r="E43" s="108">
        <v>0</v>
      </c>
      <c r="F43" s="108">
        <v>41164.471192715333</v>
      </c>
      <c r="G43" s="108">
        <v>0</v>
      </c>
      <c r="H43" s="108">
        <v>41164.471192715333</v>
      </c>
      <c r="I43" s="108">
        <v>0</v>
      </c>
      <c r="J43" s="108">
        <v>18867.289673052914</v>
      </c>
      <c r="K43" s="108">
        <v>18867.289673052914</v>
      </c>
      <c r="L43" s="108">
        <v>18867.289673052914</v>
      </c>
      <c r="M43" s="108">
        <v>47243.238140465648</v>
      </c>
      <c r="N43" s="108">
        <v>47243.238140465648</v>
      </c>
      <c r="O43" s="108">
        <v>47243.238140465648</v>
      </c>
      <c r="P43" s="108">
        <v>47243.238140465648</v>
      </c>
      <c r="Q43" s="108">
        <v>18867.289673052914</v>
      </c>
      <c r="R43" s="108">
        <v>18867.289673052914</v>
      </c>
      <c r="S43" s="108">
        <v>18867.289673052914</v>
      </c>
      <c r="T43" s="108">
        <v>0</v>
      </c>
      <c r="U43" s="108">
        <v>0</v>
      </c>
      <c r="V43" s="108">
        <v>0</v>
      </c>
      <c r="W43" s="108">
        <v>0</v>
      </c>
      <c r="X43" s="108">
        <v>42754.789673052917</v>
      </c>
      <c r="Y43" s="108">
        <v>0</v>
      </c>
      <c r="Z43" s="108">
        <v>47243.238140465648</v>
      </c>
      <c r="AA43" s="108">
        <v>0</v>
      </c>
      <c r="AB43" s="108">
        <v>0</v>
      </c>
      <c r="AC43" s="108">
        <v>41164.471192715333</v>
      </c>
      <c r="AD43" s="108">
        <v>0</v>
      </c>
      <c r="AE43" s="108">
        <v>41164.471192715333</v>
      </c>
      <c r="AF43" s="108">
        <v>0</v>
      </c>
      <c r="AG43" s="108">
        <v>47243.238140465648</v>
      </c>
      <c r="AH43" s="108">
        <v>23355.738140465644</v>
      </c>
      <c r="AI43" s="108">
        <v>47243.238140465648</v>
      </c>
      <c r="AJ43" s="108">
        <v>23355.738140465644</v>
      </c>
      <c r="AK43" s="108">
        <v>17745.177556199727</v>
      </c>
      <c r="AL43" s="108">
        <v>0</v>
      </c>
      <c r="AM43" s="108">
        <v>17745.177556199727</v>
      </c>
      <c r="AN43" s="108">
        <v>0</v>
      </c>
      <c r="AO43" s="108">
        <v>46121.126023612465</v>
      </c>
      <c r="AP43" s="108">
        <v>22233.626023612458</v>
      </c>
      <c r="AQ43" s="108">
        <v>46121.126023612465</v>
      </c>
      <c r="AR43" s="108">
        <v>22233.626023612458</v>
      </c>
      <c r="AS43" s="108">
        <v>44999.013906759283</v>
      </c>
      <c r="AT43" s="108">
        <v>21111.513906759283</v>
      </c>
      <c r="AU43" s="108">
        <v>44999.013906759283</v>
      </c>
      <c r="AV43" s="108">
        <v>21111.513906759283</v>
      </c>
      <c r="AW43" s="108">
        <v>42758.334002836178</v>
      </c>
      <c r="AX43" s="108">
        <v>18870.834002836182</v>
      </c>
      <c r="AY43" s="108">
        <v>42758.334002836178</v>
      </c>
      <c r="AZ43" s="98">
        <f>SUM($D$43:$AY$43)</f>
        <v>1159631.9400888176</v>
      </c>
    </row>
    <row r="44" spans="1:52">
      <c r="A44" s="133" t="s">
        <v>46</v>
      </c>
      <c r="B44" s="133" t="s">
        <v>342</v>
      </c>
      <c r="C44" s="122"/>
      <c r="D44" s="122">
        <f>D$21*shipping_manufacturing!$F$28/100</f>
        <v>27.087</v>
      </c>
      <c r="E44" s="122">
        <f>E$21*shipping_manufacturing!$F$28/100</f>
        <v>21.120654587130002</v>
      </c>
      <c r="F44" s="122">
        <f>F$21*shipping_manufacturing!$F$28/100</f>
        <v>21.120654587130002</v>
      </c>
      <c r="G44" s="122">
        <f>G$21*shipping_manufacturing!$F$28/100</f>
        <v>21.120654587130002</v>
      </c>
      <c r="H44" s="122">
        <f>H$21*shipping_manufacturing!$F$28/100</f>
        <v>21.120654587130002</v>
      </c>
      <c r="I44" s="122">
        <f>I$21*shipping_manufacturing!$F$28/100</f>
        <v>14.557493219908908</v>
      </c>
      <c r="J44" s="122">
        <f>J$21*shipping_manufacturing!$F$28/100</f>
        <v>21.936614718124797</v>
      </c>
      <c r="K44" s="122">
        <f>K$21*shipping_manufacturing!$F$28/100</f>
        <v>21.936614718124797</v>
      </c>
      <c r="L44" s="122">
        <f>L$21*shipping_manufacturing!$F$28/100</f>
        <v>21.936614718124797</v>
      </c>
      <c r="M44" s="122">
        <f>M$21*shipping_manufacturing!$F$28/100</f>
        <v>24.239546517455995</v>
      </c>
      <c r="N44" s="122">
        <f>N$21*shipping_manufacturing!$F$28/100</f>
        <v>24.239546517455995</v>
      </c>
      <c r="O44" s="122">
        <f>O$21*shipping_manufacturing!$F$28/100</f>
        <v>24.239546517455995</v>
      </c>
      <c r="P44" s="122">
        <f>P$21*shipping_manufacturing!$F$28/100</f>
        <v>24.239546517455995</v>
      </c>
      <c r="Q44" s="122">
        <f>Q$21*shipping_manufacturing!$F$28/100</f>
        <v>21.936614718124797</v>
      </c>
      <c r="R44" s="122">
        <f>R$21*shipping_manufacturing!$F$28/100</f>
        <v>21.936614718124797</v>
      </c>
      <c r="S44" s="122">
        <f>S$21*shipping_manufacturing!$F$28/100</f>
        <v>21.936614718124797</v>
      </c>
      <c r="T44" s="122">
        <f>T$21*shipping_manufacturing!$F$28/100</f>
        <v>0</v>
      </c>
      <c r="U44" s="122">
        <f>U$21*shipping_manufacturing!$F$28/100</f>
        <v>27.087</v>
      </c>
      <c r="V44" s="122">
        <f>V$21*shipping_manufacturing!$F$28/100</f>
        <v>0</v>
      </c>
      <c r="W44" s="122">
        <f>W$21*shipping_manufacturing!$F$28/100</f>
        <v>27.087</v>
      </c>
      <c r="X44" s="122">
        <f>X$21*shipping_manufacturing!$F$28/100</f>
        <v>21.936614718124797</v>
      </c>
      <c r="Y44" s="122">
        <f>Y$21*shipping_manufacturing!$F$28/100</f>
        <v>24.239546517455995</v>
      </c>
      <c r="Z44" s="122">
        <f>Z$21*shipping_manufacturing!$F$28/100</f>
        <v>24.239546517455995</v>
      </c>
      <c r="AA44" s="122">
        <f>AA$21*shipping_manufacturing!$F$28/100</f>
        <v>0</v>
      </c>
      <c r="AB44" s="122">
        <f>AB$21*shipping_manufacturing!$F$28/100</f>
        <v>27.087</v>
      </c>
      <c r="AC44" s="122">
        <f>AC$21*shipping_manufacturing!$F$28/100</f>
        <v>21.120654587129998</v>
      </c>
      <c r="AD44" s="122">
        <f>AD$21*shipping_manufacturing!$F$28/100</f>
        <v>21.120654587129998</v>
      </c>
      <c r="AE44" s="122">
        <f>AE$21*shipping_manufacturing!$F$28/100</f>
        <v>21.120654587129998</v>
      </c>
      <c r="AF44" s="122">
        <f>AF$21*shipping_manufacturing!$F$28/100</f>
        <v>17.262953574988799</v>
      </c>
      <c r="AG44" s="122">
        <f>AG$21*shipping_manufacturing!$F$28/100</f>
        <v>24.239546517455995</v>
      </c>
      <c r="AH44" s="122">
        <f>AH$21*shipping_manufacturing!$F$28/100</f>
        <v>24.239546517455995</v>
      </c>
      <c r="AI44" s="122">
        <f>AI$21*shipping_manufacturing!$F$28/100</f>
        <v>24.239546517455995</v>
      </c>
      <c r="AJ44" s="122">
        <f>AJ$21*shipping_manufacturing!$F$28/100</f>
        <v>24.239546517455995</v>
      </c>
      <c r="AK44" s="122">
        <f>AK$21*shipping_manufacturing!$F$28/100</f>
        <v>21.360881768291996</v>
      </c>
      <c r="AL44" s="122">
        <f>AL$21*shipping_manufacturing!$F$28/100</f>
        <v>21.360881768291996</v>
      </c>
      <c r="AM44" s="122">
        <f>AM$21*shipping_manufacturing!$F$28/100</f>
        <v>21.360881768291996</v>
      </c>
      <c r="AN44" s="122">
        <f>AN$21*shipping_manufacturing!$F$28/100</f>
        <v>21.360881768291996</v>
      </c>
      <c r="AO44" s="122">
        <f>AO$21*shipping_manufacturing!$F$28/100</f>
        <v>23.663813567623198</v>
      </c>
      <c r="AP44" s="122">
        <f>AP$21*shipping_manufacturing!$F$28/100</f>
        <v>23.663813567623198</v>
      </c>
      <c r="AQ44" s="122">
        <f>AQ$21*shipping_manufacturing!$F$28/100</f>
        <v>23.663813567623198</v>
      </c>
      <c r="AR44" s="122">
        <f>AR$21*shipping_manufacturing!$F$28/100</f>
        <v>23.663813567623198</v>
      </c>
      <c r="AS44" s="122">
        <f>AS$21*shipping_manufacturing!$F$28/100</f>
        <v>23.0880806177904</v>
      </c>
      <c r="AT44" s="122">
        <f>AT$21*shipping_manufacturing!$F$28/100</f>
        <v>23.0880806177904</v>
      </c>
      <c r="AU44" s="122">
        <f>AU$21*shipping_manufacturing!$F$28/100</f>
        <v>23.0880806177904</v>
      </c>
      <c r="AV44" s="122">
        <f>AV$21*shipping_manufacturing!$F$28/100</f>
        <v>23.0880806177904</v>
      </c>
      <c r="AW44" s="122">
        <f>AW$21*shipping_manufacturing!$F$28/100</f>
        <v>21.9384332417916</v>
      </c>
      <c r="AX44" s="122">
        <f>AX$21*shipping_manufacturing!$F$28/100</f>
        <v>21.9384332417916</v>
      </c>
      <c r="AY44" s="122">
        <f>AY$21*shipping_manufacturing!$F$28/100</f>
        <v>21.9384332417916</v>
      </c>
    </row>
    <row r="45" spans="1:52">
      <c r="A45" s="111" t="s">
        <v>341</v>
      </c>
      <c r="B45" s="163" t="s">
        <v>343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89</v>
      </c>
      <c r="B46" s="163" t="s">
        <v>344</v>
      </c>
      <c r="C46" s="108"/>
      <c r="D46" s="108">
        <f>SUM(D44:D45)</f>
        <v>27.087</v>
      </c>
      <c r="E46" s="108">
        <f t="shared" ref="E46:AY46" si="14">SUM(E44:E45)</f>
        <v>21.120654587130002</v>
      </c>
      <c r="F46" s="108">
        <f t="shared" si="14"/>
        <v>21.120654587130002</v>
      </c>
      <c r="G46" s="108">
        <f t="shared" si="14"/>
        <v>21.120654587130002</v>
      </c>
      <c r="H46" s="108">
        <f t="shared" si="14"/>
        <v>21.120654587130002</v>
      </c>
      <c r="I46" s="108">
        <f t="shared" si="14"/>
        <v>14.557493219908908</v>
      </c>
      <c r="J46" s="108">
        <f t="shared" si="14"/>
        <v>21.936614718124797</v>
      </c>
      <c r="K46" s="108">
        <f t="shared" si="14"/>
        <v>21.936614718124797</v>
      </c>
      <c r="L46" s="108">
        <f t="shared" si="14"/>
        <v>21.936614718124797</v>
      </c>
      <c r="M46" s="108">
        <f t="shared" si="14"/>
        <v>24.239546517455995</v>
      </c>
      <c r="N46" s="108">
        <f t="shared" si="14"/>
        <v>24.239546517455995</v>
      </c>
      <c r="O46" s="108">
        <f t="shared" si="14"/>
        <v>24.239546517455995</v>
      </c>
      <c r="P46" s="108">
        <f t="shared" si="14"/>
        <v>24.239546517455995</v>
      </c>
      <c r="Q46" s="108">
        <f t="shared" si="14"/>
        <v>21.936614718124797</v>
      </c>
      <c r="R46" s="108">
        <f t="shared" si="14"/>
        <v>21.936614718124797</v>
      </c>
      <c r="S46" s="108">
        <f t="shared" si="14"/>
        <v>21.936614718124797</v>
      </c>
      <c r="T46" s="108">
        <f t="shared" si="14"/>
        <v>0</v>
      </c>
      <c r="U46" s="108">
        <f t="shared" si="14"/>
        <v>27.087</v>
      </c>
      <c r="V46" s="108">
        <f t="shared" si="14"/>
        <v>0</v>
      </c>
      <c r="W46" s="108">
        <f t="shared" si="14"/>
        <v>27.087</v>
      </c>
      <c r="X46" s="108">
        <f t="shared" si="14"/>
        <v>21.936614718124797</v>
      </c>
      <c r="Y46" s="108">
        <f t="shared" si="14"/>
        <v>24.239546517455995</v>
      </c>
      <c r="Z46" s="108">
        <f t="shared" si="14"/>
        <v>24.239546517455995</v>
      </c>
      <c r="AA46" s="108">
        <f t="shared" si="14"/>
        <v>0</v>
      </c>
      <c r="AB46" s="108">
        <f t="shared" si="14"/>
        <v>27.087</v>
      </c>
      <c r="AC46" s="108">
        <f t="shared" si="14"/>
        <v>21.120654587129998</v>
      </c>
      <c r="AD46" s="108">
        <f t="shared" si="14"/>
        <v>21.120654587129998</v>
      </c>
      <c r="AE46" s="108">
        <f t="shared" si="14"/>
        <v>21.120654587129998</v>
      </c>
      <c r="AF46" s="108">
        <f t="shared" si="14"/>
        <v>17.262953574988799</v>
      </c>
      <c r="AG46" s="108">
        <f t="shared" si="14"/>
        <v>24.239546517455995</v>
      </c>
      <c r="AH46" s="108">
        <f t="shared" si="14"/>
        <v>24.239546517455995</v>
      </c>
      <c r="AI46" s="108">
        <f t="shared" si="14"/>
        <v>24.239546517455995</v>
      </c>
      <c r="AJ46" s="108">
        <f t="shared" si="14"/>
        <v>24.239546517455995</v>
      </c>
      <c r="AK46" s="108">
        <f t="shared" si="14"/>
        <v>21.360881768291996</v>
      </c>
      <c r="AL46" s="108">
        <f t="shared" si="14"/>
        <v>21.360881768291996</v>
      </c>
      <c r="AM46" s="108">
        <f t="shared" si="14"/>
        <v>21.360881768291996</v>
      </c>
      <c r="AN46" s="108">
        <f t="shared" si="14"/>
        <v>21.360881768291996</v>
      </c>
      <c r="AO46" s="108">
        <f t="shared" si="14"/>
        <v>23.663813567623198</v>
      </c>
      <c r="AP46" s="108">
        <f t="shared" si="14"/>
        <v>23.663813567623198</v>
      </c>
      <c r="AQ46" s="108">
        <f t="shared" si="14"/>
        <v>23.663813567623198</v>
      </c>
      <c r="AR46" s="108">
        <f t="shared" si="14"/>
        <v>23.663813567623198</v>
      </c>
      <c r="AS46" s="108">
        <f t="shared" si="14"/>
        <v>23.0880806177904</v>
      </c>
      <c r="AT46" s="108">
        <f t="shared" si="14"/>
        <v>23.0880806177904</v>
      </c>
      <c r="AU46" s="108">
        <f t="shared" si="14"/>
        <v>23.0880806177904</v>
      </c>
      <c r="AV46" s="108">
        <f t="shared" si="14"/>
        <v>23.0880806177904</v>
      </c>
      <c r="AW46" s="108">
        <f t="shared" si="14"/>
        <v>21.9384332417916</v>
      </c>
      <c r="AX46" s="108">
        <f t="shared" si="14"/>
        <v>21.9384332417916</v>
      </c>
      <c r="AY46" s="108">
        <f t="shared" si="14"/>
        <v>21.9384332417916</v>
      </c>
    </row>
    <row r="47" spans="1:52">
      <c r="A47" s="108"/>
      <c r="B47" s="163" t="s">
        <v>345</v>
      </c>
      <c r="C47" s="108"/>
      <c r="D47" s="108"/>
      <c r="E47" s="108">
        <v>21.120654587130002</v>
      </c>
      <c r="F47" s="108"/>
      <c r="G47" s="108">
        <v>21.120654587130002</v>
      </c>
      <c r="H47" s="108"/>
      <c r="I47" s="108">
        <v>14.557493219908908</v>
      </c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>
        <v>27.087</v>
      </c>
      <c r="V47" s="108"/>
      <c r="W47" s="108">
        <v>27.087</v>
      </c>
      <c r="X47" s="108"/>
      <c r="Y47" s="108">
        <v>24.239546517455995</v>
      </c>
      <c r="Z47" s="108"/>
      <c r="AA47" s="108"/>
      <c r="AB47" s="108">
        <v>27.087</v>
      </c>
      <c r="AC47" s="108"/>
      <c r="AD47" s="108">
        <v>21.120654587129998</v>
      </c>
      <c r="AE47" s="108"/>
      <c r="AF47" s="108">
        <v>17.262953574988799</v>
      </c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>
        <v>0</v>
      </c>
      <c r="V48" s="108"/>
      <c r="W48" s="108">
        <v>0</v>
      </c>
      <c r="X48" s="108"/>
      <c r="Y48" s="108">
        <v>0</v>
      </c>
      <c r="Z48" s="108"/>
      <c r="AA48" s="108"/>
      <c r="AB48" s="108">
        <v>0</v>
      </c>
      <c r="AC48" s="108"/>
      <c r="AD48" s="108">
        <v>0</v>
      </c>
      <c r="AE48" s="108"/>
      <c r="AF48" s="108">
        <v>0</v>
      </c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>
        <v>1</v>
      </c>
      <c r="V49" s="108"/>
      <c r="W49" s="108">
        <v>1</v>
      </c>
      <c r="X49" s="108"/>
      <c r="Y49" s="108">
        <v>1</v>
      </c>
      <c r="Z49" s="108"/>
      <c r="AA49" s="108"/>
      <c r="AB49" s="108">
        <v>1</v>
      </c>
      <c r="AC49" s="108"/>
      <c r="AD49" s="108">
        <v>1</v>
      </c>
      <c r="AE49" s="108"/>
      <c r="AF49" s="108">
        <v>1</v>
      </c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3" t="s">
        <v>348</v>
      </c>
      <c r="C50" s="108"/>
      <c r="D50" s="108">
        <f>D44-D47</f>
        <v>27.087</v>
      </c>
      <c r="E50" s="108">
        <f t="shared" ref="E50:AY50" si="15">E44-E47</f>
        <v>0</v>
      </c>
      <c r="F50" s="108">
        <f t="shared" si="15"/>
        <v>21.120654587130002</v>
      </c>
      <c r="G50" s="108">
        <f t="shared" si="15"/>
        <v>0</v>
      </c>
      <c r="H50" s="108">
        <f t="shared" si="15"/>
        <v>21.120654587130002</v>
      </c>
      <c r="I50" s="108">
        <f t="shared" si="15"/>
        <v>0</v>
      </c>
      <c r="J50" s="108">
        <f t="shared" si="15"/>
        <v>21.936614718124797</v>
      </c>
      <c r="K50" s="108">
        <f t="shared" si="15"/>
        <v>21.936614718124797</v>
      </c>
      <c r="L50" s="108">
        <f t="shared" si="15"/>
        <v>21.936614718124797</v>
      </c>
      <c r="M50" s="108">
        <f t="shared" si="15"/>
        <v>24.239546517455995</v>
      </c>
      <c r="N50" s="108">
        <f t="shared" si="15"/>
        <v>24.239546517455995</v>
      </c>
      <c r="O50" s="108">
        <f t="shared" si="15"/>
        <v>24.239546517455995</v>
      </c>
      <c r="P50" s="108">
        <f t="shared" si="15"/>
        <v>24.239546517455995</v>
      </c>
      <c r="Q50" s="108">
        <f t="shared" si="15"/>
        <v>21.936614718124797</v>
      </c>
      <c r="R50" s="108">
        <f t="shared" si="15"/>
        <v>21.936614718124797</v>
      </c>
      <c r="S50" s="108">
        <f t="shared" si="15"/>
        <v>21.936614718124797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21.936614718124797</v>
      </c>
      <c r="Y50" s="108">
        <f t="shared" si="15"/>
        <v>0</v>
      </c>
      <c r="Z50" s="108">
        <f t="shared" si="15"/>
        <v>24.239546517455995</v>
      </c>
      <c r="AA50" s="108">
        <f t="shared" si="15"/>
        <v>0</v>
      </c>
      <c r="AB50" s="108">
        <f t="shared" si="15"/>
        <v>0</v>
      </c>
      <c r="AC50" s="108">
        <f t="shared" si="15"/>
        <v>21.120654587129998</v>
      </c>
      <c r="AD50" s="108">
        <f t="shared" si="15"/>
        <v>0</v>
      </c>
      <c r="AE50" s="108">
        <f t="shared" si="15"/>
        <v>21.120654587129998</v>
      </c>
      <c r="AF50" s="108">
        <f t="shared" si="15"/>
        <v>0</v>
      </c>
      <c r="AG50" s="108">
        <f t="shared" si="15"/>
        <v>24.239546517455995</v>
      </c>
      <c r="AH50" s="108">
        <f t="shared" si="15"/>
        <v>24.239546517455995</v>
      </c>
      <c r="AI50" s="108">
        <f t="shared" si="15"/>
        <v>24.239546517455995</v>
      </c>
      <c r="AJ50" s="108">
        <f t="shared" si="15"/>
        <v>24.239546517455995</v>
      </c>
      <c r="AK50" s="108">
        <f t="shared" si="15"/>
        <v>21.360881768291996</v>
      </c>
      <c r="AL50" s="108">
        <f t="shared" si="15"/>
        <v>21.360881768291996</v>
      </c>
      <c r="AM50" s="108">
        <f t="shared" si="15"/>
        <v>21.360881768291996</v>
      </c>
      <c r="AN50" s="108">
        <f t="shared" si="15"/>
        <v>21.360881768291996</v>
      </c>
      <c r="AO50" s="108">
        <f t="shared" si="15"/>
        <v>23.663813567623198</v>
      </c>
      <c r="AP50" s="108">
        <f t="shared" si="15"/>
        <v>23.663813567623198</v>
      </c>
      <c r="AQ50" s="108">
        <f t="shared" si="15"/>
        <v>23.663813567623198</v>
      </c>
      <c r="AR50" s="108">
        <f t="shared" si="15"/>
        <v>23.663813567623198</v>
      </c>
      <c r="AS50" s="108">
        <f t="shared" si="15"/>
        <v>23.0880806177904</v>
      </c>
      <c r="AT50" s="108">
        <f t="shared" si="15"/>
        <v>23.0880806177904</v>
      </c>
      <c r="AU50" s="108">
        <f t="shared" si="15"/>
        <v>23.0880806177904</v>
      </c>
      <c r="AV50" s="108">
        <f t="shared" si="15"/>
        <v>23.0880806177904</v>
      </c>
      <c r="AW50" s="108">
        <f t="shared" si="15"/>
        <v>21.9384332417916</v>
      </c>
      <c r="AX50" s="108">
        <f t="shared" si="15"/>
        <v>21.9384332417916</v>
      </c>
      <c r="AY50" s="108">
        <f t="shared" si="15"/>
        <v>21.9384332417916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2</v>
      </c>
      <c r="E52" s="108">
        <v>1</v>
      </c>
      <c r="F52" s="108">
        <v>1</v>
      </c>
      <c r="G52" s="108">
        <v>1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2</v>
      </c>
      <c r="P52" s="108">
        <v>2</v>
      </c>
      <c r="Q52" s="108">
        <v>2</v>
      </c>
      <c r="R52" s="108">
        <v>1</v>
      </c>
      <c r="S52" s="108">
        <v>1</v>
      </c>
      <c r="T52" s="108">
        <v>3</v>
      </c>
      <c r="U52" s="108">
        <v>1</v>
      </c>
      <c r="V52" s="108">
        <v>2</v>
      </c>
      <c r="W52" s="108">
        <v>1</v>
      </c>
      <c r="X52" s="108">
        <v>1</v>
      </c>
      <c r="Y52" s="108">
        <v>1</v>
      </c>
      <c r="Z52" s="108">
        <v>1</v>
      </c>
      <c r="AA52" s="108">
        <v>1</v>
      </c>
      <c r="AB52" s="108">
        <v>1</v>
      </c>
      <c r="AC52" s="108">
        <v>2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1</v>
      </c>
      <c r="AJ52" s="108">
        <v>1</v>
      </c>
      <c r="AK52" s="108">
        <v>1</v>
      </c>
      <c r="AL52" s="108">
        <v>2</v>
      </c>
      <c r="AM52" s="108">
        <v>1</v>
      </c>
      <c r="AN52" s="108">
        <v>2</v>
      </c>
      <c r="AO52" s="108">
        <v>2</v>
      </c>
      <c r="AP52" s="108">
        <v>1</v>
      </c>
      <c r="AQ52" s="108">
        <v>2</v>
      </c>
      <c r="AR52" s="108">
        <v>2</v>
      </c>
      <c r="AS52" s="108">
        <v>2</v>
      </c>
      <c r="AT52" s="108">
        <v>1</v>
      </c>
      <c r="AU52" s="108">
        <v>1</v>
      </c>
      <c r="AV52" s="108">
        <v>1</v>
      </c>
      <c r="AW52" s="108">
        <v>3</v>
      </c>
      <c r="AX52" s="108">
        <v>1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3204</v>
      </c>
      <c r="F53" s="108">
        <v>0</v>
      </c>
      <c r="G53" s="108">
        <v>3204</v>
      </c>
      <c r="H53" s="108">
        <v>0</v>
      </c>
      <c r="I53" s="108">
        <v>3204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3204</v>
      </c>
      <c r="V53" s="108">
        <v>0</v>
      </c>
      <c r="W53" s="108">
        <v>3204</v>
      </c>
      <c r="X53" s="108">
        <v>0</v>
      </c>
      <c r="Y53" s="108">
        <v>3204</v>
      </c>
      <c r="Z53" s="108">
        <v>0</v>
      </c>
      <c r="AA53" s="108">
        <v>0</v>
      </c>
      <c r="AB53" s="108">
        <v>3204</v>
      </c>
      <c r="AC53" s="108">
        <v>0</v>
      </c>
      <c r="AD53" s="108">
        <v>3204</v>
      </c>
      <c r="AE53" s="108">
        <v>0</v>
      </c>
      <c r="AF53" s="108">
        <v>3204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 s="98">
        <f>SUM($D$53:$AY$53)</f>
        <v>28836</v>
      </c>
    </row>
    <row r="54" spans="1:52">
      <c r="A54" s="108"/>
      <c r="B54" s="176" t="s">
        <v>352</v>
      </c>
      <c r="C54" s="108"/>
      <c r="D54" s="108">
        <v>1566.9829500000001</v>
      </c>
      <c r="E54" s="108">
        <v>0</v>
      </c>
      <c r="F54" s="108">
        <v>1221.8298678654705</v>
      </c>
      <c r="G54" s="108">
        <v>0</v>
      </c>
      <c r="H54" s="108">
        <v>1221.8298678654705</v>
      </c>
      <c r="I54" s="108">
        <v>0</v>
      </c>
      <c r="J54" s="108">
        <v>1269.0331614435197</v>
      </c>
      <c r="K54" s="108">
        <v>1269.0331614435197</v>
      </c>
      <c r="L54" s="108">
        <v>1269.0331614435197</v>
      </c>
      <c r="M54" s="108">
        <v>1402.2577660348293</v>
      </c>
      <c r="N54" s="108">
        <v>1402.2577660348293</v>
      </c>
      <c r="O54" s="108">
        <v>1402.2577660348293</v>
      </c>
      <c r="P54" s="108">
        <v>1402.2577660348293</v>
      </c>
      <c r="Q54" s="108">
        <v>1269.0331614435197</v>
      </c>
      <c r="R54" s="108">
        <v>1269.0331614435197</v>
      </c>
      <c r="S54" s="108">
        <v>1269.0331614435197</v>
      </c>
      <c r="T54" s="108">
        <v>0</v>
      </c>
      <c r="U54" s="108">
        <v>0</v>
      </c>
      <c r="V54" s="108">
        <v>0</v>
      </c>
      <c r="W54" s="108">
        <v>0</v>
      </c>
      <c r="X54" s="108">
        <v>1269.0331614435197</v>
      </c>
      <c r="Y54" s="108">
        <v>0</v>
      </c>
      <c r="Z54" s="108">
        <v>1402.2577660348293</v>
      </c>
      <c r="AA54" s="108">
        <v>0</v>
      </c>
      <c r="AB54" s="108">
        <v>0</v>
      </c>
      <c r="AC54" s="108">
        <v>1221.8298678654705</v>
      </c>
      <c r="AD54" s="108">
        <v>0</v>
      </c>
      <c r="AE54" s="108">
        <v>1221.8298678654705</v>
      </c>
      <c r="AF54" s="108">
        <v>0</v>
      </c>
      <c r="AG54" s="108">
        <v>1402.2577660348293</v>
      </c>
      <c r="AH54" s="108">
        <v>1402.2577660348293</v>
      </c>
      <c r="AI54" s="108">
        <v>1402.2577660348293</v>
      </c>
      <c r="AJ54" s="108">
        <v>1402.2577660348293</v>
      </c>
      <c r="AK54" s="108">
        <v>1235.727010295692</v>
      </c>
      <c r="AL54" s="108">
        <v>1235.727010295692</v>
      </c>
      <c r="AM54" s="108">
        <v>1235.727010295692</v>
      </c>
      <c r="AN54" s="108">
        <v>1235.727010295692</v>
      </c>
      <c r="AO54" s="108">
        <v>1368.9516148870021</v>
      </c>
      <c r="AP54" s="108">
        <v>1368.9516148870021</v>
      </c>
      <c r="AQ54" s="108">
        <v>1368.9516148870021</v>
      </c>
      <c r="AR54" s="108">
        <v>1368.9516148870021</v>
      </c>
      <c r="AS54" s="108">
        <v>1335.6454637391746</v>
      </c>
      <c r="AT54" s="108">
        <v>1335.6454637391746</v>
      </c>
      <c r="AU54" s="108">
        <v>1335.6454637391746</v>
      </c>
      <c r="AV54" s="108">
        <v>1335.6454637391746</v>
      </c>
      <c r="AW54" s="108">
        <v>1269.138363037644</v>
      </c>
      <c r="AX54" s="108">
        <v>1269.138363037644</v>
      </c>
      <c r="AY54" s="108">
        <v>1269.138363037644</v>
      </c>
      <c r="AZ54" s="98">
        <f>SUM($D$54:$AY$54)</f>
        <v>47526.565890680387</v>
      </c>
    </row>
    <row r="55" spans="1:52">
      <c r="A55" s="133" t="s">
        <v>59</v>
      </c>
      <c r="B55" s="133" t="s">
        <v>342</v>
      </c>
      <c r="C55" s="122"/>
      <c r="D55" s="122">
        <f>D$21*shipping_manufacturing!$F$29/100</f>
        <v>406.61099999999999</v>
      </c>
      <c r="E55" s="122">
        <f>E$21*shipping_manufacturing!$F$29/100</f>
        <v>317.04841740788999</v>
      </c>
      <c r="F55" s="122">
        <f>F$21*shipping_manufacturing!$F$29/100</f>
        <v>317.04841740788999</v>
      </c>
      <c r="G55" s="122">
        <f>G$21*shipping_manufacturing!$F$29/100</f>
        <v>317.04841740788999</v>
      </c>
      <c r="H55" s="122">
        <f>H$21*shipping_manufacturing!$F$29/100</f>
        <v>317.04841740788999</v>
      </c>
      <c r="I55" s="122">
        <f>I$21*shipping_manufacturing!$F$29/100</f>
        <v>218.52685331119653</v>
      </c>
      <c r="J55" s="122">
        <f>J$21*shipping_manufacturing!$F$29/100</f>
        <v>329.29703721901438</v>
      </c>
      <c r="K55" s="122">
        <f>K$21*shipping_manufacturing!$F$29/100</f>
        <v>329.29703721901438</v>
      </c>
      <c r="L55" s="122">
        <f>L$21*shipping_manufacturing!$F$29/100</f>
        <v>329.29703721901438</v>
      </c>
      <c r="M55" s="122">
        <f>M$21*shipping_manufacturing!$F$29/100</f>
        <v>363.86703027316798</v>
      </c>
      <c r="N55" s="122">
        <f>N$21*shipping_manufacturing!$F$29/100</f>
        <v>363.86703027316798</v>
      </c>
      <c r="O55" s="122">
        <f>O$21*shipping_manufacturing!$F$29/100</f>
        <v>363.86703027316798</v>
      </c>
      <c r="P55" s="122">
        <f>P$21*shipping_manufacturing!$F$29/100</f>
        <v>363.86703027316798</v>
      </c>
      <c r="Q55" s="122">
        <f>Q$21*shipping_manufacturing!$F$29/100</f>
        <v>329.29703721901438</v>
      </c>
      <c r="R55" s="122">
        <f>R$21*shipping_manufacturing!$F$29/100</f>
        <v>329.29703721901438</v>
      </c>
      <c r="S55" s="122">
        <f>S$21*shipping_manufacturing!$F$29/100</f>
        <v>329.29703721901438</v>
      </c>
      <c r="T55" s="122">
        <f>T$21*shipping_manufacturing!$F$29/100</f>
        <v>0</v>
      </c>
      <c r="U55" s="122">
        <f>U$21*shipping_manufacturing!$F$29/100</f>
        <v>406.61099999999999</v>
      </c>
      <c r="V55" s="122">
        <f>V$21*shipping_manufacturing!$F$29/100</f>
        <v>0</v>
      </c>
      <c r="W55" s="122">
        <f>W$21*shipping_manufacturing!$F$29/100</f>
        <v>406.61099999999999</v>
      </c>
      <c r="X55" s="122">
        <f>X$21*shipping_manufacturing!$F$29/100</f>
        <v>329.29703721901438</v>
      </c>
      <c r="Y55" s="122">
        <f>Y$21*shipping_manufacturing!$F$29/100</f>
        <v>363.86703027316798</v>
      </c>
      <c r="Z55" s="122">
        <f>Z$21*shipping_manufacturing!$F$29/100</f>
        <v>363.86703027316798</v>
      </c>
      <c r="AA55" s="122">
        <f>AA$21*shipping_manufacturing!$F$29/100</f>
        <v>0</v>
      </c>
      <c r="AB55" s="122">
        <f>AB$21*shipping_manufacturing!$F$29/100</f>
        <v>406.61099999999999</v>
      </c>
      <c r="AC55" s="122">
        <f>AC$21*shipping_manufacturing!$F$29/100</f>
        <v>317.04841740788999</v>
      </c>
      <c r="AD55" s="122">
        <f>AD$21*shipping_manufacturing!$F$29/100</f>
        <v>317.04841740788999</v>
      </c>
      <c r="AE55" s="122">
        <f>AE$21*shipping_manufacturing!$F$29/100</f>
        <v>317.04841740788999</v>
      </c>
      <c r="AF55" s="122">
        <f>AF$21*shipping_manufacturing!$F$29/100</f>
        <v>259.13932203934621</v>
      </c>
      <c r="AG55" s="122">
        <f>AG$21*shipping_manufacturing!$F$29/100</f>
        <v>363.86703027316798</v>
      </c>
      <c r="AH55" s="122">
        <f>AH$21*shipping_manufacturing!$F$29/100</f>
        <v>363.86703027316798</v>
      </c>
      <c r="AI55" s="122">
        <f>AI$21*shipping_manufacturing!$F$29/100</f>
        <v>363.86703027316798</v>
      </c>
      <c r="AJ55" s="122">
        <f>AJ$21*shipping_manufacturing!$F$29/100</f>
        <v>363.86703027316798</v>
      </c>
      <c r="AK55" s="122">
        <f>AK$21*shipping_manufacturing!$F$29/100</f>
        <v>320.65453895547597</v>
      </c>
      <c r="AL55" s="122">
        <f>AL$21*shipping_manufacturing!$F$29/100</f>
        <v>320.65453895547597</v>
      </c>
      <c r="AM55" s="122">
        <f>AM$21*shipping_manufacturing!$F$29/100</f>
        <v>320.65453895547597</v>
      </c>
      <c r="AN55" s="122">
        <f>AN$21*shipping_manufacturing!$F$29/100</f>
        <v>320.65453895547597</v>
      </c>
      <c r="AO55" s="122">
        <f>AO$21*shipping_manufacturing!$F$29/100</f>
        <v>355.22453200962957</v>
      </c>
      <c r="AP55" s="122">
        <f>AP$21*shipping_manufacturing!$F$29/100</f>
        <v>355.22453200962957</v>
      </c>
      <c r="AQ55" s="122">
        <f>AQ$21*shipping_manufacturing!$F$29/100</f>
        <v>355.22453200962957</v>
      </c>
      <c r="AR55" s="122">
        <f>AR$21*shipping_manufacturing!$F$29/100</f>
        <v>355.22453200962957</v>
      </c>
      <c r="AS55" s="122">
        <f>AS$21*shipping_manufacturing!$F$29/100</f>
        <v>346.58203374609116</v>
      </c>
      <c r="AT55" s="122">
        <f>AT$21*shipping_manufacturing!$F$29/100</f>
        <v>346.58203374609116</v>
      </c>
      <c r="AU55" s="122">
        <f>AU$21*shipping_manufacturing!$F$29/100</f>
        <v>346.58203374609116</v>
      </c>
      <c r="AV55" s="122">
        <f>AV$21*shipping_manufacturing!$F$29/100</f>
        <v>346.58203374609116</v>
      </c>
      <c r="AW55" s="122">
        <f>AW$21*shipping_manufacturing!$F$29/100</f>
        <v>329.32433561775474</v>
      </c>
      <c r="AX55" s="122">
        <f>AX$21*shipping_manufacturing!$F$29/100</f>
        <v>329.32433561775474</v>
      </c>
      <c r="AY55" s="122">
        <f>AY$21*shipping_manufacturing!$F$29/100</f>
        <v>329.32433561775474</v>
      </c>
    </row>
    <row r="56" spans="1:52">
      <c r="A56" s="111" t="s">
        <v>341</v>
      </c>
      <c r="B56" s="163" t="s">
        <v>343</v>
      </c>
      <c r="C56" s="108"/>
      <c r="D56" s="108">
        <f>D$22*shipping_manufacturing!$G$29/100</f>
        <v>0</v>
      </c>
      <c r="E56" s="108">
        <f>E$22*shipping_manufacturing!$G$29/100</f>
        <v>0</v>
      </c>
      <c r="F56" s="108">
        <f>F$22*shipping_manufacturing!$G$29/100</f>
        <v>0</v>
      </c>
      <c r="G56" s="108">
        <f>G$22*shipping_manufacturing!$G$29/100</f>
        <v>0</v>
      </c>
      <c r="H56" s="108">
        <f>H$22*shipping_manufacturing!$G$29/100</f>
        <v>0</v>
      </c>
      <c r="I56" s="108">
        <f>I$22*shipping_manufacturing!$G$29/100</f>
        <v>0</v>
      </c>
      <c r="J56" s="108">
        <f>J$22*shipping_manufacturing!$G$29/100</f>
        <v>0</v>
      </c>
      <c r="K56" s="108">
        <f>K$22*shipping_manufacturing!$G$29/100</f>
        <v>0</v>
      </c>
      <c r="L56" s="108">
        <f>L$22*shipping_manufacturing!$G$29/100</f>
        <v>0</v>
      </c>
      <c r="M56" s="108">
        <f>M$22*shipping_manufacturing!$G$29/100</f>
        <v>0</v>
      </c>
      <c r="N56" s="108">
        <f>N$22*shipping_manufacturing!$G$29/100</f>
        <v>0</v>
      </c>
      <c r="O56" s="108">
        <f>O$22*shipping_manufacturing!$G$29/100</f>
        <v>0</v>
      </c>
      <c r="P56" s="108">
        <f>P$22*shipping_manufacturing!$G$29/100</f>
        <v>0</v>
      </c>
      <c r="Q56" s="108">
        <f>Q$22*shipping_manufacturing!$G$29/100</f>
        <v>0</v>
      </c>
      <c r="R56" s="108">
        <f>R$22*shipping_manufacturing!$G$29/100</f>
        <v>0</v>
      </c>
      <c r="S56" s="108">
        <f>S$22*shipping_manufacturing!$G$29/100</f>
        <v>0</v>
      </c>
      <c r="T56" s="108">
        <f>T$22*shipping_manufacturing!$G$29/100</f>
        <v>0</v>
      </c>
      <c r="U56" s="108">
        <f>U$22*shipping_manufacturing!$G$29/100</f>
        <v>0</v>
      </c>
      <c r="V56" s="108">
        <f>V$22*shipping_manufacturing!$G$29/100</f>
        <v>0</v>
      </c>
      <c r="W56" s="108">
        <f>W$22*shipping_manufacturing!$G$29/100</f>
        <v>0</v>
      </c>
      <c r="X56" s="108">
        <f>X$22*shipping_manufacturing!$G$29/100</f>
        <v>0</v>
      </c>
      <c r="Y56" s="108">
        <f>Y$22*shipping_manufacturing!$G$29/100</f>
        <v>0</v>
      </c>
      <c r="Z56" s="108">
        <f>Z$22*shipping_manufacturing!$G$29/100</f>
        <v>0</v>
      </c>
      <c r="AA56" s="108">
        <f>AA$22*shipping_manufacturing!$G$29/100</f>
        <v>0</v>
      </c>
      <c r="AB56" s="108">
        <f>AB$22*shipping_manufacturing!$G$29/100</f>
        <v>0</v>
      </c>
      <c r="AC56" s="108">
        <f>AC$22*shipping_manufacturing!$G$29/100</f>
        <v>0</v>
      </c>
      <c r="AD56" s="108">
        <f>AD$22*shipping_manufacturing!$G$29/100</f>
        <v>0</v>
      </c>
      <c r="AE56" s="108">
        <f>AE$22*shipping_manufacturing!$G$29/100</f>
        <v>0</v>
      </c>
      <c r="AF56" s="108">
        <f>AF$22*shipping_manufacturing!$G$29/100</f>
        <v>0</v>
      </c>
      <c r="AG56" s="108">
        <f>AG$22*shipping_manufacturing!$G$29/100</f>
        <v>0</v>
      </c>
      <c r="AH56" s="108">
        <f>AH$22*shipping_manufacturing!$G$29/100</f>
        <v>0</v>
      </c>
      <c r="AI56" s="108">
        <f>AI$22*shipping_manufacturing!$G$29/100</f>
        <v>0</v>
      </c>
      <c r="AJ56" s="108">
        <f>AJ$22*shipping_manufacturing!$G$29/100</f>
        <v>0</v>
      </c>
      <c r="AK56" s="108">
        <f>AK$22*shipping_manufacturing!$G$29/100</f>
        <v>0</v>
      </c>
      <c r="AL56" s="108">
        <f>AL$22*shipping_manufacturing!$G$29/100</f>
        <v>0</v>
      </c>
      <c r="AM56" s="108">
        <f>AM$22*shipping_manufacturing!$G$29/100</f>
        <v>0</v>
      </c>
      <c r="AN56" s="108">
        <f>AN$22*shipping_manufacturing!$G$29/100</f>
        <v>0</v>
      </c>
      <c r="AO56" s="108">
        <f>AO$22*shipping_manufacturing!$G$29/100</f>
        <v>0</v>
      </c>
      <c r="AP56" s="108">
        <f>AP$22*shipping_manufacturing!$G$29/100</f>
        <v>0</v>
      </c>
      <c r="AQ56" s="108">
        <f>AQ$22*shipping_manufacturing!$G$29/100</f>
        <v>0</v>
      </c>
      <c r="AR56" s="108">
        <f>AR$22*shipping_manufacturing!$G$29/100</f>
        <v>0</v>
      </c>
      <c r="AS56" s="108">
        <f>AS$22*shipping_manufacturing!$G$29/100</f>
        <v>0</v>
      </c>
      <c r="AT56" s="108">
        <f>AT$22*shipping_manufacturing!$G$29/100</f>
        <v>0</v>
      </c>
      <c r="AU56" s="108">
        <f>AU$22*shipping_manufacturing!$G$29/100</f>
        <v>0</v>
      </c>
      <c r="AV56" s="108">
        <f>AV$22*shipping_manufacturing!$G$29/100</f>
        <v>0</v>
      </c>
      <c r="AW56" s="108">
        <f>AW$22*shipping_manufacturing!$G$29/100</f>
        <v>0</v>
      </c>
      <c r="AX56" s="108">
        <f>AX$22*shipping_manufacturing!$G$29/100</f>
        <v>0</v>
      </c>
      <c r="AY56" s="108">
        <f>AY$22*shipping_manufacturing!$G$29/100</f>
        <v>0</v>
      </c>
    </row>
    <row r="57" spans="1:52">
      <c r="A57" s="108">
        <v>2339</v>
      </c>
      <c r="B57" s="163" t="s">
        <v>344</v>
      </c>
      <c r="C57" s="108"/>
      <c r="D57" s="108">
        <f>SUM(D55:D56)</f>
        <v>406.61099999999999</v>
      </c>
      <c r="E57" s="108">
        <f t="shared" ref="E57:AY57" si="17">SUM(E55:E56)</f>
        <v>317.04841740788999</v>
      </c>
      <c r="F57" s="108">
        <f t="shared" si="17"/>
        <v>317.04841740788999</v>
      </c>
      <c r="G57" s="108">
        <f t="shared" si="17"/>
        <v>317.04841740788999</v>
      </c>
      <c r="H57" s="108">
        <f t="shared" si="17"/>
        <v>317.04841740788999</v>
      </c>
      <c r="I57" s="108">
        <f t="shared" si="17"/>
        <v>218.52685331119653</v>
      </c>
      <c r="J57" s="108">
        <f t="shared" si="17"/>
        <v>329.29703721901438</v>
      </c>
      <c r="K57" s="108">
        <f t="shared" si="17"/>
        <v>329.29703721901438</v>
      </c>
      <c r="L57" s="108">
        <f t="shared" si="17"/>
        <v>329.29703721901438</v>
      </c>
      <c r="M57" s="108">
        <f t="shared" si="17"/>
        <v>363.86703027316798</v>
      </c>
      <c r="N57" s="108">
        <f t="shared" si="17"/>
        <v>363.86703027316798</v>
      </c>
      <c r="O57" s="108">
        <f t="shared" si="17"/>
        <v>363.86703027316798</v>
      </c>
      <c r="P57" s="108">
        <f t="shared" si="17"/>
        <v>363.86703027316798</v>
      </c>
      <c r="Q57" s="108">
        <f t="shared" si="17"/>
        <v>329.29703721901438</v>
      </c>
      <c r="R57" s="108">
        <f t="shared" si="17"/>
        <v>329.29703721901438</v>
      </c>
      <c r="S57" s="108">
        <f t="shared" si="17"/>
        <v>329.29703721901438</v>
      </c>
      <c r="T57" s="108">
        <f t="shared" si="17"/>
        <v>0</v>
      </c>
      <c r="U57" s="108">
        <f t="shared" si="17"/>
        <v>406.61099999999999</v>
      </c>
      <c r="V57" s="108">
        <f t="shared" si="17"/>
        <v>0</v>
      </c>
      <c r="W57" s="108">
        <f t="shared" si="17"/>
        <v>406.61099999999999</v>
      </c>
      <c r="X57" s="108">
        <f t="shared" si="17"/>
        <v>329.29703721901438</v>
      </c>
      <c r="Y57" s="108">
        <f t="shared" si="17"/>
        <v>363.86703027316798</v>
      </c>
      <c r="Z57" s="108">
        <f t="shared" si="17"/>
        <v>363.86703027316798</v>
      </c>
      <c r="AA57" s="108">
        <f t="shared" si="17"/>
        <v>0</v>
      </c>
      <c r="AB57" s="108">
        <f t="shared" si="17"/>
        <v>406.61099999999999</v>
      </c>
      <c r="AC57" s="108">
        <f t="shared" si="17"/>
        <v>317.04841740788999</v>
      </c>
      <c r="AD57" s="108">
        <f t="shared" si="17"/>
        <v>317.04841740788999</v>
      </c>
      <c r="AE57" s="108">
        <f t="shared" si="17"/>
        <v>317.04841740788999</v>
      </c>
      <c r="AF57" s="108">
        <f t="shared" si="17"/>
        <v>259.13932203934621</v>
      </c>
      <c r="AG57" s="108">
        <f t="shared" si="17"/>
        <v>363.86703027316798</v>
      </c>
      <c r="AH57" s="108">
        <f t="shared" si="17"/>
        <v>363.86703027316798</v>
      </c>
      <c r="AI57" s="108">
        <f t="shared" si="17"/>
        <v>363.86703027316798</v>
      </c>
      <c r="AJ57" s="108">
        <f t="shared" si="17"/>
        <v>363.86703027316798</v>
      </c>
      <c r="AK57" s="108">
        <f t="shared" si="17"/>
        <v>320.65453895547597</v>
      </c>
      <c r="AL57" s="108">
        <f t="shared" si="17"/>
        <v>320.65453895547597</v>
      </c>
      <c r="AM57" s="108">
        <f t="shared" si="17"/>
        <v>320.65453895547597</v>
      </c>
      <c r="AN57" s="108">
        <f t="shared" si="17"/>
        <v>320.65453895547597</v>
      </c>
      <c r="AO57" s="108">
        <f t="shared" si="17"/>
        <v>355.22453200962957</v>
      </c>
      <c r="AP57" s="108">
        <f t="shared" si="17"/>
        <v>355.22453200962957</v>
      </c>
      <c r="AQ57" s="108">
        <f t="shared" si="17"/>
        <v>355.22453200962957</v>
      </c>
      <c r="AR57" s="108">
        <f t="shared" si="17"/>
        <v>355.22453200962957</v>
      </c>
      <c r="AS57" s="108">
        <f t="shared" si="17"/>
        <v>346.58203374609116</v>
      </c>
      <c r="AT57" s="108">
        <f t="shared" si="17"/>
        <v>346.58203374609116</v>
      </c>
      <c r="AU57" s="108">
        <f t="shared" si="17"/>
        <v>346.58203374609116</v>
      </c>
      <c r="AV57" s="108">
        <f t="shared" si="17"/>
        <v>346.58203374609116</v>
      </c>
      <c r="AW57" s="108">
        <f t="shared" si="17"/>
        <v>329.32433561775474</v>
      </c>
      <c r="AX57" s="108">
        <f t="shared" si="17"/>
        <v>329.32433561775474</v>
      </c>
      <c r="AY57" s="108">
        <f t="shared" si="17"/>
        <v>329.32433561775474</v>
      </c>
    </row>
    <row r="58" spans="1:52">
      <c r="A58" s="108"/>
      <c r="B58" s="163" t="s">
        <v>345</v>
      </c>
      <c r="C58" s="108"/>
      <c r="D58" s="108">
        <v>150</v>
      </c>
      <c r="E58" s="108">
        <v>317.04841740788999</v>
      </c>
      <c r="F58" s="108">
        <v>240</v>
      </c>
      <c r="G58" s="108">
        <v>317.04841740788999</v>
      </c>
      <c r="H58" s="108">
        <v>240</v>
      </c>
      <c r="I58" s="108">
        <v>218.52685331119653</v>
      </c>
      <c r="J58" s="108">
        <v>300</v>
      </c>
      <c r="K58" s="108">
        <v>300</v>
      </c>
      <c r="L58" s="108">
        <v>300</v>
      </c>
      <c r="M58" s="108">
        <v>330</v>
      </c>
      <c r="N58" s="108">
        <v>330</v>
      </c>
      <c r="O58" s="108">
        <v>330</v>
      </c>
      <c r="P58" s="108">
        <v>330</v>
      </c>
      <c r="Q58" s="108">
        <v>300</v>
      </c>
      <c r="R58" s="108">
        <v>300</v>
      </c>
      <c r="S58" s="108">
        <v>300</v>
      </c>
      <c r="T58" s="108"/>
      <c r="U58" s="108">
        <v>406.61099999999999</v>
      </c>
      <c r="V58" s="108"/>
      <c r="W58" s="108">
        <v>406.61099999999999</v>
      </c>
      <c r="X58" s="108">
        <v>120</v>
      </c>
      <c r="Y58" s="108">
        <v>363.86703027316798</v>
      </c>
      <c r="Z58" s="108">
        <v>180</v>
      </c>
      <c r="AA58" s="108"/>
      <c r="AB58" s="108">
        <v>406.61099999999999</v>
      </c>
      <c r="AC58" s="108">
        <v>120</v>
      </c>
      <c r="AD58" s="108">
        <v>317.04841740788999</v>
      </c>
      <c r="AE58" s="108">
        <v>240</v>
      </c>
      <c r="AF58" s="108">
        <v>259.13932203934621</v>
      </c>
      <c r="AG58" s="108">
        <v>300</v>
      </c>
      <c r="AH58" s="108">
        <v>330</v>
      </c>
      <c r="AI58" s="108">
        <v>300</v>
      </c>
      <c r="AJ58" s="108">
        <v>330</v>
      </c>
      <c r="AK58" s="108">
        <v>270</v>
      </c>
      <c r="AL58" s="108">
        <v>300</v>
      </c>
      <c r="AM58" s="108">
        <v>270</v>
      </c>
      <c r="AN58" s="108">
        <v>300</v>
      </c>
      <c r="AO58" s="108">
        <v>300</v>
      </c>
      <c r="AP58" s="108">
        <v>330</v>
      </c>
      <c r="AQ58" s="108">
        <v>300</v>
      </c>
      <c r="AR58" s="108">
        <v>330</v>
      </c>
      <c r="AS58" s="108">
        <v>300</v>
      </c>
      <c r="AT58" s="108">
        <v>330</v>
      </c>
      <c r="AU58" s="108">
        <v>300</v>
      </c>
      <c r="AV58" s="108">
        <v>330</v>
      </c>
      <c r="AW58" s="108">
        <v>300</v>
      </c>
      <c r="AX58" s="108">
        <v>329.32433561775474</v>
      </c>
      <c r="AY58" s="108">
        <v>300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/>
      <c r="U59" s="108">
        <v>0</v>
      </c>
      <c r="V59" s="108"/>
      <c r="W59" s="108">
        <v>0</v>
      </c>
      <c r="X59" s="108">
        <v>0</v>
      </c>
      <c r="Y59" s="108">
        <v>0</v>
      </c>
      <c r="Z59" s="108">
        <v>0</v>
      </c>
      <c r="AA59" s="108"/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5</v>
      </c>
      <c r="E60" s="108">
        <v>11</v>
      </c>
      <c r="F60" s="108">
        <v>8</v>
      </c>
      <c r="G60" s="108">
        <v>11</v>
      </c>
      <c r="H60" s="108">
        <v>8</v>
      </c>
      <c r="I60" s="108">
        <v>8</v>
      </c>
      <c r="J60" s="108">
        <v>10</v>
      </c>
      <c r="K60" s="108">
        <v>10</v>
      </c>
      <c r="L60" s="108">
        <v>10</v>
      </c>
      <c r="M60" s="108">
        <v>11</v>
      </c>
      <c r="N60" s="108">
        <v>11</v>
      </c>
      <c r="O60" s="108">
        <v>11</v>
      </c>
      <c r="P60" s="108">
        <v>11</v>
      </c>
      <c r="Q60" s="108">
        <v>10</v>
      </c>
      <c r="R60" s="108">
        <v>10</v>
      </c>
      <c r="S60" s="108">
        <v>10</v>
      </c>
      <c r="T60" s="108"/>
      <c r="U60" s="108">
        <v>14</v>
      </c>
      <c r="V60" s="108"/>
      <c r="W60" s="108">
        <v>14</v>
      </c>
      <c r="X60" s="108">
        <v>4</v>
      </c>
      <c r="Y60" s="108">
        <v>13</v>
      </c>
      <c r="Z60" s="108">
        <v>6</v>
      </c>
      <c r="AA60" s="108"/>
      <c r="AB60" s="108">
        <v>14</v>
      </c>
      <c r="AC60" s="108">
        <v>4</v>
      </c>
      <c r="AD60" s="108">
        <v>11</v>
      </c>
      <c r="AE60" s="108">
        <v>8</v>
      </c>
      <c r="AF60" s="108">
        <v>9</v>
      </c>
      <c r="AG60" s="108">
        <v>10</v>
      </c>
      <c r="AH60" s="108">
        <v>11</v>
      </c>
      <c r="AI60" s="108">
        <v>10</v>
      </c>
      <c r="AJ60" s="108">
        <v>11</v>
      </c>
      <c r="AK60" s="108">
        <v>9</v>
      </c>
      <c r="AL60" s="108">
        <v>10</v>
      </c>
      <c r="AM60" s="108">
        <v>9</v>
      </c>
      <c r="AN60" s="108">
        <v>10</v>
      </c>
      <c r="AO60" s="108">
        <v>10</v>
      </c>
      <c r="AP60" s="108">
        <v>11</v>
      </c>
      <c r="AQ60" s="108">
        <v>10</v>
      </c>
      <c r="AR60" s="108">
        <v>11</v>
      </c>
      <c r="AS60" s="108">
        <v>10</v>
      </c>
      <c r="AT60" s="108">
        <v>11</v>
      </c>
      <c r="AU60" s="108">
        <v>10</v>
      </c>
      <c r="AV60" s="108">
        <v>11</v>
      </c>
      <c r="AW60" s="108">
        <v>10</v>
      </c>
      <c r="AX60" s="108">
        <v>11</v>
      </c>
      <c r="AY60" s="108">
        <v>10</v>
      </c>
    </row>
    <row r="61" spans="1:52">
      <c r="A61" s="108"/>
      <c r="B61" s="163" t="s">
        <v>348</v>
      </c>
      <c r="C61" s="108"/>
      <c r="D61" s="108">
        <f>D55-D58</f>
        <v>256.61099999999999</v>
      </c>
      <c r="E61" s="108">
        <f t="shared" ref="E61:AY61" si="18">E55-E58</f>
        <v>0</v>
      </c>
      <c r="F61" s="108">
        <f t="shared" si="18"/>
        <v>77.048417407889985</v>
      </c>
      <c r="G61" s="108">
        <f t="shared" si="18"/>
        <v>0</v>
      </c>
      <c r="H61" s="108">
        <f t="shared" si="18"/>
        <v>77.048417407889985</v>
      </c>
      <c r="I61" s="108">
        <f t="shared" si="18"/>
        <v>0</v>
      </c>
      <c r="J61" s="108">
        <f t="shared" si="18"/>
        <v>29.297037219014385</v>
      </c>
      <c r="K61" s="108">
        <f t="shared" si="18"/>
        <v>29.297037219014385</v>
      </c>
      <c r="L61" s="108">
        <f t="shared" si="18"/>
        <v>29.297037219014385</v>
      </c>
      <c r="M61" s="108">
        <f t="shared" si="18"/>
        <v>33.867030273167984</v>
      </c>
      <c r="N61" s="108">
        <f t="shared" si="18"/>
        <v>33.867030273167984</v>
      </c>
      <c r="O61" s="108">
        <f t="shared" si="18"/>
        <v>33.867030273167984</v>
      </c>
      <c r="P61" s="108">
        <f t="shared" si="18"/>
        <v>33.867030273167984</v>
      </c>
      <c r="Q61" s="108">
        <f t="shared" si="18"/>
        <v>29.297037219014385</v>
      </c>
      <c r="R61" s="108">
        <f t="shared" si="18"/>
        <v>29.297037219014385</v>
      </c>
      <c r="S61" s="108">
        <f t="shared" si="18"/>
        <v>29.297037219014385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209.29703721901438</v>
      </c>
      <c r="Y61" s="108">
        <f t="shared" si="18"/>
        <v>0</v>
      </c>
      <c r="Z61" s="108">
        <f t="shared" si="18"/>
        <v>183.86703027316798</v>
      </c>
      <c r="AA61" s="108">
        <f t="shared" si="18"/>
        <v>0</v>
      </c>
      <c r="AB61" s="108">
        <f t="shared" si="18"/>
        <v>0</v>
      </c>
      <c r="AC61" s="108">
        <f t="shared" si="18"/>
        <v>197.04841740788999</v>
      </c>
      <c r="AD61" s="108">
        <f t="shared" si="18"/>
        <v>0</v>
      </c>
      <c r="AE61" s="108">
        <f t="shared" si="18"/>
        <v>77.048417407889985</v>
      </c>
      <c r="AF61" s="108">
        <f t="shared" si="18"/>
        <v>0</v>
      </c>
      <c r="AG61" s="108">
        <f t="shared" si="18"/>
        <v>63.867030273167984</v>
      </c>
      <c r="AH61" s="108">
        <f t="shared" si="18"/>
        <v>33.867030273167984</v>
      </c>
      <c r="AI61" s="108">
        <f t="shared" si="18"/>
        <v>63.867030273167984</v>
      </c>
      <c r="AJ61" s="108">
        <f t="shared" si="18"/>
        <v>33.867030273167984</v>
      </c>
      <c r="AK61" s="108">
        <f t="shared" si="18"/>
        <v>50.654538955475971</v>
      </c>
      <c r="AL61" s="108">
        <f t="shared" si="18"/>
        <v>20.654538955475971</v>
      </c>
      <c r="AM61" s="108">
        <f t="shared" si="18"/>
        <v>50.654538955475971</v>
      </c>
      <c r="AN61" s="108">
        <f t="shared" si="18"/>
        <v>20.654538955475971</v>
      </c>
      <c r="AO61" s="108">
        <f t="shared" si="18"/>
        <v>55.22453200962957</v>
      </c>
      <c r="AP61" s="108">
        <f t="shared" si="18"/>
        <v>25.22453200962957</v>
      </c>
      <c r="AQ61" s="108">
        <f t="shared" si="18"/>
        <v>55.22453200962957</v>
      </c>
      <c r="AR61" s="108">
        <f t="shared" si="18"/>
        <v>25.22453200962957</v>
      </c>
      <c r="AS61" s="108">
        <f t="shared" si="18"/>
        <v>46.582033746091156</v>
      </c>
      <c r="AT61" s="108">
        <f t="shared" si="18"/>
        <v>16.582033746091156</v>
      </c>
      <c r="AU61" s="108">
        <f t="shared" si="18"/>
        <v>46.582033746091156</v>
      </c>
      <c r="AV61" s="108">
        <f t="shared" si="18"/>
        <v>16.582033746091156</v>
      </c>
      <c r="AW61" s="108">
        <f t="shared" si="18"/>
        <v>29.324335617754741</v>
      </c>
      <c r="AX61" s="108">
        <f t="shared" si="18"/>
        <v>0</v>
      </c>
      <c r="AY61" s="108">
        <f t="shared" si="18"/>
        <v>29.324335617754741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3</v>
      </c>
      <c r="E63" s="108">
        <v>2</v>
      </c>
      <c r="F63" s="108">
        <v>2</v>
      </c>
      <c r="G63" s="108">
        <v>3</v>
      </c>
      <c r="H63" s="108">
        <v>2</v>
      </c>
      <c r="I63" s="108">
        <v>2</v>
      </c>
      <c r="J63" s="108">
        <v>2</v>
      </c>
      <c r="K63" s="108">
        <v>2</v>
      </c>
      <c r="L63" s="108">
        <v>3</v>
      </c>
      <c r="M63" s="108">
        <v>2</v>
      </c>
      <c r="N63" s="108">
        <v>3</v>
      </c>
      <c r="O63" s="108">
        <v>2</v>
      </c>
      <c r="P63" s="108">
        <v>2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2</v>
      </c>
      <c r="W63" s="108">
        <v>2</v>
      </c>
      <c r="X63" s="108">
        <v>2</v>
      </c>
      <c r="Y63" s="108">
        <v>2</v>
      </c>
      <c r="Z63" s="108">
        <v>4</v>
      </c>
      <c r="AA63" s="108">
        <v>3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2</v>
      </c>
      <c r="AM63" s="108">
        <v>2</v>
      </c>
      <c r="AN63" s="108">
        <v>3</v>
      </c>
      <c r="AO63" s="108">
        <v>2</v>
      </c>
      <c r="AP63" s="108">
        <v>3</v>
      </c>
      <c r="AQ63" s="108">
        <v>2</v>
      </c>
      <c r="AR63" s="108">
        <v>2</v>
      </c>
      <c r="AS63" s="108">
        <v>2</v>
      </c>
      <c r="AT63" s="108">
        <v>3</v>
      </c>
      <c r="AU63" s="108">
        <v>2</v>
      </c>
      <c r="AV63" s="108">
        <v>2</v>
      </c>
      <c r="AW63" s="108">
        <v>3</v>
      </c>
      <c r="AX63" s="108">
        <v>2</v>
      </c>
      <c r="AY63" s="108">
        <v>2</v>
      </c>
    </row>
    <row r="64" spans="1:52">
      <c r="A64" s="108"/>
      <c r="B64" s="176" t="s">
        <v>351</v>
      </c>
      <c r="C64" s="108"/>
      <c r="D64" s="108">
        <v>421020</v>
      </c>
      <c r="E64" s="108">
        <v>926244</v>
      </c>
      <c r="F64" s="108">
        <v>673632</v>
      </c>
      <c r="G64" s="108">
        <v>926244</v>
      </c>
      <c r="H64" s="108">
        <v>673632</v>
      </c>
      <c r="I64" s="108">
        <v>673632</v>
      </c>
      <c r="J64" s="108">
        <v>842040</v>
      </c>
      <c r="K64" s="108">
        <v>842040</v>
      </c>
      <c r="L64" s="108">
        <v>842040</v>
      </c>
      <c r="M64" s="108">
        <v>926244</v>
      </c>
      <c r="N64" s="108">
        <v>926244</v>
      </c>
      <c r="O64" s="108">
        <v>926244</v>
      </c>
      <c r="P64" s="108">
        <v>926244</v>
      </c>
      <c r="Q64" s="108">
        <v>842040</v>
      </c>
      <c r="R64" s="108">
        <v>842040</v>
      </c>
      <c r="S64" s="108">
        <v>842040</v>
      </c>
      <c r="T64" s="108">
        <v>0</v>
      </c>
      <c r="U64" s="108">
        <v>1178856</v>
      </c>
      <c r="V64" s="108">
        <v>0</v>
      </c>
      <c r="W64" s="108">
        <v>1178856</v>
      </c>
      <c r="X64" s="108">
        <v>336816</v>
      </c>
      <c r="Y64" s="108">
        <v>1094652</v>
      </c>
      <c r="Z64" s="108">
        <v>505224</v>
      </c>
      <c r="AA64" s="108">
        <v>0</v>
      </c>
      <c r="AB64" s="108">
        <v>1178856</v>
      </c>
      <c r="AC64" s="108">
        <v>336816</v>
      </c>
      <c r="AD64" s="108">
        <v>926244</v>
      </c>
      <c r="AE64" s="108">
        <v>673632</v>
      </c>
      <c r="AF64" s="108">
        <v>757836</v>
      </c>
      <c r="AG64" s="108">
        <v>842040</v>
      </c>
      <c r="AH64" s="108">
        <v>926244</v>
      </c>
      <c r="AI64" s="108">
        <v>842040</v>
      </c>
      <c r="AJ64" s="108">
        <v>926244</v>
      </c>
      <c r="AK64" s="108">
        <v>757836</v>
      </c>
      <c r="AL64" s="108">
        <v>842040</v>
      </c>
      <c r="AM64" s="108">
        <v>757836</v>
      </c>
      <c r="AN64" s="108">
        <v>842040</v>
      </c>
      <c r="AO64" s="108">
        <v>842040</v>
      </c>
      <c r="AP64" s="108">
        <v>926244</v>
      </c>
      <c r="AQ64" s="108">
        <v>842040</v>
      </c>
      <c r="AR64" s="108">
        <v>926244</v>
      </c>
      <c r="AS64" s="108">
        <v>842040</v>
      </c>
      <c r="AT64" s="108">
        <v>926244</v>
      </c>
      <c r="AU64" s="108">
        <v>842040</v>
      </c>
      <c r="AV64" s="108">
        <v>926244</v>
      </c>
      <c r="AW64" s="108">
        <v>842040</v>
      </c>
      <c r="AX64" s="108">
        <v>926244</v>
      </c>
      <c r="AY64" s="108">
        <v>842040</v>
      </c>
      <c r="AZ64" s="98">
        <f>SUM($D$64:$AY$64)</f>
        <v>37639188</v>
      </c>
    </row>
    <row r="65" spans="1:52">
      <c r="A65" s="123"/>
      <c r="B65" s="138" t="s">
        <v>352</v>
      </c>
      <c r="C65" s="123"/>
      <c r="D65" s="123">
        <v>390138.53385000001</v>
      </c>
      <c r="E65" s="123">
        <v>0</v>
      </c>
      <c r="F65" s="123">
        <v>117140.56140608554</v>
      </c>
      <c r="G65" s="123">
        <v>0</v>
      </c>
      <c r="H65" s="123">
        <v>117140.56140608554</v>
      </c>
      <c r="I65" s="123">
        <v>0</v>
      </c>
      <c r="J65" s="123">
        <v>44541.750535928521</v>
      </c>
      <c r="K65" s="123">
        <v>44541.750535928521</v>
      </c>
      <c r="L65" s="123">
        <v>44541.750535928521</v>
      </c>
      <c r="M65" s="123">
        <v>51489.739475810944</v>
      </c>
      <c r="N65" s="123">
        <v>51489.739475810944</v>
      </c>
      <c r="O65" s="123">
        <v>51489.739475810944</v>
      </c>
      <c r="P65" s="123">
        <v>51489.739475810944</v>
      </c>
      <c r="Q65" s="123">
        <v>44541.750535928521</v>
      </c>
      <c r="R65" s="123">
        <v>44541.750535928521</v>
      </c>
      <c r="S65" s="123">
        <v>44541.750535928521</v>
      </c>
      <c r="T65" s="123">
        <v>0</v>
      </c>
      <c r="U65" s="123">
        <v>0</v>
      </c>
      <c r="V65" s="123">
        <v>0</v>
      </c>
      <c r="W65" s="123">
        <v>0</v>
      </c>
      <c r="X65" s="123">
        <v>318204.75053592853</v>
      </c>
      <c r="Y65" s="123">
        <v>0</v>
      </c>
      <c r="Z65" s="123">
        <v>279542.23947581096</v>
      </c>
      <c r="AA65" s="123">
        <v>0</v>
      </c>
      <c r="AB65" s="123">
        <v>0</v>
      </c>
      <c r="AC65" s="123">
        <v>299582.56140608556</v>
      </c>
      <c r="AD65" s="123">
        <v>0</v>
      </c>
      <c r="AE65" s="123">
        <v>117140.56140608554</v>
      </c>
      <c r="AF65" s="123">
        <v>0</v>
      </c>
      <c r="AG65" s="123">
        <v>97100.239475810959</v>
      </c>
      <c r="AH65" s="123">
        <v>51489.739475810944</v>
      </c>
      <c r="AI65" s="123">
        <v>97100.239475810959</v>
      </c>
      <c r="AJ65" s="123">
        <v>51489.739475810944</v>
      </c>
      <c r="AK65" s="123">
        <v>77012.628300957891</v>
      </c>
      <c r="AL65" s="123">
        <v>31402.128300957895</v>
      </c>
      <c r="AM65" s="123">
        <v>77012.628300957891</v>
      </c>
      <c r="AN65" s="123">
        <v>31402.128300957895</v>
      </c>
      <c r="AO65" s="123">
        <v>83960.617240840322</v>
      </c>
      <c r="AP65" s="123">
        <v>38350.117240840322</v>
      </c>
      <c r="AQ65" s="123">
        <v>83960.617240840322</v>
      </c>
      <c r="AR65" s="123">
        <v>38350.117240840322</v>
      </c>
      <c r="AS65" s="123">
        <v>70820.9950058697</v>
      </c>
      <c r="AT65" s="123">
        <v>25210.495005869689</v>
      </c>
      <c r="AU65" s="123">
        <v>70820.9950058697</v>
      </c>
      <c r="AV65" s="123">
        <v>25210.495005869689</v>
      </c>
      <c r="AW65" s="123">
        <v>44583.253656453417</v>
      </c>
      <c r="AX65" s="123">
        <v>0</v>
      </c>
      <c r="AY65" s="123">
        <v>44583.253656453417</v>
      </c>
      <c r="AZ65" s="98">
        <f>SUM($D$65:$AY$65)</f>
        <v>3151959.6580117177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12</v>
      </c>
      <c r="E2" s="108"/>
    </row>
    <row r="3" spans="1:52">
      <c r="A3" s="98" t="s">
        <v>287</v>
      </c>
      <c r="B3" s="105">
        <v>3589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1444.7724948</v>
      </c>
      <c r="E7" s="142">
        <v>1444.7724948</v>
      </c>
      <c r="F7" s="142">
        <v>1444.7724948</v>
      </c>
      <c r="G7" s="142">
        <v>1444.7724948</v>
      </c>
      <c r="H7" s="142">
        <v>1153.583205389104</v>
      </c>
      <c r="I7" s="142">
        <v>1289.7946998000002</v>
      </c>
      <c r="J7" s="142">
        <v>1289.7946998000002</v>
      </c>
      <c r="K7" s="142">
        <v>1289.7946998000002</v>
      </c>
      <c r="L7" s="142">
        <v>1502.3442438000002</v>
      </c>
      <c r="M7" s="142">
        <v>1502.3442438000002</v>
      </c>
      <c r="N7" s="142">
        <v>1502.3442438000002</v>
      </c>
      <c r="O7" s="142">
        <v>1502.3442438000002</v>
      </c>
      <c r="P7" s="142">
        <v>1172.4025356000002</v>
      </c>
      <c r="Q7" s="142">
        <v>1172.4025356000002</v>
      </c>
      <c r="R7" s="142">
        <v>1172.4025356000002</v>
      </c>
      <c r="S7" s="142">
        <v>1172.4025356000002</v>
      </c>
      <c r="T7" s="142">
        <v>1236.1673988000002</v>
      </c>
      <c r="U7" s="142">
        <v>1236.1673988000002</v>
      </c>
      <c r="V7" s="142">
        <v>1236.1673988000002</v>
      </c>
      <c r="W7" s="142">
        <v>1236.1673988000002</v>
      </c>
      <c r="X7" s="142">
        <v>1502.3442438000002</v>
      </c>
      <c r="Y7" s="142">
        <v>1502.3442438000002</v>
      </c>
      <c r="Z7" s="142">
        <v>1502.3442438000002</v>
      </c>
      <c r="AA7" s="142">
        <v>1502.3442438000002</v>
      </c>
      <c r="AB7" s="142">
        <v>1455.3999720000002</v>
      </c>
      <c r="AC7" s="142">
        <v>1455.3999720000002</v>
      </c>
      <c r="AD7" s="142">
        <v>1455.3999720000002</v>
      </c>
      <c r="AE7" s="142">
        <v>1384.1905170559089</v>
      </c>
      <c r="AF7" s="142">
        <v>1512.9717210000001</v>
      </c>
      <c r="AG7" s="142">
        <v>1512.9717210000001</v>
      </c>
      <c r="AH7" s="142">
        <v>1512.9717210000001</v>
      </c>
      <c r="AI7" s="142">
        <v>1512.9717210000001</v>
      </c>
      <c r="AJ7" s="142">
        <v>1247.284791</v>
      </c>
      <c r="AK7" s="142">
        <v>1247.284791</v>
      </c>
      <c r="AL7" s="142">
        <v>1247.284791</v>
      </c>
      <c r="AM7" s="142">
        <v>1247.284791</v>
      </c>
      <c r="AN7" s="142">
        <v>1459.834335</v>
      </c>
      <c r="AO7" s="142">
        <v>1459.834335</v>
      </c>
      <c r="AP7" s="142">
        <v>1459.834335</v>
      </c>
      <c r="AQ7" s="142">
        <v>1459.834335</v>
      </c>
      <c r="AR7" s="142">
        <v>1481.0892893999999</v>
      </c>
      <c r="AS7" s="142">
        <v>1481.0892893999999</v>
      </c>
      <c r="AT7" s="142">
        <v>1481.0892893999999</v>
      </c>
      <c r="AU7" s="142">
        <v>1481.0892893999999</v>
      </c>
      <c r="AV7" s="142">
        <v>1343.0327903999998</v>
      </c>
      <c r="AW7" s="142">
        <v>1343.0327903999998</v>
      </c>
      <c r="AX7" s="142">
        <v>1343.0327903999998</v>
      </c>
      <c r="AY7" s="142">
        <v>1343.0327903999998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854.26786819999961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854.26786819999961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3517.2708600000005</v>
      </c>
      <c r="D13" s="136">
        <f t="shared" ref="D13:AY13" si="1">D$7-D$10</f>
        <v>1444.7724948</v>
      </c>
      <c r="E13" s="136">
        <f t="shared" si="1"/>
        <v>1444.7724948</v>
      </c>
      <c r="F13" s="136">
        <f t="shared" si="1"/>
        <v>1444.7724948</v>
      </c>
      <c r="G13" s="136">
        <f t="shared" si="1"/>
        <v>1444.7724948</v>
      </c>
      <c r="H13" s="136">
        <f t="shared" si="1"/>
        <v>1153.583205389104</v>
      </c>
      <c r="I13" s="136">
        <f t="shared" si="1"/>
        <v>1289.7946998000002</v>
      </c>
      <c r="J13" s="136">
        <f t="shared" si="1"/>
        <v>1289.7946998000002</v>
      </c>
      <c r="K13" s="136">
        <f t="shared" si="1"/>
        <v>1289.7946998000002</v>
      </c>
      <c r="L13" s="136">
        <f t="shared" si="1"/>
        <v>1502.3442438000002</v>
      </c>
      <c r="M13" s="136">
        <f t="shared" si="1"/>
        <v>1502.3442438000002</v>
      </c>
      <c r="N13" s="136">
        <f t="shared" si="1"/>
        <v>1502.3442438000002</v>
      </c>
      <c r="O13" s="136">
        <f t="shared" si="1"/>
        <v>1502.3442438000002</v>
      </c>
      <c r="P13" s="136">
        <f t="shared" si="1"/>
        <v>1172.4025356000002</v>
      </c>
      <c r="Q13" s="136">
        <f t="shared" si="1"/>
        <v>1172.4025356000002</v>
      </c>
      <c r="R13" s="136">
        <f t="shared" si="1"/>
        <v>1172.4025356000002</v>
      </c>
      <c r="S13" s="136">
        <f t="shared" si="1"/>
        <v>1172.4025356000002</v>
      </c>
      <c r="T13" s="136">
        <f t="shared" si="1"/>
        <v>1236.1673988000002</v>
      </c>
      <c r="U13" s="136">
        <f t="shared" si="1"/>
        <v>1236.1673988000002</v>
      </c>
      <c r="V13" s="136">
        <f t="shared" si="1"/>
        <v>1236.1673988000002</v>
      </c>
      <c r="W13" s="136">
        <f t="shared" si="1"/>
        <v>1236.1673988000002</v>
      </c>
      <c r="X13" s="136">
        <f t="shared" si="1"/>
        <v>1502.3442438000002</v>
      </c>
      <c r="Y13" s="136">
        <f t="shared" si="1"/>
        <v>1502.3442438000002</v>
      </c>
      <c r="Z13" s="136">
        <f t="shared" si="1"/>
        <v>1502.3442438000002</v>
      </c>
      <c r="AA13" s="136">
        <f t="shared" si="1"/>
        <v>1502.3442438000002</v>
      </c>
      <c r="AB13" s="136">
        <f t="shared" si="1"/>
        <v>1455.3999720000002</v>
      </c>
      <c r="AC13" s="136">
        <f t="shared" si="1"/>
        <v>1455.3999720000002</v>
      </c>
      <c r="AD13" s="136">
        <f t="shared" si="1"/>
        <v>1455.3999720000002</v>
      </c>
      <c r="AE13" s="136">
        <f t="shared" si="1"/>
        <v>1384.1905170559089</v>
      </c>
      <c r="AF13" s="136">
        <f t="shared" si="1"/>
        <v>1512.9717210000001</v>
      </c>
      <c r="AG13" s="136">
        <f t="shared" si="1"/>
        <v>1512.9717210000001</v>
      </c>
      <c r="AH13" s="136">
        <f t="shared" si="1"/>
        <v>1512.9717210000001</v>
      </c>
      <c r="AI13" s="136">
        <f t="shared" si="1"/>
        <v>1512.9717210000001</v>
      </c>
      <c r="AJ13" s="136">
        <f t="shared" si="1"/>
        <v>1247.284791</v>
      </c>
      <c r="AK13" s="136">
        <f t="shared" si="1"/>
        <v>1247.284791</v>
      </c>
      <c r="AL13" s="136">
        <f t="shared" si="1"/>
        <v>1247.284791</v>
      </c>
      <c r="AM13" s="136">
        <f t="shared" si="1"/>
        <v>1247.284791</v>
      </c>
      <c r="AN13" s="136">
        <f t="shared" si="1"/>
        <v>1459.834335</v>
      </c>
      <c r="AO13" s="136">
        <f t="shared" si="1"/>
        <v>1459.834335</v>
      </c>
      <c r="AP13" s="136">
        <f t="shared" si="1"/>
        <v>1459.834335</v>
      </c>
      <c r="AQ13" s="136">
        <f t="shared" si="1"/>
        <v>1459.834335</v>
      </c>
      <c r="AR13" s="136">
        <f t="shared" si="1"/>
        <v>1481.0892893999999</v>
      </c>
      <c r="AS13" s="136">
        <f t="shared" si="1"/>
        <v>1481.0892893999999</v>
      </c>
      <c r="AT13" s="136">
        <f t="shared" si="1"/>
        <v>626.82142120000026</v>
      </c>
      <c r="AU13" s="136">
        <f t="shared" si="1"/>
        <v>1481.0892893999999</v>
      </c>
      <c r="AV13" s="136">
        <f t="shared" si="1"/>
        <v>1343.0327903999998</v>
      </c>
      <c r="AW13" s="136">
        <f t="shared" si="1"/>
        <v>1343.0327903999998</v>
      </c>
      <c r="AX13" s="136">
        <f t="shared" si="1"/>
        <v>1343.0327903999998</v>
      </c>
      <c r="AY13" s="136">
        <f t="shared" si="1"/>
        <v>1343.0327903999998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1289.7946998000002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1481.0892893999999</v>
      </c>
      <c r="AT14" s="104">
        <f t="shared" si="2"/>
        <v>1481.0892893999999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1481.0892893999999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 t="s">
        <v>340</v>
      </c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 t="s">
        <v>340</v>
      </c>
      <c r="AS20" s="115" t="s">
        <v>340</v>
      </c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shipping_manufacturing!$G$19/100</f>
        <v>1</v>
      </c>
      <c r="C21" s="154" t="s">
        <v>294</v>
      </c>
      <c r="D21" s="104">
        <f>IF(C$20="Yes",0,SUM(C$13:C$16)*$B$21)</f>
        <v>3517.2708600000005</v>
      </c>
      <c r="E21" s="104">
        <f t="shared" ref="E21:AY21" si="3">IF(D$20="Yes",0,SUM(D$13:D$16)*$B$21)</f>
        <v>1444.7724948</v>
      </c>
      <c r="F21" s="104">
        <f t="shared" si="3"/>
        <v>1444.7724948</v>
      </c>
      <c r="G21" s="104">
        <f t="shared" si="3"/>
        <v>1444.7724948</v>
      </c>
      <c r="H21" s="104">
        <f t="shared" si="3"/>
        <v>1444.7724948</v>
      </c>
      <c r="I21" s="104">
        <f t="shared" si="3"/>
        <v>1153.583205389104</v>
      </c>
      <c r="J21" s="104">
        <f t="shared" si="3"/>
        <v>1289.7946998000002</v>
      </c>
      <c r="K21" s="104">
        <f t="shared" si="3"/>
        <v>0</v>
      </c>
      <c r="L21" s="104">
        <f t="shared" si="3"/>
        <v>2579.5893996000004</v>
      </c>
      <c r="M21" s="104">
        <f t="shared" si="3"/>
        <v>1502.3442438000002</v>
      </c>
      <c r="N21" s="104">
        <f t="shared" si="3"/>
        <v>1502.3442438000002</v>
      </c>
      <c r="O21" s="104">
        <f t="shared" si="3"/>
        <v>1502.3442438000002</v>
      </c>
      <c r="P21" s="104">
        <f t="shared" si="3"/>
        <v>1502.3442438000002</v>
      </c>
      <c r="Q21" s="104">
        <f t="shared" si="3"/>
        <v>1172.4025356000002</v>
      </c>
      <c r="R21" s="104">
        <f t="shared" si="3"/>
        <v>1172.4025356000002</v>
      </c>
      <c r="S21" s="104">
        <f t="shared" si="3"/>
        <v>1172.4025356000002</v>
      </c>
      <c r="T21" s="104">
        <f t="shared" si="3"/>
        <v>1172.4025356000002</v>
      </c>
      <c r="U21" s="104">
        <f t="shared" si="3"/>
        <v>1236.1673988000002</v>
      </c>
      <c r="V21" s="104">
        <f t="shared" si="3"/>
        <v>1236.1673988000002</v>
      </c>
      <c r="W21" s="104">
        <f t="shared" si="3"/>
        <v>1236.1673988000002</v>
      </c>
      <c r="X21" s="104">
        <f t="shared" si="3"/>
        <v>1236.1673988000002</v>
      </c>
      <c r="Y21" s="104">
        <f t="shared" si="3"/>
        <v>1502.3442438000002</v>
      </c>
      <c r="Z21" s="104">
        <f t="shared" si="3"/>
        <v>1502.3442438000002</v>
      </c>
      <c r="AA21" s="104">
        <f t="shared" si="3"/>
        <v>1502.3442438000002</v>
      </c>
      <c r="AB21" s="104">
        <f t="shared" si="3"/>
        <v>1502.3442438000002</v>
      </c>
      <c r="AC21" s="104">
        <f t="shared" si="3"/>
        <v>1455.3999720000002</v>
      </c>
      <c r="AD21" s="104">
        <f t="shared" si="3"/>
        <v>1455.3999720000002</v>
      </c>
      <c r="AE21" s="104">
        <f t="shared" si="3"/>
        <v>1455.3999720000002</v>
      </c>
      <c r="AF21" s="104">
        <f t="shared" si="3"/>
        <v>1384.1905170559089</v>
      </c>
      <c r="AG21" s="104">
        <f t="shared" si="3"/>
        <v>1512.9717210000001</v>
      </c>
      <c r="AH21" s="104">
        <f t="shared" si="3"/>
        <v>1512.9717210000001</v>
      </c>
      <c r="AI21" s="104">
        <f t="shared" si="3"/>
        <v>1512.9717210000001</v>
      </c>
      <c r="AJ21" s="104">
        <f t="shared" si="3"/>
        <v>1512.9717210000001</v>
      </c>
      <c r="AK21" s="104">
        <f t="shared" si="3"/>
        <v>1247.284791</v>
      </c>
      <c r="AL21" s="104">
        <f t="shared" si="3"/>
        <v>1247.284791</v>
      </c>
      <c r="AM21" s="104">
        <f t="shared" si="3"/>
        <v>1247.284791</v>
      </c>
      <c r="AN21" s="104">
        <f t="shared" si="3"/>
        <v>1247.284791</v>
      </c>
      <c r="AO21" s="104">
        <f t="shared" si="3"/>
        <v>1459.834335</v>
      </c>
      <c r="AP21" s="104">
        <f t="shared" si="3"/>
        <v>1459.834335</v>
      </c>
      <c r="AQ21" s="104">
        <f t="shared" si="3"/>
        <v>1459.834335</v>
      </c>
      <c r="AR21" s="104">
        <f t="shared" si="3"/>
        <v>1459.834335</v>
      </c>
      <c r="AS21" s="104">
        <f t="shared" si="3"/>
        <v>0</v>
      </c>
      <c r="AT21" s="104">
        <f t="shared" si="3"/>
        <v>0</v>
      </c>
      <c r="AU21" s="104">
        <f t="shared" si="3"/>
        <v>3589</v>
      </c>
      <c r="AV21" s="104">
        <f t="shared" si="3"/>
        <v>1481.0892893999999</v>
      </c>
      <c r="AW21" s="104">
        <f t="shared" si="3"/>
        <v>1343.0327903999998</v>
      </c>
      <c r="AX21" s="104">
        <f t="shared" si="3"/>
        <v>1343.0327903999998</v>
      </c>
      <c r="AY21" s="104">
        <f t="shared" si="3"/>
        <v>1343.0327903999998</v>
      </c>
      <c r="AZ21" s="155">
        <f>SUM($D21:$AY21)</f>
        <v>67702.303313644996</v>
      </c>
    </row>
    <row r="22" spans="1:52" s="108" customFormat="1">
      <c r="A22" s="156" t="s">
        <v>123</v>
      </c>
      <c r="B22" s="157">
        <f>1-$B$21</f>
        <v>0</v>
      </c>
      <c r="C22" s="157" t="s">
        <v>294</v>
      </c>
      <c r="D22" s="112">
        <f>IF(C$20="Yes",0,SUM(C$13:C$16)*$B$22)</f>
        <v>0</v>
      </c>
      <c r="E22" s="112">
        <f t="shared" ref="E22:AY22" si="4">IF(D$20="Yes",0,SUM(D$13:D$16)*$B$22)</f>
        <v>0</v>
      </c>
      <c r="F22" s="112">
        <f t="shared" si="4"/>
        <v>0</v>
      </c>
      <c r="G22" s="112">
        <f t="shared" si="4"/>
        <v>0</v>
      </c>
      <c r="H22" s="112">
        <f t="shared" si="4"/>
        <v>0</v>
      </c>
      <c r="I22" s="112">
        <f t="shared" si="4"/>
        <v>0</v>
      </c>
      <c r="J22" s="112">
        <f t="shared" si="4"/>
        <v>0</v>
      </c>
      <c r="K22" s="112">
        <f t="shared" si="4"/>
        <v>0</v>
      </c>
      <c r="L22" s="112">
        <f t="shared" si="4"/>
        <v>0</v>
      </c>
      <c r="M22" s="112">
        <f t="shared" si="4"/>
        <v>0</v>
      </c>
      <c r="N22" s="112">
        <f t="shared" si="4"/>
        <v>0</v>
      </c>
      <c r="O22" s="112">
        <f t="shared" si="4"/>
        <v>0</v>
      </c>
      <c r="P22" s="112">
        <f t="shared" si="4"/>
        <v>0</v>
      </c>
      <c r="Q22" s="112">
        <f t="shared" si="4"/>
        <v>0</v>
      </c>
      <c r="R22" s="112">
        <f t="shared" si="4"/>
        <v>0</v>
      </c>
      <c r="S22" s="112">
        <f t="shared" si="4"/>
        <v>0</v>
      </c>
      <c r="T22" s="112">
        <f t="shared" si="4"/>
        <v>0</v>
      </c>
      <c r="U22" s="112">
        <f t="shared" si="4"/>
        <v>0</v>
      </c>
      <c r="V22" s="112">
        <f t="shared" si="4"/>
        <v>0</v>
      </c>
      <c r="W22" s="112">
        <f t="shared" si="4"/>
        <v>0</v>
      </c>
      <c r="X22" s="112">
        <f t="shared" si="4"/>
        <v>0</v>
      </c>
      <c r="Y22" s="112">
        <f t="shared" si="4"/>
        <v>0</v>
      </c>
      <c r="Z22" s="112">
        <f t="shared" si="4"/>
        <v>0</v>
      </c>
      <c r="AA22" s="112">
        <f t="shared" si="4"/>
        <v>0</v>
      </c>
      <c r="AB22" s="112">
        <f t="shared" si="4"/>
        <v>0</v>
      </c>
      <c r="AC22" s="112">
        <f t="shared" si="4"/>
        <v>0</v>
      </c>
      <c r="AD22" s="112">
        <f t="shared" si="4"/>
        <v>0</v>
      </c>
      <c r="AE22" s="112">
        <f t="shared" si="4"/>
        <v>0</v>
      </c>
      <c r="AF22" s="112">
        <f t="shared" si="4"/>
        <v>0</v>
      </c>
      <c r="AG22" s="112">
        <f t="shared" si="4"/>
        <v>0</v>
      </c>
      <c r="AH22" s="112">
        <f t="shared" si="4"/>
        <v>0</v>
      </c>
      <c r="AI22" s="112">
        <f t="shared" si="4"/>
        <v>0</v>
      </c>
      <c r="AJ22" s="112">
        <f t="shared" si="4"/>
        <v>0</v>
      </c>
      <c r="AK22" s="112">
        <f t="shared" si="4"/>
        <v>0</v>
      </c>
      <c r="AL22" s="112">
        <f t="shared" si="4"/>
        <v>0</v>
      </c>
      <c r="AM22" s="112">
        <f t="shared" si="4"/>
        <v>0</v>
      </c>
      <c r="AN22" s="112">
        <f t="shared" si="4"/>
        <v>0</v>
      </c>
      <c r="AO22" s="112">
        <f t="shared" si="4"/>
        <v>0</v>
      </c>
      <c r="AP22" s="112">
        <f t="shared" si="4"/>
        <v>0</v>
      </c>
      <c r="AQ22" s="112">
        <f t="shared" si="4"/>
        <v>0</v>
      </c>
      <c r="AR22" s="112">
        <f t="shared" si="4"/>
        <v>0</v>
      </c>
      <c r="AS22" s="112">
        <f t="shared" si="4"/>
        <v>0</v>
      </c>
      <c r="AT22" s="112">
        <f t="shared" si="4"/>
        <v>0</v>
      </c>
      <c r="AU22" s="112">
        <f t="shared" si="4"/>
        <v>0</v>
      </c>
      <c r="AV22" s="112">
        <f t="shared" si="4"/>
        <v>0</v>
      </c>
      <c r="AW22" s="112">
        <f t="shared" si="4"/>
        <v>0</v>
      </c>
      <c r="AX22" s="112">
        <f t="shared" si="4"/>
        <v>0</v>
      </c>
      <c r="AY22" s="112">
        <f t="shared" si="4"/>
        <v>0</v>
      </c>
      <c r="AZ22" s="139">
        <f t="shared" ref="AZ22:AZ30" si="5">SUM($D22:$AY22)</f>
        <v>0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7034541.7200000007</v>
      </c>
      <c r="E23" s="98">
        <f t="shared" ref="E23:AY23" si="6">E$21*$B$23</f>
        <v>2889544.9896</v>
      </c>
      <c r="F23" s="98">
        <f t="shared" si="6"/>
        <v>2889544.9896</v>
      </c>
      <c r="G23" s="98">
        <f t="shared" si="6"/>
        <v>2889544.9896</v>
      </c>
      <c r="H23" s="98">
        <f t="shared" si="6"/>
        <v>2889544.9896</v>
      </c>
      <c r="I23" s="98">
        <f t="shared" si="6"/>
        <v>2307166.4107782082</v>
      </c>
      <c r="J23" s="98">
        <f t="shared" si="6"/>
        <v>2579589.3996000006</v>
      </c>
      <c r="K23" s="98">
        <f t="shared" si="6"/>
        <v>0</v>
      </c>
      <c r="L23" s="98">
        <f t="shared" si="6"/>
        <v>5159178.7992000012</v>
      </c>
      <c r="M23" s="98">
        <f t="shared" si="6"/>
        <v>3004688.4876000006</v>
      </c>
      <c r="N23" s="98">
        <f t="shared" si="6"/>
        <v>3004688.4876000006</v>
      </c>
      <c r="O23" s="98">
        <f t="shared" si="6"/>
        <v>3004688.4876000006</v>
      </c>
      <c r="P23" s="98">
        <f t="shared" si="6"/>
        <v>3004688.4876000006</v>
      </c>
      <c r="Q23" s="98">
        <f t="shared" si="6"/>
        <v>2344805.0712000006</v>
      </c>
      <c r="R23" s="98">
        <f t="shared" si="6"/>
        <v>2344805.0712000006</v>
      </c>
      <c r="S23" s="98">
        <f t="shared" si="6"/>
        <v>2344805.0712000006</v>
      </c>
      <c r="T23" s="98">
        <f t="shared" si="6"/>
        <v>2344805.0712000006</v>
      </c>
      <c r="U23" s="98">
        <f t="shared" si="6"/>
        <v>2472334.7976000006</v>
      </c>
      <c r="V23" s="98">
        <f t="shared" si="6"/>
        <v>2472334.7976000006</v>
      </c>
      <c r="W23" s="98">
        <f t="shared" si="6"/>
        <v>2472334.7976000006</v>
      </c>
      <c r="X23" s="98">
        <f t="shared" si="6"/>
        <v>2472334.7976000006</v>
      </c>
      <c r="Y23" s="98">
        <f t="shared" si="6"/>
        <v>3004688.4876000006</v>
      </c>
      <c r="Z23" s="98">
        <f t="shared" si="6"/>
        <v>3004688.4876000006</v>
      </c>
      <c r="AA23" s="98">
        <f t="shared" si="6"/>
        <v>3004688.4876000006</v>
      </c>
      <c r="AB23" s="98">
        <f t="shared" si="6"/>
        <v>3004688.4876000006</v>
      </c>
      <c r="AC23" s="98">
        <f t="shared" si="6"/>
        <v>2910799.9440000001</v>
      </c>
      <c r="AD23" s="98">
        <f t="shared" si="6"/>
        <v>2910799.9440000001</v>
      </c>
      <c r="AE23" s="98">
        <f t="shared" si="6"/>
        <v>2910799.9440000001</v>
      </c>
      <c r="AF23" s="98">
        <f t="shared" si="6"/>
        <v>2768381.0341118178</v>
      </c>
      <c r="AG23" s="98">
        <f t="shared" si="6"/>
        <v>3025943.4420000003</v>
      </c>
      <c r="AH23" s="98">
        <f t="shared" si="6"/>
        <v>3025943.4420000003</v>
      </c>
      <c r="AI23" s="98">
        <f t="shared" si="6"/>
        <v>3025943.4420000003</v>
      </c>
      <c r="AJ23" s="98">
        <f t="shared" si="6"/>
        <v>3025943.4420000003</v>
      </c>
      <c r="AK23" s="98">
        <f t="shared" si="6"/>
        <v>2494569.5819999999</v>
      </c>
      <c r="AL23" s="98">
        <f t="shared" si="6"/>
        <v>2494569.5819999999</v>
      </c>
      <c r="AM23" s="98">
        <f t="shared" si="6"/>
        <v>2494569.5819999999</v>
      </c>
      <c r="AN23" s="98">
        <f t="shared" si="6"/>
        <v>2494569.5819999999</v>
      </c>
      <c r="AO23" s="98">
        <f t="shared" si="6"/>
        <v>2919668.67</v>
      </c>
      <c r="AP23" s="98">
        <f t="shared" si="6"/>
        <v>2919668.67</v>
      </c>
      <c r="AQ23" s="98">
        <f t="shared" si="6"/>
        <v>2919668.67</v>
      </c>
      <c r="AR23" s="98">
        <f t="shared" si="6"/>
        <v>2919668.67</v>
      </c>
      <c r="AS23" s="98">
        <f t="shared" si="6"/>
        <v>0</v>
      </c>
      <c r="AT23" s="98">
        <f t="shared" si="6"/>
        <v>0</v>
      </c>
      <c r="AU23" s="98">
        <f t="shared" si="6"/>
        <v>7178000</v>
      </c>
      <c r="AV23" s="98">
        <f t="shared" si="6"/>
        <v>2962178.5787999998</v>
      </c>
      <c r="AW23" s="98">
        <f t="shared" si="6"/>
        <v>2686065.5807999996</v>
      </c>
      <c r="AX23" s="98">
        <f t="shared" si="6"/>
        <v>2686065.5807999996</v>
      </c>
      <c r="AY23" s="98">
        <f t="shared" si="6"/>
        <v>2686065.5807999996</v>
      </c>
      <c r="AZ23" s="137">
        <f t="shared" si="5"/>
        <v>135404606.62729004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0</v>
      </c>
      <c r="E24" s="104">
        <f t="shared" ref="E24:AY24" si="7">E$22*$B$24</f>
        <v>0</v>
      </c>
      <c r="F24" s="104">
        <f t="shared" si="7"/>
        <v>0</v>
      </c>
      <c r="G24" s="104">
        <f t="shared" si="7"/>
        <v>0</v>
      </c>
      <c r="H24" s="104">
        <f t="shared" si="7"/>
        <v>0</v>
      </c>
      <c r="I24" s="104">
        <f t="shared" si="7"/>
        <v>0</v>
      </c>
      <c r="J24" s="104">
        <f t="shared" si="7"/>
        <v>0</v>
      </c>
      <c r="K24" s="104">
        <f t="shared" si="7"/>
        <v>0</v>
      </c>
      <c r="L24" s="104">
        <f t="shared" si="7"/>
        <v>0</v>
      </c>
      <c r="M24" s="104">
        <f t="shared" si="7"/>
        <v>0</v>
      </c>
      <c r="N24" s="104">
        <f t="shared" si="7"/>
        <v>0</v>
      </c>
      <c r="O24" s="104">
        <f t="shared" si="7"/>
        <v>0</v>
      </c>
      <c r="P24" s="104">
        <f t="shared" si="7"/>
        <v>0</v>
      </c>
      <c r="Q24" s="104">
        <f t="shared" si="7"/>
        <v>0</v>
      </c>
      <c r="R24" s="104">
        <f t="shared" si="7"/>
        <v>0</v>
      </c>
      <c r="S24" s="104">
        <f t="shared" si="7"/>
        <v>0</v>
      </c>
      <c r="T24" s="104">
        <f t="shared" si="7"/>
        <v>0</v>
      </c>
      <c r="U24" s="104">
        <f t="shared" si="7"/>
        <v>0</v>
      </c>
      <c r="V24" s="104">
        <f t="shared" si="7"/>
        <v>0</v>
      </c>
      <c r="W24" s="104">
        <f t="shared" si="7"/>
        <v>0</v>
      </c>
      <c r="X24" s="104">
        <f t="shared" si="7"/>
        <v>0</v>
      </c>
      <c r="Y24" s="104">
        <f t="shared" si="7"/>
        <v>0</v>
      </c>
      <c r="Z24" s="104">
        <f t="shared" si="7"/>
        <v>0</v>
      </c>
      <c r="AA24" s="104">
        <f t="shared" si="7"/>
        <v>0</v>
      </c>
      <c r="AB24" s="104">
        <f t="shared" si="7"/>
        <v>0</v>
      </c>
      <c r="AC24" s="104">
        <f t="shared" si="7"/>
        <v>0</v>
      </c>
      <c r="AD24" s="104">
        <f t="shared" si="7"/>
        <v>0</v>
      </c>
      <c r="AE24" s="104">
        <f t="shared" si="7"/>
        <v>0</v>
      </c>
      <c r="AF24" s="104">
        <f t="shared" si="7"/>
        <v>0</v>
      </c>
      <c r="AG24" s="104">
        <f t="shared" si="7"/>
        <v>0</v>
      </c>
      <c r="AH24" s="104">
        <f t="shared" si="7"/>
        <v>0</v>
      </c>
      <c r="AI24" s="104">
        <f t="shared" si="7"/>
        <v>0</v>
      </c>
      <c r="AJ24" s="104">
        <f t="shared" si="7"/>
        <v>0</v>
      </c>
      <c r="AK24" s="104">
        <f t="shared" si="7"/>
        <v>0</v>
      </c>
      <c r="AL24" s="104">
        <f t="shared" si="7"/>
        <v>0</v>
      </c>
      <c r="AM24" s="104">
        <f t="shared" si="7"/>
        <v>0</v>
      </c>
      <c r="AN24" s="104">
        <f t="shared" si="7"/>
        <v>0</v>
      </c>
      <c r="AO24" s="104">
        <f t="shared" si="7"/>
        <v>0</v>
      </c>
      <c r="AP24" s="104">
        <f t="shared" si="7"/>
        <v>0</v>
      </c>
      <c r="AQ24" s="104">
        <f t="shared" si="7"/>
        <v>0</v>
      </c>
      <c r="AR24" s="104">
        <f t="shared" si="7"/>
        <v>0</v>
      </c>
      <c r="AS24" s="104">
        <f t="shared" si="7"/>
        <v>0</v>
      </c>
      <c r="AT24" s="104">
        <f t="shared" si="7"/>
        <v>0</v>
      </c>
      <c r="AU24" s="104">
        <f t="shared" si="7"/>
        <v>0</v>
      </c>
      <c r="AV24" s="104">
        <f t="shared" si="7"/>
        <v>0</v>
      </c>
      <c r="AW24" s="104">
        <f t="shared" si="7"/>
        <v>0</v>
      </c>
      <c r="AX24" s="104">
        <f t="shared" si="7"/>
        <v>0</v>
      </c>
      <c r="AY24" s="104">
        <f t="shared" si="7"/>
        <v>0</v>
      </c>
      <c r="AZ24" s="139">
        <f t="shared" si="5"/>
        <v>0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70</v>
      </c>
      <c r="D27" s="122">
        <f>C$27-C$28+C$29</f>
        <v>17</v>
      </c>
      <c r="E27" s="122">
        <f t="shared" ref="E27:AY27" si="8">D27-D28+D29</f>
        <v>53</v>
      </c>
      <c r="F27" s="122">
        <f t="shared" si="8"/>
        <v>20</v>
      </c>
      <c r="G27" s="122">
        <f t="shared" si="8"/>
        <v>50</v>
      </c>
      <c r="H27" s="122">
        <f t="shared" si="8"/>
        <v>20</v>
      </c>
      <c r="I27" s="122">
        <f t="shared" si="8"/>
        <v>50</v>
      </c>
      <c r="J27" s="122">
        <f t="shared" si="8"/>
        <v>29</v>
      </c>
      <c r="K27" s="122">
        <f t="shared" si="8"/>
        <v>41</v>
      </c>
      <c r="L27" s="122">
        <f t="shared" si="8"/>
        <v>70</v>
      </c>
      <c r="M27" s="122">
        <f t="shared" si="8"/>
        <v>0</v>
      </c>
      <c r="N27" s="122">
        <f t="shared" si="8"/>
        <v>70</v>
      </c>
      <c r="O27" s="122">
        <f t="shared" si="8"/>
        <v>18</v>
      </c>
      <c r="P27" s="122">
        <f t="shared" si="8"/>
        <v>52</v>
      </c>
      <c r="Q27" s="122">
        <f t="shared" si="8"/>
        <v>18</v>
      </c>
      <c r="R27" s="122">
        <f t="shared" si="8"/>
        <v>52</v>
      </c>
      <c r="S27" s="122">
        <f t="shared" si="8"/>
        <v>29</v>
      </c>
      <c r="T27" s="122">
        <f t="shared" si="8"/>
        <v>41</v>
      </c>
      <c r="U27" s="122">
        <f t="shared" si="8"/>
        <v>29</v>
      </c>
      <c r="V27" s="122">
        <f t="shared" si="8"/>
        <v>41</v>
      </c>
      <c r="W27" s="122">
        <f t="shared" si="8"/>
        <v>29</v>
      </c>
      <c r="X27" s="122">
        <f t="shared" si="8"/>
        <v>41</v>
      </c>
      <c r="Y27" s="122">
        <f t="shared" si="8"/>
        <v>29</v>
      </c>
      <c r="Z27" s="122">
        <f t="shared" si="8"/>
        <v>41</v>
      </c>
      <c r="AA27" s="122">
        <f t="shared" si="8"/>
        <v>29</v>
      </c>
      <c r="AB27" s="122">
        <f t="shared" si="8"/>
        <v>41</v>
      </c>
      <c r="AC27" s="122">
        <f t="shared" si="8"/>
        <v>29</v>
      </c>
      <c r="AD27" s="122">
        <f t="shared" si="8"/>
        <v>41</v>
      </c>
      <c r="AE27" s="122">
        <f t="shared" si="8"/>
        <v>29</v>
      </c>
      <c r="AF27" s="122">
        <f t="shared" si="8"/>
        <v>41</v>
      </c>
      <c r="AG27" s="122">
        <f t="shared" si="8"/>
        <v>29</v>
      </c>
      <c r="AH27" s="122">
        <f t="shared" si="8"/>
        <v>41</v>
      </c>
      <c r="AI27" s="122">
        <f t="shared" si="8"/>
        <v>29</v>
      </c>
      <c r="AJ27" s="122">
        <f t="shared" si="8"/>
        <v>41</v>
      </c>
      <c r="AK27" s="122">
        <f t="shared" si="8"/>
        <v>29</v>
      </c>
      <c r="AL27" s="122">
        <f t="shared" si="8"/>
        <v>41</v>
      </c>
      <c r="AM27" s="122">
        <f t="shared" si="8"/>
        <v>29</v>
      </c>
      <c r="AN27" s="122">
        <f t="shared" si="8"/>
        <v>41</v>
      </c>
      <c r="AO27" s="122">
        <f t="shared" si="8"/>
        <v>29</v>
      </c>
      <c r="AP27" s="122">
        <f t="shared" si="8"/>
        <v>41</v>
      </c>
      <c r="AQ27" s="122">
        <f t="shared" si="8"/>
        <v>29</v>
      </c>
      <c r="AR27" s="122">
        <f t="shared" si="8"/>
        <v>41</v>
      </c>
      <c r="AS27" s="122">
        <f t="shared" si="8"/>
        <v>29</v>
      </c>
      <c r="AT27" s="122">
        <f t="shared" si="8"/>
        <v>70</v>
      </c>
      <c r="AU27" s="122">
        <f t="shared" si="8"/>
        <v>70</v>
      </c>
      <c r="AV27" s="122">
        <f t="shared" si="8"/>
        <v>0</v>
      </c>
      <c r="AW27" s="122">
        <f t="shared" si="8"/>
        <v>70</v>
      </c>
      <c r="AX27" s="122">
        <f t="shared" si="8"/>
        <v>23</v>
      </c>
      <c r="AY27" s="162">
        <f t="shared" si="8"/>
        <v>47</v>
      </c>
      <c r="AZ27" s="104"/>
    </row>
    <row r="28" spans="1:52">
      <c r="B28" s="163" t="s">
        <v>311</v>
      </c>
      <c r="C28" s="108">
        <v>53</v>
      </c>
      <c r="D28" s="108">
        <v>17</v>
      </c>
      <c r="E28" s="108">
        <v>50</v>
      </c>
      <c r="F28" s="108">
        <v>20</v>
      </c>
      <c r="G28" s="108">
        <v>50</v>
      </c>
      <c r="H28" s="108">
        <v>20</v>
      </c>
      <c r="I28" s="108">
        <v>41</v>
      </c>
      <c r="J28" s="108">
        <v>29</v>
      </c>
      <c r="K28" s="108">
        <v>0</v>
      </c>
      <c r="L28" s="108">
        <v>70</v>
      </c>
      <c r="M28" s="108">
        <v>0</v>
      </c>
      <c r="N28" s="108">
        <v>52</v>
      </c>
      <c r="O28" s="108">
        <v>18</v>
      </c>
      <c r="P28" s="108">
        <v>52</v>
      </c>
      <c r="Q28" s="108">
        <v>18</v>
      </c>
      <c r="R28" s="108">
        <v>41</v>
      </c>
      <c r="S28" s="108">
        <v>29</v>
      </c>
      <c r="T28" s="108">
        <v>41</v>
      </c>
      <c r="U28" s="108">
        <v>29</v>
      </c>
      <c r="V28" s="108">
        <v>41</v>
      </c>
      <c r="W28" s="108">
        <v>29</v>
      </c>
      <c r="X28" s="108">
        <v>41</v>
      </c>
      <c r="Y28" s="108">
        <v>29</v>
      </c>
      <c r="Z28" s="108">
        <v>41</v>
      </c>
      <c r="AA28" s="108">
        <v>29</v>
      </c>
      <c r="AB28" s="108">
        <v>41</v>
      </c>
      <c r="AC28" s="108">
        <v>29</v>
      </c>
      <c r="AD28" s="108">
        <v>41</v>
      </c>
      <c r="AE28" s="108">
        <v>29</v>
      </c>
      <c r="AF28" s="108">
        <v>41</v>
      </c>
      <c r="AG28" s="108">
        <v>29</v>
      </c>
      <c r="AH28" s="108">
        <v>41</v>
      </c>
      <c r="AI28" s="108">
        <v>29</v>
      </c>
      <c r="AJ28" s="108">
        <v>41</v>
      </c>
      <c r="AK28" s="108">
        <v>29</v>
      </c>
      <c r="AL28" s="108">
        <v>41</v>
      </c>
      <c r="AM28" s="108">
        <v>29</v>
      </c>
      <c r="AN28" s="108">
        <v>41</v>
      </c>
      <c r="AO28" s="108">
        <v>29</v>
      </c>
      <c r="AP28" s="108">
        <v>41</v>
      </c>
      <c r="AQ28" s="108">
        <v>29</v>
      </c>
      <c r="AR28" s="108">
        <v>41</v>
      </c>
      <c r="AS28" s="108">
        <v>0</v>
      </c>
      <c r="AT28" s="108">
        <v>0</v>
      </c>
      <c r="AU28" s="108">
        <v>70</v>
      </c>
      <c r="AV28" s="108">
        <v>0</v>
      </c>
      <c r="AW28" s="108">
        <v>47</v>
      </c>
      <c r="AX28" s="108">
        <v>23</v>
      </c>
      <c r="AY28" s="164">
        <v>47</v>
      </c>
      <c r="AZ28" s="104"/>
    </row>
    <row r="29" spans="1:52">
      <c r="B29" s="134" t="s">
        <v>312</v>
      </c>
      <c r="C29" s="123">
        <v>0</v>
      </c>
      <c r="D29" s="123">
        <f>C$28</f>
        <v>53</v>
      </c>
      <c r="E29" s="123">
        <f t="shared" ref="E29:AY29" si="9">D$28</f>
        <v>17</v>
      </c>
      <c r="F29" s="123">
        <f t="shared" si="9"/>
        <v>50</v>
      </c>
      <c r="G29" s="123">
        <f t="shared" si="9"/>
        <v>20</v>
      </c>
      <c r="H29" s="123">
        <f t="shared" si="9"/>
        <v>50</v>
      </c>
      <c r="I29" s="123">
        <f t="shared" si="9"/>
        <v>20</v>
      </c>
      <c r="J29" s="123">
        <f t="shared" si="9"/>
        <v>41</v>
      </c>
      <c r="K29" s="123">
        <f t="shared" si="9"/>
        <v>29</v>
      </c>
      <c r="L29" s="123">
        <f t="shared" si="9"/>
        <v>0</v>
      </c>
      <c r="M29" s="123">
        <f t="shared" si="9"/>
        <v>70</v>
      </c>
      <c r="N29" s="123">
        <f t="shared" si="9"/>
        <v>0</v>
      </c>
      <c r="O29" s="123">
        <f t="shared" si="9"/>
        <v>52</v>
      </c>
      <c r="P29" s="123">
        <f t="shared" si="9"/>
        <v>18</v>
      </c>
      <c r="Q29" s="123">
        <f t="shared" si="9"/>
        <v>52</v>
      </c>
      <c r="R29" s="123">
        <f t="shared" si="9"/>
        <v>18</v>
      </c>
      <c r="S29" s="123">
        <f t="shared" si="9"/>
        <v>41</v>
      </c>
      <c r="T29" s="123">
        <f t="shared" si="9"/>
        <v>29</v>
      </c>
      <c r="U29" s="123">
        <f t="shared" si="9"/>
        <v>41</v>
      </c>
      <c r="V29" s="123">
        <f t="shared" si="9"/>
        <v>29</v>
      </c>
      <c r="W29" s="123">
        <f t="shared" si="9"/>
        <v>41</v>
      </c>
      <c r="X29" s="123">
        <f t="shared" si="9"/>
        <v>29</v>
      </c>
      <c r="Y29" s="123">
        <f t="shared" si="9"/>
        <v>41</v>
      </c>
      <c r="Z29" s="123">
        <f t="shared" si="9"/>
        <v>29</v>
      </c>
      <c r="AA29" s="123">
        <f t="shared" si="9"/>
        <v>41</v>
      </c>
      <c r="AB29" s="123">
        <f t="shared" si="9"/>
        <v>29</v>
      </c>
      <c r="AC29" s="123">
        <f t="shared" si="9"/>
        <v>41</v>
      </c>
      <c r="AD29" s="123">
        <f t="shared" si="9"/>
        <v>29</v>
      </c>
      <c r="AE29" s="123">
        <f t="shared" si="9"/>
        <v>41</v>
      </c>
      <c r="AF29" s="123">
        <f t="shared" si="9"/>
        <v>29</v>
      </c>
      <c r="AG29" s="123">
        <f t="shared" si="9"/>
        <v>41</v>
      </c>
      <c r="AH29" s="123">
        <f t="shared" si="9"/>
        <v>29</v>
      </c>
      <c r="AI29" s="123">
        <f t="shared" si="9"/>
        <v>41</v>
      </c>
      <c r="AJ29" s="123">
        <f t="shared" si="9"/>
        <v>29</v>
      </c>
      <c r="AK29" s="123">
        <f t="shared" si="9"/>
        <v>41</v>
      </c>
      <c r="AL29" s="123">
        <f t="shared" si="9"/>
        <v>29</v>
      </c>
      <c r="AM29" s="123">
        <f t="shared" si="9"/>
        <v>41</v>
      </c>
      <c r="AN29" s="123">
        <f t="shared" si="9"/>
        <v>29</v>
      </c>
      <c r="AO29" s="123">
        <f t="shared" si="9"/>
        <v>41</v>
      </c>
      <c r="AP29" s="123">
        <f t="shared" si="9"/>
        <v>29</v>
      </c>
      <c r="AQ29" s="123">
        <f t="shared" si="9"/>
        <v>41</v>
      </c>
      <c r="AR29" s="123">
        <f t="shared" si="9"/>
        <v>29</v>
      </c>
      <c r="AS29" s="123">
        <f t="shared" si="9"/>
        <v>41</v>
      </c>
      <c r="AT29" s="123">
        <f t="shared" si="9"/>
        <v>0</v>
      </c>
      <c r="AU29" s="123">
        <f t="shared" si="9"/>
        <v>0</v>
      </c>
      <c r="AV29" s="123">
        <f t="shared" si="9"/>
        <v>70</v>
      </c>
      <c r="AW29" s="123">
        <f t="shared" si="9"/>
        <v>0</v>
      </c>
      <c r="AX29" s="123">
        <f t="shared" si="9"/>
        <v>47</v>
      </c>
      <c r="AY29" s="165">
        <f t="shared" si="9"/>
        <v>23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170</v>
      </c>
      <c r="E30" s="115">
        <f t="shared" ref="E30:AY30" si="10">E$27*$B$30</f>
        <v>530</v>
      </c>
      <c r="F30" s="115">
        <f t="shared" si="10"/>
        <v>200</v>
      </c>
      <c r="G30" s="115">
        <f t="shared" si="10"/>
        <v>500</v>
      </c>
      <c r="H30" s="115">
        <f t="shared" si="10"/>
        <v>200</v>
      </c>
      <c r="I30" s="115">
        <f t="shared" si="10"/>
        <v>500</v>
      </c>
      <c r="J30" s="115">
        <f t="shared" si="10"/>
        <v>290</v>
      </c>
      <c r="K30" s="115">
        <f t="shared" si="10"/>
        <v>410</v>
      </c>
      <c r="L30" s="115">
        <f t="shared" si="10"/>
        <v>700</v>
      </c>
      <c r="M30" s="115">
        <f t="shared" si="10"/>
        <v>0</v>
      </c>
      <c r="N30" s="115">
        <f t="shared" si="10"/>
        <v>700</v>
      </c>
      <c r="O30" s="115">
        <f t="shared" si="10"/>
        <v>180</v>
      </c>
      <c r="P30" s="115">
        <f t="shared" si="10"/>
        <v>520</v>
      </c>
      <c r="Q30" s="115">
        <f t="shared" si="10"/>
        <v>180</v>
      </c>
      <c r="R30" s="115">
        <f>R$27*$B$30</f>
        <v>520</v>
      </c>
      <c r="S30" s="115">
        <f t="shared" si="10"/>
        <v>290</v>
      </c>
      <c r="T30" s="115">
        <f t="shared" si="10"/>
        <v>410</v>
      </c>
      <c r="U30" s="115">
        <f t="shared" si="10"/>
        <v>290</v>
      </c>
      <c r="V30" s="115">
        <f t="shared" si="10"/>
        <v>410</v>
      </c>
      <c r="W30" s="115">
        <f t="shared" si="10"/>
        <v>290</v>
      </c>
      <c r="X30" s="115">
        <f t="shared" si="10"/>
        <v>410</v>
      </c>
      <c r="Y30" s="115">
        <f t="shared" si="10"/>
        <v>290</v>
      </c>
      <c r="Z30" s="115">
        <f t="shared" si="10"/>
        <v>410</v>
      </c>
      <c r="AA30" s="115">
        <f t="shared" si="10"/>
        <v>290</v>
      </c>
      <c r="AB30" s="115">
        <f t="shared" si="10"/>
        <v>410</v>
      </c>
      <c r="AC30" s="115">
        <f t="shared" si="10"/>
        <v>290</v>
      </c>
      <c r="AD30" s="115">
        <f t="shared" si="10"/>
        <v>410</v>
      </c>
      <c r="AE30" s="115">
        <f>AE$27*$B$30</f>
        <v>290</v>
      </c>
      <c r="AF30" s="115">
        <f t="shared" si="10"/>
        <v>410</v>
      </c>
      <c r="AG30" s="115">
        <f t="shared" si="10"/>
        <v>290</v>
      </c>
      <c r="AH30" s="115">
        <f t="shared" si="10"/>
        <v>410</v>
      </c>
      <c r="AI30" s="115">
        <f t="shared" si="10"/>
        <v>290</v>
      </c>
      <c r="AJ30" s="115">
        <f t="shared" si="10"/>
        <v>410</v>
      </c>
      <c r="AK30" s="115">
        <f t="shared" si="10"/>
        <v>290</v>
      </c>
      <c r="AL30" s="115">
        <f t="shared" si="10"/>
        <v>410</v>
      </c>
      <c r="AM30" s="115">
        <f t="shared" si="10"/>
        <v>290</v>
      </c>
      <c r="AN30" s="115">
        <f t="shared" si="10"/>
        <v>410</v>
      </c>
      <c r="AO30" s="115">
        <f t="shared" si="10"/>
        <v>290</v>
      </c>
      <c r="AP30" s="115">
        <f t="shared" si="10"/>
        <v>410</v>
      </c>
      <c r="AQ30" s="115">
        <f t="shared" si="10"/>
        <v>290</v>
      </c>
      <c r="AR30" s="115">
        <f t="shared" si="10"/>
        <v>410</v>
      </c>
      <c r="AS30" s="115">
        <f t="shared" si="10"/>
        <v>290</v>
      </c>
      <c r="AT30" s="115">
        <f t="shared" si="10"/>
        <v>700</v>
      </c>
      <c r="AU30" s="115">
        <f t="shared" si="10"/>
        <v>700</v>
      </c>
      <c r="AV30" s="115">
        <f t="shared" si="10"/>
        <v>0</v>
      </c>
      <c r="AW30" s="115">
        <f t="shared" si="10"/>
        <v>700</v>
      </c>
      <c r="AX30" s="115">
        <f t="shared" si="10"/>
        <v>230</v>
      </c>
      <c r="AY30" s="115">
        <f t="shared" si="10"/>
        <v>470</v>
      </c>
      <c r="AZ30" s="139">
        <f t="shared" si="5"/>
        <v>17790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D$21*shipping_manufacturing!$H$27/100</f>
        <v>9.0464206519204104</v>
      </c>
      <c r="E33" s="122">
        <f>E$21*shipping_manufacturing!$H$27/100</f>
        <v>3.7159548566257685</v>
      </c>
      <c r="F33" s="122">
        <f>F$21*shipping_manufacturing!$H$27/100</f>
        <v>3.7159548566257685</v>
      </c>
      <c r="G33" s="122">
        <f>G$21*shipping_manufacturing!$H$27/100</f>
        <v>3.7159548566257685</v>
      </c>
      <c r="H33" s="122">
        <f>H$21*shipping_manufacturing!$H$27/100</f>
        <v>3.7159548566257685</v>
      </c>
      <c r="I33" s="122">
        <f>I$21*shipping_manufacturing!$H$27/100</f>
        <v>2.9670160042609099</v>
      </c>
      <c r="J33" s="122">
        <f>J$21*shipping_manufacturing!$H$27/100</f>
        <v>3.3173519678857506</v>
      </c>
      <c r="K33" s="122">
        <f>K$21*shipping_manufacturing!$H$27/100</f>
        <v>0</v>
      </c>
      <c r="L33" s="122">
        <f>L$21*shipping_manufacturing!$H$27/100</f>
        <v>6.6347039357715012</v>
      </c>
      <c r="M33" s="122">
        <f>M$21*shipping_manufacturing!$H$27/100</f>
        <v>3.8640293950537754</v>
      </c>
      <c r="N33" s="122">
        <f>N$21*shipping_manufacturing!$H$27/100</f>
        <v>3.8640293950537754</v>
      </c>
      <c r="O33" s="122">
        <f>O$21*shipping_manufacturing!$H$27/100</f>
        <v>3.8640293950537754</v>
      </c>
      <c r="P33" s="122">
        <f>P$21*shipping_manufacturing!$H$27/100</f>
        <v>3.8640293950537754</v>
      </c>
      <c r="Q33" s="122">
        <f>Q$21*shipping_manufacturing!$H$27/100</f>
        <v>3.0154193215633369</v>
      </c>
      <c r="R33" s="122">
        <f>R$21*shipping_manufacturing!$H$27/100</f>
        <v>3.0154193215633369</v>
      </c>
      <c r="S33" s="122">
        <f>S$21*shipping_manufacturing!$H$27/100</f>
        <v>3.0154193215633369</v>
      </c>
      <c r="T33" s="122">
        <f>T$21*shipping_manufacturing!$H$27/100</f>
        <v>3.0154193215633369</v>
      </c>
      <c r="U33" s="122">
        <f>U$21*shipping_manufacturing!$H$27/100</f>
        <v>3.1794225497137445</v>
      </c>
      <c r="V33" s="122">
        <f>V$21*shipping_manufacturing!$H$27/100</f>
        <v>3.1794225497137445</v>
      </c>
      <c r="W33" s="122">
        <f>W$21*shipping_manufacturing!$H$27/100</f>
        <v>3.1794225497137445</v>
      </c>
      <c r="X33" s="122">
        <f>X$21*shipping_manufacturing!$H$27/100</f>
        <v>3.1794225497137445</v>
      </c>
      <c r="Y33" s="122">
        <f>Y$21*shipping_manufacturing!$H$27/100</f>
        <v>3.8640293950537754</v>
      </c>
      <c r="Z33" s="122">
        <f>Z$21*shipping_manufacturing!$H$27/100</f>
        <v>3.8640293950537754</v>
      </c>
      <c r="AA33" s="122">
        <f>AA$21*shipping_manufacturing!$H$27/100</f>
        <v>3.8640293950537754</v>
      </c>
      <c r="AB33" s="122">
        <f>AB$21*shipping_manufacturing!$H$27/100</f>
        <v>3.8640293950537754</v>
      </c>
      <c r="AC33" s="122">
        <f>AC$21*shipping_manufacturing!$H$27/100</f>
        <v>3.7432887279841696</v>
      </c>
      <c r="AD33" s="122">
        <f>AD$21*shipping_manufacturing!$H$27/100</f>
        <v>3.7432887279841696</v>
      </c>
      <c r="AE33" s="122">
        <f>AE$21*shipping_manufacturing!$H$27/100</f>
        <v>3.7432887279841696</v>
      </c>
      <c r="AF33" s="122">
        <f>AF$21*shipping_manufacturing!$H$27/100</f>
        <v>3.5601380098679591</v>
      </c>
      <c r="AG33" s="122">
        <f>AG$21*shipping_manufacturing!$H$27/100</f>
        <v>3.8913632664121764</v>
      </c>
      <c r="AH33" s="122">
        <f>AH$21*shipping_manufacturing!$H$27/100</f>
        <v>3.8913632664121764</v>
      </c>
      <c r="AI33" s="122">
        <f>AI$21*shipping_manufacturing!$H$27/100</f>
        <v>3.8913632664121764</v>
      </c>
      <c r="AJ33" s="122">
        <f>AJ$21*shipping_manufacturing!$H$27/100</f>
        <v>3.8913632664121764</v>
      </c>
      <c r="AK33" s="122">
        <f>AK$21*shipping_manufacturing!$H$27/100</f>
        <v>3.2080164824521455</v>
      </c>
      <c r="AL33" s="122">
        <f>AL$21*shipping_manufacturing!$H$27/100</f>
        <v>3.2080164824521455</v>
      </c>
      <c r="AM33" s="122">
        <f>AM$21*shipping_manufacturing!$H$27/100</f>
        <v>3.2080164824521455</v>
      </c>
      <c r="AN33" s="122">
        <f>AN$21*shipping_manufacturing!$H$27/100</f>
        <v>3.2080164824521455</v>
      </c>
      <c r="AO33" s="122">
        <f>AO$21*shipping_manufacturing!$H$27/100</f>
        <v>3.7546939096201699</v>
      </c>
      <c r="AP33" s="122">
        <f>AP$21*shipping_manufacturing!$H$27/100</f>
        <v>3.7546939096201699</v>
      </c>
      <c r="AQ33" s="122">
        <f>AQ$21*shipping_manufacturing!$H$27/100</f>
        <v>3.7546939096201699</v>
      </c>
      <c r="AR33" s="122">
        <f>AR$21*shipping_manufacturing!$H$27/100</f>
        <v>3.7546939096201699</v>
      </c>
      <c r="AS33" s="122">
        <f>AS$21*shipping_manufacturing!$H$27/100</f>
        <v>0</v>
      </c>
      <c r="AT33" s="122">
        <f>AT$21*shipping_manufacturing!$H$27/100</f>
        <v>0</v>
      </c>
      <c r="AU33" s="122">
        <f>AU$21*shipping_manufacturing!$H$27/100</f>
        <v>9.2309080000004187</v>
      </c>
      <c r="AV33" s="122">
        <f>AV$21*shipping_manufacturing!$H$27/100</f>
        <v>3.809361652336972</v>
      </c>
      <c r="AW33" s="122">
        <f>AW$21*shipping_manufacturing!$H$27/100</f>
        <v>3.4542803369089556</v>
      </c>
      <c r="AX33" s="122">
        <f>AX$21*shipping_manufacturing!$H$27/100</f>
        <v>3.4542803369089556</v>
      </c>
      <c r="AY33" s="122">
        <f>AY$21*shipping_manufacturing!$H$27/100</f>
        <v>3.4542803369089556</v>
      </c>
    </row>
    <row r="34" spans="1:52">
      <c r="A34" s="111" t="s">
        <v>341</v>
      </c>
      <c r="B34" s="163" t="s">
        <v>343</v>
      </c>
      <c r="C34" s="108"/>
      <c r="D34" s="108">
        <f>D$22*shipping_manufacturing!$I$27/100</f>
        <v>0</v>
      </c>
      <c r="E34" s="108">
        <f>E$22*shipping_manufacturing!$I$27/100</f>
        <v>0</v>
      </c>
      <c r="F34" s="108">
        <f>F$22*shipping_manufacturing!$I$27/100</f>
        <v>0</v>
      </c>
      <c r="G34" s="108">
        <f>G$22*shipping_manufacturing!$I$27/100</f>
        <v>0</v>
      </c>
      <c r="H34" s="108">
        <f>H$22*shipping_manufacturing!$I$27/100</f>
        <v>0</v>
      </c>
      <c r="I34" s="108">
        <f>I$22*shipping_manufacturing!$I$27/100</f>
        <v>0</v>
      </c>
      <c r="J34" s="108">
        <f>J$22*shipping_manufacturing!$I$27/100</f>
        <v>0</v>
      </c>
      <c r="K34" s="108">
        <f>K$22*shipping_manufacturing!$I$27/100</f>
        <v>0</v>
      </c>
      <c r="L34" s="108">
        <f>L$22*shipping_manufacturing!$I$27/100</f>
        <v>0</v>
      </c>
      <c r="M34" s="108">
        <f>M$22*shipping_manufacturing!$I$27/100</f>
        <v>0</v>
      </c>
      <c r="N34" s="108">
        <f>N$22*shipping_manufacturing!$I$27/100</f>
        <v>0</v>
      </c>
      <c r="O34" s="108">
        <f>O$22*shipping_manufacturing!$I$27/100</f>
        <v>0</v>
      </c>
      <c r="P34" s="108">
        <f>P$22*shipping_manufacturing!$I$27/100</f>
        <v>0</v>
      </c>
      <c r="Q34" s="108">
        <f>Q$22*shipping_manufacturing!$I$27/100</f>
        <v>0</v>
      </c>
      <c r="R34" s="108">
        <f>R$22*shipping_manufacturing!$I$27/100</f>
        <v>0</v>
      </c>
      <c r="S34" s="108">
        <f>S$22*shipping_manufacturing!$I$27/100</f>
        <v>0</v>
      </c>
      <c r="T34" s="108">
        <f>T$22*shipping_manufacturing!$I$27/100</f>
        <v>0</v>
      </c>
      <c r="U34" s="108">
        <f>U$22*shipping_manufacturing!$I$27/100</f>
        <v>0</v>
      </c>
      <c r="V34" s="108">
        <f>V$22*shipping_manufacturing!$I$27/100</f>
        <v>0</v>
      </c>
      <c r="W34" s="108">
        <f>W$22*shipping_manufacturing!$I$27/100</f>
        <v>0</v>
      </c>
      <c r="X34" s="108">
        <f>X$22*shipping_manufacturing!$I$27/100</f>
        <v>0</v>
      </c>
      <c r="Y34" s="108">
        <f>Y$22*shipping_manufacturing!$I$27/100</f>
        <v>0</v>
      </c>
      <c r="Z34" s="108">
        <f>Z$22*shipping_manufacturing!$I$27/100</f>
        <v>0</v>
      </c>
      <c r="AA34" s="108">
        <f>AA$22*shipping_manufacturing!$I$27/100</f>
        <v>0</v>
      </c>
      <c r="AB34" s="108">
        <f>AB$22*shipping_manufacturing!$I$27/100</f>
        <v>0</v>
      </c>
      <c r="AC34" s="108">
        <f>AC$22*shipping_manufacturing!$I$27/100</f>
        <v>0</v>
      </c>
      <c r="AD34" s="108">
        <f>AD$22*shipping_manufacturing!$I$27/100</f>
        <v>0</v>
      </c>
      <c r="AE34" s="108">
        <f>AE$22*shipping_manufacturing!$I$27/100</f>
        <v>0</v>
      </c>
      <c r="AF34" s="108">
        <f>AF$22*shipping_manufacturing!$I$27/100</f>
        <v>0</v>
      </c>
      <c r="AG34" s="108">
        <f>AG$22*shipping_manufacturing!$I$27/100</f>
        <v>0</v>
      </c>
      <c r="AH34" s="108">
        <f>AH$22*shipping_manufacturing!$I$27/100</f>
        <v>0</v>
      </c>
      <c r="AI34" s="108">
        <f>AI$22*shipping_manufacturing!$I$27/100</f>
        <v>0</v>
      </c>
      <c r="AJ34" s="108">
        <f>AJ$22*shipping_manufacturing!$I$27/100</f>
        <v>0</v>
      </c>
      <c r="AK34" s="108">
        <f>AK$22*shipping_manufacturing!$I$27/100</f>
        <v>0</v>
      </c>
      <c r="AL34" s="108">
        <f>AL$22*shipping_manufacturing!$I$27/100</f>
        <v>0</v>
      </c>
      <c r="AM34" s="108">
        <f>AM$22*shipping_manufacturing!$I$27/100</f>
        <v>0</v>
      </c>
      <c r="AN34" s="108">
        <f>AN$22*shipping_manufacturing!$I$27/100</f>
        <v>0</v>
      </c>
      <c r="AO34" s="108">
        <f>AO$22*shipping_manufacturing!$I$27/100</f>
        <v>0</v>
      </c>
      <c r="AP34" s="108">
        <f>AP$22*shipping_manufacturing!$I$27/100</f>
        <v>0</v>
      </c>
      <c r="AQ34" s="108">
        <f>AQ$22*shipping_manufacturing!$I$27/100</f>
        <v>0</v>
      </c>
      <c r="AR34" s="108">
        <f>AR$22*shipping_manufacturing!$I$27/100</f>
        <v>0</v>
      </c>
      <c r="AS34" s="108">
        <f>AS$22*shipping_manufacturing!$I$27/100</f>
        <v>0</v>
      </c>
      <c r="AT34" s="108">
        <f>AT$22*shipping_manufacturing!$I$27/100</f>
        <v>0</v>
      </c>
      <c r="AU34" s="108">
        <f>AU$22*shipping_manufacturing!$I$27/100</f>
        <v>0</v>
      </c>
      <c r="AV34" s="108">
        <f>AV$22*shipping_manufacturing!$I$27/100</f>
        <v>0</v>
      </c>
      <c r="AW34" s="108">
        <f>AW$22*shipping_manufacturing!$I$27/100</f>
        <v>0</v>
      </c>
      <c r="AX34" s="108">
        <f>AX$22*shipping_manufacturing!$I$27/100</f>
        <v>0</v>
      </c>
      <c r="AY34" s="108">
        <f>AY$22*shipping_manufacturing!$I$27/100</f>
        <v>0</v>
      </c>
    </row>
    <row r="35" spans="1:52">
      <c r="A35" s="108">
        <v>1245</v>
      </c>
      <c r="B35" s="163" t="s">
        <v>344</v>
      </c>
      <c r="C35" s="108"/>
      <c r="D35" s="108">
        <f>SUM(D33:D34)</f>
        <v>9.0464206519204104</v>
      </c>
      <c r="E35" s="108">
        <f t="shared" ref="E35:AY35" si="11">SUM(E33:E34)</f>
        <v>3.7159548566257685</v>
      </c>
      <c r="F35" s="108">
        <f t="shared" si="11"/>
        <v>3.7159548566257685</v>
      </c>
      <c r="G35" s="108">
        <f t="shared" si="11"/>
        <v>3.7159548566257685</v>
      </c>
      <c r="H35" s="108">
        <f t="shared" si="11"/>
        <v>3.7159548566257685</v>
      </c>
      <c r="I35" s="108">
        <f t="shared" si="11"/>
        <v>2.9670160042609099</v>
      </c>
      <c r="J35" s="108">
        <f t="shared" si="11"/>
        <v>3.3173519678857506</v>
      </c>
      <c r="K35" s="108">
        <f t="shared" si="11"/>
        <v>0</v>
      </c>
      <c r="L35" s="108">
        <f t="shared" si="11"/>
        <v>6.6347039357715012</v>
      </c>
      <c r="M35" s="108">
        <f t="shared" si="11"/>
        <v>3.8640293950537754</v>
      </c>
      <c r="N35" s="108">
        <f t="shared" si="11"/>
        <v>3.8640293950537754</v>
      </c>
      <c r="O35" s="108">
        <f t="shared" si="11"/>
        <v>3.8640293950537754</v>
      </c>
      <c r="P35" s="108">
        <f t="shared" si="11"/>
        <v>3.8640293950537754</v>
      </c>
      <c r="Q35" s="108">
        <f t="shared" si="11"/>
        <v>3.0154193215633369</v>
      </c>
      <c r="R35" s="108">
        <f t="shared" si="11"/>
        <v>3.0154193215633369</v>
      </c>
      <c r="S35" s="108">
        <f t="shared" si="11"/>
        <v>3.0154193215633369</v>
      </c>
      <c r="T35" s="108">
        <f t="shared" si="11"/>
        <v>3.0154193215633369</v>
      </c>
      <c r="U35" s="108">
        <f t="shared" si="11"/>
        <v>3.1794225497137445</v>
      </c>
      <c r="V35" s="108">
        <f t="shared" si="11"/>
        <v>3.1794225497137445</v>
      </c>
      <c r="W35" s="108">
        <f t="shared" si="11"/>
        <v>3.1794225497137445</v>
      </c>
      <c r="X35" s="108">
        <f t="shared" si="11"/>
        <v>3.1794225497137445</v>
      </c>
      <c r="Y35" s="108">
        <f t="shared" si="11"/>
        <v>3.8640293950537754</v>
      </c>
      <c r="Z35" s="108">
        <f t="shared" si="11"/>
        <v>3.8640293950537754</v>
      </c>
      <c r="AA35" s="108">
        <f t="shared" si="11"/>
        <v>3.8640293950537754</v>
      </c>
      <c r="AB35" s="108">
        <f t="shared" si="11"/>
        <v>3.8640293950537754</v>
      </c>
      <c r="AC35" s="108">
        <f t="shared" si="11"/>
        <v>3.7432887279841696</v>
      </c>
      <c r="AD35" s="108">
        <f t="shared" si="11"/>
        <v>3.7432887279841696</v>
      </c>
      <c r="AE35" s="108">
        <f t="shared" si="11"/>
        <v>3.7432887279841696</v>
      </c>
      <c r="AF35" s="108">
        <f t="shared" si="11"/>
        <v>3.5601380098679591</v>
      </c>
      <c r="AG35" s="108">
        <f t="shared" si="11"/>
        <v>3.8913632664121764</v>
      </c>
      <c r="AH35" s="108">
        <f t="shared" si="11"/>
        <v>3.8913632664121764</v>
      </c>
      <c r="AI35" s="108">
        <f t="shared" si="11"/>
        <v>3.8913632664121764</v>
      </c>
      <c r="AJ35" s="108">
        <f t="shared" si="11"/>
        <v>3.8913632664121764</v>
      </c>
      <c r="AK35" s="108">
        <f t="shared" si="11"/>
        <v>3.2080164824521455</v>
      </c>
      <c r="AL35" s="108">
        <f t="shared" si="11"/>
        <v>3.2080164824521455</v>
      </c>
      <c r="AM35" s="108">
        <f t="shared" si="11"/>
        <v>3.2080164824521455</v>
      </c>
      <c r="AN35" s="108">
        <f t="shared" si="11"/>
        <v>3.2080164824521455</v>
      </c>
      <c r="AO35" s="108">
        <f t="shared" si="11"/>
        <v>3.7546939096201699</v>
      </c>
      <c r="AP35" s="108">
        <f t="shared" si="11"/>
        <v>3.7546939096201699</v>
      </c>
      <c r="AQ35" s="108">
        <f t="shared" si="11"/>
        <v>3.7546939096201699</v>
      </c>
      <c r="AR35" s="108">
        <f t="shared" si="11"/>
        <v>3.7546939096201699</v>
      </c>
      <c r="AS35" s="108">
        <f t="shared" si="11"/>
        <v>0</v>
      </c>
      <c r="AT35" s="108">
        <f t="shared" si="11"/>
        <v>0</v>
      </c>
      <c r="AU35" s="108">
        <f t="shared" si="11"/>
        <v>9.2309080000004187</v>
      </c>
      <c r="AV35" s="108">
        <f t="shared" si="11"/>
        <v>3.809361652336972</v>
      </c>
      <c r="AW35" s="108">
        <f t="shared" si="11"/>
        <v>3.4542803369089556</v>
      </c>
      <c r="AX35" s="108">
        <f t="shared" si="11"/>
        <v>3.4542803369089556</v>
      </c>
      <c r="AY35" s="108">
        <f t="shared" si="11"/>
        <v>3.4542803369089556</v>
      </c>
    </row>
    <row r="36" spans="1:52">
      <c r="A36" s="108"/>
      <c r="B36" s="163" t="s">
        <v>345</v>
      </c>
      <c r="C36" s="108"/>
      <c r="D36" s="108"/>
      <c r="E36" s="108">
        <v>3.7159548566257685</v>
      </c>
      <c r="F36" s="108"/>
      <c r="G36" s="108">
        <v>3.7159548566257685</v>
      </c>
      <c r="H36" s="108"/>
      <c r="I36" s="108">
        <v>2.9670160042609099</v>
      </c>
      <c r="J36" s="108"/>
      <c r="K36" s="108"/>
      <c r="L36" s="108"/>
      <c r="M36" s="108"/>
      <c r="N36" s="108">
        <v>3.8640293950537754</v>
      </c>
      <c r="O36" s="108"/>
      <c r="P36" s="108">
        <v>3.8640293950537754</v>
      </c>
      <c r="Q36" s="108"/>
      <c r="R36" s="108">
        <v>3.0154193215633369</v>
      </c>
      <c r="S36" s="108"/>
      <c r="T36" s="108">
        <v>3.0154193215633369</v>
      </c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>
        <v>3.4542803369089556</v>
      </c>
      <c r="AX36" s="108"/>
      <c r="AY36" s="108">
        <v>3.4542803369089556</v>
      </c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/>
      <c r="K37" s="108"/>
      <c r="L37" s="108"/>
      <c r="M37" s="108"/>
      <c r="N37" s="108">
        <v>0</v>
      </c>
      <c r="O37" s="108"/>
      <c r="P37" s="108">
        <v>0</v>
      </c>
      <c r="Q37" s="108"/>
      <c r="R37" s="108">
        <v>0</v>
      </c>
      <c r="S37" s="108"/>
      <c r="T37" s="108">
        <v>0</v>
      </c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/>
      <c r="E38" s="108">
        <v>1</v>
      </c>
      <c r="F38" s="108"/>
      <c r="G38" s="108">
        <v>1</v>
      </c>
      <c r="H38" s="108"/>
      <c r="I38" s="108">
        <v>1</v>
      </c>
      <c r="J38" s="108"/>
      <c r="K38" s="108"/>
      <c r="L38" s="108"/>
      <c r="M38" s="108"/>
      <c r="N38" s="108">
        <v>1</v>
      </c>
      <c r="O38" s="108"/>
      <c r="P38" s="108">
        <v>1</v>
      </c>
      <c r="Q38" s="108"/>
      <c r="R38" s="108">
        <v>1</v>
      </c>
      <c r="S38" s="108"/>
      <c r="T38" s="108">
        <v>1</v>
      </c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9.0464206519204104</v>
      </c>
      <c r="E39" s="108">
        <f t="shared" ref="E39:AY39" si="12">E33-E36</f>
        <v>0</v>
      </c>
      <c r="F39" s="108">
        <f t="shared" si="12"/>
        <v>3.7159548566257685</v>
      </c>
      <c r="G39" s="108">
        <f t="shared" si="12"/>
        <v>0</v>
      </c>
      <c r="H39" s="108">
        <f t="shared" si="12"/>
        <v>3.7159548566257685</v>
      </c>
      <c r="I39" s="108">
        <f t="shared" si="12"/>
        <v>0</v>
      </c>
      <c r="J39" s="108">
        <f t="shared" si="12"/>
        <v>3.3173519678857506</v>
      </c>
      <c r="K39" s="108">
        <f t="shared" si="12"/>
        <v>0</v>
      </c>
      <c r="L39" s="108">
        <f t="shared" si="12"/>
        <v>6.6347039357715012</v>
      </c>
      <c r="M39" s="108">
        <f t="shared" si="12"/>
        <v>3.8640293950537754</v>
      </c>
      <c r="N39" s="108">
        <f t="shared" si="12"/>
        <v>0</v>
      </c>
      <c r="O39" s="108">
        <f t="shared" si="12"/>
        <v>3.8640293950537754</v>
      </c>
      <c r="P39" s="108">
        <f t="shared" si="12"/>
        <v>0</v>
      </c>
      <c r="Q39" s="108">
        <f t="shared" si="12"/>
        <v>3.0154193215633369</v>
      </c>
      <c r="R39" s="108">
        <f t="shared" si="12"/>
        <v>0</v>
      </c>
      <c r="S39" s="108">
        <f t="shared" si="12"/>
        <v>3.0154193215633369</v>
      </c>
      <c r="T39" s="108">
        <f t="shared" si="12"/>
        <v>0</v>
      </c>
      <c r="U39" s="108">
        <f t="shared" si="12"/>
        <v>3.1794225497137445</v>
      </c>
      <c r="V39" s="108">
        <f t="shared" si="12"/>
        <v>3.1794225497137445</v>
      </c>
      <c r="W39" s="108">
        <f t="shared" si="12"/>
        <v>3.1794225497137445</v>
      </c>
      <c r="X39" s="108">
        <f t="shared" si="12"/>
        <v>3.1794225497137445</v>
      </c>
      <c r="Y39" s="108">
        <f t="shared" si="12"/>
        <v>3.8640293950537754</v>
      </c>
      <c r="Z39" s="108">
        <f t="shared" si="12"/>
        <v>3.8640293950537754</v>
      </c>
      <c r="AA39" s="108">
        <f t="shared" si="12"/>
        <v>3.8640293950537754</v>
      </c>
      <c r="AB39" s="108">
        <f t="shared" si="12"/>
        <v>3.8640293950537754</v>
      </c>
      <c r="AC39" s="108">
        <f t="shared" si="12"/>
        <v>3.7432887279841696</v>
      </c>
      <c r="AD39" s="108">
        <f t="shared" si="12"/>
        <v>3.7432887279841696</v>
      </c>
      <c r="AE39" s="108">
        <f t="shared" si="12"/>
        <v>3.7432887279841696</v>
      </c>
      <c r="AF39" s="108">
        <f t="shared" si="12"/>
        <v>3.5601380098679591</v>
      </c>
      <c r="AG39" s="108">
        <f t="shared" si="12"/>
        <v>3.8913632664121764</v>
      </c>
      <c r="AH39" s="108">
        <f t="shared" si="12"/>
        <v>3.8913632664121764</v>
      </c>
      <c r="AI39" s="108">
        <f t="shared" si="12"/>
        <v>3.8913632664121764</v>
      </c>
      <c r="AJ39" s="108">
        <f t="shared" si="12"/>
        <v>3.8913632664121764</v>
      </c>
      <c r="AK39" s="108">
        <f t="shared" si="12"/>
        <v>3.2080164824521455</v>
      </c>
      <c r="AL39" s="108">
        <f t="shared" si="12"/>
        <v>3.2080164824521455</v>
      </c>
      <c r="AM39" s="108">
        <f t="shared" si="12"/>
        <v>3.2080164824521455</v>
      </c>
      <c r="AN39" s="108">
        <f t="shared" si="12"/>
        <v>3.2080164824521455</v>
      </c>
      <c r="AO39" s="108">
        <f t="shared" si="12"/>
        <v>3.7546939096201699</v>
      </c>
      <c r="AP39" s="108">
        <f t="shared" si="12"/>
        <v>3.7546939096201699</v>
      </c>
      <c r="AQ39" s="108">
        <f t="shared" si="12"/>
        <v>3.7546939096201699</v>
      </c>
      <c r="AR39" s="108">
        <f t="shared" si="12"/>
        <v>3.7546939096201699</v>
      </c>
      <c r="AS39" s="108">
        <f t="shared" si="12"/>
        <v>0</v>
      </c>
      <c r="AT39" s="108">
        <f t="shared" si="12"/>
        <v>0</v>
      </c>
      <c r="AU39" s="108">
        <f t="shared" si="12"/>
        <v>9.2309080000004187</v>
      </c>
      <c r="AV39" s="108">
        <f t="shared" si="12"/>
        <v>3.809361652336972</v>
      </c>
      <c r="AW39" s="108">
        <f t="shared" si="12"/>
        <v>0</v>
      </c>
      <c r="AX39" s="108">
        <f t="shared" si="12"/>
        <v>3.4542803369089556</v>
      </c>
      <c r="AY39" s="108">
        <f t="shared" si="12"/>
        <v>0</v>
      </c>
    </row>
    <row r="40" spans="1:52">
      <c r="A40" s="108"/>
      <c r="B40" s="163" t="s">
        <v>349</v>
      </c>
      <c r="C40" s="108"/>
      <c r="D40" s="108">
        <f>D34-D37</f>
        <v>0</v>
      </c>
      <c r="E40" s="108">
        <f t="shared" ref="E40:AY40" si="13">E34-E37</f>
        <v>0</v>
      </c>
      <c r="F40" s="108">
        <f t="shared" si="13"/>
        <v>0</v>
      </c>
      <c r="G40" s="108">
        <f t="shared" si="13"/>
        <v>0</v>
      </c>
      <c r="H40" s="108">
        <f t="shared" si="13"/>
        <v>0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0</v>
      </c>
      <c r="N40" s="108">
        <f t="shared" si="13"/>
        <v>0</v>
      </c>
      <c r="O40" s="108">
        <f t="shared" si="13"/>
        <v>0</v>
      </c>
      <c r="P40" s="108">
        <f t="shared" si="13"/>
        <v>0</v>
      </c>
      <c r="Q40" s="108">
        <f t="shared" si="13"/>
        <v>0</v>
      </c>
      <c r="R40" s="108">
        <f t="shared" si="13"/>
        <v>0</v>
      </c>
      <c r="S40" s="108">
        <f t="shared" si="13"/>
        <v>0</v>
      </c>
      <c r="T40" s="108">
        <f t="shared" si="13"/>
        <v>0</v>
      </c>
      <c r="U40" s="108">
        <f t="shared" si="13"/>
        <v>0</v>
      </c>
      <c r="V40" s="108">
        <f t="shared" si="13"/>
        <v>0</v>
      </c>
      <c r="W40" s="108">
        <f t="shared" si="13"/>
        <v>0</v>
      </c>
      <c r="X40" s="108">
        <f t="shared" si="13"/>
        <v>0</v>
      </c>
      <c r="Y40" s="108">
        <f t="shared" si="13"/>
        <v>0</v>
      </c>
      <c r="Z40" s="108">
        <f t="shared" si="13"/>
        <v>0</v>
      </c>
      <c r="AA40" s="108">
        <f t="shared" si="13"/>
        <v>0</v>
      </c>
      <c r="AB40" s="108">
        <f t="shared" si="13"/>
        <v>0</v>
      </c>
      <c r="AC40" s="108">
        <f t="shared" si="13"/>
        <v>0</v>
      </c>
      <c r="AD40" s="108">
        <f t="shared" si="13"/>
        <v>0</v>
      </c>
      <c r="AE40" s="108">
        <f t="shared" si="13"/>
        <v>0</v>
      </c>
      <c r="AF40" s="108">
        <f t="shared" si="13"/>
        <v>0</v>
      </c>
      <c r="AG40" s="108">
        <f t="shared" si="13"/>
        <v>0</v>
      </c>
      <c r="AH40" s="108">
        <f t="shared" si="13"/>
        <v>0</v>
      </c>
      <c r="AI40" s="108">
        <f t="shared" si="13"/>
        <v>0</v>
      </c>
      <c r="AJ40" s="108">
        <f t="shared" si="13"/>
        <v>0</v>
      </c>
      <c r="AK40" s="108">
        <f t="shared" si="13"/>
        <v>0</v>
      </c>
      <c r="AL40" s="108">
        <f t="shared" si="13"/>
        <v>0</v>
      </c>
      <c r="AM40" s="108">
        <f t="shared" si="13"/>
        <v>0</v>
      </c>
      <c r="AN40" s="108">
        <f t="shared" si="13"/>
        <v>0</v>
      </c>
      <c r="AO40" s="108">
        <f t="shared" si="13"/>
        <v>0</v>
      </c>
      <c r="AP40" s="108">
        <f t="shared" si="13"/>
        <v>0</v>
      </c>
      <c r="AQ40" s="108">
        <f t="shared" si="13"/>
        <v>0</v>
      </c>
      <c r="AR40" s="108">
        <f t="shared" si="13"/>
        <v>0</v>
      </c>
      <c r="AS40" s="108">
        <f t="shared" si="13"/>
        <v>0</v>
      </c>
      <c r="AT40" s="108">
        <f t="shared" si="13"/>
        <v>0</v>
      </c>
      <c r="AU40" s="108">
        <f t="shared" si="13"/>
        <v>0</v>
      </c>
      <c r="AV40" s="108">
        <f t="shared" si="13"/>
        <v>0</v>
      </c>
      <c r="AW40" s="108">
        <f t="shared" si="13"/>
        <v>0</v>
      </c>
      <c r="AX40" s="108">
        <f t="shared" si="13"/>
        <v>0</v>
      </c>
      <c r="AY40" s="108">
        <f t="shared" si="13"/>
        <v>0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2</v>
      </c>
      <c r="H41" s="108">
        <v>1</v>
      </c>
      <c r="I41" s="108">
        <v>1</v>
      </c>
      <c r="J41" s="108">
        <v>1</v>
      </c>
      <c r="K41" s="108">
        <v>2</v>
      </c>
      <c r="L41" s="108">
        <v>3</v>
      </c>
      <c r="M41" s="108">
        <v>2</v>
      </c>
      <c r="N41" s="108">
        <v>2</v>
      </c>
      <c r="O41" s="108">
        <v>2</v>
      </c>
      <c r="P41" s="108">
        <v>1</v>
      </c>
      <c r="Q41" s="108">
        <v>1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2</v>
      </c>
      <c r="Z41" s="108">
        <v>2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1</v>
      </c>
      <c r="AG41" s="108">
        <v>1</v>
      </c>
      <c r="AH41" s="108">
        <v>2</v>
      </c>
      <c r="AI41" s="108">
        <v>1</v>
      </c>
      <c r="AJ41" s="108">
        <v>2</v>
      </c>
      <c r="AK41" s="108">
        <v>3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1</v>
      </c>
      <c r="AU41" s="108">
        <v>1</v>
      </c>
      <c r="AV41" s="108">
        <v>1</v>
      </c>
      <c r="AW41" s="108">
        <v>1</v>
      </c>
      <c r="AX41" s="108">
        <v>3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44820</v>
      </c>
      <c r="F42" s="108">
        <v>0</v>
      </c>
      <c r="G42" s="108">
        <v>44820</v>
      </c>
      <c r="H42" s="108">
        <v>0</v>
      </c>
      <c r="I42" s="108">
        <v>44820</v>
      </c>
      <c r="J42" s="108">
        <v>0</v>
      </c>
      <c r="K42" s="108">
        <v>0</v>
      </c>
      <c r="L42" s="108">
        <v>0</v>
      </c>
      <c r="M42" s="108">
        <v>0</v>
      </c>
      <c r="N42" s="108">
        <v>44820</v>
      </c>
      <c r="O42" s="108">
        <v>0</v>
      </c>
      <c r="P42" s="108">
        <v>44820</v>
      </c>
      <c r="Q42" s="108">
        <v>0</v>
      </c>
      <c r="R42" s="108">
        <v>44820</v>
      </c>
      <c r="S42" s="108">
        <v>0</v>
      </c>
      <c r="T42" s="108">
        <v>44820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44820</v>
      </c>
      <c r="AX42" s="108">
        <v>0</v>
      </c>
      <c r="AY42" s="108">
        <v>44820</v>
      </c>
      <c r="AZ42" s="98">
        <f>SUM($D$42:$AY$42)</f>
        <v>403380</v>
      </c>
    </row>
    <row r="43" spans="1:52">
      <c r="A43" s="108"/>
      <c r="B43" s="176" t="s">
        <v>352</v>
      </c>
      <c r="C43" s="108"/>
      <c r="D43" s="108">
        <v>7320.8159125665916</v>
      </c>
      <c r="E43" s="108">
        <v>0</v>
      </c>
      <c r="F43" s="108">
        <v>3007.1364677244037</v>
      </c>
      <c r="G43" s="108">
        <v>0</v>
      </c>
      <c r="H43" s="108">
        <v>3007.1364677244037</v>
      </c>
      <c r="I43" s="108">
        <v>0</v>
      </c>
      <c r="J43" s="108">
        <v>2684.5670800115436</v>
      </c>
      <c r="K43" s="108">
        <v>0</v>
      </c>
      <c r="L43" s="108">
        <v>5369.1341600230871</v>
      </c>
      <c r="M43" s="108">
        <v>3126.9657879472679</v>
      </c>
      <c r="N43" s="108">
        <v>0</v>
      </c>
      <c r="O43" s="108">
        <v>3126.9657879472679</v>
      </c>
      <c r="P43" s="108">
        <v>0</v>
      </c>
      <c r="Q43" s="108">
        <v>2440.2280859751304</v>
      </c>
      <c r="R43" s="108">
        <v>0</v>
      </c>
      <c r="S43" s="108">
        <v>2440.2280859751304</v>
      </c>
      <c r="T43" s="108">
        <v>0</v>
      </c>
      <c r="U43" s="108">
        <v>2572.9476983558479</v>
      </c>
      <c r="V43" s="108">
        <v>2572.9476983558479</v>
      </c>
      <c r="W43" s="108">
        <v>2572.9476983558479</v>
      </c>
      <c r="X43" s="108">
        <v>2572.9476983558479</v>
      </c>
      <c r="Y43" s="108">
        <v>3126.9657879472679</v>
      </c>
      <c r="Z43" s="108">
        <v>3126.9657879472679</v>
      </c>
      <c r="AA43" s="108">
        <v>3126.9657879472679</v>
      </c>
      <c r="AB43" s="108">
        <v>3126.9657879472679</v>
      </c>
      <c r="AC43" s="108">
        <v>3029.2564031211891</v>
      </c>
      <c r="AD43" s="108">
        <v>3029.2564031211891</v>
      </c>
      <c r="AE43" s="108">
        <v>3029.2564031211891</v>
      </c>
      <c r="AF43" s="108">
        <v>2881.0416844856459</v>
      </c>
      <c r="AG43" s="108">
        <v>3149.0857233440543</v>
      </c>
      <c r="AH43" s="108">
        <v>3149.0857233440543</v>
      </c>
      <c r="AI43" s="108">
        <v>3149.0857233440543</v>
      </c>
      <c r="AJ43" s="108">
        <v>3149.0857233440543</v>
      </c>
      <c r="AK43" s="108">
        <v>2596.0873384243991</v>
      </c>
      <c r="AL43" s="108">
        <v>2596.0873384243991</v>
      </c>
      <c r="AM43" s="108">
        <v>2596.0873384243991</v>
      </c>
      <c r="AN43" s="108">
        <v>2596.0873384243991</v>
      </c>
      <c r="AO43" s="108">
        <v>3038.4860463601231</v>
      </c>
      <c r="AP43" s="108">
        <v>3038.4860463601231</v>
      </c>
      <c r="AQ43" s="108">
        <v>3038.4860463601231</v>
      </c>
      <c r="AR43" s="108">
        <v>3038.4860463601231</v>
      </c>
      <c r="AS43" s="108">
        <v>0</v>
      </c>
      <c r="AT43" s="108">
        <v>0</v>
      </c>
      <c r="AU43" s="108">
        <v>7470.1122990003387</v>
      </c>
      <c r="AV43" s="108">
        <v>3082.7259171536948</v>
      </c>
      <c r="AW43" s="108">
        <v>0</v>
      </c>
      <c r="AX43" s="108">
        <v>2795.3763626435721</v>
      </c>
      <c r="AY43" s="108">
        <v>0</v>
      </c>
      <c r="AZ43" s="98">
        <f>SUM($D$43:$AY$43)</f>
        <v>115774.4936862684</v>
      </c>
    </row>
    <row r="44" spans="1:52">
      <c r="A44" s="133" t="s">
        <v>46</v>
      </c>
      <c r="B44" s="133" t="s">
        <v>342</v>
      </c>
      <c r="C44" s="122"/>
      <c r="D44" s="122">
        <f>D$21*shipping_manufacturing!$H$28/100</f>
        <v>12.567208782780003</v>
      </c>
      <c r="E44" s="122">
        <f>E$21*shipping_manufacturing!$H$28/100</f>
        <v>5.1621721239204001</v>
      </c>
      <c r="F44" s="122">
        <f>F$21*shipping_manufacturing!$H$28/100</f>
        <v>5.1621721239204001</v>
      </c>
      <c r="G44" s="122">
        <f>G$21*shipping_manufacturing!$H$28/100</f>
        <v>5.1621721239204001</v>
      </c>
      <c r="H44" s="122">
        <f>H$21*shipping_manufacturing!$H$28/100</f>
        <v>5.1621721239204001</v>
      </c>
      <c r="I44" s="122">
        <f>I$21*shipping_manufacturing!$H$28/100</f>
        <v>4.1217527928552684</v>
      </c>
      <c r="J44" s="122">
        <f>J$21*shipping_manufacturing!$H$28/100</f>
        <v>4.6084364623854013</v>
      </c>
      <c r="K44" s="122">
        <f>K$21*shipping_manufacturing!$H$28/100</f>
        <v>0</v>
      </c>
      <c r="L44" s="122">
        <f>L$21*shipping_manufacturing!$H$28/100</f>
        <v>9.2168729247708026</v>
      </c>
      <c r="M44" s="122">
        <f>M$21*shipping_manufacturing!$H$28/100</f>
        <v>5.3678759830974005</v>
      </c>
      <c r="N44" s="122">
        <f>N$21*shipping_manufacturing!$H$28/100</f>
        <v>5.3678759830974005</v>
      </c>
      <c r="O44" s="122">
        <f>O$21*shipping_manufacturing!$H$28/100</f>
        <v>5.3678759830974005</v>
      </c>
      <c r="P44" s="122">
        <f>P$21*shipping_manufacturing!$H$28/100</f>
        <v>5.3678759830974005</v>
      </c>
      <c r="Q44" s="122">
        <f>Q$21*shipping_manufacturing!$H$28/100</f>
        <v>4.1889942596988012</v>
      </c>
      <c r="R44" s="122">
        <f>R$21*shipping_manufacturing!$H$28/100</f>
        <v>4.1889942596988012</v>
      </c>
      <c r="S44" s="122">
        <f>S$21*shipping_manufacturing!$H$28/100</f>
        <v>4.1889942596988012</v>
      </c>
      <c r="T44" s="122">
        <f>T$21*shipping_manufacturing!$H$28/100</f>
        <v>4.1889942596988012</v>
      </c>
      <c r="U44" s="122">
        <f>U$21*shipping_manufacturing!$H$28/100</f>
        <v>4.4168261159124009</v>
      </c>
      <c r="V44" s="122">
        <f>V$21*shipping_manufacturing!$H$28/100</f>
        <v>4.4168261159124009</v>
      </c>
      <c r="W44" s="122">
        <f>W$21*shipping_manufacturing!$H$28/100</f>
        <v>4.4168261159124009</v>
      </c>
      <c r="X44" s="122">
        <f>X$21*shipping_manufacturing!$H$28/100</f>
        <v>4.4168261159124009</v>
      </c>
      <c r="Y44" s="122">
        <f>Y$21*shipping_manufacturing!$H$28/100</f>
        <v>5.3678759830974005</v>
      </c>
      <c r="Z44" s="122">
        <f>Z$21*shipping_manufacturing!$H$28/100</f>
        <v>5.3678759830974005</v>
      </c>
      <c r="AA44" s="122">
        <f>AA$21*shipping_manufacturing!$H$28/100</f>
        <v>5.3678759830974005</v>
      </c>
      <c r="AB44" s="122">
        <f>AB$21*shipping_manufacturing!$H$28/100</f>
        <v>5.3678759830974005</v>
      </c>
      <c r="AC44" s="122">
        <f>AC$21*shipping_manufacturing!$H$28/100</f>
        <v>5.2001440999560007</v>
      </c>
      <c r="AD44" s="122">
        <f>AD$21*shipping_manufacturing!$H$28/100</f>
        <v>5.2001440999560007</v>
      </c>
      <c r="AE44" s="122">
        <f>AE$21*shipping_manufacturing!$H$28/100</f>
        <v>5.2001440999560007</v>
      </c>
      <c r="AF44" s="122">
        <f>AF$21*shipping_manufacturing!$H$28/100</f>
        <v>4.9457127174407631</v>
      </c>
      <c r="AG44" s="122">
        <f>AG$21*shipping_manufacturing!$H$28/100</f>
        <v>5.4058479591330002</v>
      </c>
      <c r="AH44" s="122">
        <f>AH$21*shipping_manufacturing!$H$28/100</f>
        <v>5.4058479591330002</v>
      </c>
      <c r="AI44" s="122">
        <f>AI$21*shipping_manufacturing!$H$28/100</f>
        <v>5.4058479591330002</v>
      </c>
      <c r="AJ44" s="122">
        <f>AJ$21*shipping_manufacturing!$H$28/100</f>
        <v>5.4058479591330002</v>
      </c>
      <c r="AK44" s="122">
        <f>AK$21*shipping_manufacturing!$H$28/100</f>
        <v>4.456548558243</v>
      </c>
      <c r="AL44" s="122">
        <f>AL$21*shipping_manufacturing!$H$28/100</f>
        <v>4.456548558243</v>
      </c>
      <c r="AM44" s="122">
        <f>AM$21*shipping_manufacturing!$H$28/100</f>
        <v>4.456548558243</v>
      </c>
      <c r="AN44" s="122">
        <f>AN$21*shipping_manufacturing!$H$28/100</f>
        <v>4.456548558243</v>
      </c>
      <c r="AO44" s="122">
        <f>AO$21*shipping_manufacturing!$H$28/100</f>
        <v>5.2159880789550002</v>
      </c>
      <c r="AP44" s="122">
        <f>AP$21*shipping_manufacturing!$H$28/100</f>
        <v>5.2159880789550002</v>
      </c>
      <c r="AQ44" s="122">
        <f>AQ$21*shipping_manufacturing!$H$28/100</f>
        <v>5.2159880789550002</v>
      </c>
      <c r="AR44" s="122">
        <f>AR$21*shipping_manufacturing!$H$28/100</f>
        <v>5.2159880789550002</v>
      </c>
      <c r="AS44" s="122">
        <f>AS$21*shipping_manufacturing!$H$28/100</f>
        <v>0</v>
      </c>
      <c r="AT44" s="122">
        <f>AT$21*shipping_manufacturing!$H$28/100</f>
        <v>0</v>
      </c>
      <c r="AU44" s="122">
        <f>AU$21*shipping_manufacturing!$H$28/100</f>
        <v>12.823497</v>
      </c>
      <c r="AV44" s="122">
        <f>AV$21*shipping_manufacturing!$H$28/100</f>
        <v>5.2919320310261995</v>
      </c>
      <c r="AW44" s="122">
        <f>AW$21*shipping_manufacturing!$H$28/100</f>
        <v>4.7986561600991999</v>
      </c>
      <c r="AX44" s="122">
        <f>AX$21*shipping_manufacturing!$H$28/100</f>
        <v>4.7986561600991999</v>
      </c>
      <c r="AY44" s="122">
        <f>AY$21*shipping_manufacturing!$H$28/100</f>
        <v>4.7986561600991999</v>
      </c>
    </row>
    <row r="45" spans="1:52">
      <c r="A45" s="111" t="s">
        <v>341</v>
      </c>
      <c r="B45" s="163" t="s">
        <v>343</v>
      </c>
      <c r="C45" s="108"/>
      <c r="D45" s="108">
        <f>D$22*shipping_manufacturing!$I$28/100</f>
        <v>0</v>
      </c>
      <c r="E45" s="108">
        <f>E$22*shipping_manufacturing!$I$28/100</f>
        <v>0</v>
      </c>
      <c r="F45" s="108">
        <f>F$22*shipping_manufacturing!$I$28/100</f>
        <v>0</v>
      </c>
      <c r="G45" s="108">
        <f>G$22*shipping_manufacturing!$I$28/100</f>
        <v>0</v>
      </c>
      <c r="H45" s="108">
        <f>H$22*shipping_manufacturing!$I$28/100</f>
        <v>0</v>
      </c>
      <c r="I45" s="108">
        <f>I$22*shipping_manufacturing!$I$28/100</f>
        <v>0</v>
      </c>
      <c r="J45" s="108">
        <f>J$22*shipping_manufacturing!$I$28/100</f>
        <v>0</v>
      </c>
      <c r="K45" s="108">
        <f>K$22*shipping_manufacturing!$I$28/100</f>
        <v>0</v>
      </c>
      <c r="L45" s="108">
        <f>L$22*shipping_manufacturing!$I$28/100</f>
        <v>0</v>
      </c>
      <c r="M45" s="108">
        <f>M$22*shipping_manufacturing!$I$28/100</f>
        <v>0</v>
      </c>
      <c r="N45" s="108">
        <f>N$22*shipping_manufacturing!$I$28/100</f>
        <v>0</v>
      </c>
      <c r="O45" s="108">
        <f>O$22*shipping_manufacturing!$I$28/100</f>
        <v>0</v>
      </c>
      <c r="P45" s="108">
        <f>P$22*shipping_manufacturing!$I$28/100</f>
        <v>0</v>
      </c>
      <c r="Q45" s="108">
        <f>Q$22*shipping_manufacturing!$I$28/100</f>
        <v>0</v>
      </c>
      <c r="R45" s="108">
        <f>R$22*shipping_manufacturing!$I$28/100</f>
        <v>0</v>
      </c>
      <c r="S45" s="108">
        <f>S$22*shipping_manufacturing!$I$28/100</f>
        <v>0</v>
      </c>
      <c r="T45" s="108">
        <f>T$22*shipping_manufacturing!$I$28/100</f>
        <v>0</v>
      </c>
      <c r="U45" s="108">
        <f>U$22*shipping_manufacturing!$I$28/100</f>
        <v>0</v>
      </c>
      <c r="V45" s="108">
        <f>V$22*shipping_manufacturing!$I$28/100</f>
        <v>0</v>
      </c>
      <c r="W45" s="108">
        <f>W$22*shipping_manufacturing!$I$28/100</f>
        <v>0</v>
      </c>
      <c r="X45" s="108">
        <f>X$22*shipping_manufacturing!$I$28/100</f>
        <v>0</v>
      </c>
      <c r="Y45" s="108">
        <f>Y$22*shipping_manufacturing!$I$28/100</f>
        <v>0</v>
      </c>
      <c r="Z45" s="108">
        <f>Z$22*shipping_manufacturing!$I$28/100</f>
        <v>0</v>
      </c>
      <c r="AA45" s="108">
        <f>AA$22*shipping_manufacturing!$I$28/100</f>
        <v>0</v>
      </c>
      <c r="AB45" s="108">
        <f>AB$22*shipping_manufacturing!$I$28/100</f>
        <v>0</v>
      </c>
      <c r="AC45" s="108">
        <f>AC$22*shipping_manufacturing!$I$28/100</f>
        <v>0</v>
      </c>
      <c r="AD45" s="108">
        <f>AD$22*shipping_manufacturing!$I$28/100</f>
        <v>0</v>
      </c>
      <c r="AE45" s="108">
        <f>AE$22*shipping_manufacturing!$I$28/100</f>
        <v>0</v>
      </c>
      <c r="AF45" s="108">
        <f>AF$22*shipping_manufacturing!$I$28/100</f>
        <v>0</v>
      </c>
      <c r="AG45" s="108">
        <f>AG$22*shipping_manufacturing!$I$28/100</f>
        <v>0</v>
      </c>
      <c r="AH45" s="108">
        <f>AH$22*shipping_manufacturing!$I$28/100</f>
        <v>0</v>
      </c>
      <c r="AI45" s="108">
        <f>AI$22*shipping_manufacturing!$I$28/100</f>
        <v>0</v>
      </c>
      <c r="AJ45" s="108">
        <f>AJ$22*shipping_manufacturing!$I$28/100</f>
        <v>0</v>
      </c>
      <c r="AK45" s="108">
        <f>AK$22*shipping_manufacturing!$I$28/100</f>
        <v>0</v>
      </c>
      <c r="AL45" s="108">
        <f>AL$22*shipping_manufacturing!$I$28/100</f>
        <v>0</v>
      </c>
      <c r="AM45" s="108">
        <f>AM$22*shipping_manufacturing!$I$28/100</f>
        <v>0</v>
      </c>
      <c r="AN45" s="108">
        <f>AN$22*shipping_manufacturing!$I$28/100</f>
        <v>0</v>
      </c>
      <c r="AO45" s="108">
        <f>AO$22*shipping_manufacturing!$I$28/100</f>
        <v>0</v>
      </c>
      <c r="AP45" s="108">
        <f>AP$22*shipping_manufacturing!$I$28/100</f>
        <v>0</v>
      </c>
      <c r="AQ45" s="108">
        <f>AQ$22*shipping_manufacturing!$I$28/100</f>
        <v>0</v>
      </c>
      <c r="AR45" s="108">
        <f>AR$22*shipping_manufacturing!$I$28/100</f>
        <v>0</v>
      </c>
      <c r="AS45" s="108">
        <f>AS$22*shipping_manufacturing!$I$28/100</f>
        <v>0</v>
      </c>
      <c r="AT45" s="108">
        <f>AT$22*shipping_manufacturing!$I$28/100</f>
        <v>0</v>
      </c>
      <c r="AU45" s="108">
        <f>AU$22*shipping_manufacturing!$I$28/100</f>
        <v>0</v>
      </c>
      <c r="AV45" s="108">
        <f>AV$22*shipping_manufacturing!$I$28/100</f>
        <v>0</v>
      </c>
      <c r="AW45" s="108">
        <f>AW$22*shipping_manufacturing!$I$28/100</f>
        <v>0</v>
      </c>
      <c r="AX45" s="108">
        <f>AX$22*shipping_manufacturing!$I$28/100</f>
        <v>0</v>
      </c>
      <c r="AY45" s="108">
        <f>AY$22*shipping_manufacturing!$I$28/100</f>
        <v>0</v>
      </c>
    </row>
    <row r="46" spans="1:52">
      <c r="A46" s="108">
        <v>1893</v>
      </c>
      <c r="B46" s="163" t="s">
        <v>344</v>
      </c>
      <c r="C46" s="108"/>
      <c r="D46" s="108">
        <f>SUM(D44:D45)</f>
        <v>12.567208782780003</v>
      </c>
      <c r="E46" s="108">
        <f t="shared" ref="E46:AY46" si="14">SUM(E44:E45)</f>
        <v>5.1621721239204001</v>
      </c>
      <c r="F46" s="108">
        <f t="shared" si="14"/>
        <v>5.1621721239204001</v>
      </c>
      <c r="G46" s="108">
        <f t="shared" si="14"/>
        <v>5.1621721239204001</v>
      </c>
      <c r="H46" s="108">
        <f t="shared" si="14"/>
        <v>5.1621721239204001</v>
      </c>
      <c r="I46" s="108">
        <f t="shared" si="14"/>
        <v>4.1217527928552684</v>
      </c>
      <c r="J46" s="108">
        <f t="shared" si="14"/>
        <v>4.6084364623854013</v>
      </c>
      <c r="K46" s="108">
        <f t="shared" si="14"/>
        <v>0</v>
      </c>
      <c r="L46" s="108">
        <f t="shared" si="14"/>
        <v>9.2168729247708026</v>
      </c>
      <c r="M46" s="108">
        <f t="shared" si="14"/>
        <v>5.3678759830974005</v>
      </c>
      <c r="N46" s="108">
        <f t="shared" si="14"/>
        <v>5.3678759830974005</v>
      </c>
      <c r="O46" s="108">
        <f t="shared" si="14"/>
        <v>5.3678759830974005</v>
      </c>
      <c r="P46" s="108">
        <f t="shared" si="14"/>
        <v>5.3678759830974005</v>
      </c>
      <c r="Q46" s="108">
        <f t="shared" si="14"/>
        <v>4.1889942596988012</v>
      </c>
      <c r="R46" s="108">
        <f t="shared" si="14"/>
        <v>4.1889942596988012</v>
      </c>
      <c r="S46" s="108">
        <f t="shared" si="14"/>
        <v>4.1889942596988012</v>
      </c>
      <c r="T46" s="108">
        <f t="shared" si="14"/>
        <v>4.1889942596988012</v>
      </c>
      <c r="U46" s="108">
        <f t="shared" si="14"/>
        <v>4.4168261159124009</v>
      </c>
      <c r="V46" s="108">
        <f t="shared" si="14"/>
        <v>4.4168261159124009</v>
      </c>
      <c r="W46" s="108">
        <f t="shared" si="14"/>
        <v>4.4168261159124009</v>
      </c>
      <c r="X46" s="108">
        <f t="shared" si="14"/>
        <v>4.4168261159124009</v>
      </c>
      <c r="Y46" s="108">
        <f t="shared" si="14"/>
        <v>5.3678759830974005</v>
      </c>
      <c r="Z46" s="108">
        <f t="shared" si="14"/>
        <v>5.3678759830974005</v>
      </c>
      <c r="AA46" s="108">
        <f t="shared" si="14"/>
        <v>5.3678759830974005</v>
      </c>
      <c r="AB46" s="108">
        <f t="shared" si="14"/>
        <v>5.3678759830974005</v>
      </c>
      <c r="AC46" s="108">
        <f t="shared" si="14"/>
        <v>5.2001440999560007</v>
      </c>
      <c r="AD46" s="108">
        <f t="shared" si="14"/>
        <v>5.2001440999560007</v>
      </c>
      <c r="AE46" s="108">
        <f t="shared" si="14"/>
        <v>5.2001440999560007</v>
      </c>
      <c r="AF46" s="108">
        <f t="shared" si="14"/>
        <v>4.9457127174407631</v>
      </c>
      <c r="AG46" s="108">
        <f t="shared" si="14"/>
        <v>5.4058479591330002</v>
      </c>
      <c r="AH46" s="108">
        <f t="shared" si="14"/>
        <v>5.4058479591330002</v>
      </c>
      <c r="AI46" s="108">
        <f t="shared" si="14"/>
        <v>5.4058479591330002</v>
      </c>
      <c r="AJ46" s="108">
        <f t="shared" si="14"/>
        <v>5.4058479591330002</v>
      </c>
      <c r="AK46" s="108">
        <f t="shared" si="14"/>
        <v>4.456548558243</v>
      </c>
      <c r="AL46" s="108">
        <f t="shared" si="14"/>
        <v>4.456548558243</v>
      </c>
      <c r="AM46" s="108">
        <f t="shared" si="14"/>
        <v>4.456548558243</v>
      </c>
      <c r="AN46" s="108">
        <f t="shared" si="14"/>
        <v>4.456548558243</v>
      </c>
      <c r="AO46" s="108">
        <f t="shared" si="14"/>
        <v>5.2159880789550002</v>
      </c>
      <c r="AP46" s="108">
        <f t="shared" si="14"/>
        <v>5.2159880789550002</v>
      </c>
      <c r="AQ46" s="108">
        <f t="shared" si="14"/>
        <v>5.2159880789550002</v>
      </c>
      <c r="AR46" s="108">
        <f t="shared" si="14"/>
        <v>5.2159880789550002</v>
      </c>
      <c r="AS46" s="108">
        <f t="shared" si="14"/>
        <v>0</v>
      </c>
      <c r="AT46" s="108">
        <f t="shared" si="14"/>
        <v>0</v>
      </c>
      <c r="AU46" s="108">
        <f t="shared" si="14"/>
        <v>12.823497</v>
      </c>
      <c r="AV46" s="108">
        <f t="shared" si="14"/>
        <v>5.2919320310261995</v>
      </c>
      <c r="AW46" s="108">
        <f t="shared" si="14"/>
        <v>4.7986561600991999</v>
      </c>
      <c r="AX46" s="108">
        <f t="shared" si="14"/>
        <v>4.7986561600991999</v>
      </c>
      <c r="AY46" s="108">
        <f t="shared" si="14"/>
        <v>4.7986561600991999</v>
      </c>
    </row>
    <row r="47" spans="1:52">
      <c r="A47" s="108"/>
      <c r="B47" s="163" t="s">
        <v>345</v>
      </c>
      <c r="C47" s="108"/>
      <c r="D47" s="108"/>
      <c r="E47" s="108">
        <v>5.1621721239204001</v>
      </c>
      <c r="F47" s="108"/>
      <c r="G47" s="108">
        <v>5.1621721239204001</v>
      </c>
      <c r="H47" s="108"/>
      <c r="I47" s="108">
        <v>4.1217527928552684</v>
      </c>
      <c r="J47" s="108"/>
      <c r="K47" s="108"/>
      <c r="L47" s="108"/>
      <c r="M47" s="108"/>
      <c r="N47" s="108">
        <v>5.3678759830974005</v>
      </c>
      <c r="O47" s="108"/>
      <c r="P47" s="108">
        <v>5.3678759830974005</v>
      </c>
      <c r="Q47" s="108"/>
      <c r="R47" s="108">
        <v>4.1889942596988012</v>
      </c>
      <c r="S47" s="108"/>
      <c r="T47" s="108">
        <v>4.1889942596988012</v>
      </c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>
        <v>4.7986561600991999</v>
      </c>
      <c r="AX47" s="108"/>
      <c r="AY47" s="108">
        <v>4.7986561600991999</v>
      </c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>
        <v>0</v>
      </c>
      <c r="O48" s="108"/>
      <c r="P48" s="108">
        <v>0</v>
      </c>
      <c r="Q48" s="108"/>
      <c r="R48" s="108">
        <v>0</v>
      </c>
      <c r="S48" s="108"/>
      <c r="T48" s="108">
        <v>0</v>
      </c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>
        <v>1</v>
      </c>
      <c r="O49" s="108"/>
      <c r="P49" s="108">
        <v>1</v>
      </c>
      <c r="Q49" s="108"/>
      <c r="R49" s="108">
        <v>1</v>
      </c>
      <c r="S49" s="108"/>
      <c r="T49" s="108">
        <v>1</v>
      </c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12.567208782780003</v>
      </c>
      <c r="E50" s="108">
        <f t="shared" ref="E50:AY50" si="15">E44-E47</f>
        <v>0</v>
      </c>
      <c r="F50" s="108">
        <f t="shared" si="15"/>
        <v>5.1621721239204001</v>
      </c>
      <c r="G50" s="108">
        <f t="shared" si="15"/>
        <v>0</v>
      </c>
      <c r="H50" s="108">
        <f t="shared" si="15"/>
        <v>5.1621721239204001</v>
      </c>
      <c r="I50" s="108">
        <f t="shared" si="15"/>
        <v>0</v>
      </c>
      <c r="J50" s="108">
        <f t="shared" si="15"/>
        <v>4.6084364623854013</v>
      </c>
      <c r="K50" s="108">
        <f t="shared" si="15"/>
        <v>0</v>
      </c>
      <c r="L50" s="108">
        <f t="shared" si="15"/>
        <v>9.2168729247708026</v>
      </c>
      <c r="M50" s="108">
        <f t="shared" si="15"/>
        <v>5.3678759830974005</v>
      </c>
      <c r="N50" s="108">
        <f t="shared" si="15"/>
        <v>0</v>
      </c>
      <c r="O50" s="108">
        <f t="shared" si="15"/>
        <v>5.3678759830974005</v>
      </c>
      <c r="P50" s="108">
        <f t="shared" si="15"/>
        <v>0</v>
      </c>
      <c r="Q50" s="108">
        <f t="shared" si="15"/>
        <v>4.1889942596988012</v>
      </c>
      <c r="R50" s="108">
        <f t="shared" si="15"/>
        <v>0</v>
      </c>
      <c r="S50" s="108">
        <f t="shared" si="15"/>
        <v>4.1889942596988012</v>
      </c>
      <c r="T50" s="108">
        <f t="shared" si="15"/>
        <v>0</v>
      </c>
      <c r="U50" s="108">
        <f t="shared" si="15"/>
        <v>4.4168261159124009</v>
      </c>
      <c r="V50" s="108">
        <f t="shared" si="15"/>
        <v>4.4168261159124009</v>
      </c>
      <c r="W50" s="108">
        <f t="shared" si="15"/>
        <v>4.4168261159124009</v>
      </c>
      <c r="X50" s="108">
        <f t="shared" si="15"/>
        <v>4.4168261159124009</v>
      </c>
      <c r="Y50" s="108">
        <f t="shared" si="15"/>
        <v>5.3678759830974005</v>
      </c>
      <c r="Z50" s="108">
        <f t="shared" si="15"/>
        <v>5.3678759830974005</v>
      </c>
      <c r="AA50" s="108">
        <f t="shared" si="15"/>
        <v>5.3678759830974005</v>
      </c>
      <c r="AB50" s="108">
        <f t="shared" si="15"/>
        <v>5.3678759830974005</v>
      </c>
      <c r="AC50" s="108">
        <f t="shared" si="15"/>
        <v>5.2001440999560007</v>
      </c>
      <c r="AD50" s="108">
        <f t="shared" si="15"/>
        <v>5.2001440999560007</v>
      </c>
      <c r="AE50" s="108">
        <f t="shared" si="15"/>
        <v>5.2001440999560007</v>
      </c>
      <c r="AF50" s="108">
        <f t="shared" si="15"/>
        <v>4.9457127174407631</v>
      </c>
      <c r="AG50" s="108">
        <f t="shared" si="15"/>
        <v>5.4058479591330002</v>
      </c>
      <c r="AH50" s="108">
        <f t="shared" si="15"/>
        <v>5.4058479591330002</v>
      </c>
      <c r="AI50" s="108">
        <f t="shared" si="15"/>
        <v>5.4058479591330002</v>
      </c>
      <c r="AJ50" s="108">
        <f t="shared" si="15"/>
        <v>5.4058479591330002</v>
      </c>
      <c r="AK50" s="108">
        <f t="shared" si="15"/>
        <v>4.456548558243</v>
      </c>
      <c r="AL50" s="108">
        <f t="shared" si="15"/>
        <v>4.456548558243</v>
      </c>
      <c r="AM50" s="108">
        <f t="shared" si="15"/>
        <v>4.456548558243</v>
      </c>
      <c r="AN50" s="108">
        <f t="shared" si="15"/>
        <v>4.456548558243</v>
      </c>
      <c r="AO50" s="108">
        <f t="shared" si="15"/>
        <v>5.2159880789550002</v>
      </c>
      <c r="AP50" s="108">
        <f t="shared" si="15"/>
        <v>5.2159880789550002</v>
      </c>
      <c r="AQ50" s="108">
        <f t="shared" si="15"/>
        <v>5.2159880789550002</v>
      </c>
      <c r="AR50" s="108">
        <f t="shared" si="15"/>
        <v>5.2159880789550002</v>
      </c>
      <c r="AS50" s="108">
        <f t="shared" si="15"/>
        <v>0</v>
      </c>
      <c r="AT50" s="108">
        <f t="shared" si="15"/>
        <v>0</v>
      </c>
      <c r="AU50" s="108">
        <f t="shared" si="15"/>
        <v>12.823497</v>
      </c>
      <c r="AV50" s="108">
        <f t="shared" si="15"/>
        <v>5.2919320310261995</v>
      </c>
      <c r="AW50" s="108">
        <f t="shared" si="15"/>
        <v>0</v>
      </c>
      <c r="AX50" s="108">
        <f t="shared" si="15"/>
        <v>4.7986561600991999</v>
      </c>
      <c r="AY50" s="108">
        <f t="shared" si="15"/>
        <v>0</v>
      </c>
    </row>
    <row r="51" spans="1:52">
      <c r="A51" s="108"/>
      <c r="B51" s="163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3" t="s">
        <v>350</v>
      </c>
      <c r="C52" s="108"/>
      <c r="D52" s="108">
        <v>1</v>
      </c>
      <c r="E52" s="108">
        <v>2</v>
      </c>
      <c r="F52" s="108">
        <v>1</v>
      </c>
      <c r="G52" s="108">
        <v>1</v>
      </c>
      <c r="H52" s="108">
        <v>2</v>
      </c>
      <c r="I52" s="108">
        <v>1</v>
      </c>
      <c r="J52" s="108">
        <v>1</v>
      </c>
      <c r="K52" s="108">
        <v>2</v>
      </c>
      <c r="L52" s="108">
        <v>1</v>
      </c>
      <c r="M52" s="108">
        <v>1</v>
      </c>
      <c r="N52" s="108">
        <v>1</v>
      </c>
      <c r="O52" s="108">
        <v>2</v>
      </c>
      <c r="P52" s="108">
        <v>1</v>
      </c>
      <c r="Q52" s="108">
        <v>2</v>
      </c>
      <c r="R52" s="108">
        <v>1</v>
      </c>
      <c r="S52" s="108">
        <v>3</v>
      </c>
      <c r="T52" s="108">
        <v>1</v>
      </c>
      <c r="U52" s="108">
        <v>1</v>
      </c>
      <c r="V52" s="108">
        <v>1</v>
      </c>
      <c r="W52" s="108">
        <v>1</v>
      </c>
      <c r="X52" s="108">
        <v>1</v>
      </c>
      <c r="Y52" s="108">
        <v>2</v>
      </c>
      <c r="Z52" s="108">
        <v>1</v>
      </c>
      <c r="AA52" s="108">
        <v>1</v>
      </c>
      <c r="AB52" s="108">
        <v>1</v>
      </c>
      <c r="AC52" s="108">
        <v>1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1</v>
      </c>
      <c r="AM52" s="108">
        <v>1</v>
      </c>
      <c r="AN52" s="108">
        <v>3</v>
      </c>
      <c r="AO52" s="108">
        <v>2</v>
      </c>
      <c r="AP52" s="108">
        <v>1</v>
      </c>
      <c r="AQ52" s="108">
        <v>3</v>
      </c>
      <c r="AR52" s="108">
        <v>3</v>
      </c>
      <c r="AS52" s="108">
        <v>1</v>
      </c>
      <c r="AT52" s="108">
        <v>1</v>
      </c>
      <c r="AU52" s="108">
        <v>2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68148</v>
      </c>
      <c r="F53" s="108">
        <v>0</v>
      </c>
      <c r="G53" s="108">
        <v>68148</v>
      </c>
      <c r="H53" s="108">
        <v>0</v>
      </c>
      <c r="I53" s="108">
        <v>68148</v>
      </c>
      <c r="J53" s="108">
        <v>0</v>
      </c>
      <c r="K53" s="108">
        <v>0</v>
      </c>
      <c r="L53" s="108">
        <v>0</v>
      </c>
      <c r="M53" s="108">
        <v>0</v>
      </c>
      <c r="N53" s="108">
        <v>68148</v>
      </c>
      <c r="O53" s="108">
        <v>0</v>
      </c>
      <c r="P53" s="108">
        <v>68148</v>
      </c>
      <c r="Q53" s="108">
        <v>0</v>
      </c>
      <c r="R53" s="108">
        <v>68148</v>
      </c>
      <c r="S53" s="108">
        <v>0</v>
      </c>
      <c r="T53" s="108">
        <v>68148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68148</v>
      </c>
      <c r="AX53" s="108">
        <v>0</v>
      </c>
      <c r="AY53" s="108">
        <v>68148</v>
      </c>
      <c r="AZ53" s="98">
        <f>SUM($D$53:$AY$53)</f>
        <v>613332</v>
      </c>
    </row>
    <row r="54" spans="1:52">
      <c r="A54" s="108"/>
      <c r="B54" s="176" t="s">
        <v>352</v>
      </c>
      <c r="C54" s="108"/>
      <c r="D54" s="108">
        <v>15463.322046771656</v>
      </c>
      <c r="E54" s="108">
        <v>0</v>
      </c>
      <c r="F54" s="108">
        <v>6351.7946898778564</v>
      </c>
      <c r="G54" s="108">
        <v>0</v>
      </c>
      <c r="H54" s="108">
        <v>6351.7946898778564</v>
      </c>
      <c r="I54" s="108">
        <v>0</v>
      </c>
      <c r="J54" s="108">
        <v>5670.4506451421175</v>
      </c>
      <c r="K54" s="108">
        <v>0</v>
      </c>
      <c r="L54" s="108">
        <v>11340.901290284235</v>
      </c>
      <c r="M54" s="108">
        <v>6604.9030034021962</v>
      </c>
      <c r="N54" s="108">
        <v>0</v>
      </c>
      <c r="O54" s="108">
        <v>6604.9030034021962</v>
      </c>
      <c r="P54" s="108">
        <v>0</v>
      </c>
      <c r="Q54" s="108">
        <v>5154.3479868463901</v>
      </c>
      <c r="R54" s="108">
        <v>0</v>
      </c>
      <c r="S54" s="108">
        <v>5154.3479868463901</v>
      </c>
      <c r="T54" s="108">
        <v>0</v>
      </c>
      <c r="U54" s="108">
        <v>5434.6836943244143</v>
      </c>
      <c r="V54" s="108">
        <v>5434.6836943244143</v>
      </c>
      <c r="W54" s="108">
        <v>5434.6836943244143</v>
      </c>
      <c r="X54" s="108">
        <v>5434.6836943244143</v>
      </c>
      <c r="Y54" s="108">
        <v>6604.9030034021962</v>
      </c>
      <c r="Z54" s="108">
        <v>6604.9030034021962</v>
      </c>
      <c r="AA54" s="108">
        <v>6604.9030034021962</v>
      </c>
      <c r="AB54" s="108">
        <v>6604.9030034021962</v>
      </c>
      <c r="AC54" s="108">
        <v>6398.5173077908612</v>
      </c>
      <c r="AD54" s="108">
        <v>6398.5173077908612</v>
      </c>
      <c r="AE54" s="108">
        <v>6398.5173077908612</v>
      </c>
      <c r="AF54" s="108">
        <v>6085.4522131749873</v>
      </c>
      <c r="AG54" s="108">
        <v>6651.6256213152001</v>
      </c>
      <c r="AH54" s="108">
        <v>6651.6256213152001</v>
      </c>
      <c r="AI54" s="108">
        <v>6651.6256213152001</v>
      </c>
      <c r="AJ54" s="108">
        <v>6651.6256213152001</v>
      </c>
      <c r="AK54" s="108">
        <v>5483.5601734901002</v>
      </c>
      <c r="AL54" s="108">
        <v>5483.5601734901002</v>
      </c>
      <c r="AM54" s="108">
        <v>5483.5601734901002</v>
      </c>
      <c r="AN54" s="108">
        <v>5483.5601734901002</v>
      </c>
      <c r="AO54" s="108">
        <v>6418.0125317501797</v>
      </c>
      <c r="AP54" s="108">
        <v>6418.0125317501797</v>
      </c>
      <c r="AQ54" s="108">
        <v>6418.0125317501797</v>
      </c>
      <c r="AR54" s="108">
        <v>6418.0125317501797</v>
      </c>
      <c r="AS54" s="108">
        <v>0</v>
      </c>
      <c r="AT54" s="108">
        <v>0</v>
      </c>
      <c r="AU54" s="108">
        <v>15778.67188365</v>
      </c>
      <c r="AV54" s="108">
        <v>6511.4577675761866</v>
      </c>
      <c r="AW54" s="108">
        <v>0</v>
      </c>
      <c r="AX54" s="108">
        <v>5904.5064721940607</v>
      </c>
      <c r="AY54" s="108">
        <v>0</v>
      </c>
      <c r="AZ54" s="98">
        <f>SUM($D$54:$AY$54)</f>
        <v>244543.54569954713</v>
      </c>
    </row>
    <row r="55" spans="1:52">
      <c r="A55" s="133" t="s">
        <v>59</v>
      </c>
      <c r="B55" s="133" t="s">
        <v>342</v>
      </c>
      <c r="C55" s="122"/>
      <c r="D55" s="122">
        <f>D$21*shipping_manufacturing!$H$29/100</f>
        <v>3495.6572305653008</v>
      </c>
      <c r="E55" s="122">
        <f>E$21*shipping_manufacturing!$H$29/100</f>
        <v>1435.8943678194537</v>
      </c>
      <c r="F55" s="122">
        <f>F$21*shipping_manufacturing!$H$29/100</f>
        <v>1435.8943678194537</v>
      </c>
      <c r="G55" s="122">
        <f>G$21*shipping_manufacturing!$H$29/100</f>
        <v>1435.8943678194537</v>
      </c>
      <c r="H55" s="122">
        <f>H$21*shipping_manufacturing!$H$29/100</f>
        <v>1435.8943678194537</v>
      </c>
      <c r="I55" s="122">
        <f>I$21*shipping_manufacturing!$H$29/100</f>
        <v>1146.494436591988</v>
      </c>
      <c r="J55" s="122">
        <f>J$21*shipping_manufacturing!$H$29/100</f>
        <v>1281.8689113697292</v>
      </c>
      <c r="K55" s="122">
        <f>K$21*shipping_manufacturing!$H$29/100</f>
        <v>0</v>
      </c>
      <c r="L55" s="122">
        <f>L$21*shipping_manufacturing!$H$29/100</f>
        <v>2563.7378227394584</v>
      </c>
      <c r="M55" s="122">
        <f>M$21*shipping_manufacturing!$H$29/100</f>
        <v>1493.112338421849</v>
      </c>
      <c r="N55" s="122">
        <f>N$21*shipping_manufacturing!$H$29/100</f>
        <v>1493.112338421849</v>
      </c>
      <c r="O55" s="122">
        <f>O$21*shipping_manufacturing!$H$29/100</f>
        <v>1493.112338421849</v>
      </c>
      <c r="P55" s="122">
        <f>P$21*shipping_manufacturing!$H$29/100</f>
        <v>1493.112338421849</v>
      </c>
      <c r="Q55" s="122">
        <f>Q$21*shipping_manufacturing!$H$29/100</f>
        <v>1165.1981220187381</v>
      </c>
      <c r="R55" s="122">
        <f>R$21*shipping_manufacturing!$H$29/100</f>
        <v>1165.1981220187381</v>
      </c>
      <c r="S55" s="122">
        <f>S$21*shipping_manufacturing!$H$29/100</f>
        <v>1165.1981220187381</v>
      </c>
      <c r="T55" s="122">
        <f>T$21*shipping_manufacturing!$H$29/100</f>
        <v>1165.1981220187381</v>
      </c>
      <c r="U55" s="122">
        <f>U$21*shipping_manufacturing!$H$29/100</f>
        <v>1228.5711501343742</v>
      </c>
      <c r="V55" s="122">
        <f>V$21*shipping_manufacturing!$H$29/100</f>
        <v>1228.5711501343742</v>
      </c>
      <c r="W55" s="122">
        <f>W$21*shipping_manufacturing!$H$29/100</f>
        <v>1228.5711501343742</v>
      </c>
      <c r="X55" s="122">
        <f>X$21*shipping_manufacturing!$H$29/100</f>
        <v>1228.5711501343742</v>
      </c>
      <c r="Y55" s="122">
        <f>Y$21*shipping_manufacturing!$H$29/100</f>
        <v>1493.112338421849</v>
      </c>
      <c r="Z55" s="122">
        <f>Z$21*shipping_manufacturing!$H$29/100</f>
        <v>1493.112338421849</v>
      </c>
      <c r="AA55" s="122">
        <f>AA$21*shipping_manufacturing!$H$29/100</f>
        <v>1493.112338421849</v>
      </c>
      <c r="AB55" s="122">
        <f>AB$21*shipping_manufacturing!$H$29/100</f>
        <v>1493.112338421849</v>
      </c>
      <c r="AC55" s="122">
        <f>AC$21*shipping_manufacturing!$H$29/100</f>
        <v>1446.45653917206</v>
      </c>
      <c r="AD55" s="122">
        <f>AD$21*shipping_manufacturing!$H$29/100</f>
        <v>1446.45653917206</v>
      </c>
      <c r="AE55" s="122">
        <f>AE$21*shipping_manufacturing!$H$29/100</f>
        <v>1446.45653917206</v>
      </c>
      <c r="AF55" s="122">
        <f>AF$21*shipping_manufacturing!$H$29/100</f>
        <v>1375.6846663286001</v>
      </c>
      <c r="AG55" s="122">
        <f>AG$21*shipping_manufacturing!$H$29/100</f>
        <v>1503.6745097744549</v>
      </c>
      <c r="AH55" s="122">
        <f>AH$21*shipping_manufacturing!$H$29/100</f>
        <v>1503.6745097744549</v>
      </c>
      <c r="AI55" s="122">
        <f>AI$21*shipping_manufacturing!$H$29/100</f>
        <v>1503.6745097744549</v>
      </c>
      <c r="AJ55" s="122">
        <f>AJ$21*shipping_manufacturing!$H$29/100</f>
        <v>1503.6745097744549</v>
      </c>
      <c r="AK55" s="122">
        <f>AK$21*shipping_manufacturing!$H$29/100</f>
        <v>1239.6202259593049</v>
      </c>
      <c r="AL55" s="122">
        <f>AL$21*shipping_manufacturing!$H$29/100</f>
        <v>1239.6202259593049</v>
      </c>
      <c r="AM55" s="122">
        <f>AM$21*shipping_manufacturing!$H$29/100</f>
        <v>1239.6202259593049</v>
      </c>
      <c r="AN55" s="122">
        <f>AN$21*shipping_manufacturing!$H$29/100</f>
        <v>1239.6202259593049</v>
      </c>
      <c r="AO55" s="122">
        <f>AO$21*shipping_manufacturing!$H$29/100</f>
        <v>1450.863653011425</v>
      </c>
      <c r="AP55" s="122">
        <f>AP$21*shipping_manufacturing!$H$29/100</f>
        <v>1450.863653011425</v>
      </c>
      <c r="AQ55" s="122">
        <f>AQ$21*shipping_manufacturing!$H$29/100</f>
        <v>1450.863653011425</v>
      </c>
      <c r="AR55" s="122">
        <f>AR$21*shipping_manufacturing!$H$29/100</f>
        <v>1450.863653011425</v>
      </c>
      <c r="AS55" s="122">
        <f>AS$21*shipping_manufacturing!$H$29/100</f>
        <v>0</v>
      </c>
      <c r="AT55" s="122">
        <f>AT$21*shipping_manufacturing!$H$29/100</f>
        <v>0</v>
      </c>
      <c r="AU55" s="122">
        <f>AU$21*shipping_manufacturing!$H$29/100</f>
        <v>3566.9455949999997</v>
      </c>
      <c r="AV55" s="122">
        <f>AV$21*shipping_manufacturing!$H$29/100</f>
        <v>1471.9879957166368</v>
      </c>
      <c r="AW55" s="122">
        <f>AW$21*shipping_manufacturing!$H$29/100</f>
        <v>1334.7798539029918</v>
      </c>
      <c r="AX55" s="122">
        <f>AX$21*shipping_manufacturing!$H$29/100</f>
        <v>1334.7798539029918</v>
      </c>
      <c r="AY55" s="122">
        <f>AY$21*shipping_manufacturing!$H$29/100</f>
        <v>1334.7798539029918</v>
      </c>
    </row>
    <row r="56" spans="1:52">
      <c r="A56" s="111" t="s">
        <v>341</v>
      </c>
      <c r="B56" s="163" t="s">
        <v>343</v>
      </c>
      <c r="C56" s="108"/>
      <c r="D56" s="108">
        <f>D$22*shipping_manufacturing!$I$29/100</f>
        <v>0</v>
      </c>
      <c r="E56" s="108">
        <f>E$22*shipping_manufacturing!$I$29/100</f>
        <v>0</v>
      </c>
      <c r="F56" s="108">
        <f>F$22*shipping_manufacturing!$I$29/100</f>
        <v>0</v>
      </c>
      <c r="G56" s="108">
        <f>G$22*shipping_manufacturing!$I$29/100</f>
        <v>0</v>
      </c>
      <c r="H56" s="108">
        <f>H$22*shipping_manufacturing!$I$29/100</f>
        <v>0</v>
      </c>
      <c r="I56" s="108">
        <f>I$22*shipping_manufacturing!$I$29/100</f>
        <v>0</v>
      </c>
      <c r="J56" s="108">
        <f>J$22*shipping_manufacturing!$I$29/100</f>
        <v>0</v>
      </c>
      <c r="K56" s="108">
        <f>K$22*shipping_manufacturing!$I$29/100</f>
        <v>0</v>
      </c>
      <c r="L56" s="108">
        <f>L$22*shipping_manufacturing!$I$29/100</f>
        <v>0</v>
      </c>
      <c r="M56" s="108">
        <f>M$22*shipping_manufacturing!$I$29/100</f>
        <v>0</v>
      </c>
      <c r="N56" s="108">
        <f>N$22*shipping_manufacturing!$I$29/100</f>
        <v>0</v>
      </c>
      <c r="O56" s="108">
        <f>O$22*shipping_manufacturing!$I$29/100</f>
        <v>0</v>
      </c>
      <c r="P56" s="108">
        <f>P$22*shipping_manufacturing!$I$29/100</f>
        <v>0</v>
      </c>
      <c r="Q56" s="108">
        <f>Q$22*shipping_manufacturing!$I$29/100</f>
        <v>0</v>
      </c>
      <c r="R56" s="108">
        <f>R$22*shipping_manufacturing!$I$29/100</f>
        <v>0</v>
      </c>
      <c r="S56" s="108">
        <f>S$22*shipping_manufacturing!$I$29/100</f>
        <v>0</v>
      </c>
      <c r="T56" s="108">
        <f>T$22*shipping_manufacturing!$I$29/100</f>
        <v>0</v>
      </c>
      <c r="U56" s="108">
        <f>U$22*shipping_manufacturing!$I$29/100</f>
        <v>0</v>
      </c>
      <c r="V56" s="108">
        <f>V$22*shipping_manufacturing!$I$29/100</f>
        <v>0</v>
      </c>
      <c r="W56" s="108">
        <f>W$22*shipping_manufacturing!$I$29/100</f>
        <v>0</v>
      </c>
      <c r="X56" s="108">
        <f>X$22*shipping_manufacturing!$I$29/100</f>
        <v>0</v>
      </c>
      <c r="Y56" s="108">
        <f>Y$22*shipping_manufacturing!$I$29/100</f>
        <v>0</v>
      </c>
      <c r="Z56" s="108">
        <f>Z$22*shipping_manufacturing!$I$29/100</f>
        <v>0</v>
      </c>
      <c r="AA56" s="108">
        <f>AA$22*shipping_manufacturing!$I$29/100</f>
        <v>0</v>
      </c>
      <c r="AB56" s="108">
        <f>AB$22*shipping_manufacturing!$I$29/100</f>
        <v>0</v>
      </c>
      <c r="AC56" s="108">
        <f>AC$22*shipping_manufacturing!$I$29/100</f>
        <v>0</v>
      </c>
      <c r="AD56" s="108">
        <f>AD$22*shipping_manufacturing!$I$29/100</f>
        <v>0</v>
      </c>
      <c r="AE56" s="108">
        <f>AE$22*shipping_manufacturing!$I$29/100</f>
        <v>0</v>
      </c>
      <c r="AF56" s="108">
        <f>AF$22*shipping_manufacturing!$I$29/100</f>
        <v>0</v>
      </c>
      <c r="AG56" s="108">
        <f>AG$22*shipping_manufacturing!$I$29/100</f>
        <v>0</v>
      </c>
      <c r="AH56" s="108">
        <f>AH$22*shipping_manufacturing!$I$29/100</f>
        <v>0</v>
      </c>
      <c r="AI56" s="108">
        <f>AI$22*shipping_manufacturing!$I$29/100</f>
        <v>0</v>
      </c>
      <c r="AJ56" s="108">
        <f>AJ$22*shipping_manufacturing!$I$29/100</f>
        <v>0</v>
      </c>
      <c r="AK56" s="108">
        <f>AK$22*shipping_manufacturing!$I$29/100</f>
        <v>0</v>
      </c>
      <c r="AL56" s="108">
        <f>AL$22*shipping_manufacturing!$I$29/100</f>
        <v>0</v>
      </c>
      <c r="AM56" s="108">
        <f>AM$22*shipping_manufacturing!$I$29/100</f>
        <v>0</v>
      </c>
      <c r="AN56" s="108">
        <f>AN$22*shipping_manufacturing!$I$29/100</f>
        <v>0</v>
      </c>
      <c r="AO56" s="108">
        <f>AO$22*shipping_manufacturing!$I$29/100</f>
        <v>0</v>
      </c>
      <c r="AP56" s="108">
        <f>AP$22*shipping_manufacturing!$I$29/100</f>
        <v>0</v>
      </c>
      <c r="AQ56" s="108">
        <f>AQ$22*shipping_manufacturing!$I$29/100</f>
        <v>0</v>
      </c>
      <c r="AR56" s="108">
        <f>AR$22*shipping_manufacturing!$I$29/100</f>
        <v>0</v>
      </c>
      <c r="AS56" s="108">
        <f>AS$22*shipping_manufacturing!$I$29/100</f>
        <v>0</v>
      </c>
      <c r="AT56" s="108">
        <f>AT$22*shipping_manufacturing!$I$29/100</f>
        <v>0</v>
      </c>
      <c r="AU56" s="108">
        <f>AU$22*shipping_manufacturing!$I$29/100</f>
        <v>0</v>
      </c>
      <c r="AV56" s="108">
        <f>AV$22*shipping_manufacturing!$I$29/100</f>
        <v>0</v>
      </c>
      <c r="AW56" s="108">
        <f>AW$22*shipping_manufacturing!$I$29/100</f>
        <v>0</v>
      </c>
      <c r="AX56" s="108">
        <f>AX$22*shipping_manufacturing!$I$29/100</f>
        <v>0</v>
      </c>
      <c r="AY56" s="108">
        <f>AY$22*shipping_manufacturing!$I$29/100</f>
        <v>0</v>
      </c>
    </row>
    <row r="57" spans="1:52">
      <c r="A57" s="108">
        <v>495</v>
      </c>
      <c r="B57" s="163" t="s">
        <v>344</v>
      </c>
      <c r="C57" s="108"/>
      <c r="D57" s="108">
        <f>SUM(D55:D56)</f>
        <v>3495.6572305653008</v>
      </c>
      <c r="E57" s="108">
        <f t="shared" ref="E57:AY57" si="17">SUM(E55:E56)</f>
        <v>1435.8943678194537</v>
      </c>
      <c r="F57" s="108">
        <f t="shared" si="17"/>
        <v>1435.8943678194537</v>
      </c>
      <c r="G57" s="108">
        <f t="shared" si="17"/>
        <v>1435.8943678194537</v>
      </c>
      <c r="H57" s="108">
        <f t="shared" si="17"/>
        <v>1435.8943678194537</v>
      </c>
      <c r="I57" s="108">
        <f t="shared" si="17"/>
        <v>1146.494436591988</v>
      </c>
      <c r="J57" s="108">
        <f t="shared" si="17"/>
        <v>1281.8689113697292</v>
      </c>
      <c r="K57" s="108">
        <f t="shared" si="17"/>
        <v>0</v>
      </c>
      <c r="L57" s="108">
        <f t="shared" si="17"/>
        <v>2563.7378227394584</v>
      </c>
      <c r="M57" s="108">
        <f t="shared" si="17"/>
        <v>1493.112338421849</v>
      </c>
      <c r="N57" s="108">
        <f t="shared" si="17"/>
        <v>1493.112338421849</v>
      </c>
      <c r="O57" s="108">
        <f t="shared" si="17"/>
        <v>1493.112338421849</v>
      </c>
      <c r="P57" s="108">
        <f t="shared" si="17"/>
        <v>1493.112338421849</v>
      </c>
      <c r="Q57" s="108">
        <f t="shared" si="17"/>
        <v>1165.1981220187381</v>
      </c>
      <c r="R57" s="108">
        <f t="shared" si="17"/>
        <v>1165.1981220187381</v>
      </c>
      <c r="S57" s="108">
        <f t="shared" si="17"/>
        <v>1165.1981220187381</v>
      </c>
      <c r="T57" s="108">
        <f t="shared" si="17"/>
        <v>1165.1981220187381</v>
      </c>
      <c r="U57" s="108">
        <f t="shared" si="17"/>
        <v>1228.5711501343742</v>
      </c>
      <c r="V57" s="108">
        <f t="shared" si="17"/>
        <v>1228.5711501343742</v>
      </c>
      <c r="W57" s="108">
        <f t="shared" si="17"/>
        <v>1228.5711501343742</v>
      </c>
      <c r="X57" s="108">
        <f t="shared" si="17"/>
        <v>1228.5711501343742</v>
      </c>
      <c r="Y57" s="108">
        <f t="shared" si="17"/>
        <v>1493.112338421849</v>
      </c>
      <c r="Z57" s="108">
        <f t="shared" si="17"/>
        <v>1493.112338421849</v>
      </c>
      <c r="AA57" s="108">
        <f t="shared" si="17"/>
        <v>1493.112338421849</v>
      </c>
      <c r="AB57" s="108">
        <f t="shared" si="17"/>
        <v>1493.112338421849</v>
      </c>
      <c r="AC57" s="108">
        <f t="shared" si="17"/>
        <v>1446.45653917206</v>
      </c>
      <c r="AD57" s="108">
        <f t="shared" si="17"/>
        <v>1446.45653917206</v>
      </c>
      <c r="AE57" s="108">
        <f t="shared" si="17"/>
        <v>1446.45653917206</v>
      </c>
      <c r="AF57" s="108">
        <f t="shared" si="17"/>
        <v>1375.6846663286001</v>
      </c>
      <c r="AG57" s="108">
        <f t="shared" si="17"/>
        <v>1503.6745097744549</v>
      </c>
      <c r="AH57" s="108">
        <f t="shared" si="17"/>
        <v>1503.6745097744549</v>
      </c>
      <c r="AI57" s="108">
        <f t="shared" si="17"/>
        <v>1503.6745097744549</v>
      </c>
      <c r="AJ57" s="108">
        <f t="shared" si="17"/>
        <v>1503.6745097744549</v>
      </c>
      <c r="AK57" s="108">
        <f t="shared" si="17"/>
        <v>1239.6202259593049</v>
      </c>
      <c r="AL57" s="108">
        <f t="shared" si="17"/>
        <v>1239.6202259593049</v>
      </c>
      <c r="AM57" s="108">
        <f t="shared" si="17"/>
        <v>1239.6202259593049</v>
      </c>
      <c r="AN57" s="108">
        <f t="shared" si="17"/>
        <v>1239.6202259593049</v>
      </c>
      <c r="AO57" s="108">
        <f t="shared" si="17"/>
        <v>1450.863653011425</v>
      </c>
      <c r="AP57" s="108">
        <f t="shared" si="17"/>
        <v>1450.863653011425</v>
      </c>
      <c r="AQ57" s="108">
        <f t="shared" si="17"/>
        <v>1450.863653011425</v>
      </c>
      <c r="AR57" s="108">
        <f t="shared" si="17"/>
        <v>1450.863653011425</v>
      </c>
      <c r="AS57" s="108">
        <f t="shared" si="17"/>
        <v>0</v>
      </c>
      <c r="AT57" s="108">
        <f t="shared" si="17"/>
        <v>0</v>
      </c>
      <c r="AU57" s="108">
        <f t="shared" si="17"/>
        <v>3566.9455949999997</v>
      </c>
      <c r="AV57" s="108">
        <f t="shared" si="17"/>
        <v>1471.9879957166368</v>
      </c>
      <c r="AW57" s="108">
        <f t="shared" si="17"/>
        <v>1334.7798539029918</v>
      </c>
      <c r="AX57" s="108">
        <f t="shared" si="17"/>
        <v>1334.7798539029918</v>
      </c>
      <c r="AY57" s="108">
        <f t="shared" si="17"/>
        <v>1334.7798539029918</v>
      </c>
    </row>
    <row r="58" spans="1:52">
      <c r="A58" s="108"/>
      <c r="B58" s="163" t="s">
        <v>345</v>
      </c>
      <c r="C58" s="108"/>
      <c r="D58" s="108">
        <v>510</v>
      </c>
      <c r="E58" s="108">
        <v>1435.8943678194537</v>
      </c>
      <c r="F58" s="108">
        <v>600</v>
      </c>
      <c r="G58" s="108">
        <v>1435.8943678194537</v>
      </c>
      <c r="H58" s="108">
        <v>600</v>
      </c>
      <c r="I58" s="108">
        <v>1146.494436591988</v>
      </c>
      <c r="J58" s="108">
        <v>870</v>
      </c>
      <c r="K58" s="108"/>
      <c r="L58" s="108">
        <v>2100</v>
      </c>
      <c r="M58" s="108"/>
      <c r="N58" s="108">
        <v>1493.112338421849</v>
      </c>
      <c r="O58" s="108">
        <v>540</v>
      </c>
      <c r="P58" s="108">
        <v>1493.112338421849</v>
      </c>
      <c r="Q58" s="108">
        <v>540</v>
      </c>
      <c r="R58" s="108">
        <v>1165.1981220187381</v>
      </c>
      <c r="S58" s="108">
        <v>870</v>
      </c>
      <c r="T58" s="108">
        <v>1165.1981220187381</v>
      </c>
      <c r="U58" s="108">
        <v>870</v>
      </c>
      <c r="V58" s="108">
        <v>1228.5711501343742</v>
      </c>
      <c r="W58" s="108">
        <v>870</v>
      </c>
      <c r="X58" s="108">
        <v>1228.5711501343742</v>
      </c>
      <c r="Y58" s="108">
        <v>870</v>
      </c>
      <c r="Z58" s="108">
        <v>1230</v>
      </c>
      <c r="AA58" s="108">
        <v>870</v>
      </c>
      <c r="AB58" s="108">
        <v>1230</v>
      </c>
      <c r="AC58" s="108">
        <v>870</v>
      </c>
      <c r="AD58" s="108">
        <v>1230</v>
      </c>
      <c r="AE58" s="108">
        <v>870</v>
      </c>
      <c r="AF58" s="108">
        <v>1230</v>
      </c>
      <c r="AG58" s="108">
        <v>870</v>
      </c>
      <c r="AH58" s="108">
        <v>1230</v>
      </c>
      <c r="AI58" s="108">
        <v>870</v>
      </c>
      <c r="AJ58" s="108">
        <v>1230</v>
      </c>
      <c r="AK58" s="108">
        <v>870</v>
      </c>
      <c r="AL58" s="108">
        <v>1230</v>
      </c>
      <c r="AM58" s="108">
        <v>870</v>
      </c>
      <c r="AN58" s="108">
        <v>1230</v>
      </c>
      <c r="AO58" s="108">
        <v>870</v>
      </c>
      <c r="AP58" s="108">
        <v>1230</v>
      </c>
      <c r="AQ58" s="108">
        <v>870</v>
      </c>
      <c r="AR58" s="108">
        <v>1230</v>
      </c>
      <c r="AS58" s="108"/>
      <c r="AT58" s="108"/>
      <c r="AU58" s="108">
        <v>2100</v>
      </c>
      <c r="AV58" s="108"/>
      <c r="AW58" s="108">
        <v>1334.7798539029918</v>
      </c>
      <c r="AX58" s="108">
        <v>690</v>
      </c>
      <c r="AY58" s="108">
        <v>1334.7798539029918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/>
      <c r="L59" s="108">
        <v>0</v>
      </c>
      <c r="M59" s="108"/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/>
      <c r="AT59" s="108"/>
      <c r="AU59" s="108">
        <v>0</v>
      </c>
      <c r="AV59" s="108"/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17</v>
      </c>
      <c r="E60" s="108">
        <v>48</v>
      </c>
      <c r="F60" s="108">
        <v>20</v>
      </c>
      <c r="G60" s="108">
        <v>48</v>
      </c>
      <c r="H60" s="108">
        <v>20</v>
      </c>
      <c r="I60" s="108">
        <v>39</v>
      </c>
      <c r="J60" s="108">
        <v>29</v>
      </c>
      <c r="K60" s="108"/>
      <c r="L60" s="108">
        <v>70</v>
      </c>
      <c r="M60" s="108"/>
      <c r="N60" s="108">
        <v>50</v>
      </c>
      <c r="O60" s="108">
        <v>18</v>
      </c>
      <c r="P60" s="108">
        <v>50</v>
      </c>
      <c r="Q60" s="108">
        <v>18</v>
      </c>
      <c r="R60" s="108">
        <v>39</v>
      </c>
      <c r="S60" s="108">
        <v>29</v>
      </c>
      <c r="T60" s="108">
        <v>39</v>
      </c>
      <c r="U60" s="108">
        <v>29</v>
      </c>
      <c r="V60" s="108">
        <v>41</v>
      </c>
      <c r="W60" s="108">
        <v>29</v>
      </c>
      <c r="X60" s="108">
        <v>41</v>
      </c>
      <c r="Y60" s="108">
        <v>29</v>
      </c>
      <c r="Z60" s="108">
        <v>41</v>
      </c>
      <c r="AA60" s="108">
        <v>29</v>
      </c>
      <c r="AB60" s="108">
        <v>41</v>
      </c>
      <c r="AC60" s="108">
        <v>29</v>
      </c>
      <c r="AD60" s="108">
        <v>41</v>
      </c>
      <c r="AE60" s="108">
        <v>29</v>
      </c>
      <c r="AF60" s="108">
        <v>41</v>
      </c>
      <c r="AG60" s="108">
        <v>29</v>
      </c>
      <c r="AH60" s="108">
        <v>41</v>
      </c>
      <c r="AI60" s="108">
        <v>29</v>
      </c>
      <c r="AJ60" s="108">
        <v>41</v>
      </c>
      <c r="AK60" s="108">
        <v>29</v>
      </c>
      <c r="AL60" s="108">
        <v>41</v>
      </c>
      <c r="AM60" s="108">
        <v>29</v>
      </c>
      <c r="AN60" s="108">
        <v>41</v>
      </c>
      <c r="AO60" s="108">
        <v>29</v>
      </c>
      <c r="AP60" s="108">
        <v>41</v>
      </c>
      <c r="AQ60" s="108">
        <v>29</v>
      </c>
      <c r="AR60" s="108">
        <v>41</v>
      </c>
      <c r="AS60" s="108"/>
      <c r="AT60" s="108"/>
      <c r="AU60" s="108">
        <v>70</v>
      </c>
      <c r="AV60" s="108"/>
      <c r="AW60" s="108">
        <v>45</v>
      </c>
      <c r="AX60" s="108">
        <v>23</v>
      </c>
      <c r="AY60" s="108">
        <v>45</v>
      </c>
    </row>
    <row r="61" spans="1:52">
      <c r="A61" s="108"/>
      <c r="B61" s="163" t="s">
        <v>348</v>
      </c>
      <c r="C61" s="108"/>
      <c r="D61" s="108">
        <f>D55-D58</f>
        <v>2985.6572305653008</v>
      </c>
      <c r="E61" s="108">
        <f t="shared" ref="E61:AY61" si="18">E55-E58</f>
        <v>0</v>
      </c>
      <c r="F61" s="108">
        <f t="shared" si="18"/>
        <v>835.89436781945369</v>
      </c>
      <c r="G61" s="108">
        <f t="shared" si="18"/>
        <v>0</v>
      </c>
      <c r="H61" s="108">
        <f t="shared" si="18"/>
        <v>835.89436781945369</v>
      </c>
      <c r="I61" s="108">
        <f t="shared" si="18"/>
        <v>0</v>
      </c>
      <c r="J61" s="108">
        <f t="shared" si="18"/>
        <v>411.86891136972918</v>
      </c>
      <c r="K61" s="108">
        <f t="shared" si="18"/>
        <v>0</v>
      </c>
      <c r="L61" s="108">
        <f t="shared" si="18"/>
        <v>463.73782273945835</v>
      </c>
      <c r="M61" s="108">
        <f t="shared" si="18"/>
        <v>1493.112338421849</v>
      </c>
      <c r="N61" s="108">
        <f t="shared" si="18"/>
        <v>0</v>
      </c>
      <c r="O61" s="108">
        <f t="shared" si="18"/>
        <v>953.11233842184902</v>
      </c>
      <c r="P61" s="108">
        <f t="shared" si="18"/>
        <v>0</v>
      </c>
      <c r="Q61" s="108">
        <f t="shared" si="18"/>
        <v>625.1981220187381</v>
      </c>
      <c r="R61" s="108">
        <f t="shared" si="18"/>
        <v>0</v>
      </c>
      <c r="S61" s="108">
        <f t="shared" si="18"/>
        <v>295.1981220187381</v>
      </c>
      <c r="T61" s="108">
        <f t="shared" si="18"/>
        <v>0</v>
      </c>
      <c r="U61" s="108">
        <f t="shared" si="18"/>
        <v>358.57115013437419</v>
      </c>
      <c r="V61" s="108">
        <f t="shared" si="18"/>
        <v>0</v>
      </c>
      <c r="W61" s="108">
        <f t="shared" si="18"/>
        <v>358.57115013437419</v>
      </c>
      <c r="X61" s="108">
        <f t="shared" si="18"/>
        <v>0</v>
      </c>
      <c r="Y61" s="108">
        <f t="shared" si="18"/>
        <v>623.11233842184902</v>
      </c>
      <c r="Z61" s="108">
        <f t="shared" si="18"/>
        <v>263.11233842184902</v>
      </c>
      <c r="AA61" s="108">
        <f t="shared" si="18"/>
        <v>623.11233842184902</v>
      </c>
      <c r="AB61" s="108">
        <f t="shared" si="18"/>
        <v>263.11233842184902</v>
      </c>
      <c r="AC61" s="108">
        <f t="shared" si="18"/>
        <v>576.45653917206005</v>
      </c>
      <c r="AD61" s="108">
        <f t="shared" si="18"/>
        <v>216.45653917206005</v>
      </c>
      <c r="AE61" s="108">
        <f t="shared" si="18"/>
        <v>576.45653917206005</v>
      </c>
      <c r="AF61" s="108">
        <f t="shared" si="18"/>
        <v>145.68466632860009</v>
      </c>
      <c r="AG61" s="108">
        <f t="shared" si="18"/>
        <v>633.67450977445492</v>
      </c>
      <c r="AH61" s="108">
        <f t="shared" si="18"/>
        <v>273.67450977445492</v>
      </c>
      <c r="AI61" s="108">
        <f t="shared" si="18"/>
        <v>633.67450977445492</v>
      </c>
      <c r="AJ61" s="108">
        <f t="shared" si="18"/>
        <v>273.67450977445492</v>
      </c>
      <c r="AK61" s="108">
        <f t="shared" si="18"/>
        <v>369.62022595930489</v>
      </c>
      <c r="AL61" s="108">
        <f t="shared" si="18"/>
        <v>9.6202259593048893</v>
      </c>
      <c r="AM61" s="108">
        <f t="shared" si="18"/>
        <v>369.62022595930489</v>
      </c>
      <c r="AN61" s="108">
        <f t="shared" si="18"/>
        <v>9.6202259593048893</v>
      </c>
      <c r="AO61" s="108">
        <f t="shared" si="18"/>
        <v>580.86365301142496</v>
      </c>
      <c r="AP61" s="108">
        <f t="shared" si="18"/>
        <v>220.86365301142496</v>
      </c>
      <c r="AQ61" s="108">
        <f t="shared" si="18"/>
        <v>580.86365301142496</v>
      </c>
      <c r="AR61" s="108">
        <f t="shared" si="18"/>
        <v>220.86365301142496</v>
      </c>
      <c r="AS61" s="108">
        <f t="shared" si="18"/>
        <v>0</v>
      </c>
      <c r="AT61" s="108">
        <f t="shared" si="18"/>
        <v>0</v>
      </c>
      <c r="AU61" s="108">
        <f t="shared" si="18"/>
        <v>1466.9455949999997</v>
      </c>
      <c r="AV61" s="108">
        <f t="shared" si="18"/>
        <v>1471.9879957166368</v>
      </c>
      <c r="AW61" s="108">
        <f t="shared" si="18"/>
        <v>0</v>
      </c>
      <c r="AX61" s="108">
        <f t="shared" si="18"/>
        <v>644.77985390299182</v>
      </c>
      <c r="AY61" s="108">
        <f t="shared" si="18"/>
        <v>0</v>
      </c>
    </row>
    <row r="62" spans="1:52">
      <c r="A62" s="108"/>
      <c r="B62" s="163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1</v>
      </c>
      <c r="G63" s="108">
        <v>1</v>
      </c>
      <c r="H63" s="108">
        <v>1</v>
      </c>
      <c r="I63" s="108">
        <v>1</v>
      </c>
      <c r="J63" s="108">
        <v>2</v>
      </c>
      <c r="K63" s="108">
        <v>1</v>
      </c>
      <c r="L63" s="108">
        <v>2</v>
      </c>
      <c r="M63" s="108">
        <v>1</v>
      </c>
      <c r="N63" s="108">
        <v>1</v>
      </c>
      <c r="O63" s="108">
        <v>1</v>
      </c>
      <c r="P63" s="108">
        <v>1</v>
      </c>
      <c r="Q63" s="108">
        <v>1</v>
      </c>
      <c r="R63" s="108">
        <v>3</v>
      </c>
      <c r="S63" s="108">
        <v>2</v>
      </c>
      <c r="T63" s="108">
        <v>1</v>
      </c>
      <c r="U63" s="108">
        <v>1</v>
      </c>
      <c r="V63" s="108">
        <v>3</v>
      </c>
      <c r="W63" s="108">
        <v>1</v>
      </c>
      <c r="X63" s="108">
        <v>2</v>
      </c>
      <c r="Y63" s="108">
        <v>3</v>
      </c>
      <c r="Z63" s="108">
        <v>1</v>
      </c>
      <c r="AA63" s="108">
        <v>2</v>
      </c>
      <c r="AB63" s="108">
        <v>1</v>
      </c>
      <c r="AC63" s="108">
        <v>3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3</v>
      </c>
      <c r="AJ63" s="108">
        <v>1</v>
      </c>
      <c r="AK63" s="108">
        <v>3</v>
      </c>
      <c r="AL63" s="108">
        <v>2</v>
      </c>
      <c r="AM63" s="108">
        <v>1</v>
      </c>
      <c r="AN63" s="108">
        <v>1</v>
      </c>
      <c r="AO63" s="108">
        <v>2</v>
      </c>
      <c r="AP63" s="108">
        <v>1</v>
      </c>
      <c r="AQ63" s="108">
        <v>2</v>
      </c>
      <c r="AR63" s="108">
        <v>1</v>
      </c>
      <c r="AS63" s="108">
        <v>1</v>
      </c>
      <c r="AT63" s="108">
        <v>1</v>
      </c>
      <c r="AU63" s="108">
        <v>1</v>
      </c>
      <c r="AV63" s="108">
        <v>2</v>
      </c>
      <c r="AW63" s="108">
        <v>1</v>
      </c>
      <c r="AX63" s="108">
        <v>1</v>
      </c>
      <c r="AY63" s="108">
        <v>1</v>
      </c>
    </row>
    <row r="64" spans="1:52">
      <c r="A64" s="108"/>
      <c r="B64" s="176" t="s">
        <v>351</v>
      </c>
      <c r="C64" s="108"/>
      <c r="D64" s="108">
        <v>302940</v>
      </c>
      <c r="E64" s="108">
        <v>855360</v>
      </c>
      <c r="F64" s="108">
        <v>356400</v>
      </c>
      <c r="G64" s="108">
        <v>855360</v>
      </c>
      <c r="H64" s="108">
        <v>356400</v>
      </c>
      <c r="I64" s="108">
        <v>694980</v>
      </c>
      <c r="J64" s="108">
        <v>516780</v>
      </c>
      <c r="K64" s="108">
        <v>0</v>
      </c>
      <c r="L64" s="108">
        <v>1247400</v>
      </c>
      <c r="M64" s="108">
        <v>0</v>
      </c>
      <c r="N64" s="108">
        <v>891000</v>
      </c>
      <c r="O64" s="108">
        <v>320760</v>
      </c>
      <c r="P64" s="108">
        <v>891000</v>
      </c>
      <c r="Q64" s="108">
        <v>320760</v>
      </c>
      <c r="R64" s="108">
        <v>694980</v>
      </c>
      <c r="S64" s="108">
        <v>516780</v>
      </c>
      <c r="T64" s="108">
        <v>694980</v>
      </c>
      <c r="U64" s="108">
        <v>516780</v>
      </c>
      <c r="V64" s="108">
        <v>730620</v>
      </c>
      <c r="W64" s="108">
        <v>516780</v>
      </c>
      <c r="X64" s="108">
        <v>730620</v>
      </c>
      <c r="Y64" s="108">
        <v>516780</v>
      </c>
      <c r="Z64" s="108">
        <v>730620</v>
      </c>
      <c r="AA64" s="108">
        <v>516780</v>
      </c>
      <c r="AB64" s="108">
        <v>730620</v>
      </c>
      <c r="AC64" s="108">
        <v>516780</v>
      </c>
      <c r="AD64" s="108">
        <v>730620</v>
      </c>
      <c r="AE64" s="108">
        <v>516780</v>
      </c>
      <c r="AF64" s="108">
        <v>730620</v>
      </c>
      <c r="AG64" s="108">
        <v>516780</v>
      </c>
      <c r="AH64" s="108">
        <v>730620</v>
      </c>
      <c r="AI64" s="108">
        <v>516780</v>
      </c>
      <c r="AJ64" s="108">
        <v>730620</v>
      </c>
      <c r="AK64" s="108">
        <v>516780</v>
      </c>
      <c r="AL64" s="108">
        <v>730620</v>
      </c>
      <c r="AM64" s="108">
        <v>516780</v>
      </c>
      <c r="AN64" s="108">
        <v>730620</v>
      </c>
      <c r="AO64" s="108">
        <v>516780</v>
      </c>
      <c r="AP64" s="108">
        <v>730620</v>
      </c>
      <c r="AQ64" s="108">
        <v>516780</v>
      </c>
      <c r="AR64" s="108">
        <v>730620</v>
      </c>
      <c r="AS64" s="108">
        <v>0</v>
      </c>
      <c r="AT64" s="108">
        <v>0</v>
      </c>
      <c r="AU64" s="108">
        <v>1247400</v>
      </c>
      <c r="AV64" s="108">
        <v>0</v>
      </c>
      <c r="AW64" s="108">
        <v>801900</v>
      </c>
      <c r="AX64" s="108">
        <v>409860</v>
      </c>
      <c r="AY64" s="108">
        <v>801900</v>
      </c>
      <c r="AZ64" s="98">
        <f>SUM($D$64:$AY$64)</f>
        <v>27745740</v>
      </c>
    </row>
    <row r="65" spans="1:52">
      <c r="A65" s="123"/>
      <c r="B65" s="138" t="s">
        <v>352</v>
      </c>
      <c r="C65" s="123"/>
      <c r="D65" s="123">
        <v>960635.21393438557</v>
      </c>
      <c r="E65" s="123">
        <v>0</v>
      </c>
      <c r="F65" s="123">
        <v>268949.01284590922</v>
      </c>
      <c r="G65" s="123">
        <v>0</v>
      </c>
      <c r="H65" s="123">
        <v>268949.01284590922</v>
      </c>
      <c r="I65" s="123">
        <v>0</v>
      </c>
      <c r="J65" s="123">
        <v>132518.82223321038</v>
      </c>
      <c r="K65" s="123">
        <v>0</v>
      </c>
      <c r="L65" s="123">
        <v>149207.64446642072</v>
      </c>
      <c r="M65" s="123">
        <v>480408.89488722995</v>
      </c>
      <c r="N65" s="123">
        <v>0</v>
      </c>
      <c r="O65" s="123">
        <v>306663.89488722995</v>
      </c>
      <c r="P65" s="123">
        <v>0</v>
      </c>
      <c r="Q65" s="123">
        <v>201157.49575952897</v>
      </c>
      <c r="R65" s="123">
        <v>0</v>
      </c>
      <c r="S65" s="123">
        <v>94979.995759528989</v>
      </c>
      <c r="T65" s="123">
        <v>0</v>
      </c>
      <c r="U65" s="123">
        <v>115370.2675557349</v>
      </c>
      <c r="V65" s="123">
        <v>0</v>
      </c>
      <c r="W65" s="123">
        <v>115370.2675557349</v>
      </c>
      <c r="X65" s="123">
        <v>0</v>
      </c>
      <c r="Y65" s="123">
        <v>200486.39488722992</v>
      </c>
      <c r="Z65" s="123">
        <v>84656.394887229922</v>
      </c>
      <c r="AA65" s="123">
        <v>200486.39488722992</v>
      </c>
      <c r="AB65" s="123">
        <v>84656.394887229922</v>
      </c>
      <c r="AC65" s="123">
        <v>185474.89147861034</v>
      </c>
      <c r="AD65" s="123">
        <v>69644.891478610327</v>
      </c>
      <c r="AE65" s="123">
        <v>185474.89147861034</v>
      </c>
      <c r="AF65" s="123">
        <v>46874.041391227074</v>
      </c>
      <c r="AG65" s="123">
        <v>203884.77351993087</v>
      </c>
      <c r="AH65" s="123">
        <v>88054.773519930866</v>
      </c>
      <c r="AI65" s="123">
        <v>203884.77351993087</v>
      </c>
      <c r="AJ65" s="123">
        <v>88054.773519930866</v>
      </c>
      <c r="AK65" s="123">
        <v>118925.30770240635</v>
      </c>
      <c r="AL65" s="123">
        <v>3095.3077024063482</v>
      </c>
      <c r="AM65" s="123">
        <v>118925.30770240635</v>
      </c>
      <c r="AN65" s="123">
        <v>3095.3077024063482</v>
      </c>
      <c r="AO65" s="123">
        <v>186892.880356426</v>
      </c>
      <c r="AP65" s="123">
        <v>71062.880356425987</v>
      </c>
      <c r="AQ65" s="123">
        <v>186892.880356426</v>
      </c>
      <c r="AR65" s="123">
        <v>71062.880356425987</v>
      </c>
      <c r="AS65" s="123">
        <v>0</v>
      </c>
      <c r="AT65" s="123">
        <v>0</v>
      </c>
      <c r="AU65" s="123">
        <v>471989.74519124988</v>
      </c>
      <c r="AV65" s="123">
        <v>473612.13762182795</v>
      </c>
      <c r="AW65" s="123">
        <v>0</v>
      </c>
      <c r="AX65" s="123">
        <v>207457.91799328761</v>
      </c>
      <c r="AY65" s="123">
        <v>0</v>
      </c>
      <c r="AZ65" s="98">
        <f>SUM($D$65:$AY$65)</f>
        <v>6648856.4652282186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3">
      <c r="A1" s="100" t="s">
        <v>285</v>
      </c>
    </row>
    <row r="2" spans="1:53">
      <c r="A2" s="98" t="s">
        <v>286</v>
      </c>
      <c r="B2" s="105" t="s">
        <v>22</v>
      </c>
    </row>
    <row r="3" spans="1:53">
      <c r="A3" s="98" t="s">
        <v>287</v>
      </c>
      <c r="B3" s="106">
        <v>35000</v>
      </c>
      <c r="C3" s="107"/>
    </row>
    <row r="4" spans="1:53">
      <c r="B4" s="108"/>
      <c r="C4" s="108"/>
    </row>
    <row r="5" spans="1:53">
      <c r="C5" s="109" t="s">
        <v>288</v>
      </c>
    </row>
    <row r="6" spans="1:53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3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3">
      <c r="A8" s="100" t="s">
        <v>293</v>
      </c>
      <c r="B8" s="112"/>
      <c r="AY8" s="108"/>
    </row>
    <row r="9" spans="1:53">
      <c r="A9" s="113" t="s">
        <v>125</v>
      </c>
      <c r="B9" s="114">
        <v>1</v>
      </c>
      <c r="C9" s="115" t="s">
        <v>294</v>
      </c>
      <c r="D9" s="115">
        <v>374.746959</v>
      </c>
      <c r="E9" s="115">
        <v>374.746959</v>
      </c>
      <c r="F9" s="115">
        <v>374.746959</v>
      </c>
      <c r="G9" s="115">
        <v>374.746959</v>
      </c>
      <c r="H9" s="115">
        <v>374.746959</v>
      </c>
      <c r="I9" s="115">
        <v>374.746959</v>
      </c>
      <c r="J9" s="115">
        <v>374.746959</v>
      </c>
      <c r="K9" s="115">
        <v>374.746959</v>
      </c>
      <c r="L9" s="115">
        <v>374.746959</v>
      </c>
      <c r="M9" s="115">
        <v>374.746959</v>
      </c>
      <c r="N9" s="115">
        <v>374.746959</v>
      </c>
      <c r="O9" s="115">
        <v>374.746959</v>
      </c>
      <c r="P9" s="115">
        <v>321.11965800000002</v>
      </c>
      <c r="Q9" s="115">
        <v>321.11965800000002</v>
      </c>
      <c r="R9" s="115">
        <v>321.11965800000002</v>
      </c>
      <c r="S9" s="115">
        <v>321.11965800000002</v>
      </c>
      <c r="T9" s="115">
        <v>321.11965800000002</v>
      </c>
      <c r="U9" s="115">
        <v>321.11965800000002</v>
      </c>
      <c r="V9" s="115">
        <v>321.11965800000002</v>
      </c>
      <c r="W9" s="115">
        <v>321.11965800000002</v>
      </c>
      <c r="X9" s="115">
        <v>374.746959</v>
      </c>
      <c r="Y9" s="115">
        <v>374.746959</v>
      </c>
      <c r="Z9" s="115">
        <v>374.746959</v>
      </c>
      <c r="AA9" s="115">
        <v>374.746959</v>
      </c>
      <c r="AB9" s="115">
        <v>374.746959</v>
      </c>
      <c r="AC9" s="115">
        <v>374.746959</v>
      </c>
      <c r="AD9" s="115">
        <v>374.746959</v>
      </c>
      <c r="AE9" s="115">
        <v>374.746959</v>
      </c>
      <c r="AF9" s="115">
        <v>374.746959</v>
      </c>
      <c r="AG9" s="115">
        <v>374.746959</v>
      </c>
      <c r="AH9" s="115">
        <v>374.746959</v>
      </c>
      <c r="AI9" s="115">
        <v>374.746959</v>
      </c>
      <c r="AJ9" s="115">
        <v>374.746959</v>
      </c>
      <c r="AK9" s="115">
        <v>374.746959</v>
      </c>
      <c r="AL9" s="115">
        <v>374.746959</v>
      </c>
      <c r="AM9" s="115">
        <v>374.746959</v>
      </c>
      <c r="AN9" s="115">
        <v>374.746959</v>
      </c>
      <c r="AO9" s="115">
        <v>374.746959</v>
      </c>
      <c r="AP9" s="115">
        <v>374.746959</v>
      </c>
      <c r="AQ9" s="115">
        <v>374.746959</v>
      </c>
      <c r="AR9" s="115">
        <v>374.746959</v>
      </c>
      <c r="AS9" s="115">
        <v>374.746959</v>
      </c>
      <c r="AT9" s="115">
        <v>374.746959</v>
      </c>
      <c r="AU9" s="115">
        <v>374.746959</v>
      </c>
      <c r="AV9" s="115">
        <v>396.06904980000002</v>
      </c>
      <c r="AW9" s="115">
        <v>396.06904980000002</v>
      </c>
      <c r="AX9" s="115">
        <v>396.06904980000002</v>
      </c>
      <c r="AY9" s="115">
        <v>396.06904980000002</v>
      </c>
    </row>
    <row r="10" spans="1:53">
      <c r="A10" s="116" t="s">
        <v>133</v>
      </c>
      <c r="B10" s="117">
        <v>1</v>
      </c>
      <c r="C10" s="104" t="s">
        <v>294</v>
      </c>
      <c r="D10" s="98">
        <v>288.67646335325571</v>
      </c>
      <c r="E10" s="98">
        <v>121.40040065192042</v>
      </c>
      <c r="F10" s="98">
        <v>69.59985952725377</v>
      </c>
      <c r="G10" s="98">
        <v>69.59985952725377</v>
      </c>
      <c r="H10" s="98">
        <v>69.59985952725377</v>
      </c>
      <c r="I10" s="98">
        <v>17.901936522273768</v>
      </c>
      <c r="J10" s="98">
        <v>47.111599261648031</v>
      </c>
      <c r="K10" s="98">
        <v>65.524124230135357</v>
      </c>
      <c r="L10" s="98">
        <v>38.511588999388799</v>
      </c>
      <c r="M10" s="98">
        <v>38.511588999388799</v>
      </c>
      <c r="N10" s="98">
        <v>73.518148875023996</v>
      </c>
      <c r="O10" s="98">
        <v>18.050011060701777</v>
      </c>
      <c r="P10" s="98">
        <v>14.185981665648001</v>
      </c>
      <c r="Q10" s="98">
        <v>18.050011060701777</v>
      </c>
      <c r="R10" s="98">
        <v>65.222191583812943</v>
      </c>
      <c r="S10" s="98">
        <v>65.222191583812943</v>
      </c>
      <c r="T10" s="98">
        <v>65.222191583812943</v>
      </c>
      <c r="U10" s="98">
        <v>11.527008320952138</v>
      </c>
      <c r="V10" s="98">
        <v>77.993011549102562</v>
      </c>
      <c r="W10" s="98">
        <v>11.691011549102544</v>
      </c>
      <c r="X10" s="98">
        <v>77.993011549102562</v>
      </c>
      <c r="Y10" s="98">
        <v>62.206772262249601</v>
      </c>
      <c r="Z10" s="98">
        <v>73.518148875023996</v>
      </c>
      <c r="AA10" s="98">
        <v>73.518148875023996</v>
      </c>
      <c r="AB10" s="98">
        <v>18.050011060701777</v>
      </c>
      <c r="AC10" s="98">
        <v>84.352011060701784</v>
      </c>
      <c r="AD10" s="98">
        <v>69.627193398612164</v>
      </c>
      <c r="AE10" s="98">
        <v>65.883904670627999</v>
      </c>
      <c r="AF10" s="98">
        <v>17.929270393632169</v>
      </c>
      <c r="AG10" s="98">
        <v>60.001384117089685</v>
      </c>
      <c r="AH10" s="98">
        <v>77.409512141436167</v>
      </c>
      <c r="AI10" s="98">
        <v>73.518148875023996</v>
      </c>
      <c r="AJ10" s="98">
        <v>77.409512141436167</v>
      </c>
      <c r="AK10" s="98">
        <v>44.185981665648001</v>
      </c>
      <c r="AL10" s="98">
        <v>59.378928109055998</v>
      </c>
      <c r="AM10" s="98">
        <v>62.586944591508143</v>
      </c>
      <c r="AN10" s="98">
        <v>37.092990832824</v>
      </c>
      <c r="AO10" s="98">
        <v>59.378928109055998</v>
      </c>
      <c r="AP10" s="98">
        <v>74.444998631450574</v>
      </c>
      <c r="AQ10" s="98">
        <v>74.444998631450574</v>
      </c>
      <c r="AR10" s="98">
        <v>74.444998631450574</v>
      </c>
      <c r="AS10" s="98">
        <v>70.690304721830401</v>
      </c>
      <c r="AT10" s="98">
        <v>67.862460568636806</v>
      </c>
      <c r="AU10" s="98">
        <v>67.862460568636806</v>
      </c>
      <c r="AV10" s="98">
        <v>77.093368568637231</v>
      </c>
      <c r="AW10" s="98">
        <v>71.67182222097378</v>
      </c>
      <c r="AX10" s="98">
        <v>64.246905710186553</v>
      </c>
      <c r="AY10" s="98">
        <v>53.699634540453602</v>
      </c>
      <c r="AZ10" s="98">
        <v>17.640262002556955</v>
      </c>
    </row>
    <row r="11" spans="1:53">
      <c r="B11" s="117">
        <v>2</v>
      </c>
      <c r="C11" s="104" t="s">
        <v>294</v>
      </c>
      <c r="E11" s="98">
        <v>431.23209042274425</v>
      </c>
      <c r="F11" s="98">
        <v>0</v>
      </c>
      <c r="G11" s="98">
        <v>0</v>
      </c>
      <c r="H11" s="98">
        <v>0</v>
      </c>
      <c r="I11" s="98">
        <v>0</v>
      </c>
      <c r="J11" s="98">
        <v>51.697923004980005</v>
      </c>
      <c r="K11" s="98">
        <v>0</v>
      </c>
      <c r="L11" s="98">
        <v>0</v>
      </c>
      <c r="M11" s="98">
        <v>23.695183262860802</v>
      </c>
      <c r="N11" s="98">
        <v>23.695183262860802</v>
      </c>
      <c r="O11" s="98">
        <v>3.8640293950537754</v>
      </c>
      <c r="P11" s="98">
        <v>59.332167209376003</v>
      </c>
      <c r="Q11" s="98">
        <v>63.19619660442978</v>
      </c>
      <c r="S11" s="98">
        <v>0</v>
      </c>
      <c r="T11" s="98">
        <v>0</v>
      </c>
      <c r="V11" s="98">
        <v>0</v>
      </c>
      <c r="W11" s="98">
        <v>0</v>
      </c>
      <c r="X11" s="98">
        <v>0</v>
      </c>
      <c r="Z11" s="98">
        <v>3.1794225497137445</v>
      </c>
      <c r="AA11" s="98">
        <v>3.8640293950537754</v>
      </c>
      <c r="AB11" s="98">
        <v>3.8640293950537754</v>
      </c>
      <c r="AC11" s="98">
        <v>0</v>
      </c>
      <c r="AG11" s="98">
        <v>51.697923004980005</v>
      </c>
      <c r="AI11" s="98">
        <v>0</v>
      </c>
      <c r="AJ11" s="98">
        <v>3.8913632664121764</v>
      </c>
      <c r="AL11" s="98">
        <v>33.223530475788181</v>
      </c>
      <c r="AM11" s="98">
        <v>0</v>
      </c>
      <c r="AN11" s="98">
        <v>0</v>
      </c>
      <c r="AO11" s="98">
        <v>25.493953758684142</v>
      </c>
      <c r="AS11" s="98">
        <v>0</v>
      </c>
      <c r="AT11" s="98">
        <v>3.7546939096201699</v>
      </c>
      <c r="AU11" s="98">
        <v>0</v>
      </c>
      <c r="AV11" s="98">
        <v>0</v>
      </c>
      <c r="AY11" s="98">
        <v>0</v>
      </c>
      <c r="BA11" s="98">
        <v>53.699634540453602</v>
      </c>
    </row>
    <row r="12" spans="1:53">
      <c r="B12" s="118">
        <v>3</v>
      </c>
      <c r="C12" s="104" t="s">
        <v>294</v>
      </c>
      <c r="F12" s="98">
        <v>153.08547000000002</v>
      </c>
      <c r="O12" s="98">
        <v>6.6347039357715012</v>
      </c>
      <c r="S12" s="98">
        <v>59.332167209376003</v>
      </c>
      <c r="Y12" s="98">
        <v>0</v>
      </c>
      <c r="AE12" s="98">
        <v>0</v>
      </c>
      <c r="AG12" s="98">
        <v>3.7432887279841696</v>
      </c>
      <c r="AM12" s="98">
        <v>0</v>
      </c>
      <c r="AN12" s="98">
        <v>3.2080164824521455</v>
      </c>
      <c r="AQ12" s="98">
        <v>3.2080164824521455</v>
      </c>
      <c r="AU12" s="98">
        <v>0</v>
      </c>
      <c r="BA12" s="98">
        <v>3.4542803369089556</v>
      </c>
    </row>
    <row r="13" spans="1:53">
      <c r="B13" s="118">
        <v>4</v>
      </c>
      <c r="C13" s="104" t="s">
        <v>294</v>
      </c>
    </row>
    <row r="14" spans="1:53">
      <c r="A14" s="113" t="s">
        <v>134</v>
      </c>
      <c r="B14" s="119">
        <v>1</v>
      </c>
      <c r="C14" s="115" t="s">
        <v>294</v>
      </c>
      <c r="D14" s="115">
        <v>1342.8879984682312</v>
      </c>
      <c r="E14" s="115">
        <f t="shared" ref="E14:AZ14" si="0">D$172*SUM(D$122:D$169)</f>
        <v>506.94378892752866</v>
      </c>
      <c r="F14" s="115">
        <f t="shared" si="0"/>
        <v>493.82500004307366</v>
      </c>
      <c r="G14" s="115">
        <f t="shared" si="0"/>
        <v>248.31820509212881</v>
      </c>
      <c r="H14" s="115">
        <f t="shared" si="0"/>
        <v>34.320973439495887</v>
      </c>
      <c r="I14" s="115">
        <f t="shared" si="0"/>
        <v>15.170876838541671</v>
      </c>
      <c r="J14" s="115">
        <f t="shared" si="0"/>
        <v>15.170876838541671</v>
      </c>
      <c r="K14" s="115">
        <f t="shared" si="0"/>
        <v>15.170876838541671</v>
      </c>
      <c r="L14" s="115">
        <f t="shared" si="0"/>
        <v>15.170876838541671</v>
      </c>
      <c r="M14" s="115">
        <f t="shared" si="0"/>
        <v>15.170876838541671</v>
      </c>
      <c r="N14" s="115">
        <f t="shared" si="0"/>
        <v>15.170876838541671</v>
      </c>
      <c r="O14" s="115">
        <f t="shared" si="0"/>
        <v>15.170876838541671</v>
      </c>
      <c r="P14" s="115">
        <f t="shared" si="0"/>
        <v>15.170876838541671</v>
      </c>
      <c r="Q14" s="115">
        <f t="shared" si="0"/>
        <v>15.170876838541671</v>
      </c>
      <c r="R14" s="115">
        <f t="shared" si="0"/>
        <v>15.170876838541671</v>
      </c>
      <c r="S14" s="115">
        <f t="shared" si="0"/>
        <v>15.170876838541671</v>
      </c>
      <c r="T14" s="115">
        <f t="shared" si="0"/>
        <v>15.170876838541671</v>
      </c>
      <c r="U14" s="115">
        <f t="shared" si="0"/>
        <v>15.170876838541671</v>
      </c>
      <c r="V14" s="115">
        <f t="shared" si="0"/>
        <v>15.170876838541671</v>
      </c>
      <c r="W14" s="115">
        <f t="shared" si="0"/>
        <v>15.170876838541671</v>
      </c>
      <c r="X14" s="115">
        <f t="shared" si="0"/>
        <v>15.170876838541671</v>
      </c>
      <c r="Y14" s="115">
        <f t="shared" si="0"/>
        <v>15.170876838541671</v>
      </c>
      <c r="Z14" s="115">
        <f t="shared" si="0"/>
        <v>15.170876838541671</v>
      </c>
      <c r="AA14" s="115">
        <f t="shared" si="0"/>
        <v>15.170876838541671</v>
      </c>
      <c r="AB14" s="115">
        <f t="shared" si="0"/>
        <v>15.170876838541671</v>
      </c>
      <c r="AC14" s="115">
        <f t="shared" si="0"/>
        <v>15.170876838541671</v>
      </c>
      <c r="AD14" s="115">
        <f t="shared" si="0"/>
        <v>15.170876838541671</v>
      </c>
      <c r="AE14" s="115">
        <f t="shared" si="0"/>
        <v>15.170876838541671</v>
      </c>
      <c r="AF14" s="115">
        <f t="shared" si="0"/>
        <v>15.170876838541671</v>
      </c>
      <c r="AG14" s="115">
        <f t="shared" si="0"/>
        <v>15.170876838541671</v>
      </c>
      <c r="AH14" s="115">
        <f t="shared" si="0"/>
        <v>15.170876838541671</v>
      </c>
      <c r="AI14" s="115">
        <f t="shared" si="0"/>
        <v>15.170876838541671</v>
      </c>
      <c r="AJ14" s="115">
        <f t="shared" si="0"/>
        <v>15.170876838541671</v>
      </c>
      <c r="AK14" s="115">
        <f t="shared" si="0"/>
        <v>15.170876838541671</v>
      </c>
      <c r="AL14" s="115">
        <f t="shared" si="0"/>
        <v>15.170876838541671</v>
      </c>
      <c r="AM14" s="115">
        <f t="shared" si="0"/>
        <v>15.170876838541671</v>
      </c>
      <c r="AN14" s="115">
        <f t="shared" si="0"/>
        <v>15.170876838541671</v>
      </c>
      <c r="AO14" s="115">
        <f t="shared" si="0"/>
        <v>15.170876838541671</v>
      </c>
      <c r="AP14" s="115">
        <f t="shared" si="0"/>
        <v>15.170876838541671</v>
      </c>
      <c r="AQ14" s="115">
        <f t="shared" si="0"/>
        <v>15.170876838541671</v>
      </c>
      <c r="AR14" s="115">
        <f t="shared" si="0"/>
        <v>15.170876838541671</v>
      </c>
      <c r="AS14" s="115">
        <f t="shared" si="0"/>
        <v>15.170876838541671</v>
      </c>
      <c r="AT14" s="115">
        <f t="shared" si="0"/>
        <v>15.170876838541671</v>
      </c>
      <c r="AU14" s="115">
        <f t="shared" si="0"/>
        <v>15.170876838541671</v>
      </c>
      <c r="AV14" s="115">
        <f t="shared" si="0"/>
        <v>15.170876838541671</v>
      </c>
      <c r="AW14" s="115">
        <f t="shared" si="0"/>
        <v>15.170876838541671</v>
      </c>
      <c r="AX14" s="115">
        <f t="shared" si="0"/>
        <v>15.170876838541671</v>
      </c>
      <c r="AY14" s="115">
        <f t="shared" si="0"/>
        <v>15.170876838541671</v>
      </c>
      <c r="AZ14" s="108">
        <f t="shared" si="0"/>
        <v>15.170876838541671</v>
      </c>
      <c r="BA14" s="105">
        <f>SUM($E14:$AZ14)</f>
        <v>1950.9265483980639</v>
      </c>
    </row>
    <row r="15" spans="1:53">
      <c r="A15" s="120" t="s">
        <v>123</v>
      </c>
      <c r="B15" s="121">
        <v>1</v>
      </c>
      <c r="C15" s="122" t="s">
        <v>294</v>
      </c>
      <c r="D15" s="122">
        <v>382.79332831341088</v>
      </c>
      <c r="E15" s="122">
        <v>21.469791666666673</v>
      </c>
      <c r="F15" s="122">
        <v>21.469791666666673</v>
      </c>
      <c r="G15" s="122">
        <v>21.469791666666673</v>
      </c>
      <c r="H15" s="122">
        <v>21.469791666666673</v>
      </c>
      <c r="I15" s="122">
        <v>21.469791666666673</v>
      </c>
      <c r="J15" s="122">
        <v>21.469791666666673</v>
      </c>
      <c r="K15" s="122">
        <v>21.469791666666673</v>
      </c>
      <c r="L15" s="122">
        <v>21.469791666666673</v>
      </c>
      <c r="M15" s="122">
        <v>21.469791666666673</v>
      </c>
      <c r="N15" s="122">
        <v>21.469791666666673</v>
      </c>
      <c r="O15" s="122">
        <v>21.469791666666673</v>
      </c>
      <c r="P15" s="122">
        <v>21.469791666666673</v>
      </c>
      <c r="Q15" s="122">
        <v>21.469791666666673</v>
      </c>
      <c r="R15" s="122">
        <v>21.469791666666673</v>
      </c>
      <c r="S15" s="122">
        <v>21.469791666666673</v>
      </c>
      <c r="T15" s="122">
        <v>21.469791666666673</v>
      </c>
      <c r="U15" s="122">
        <v>21.469791666666673</v>
      </c>
      <c r="V15" s="122">
        <v>21.469791666666673</v>
      </c>
      <c r="W15" s="122">
        <v>21.469791666666673</v>
      </c>
      <c r="X15" s="122">
        <v>21.469791666666673</v>
      </c>
      <c r="Y15" s="122">
        <v>21.469791666666673</v>
      </c>
      <c r="Z15" s="122">
        <v>21.469791666666673</v>
      </c>
      <c r="AA15" s="122">
        <v>21.469791666666673</v>
      </c>
      <c r="AB15" s="122">
        <v>21.469791666666673</v>
      </c>
      <c r="AC15" s="122">
        <v>21.469791666666673</v>
      </c>
      <c r="AD15" s="122">
        <v>21.469791666666673</v>
      </c>
      <c r="AE15" s="122">
        <v>21.469791666666673</v>
      </c>
      <c r="AF15" s="122">
        <v>21.469791666666673</v>
      </c>
      <c r="AG15" s="122">
        <v>21.469791666666673</v>
      </c>
      <c r="AH15" s="122">
        <v>21.469791666666673</v>
      </c>
      <c r="AI15" s="122">
        <v>21.469791666666673</v>
      </c>
      <c r="AJ15" s="122">
        <v>21.469791666666673</v>
      </c>
      <c r="AK15" s="122">
        <v>21.469791666666673</v>
      </c>
      <c r="AL15" s="122">
        <v>21.469791666666673</v>
      </c>
      <c r="AM15" s="122">
        <v>21.469791666666673</v>
      </c>
      <c r="AN15" s="122">
        <v>21.469791666666673</v>
      </c>
      <c r="AO15" s="122">
        <v>21.469791666666673</v>
      </c>
      <c r="AP15" s="122">
        <v>21.469791666666673</v>
      </c>
      <c r="AQ15" s="122">
        <v>21.469791666666673</v>
      </c>
      <c r="AR15" s="122">
        <v>21.469791666666673</v>
      </c>
      <c r="AS15" s="122">
        <v>21.469791666666673</v>
      </c>
      <c r="AT15" s="122">
        <v>21.469791666666673</v>
      </c>
      <c r="AU15" s="122">
        <v>21.469791666666673</v>
      </c>
      <c r="AV15" s="122">
        <v>21.469791666666673</v>
      </c>
      <c r="AW15" s="122">
        <v>21.469791666666673</v>
      </c>
      <c r="AX15" s="122">
        <v>21.469791666666673</v>
      </c>
      <c r="AY15" s="122">
        <v>21.469791666666673</v>
      </c>
      <c r="AZ15" s="98">
        <v>0</v>
      </c>
    </row>
    <row r="16" spans="1:53">
      <c r="A16" s="108"/>
      <c r="B16" s="117">
        <v>2</v>
      </c>
      <c r="C16" s="107" t="s">
        <v>294</v>
      </c>
      <c r="D16" s="104"/>
      <c r="E16" s="108">
        <v>536.90831597125589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/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/>
      <c r="Z16" s="108">
        <v>0</v>
      </c>
      <c r="AA16" s="108">
        <v>0</v>
      </c>
      <c r="AB16" s="108">
        <v>0</v>
      </c>
      <c r="AC16" s="108">
        <v>0</v>
      </c>
      <c r="AD16" s="108"/>
      <c r="AE16" s="108"/>
      <c r="AF16" s="108"/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>
        <v>0</v>
      </c>
      <c r="AP16" s="108"/>
      <c r="AQ16" s="108"/>
      <c r="AR16" s="108"/>
      <c r="AS16" s="108">
        <v>0</v>
      </c>
      <c r="AT16" s="108">
        <v>0</v>
      </c>
      <c r="AU16" s="108">
        <v>0</v>
      </c>
      <c r="AV16" s="108">
        <v>0</v>
      </c>
      <c r="AW16" s="108"/>
      <c r="AX16" s="108"/>
      <c r="AY16" s="108">
        <v>0</v>
      </c>
      <c r="BA16" s="98">
        <v>0</v>
      </c>
    </row>
    <row r="17" spans="1:53">
      <c r="A17" s="108"/>
      <c r="B17" s="117">
        <v>3</v>
      </c>
      <c r="C17" s="107" t="s">
        <v>294</v>
      </c>
      <c r="D17" s="104"/>
      <c r="E17" s="108"/>
      <c r="F17" s="108">
        <v>191.91452999999998</v>
      </c>
      <c r="G17" s="108"/>
      <c r="H17" s="108"/>
      <c r="I17" s="108"/>
      <c r="J17" s="108"/>
      <c r="K17" s="108"/>
      <c r="L17" s="108"/>
      <c r="M17" s="108"/>
      <c r="N17" s="108"/>
      <c r="O17" s="108">
        <v>0</v>
      </c>
      <c r="P17" s="108"/>
      <c r="Q17" s="108"/>
      <c r="R17" s="108"/>
      <c r="S17" s="108">
        <v>0</v>
      </c>
      <c r="T17" s="108"/>
      <c r="U17" s="108"/>
      <c r="V17" s="108"/>
      <c r="W17" s="108"/>
      <c r="X17" s="108"/>
      <c r="Y17" s="108">
        <v>0</v>
      </c>
      <c r="Z17" s="108"/>
      <c r="AA17" s="108"/>
      <c r="AB17" s="108"/>
      <c r="AC17" s="108"/>
      <c r="AD17" s="108"/>
      <c r="AE17" s="108">
        <v>0</v>
      </c>
      <c r="AF17" s="108"/>
      <c r="AG17" s="108">
        <v>0</v>
      </c>
      <c r="AH17" s="108"/>
      <c r="AI17" s="108"/>
      <c r="AJ17" s="108"/>
      <c r="AK17" s="108"/>
      <c r="AL17" s="108"/>
      <c r="AM17" s="108">
        <v>0</v>
      </c>
      <c r="AN17" s="108">
        <v>0</v>
      </c>
      <c r="AO17" s="108"/>
      <c r="AP17" s="108"/>
      <c r="AQ17" s="108">
        <v>0</v>
      </c>
      <c r="AR17" s="108"/>
      <c r="AS17" s="108"/>
      <c r="AT17" s="108"/>
      <c r="AU17" s="108">
        <v>0</v>
      </c>
      <c r="AV17" s="108"/>
      <c r="AW17" s="108"/>
      <c r="AX17" s="108"/>
      <c r="AY17" s="108"/>
      <c r="BA17" s="98">
        <v>0</v>
      </c>
    </row>
    <row r="18" spans="1:53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3">
      <c r="A20" s="100" t="s">
        <v>295</v>
      </c>
    </row>
    <row r="21" spans="1:53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3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3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3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3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3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3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3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3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3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3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3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538.01314000000002</v>
      </c>
      <c r="D95" s="108">
        <v>374.746959</v>
      </c>
      <c r="E95" s="108">
        <v>374.746959</v>
      </c>
      <c r="F95" s="108">
        <v>374.746959</v>
      </c>
      <c r="G95" s="108">
        <v>374.746959</v>
      </c>
      <c r="H95" s="108">
        <v>374.746959</v>
      </c>
      <c r="I95" s="108">
        <v>374.746959</v>
      </c>
      <c r="J95" s="108">
        <v>374.746959</v>
      </c>
      <c r="K95" s="108">
        <v>374.746959</v>
      </c>
      <c r="L95" s="108">
        <v>374.746959</v>
      </c>
      <c r="M95" s="108">
        <v>374.746959</v>
      </c>
      <c r="N95" s="108">
        <v>374.746959</v>
      </c>
      <c r="O95" s="108">
        <v>374.746959</v>
      </c>
      <c r="P95" s="108">
        <v>321.11965800000002</v>
      </c>
      <c r="Q95" s="108">
        <v>321.11965800000002</v>
      </c>
      <c r="R95" s="108">
        <v>321.11965800000002</v>
      </c>
      <c r="S95" s="108">
        <v>321.11965800000002</v>
      </c>
      <c r="T95" s="108">
        <v>321.11965800000002</v>
      </c>
      <c r="U95" s="108">
        <v>321.11965800000002</v>
      </c>
      <c r="V95" s="108">
        <v>321.11965800000002</v>
      </c>
      <c r="W95" s="108">
        <v>321.11965800000002</v>
      </c>
      <c r="X95" s="108">
        <v>374.746959</v>
      </c>
      <c r="Y95" s="108">
        <v>374.746959</v>
      </c>
      <c r="Z95" s="108">
        <v>374.746959</v>
      </c>
      <c r="AA95" s="108">
        <v>374.746959</v>
      </c>
      <c r="AB95" s="108">
        <v>374.746959</v>
      </c>
      <c r="AC95" s="108">
        <v>374.746959</v>
      </c>
      <c r="AD95" s="108">
        <v>374.746959</v>
      </c>
      <c r="AE95" s="108">
        <v>374.746959</v>
      </c>
      <c r="AF95" s="108">
        <v>374.746959</v>
      </c>
      <c r="AG95" s="108">
        <v>374.746959</v>
      </c>
      <c r="AH95" s="108">
        <v>374.746959</v>
      </c>
      <c r="AI95" s="108">
        <v>374.746959</v>
      </c>
      <c r="AJ95" s="108">
        <v>374.746959</v>
      </c>
      <c r="AK95" s="108">
        <v>374.746959</v>
      </c>
      <c r="AL95" s="108">
        <v>374.746959</v>
      </c>
      <c r="AM95" s="108">
        <v>374.746959</v>
      </c>
      <c r="AN95" s="108">
        <v>374.746959</v>
      </c>
      <c r="AO95" s="108">
        <v>374.746959</v>
      </c>
      <c r="AP95" s="108">
        <v>374.746959</v>
      </c>
      <c r="AQ95" s="108">
        <v>374.746959</v>
      </c>
      <c r="AR95" s="108">
        <v>374.746959</v>
      </c>
      <c r="AS95" s="108">
        <v>374.746959</v>
      </c>
      <c r="AT95" s="108">
        <v>374.746959</v>
      </c>
      <c r="AU95" s="108">
        <v>374.746959</v>
      </c>
      <c r="AV95" s="108">
        <v>396.06904980000002</v>
      </c>
      <c r="AW95" s="108">
        <v>396.06904980000002</v>
      </c>
      <c r="AX95" s="108">
        <v>396.06904980000002</v>
      </c>
      <c r="AY95" s="108">
        <v>396.06904980000002</v>
      </c>
    </row>
    <row r="96" spans="1:52">
      <c r="A96" s="107"/>
      <c r="B96" s="118">
        <v>2</v>
      </c>
      <c r="C96" s="108">
        <v>538.01314000000002</v>
      </c>
      <c r="D96" s="108">
        <v>538.01314000000002</v>
      </c>
      <c r="E96" s="108">
        <v>374.746959</v>
      </c>
      <c r="F96" s="108">
        <v>374.746959</v>
      </c>
      <c r="G96" s="108">
        <v>374.746959</v>
      </c>
      <c r="H96" s="108">
        <v>374.746959</v>
      </c>
      <c r="I96" s="108">
        <v>374.746959</v>
      </c>
      <c r="J96" s="108">
        <v>374.746959</v>
      </c>
      <c r="K96" s="108">
        <v>374.746959</v>
      </c>
      <c r="L96" s="108">
        <v>374.746959</v>
      </c>
      <c r="M96" s="108">
        <v>374.746959</v>
      </c>
      <c r="N96" s="108">
        <v>374.746959</v>
      </c>
      <c r="O96" s="108">
        <v>374.746959</v>
      </c>
      <c r="P96" s="108">
        <v>374.746959</v>
      </c>
      <c r="Q96" s="108">
        <v>321.11965800000002</v>
      </c>
      <c r="R96" s="108">
        <v>321.11965800000002</v>
      </c>
      <c r="S96" s="108">
        <v>321.11965800000002</v>
      </c>
      <c r="T96" s="108">
        <v>321.11965800000002</v>
      </c>
      <c r="U96" s="108">
        <v>321.11965800000002</v>
      </c>
      <c r="V96" s="108">
        <v>321.11965800000002</v>
      </c>
      <c r="W96" s="108">
        <v>321.11965800000002</v>
      </c>
      <c r="X96" s="108">
        <v>321.11965800000002</v>
      </c>
      <c r="Y96" s="108">
        <v>374.746959</v>
      </c>
      <c r="Z96" s="108">
        <v>374.746959</v>
      </c>
      <c r="AA96" s="108">
        <v>374.746959</v>
      </c>
      <c r="AB96" s="108">
        <v>374.746959</v>
      </c>
      <c r="AC96" s="108">
        <v>374.746959</v>
      </c>
      <c r="AD96" s="108">
        <v>374.746959</v>
      </c>
      <c r="AE96" s="108">
        <v>374.746959</v>
      </c>
      <c r="AF96" s="108">
        <v>374.746959</v>
      </c>
      <c r="AG96" s="108">
        <v>374.746959</v>
      </c>
      <c r="AH96" s="108">
        <v>374.746959</v>
      </c>
      <c r="AI96" s="108">
        <v>374.746959</v>
      </c>
      <c r="AJ96" s="108">
        <v>374.746959</v>
      </c>
      <c r="AK96" s="108">
        <v>374.746959</v>
      </c>
      <c r="AL96" s="108">
        <v>374.746959</v>
      </c>
      <c r="AM96" s="108">
        <v>374.746959</v>
      </c>
      <c r="AN96" s="108">
        <v>374.746959</v>
      </c>
      <c r="AO96" s="108">
        <v>374.746959</v>
      </c>
      <c r="AP96" s="108">
        <v>374.746959</v>
      </c>
      <c r="AQ96" s="108">
        <v>374.746959</v>
      </c>
      <c r="AR96" s="108">
        <v>374.746959</v>
      </c>
      <c r="AS96" s="108">
        <v>374.746959</v>
      </c>
      <c r="AT96" s="108">
        <v>374.746959</v>
      </c>
      <c r="AU96" s="108">
        <v>374.746959</v>
      </c>
      <c r="AV96" s="108">
        <v>374.746959</v>
      </c>
      <c r="AW96" s="108">
        <v>396.06904980000002</v>
      </c>
      <c r="AX96" s="108">
        <v>396.06904980000002</v>
      </c>
      <c r="AY96" s="108">
        <v>396.06904980000002</v>
      </c>
    </row>
    <row r="97" spans="1:52">
      <c r="A97" s="107"/>
      <c r="B97" s="125">
        <v>3</v>
      </c>
      <c r="C97" s="108">
        <v>538.01314000000002</v>
      </c>
      <c r="D97" s="108">
        <v>538.01314000000002</v>
      </c>
      <c r="E97" s="108">
        <v>538.01314000000002</v>
      </c>
      <c r="F97" s="108">
        <v>374.746959</v>
      </c>
      <c r="G97" s="108">
        <v>374.746959</v>
      </c>
      <c r="H97" s="108">
        <v>374.746959</v>
      </c>
      <c r="I97" s="108">
        <v>374.746959</v>
      </c>
      <c r="J97" s="108">
        <v>374.746959</v>
      </c>
      <c r="K97" s="108">
        <v>374.746959</v>
      </c>
      <c r="L97" s="108">
        <v>374.746959</v>
      </c>
      <c r="M97" s="108">
        <v>374.746959</v>
      </c>
      <c r="N97" s="108">
        <v>374.746959</v>
      </c>
      <c r="O97" s="108">
        <v>374.746959</v>
      </c>
      <c r="P97" s="108">
        <v>374.746959</v>
      </c>
      <c r="Q97" s="108">
        <v>374.746959</v>
      </c>
      <c r="R97" s="108">
        <v>321.11965800000002</v>
      </c>
      <c r="S97" s="108">
        <v>321.11965800000002</v>
      </c>
      <c r="T97" s="108">
        <v>321.11965800000002</v>
      </c>
      <c r="U97" s="108">
        <v>321.11965800000002</v>
      </c>
      <c r="V97" s="108">
        <v>321.11965800000002</v>
      </c>
      <c r="W97" s="108">
        <v>321.11965800000002</v>
      </c>
      <c r="X97" s="108">
        <v>321.11965800000002</v>
      </c>
      <c r="Y97" s="108">
        <v>321.11965800000002</v>
      </c>
      <c r="Z97" s="108">
        <v>374.746959</v>
      </c>
      <c r="AA97" s="108">
        <v>374.746959</v>
      </c>
      <c r="AB97" s="108">
        <v>374.746959</v>
      </c>
      <c r="AC97" s="108">
        <v>374.746959</v>
      </c>
      <c r="AD97" s="108">
        <v>374.746959</v>
      </c>
      <c r="AE97" s="108">
        <v>374.746959</v>
      </c>
      <c r="AF97" s="108">
        <v>374.746959</v>
      </c>
      <c r="AG97" s="108">
        <v>374.746959</v>
      </c>
      <c r="AH97" s="108">
        <v>374.746959</v>
      </c>
      <c r="AI97" s="108">
        <v>374.746959</v>
      </c>
      <c r="AJ97" s="108">
        <v>374.746959</v>
      </c>
      <c r="AK97" s="108">
        <v>374.746959</v>
      </c>
      <c r="AL97" s="108">
        <v>374.746959</v>
      </c>
      <c r="AM97" s="108">
        <v>374.746959</v>
      </c>
      <c r="AN97" s="108">
        <v>374.746959</v>
      </c>
      <c r="AO97" s="108">
        <v>374.746959</v>
      </c>
      <c r="AP97" s="108">
        <v>374.746959</v>
      </c>
      <c r="AQ97" s="108">
        <v>374.746959</v>
      </c>
      <c r="AR97" s="108">
        <v>374.746959</v>
      </c>
      <c r="AS97" s="108">
        <v>374.746959</v>
      </c>
      <c r="AT97" s="108">
        <v>374.746959</v>
      </c>
      <c r="AU97" s="108">
        <v>374.746959</v>
      </c>
      <c r="AV97" s="108">
        <v>374.746959</v>
      </c>
      <c r="AW97" s="108">
        <v>374.746959</v>
      </c>
      <c r="AX97" s="108">
        <v>396.06904980000002</v>
      </c>
      <c r="AY97" s="108">
        <v>396.06904980000002</v>
      </c>
    </row>
    <row r="98" spans="1:52">
      <c r="A98" s="107"/>
      <c r="B98" s="128">
        <v>4</v>
      </c>
      <c r="C98" s="104">
        <v>538.01314000000002</v>
      </c>
      <c r="D98" s="108">
        <v>538.01314000000002</v>
      </c>
      <c r="E98" s="108">
        <v>538.01314000000002</v>
      </c>
      <c r="F98" s="108">
        <v>538.01314000000002</v>
      </c>
      <c r="G98" s="108">
        <v>374.746959</v>
      </c>
      <c r="H98" s="108">
        <v>374.746959</v>
      </c>
      <c r="I98" s="108">
        <v>374.746959</v>
      </c>
      <c r="J98" s="108">
        <v>374.746959</v>
      </c>
      <c r="K98" s="108">
        <v>374.746959</v>
      </c>
      <c r="L98" s="108">
        <v>374.746959</v>
      </c>
      <c r="M98" s="108">
        <v>374.746959</v>
      </c>
      <c r="N98" s="108">
        <v>374.746959</v>
      </c>
      <c r="O98" s="108">
        <v>374.746959</v>
      </c>
      <c r="P98" s="108">
        <v>374.746959</v>
      </c>
      <c r="Q98" s="108">
        <v>374.746959</v>
      </c>
      <c r="R98" s="108">
        <v>374.746959</v>
      </c>
      <c r="S98" s="108">
        <v>321.11965800000002</v>
      </c>
      <c r="T98" s="108">
        <v>321.11965800000002</v>
      </c>
      <c r="U98" s="108">
        <v>321.11965800000002</v>
      </c>
      <c r="V98" s="108">
        <v>321.11965800000002</v>
      </c>
      <c r="W98" s="108">
        <v>321.11965800000002</v>
      </c>
      <c r="X98" s="108">
        <v>321.11965800000002</v>
      </c>
      <c r="Y98" s="108">
        <v>321.11965800000002</v>
      </c>
      <c r="Z98" s="108">
        <v>321.11965800000002</v>
      </c>
      <c r="AA98" s="108">
        <v>374.746959</v>
      </c>
      <c r="AB98" s="108">
        <v>374.746959</v>
      </c>
      <c r="AC98" s="108">
        <v>374.746959</v>
      </c>
      <c r="AD98" s="108">
        <v>374.746959</v>
      </c>
      <c r="AE98" s="108">
        <v>374.746959</v>
      </c>
      <c r="AF98" s="108">
        <v>374.746959</v>
      </c>
      <c r="AG98" s="108">
        <v>374.746959</v>
      </c>
      <c r="AH98" s="108">
        <v>374.746959</v>
      </c>
      <c r="AI98" s="108">
        <v>374.746959</v>
      </c>
      <c r="AJ98" s="108">
        <v>374.746959</v>
      </c>
      <c r="AK98" s="108">
        <v>374.746959</v>
      </c>
      <c r="AL98" s="108">
        <v>374.746959</v>
      </c>
      <c r="AM98" s="108">
        <v>374.746959</v>
      </c>
      <c r="AN98" s="108">
        <v>374.746959</v>
      </c>
      <c r="AO98" s="108">
        <v>374.746959</v>
      </c>
      <c r="AP98" s="108">
        <v>374.746959</v>
      </c>
      <c r="AQ98" s="108">
        <v>374.746959</v>
      </c>
      <c r="AR98" s="108">
        <v>374.746959</v>
      </c>
      <c r="AS98" s="108">
        <v>374.746959</v>
      </c>
      <c r="AT98" s="108">
        <v>374.746959</v>
      </c>
      <c r="AU98" s="108">
        <v>374.746959</v>
      </c>
      <c r="AV98" s="108">
        <v>374.746959</v>
      </c>
      <c r="AW98" s="108">
        <v>374.746959</v>
      </c>
      <c r="AX98" s="108">
        <v>374.746959</v>
      </c>
      <c r="AY98" s="108">
        <v>396.06904980000002</v>
      </c>
    </row>
    <row r="99" spans="1:52">
      <c r="A99" s="126"/>
      <c r="B99" s="130" t="s">
        <v>297</v>
      </c>
      <c r="C99" s="123">
        <v>172.01140000000009</v>
      </c>
      <c r="D99" s="123">
        <v>179.01314000000002</v>
      </c>
      <c r="E99" s="123">
        <v>332.01314000000002</v>
      </c>
      <c r="F99" s="123">
        <v>323.01314000000002</v>
      </c>
      <c r="G99" s="123">
        <v>394.01314000000002</v>
      </c>
      <c r="H99" s="123">
        <v>114.746959</v>
      </c>
      <c r="I99" s="123">
        <v>172.746959</v>
      </c>
      <c r="J99" s="123">
        <v>167.746959</v>
      </c>
      <c r="K99" s="123">
        <v>199.746959</v>
      </c>
      <c r="L99" s="123">
        <v>207.746959</v>
      </c>
      <c r="M99" s="123">
        <v>192.746959</v>
      </c>
      <c r="N99" s="123">
        <v>151.746959</v>
      </c>
      <c r="O99" s="123">
        <v>188.746959</v>
      </c>
      <c r="P99" s="123">
        <v>222.746959</v>
      </c>
      <c r="Q99" s="123">
        <v>142.746959</v>
      </c>
      <c r="R99" s="123">
        <v>194.746959</v>
      </c>
      <c r="S99" s="123">
        <v>176.746959</v>
      </c>
      <c r="T99" s="123">
        <v>93.119658000000015</v>
      </c>
      <c r="U99" s="123">
        <v>162.11965800000002</v>
      </c>
      <c r="V99" s="123">
        <v>68.119658000000015</v>
      </c>
      <c r="W99" s="123">
        <v>89.119658000000015</v>
      </c>
      <c r="X99" s="123">
        <v>82.119658000000015</v>
      </c>
      <c r="Y99" s="123">
        <v>107.11965800000002</v>
      </c>
      <c r="Z99" s="123">
        <v>158.11965800000002</v>
      </c>
      <c r="AA99" s="123">
        <v>63.119658000000015</v>
      </c>
      <c r="AB99" s="123">
        <v>112.746959</v>
      </c>
      <c r="AC99" s="123">
        <v>215.746959</v>
      </c>
      <c r="AD99" s="123">
        <v>187.746959</v>
      </c>
      <c r="AE99" s="123">
        <v>143.746959</v>
      </c>
      <c r="AF99" s="123">
        <v>200.746959</v>
      </c>
      <c r="AG99" s="123">
        <v>124.746959</v>
      </c>
      <c r="AH99" s="123">
        <v>137.746959</v>
      </c>
      <c r="AI99" s="123">
        <v>206.746959</v>
      </c>
      <c r="AJ99" s="123">
        <v>192.746959</v>
      </c>
      <c r="AK99" s="123">
        <v>99.746959000000004</v>
      </c>
      <c r="AL99" s="123">
        <v>200.746959</v>
      </c>
      <c r="AM99" s="123">
        <v>165.746959</v>
      </c>
      <c r="AN99" s="123">
        <v>163.746959</v>
      </c>
      <c r="AO99" s="123">
        <v>114.746959</v>
      </c>
      <c r="AP99" s="123">
        <v>137.746959</v>
      </c>
      <c r="AQ99" s="123">
        <v>141.746959</v>
      </c>
      <c r="AR99" s="123">
        <v>211.746959</v>
      </c>
      <c r="AS99" s="123">
        <v>97.746959000000004</v>
      </c>
      <c r="AT99" s="123">
        <v>164.746959</v>
      </c>
      <c r="AU99" s="123">
        <v>133.746959</v>
      </c>
      <c r="AV99" s="123">
        <v>165.746959</v>
      </c>
      <c r="AW99" s="123">
        <v>99.746959000000004</v>
      </c>
      <c r="AX99" s="123">
        <v>111.746959</v>
      </c>
      <c r="AY99" s="123">
        <v>170.746959</v>
      </c>
      <c r="AZ99" s="105">
        <f>SUM($D99:$AY99)</f>
        <v>7886.9003480000019</v>
      </c>
    </row>
    <row r="100" spans="1:52">
      <c r="A100" s="129" t="s">
        <v>133</v>
      </c>
      <c r="B100" s="117">
        <v>1</v>
      </c>
      <c r="C100" s="104">
        <v>872.99402377600006</v>
      </c>
      <c r="D100" s="104">
        <v>288.67646335325571</v>
      </c>
      <c r="E100" s="104">
        <v>121.40040065192042</v>
      </c>
      <c r="F100" s="104">
        <v>69.59985952725377</v>
      </c>
      <c r="G100" s="104">
        <v>69.59985952725377</v>
      </c>
      <c r="H100" s="104">
        <v>69.59985952725377</v>
      </c>
      <c r="I100" s="104">
        <v>17.901936522273768</v>
      </c>
      <c r="J100" s="104">
        <v>47.111599261648031</v>
      </c>
      <c r="K100" s="104">
        <v>65.524124230135357</v>
      </c>
      <c r="L100" s="104">
        <v>38.511588999388799</v>
      </c>
      <c r="M100" s="104">
        <v>38.511588999388799</v>
      </c>
      <c r="N100" s="104">
        <v>73.518148875023996</v>
      </c>
      <c r="O100" s="104">
        <v>18.050011060701777</v>
      </c>
      <c r="P100" s="104">
        <v>14.185981665648001</v>
      </c>
      <c r="Q100" s="104">
        <v>18.050011060701777</v>
      </c>
      <c r="R100" s="104">
        <v>65.222191583812943</v>
      </c>
      <c r="S100" s="104">
        <v>65.222191583812943</v>
      </c>
      <c r="T100" s="104">
        <v>65.222191583812943</v>
      </c>
      <c r="U100" s="104">
        <v>11.527008320952138</v>
      </c>
      <c r="V100" s="104">
        <v>77.993011549102562</v>
      </c>
      <c r="W100" s="104">
        <v>11.691011549102544</v>
      </c>
      <c r="X100" s="104">
        <v>77.993011549102562</v>
      </c>
      <c r="Y100" s="104">
        <v>62.206772262249601</v>
      </c>
      <c r="Z100" s="104">
        <v>73.518148875023996</v>
      </c>
      <c r="AA100" s="104">
        <v>73.518148875023996</v>
      </c>
      <c r="AB100" s="104">
        <v>18.050011060701777</v>
      </c>
      <c r="AC100" s="104">
        <v>84.352011060701784</v>
      </c>
      <c r="AD100" s="104">
        <v>69.627193398612164</v>
      </c>
      <c r="AE100" s="104">
        <v>65.883904670627999</v>
      </c>
      <c r="AF100" s="104">
        <v>17.929270393632169</v>
      </c>
      <c r="AG100" s="104">
        <v>60.001384117089685</v>
      </c>
      <c r="AH100" s="104">
        <v>77.409512141436167</v>
      </c>
      <c r="AI100" s="104">
        <v>73.518148875023996</v>
      </c>
      <c r="AJ100" s="104">
        <v>77.409512141436167</v>
      </c>
      <c r="AK100" s="104">
        <v>44.185981665648001</v>
      </c>
      <c r="AL100" s="104">
        <v>59.378928109055998</v>
      </c>
      <c r="AM100" s="104">
        <v>62.586944591508143</v>
      </c>
      <c r="AN100" s="104">
        <v>37.092990832824</v>
      </c>
      <c r="AO100" s="104">
        <v>59.378928109055998</v>
      </c>
      <c r="AP100" s="104">
        <v>74.444998631450574</v>
      </c>
      <c r="AQ100" s="104">
        <v>74.444998631450574</v>
      </c>
      <c r="AR100" s="104">
        <v>74.444998631450574</v>
      </c>
      <c r="AS100" s="104">
        <v>70.690304721830401</v>
      </c>
      <c r="AT100" s="104">
        <v>67.862460568636806</v>
      </c>
      <c r="AU100" s="104">
        <v>67.862460568636806</v>
      </c>
      <c r="AV100" s="104">
        <v>77.093368568637231</v>
      </c>
      <c r="AW100" s="104">
        <v>71.67182222097378</v>
      </c>
      <c r="AX100" s="104">
        <v>64.246905710186553</v>
      </c>
      <c r="AY100" s="104">
        <v>53.699634540453602</v>
      </c>
    </row>
    <row r="101" spans="1:52">
      <c r="A101" s="107"/>
      <c r="B101" s="117">
        <v>2</v>
      </c>
      <c r="C101" s="104">
        <v>872.99402377599995</v>
      </c>
      <c r="D101" s="104">
        <v>872.99402377600006</v>
      </c>
      <c r="E101" s="104">
        <v>719.90855377599996</v>
      </c>
      <c r="F101" s="104">
        <v>121.40040065192042</v>
      </c>
      <c r="G101" s="104">
        <v>69.59985952725377</v>
      </c>
      <c r="H101" s="104">
        <v>69.59985952725377</v>
      </c>
      <c r="I101" s="104">
        <v>69.59985952725377</v>
      </c>
      <c r="J101" s="104">
        <v>69.59985952725377</v>
      </c>
      <c r="K101" s="104">
        <v>47.111599261648031</v>
      </c>
      <c r="L101" s="104">
        <v>65.524124230135357</v>
      </c>
      <c r="M101" s="104">
        <v>62.206772262249601</v>
      </c>
      <c r="N101" s="104">
        <v>62.206772262249601</v>
      </c>
      <c r="O101" s="104">
        <v>77.382178270077773</v>
      </c>
      <c r="P101" s="104">
        <v>59.33216720937601</v>
      </c>
      <c r="Q101" s="104">
        <v>63.196196604429787</v>
      </c>
      <c r="R101" s="104">
        <v>0</v>
      </c>
      <c r="S101" s="104">
        <v>0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3.1794225497137489</v>
      </c>
      <c r="AA101" s="104">
        <v>3.8640293950537767</v>
      </c>
      <c r="AB101" s="104">
        <v>3.8640293950537767</v>
      </c>
      <c r="AC101" s="104">
        <v>0</v>
      </c>
      <c r="AD101" s="104">
        <v>0</v>
      </c>
      <c r="AE101" s="104">
        <v>0</v>
      </c>
      <c r="AF101" s="104">
        <v>0</v>
      </c>
      <c r="AG101" s="104">
        <v>51.697923004980012</v>
      </c>
      <c r="AH101" s="104">
        <v>0</v>
      </c>
      <c r="AI101" s="104">
        <v>0</v>
      </c>
      <c r="AJ101" s="104">
        <v>3.8913632664121707</v>
      </c>
      <c r="AK101" s="104">
        <v>0</v>
      </c>
      <c r="AL101" s="104">
        <v>33.223530475788181</v>
      </c>
      <c r="AM101" s="104">
        <v>0</v>
      </c>
      <c r="AN101" s="104">
        <v>0</v>
      </c>
      <c r="AO101" s="104">
        <v>25.493953758684142</v>
      </c>
      <c r="AP101" s="104">
        <v>0</v>
      </c>
      <c r="AQ101" s="104">
        <v>0</v>
      </c>
      <c r="AR101" s="104">
        <v>0</v>
      </c>
      <c r="AS101" s="104">
        <v>0</v>
      </c>
      <c r="AT101" s="104">
        <v>3.7546939096201726</v>
      </c>
      <c r="AU101" s="104">
        <v>0</v>
      </c>
      <c r="AV101" s="104">
        <v>0</v>
      </c>
      <c r="AW101" s="104">
        <v>0</v>
      </c>
      <c r="AX101" s="104">
        <v>0</v>
      </c>
      <c r="AY101" s="104">
        <v>0</v>
      </c>
    </row>
    <row r="102" spans="1:52">
      <c r="A102" s="107"/>
      <c r="B102" s="118">
        <v>3</v>
      </c>
      <c r="C102" s="104">
        <v>883.14699016000009</v>
      </c>
      <c r="D102" s="104">
        <v>872.99402377599995</v>
      </c>
      <c r="E102" s="104">
        <v>872.99402377600006</v>
      </c>
      <c r="F102" s="104">
        <v>872.99402377599995</v>
      </c>
      <c r="G102" s="104">
        <v>121.40040065192042</v>
      </c>
      <c r="H102" s="104">
        <v>69.59985952725377</v>
      </c>
      <c r="I102" s="104">
        <v>69.59985952725377</v>
      </c>
      <c r="J102" s="104">
        <v>69.59985952725377</v>
      </c>
      <c r="K102" s="104">
        <v>69.59985952725377</v>
      </c>
      <c r="L102" s="104">
        <v>47.111599261648031</v>
      </c>
      <c r="M102" s="104">
        <v>65.524124230135357</v>
      </c>
      <c r="N102" s="104">
        <v>62.206772262249601</v>
      </c>
      <c r="O102" s="104">
        <v>38.48381071298958</v>
      </c>
      <c r="P102" s="104">
        <v>0</v>
      </c>
      <c r="Q102" s="104">
        <v>0</v>
      </c>
      <c r="R102" s="104">
        <v>0</v>
      </c>
      <c r="S102" s="104">
        <v>59.332167209376003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3.7432887279841696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3.2080164824521455</v>
      </c>
      <c r="AO102" s="104">
        <v>0</v>
      </c>
      <c r="AP102" s="104">
        <v>0</v>
      </c>
      <c r="AQ102" s="104">
        <v>3.2080164824521455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883.15087000000017</v>
      </c>
      <c r="D103" s="104">
        <v>883.14699016000009</v>
      </c>
      <c r="E103" s="104">
        <v>872.99402377599995</v>
      </c>
      <c r="F103" s="104">
        <v>872.99402377600006</v>
      </c>
      <c r="G103" s="104">
        <v>872.99402377599995</v>
      </c>
      <c r="H103" s="104">
        <v>121.40040065192042</v>
      </c>
      <c r="I103" s="104">
        <v>69.59985952725377</v>
      </c>
      <c r="J103" s="104">
        <v>69.59985952725377</v>
      </c>
      <c r="K103" s="104">
        <v>69.59985952725377</v>
      </c>
      <c r="L103" s="104">
        <v>69.59985952725377</v>
      </c>
      <c r="M103" s="104">
        <v>47.111599261648031</v>
      </c>
      <c r="N103" s="104">
        <v>65.524124230135357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374.94847000000004</v>
      </c>
      <c r="D104" s="104">
        <v>883.15087000000017</v>
      </c>
      <c r="E104" s="104">
        <v>883.14699016000009</v>
      </c>
      <c r="F104" s="104">
        <v>872.99402377599995</v>
      </c>
      <c r="G104" s="104">
        <v>872.99402377600006</v>
      </c>
      <c r="H104" s="104">
        <v>872.99402377599995</v>
      </c>
      <c r="I104" s="104">
        <v>121.40040065192042</v>
      </c>
      <c r="J104" s="104">
        <v>69.59985952725377</v>
      </c>
      <c r="K104" s="104">
        <v>69.59985952725377</v>
      </c>
      <c r="L104" s="104">
        <v>69.59985952725377</v>
      </c>
      <c r="M104" s="104">
        <v>69.59985952725377</v>
      </c>
      <c r="N104" s="104">
        <v>31.911438022583532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374.94847000000004</v>
      </c>
      <c r="D105" s="104">
        <v>374.94847000000004</v>
      </c>
      <c r="E105" s="104">
        <v>883.15087000000017</v>
      </c>
      <c r="F105" s="104">
        <v>883.14699016000009</v>
      </c>
      <c r="G105" s="104">
        <v>872.99402377599995</v>
      </c>
      <c r="H105" s="104">
        <v>872.99402377600006</v>
      </c>
      <c r="I105" s="104">
        <v>872.99402377599995</v>
      </c>
      <c r="J105" s="104">
        <v>121.40040065192042</v>
      </c>
      <c r="K105" s="104">
        <v>69.59985952725377</v>
      </c>
      <c r="L105" s="104">
        <v>69.59985952725377</v>
      </c>
      <c r="M105" s="104">
        <v>69.59985952725377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374.94847000000004</v>
      </c>
      <c r="D106" s="104">
        <v>374.94847000000004</v>
      </c>
      <c r="E106" s="104">
        <v>374.94847000000004</v>
      </c>
      <c r="F106" s="104">
        <v>883.15087000000017</v>
      </c>
      <c r="G106" s="104">
        <v>883.14699016000009</v>
      </c>
      <c r="H106" s="104">
        <v>872.99402377599995</v>
      </c>
      <c r="I106" s="104">
        <v>872.99402377600006</v>
      </c>
      <c r="J106" s="104">
        <v>872.99402377599995</v>
      </c>
      <c r="K106" s="104">
        <v>121.40040065192042</v>
      </c>
      <c r="L106" s="104">
        <v>69.59985952725377</v>
      </c>
      <c r="M106" s="104">
        <v>58.600119706427961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862.81354734400009</v>
      </c>
      <c r="D107" s="104">
        <v>374.94847000000004</v>
      </c>
      <c r="E107" s="104">
        <v>374.94847000000004</v>
      </c>
      <c r="F107" s="104">
        <v>374.94847000000004</v>
      </c>
      <c r="G107" s="104">
        <v>883.15087000000017</v>
      </c>
      <c r="H107" s="104">
        <v>883.14699016000009</v>
      </c>
      <c r="I107" s="104">
        <v>872.99402377599995</v>
      </c>
      <c r="J107" s="104">
        <v>872.99402377600006</v>
      </c>
      <c r="K107" s="104">
        <v>872.99402377599995</v>
      </c>
      <c r="L107" s="104">
        <v>121.40040065192042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536.00788403963884</v>
      </c>
      <c r="D108" s="123">
        <v>398.81354734400009</v>
      </c>
      <c r="E108" s="123">
        <v>100.94847000000004</v>
      </c>
      <c r="F108" s="123">
        <v>105.94847000000004</v>
      </c>
      <c r="G108" s="123">
        <v>148.94847000000004</v>
      </c>
      <c r="H108" s="123">
        <v>663.15087000000017</v>
      </c>
      <c r="I108" s="123">
        <v>694.14699016000009</v>
      </c>
      <c r="J108" s="123">
        <v>678.99402377599995</v>
      </c>
      <c r="K108" s="123">
        <v>588.99402377600006</v>
      </c>
      <c r="L108" s="123">
        <v>663.99402377599995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4043.9388888320009</v>
      </c>
    </row>
    <row r="109" spans="1:52">
      <c r="A109" s="129" t="s">
        <v>134</v>
      </c>
      <c r="B109" s="117">
        <v>1</v>
      </c>
      <c r="C109" s="104">
        <v>1257.9076455099996</v>
      </c>
      <c r="D109" s="104">
        <v>1342.8879984682312</v>
      </c>
      <c r="E109" s="104">
        <v>506.94378892752866</v>
      </c>
      <c r="F109" s="104">
        <v>493.82500004307366</v>
      </c>
      <c r="G109" s="104">
        <v>248.31820509212881</v>
      </c>
      <c r="H109" s="104">
        <v>34.320973439495887</v>
      </c>
      <c r="I109" s="104">
        <v>15.170876838541671</v>
      </c>
      <c r="J109" s="104">
        <v>15.170876838541671</v>
      </c>
      <c r="K109" s="104">
        <v>15.170876838541671</v>
      </c>
      <c r="L109" s="104">
        <v>15.170876838541671</v>
      </c>
      <c r="M109" s="104">
        <v>15.170876838541671</v>
      </c>
      <c r="N109" s="104">
        <v>15.170876838541671</v>
      </c>
      <c r="O109" s="104">
        <v>15.170876838541671</v>
      </c>
      <c r="P109" s="104">
        <v>15.170876838541671</v>
      </c>
      <c r="Q109" s="104">
        <v>15.170876838541671</v>
      </c>
      <c r="R109" s="104">
        <v>15.170876838541671</v>
      </c>
      <c r="S109" s="104">
        <v>15.170876838541671</v>
      </c>
      <c r="T109" s="104">
        <v>15.170876838541671</v>
      </c>
      <c r="U109" s="104">
        <v>15.170876838541671</v>
      </c>
      <c r="V109" s="104">
        <v>15.170876838541671</v>
      </c>
      <c r="W109" s="104">
        <v>15.170876838541671</v>
      </c>
      <c r="X109" s="104">
        <v>15.170876838541671</v>
      </c>
      <c r="Y109" s="104">
        <v>15.170876838541671</v>
      </c>
      <c r="Z109" s="104">
        <v>15.170876838541671</v>
      </c>
      <c r="AA109" s="104">
        <v>15.170876838541671</v>
      </c>
      <c r="AB109" s="104">
        <v>15.170876838541671</v>
      </c>
      <c r="AC109" s="104">
        <v>15.170876838541671</v>
      </c>
      <c r="AD109" s="104">
        <v>15.170876838541671</v>
      </c>
      <c r="AE109" s="104">
        <v>15.170876838541671</v>
      </c>
      <c r="AF109" s="104">
        <v>15.170876838541671</v>
      </c>
      <c r="AG109" s="104">
        <v>15.170876838541671</v>
      </c>
      <c r="AH109" s="104">
        <v>15.170876838541671</v>
      </c>
      <c r="AI109" s="104">
        <v>15.170876838541671</v>
      </c>
      <c r="AJ109" s="104">
        <v>15.170876838541671</v>
      </c>
      <c r="AK109" s="104">
        <v>15.170876838541671</v>
      </c>
      <c r="AL109" s="104">
        <v>15.170876838541671</v>
      </c>
      <c r="AM109" s="104">
        <v>15.170876838541671</v>
      </c>
      <c r="AN109" s="104">
        <v>15.170876838541671</v>
      </c>
      <c r="AO109" s="104">
        <v>15.170876838541671</v>
      </c>
      <c r="AP109" s="104">
        <v>15.170876838541671</v>
      </c>
      <c r="AQ109" s="104">
        <v>15.170876838541671</v>
      </c>
      <c r="AR109" s="104">
        <v>15.170876838541671</v>
      </c>
      <c r="AS109" s="104">
        <v>15.170876838541671</v>
      </c>
      <c r="AT109" s="104">
        <v>15.170876838541671</v>
      </c>
      <c r="AU109" s="104">
        <v>15.170876838541671</v>
      </c>
      <c r="AV109" s="104">
        <v>15.170876838541671</v>
      </c>
      <c r="AW109" s="104">
        <v>15.170876838541671</v>
      </c>
      <c r="AX109" s="104">
        <v>15.170876838541671</v>
      </c>
      <c r="AY109" s="104">
        <v>15.170876838541671</v>
      </c>
    </row>
    <row r="110" spans="1:52">
      <c r="A110" s="107"/>
      <c r="B110" s="117">
        <v>2</v>
      </c>
      <c r="C110" s="104">
        <v>783.56612521901229</v>
      </c>
      <c r="D110" s="104">
        <v>1257.9076455099996</v>
      </c>
      <c r="E110" s="104">
        <v>1342.8879984682312</v>
      </c>
      <c r="F110" s="104">
        <v>506.94378892752866</v>
      </c>
      <c r="G110" s="104">
        <v>493.82500004307366</v>
      </c>
      <c r="H110" s="104">
        <v>248.31820509212881</v>
      </c>
      <c r="I110" s="104">
        <v>34.320973439495887</v>
      </c>
      <c r="J110" s="104">
        <v>15.170876838541671</v>
      </c>
      <c r="K110" s="104">
        <v>15.170876838541671</v>
      </c>
      <c r="L110" s="104">
        <v>15.170876838541671</v>
      </c>
      <c r="M110" s="104">
        <v>15.170876838541671</v>
      </c>
      <c r="N110" s="104">
        <v>15.170876838541671</v>
      </c>
      <c r="O110" s="104">
        <v>15.170876838541671</v>
      </c>
      <c r="P110" s="104">
        <v>15.170876838541671</v>
      </c>
      <c r="Q110" s="104">
        <v>15.170876838541671</v>
      </c>
      <c r="R110" s="104">
        <v>15.170876838541671</v>
      </c>
      <c r="S110" s="104">
        <v>15.170876838541671</v>
      </c>
      <c r="T110" s="104">
        <v>15.170876838541671</v>
      </c>
      <c r="U110" s="104">
        <v>1.0658141036401503E-14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417.91822421697412</v>
      </c>
      <c r="D111" s="104">
        <v>783.56612521901229</v>
      </c>
      <c r="E111" s="104">
        <v>1257.9076455099996</v>
      </c>
      <c r="F111" s="104">
        <v>1342.8879984682312</v>
      </c>
      <c r="G111" s="104">
        <v>506.94378892752866</v>
      </c>
      <c r="H111" s="104">
        <v>493.82500004307366</v>
      </c>
      <c r="I111" s="104">
        <v>248.31820509212881</v>
      </c>
      <c r="J111" s="104">
        <v>34.320973439495887</v>
      </c>
      <c r="K111" s="104">
        <v>15.170876838541671</v>
      </c>
      <c r="L111" s="104">
        <v>15.170876838541671</v>
      </c>
      <c r="M111" s="104">
        <v>15.170876838541671</v>
      </c>
      <c r="N111" s="104">
        <v>15.170876838541671</v>
      </c>
      <c r="O111" s="104">
        <v>15.170876838541671</v>
      </c>
      <c r="P111" s="104">
        <v>15.170876838541671</v>
      </c>
      <c r="Q111" s="104">
        <v>15.170876838541671</v>
      </c>
      <c r="R111" s="104">
        <v>15.170876838541671</v>
      </c>
      <c r="S111" s="104">
        <v>15.170876838541671</v>
      </c>
      <c r="T111" s="104">
        <v>15.170876838541671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287.11341435182112</v>
      </c>
      <c r="D112" s="104">
        <v>417.91822421697412</v>
      </c>
      <c r="E112" s="104">
        <v>783.56612521901229</v>
      </c>
      <c r="F112" s="104">
        <v>1257.9076455099996</v>
      </c>
      <c r="G112" s="104">
        <v>1342.8879984682312</v>
      </c>
      <c r="H112" s="104">
        <v>506.94378892752866</v>
      </c>
      <c r="I112" s="104">
        <v>493.82500004307366</v>
      </c>
      <c r="J112" s="104">
        <v>248.31820509212881</v>
      </c>
      <c r="K112" s="104">
        <v>34.320973439495887</v>
      </c>
      <c r="L112" s="104">
        <v>15.170876838541671</v>
      </c>
      <c r="M112" s="104">
        <v>15.170876838541671</v>
      </c>
      <c r="N112" s="104">
        <v>15.170876838541671</v>
      </c>
      <c r="O112" s="104">
        <v>15.170876838541671</v>
      </c>
      <c r="P112" s="104">
        <v>15.170876838541671</v>
      </c>
      <c r="Q112" s="104">
        <v>15.170876838541671</v>
      </c>
      <c r="R112" s="104">
        <v>15.170876838541671</v>
      </c>
      <c r="S112" s="104">
        <v>15.170876838541671</v>
      </c>
      <c r="T112" s="104">
        <v>15.170876838541671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626.76163559698682</v>
      </c>
      <c r="D113" s="104">
        <v>287.11341435182112</v>
      </c>
      <c r="E113" s="104">
        <v>417.91822421697412</v>
      </c>
      <c r="F113" s="104">
        <v>783.56612521901229</v>
      </c>
      <c r="G113" s="104">
        <v>1257.9076455099996</v>
      </c>
      <c r="H113" s="104">
        <v>1342.8879984682312</v>
      </c>
      <c r="I113" s="104">
        <v>506.94378892752866</v>
      </c>
      <c r="J113" s="104">
        <v>493.82500004307366</v>
      </c>
      <c r="K113" s="104">
        <v>248.31820509212881</v>
      </c>
      <c r="L113" s="104">
        <v>34.320973439495887</v>
      </c>
      <c r="M113" s="104">
        <v>15.170876838541671</v>
      </c>
      <c r="N113" s="104">
        <v>15.170876838541671</v>
      </c>
      <c r="O113" s="104">
        <v>15.170876838541671</v>
      </c>
      <c r="P113" s="104">
        <v>15.170876838541671</v>
      </c>
      <c r="Q113" s="104">
        <v>15.170876838541671</v>
      </c>
      <c r="R113" s="104">
        <v>15.170876838541671</v>
      </c>
      <c r="S113" s="104">
        <v>15.170876838541671</v>
      </c>
      <c r="T113" s="104">
        <v>15.170876838541671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874.06783339686865</v>
      </c>
      <c r="D114" s="104">
        <v>626.76163559698682</v>
      </c>
      <c r="E114" s="104">
        <v>287.11341435182112</v>
      </c>
      <c r="F114" s="104">
        <v>417.91822421697412</v>
      </c>
      <c r="G114" s="104">
        <v>783.56612521901229</v>
      </c>
      <c r="H114" s="104">
        <v>1257.9076455099996</v>
      </c>
      <c r="I114" s="104">
        <v>1342.8879984682312</v>
      </c>
      <c r="J114" s="104">
        <v>506.94378892752866</v>
      </c>
      <c r="K114" s="104">
        <v>493.82500004307366</v>
      </c>
      <c r="L114" s="104">
        <v>248.31820509212881</v>
      </c>
      <c r="M114" s="104">
        <v>34.320973439495887</v>
      </c>
      <c r="N114" s="104">
        <v>15.170876838541671</v>
      </c>
      <c r="O114" s="104">
        <v>15.170876838541671</v>
      </c>
      <c r="P114" s="104">
        <v>15.170876838541671</v>
      </c>
      <c r="Q114" s="104">
        <v>15.170876838541671</v>
      </c>
      <c r="R114" s="104">
        <v>15.170876838541671</v>
      </c>
      <c r="S114" s="104">
        <v>15.170876838541671</v>
      </c>
      <c r="T114" s="104">
        <v>15.170876838541671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928.65423951597711</v>
      </c>
      <c r="D115" s="104">
        <v>874.06783339686865</v>
      </c>
      <c r="E115" s="104">
        <v>626.76163559698682</v>
      </c>
      <c r="F115" s="104">
        <v>287.11341435182112</v>
      </c>
      <c r="G115" s="104">
        <v>417.91822421697412</v>
      </c>
      <c r="H115" s="104">
        <v>783.56612521901229</v>
      </c>
      <c r="I115" s="104">
        <v>1257.9076455099996</v>
      </c>
      <c r="J115" s="104">
        <v>1342.8879984682312</v>
      </c>
      <c r="K115" s="104">
        <v>506.94378892752866</v>
      </c>
      <c r="L115" s="104">
        <v>493.82500004307366</v>
      </c>
      <c r="M115" s="104">
        <v>248.31820509212881</v>
      </c>
      <c r="N115" s="104">
        <v>34.320973439495887</v>
      </c>
      <c r="O115" s="104">
        <v>15.170876838541671</v>
      </c>
      <c r="P115" s="104">
        <v>15.170876838541671</v>
      </c>
      <c r="Q115" s="104">
        <v>15.170876838541671</v>
      </c>
      <c r="R115" s="104">
        <v>15.170876838541671</v>
      </c>
      <c r="S115" s="104">
        <v>15.170876838541671</v>
      </c>
      <c r="T115" s="104">
        <v>2.5002580057387966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637.80806206468776</v>
      </c>
      <c r="D116" s="104">
        <v>928.65423951597711</v>
      </c>
      <c r="E116" s="104">
        <v>874.06783339686865</v>
      </c>
      <c r="F116" s="104">
        <v>626.76163559698682</v>
      </c>
      <c r="G116" s="104">
        <v>287.11341435182112</v>
      </c>
      <c r="H116" s="104">
        <v>417.91822421697412</v>
      </c>
      <c r="I116" s="104">
        <v>783.56612521901229</v>
      </c>
      <c r="J116" s="104">
        <v>1257.9076455099996</v>
      </c>
      <c r="K116" s="104">
        <v>1342.8879984682312</v>
      </c>
      <c r="L116" s="104">
        <v>506.94378892752866</v>
      </c>
      <c r="M116" s="104">
        <v>493.82500004307366</v>
      </c>
      <c r="N116" s="104">
        <v>248.31820509212881</v>
      </c>
      <c r="O116" s="104">
        <v>34.320973439495887</v>
      </c>
      <c r="P116" s="104">
        <v>15.170876838541671</v>
      </c>
      <c r="Q116" s="104">
        <v>15.170876838541671</v>
      </c>
      <c r="R116" s="104">
        <v>15.170876838541671</v>
      </c>
      <c r="S116" s="104">
        <v>15.170876838541671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625.84739754266718</v>
      </c>
      <c r="D117" s="104">
        <v>637.80806206468776</v>
      </c>
      <c r="E117" s="104">
        <v>928.65423951597711</v>
      </c>
      <c r="F117" s="104">
        <v>874.06783339686865</v>
      </c>
      <c r="G117" s="104">
        <v>626.76163559698682</v>
      </c>
      <c r="H117" s="104">
        <v>287.11341435182112</v>
      </c>
      <c r="I117" s="104">
        <v>417.91822421697412</v>
      </c>
      <c r="J117" s="104">
        <v>783.56612521901229</v>
      </c>
      <c r="K117" s="104">
        <v>1257.9076455099996</v>
      </c>
      <c r="L117" s="104">
        <v>1342.8879984682312</v>
      </c>
      <c r="M117" s="104">
        <v>506.94378892752866</v>
      </c>
      <c r="N117" s="104">
        <v>493.82500004307366</v>
      </c>
      <c r="O117" s="104">
        <v>248.31820509212881</v>
      </c>
      <c r="P117" s="104">
        <v>34.320973439495887</v>
      </c>
      <c r="Q117" s="104">
        <v>15.170876838541671</v>
      </c>
      <c r="R117" s="104">
        <v>15.170876838541671</v>
      </c>
      <c r="S117" s="104">
        <v>15.170876838541671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1102.8417705306008</v>
      </c>
      <c r="D118" s="104">
        <v>625.84739754266718</v>
      </c>
      <c r="E118" s="104">
        <v>637.80806206468776</v>
      </c>
      <c r="F118" s="104">
        <v>928.65423951597711</v>
      </c>
      <c r="G118" s="104">
        <v>874.06783339686865</v>
      </c>
      <c r="H118" s="104">
        <v>626.76163559698682</v>
      </c>
      <c r="I118" s="104">
        <v>287.11341435182112</v>
      </c>
      <c r="J118" s="104">
        <v>417.91822421697412</v>
      </c>
      <c r="K118" s="104">
        <v>783.56612521901229</v>
      </c>
      <c r="L118" s="104">
        <v>1257.9076455099996</v>
      </c>
      <c r="M118" s="104">
        <v>1342.8879984682312</v>
      </c>
      <c r="N118" s="104">
        <v>506.94378892752866</v>
      </c>
      <c r="O118" s="104">
        <v>493.82500004307366</v>
      </c>
      <c r="P118" s="104">
        <v>248.31820509212881</v>
      </c>
      <c r="Q118" s="104">
        <v>34.320973439495887</v>
      </c>
      <c r="R118" s="104">
        <v>15.170876838541671</v>
      </c>
      <c r="S118" s="104">
        <v>15.170876838541671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834.60563714330715</v>
      </c>
      <c r="D119" s="104">
        <v>1102.8417705306008</v>
      </c>
      <c r="E119" s="104">
        <v>625.84739754266718</v>
      </c>
      <c r="F119" s="104">
        <v>637.80806206468776</v>
      </c>
      <c r="G119" s="104">
        <v>928.65423951597711</v>
      </c>
      <c r="H119" s="104">
        <v>874.06783339686865</v>
      </c>
      <c r="I119" s="104">
        <v>626.76163559698682</v>
      </c>
      <c r="J119" s="104">
        <v>287.11341435182112</v>
      </c>
      <c r="K119" s="104">
        <v>417.91822421697412</v>
      </c>
      <c r="L119" s="104">
        <v>783.56612521901229</v>
      </c>
      <c r="M119" s="104">
        <v>1257.9076455099996</v>
      </c>
      <c r="N119" s="104">
        <v>1342.8879984682312</v>
      </c>
      <c r="O119" s="104">
        <v>506.94378892752866</v>
      </c>
      <c r="P119" s="104">
        <v>493.82500004307366</v>
      </c>
      <c r="Q119" s="104">
        <v>248.31820509212881</v>
      </c>
      <c r="R119" s="104">
        <v>34.320973439495887</v>
      </c>
      <c r="S119" s="104">
        <v>15.170876838541671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938.53815322221556</v>
      </c>
      <c r="D120" s="104">
        <v>834.60563714330715</v>
      </c>
      <c r="E120" s="104">
        <v>1102.8417705306008</v>
      </c>
      <c r="F120" s="104">
        <v>625.84739754266718</v>
      </c>
      <c r="G120" s="104">
        <v>637.80806206468776</v>
      </c>
      <c r="H120" s="104">
        <v>928.65423951597711</v>
      </c>
      <c r="I120" s="104">
        <v>874.06783339686865</v>
      </c>
      <c r="J120" s="104">
        <v>626.76163559698682</v>
      </c>
      <c r="K120" s="104">
        <v>287.11341435182112</v>
      </c>
      <c r="L120" s="104">
        <v>417.91822421697412</v>
      </c>
      <c r="M120" s="104">
        <v>783.56612521901229</v>
      </c>
      <c r="N120" s="104">
        <v>1257.9076455099996</v>
      </c>
      <c r="O120" s="104">
        <v>1342.8879984682312</v>
      </c>
      <c r="P120" s="104">
        <v>506.94378892752866</v>
      </c>
      <c r="Q120" s="104">
        <v>493.82500004307366</v>
      </c>
      <c r="R120" s="104">
        <v>248.31820509212881</v>
      </c>
      <c r="S120" s="104">
        <v>34.320973439495887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283.24256581576822</v>
      </c>
      <c r="D121" s="123">
        <v>727.53815322221556</v>
      </c>
      <c r="E121" s="123">
        <v>741.60563714330715</v>
      </c>
      <c r="F121" s="123">
        <v>1011.8417705306008</v>
      </c>
      <c r="G121" s="123">
        <v>526.84739754266718</v>
      </c>
      <c r="H121" s="123">
        <v>547.80806206468776</v>
      </c>
      <c r="I121" s="123">
        <v>824.65423951597711</v>
      </c>
      <c r="J121" s="123">
        <v>786.06783339686865</v>
      </c>
      <c r="K121" s="123">
        <v>528.76163559698682</v>
      </c>
      <c r="L121" s="123">
        <v>154.11341435182112</v>
      </c>
      <c r="M121" s="123">
        <v>299.91822421697412</v>
      </c>
      <c r="N121" s="123">
        <v>667.56612521901229</v>
      </c>
      <c r="O121" s="123">
        <v>1124.9076455099996</v>
      </c>
      <c r="P121" s="123">
        <v>1225.4512052942887</v>
      </c>
      <c r="Q121" s="123">
        <v>393.12073063009149</v>
      </c>
      <c r="R121" s="123">
        <v>392.30921911009244</v>
      </c>
      <c r="S121" s="123">
        <v>131.69209851747024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10084.203391863062</v>
      </c>
    </row>
    <row r="122" spans="1:52">
      <c r="A122" s="129" t="s">
        <v>123</v>
      </c>
      <c r="B122" s="117">
        <v>1</v>
      </c>
      <c r="C122" s="104">
        <v>1090.146382618</v>
      </c>
      <c r="D122" s="104">
        <v>382.79332831341088</v>
      </c>
      <c r="E122" s="104">
        <v>21.469791666666673</v>
      </c>
      <c r="F122" s="104">
        <v>21.469791666666673</v>
      </c>
      <c r="G122" s="104">
        <v>21.469791666666673</v>
      </c>
      <c r="H122" s="104">
        <v>21.469791666666673</v>
      </c>
      <c r="I122" s="104">
        <v>21.469791666666673</v>
      </c>
      <c r="J122" s="104">
        <v>21.469791666666673</v>
      </c>
      <c r="K122" s="104">
        <v>21.469791666666673</v>
      </c>
      <c r="L122" s="104">
        <v>21.469791666666673</v>
      </c>
      <c r="M122" s="104">
        <v>21.469791666666673</v>
      </c>
      <c r="N122" s="104">
        <v>21.469791666666673</v>
      </c>
      <c r="O122" s="104">
        <v>21.469791666666673</v>
      </c>
      <c r="P122" s="104">
        <v>21.469791666666673</v>
      </c>
      <c r="Q122" s="104">
        <v>21.469791666666673</v>
      </c>
      <c r="R122" s="104">
        <v>21.469791666666673</v>
      </c>
      <c r="S122" s="104">
        <v>21.469791666666673</v>
      </c>
      <c r="T122" s="104">
        <v>21.469791666666673</v>
      </c>
      <c r="U122" s="104">
        <v>21.469791666666673</v>
      </c>
      <c r="V122" s="104">
        <v>21.469791666666673</v>
      </c>
      <c r="W122" s="104">
        <v>21.469791666666673</v>
      </c>
      <c r="X122" s="104">
        <v>21.469791666666673</v>
      </c>
      <c r="Y122" s="104">
        <v>21.469791666666673</v>
      </c>
      <c r="Z122" s="104">
        <v>21.469791666666673</v>
      </c>
      <c r="AA122" s="104">
        <v>21.469791666666673</v>
      </c>
      <c r="AB122" s="104">
        <v>21.469791666666673</v>
      </c>
      <c r="AC122" s="104">
        <v>21.469791666666673</v>
      </c>
      <c r="AD122" s="104">
        <v>21.469791666666673</v>
      </c>
      <c r="AE122" s="104">
        <v>21.469791666666673</v>
      </c>
      <c r="AF122" s="104">
        <v>21.469791666666673</v>
      </c>
      <c r="AG122" s="104">
        <v>21.469791666666673</v>
      </c>
      <c r="AH122" s="104">
        <v>21.469791666666673</v>
      </c>
      <c r="AI122" s="104">
        <v>21.469791666666673</v>
      </c>
      <c r="AJ122" s="104">
        <v>21.469791666666673</v>
      </c>
      <c r="AK122" s="104">
        <v>21.469791666666673</v>
      </c>
      <c r="AL122" s="104">
        <v>21.469791666666673</v>
      </c>
      <c r="AM122" s="104">
        <v>21.469791666666673</v>
      </c>
      <c r="AN122" s="104">
        <v>21.469791666666673</v>
      </c>
      <c r="AO122" s="104">
        <v>21.469791666666673</v>
      </c>
      <c r="AP122" s="104">
        <v>21.469791666666673</v>
      </c>
      <c r="AQ122" s="104">
        <v>21.469791666666673</v>
      </c>
      <c r="AR122" s="104">
        <v>21.469791666666673</v>
      </c>
      <c r="AS122" s="104">
        <v>21.469791666666673</v>
      </c>
      <c r="AT122" s="104">
        <v>21.469791666666673</v>
      </c>
      <c r="AU122" s="104">
        <v>21.469791666666673</v>
      </c>
      <c r="AV122" s="104">
        <v>21.469791666666673</v>
      </c>
      <c r="AW122" s="104">
        <v>21.469791666666673</v>
      </c>
      <c r="AX122" s="104">
        <v>21.469791666666673</v>
      </c>
      <c r="AY122" s="104">
        <v>21.469791666666673</v>
      </c>
    </row>
    <row r="123" spans="1:52">
      <c r="A123" s="107"/>
      <c r="B123" s="117">
        <v>2</v>
      </c>
      <c r="C123" s="104">
        <v>421.7002025367367</v>
      </c>
      <c r="D123" s="104">
        <v>278.88124760133667</v>
      </c>
      <c r="E123" s="104">
        <v>649.21413659848599</v>
      </c>
      <c r="F123" s="104">
        <v>6.2989148281250023</v>
      </c>
      <c r="G123" s="104">
        <v>6.2989148281250023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292.67382451527749</v>
      </c>
      <c r="D124" s="104">
        <v>55.751163600446233</v>
      </c>
      <c r="E124" s="104">
        <v>28.176129960435084</v>
      </c>
      <c r="F124" s="104">
        <v>323.65067335438903</v>
      </c>
      <c r="G124" s="104">
        <v>1.8480071268494538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18.954252802077434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0.74418000000000006</v>
      </c>
      <c r="D172" s="132">
        <v>0.70661499999999999</v>
      </c>
      <c r="E172" s="132">
        <v>0.70661499999999999</v>
      </c>
      <c r="F172" s="132">
        <v>0.70661499999999999</v>
      </c>
      <c r="G172" s="132">
        <v>0.70661499999999999</v>
      </c>
      <c r="H172" s="132">
        <v>0.70661499999999999</v>
      </c>
      <c r="I172" s="132">
        <v>0.70661499999999999</v>
      </c>
      <c r="J172" s="132">
        <v>0.70661499999999999</v>
      </c>
      <c r="K172" s="132">
        <v>0.70661499999999999</v>
      </c>
      <c r="L172" s="132">
        <v>0.70661499999999999</v>
      </c>
      <c r="M172" s="132">
        <v>0.70661499999999999</v>
      </c>
      <c r="N172" s="132">
        <v>0.70661499999999999</v>
      </c>
      <c r="O172" s="132">
        <v>0.70661499999999999</v>
      </c>
      <c r="P172" s="132">
        <v>0.70661499999999999</v>
      </c>
      <c r="Q172" s="132">
        <v>0.70661499999999999</v>
      </c>
      <c r="R172" s="132">
        <v>0.70661499999999999</v>
      </c>
      <c r="S172" s="132">
        <v>0.70661499999999999</v>
      </c>
      <c r="T172" s="132">
        <v>0.70661499999999999</v>
      </c>
      <c r="U172" s="132">
        <v>0.70661499999999999</v>
      </c>
      <c r="V172" s="132">
        <v>0.70661499999999999</v>
      </c>
      <c r="W172" s="132">
        <v>0.70661499999999999</v>
      </c>
      <c r="X172" s="132">
        <v>0.70661499999999999</v>
      </c>
      <c r="Y172" s="132">
        <v>0.70661499999999999</v>
      </c>
      <c r="Z172" s="132">
        <v>0.70661499999999999</v>
      </c>
      <c r="AA172" s="132">
        <v>0.70661499999999999</v>
      </c>
      <c r="AB172" s="132">
        <v>0.70661499999999999</v>
      </c>
      <c r="AC172" s="132">
        <v>0.70661499999999999</v>
      </c>
      <c r="AD172" s="132">
        <v>0.70661499999999999</v>
      </c>
      <c r="AE172" s="132">
        <v>0.70661499999999999</v>
      </c>
      <c r="AF172" s="132">
        <v>0.70661499999999999</v>
      </c>
      <c r="AG172" s="132">
        <v>0.70661499999999999</v>
      </c>
      <c r="AH172" s="132">
        <v>0.70661499999999999</v>
      </c>
      <c r="AI172" s="132">
        <v>0.70661499999999999</v>
      </c>
      <c r="AJ172" s="132">
        <v>0.70661499999999999</v>
      </c>
      <c r="AK172" s="132">
        <v>0.70661499999999999</v>
      </c>
      <c r="AL172" s="132">
        <v>0.70661499999999999</v>
      </c>
      <c r="AM172" s="132">
        <v>0.70661499999999999</v>
      </c>
      <c r="AN172" s="132">
        <v>0.70661499999999999</v>
      </c>
      <c r="AO172" s="132">
        <v>0.70661499999999999</v>
      </c>
      <c r="AP172" s="132">
        <v>0.70661499999999999</v>
      </c>
      <c r="AQ172" s="132">
        <v>0.70661499999999999</v>
      </c>
      <c r="AR172" s="132">
        <v>0.70661499999999999</v>
      </c>
      <c r="AS172" s="132">
        <v>0.70661499999999999</v>
      </c>
      <c r="AT172" s="132">
        <v>0.70661499999999999</v>
      </c>
      <c r="AU172" s="132">
        <v>0.70661499999999999</v>
      </c>
      <c r="AV172" s="132">
        <v>0.70661499999999999</v>
      </c>
      <c r="AW172" s="132">
        <v>0.70661499999999999</v>
      </c>
      <c r="AX172" s="132">
        <v>0.70661499999999999</v>
      </c>
      <c r="AY172" s="132">
        <v>0.70661499999999999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1988.7863790000001</v>
      </c>
      <c r="E175" s="122">
        <f t="shared" si="1"/>
        <v>1825.5201980000002</v>
      </c>
      <c r="F175" s="122">
        <f t="shared" si="1"/>
        <v>1662.254017</v>
      </c>
      <c r="G175" s="122">
        <f t="shared" si="1"/>
        <v>1498.987836</v>
      </c>
      <c r="H175" s="122">
        <f t="shared" si="1"/>
        <v>1498.987836</v>
      </c>
      <c r="I175" s="122">
        <f t="shared" si="1"/>
        <v>1498.987836</v>
      </c>
      <c r="J175" s="122">
        <f t="shared" si="1"/>
        <v>1498.987836</v>
      </c>
      <c r="K175" s="122">
        <f t="shared" si="1"/>
        <v>1498.987836</v>
      </c>
      <c r="L175" s="122">
        <f t="shared" si="1"/>
        <v>1498.987836</v>
      </c>
      <c r="M175" s="122">
        <f t="shared" si="1"/>
        <v>1498.987836</v>
      </c>
      <c r="N175" s="122">
        <f t="shared" si="1"/>
        <v>1498.987836</v>
      </c>
      <c r="O175" s="122">
        <f t="shared" si="1"/>
        <v>1498.987836</v>
      </c>
      <c r="P175" s="122">
        <f t="shared" si="1"/>
        <v>1445.360535</v>
      </c>
      <c r="Q175" s="122">
        <f t="shared" si="1"/>
        <v>1391.733234</v>
      </c>
      <c r="R175" s="122">
        <f t="shared" si="1"/>
        <v>1338.1059330000001</v>
      </c>
      <c r="S175" s="122">
        <f t="shared" si="1"/>
        <v>1284.4786320000001</v>
      </c>
      <c r="T175" s="122">
        <f t="shared" si="1"/>
        <v>1284.4786320000001</v>
      </c>
      <c r="U175" s="122">
        <f t="shared" si="1"/>
        <v>1284.4786320000001</v>
      </c>
      <c r="V175" s="122">
        <f t="shared" si="1"/>
        <v>1284.4786320000001</v>
      </c>
      <c r="W175" s="122">
        <f t="shared" si="1"/>
        <v>1284.4786320000001</v>
      </c>
      <c r="X175" s="122">
        <f t="shared" si="1"/>
        <v>1338.1059330000001</v>
      </c>
      <c r="Y175" s="122">
        <f t="shared" si="1"/>
        <v>1391.733234</v>
      </c>
      <c r="Z175" s="122">
        <f t="shared" si="1"/>
        <v>1445.360535</v>
      </c>
      <c r="AA175" s="122">
        <f t="shared" si="1"/>
        <v>1498.987836</v>
      </c>
      <c r="AB175" s="122">
        <f t="shared" si="1"/>
        <v>1498.987836</v>
      </c>
      <c r="AC175" s="122">
        <f t="shared" si="1"/>
        <v>1498.987836</v>
      </c>
      <c r="AD175" s="122">
        <f t="shared" si="1"/>
        <v>1498.987836</v>
      </c>
      <c r="AE175" s="122">
        <f t="shared" si="1"/>
        <v>1498.987836</v>
      </c>
      <c r="AF175" s="122">
        <f t="shared" si="1"/>
        <v>1498.987836</v>
      </c>
      <c r="AG175" s="122">
        <f t="shared" si="1"/>
        <v>1498.987836</v>
      </c>
      <c r="AH175" s="122">
        <f t="shared" si="1"/>
        <v>1498.987836</v>
      </c>
      <c r="AI175" s="122">
        <f t="shared" si="1"/>
        <v>1498.987836</v>
      </c>
      <c r="AJ175" s="122">
        <f t="shared" si="1"/>
        <v>1498.987836</v>
      </c>
      <c r="AK175" s="122">
        <f t="shared" si="1"/>
        <v>1498.987836</v>
      </c>
      <c r="AL175" s="122">
        <f t="shared" si="1"/>
        <v>1498.987836</v>
      </c>
      <c r="AM175" s="122">
        <f t="shared" si="1"/>
        <v>1498.987836</v>
      </c>
      <c r="AN175" s="122">
        <f t="shared" si="1"/>
        <v>1498.987836</v>
      </c>
      <c r="AO175" s="122">
        <f t="shared" si="1"/>
        <v>1498.987836</v>
      </c>
      <c r="AP175" s="122">
        <f t="shared" si="1"/>
        <v>1498.987836</v>
      </c>
      <c r="AQ175" s="122">
        <f t="shared" si="1"/>
        <v>1498.987836</v>
      </c>
      <c r="AR175" s="122">
        <f t="shared" si="1"/>
        <v>1498.987836</v>
      </c>
      <c r="AS175" s="122">
        <f t="shared" si="1"/>
        <v>1498.987836</v>
      </c>
      <c r="AT175" s="122">
        <f t="shared" si="1"/>
        <v>1498.987836</v>
      </c>
      <c r="AU175" s="122">
        <f t="shared" si="1"/>
        <v>1498.987836</v>
      </c>
      <c r="AV175" s="122">
        <f t="shared" si="1"/>
        <v>1520.3099268000001</v>
      </c>
      <c r="AW175" s="122">
        <f t="shared" si="1"/>
        <v>1541.6320176000002</v>
      </c>
      <c r="AX175" s="122">
        <f t="shared" si="1"/>
        <v>1562.9541084000002</v>
      </c>
      <c r="AY175" s="122">
        <f t="shared" si="1"/>
        <v>1584.2761992000001</v>
      </c>
    </row>
    <row r="176" spans="1:52">
      <c r="A176" s="123"/>
      <c r="B176" s="134" t="s">
        <v>300</v>
      </c>
      <c r="C176" s="123" t="s">
        <v>294</v>
      </c>
      <c r="D176" s="123">
        <v>206</v>
      </c>
      <c r="E176" s="123">
        <v>215</v>
      </c>
      <c r="F176" s="123">
        <v>144</v>
      </c>
      <c r="G176" s="123">
        <v>260</v>
      </c>
      <c r="H176" s="123">
        <v>202</v>
      </c>
      <c r="I176" s="123">
        <v>207</v>
      </c>
      <c r="J176" s="123">
        <v>175</v>
      </c>
      <c r="K176" s="123">
        <v>167</v>
      </c>
      <c r="L176" s="123">
        <v>182</v>
      </c>
      <c r="M176" s="123">
        <v>223</v>
      </c>
      <c r="N176" s="123">
        <v>186</v>
      </c>
      <c r="O176" s="123">
        <v>152</v>
      </c>
      <c r="P176" s="123">
        <v>232</v>
      </c>
      <c r="Q176" s="123">
        <v>180</v>
      </c>
      <c r="R176" s="123">
        <v>198</v>
      </c>
      <c r="S176" s="123">
        <v>228</v>
      </c>
      <c r="T176" s="123">
        <v>159</v>
      </c>
      <c r="U176" s="123">
        <v>253</v>
      </c>
      <c r="V176" s="123">
        <v>232</v>
      </c>
      <c r="W176" s="123">
        <v>239</v>
      </c>
      <c r="X176" s="123">
        <v>214</v>
      </c>
      <c r="Y176" s="123">
        <v>163</v>
      </c>
      <c r="Z176" s="123">
        <v>258</v>
      </c>
      <c r="AA176" s="123">
        <v>262</v>
      </c>
      <c r="AB176" s="123">
        <v>159</v>
      </c>
      <c r="AC176" s="123">
        <v>187</v>
      </c>
      <c r="AD176" s="123">
        <v>231</v>
      </c>
      <c r="AE176" s="123">
        <v>174</v>
      </c>
      <c r="AF176" s="123">
        <v>250</v>
      </c>
      <c r="AG176" s="123">
        <v>237</v>
      </c>
      <c r="AH176" s="123">
        <v>168</v>
      </c>
      <c r="AI176" s="123">
        <v>182</v>
      </c>
      <c r="AJ176" s="123">
        <v>275</v>
      </c>
      <c r="AK176" s="123">
        <v>174</v>
      </c>
      <c r="AL176" s="123">
        <v>209</v>
      </c>
      <c r="AM176" s="123">
        <v>211</v>
      </c>
      <c r="AN176" s="123">
        <v>260</v>
      </c>
      <c r="AO176" s="123">
        <v>237</v>
      </c>
      <c r="AP176" s="123">
        <v>233</v>
      </c>
      <c r="AQ176" s="123">
        <v>163</v>
      </c>
      <c r="AR176" s="123">
        <v>277</v>
      </c>
      <c r="AS176" s="123">
        <v>210</v>
      </c>
      <c r="AT176" s="123">
        <v>241</v>
      </c>
      <c r="AU176" s="123">
        <v>209</v>
      </c>
      <c r="AV176" s="123">
        <v>275</v>
      </c>
      <c r="AW176" s="123">
        <v>263</v>
      </c>
      <c r="AX176" s="123">
        <v>204</v>
      </c>
      <c r="AY176" s="123">
        <v>243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4925.8077810652567</v>
      </c>
      <c r="E177" s="122">
        <f t="shared" si="2"/>
        <v>5103.4918021399217</v>
      </c>
      <c r="F177" s="122">
        <f t="shared" si="2"/>
        <v>4951.2286616671754</v>
      </c>
      <c r="G177" s="122">
        <f t="shared" si="2"/>
        <v>4645.8800511944282</v>
      </c>
      <c r="H177" s="122">
        <f t="shared" si="2"/>
        <v>3832.3290407216818</v>
      </c>
      <c r="I177" s="122">
        <f t="shared" si="2"/>
        <v>2967.0839870839554</v>
      </c>
      <c r="J177" s="122">
        <f t="shared" si="2"/>
        <v>2192.8994855745837</v>
      </c>
      <c r="K177" s="122">
        <f t="shared" si="2"/>
        <v>1385.4295860287189</v>
      </c>
      <c r="L177" s="122">
        <f t="shared" si="2"/>
        <v>550.94715125210769</v>
      </c>
      <c r="M177" s="122">
        <f t="shared" si="2"/>
        <v>411.1539235143573</v>
      </c>
      <c r="N177" s="122">
        <f t="shared" si="2"/>
        <v>295.36725565224208</v>
      </c>
      <c r="O177" s="122">
        <f t="shared" si="2"/>
        <v>133.91600004376915</v>
      </c>
      <c r="P177" s="122">
        <f t="shared" si="2"/>
        <v>73.518148875024011</v>
      </c>
      <c r="Q177" s="122">
        <f t="shared" si="2"/>
        <v>81.246207665131564</v>
      </c>
      <c r="R177" s="122">
        <f t="shared" si="2"/>
        <v>65.222191583812943</v>
      </c>
      <c r="S177" s="122">
        <f t="shared" si="2"/>
        <v>124.55435879318895</v>
      </c>
      <c r="T177" s="122">
        <f t="shared" si="2"/>
        <v>65.222191583812943</v>
      </c>
      <c r="U177" s="122">
        <f t="shared" si="2"/>
        <v>11.527008320952138</v>
      </c>
      <c r="V177" s="122">
        <f t="shared" si="2"/>
        <v>77.993011549102562</v>
      </c>
      <c r="W177" s="122">
        <f t="shared" si="2"/>
        <v>11.691011549102544</v>
      </c>
      <c r="X177" s="122">
        <f t="shared" si="2"/>
        <v>77.993011549102562</v>
      </c>
      <c r="Y177" s="122">
        <f t="shared" si="2"/>
        <v>62.206772262249601</v>
      </c>
      <c r="Z177" s="122">
        <f t="shared" si="2"/>
        <v>76.697571424737745</v>
      </c>
      <c r="AA177" s="122">
        <f t="shared" si="2"/>
        <v>77.382178270077773</v>
      </c>
      <c r="AB177" s="122">
        <f t="shared" si="2"/>
        <v>21.914040455755554</v>
      </c>
      <c r="AC177" s="122">
        <f t="shared" si="2"/>
        <v>84.352011060701784</v>
      </c>
      <c r="AD177" s="122">
        <f t="shared" si="2"/>
        <v>69.627193398612164</v>
      </c>
      <c r="AE177" s="122">
        <f t="shared" si="2"/>
        <v>65.883904670627999</v>
      </c>
      <c r="AF177" s="122">
        <f t="shared" si="2"/>
        <v>17.929270393632169</v>
      </c>
      <c r="AG177" s="122">
        <f t="shared" si="2"/>
        <v>115.44259585005386</v>
      </c>
      <c r="AH177" s="122">
        <f t="shared" si="2"/>
        <v>77.409512141436167</v>
      </c>
      <c r="AI177" s="122">
        <f t="shared" si="2"/>
        <v>73.518148875023996</v>
      </c>
      <c r="AJ177" s="122">
        <f t="shared" si="2"/>
        <v>81.300875407848338</v>
      </c>
      <c r="AK177" s="122">
        <f t="shared" si="2"/>
        <v>44.185981665648001</v>
      </c>
      <c r="AL177" s="122">
        <f t="shared" si="2"/>
        <v>92.602458584844186</v>
      </c>
      <c r="AM177" s="122">
        <f t="shared" si="2"/>
        <v>62.586944591508143</v>
      </c>
      <c r="AN177" s="122">
        <f t="shared" si="2"/>
        <v>40.301007315276145</v>
      </c>
      <c r="AO177" s="122">
        <f t="shared" si="2"/>
        <v>84.872881867740148</v>
      </c>
      <c r="AP177" s="122">
        <f t="shared" si="2"/>
        <v>74.444998631450574</v>
      </c>
      <c r="AQ177" s="122">
        <f t="shared" si="2"/>
        <v>77.653015113902725</v>
      </c>
      <c r="AR177" s="122">
        <f t="shared" si="2"/>
        <v>74.444998631450574</v>
      </c>
      <c r="AS177" s="122">
        <f t="shared" si="2"/>
        <v>70.690304721830401</v>
      </c>
      <c r="AT177" s="122">
        <f t="shared" si="2"/>
        <v>71.617154478256978</v>
      </c>
      <c r="AU177" s="122">
        <f t="shared" si="2"/>
        <v>67.862460568636806</v>
      </c>
      <c r="AV177" s="122">
        <f t="shared" si="2"/>
        <v>77.093368568637231</v>
      </c>
      <c r="AW177" s="122">
        <f t="shared" si="2"/>
        <v>71.67182222097378</v>
      </c>
      <c r="AX177" s="122">
        <f t="shared" si="2"/>
        <v>64.246905710186553</v>
      </c>
      <c r="AY177" s="122">
        <f t="shared" si="2"/>
        <v>53.699634540453602</v>
      </c>
    </row>
    <row r="178" spans="1:51">
      <c r="A178" s="123"/>
      <c r="B178" s="134" t="s">
        <v>300</v>
      </c>
      <c r="C178" s="123" t="s">
        <v>294</v>
      </c>
      <c r="D178" s="123">
        <v>274</v>
      </c>
      <c r="E178" s="123">
        <v>269</v>
      </c>
      <c r="F178" s="123">
        <v>226</v>
      </c>
      <c r="G178" s="123">
        <v>220</v>
      </c>
      <c r="H178" s="123">
        <v>189</v>
      </c>
      <c r="I178" s="123">
        <v>194</v>
      </c>
      <c r="J178" s="123">
        <v>284</v>
      </c>
      <c r="K178" s="123">
        <v>209</v>
      </c>
      <c r="L178" s="123">
        <v>202</v>
      </c>
      <c r="M178" s="123">
        <v>213</v>
      </c>
      <c r="N178" s="123">
        <v>190</v>
      </c>
      <c r="O178" s="123">
        <v>133.91600004376915</v>
      </c>
      <c r="P178" s="123">
        <v>73.518148875024011</v>
      </c>
      <c r="Q178" s="123">
        <v>81.246207665131564</v>
      </c>
      <c r="R178" s="123">
        <v>65.222191583812943</v>
      </c>
      <c r="S178" s="123">
        <v>124.55435879318895</v>
      </c>
      <c r="T178" s="123">
        <v>65.222191583812943</v>
      </c>
      <c r="U178" s="123">
        <v>11.527008320952138</v>
      </c>
      <c r="V178" s="123">
        <v>77.993011549102562</v>
      </c>
      <c r="W178" s="123">
        <v>11.691011549102544</v>
      </c>
      <c r="X178" s="123">
        <v>77.993011549102562</v>
      </c>
      <c r="Y178" s="123">
        <v>62.206772262249601</v>
      </c>
      <c r="Z178" s="123">
        <v>76.697571424737745</v>
      </c>
      <c r="AA178" s="123">
        <v>77.382178270077773</v>
      </c>
      <c r="AB178" s="123">
        <v>21.914040455755554</v>
      </c>
      <c r="AC178" s="123">
        <v>84.352011060701784</v>
      </c>
      <c r="AD178" s="123">
        <v>69.627193398612164</v>
      </c>
      <c r="AE178" s="123">
        <v>65.883904670627999</v>
      </c>
      <c r="AF178" s="123">
        <v>17.929270393632169</v>
      </c>
      <c r="AG178" s="123">
        <v>115.44259585005386</v>
      </c>
      <c r="AH178" s="123">
        <v>77.409512141436167</v>
      </c>
      <c r="AI178" s="123">
        <v>73.518148875023996</v>
      </c>
      <c r="AJ178" s="123">
        <v>81.300875407848338</v>
      </c>
      <c r="AK178" s="123">
        <v>44.185981665648001</v>
      </c>
      <c r="AL178" s="123">
        <v>92.602458584844186</v>
      </c>
      <c r="AM178" s="123">
        <v>62.586944591508143</v>
      </c>
      <c r="AN178" s="123">
        <v>40.301007315276145</v>
      </c>
      <c r="AO178" s="123">
        <v>84.872881867740148</v>
      </c>
      <c r="AP178" s="123">
        <v>74.444998631450574</v>
      </c>
      <c r="AQ178" s="123">
        <v>77.653015113902725</v>
      </c>
      <c r="AR178" s="123">
        <v>74.444998631450574</v>
      </c>
      <c r="AS178" s="123">
        <v>70.690304721830401</v>
      </c>
      <c r="AT178" s="123">
        <v>71.617154478256978</v>
      </c>
      <c r="AU178" s="123">
        <v>67.862460568636806</v>
      </c>
      <c r="AV178" s="123">
        <v>77.093368568637231</v>
      </c>
      <c r="AW178" s="123">
        <v>71.67182222097378</v>
      </c>
      <c r="AX178" s="123">
        <v>64.246905710186553</v>
      </c>
      <c r="AY178" s="123">
        <v>53.699634540453602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9719.9799835571339</v>
      </c>
      <c r="E179" s="122">
        <f t="shared" si="3"/>
        <v>9392.3181353413547</v>
      </c>
      <c r="F179" s="122">
        <f t="shared" si="3"/>
        <v>8783.301364853829</v>
      </c>
      <c r="G179" s="122">
        <f t="shared" si="3"/>
        <v>8405.772172403289</v>
      </c>
      <c r="H179" s="122">
        <f t="shared" si="3"/>
        <v>7802.2850837780979</v>
      </c>
      <c r="I179" s="122">
        <f t="shared" si="3"/>
        <v>6888.8017211006627</v>
      </c>
      <c r="J179" s="122">
        <f t="shared" si="3"/>
        <v>6029.9047645423352</v>
      </c>
      <c r="K179" s="122">
        <f t="shared" si="3"/>
        <v>5418.31400578389</v>
      </c>
      <c r="L179" s="122">
        <f t="shared" si="3"/>
        <v>5146.3714682706113</v>
      </c>
      <c r="M179" s="122">
        <f t="shared" si="3"/>
        <v>4743.6241208921783</v>
      </c>
      <c r="N179" s="122">
        <f t="shared" si="3"/>
        <v>3975.2288725117078</v>
      </c>
      <c r="O179" s="122">
        <f t="shared" si="3"/>
        <v>2732.4921038402499</v>
      </c>
      <c r="P179" s="122">
        <f t="shared" si="3"/>
        <v>1404.7749822105604</v>
      </c>
      <c r="Q179" s="122">
        <f t="shared" si="3"/>
        <v>913.0020701215733</v>
      </c>
      <c r="R179" s="122">
        <f t="shared" si="3"/>
        <v>434.34794691704144</v>
      </c>
      <c r="S179" s="122">
        <f t="shared" si="3"/>
        <v>201.20061866345424</v>
      </c>
      <c r="T179" s="122">
        <f t="shared" si="3"/>
        <v>93.525519036988825</v>
      </c>
      <c r="U179" s="122">
        <f t="shared" si="3"/>
        <v>15.170876838541682</v>
      </c>
      <c r="V179" s="122">
        <f t="shared" si="3"/>
        <v>15.170876838541671</v>
      </c>
      <c r="W179" s="122">
        <f t="shared" si="3"/>
        <v>15.170876838541671</v>
      </c>
      <c r="X179" s="122">
        <f t="shared" si="3"/>
        <v>15.170876838541671</v>
      </c>
      <c r="Y179" s="122">
        <f t="shared" si="3"/>
        <v>15.170876838541671</v>
      </c>
      <c r="Z179" s="122">
        <f t="shared" si="3"/>
        <v>15.170876838541671</v>
      </c>
      <c r="AA179" s="122">
        <f t="shared" si="3"/>
        <v>15.170876838541671</v>
      </c>
      <c r="AB179" s="122">
        <f t="shared" si="3"/>
        <v>15.170876838541671</v>
      </c>
      <c r="AC179" s="122">
        <f t="shared" si="3"/>
        <v>15.170876838541671</v>
      </c>
      <c r="AD179" s="122">
        <f t="shared" si="3"/>
        <v>15.170876838541671</v>
      </c>
      <c r="AE179" s="122">
        <f t="shared" si="3"/>
        <v>15.170876838541671</v>
      </c>
      <c r="AF179" s="122">
        <f t="shared" si="3"/>
        <v>15.170876838541671</v>
      </c>
      <c r="AG179" s="122">
        <f t="shared" si="3"/>
        <v>15.170876838541671</v>
      </c>
      <c r="AH179" s="122">
        <f t="shared" si="3"/>
        <v>15.170876838541671</v>
      </c>
      <c r="AI179" s="122">
        <f t="shared" si="3"/>
        <v>15.170876838541671</v>
      </c>
      <c r="AJ179" s="122">
        <f t="shared" si="3"/>
        <v>15.170876838541671</v>
      </c>
      <c r="AK179" s="122">
        <f t="shared" si="3"/>
        <v>15.170876838541671</v>
      </c>
      <c r="AL179" s="122">
        <f t="shared" si="3"/>
        <v>15.170876838541671</v>
      </c>
      <c r="AM179" s="122">
        <f t="shared" si="3"/>
        <v>15.170876838541671</v>
      </c>
      <c r="AN179" s="122">
        <f t="shared" si="3"/>
        <v>15.170876838541671</v>
      </c>
      <c r="AO179" s="122">
        <f t="shared" si="3"/>
        <v>15.170876838541671</v>
      </c>
      <c r="AP179" s="122">
        <f t="shared" si="3"/>
        <v>15.170876838541671</v>
      </c>
      <c r="AQ179" s="122">
        <f t="shared" si="3"/>
        <v>15.170876838541671</v>
      </c>
      <c r="AR179" s="122">
        <f t="shared" si="3"/>
        <v>15.170876838541671</v>
      </c>
      <c r="AS179" s="122">
        <f t="shared" si="3"/>
        <v>15.170876838541671</v>
      </c>
      <c r="AT179" s="122">
        <f t="shared" si="3"/>
        <v>15.170876838541671</v>
      </c>
      <c r="AU179" s="122">
        <f t="shared" si="3"/>
        <v>15.170876838541671</v>
      </c>
      <c r="AV179" s="122">
        <f t="shared" si="3"/>
        <v>15.170876838541671</v>
      </c>
      <c r="AW179" s="122">
        <f t="shared" si="3"/>
        <v>15.170876838541671</v>
      </c>
      <c r="AX179" s="122">
        <f t="shared" si="3"/>
        <v>15.170876838541671</v>
      </c>
      <c r="AY179" s="122">
        <f t="shared" si="3"/>
        <v>15.170876838541671</v>
      </c>
    </row>
    <row r="180" spans="1:51">
      <c r="A180" s="123"/>
      <c r="B180" s="134" t="s">
        <v>300</v>
      </c>
      <c r="C180" s="123" t="s">
        <v>294</v>
      </c>
      <c r="D180" s="123">
        <v>93</v>
      </c>
      <c r="E180" s="123">
        <v>91</v>
      </c>
      <c r="F180" s="123">
        <v>99</v>
      </c>
      <c r="G180" s="123">
        <v>90</v>
      </c>
      <c r="H180" s="123">
        <v>104</v>
      </c>
      <c r="I180" s="123">
        <v>88</v>
      </c>
      <c r="J180" s="123">
        <v>98</v>
      </c>
      <c r="K180" s="123">
        <v>133</v>
      </c>
      <c r="L180" s="123">
        <v>118</v>
      </c>
      <c r="M180" s="123">
        <v>116</v>
      </c>
      <c r="N180" s="123">
        <v>133</v>
      </c>
      <c r="O180" s="123">
        <v>117.43679317394263</v>
      </c>
      <c r="P180" s="123">
        <v>113.82305829743719</v>
      </c>
      <c r="Q180" s="123">
        <v>101.51578093298122</v>
      </c>
      <c r="R180" s="123">
        <v>116.62610657465855</v>
      </c>
      <c r="S180" s="123">
        <v>122.84597646500713</v>
      </c>
      <c r="T180" s="123">
        <v>93.525519036988825</v>
      </c>
      <c r="U180" s="123">
        <v>15.170876838541682</v>
      </c>
      <c r="V180" s="123">
        <v>15.170876838541671</v>
      </c>
      <c r="W180" s="123">
        <v>15.170876838541671</v>
      </c>
      <c r="X180" s="123">
        <v>15.170876838541671</v>
      </c>
      <c r="Y180" s="123">
        <v>15.170876838541671</v>
      </c>
      <c r="Z180" s="123">
        <v>15.170876838541671</v>
      </c>
      <c r="AA180" s="123">
        <v>15.170876838541671</v>
      </c>
      <c r="AB180" s="123">
        <v>15.170876838541671</v>
      </c>
      <c r="AC180" s="123">
        <v>15.170876838541671</v>
      </c>
      <c r="AD180" s="123">
        <v>15.170876838541671</v>
      </c>
      <c r="AE180" s="123">
        <v>15.170876838541671</v>
      </c>
      <c r="AF180" s="123">
        <v>15.170876838541671</v>
      </c>
      <c r="AG180" s="123">
        <v>15.170876838541671</v>
      </c>
      <c r="AH180" s="123">
        <v>15.170876838541671</v>
      </c>
      <c r="AI180" s="123">
        <v>15.170876838541671</v>
      </c>
      <c r="AJ180" s="123">
        <v>15.170876838541671</v>
      </c>
      <c r="AK180" s="123">
        <v>15.170876838541671</v>
      </c>
      <c r="AL180" s="123">
        <v>15.170876838541671</v>
      </c>
      <c r="AM180" s="123">
        <v>15.170876838541671</v>
      </c>
      <c r="AN180" s="123">
        <v>15.170876838541671</v>
      </c>
      <c r="AO180" s="123">
        <v>15.170876838541671</v>
      </c>
      <c r="AP180" s="123">
        <v>15.170876838541671</v>
      </c>
      <c r="AQ180" s="123">
        <v>15.170876838541671</v>
      </c>
      <c r="AR180" s="123">
        <v>15.170876838541671</v>
      </c>
      <c r="AS180" s="123">
        <v>15.170876838541671</v>
      </c>
      <c r="AT180" s="123">
        <v>15.170876838541671</v>
      </c>
      <c r="AU180" s="123">
        <v>15.170876838541671</v>
      </c>
      <c r="AV180" s="123">
        <v>15.170876838541671</v>
      </c>
      <c r="AW180" s="123">
        <v>15.170876838541671</v>
      </c>
      <c r="AX180" s="123">
        <v>15.170876838541671</v>
      </c>
      <c r="AY180" s="123">
        <v>15.170876838541671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210.48195058766512</v>
      </c>
      <c r="E181" s="122">
        <f t="shared" si="4"/>
        <v>205.03505818251406</v>
      </c>
      <c r="F181" s="122">
        <f t="shared" si="4"/>
        <v>103.10117475705188</v>
      </c>
      <c r="G181" s="122">
        <f t="shared" si="4"/>
        <v>14.24999298422267</v>
      </c>
      <c r="H181" s="122">
        <f t="shared" si="4"/>
        <v>6.2989148281250023</v>
      </c>
      <c r="I181" s="122">
        <f t="shared" si="4"/>
        <v>6.2989148281250023</v>
      </c>
      <c r="J181" s="122">
        <f t="shared" si="4"/>
        <v>6.2989148281250023</v>
      </c>
      <c r="K181" s="122">
        <f t="shared" si="4"/>
        <v>6.2989148281250023</v>
      </c>
      <c r="L181" s="122">
        <f t="shared" si="4"/>
        <v>6.2989148281250023</v>
      </c>
      <c r="M181" s="122">
        <f t="shared" si="4"/>
        <v>6.2989148281250023</v>
      </c>
      <c r="N181" s="122">
        <f t="shared" si="4"/>
        <v>6.2989148281250023</v>
      </c>
      <c r="O181" s="122">
        <f t="shared" si="4"/>
        <v>6.2989148281250023</v>
      </c>
      <c r="P181" s="122">
        <f t="shared" si="4"/>
        <v>6.2989148281250023</v>
      </c>
      <c r="Q181" s="122">
        <f t="shared" si="4"/>
        <v>6.2989148281250023</v>
      </c>
      <c r="R181" s="122">
        <f t="shared" si="4"/>
        <v>6.2989148281250023</v>
      </c>
      <c r="S181" s="122">
        <f t="shared" si="4"/>
        <v>6.2989148281250023</v>
      </c>
      <c r="T181" s="122">
        <f t="shared" si="4"/>
        <v>6.2989148281250023</v>
      </c>
      <c r="U181" s="122">
        <f t="shared" si="4"/>
        <v>6.2989148281250023</v>
      </c>
      <c r="V181" s="122">
        <f t="shared" si="4"/>
        <v>6.2989148281250023</v>
      </c>
      <c r="W181" s="122">
        <f t="shared" si="4"/>
        <v>6.2989148281250023</v>
      </c>
      <c r="X181" s="122">
        <f t="shared" si="4"/>
        <v>6.2989148281250023</v>
      </c>
      <c r="Y181" s="122">
        <f t="shared" si="4"/>
        <v>6.2989148281250023</v>
      </c>
      <c r="Z181" s="122">
        <f t="shared" si="4"/>
        <v>6.2989148281250023</v>
      </c>
      <c r="AA181" s="122">
        <f t="shared" si="4"/>
        <v>6.2989148281250023</v>
      </c>
      <c r="AB181" s="122">
        <f t="shared" si="4"/>
        <v>6.2989148281250023</v>
      </c>
      <c r="AC181" s="122">
        <f t="shared" si="4"/>
        <v>6.2989148281250023</v>
      </c>
      <c r="AD181" s="122">
        <f t="shared" si="4"/>
        <v>6.2989148281250023</v>
      </c>
      <c r="AE181" s="122">
        <f t="shared" si="4"/>
        <v>6.2989148281250023</v>
      </c>
      <c r="AF181" s="122">
        <f t="shared" si="4"/>
        <v>6.2989148281250023</v>
      </c>
      <c r="AG181" s="122">
        <f t="shared" si="4"/>
        <v>6.2989148281250023</v>
      </c>
      <c r="AH181" s="122">
        <f t="shared" si="4"/>
        <v>6.2989148281250023</v>
      </c>
      <c r="AI181" s="122">
        <f t="shared" si="4"/>
        <v>6.2989148281250023</v>
      </c>
      <c r="AJ181" s="122">
        <f t="shared" si="4"/>
        <v>6.2989148281250023</v>
      </c>
      <c r="AK181" s="122">
        <f t="shared" si="4"/>
        <v>6.2989148281250023</v>
      </c>
      <c r="AL181" s="122">
        <f t="shared" si="4"/>
        <v>6.2989148281250023</v>
      </c>
      <c r="AM181" s="122">
        <f t="shared" si="4"/>
        <v>6.2989148281250023</v>
      </c>
      <c r="AN181" s="122">
        <f t="shared" si="4"/>
        <v>6.2989148281250023</v>
      </c>
      <c r="AO181" s="122">
        <f t="shared" si="4"/>
        <v>6.2989148281250023</v>
      </c>
      <c r="AP181" s="122">
        <f t="shared" si="4"/>
        <v>6.2989148281250023</v>
      </c>
      <c r="AQ181" s="122">
        <f t="shared" si="4"/>
        <v>6.2989148281250023</v>
      </c>
      <c r="AR181" s="122">
        <f t="shared" si="4"/>
        <v>6.2989148281250023</v>
      </c>
      <c r="AS181" s="122">
        <f t="shared" si="4"/>
        <v>6.2989148281250023</v>
      </c>
      <c r="AT181" s="122">
        <f t="shared" si="4"/>
        <v>6.2989148281250023</v>
      </c>
      <c r="AU181" s="122">
        <f t="shared" si="4"/>
        <v>6.2989148281250023</v>
      </c>
      <c r="AV181" s="122">
        <f t="shared" si="4"/>
        <v>6.2989148281250023</v>
      </c>
      <c r="AW181" s="122">
        <f t="shared" si="4"/>
        <v>6.2989148281250023</v>
      </c>
      <c r="AX181" s="122">
        <f t="shared" si="4"/>
        <v>6.2989148281250023</v>
      </c>
      <c r="AY181" s="122">
        <f t="shared" si="4"/>
        <v>6.2989148281250023</v>
      </c>
    </row>
    <row r="182" spans="1:51">
      <c r="A182" s="123"/>
      <c r="B182" s="134" t="s">
        <v>300</v>
      </c>
      <c r="C182" s="123" t="s">
        <v>294</v>
      </c>
      <c r="D182" s="123">
        <v>70</v>
      </c>
      <c r="E182" s="123">
        <v>67</v>
      </c>
      <c r="F182" s="123">
        <v>76</v>
      </c>
      <c r="G182" s="123">
        <v>14.24999298422267</v>
      </c>
      <c r="H182" s="123">
        <v>6.2989148281250023</v>
      </c>
      <c r="I182" s="123">
        <v>6.2989148281250023</v>
      </c>
      <c r="J182" s="123">
        <v>6.2989148281250023</v>
      </c>
      <c r="K182" s="123">
        <v>6.2989148281250023</v>
      </c>
      <c r="L182" s="123">
        <v>6.2989148281250023</v>
      </c>
      <c r="M182" s="123">
        <v>6.2989148281250023</v>
      </c>
      <c r="N182" s="123">
        <v>6.2989148281250023</v>
      </c>
      <c r="O182" s="123">
        <v>6.2989148281250023</v>
      </c>
      <c r="P182" s="123">
        <v>6.2989148281250023</v>
      </c>
      <c r="Q182" s="123">
        <v>6.2989148281250023</v>
      </c>
      <c r="R182" s="123">
        <v>6.2989148281250023</v>
      </c>
      <c r="S182" s="123">
        <v>6.2989148281250023</v>
      </c>
      <c r="T182" s="123">
        <v>6.2989148281250023</v>
      </c>
      <c r="U182" s="123">
        <v>6.2989148281250023</v>
      </c>
      <c r="V182" s="123">
        <v>6.2989148281250023</v>
      </c>
      <c r="W182" s="123">
        <v>6.2989148281250023</v>
      </c>
      <c r="X182" s="123">
        <v>6.2989148281250023</v>
      </c>
      <c r="Y182" s="123">
        <v>6.2989148281250023</v>
      </c>
      <c r="Z182" s="123">
        <v>6.2989148281250023</v>
      </c>
      <c r="AA182" s="123">
        <v>6.2989148281250023</v>
      </c>
      <c r="AB182" s="123">
        <v>6.2989148281250023</v>
      </c>
      <c r="AC182" s="123">
        <v>6.2989148281250023</v>
      </c>
      <c r="AD182" s="123">
        <v>6.2989148281250023</v>
      </c>
      <c r="AE182" s="123">
        <v>6.2989148281250023</v>
      </c>
      <c r="AF182" s="123">
        <v>6.2989148281250023</v>
      </c>
      <c r="AG182" s="123">
        <v>6.2989148281250023</v>
      </c>
      <c r="AH182" s="123">
        <v>6.2989148281250023</v>
      </c>
      <c r="AI182" s="123">
        <v>6.2989148281250023</v>
      </c>
      <c r="AJ182" s="123">
        <v>6.2989148281250023</v>
      </c>
      <c r="AK182" s="123">
        <v>6.2989148281250023</v>
      </c>
      <c r="AL182" s="123">
        <v>6.2989148281250023</v>
      </c>
      <c r="AM182" s="123">
        <v>6.2989148281250023</v>
      </c>
      <c r="AN182" s="123">
        <v>6.2989148281250023</v>
      </c>
      <c r="AO182" s="123">
        <v>6.2989148281250023</v>
      </c>
      <c r="AP182" s="123">
        <v>6.2989148281250023</v>
      </c>
      <c r="AQ182" s="123">
        <v>6.2989148281250023</v>
      </c>
      <c r="AR182" s="123">
        <v>6.2989148281250023</v>
      </c>
      <c r="AS182" s="123">
        <v>6.2989148281250023</v>
      </c>
      <c r="AT182" s="123">
        <v>6.2989148281250023</v>
      </c>
      <c r="AU182" s="123">
        <v>6.2989148281250023</v>
      </c>
      <c r="AV182" s="123">
        <v>6.2989148281250023</v>
      </c>
      <c r="AW182" s="123">
        <v>6.2989148281250023</v>
      </c>
      <c r="AX182" s="123">
        <v>6.2989148281250023</v>
      </c>
      <c r="AY182" s="123">
        <v>6.2989148281250023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>
        <v>359</v>
      </c>
      <c r="D188" s="104">
        <v>206</v>
      </c>
      <c r="E188" s="104">
        <v>215</v>
      </c>
      <c r="F188" s="104">
        <v>144</v>
      </c>
      <c r="G188" s="104">
        <v>260</v>
      </c>
      <c r="H188" s="104">
        <v>202</v>
      </c>
      <c r="I188" s="104">
        <v>207</v>
      </c>
      <c r="J188" s="104">
        <v>175</v>
      </c>
      <c r="K188" s="104">
        <v>167</v>
      </c>
      <c r="L188" s="104">
        <v>182</v>
      </c>
      <c r="M188" s="104">
        <v>223</v>
      </c>
      <c r="N188" s="104">
        <v>186</v>
      </c>
      <c r="O188" s="104">
        <v>152</v>
      </c>
      <c r="P188" s="104">
        <v>232</v>
      </c>
      <c r="Q188" s="104">
        <v>180</v>
      </c>
      <c r="R188" s="104">
        <v>198</v>
      </c>
      <c r="S188" s="104">
        <v>228</v>
      </c>
      <c r="T188" s="104">
        <v>159</v>
      </c>
      <c r="U188" s="104">
        <v>253</v>
      </c>
      <c r="V188" s="104">
        <v>232</v>
      </c>
      <c r="W188" s="104">
        <v>239</v>
      </c>
      <c r="X188" s="104">
        <v>214</v>
      </c>
      <c r="Y188" s="104">
        <v>163</v>
      </c>
      <c r="Z188" s="104">
        <v>258</v>
      </c>
      <c r="AA188" s="104">
        <v>262</v>
      </c>
      <c r="AB188" s="104">
        <v>159</v>
      </c>
      <c r="AC188" s="104">
        <v>187</v>
      </c>
      <c r="AD188" s="104">
        <v>231</v>
      </c>
      <c r="AE188" s="104">
        <v>174</v>
      </c>
      <c r="AF188" s="104">
        <v>250</v>
      </c>
      <c r="AG188" s="104">
        <v>237</v>
      </c>
      <c r="AH188" s="104">
        <v>168</v>
      </c>
      <c r="AI188" s="104">
        <v>182</v>
      </c>
      <c r="AJ188" s="104">
        <v>275</v>
      </c>
      <c r="AK188" s="104">
        <v>174</v>
      </c>
      <c r="AL188" s="104">
        <v>209</v>
      </c>
      <c r="AM188" s="104">
        <v>211</v>
      </c>
      <c r="AN188" s="104">
        <v>260</v>
      </c>
      <c r="AO188" s="104">
        <v>237</v>
      </c>
      <c r="AP188" s="104">
        <v>233</v>
      </c>
      <c r="AQ188" s="104">
        <v>163</v>
      </c>
      <c r="AR188" s="104">
        <v>277</v>
      </c>
      <c r="AS188" s="104">
        <v>210</v>
      </c>
      <c r="AT188" s="104">
        <v>241</v>
      </c>
      <c r="AU188" s="104">
        <v>209</v>
      </c>
      <c r="AV188" s="104">
        <v>275</v>
      </c>
      <c r="AW188" s="104">
        <v>263</v>
      </c>
      <c r="AX188" s="104">
        <v>204</v>
      </c>
      <c r="AY188" s="104">
        <v>243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0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18.050011060701777</v>
      </c>
      <c r="P189" s="122">
        <v>14.185981665648001</v>
      </c>
      <c r="Q189" s="122">
        <v>18.050011060701777</v>
      </c>
      <c r="R189" s="122">
        <v>65.222191583812943</v>
      </c>
      <c r="S189" s="122">
        <v>65.222191583812943</v>
      </c>
      <c r="T189" s="122">
        <v>65.222191583812943</v>
      </c>
      <c r="U189" s="122">
        <v>11.527008320952138</v>
      </c>
      <c r="V189" s="122">
        <v>77.993011549102562</v>
      </c>
      <c r="W189" s="122">
        <v>11.691011549102544</v>
      </c>
      <c r="X189" s="122">
        <v>77.993011549102562</v>
      </c>
      <c r="Y189" s="122">
        <v>62.206772262249601</v>
      </c>
      <c r="Z189" s="122">
        <v>73.518148875023996</v>
      </c>
      <c r="AA189" s="122">
        <v>73.518148875023996</v>
      </c>
      <c r="AB189" s="122">
        <v>18.050011060701777</v>
      </c>
      <c r="AC189" s="122">
        <v>84.352011060701784</v>
      </c>
      <c r="AD189" s="122">
        <v>69.627193398612164</v>
      </c>
      <c r="AE189" s="122">
        <v>65.883904670627999</v>
      </c>
      <c r="AF189" s="122">
        <v>17.929270393632169</v>
      </c>
      <c r="AG189" s="122">
        <v>60.001384117089685</v>
      </c>
      <c r="AH189" s="122">
        <v>77.409512141436167</v>
      </c>
      <c r="AI189" s="122">
        <v>73.518148875023996</v>
      </c>
      <c r="AJ189" s="122">
        <v>77.409512141436167</v>
      </c>
      <c r="AK189" s="122">
        <v>44.185981665648001</v>
      </c>
      <c r="AL189" s="122">
        <v>59.378928109055998</v>
      </c>
      <c r="AM189" s="122">
        <v>62.586944591508143</v>
      </c>
      <c r="AN189" s="122">
        <v>37.092990832824</v>
      </c>
      <c r="AO189" s="122">
        <v>59.378928109055998</v>
      </c>
      <c r="AP189" s="122">
        <v>74.444998631450574</v>
      </c>
      <c r="AQ189" s="122">
        <v>74.444998631450574</v>
      </c>
      <c r="AR189" s="122">
        <v>74.444998631450574</v>
      </c>
      <c r="AS189" s="122">
        <v>70.690304721830401</v>
      </c>
      <c r="AT189" s="122">
        <v>67.862460568636806</v>
      </c>
      <c r="AU189" s="122">
        <v>67.862460568636806</v>
      </c>
      <c r="AV189" s="122">
        <v>77.093368568637231</v>
      </c>
      <c r="AW189" s="122">
        <v>71.67182222097378</v>
      </c>
      <c r="AX189" s="122">
        <v>64.246905710186553</v>
      </c>
      <c r="AY189" s="122">
        <v>53.699634540453602</v>
      </c>
    </row>
    <row r="190" spans="1:51">
      <c r="A190" s="107"/>
      <c r="B190" s="117">
        <v>2</v>
      </c>
      <c r="C190" s="104">
        <v>0</v>
      </c>
      <c r="D190" s="104">
        <v>0</v>
      </c>
      <c r="E190" s="104">
        <v>0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30.357665485031518</v>
      </c>
      <c r="O190" s="104">
        <v>77.382178270077773</v>
      </c>
      <c r="P190" s="104">
        <v>59.33216720937601</v>
      </c>
      <c r="Q190" s="104">
        <v>63.196196604429787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3.1794225497137489</v>
      </c>
      <c r="AA190" s="104">
        <v>3.8640293950537767</v>
      </c>
      <c r="AB190" s="104">
        <v>3.8640293950537767</v>
      </c>
      <c r="AC190" s="104">
        <v>0</v>
      </c>
      <c r="AD190" s="104">
        <v>0</v>
      </c>
      <c r="AE190" s="104">
        <v>0</v>
      </c>
      <c r="AF190" s="104">
        <v>0</v>
      </c>
      <c r="AG190" s="104">
        <v>51.697923004980012</v>
      </c>
      <c r="AH190" s="104">
        <v>0</v>
      </c>
      <c r="AI190" s="104">
        <v>0</v>
      </c>
      <c r="AJ190" s="104">
        <v>3.8913632664121707</v>
      </c>
      <c r="AK190" s="104">
        <v>0</v>
      </c>
      <c r="AL190" s="104">
        <v>33.223530475788181</v>
      </c>
      <c r="AM190" s="104">
        <v>0</v>
      </c>
      <c r="AN190" s="104">
        <v>0</v>
      </c>
      <c r="AO190" s="104">
        <v>25.493953758684142</v>
      </c>
      <c r="AP190" s="104">
        <v>0</v>
      </c>
      <c r="AQ190" s="104">
        <v>0</v>
      </c>
      <c r="AR190" s="104">
        <v>0</v>
      </c>
      <c r="AS190" s="104">
        <v>0</v>
      </c>
      <c r="AT190" s="104">
        <v>3.7546939096201726</v>
      </c>
      <c r="AU190" s="104">
        <v>0</v>
      </c>
      <c r="AV190" s="104">
        <v>0</v>
      </c>
      <c r="AW190" s="104">
        <v>0</v>
      </c>
      <c r="AX190" s="104">
        <v>0</v>
      </c>
      <c r="AY190" s="104">
        <v>0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62.206772262249601</v>
      </c>
      <c r="O191" s="104">
        <v>38.48381071298958</v>
      </c>
      <c r="P191" s="104">
        <v>0</v>
      </c>
      <c r="Q191" s="104">
        <v>0</v>
      </c>
      <c r="R191" s="104">
        <v>0</v>
      </c>
      <c r="S191" s="104">
        <v>59.332167209376003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3.7432887279841696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3.2080164824521455</v>
      </c>
      <c r="AO191" s="104">
        <v>0</v>
      </c>
      <c r="AP191" s="104">
        <v>0</v>
      </c>
      <c r="AQ191" s="104">
        <v>3.2080164824521455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15.200161239064499</v>
      </c>
      <c r="N192" s="104">
        <v>65.524124230135357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69.59985952725377</v>
      </c>
      <c r="N193" s="104">
        <v>31.911438022583532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10.999739820825809</v>
      </c>
      <c r="M194" s="104">
        <v>69.59985952725377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69.59985952725377</v>
      </c>
      <c r="M195" s="104">
        <v>58.600119706427961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464</v>
      </c>
      <c r="D196" s="112">
        <v>274</v>
      </c>
      <c r="E196" s="112">
        <v>269</v>
      </c>
      <c r="F196" s="112">
        <v>226</v>
      </c>
      <c r="G196" s="112">
        <v>220</v>
      </c>
      <c r="H196" s="112">
        <v>189</v>
      </c>
      <c r="I196" s="112">
        <v>194</v>
      </c>
      <c r="J196" s="112">
        <v>284</v>
      </c>
      <c r="K196" s="112">
        <v>209</v>
      </c>
      <c r="L196" s="112">
        <v>121.40040065192042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0</v>
      </c>
      <c r="P197" s="104">
        <v>0</v>
      </c>
      <c r="Q197" s="104">
        <v>0</v>
      </c>
      <c r="R197" s="104">
        <v>0</v>
      </c>
      <c r="S197" s="104">
        <v>0</v>
      </c>
      <c r="T197" s="104">
        <v>15.170876838541661</v>
      </c>
      <c r="U197" s="104">
        <v>15.170876838541671</v>
      </c>
      <c r="V197" s="104">
        <v>15.170876838541671</v>
      </c>
      <c r="W197" s="104">
        <v>15.170876838541671</v>
      </c>
      <c r="X197" s="104">
        <v>15.170876838541671</v>
      </c>
      <c r="Y197" s="104">
        <v>15.170876838541671</v>
      </c>
      <c r="Z197" s="104">
        <v>15.170876838541671</v>
      </c>
      <c r="AA197" s="104">
        <v>15.170876838541671</v>
      </c>
      <c r="AB197" s="104">
        <v>15.170876838541671</v>
      </c>
      <c r="AC197" s="104">
        <v>15.170876838541671</v>
      </c>
      <c r="AD197" s="104">
        <v>15.170876838541671</v>
      </c>
      <c r="AE197" s="104">
        <v>15.170876838541671</v>
      </c>
      <c r="AF197" s="104">
        <v>15.170876838541671</v>
      </c>
      <c r="AG197" s="104">
        <v>15.170876838541671</v>
      </c>
      <c r="AH197" s="104">
        <v>15.170876838541671</v>
      </c>
      <c r="AI197" s="104">
        <v>15.170876838541671</v>
      </c>
      <c r="AJ197" s="104">
        <v>15.170876838541671</v>
      </c>
      <c r="AK197" s="104">
        <v>15.170876838541671</v>
      </c>
      <c r="AL197" s="104">
        <v>15.170876838541671</v>
      </c>
      <c r="AM197" s="104">
        <v>15.170876838541671</v>
      </c>
      <c r="AN197" s="104">
        <v>15.170876838541671</v>
      </c>
      <c r="AO197" s="104">
        <v>15.170876838541671</v>
      </c>
      <c r="AP197" s="104">
        <v>15.170876838541671</v>
      </c>
      <c r="AQ197" s="104">
        <v>15.170876838541671</v>
      </c>
      <c r="AR197" s="104">
        <v>15.170876838541671</v>
      </c>
      <c r="AS197" s="104">
        <v>15.170876838541671</v>
      </c>
      <c r="AT197" s="104">
        <v>15.170876838541671</v>
      </c>
      <c r="AU197" s="104">
        <v>15.170876838541671</v>
      </c>
      <c r="AV197" s="104">
        <v>15.170876838541671</v>
      </c>
      <c r="AW197" s="104">
        <v>15.170876838541671</v>
      </c>
      <c r="AX197" s="104">
        <v>15.170876838541671</v>
      </c>
      <c r="AY197" s="104">
        <v>15.170876838541671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15.170876838541671</v>
      </c>
      <c r="U198" s="104">
        <v>1.0658141036401503E-14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15.170876838541671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15.170876838541671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15.170876838541671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12.670618832802875</v>
      </c>
      <c r="T202" s="104">
        <v>15.170876838541671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15.170876838541671</v>
      </c>
      <c r="T203" s="104">
        <v>2.5002580057387966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15.170876838541671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15.170876838541671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15.170876838541671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15.170876838541671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211</v>
      </c>
      <c r="D208" s="104">
        <v>93</v>
      </c>
      <c r="E208" s="104">
        <v>91</v>
      </c>
      <c r="F208" s="104">
        <v>99</v>
      </c>
      <c r="G208" s="104">
        <v>90</v>
      </c>
      <c r="H208" s="104">
        <v>104</v>
      </c>
      <c r="I208" s="104">
        <v>88</v>
      </c>
      <c r="J208" s="104">
        <v>98</v>
      </c>
      <c r="K208" s="104">
        <v>133</v>
      </c>
      <c r="L208" s="104">
        <v>118</v>
      </c>
      <c r="M208" s="104">
        <v>116</v>
      </c>
      <c r="N208" s="104">
        <v>133</v>
      </c>
      <c r="O208" s="104">
        <v>117.43679317394263</v>
      </c>
      <c r="P208" s="104">
        <v>113.82305829743719</v>
      </c>
      <c r="Q208" s="104">
        <v>101.51578093298122</v>
      </c>
      <c r="R208" s="104">
        <v>116.62610657465855</v>
      </c>
      <c r="S208" s="104">
        <v>34.320973439495887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0</v>
      </c>
      <c r="F209" s="122">
        <v>0</v>
      </c>
      <c r="G209" s="122">
        <v>6.2989148281250023</v>
      </c>
      <c r="H209" s="122">
        <v>6.2989148281250023</v>
      </c>
      <c r="I209" s="122">
        <v>6.2989148281250023</v>
      </c>
      <c r="J209" s="122">
        <v>6.2989148281250023</v>
      </c>
      <c r="K209" s="122">
        <v>6.2989148281250023</v>
      </c>
      <c r="L209" s="122">
        <v>6.2989148281250023</v>
      </c>
      <c r="M209" s="122">
        <v>6.2989148281250023</v>
      </c>
      <c r="N209" s="122">
        <v>6.2989148281250023</v>
      </c>
      <c r="O209" s="122">
        <v>6.2989148281250023</v>
      </c>
      <c r="P209" s="122">
        <v>6.2989148281250023</v>
      </c>
      <c r="Q209" s="122">
        <v>6.2989148281250023</v>
      </c>
      <c r="R209" s="122">
        <v>6.2989148281250023</v>
      </c>
      <c r="S209" s="122">
        <v>6.2989148281250023</v>
      </c>
      <c r="T209" s="122">
        <v>6.2989148281250023</v>
      </c>
      <c r="U209" s="122">
        <v>6.2989148281250023</v>
      </c>
      <c r="V209" s="122">
        <v>6.2989148281250023</v>
      </c>
      <c r="W209" s="122">
        <v>6.2989148281250023</v>
      </c>
      <c r="X209" s="122">
        <v>6.2989148281250023</v>
      </c>
      <c r="Y209" s="122">
        <v>6.2989148281250023</v>
      </c>
      <c r="Z209" s="122">
        <v>6.2989148281250023</v>
      </c>
      <c r="AA209" s="122">
        <v>6.2989148281250023</v>
      </c>
      <c r="AB209" s="122">
        <v>6.2989148281250023</v>
      </c>
      <c r="AC209" s="122">
        <v>6.2989148281250023</v>
      </c>
      <c r="AD209" s="122">
        <v>6.2989148281250023</v>
      </c>
      <c r="AE209" s="122">
        <v>6.2989148281250023</v>
      </c>
      <c r="AF209" s="122">
        <v>6.2989148281250023</v>
      </c>
      <c r="AG209" s="122">
        <v>6.2989148281250023</v>
      </c>
      <c r="AH209" s="122">
        <v>6.2989148281250023</v>
      </c>
      <c r="AI209" s="122">
        <v>6.2989148281250023</v>
      </c>
      <c r="AJ209" s="122">
        <v>6.2989148281250023</v>
      </c>
      <c r="AK209" s="122">
        <v>6.2989148281250023</v>
      </c>
      <c r="AL209" s="122">
        <v>6.2989148281250023</v>
      </c>
      <c r="AM209" s="122">
        <v>6.2989148281250023</v>
      </c>
      <c r="AN209" s="122">
        <v>6.2989148281250023</v>
      </c>
      <c r="AO209" s="122">
        <v>6.2989148281250023</v>
      </c>
      <c r="AP209" s="122">
        <v>6.2989148281250023</v>
      </c>
      <c r="AQ209" s="122">
        <v>6.2989148281250023</v>
      </c>
      <c r="AR209" s="122">
        <v>6.2989148281250023</v>
      </c>
      <c r="AS209" s="122">
        <v>6.2989148281250023</v>
      </c>
      <c r="AT209" s="122">
        <v>6.2989148281250023</v>
      </c>
      <c r="AU209" s="122">
        <v>6.2989148281250023</v>
      </c>
      <c r="AV209" s="122">
        <v>6.2989148281250023</v>
      </c>
      <c r="AW209" s="122">
        <v>6.2989148281250023</v>
      </c>
      <c r="AX209" s="122">
        <v>6.2989148281250023</v>
      </c>
      <c r="AY209" s="122">
        <v>6.2989148281250023</v>
      </c>
    </row>
    <row r="210" spans="1:51">
      <c r="A210" s="107"/>
      <c r="B210" s="117">
        <v>2</v>
      </c>
      <c r="C210" s="104">
        <v>52.128182212501727</v>
      </c>
      <c r="D210" s="108">
        <v>53.643444867083083</v>
      </c>
      <c r="E210" s="108">
        <v>58.73354611155775</v>
      </c>
      <c r="F210" s="108">
        <v>0</v>
      </c>
      <c r="G210" s="108">
        <v>1.8480071268494538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74.871817787498273</v>
      </c>
      <c r="D211" s="108">
        <v>16.356555132916917</v>
      </c>
      <c r="E211" s="108">
        <v>8.266453888442248</v>
      </c>
      <c r="F211" s="108">
        <v>76</v>
      </c>
      <c r="G211" s="108">
        <v>0.54217757091072705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5.560893458337488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329513.4628028936</v>
      </c>
      <c r="E259" s="122">
        <f t="shared" ref="E259:AX259" si="5">F$14*$B$259</f>
        <v>320986.25002799788</v>
      </c>
      <c r="F259" s="122">
        <f t="shared" si="5"/>
        <v>161406.83330988372</v>
      </c>
      <c r="G259" s="122">
        <f t="shared" si="5"/>
        <v>22308.632735672327</v>
      </c>
      <c r="H259" s="122">
        <f t="shared" si="5"/>
        <v>9861.069945052086</v>
      </c>
      <c r="I259" s="122">
        <f t="shared" si="5"/>
        <v>9861.069945052086</v>
      </c>
      <c r="J259" s="122">
        <f t="shared" si="5"/>
        <v>9861.069945052086</v>
      </c>
      <c r="K259" s="122">
        <f t="shared" si="5"/>
        <v>9861.069945052086</v>
      </c>
      <c r="L259" s="122">
        <f t="shared" si="5"/>
        <v>9861.069945052086</v>
      </c>
      <c r="M259" s="122">
        <f t="shared" si="5"/>
        <v>9861.069945052086</v>
      </c>
      <c r="N259" s="122">
        <f t="shared" si="5"/>
        <v>9861.069945052086</v>
      </c>
      <c r="O259" s="122">
        <f t="shared" si="5"/>
        <v>9861.069945052086</v>
      </c>
      <c r="P259" s="122">
        <f t="shared" si="5"/>
        <v>9861.069945052086</v>
      </c>
      <c r="Q259" s="122">
        <f t="shared" si="5"/>
        <v>9861.069945052086</v>
      </c>
      <c r="R259" s="122">
        <f t="shared" si="5"/>
        <v>9861.069945052086</v>
      </c>
      <c r="S259" s="122">
        <f t="shared" si="5"/>
        <v>9861.069945052086</v>
      </c>
      <c r="T259" s="122">
        <f t="shared" si="5"/>
        <v>9861.069945052086</v>
      </c>
      <c r="U259" s="122">
        <f t="shared" si="5"/>
        <v>9861.069945052086</v>
      </c>
      <c r="V259" s="122">
        <f t="shared" si="5"/>
        <v>9861.069945052086</v>
      </c>
      <c r="W259" s="122">
        <f t="shared" si="5"/>
        <v>9861.069945052086</v>
      </c>
      <c r="X259" s="122">
        <f t="shared" si="5"/>
        <v>9861.069945052086</v>
      </c>
      <c r="Y259" s="122">
        <f t="shared" si="5"/>
        <v>9861.069945052086</v>
      </c>
      <c r="Z259" s="122">
        <f t="shared" si="5"/>
        <v>9861.069945052086</v>
      </c>
      <c r="AA259" s="122">
        <f t="shared" si="5"/>
        <v>9861.069945052086</v>
      </c>
      <c r="AB259" s="122">
        <f t="shared" si="5"/>
        <v>9861.069945052086</v>
      </c>
      <c r="AC259" s="122">
        <f t="shared" si="5"/>
        <v>9861.069945052086</v>
      </c>
      <c r="AD259" s="122">
        <f t="shared" si="5"/>
        <v>9861.069945052086</v>
      </c>
      <c r="AE259" s="122">
        <f t="shared" si="5"/>
        <v>9861.069945052086</v>
      </c>
      <c r="AF259" s="122">
        <f t="shared" si="5"/>
        <v>9861.069945052086</v>
      </c>
      <c r="AG259" s="122">
        <f t="shared" si="5"/>
        <v>9861.069945052086</v>
      </c>
      <c r="AH259" s="122">
        <f t="shared" si="5"/>
        <v>9861.069945052086</v>
      </c>
      <c r="AI259" s="122">
        <f t="shared" si="5"/>
        <v>9861.069945052086</v>
      </c>
      <c r="AJ259" s="122">
        <f t="shared" si="5"/>
        <v>9861.069945052086</v>
      </c>
      <c r="AK259" s="122">
        <f t="shared" si="5"/>
        <v>9861.069945052086</v>
      </c>
      <c r="AL259" s="122">
        <f t="shared" si="5"/>
        <v>9861.069945052086</v>
      </c>
      <c r="AM259" s="122">
        <f t="shared" si="5"/>
        <v>9861.069945052086</v>
      </c>
      <c r="AN259" s="122">
        <f t="shared" si="5"/>
        <v>9861.069945052086</v>
      </c>
      <c r="AO259" s="122">
        <f t="shared" si="5"/>
        <v>9861.069945052086</v>
      </c>
      <c r="AP259" s="122">
        <f t="shared" si="5"/>
        <v>9861.069945052086</v>
      </c>
      <c r="AQ259" s="122">
        <f t="shared" si="5"/>
        <v>9861.069945052086</v>
      </c>
      <c r="AR259" s="122">
        <f t="shared" si="5"/>
        <v>9861.069945052086</v>
      </c>
      <c r="AS259" s="122">
        <f t="shared" si="5"/>
        <v>9861.069945052086</v>
      </c>
      <c r="AT259" s="122">
        <f t="shared" si="5"/>
        <v>9861.069945052086</v>
      </c>
      <c r="AU259" s="122">
        <f t="shared" si="5"/>
        <v>9861.069945052086</v>
      </c>
      <c r="AV259" s="122">
        <f t="shared" si="5"/>
        <v>9861.069945052086</v>
      </c>
      <c r="AW259" s="122">
        <f t="shared" si="5"/>
        <v>9861.069945052086</v>
      </c>
      <c r="AX259" s="122">
        <f t="shared" si="5"/>
        <v>9861.069945052086</v>
      </c>
      <c r="AY259" s="122">
        <f>AZ$14*$B$259</f>
        <v>9861.069945052086</v>
      </c>
      <c r="AZ259" s="137">
        <f>SUM($D259:$AY259)</f>
        <v>1268102.256458737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972123.36565260333</v>
      </c>
      <c r="E260" s="123">
        <f t="shared" ref="E260:AY260" si="6">(E$175-E$176+E$177-E$178+E$179-E$180+E$181-E$182)*$B$260</f>
        <v>953061.91161982738</v>
      </c>
      <c r="F260" s="123">
        <f t="shared" si="6"/>
        <v>897293.1130966834</v>
      </c>
      <c r="G260" s="123">
        <f t="shared" si="6"/>
        <v>838838.40357586299</v>
      </c>
      <c r="H260" s="123">
        <f t="shared" si="6"/>
        <v>758316.11762998684</v>
      </c>
      <c r="I260" s="123">
        <f t="shared" si="6"/>
        <v>651952.41265107715</v>
      </c>
      <c r="J260" s="123">
        <f t="shared" si="6"/>
        <v>549887.52516701515</v>
      </c>
      <c r="K260" s="123">
        <f t="shared" si="6"/>
        <v>467623.8856687565</v>
      </c>
      <c r="L260" s="123">
        <f t="shared" si="6"/>
        <v>401658.38733136316</v>
      </c>
      <c r="M260" s="123">
        <f t="shared" si="6"/>
        <v>366105.95282439212</v>
      </c>
      <c r="N260" s="123">
        <f t="shared" si="6"/>
        <v>315635.03784983704</v>
      </c>
      <c r="O260" s="123">
        <f t="shared" si="6"/>
        <v>237722.58879997846</v>
      </c>
      <c r="P260" s="123">
        <f t="shared" si="6"/>
        <v>150258.7475347874</v>
      </c>
      <c r="Q260" s="123">
        <f t="shared" si="6"/>
        <v>121393.17139131553</v>
      </c>
      <c r="R260" s="123">
        <f t="shared" si="6"/>
        <v>87469.666400542977</v>
      </c>
      <c r="S260" s="123">
        <f t="shared" si="6"/>
        <v>68089.996451906831</v>
      </c>
      <c r="T260" s="123">
        <f t="shared" si="6"/>
        <v>67528.71792000001</v>
      </c>
      <c r="U260" s="123">
        <f t="shared" si="6"/>
        <v>61888.717920000003</v>
      </c>
      <c r="V260" s="123">
        <f t="shared" si="6"/>
        <v>63148.717920000017</v>
      </c>
      <c r="W260" s="123">
        <f t="shared" si="6"/>
        <v>62728.717920000003</v>
      </c>
      <c r="X260" s="123">
        <f t="shared" si="6"/>
        <v>67446.355980000022</v>
      </c>
      <c r="Y260" s="123">
        <f t="shared" si="6"/>
        <v>73723.994040000005</v>
      </c>
      <c r="Z260" s="123">
        <f t="shared" si="6"/>
        <v>71241.632100000003</v>
      </c>
      <c r="AA260" s="123">
        <f t="shared" si="6"/>
        <v>74219.27016</v>
      </c>
      <c r="AB260" s="123">
        <f t="shared" si="6"/>
        <v>80399.27016</v>
      </c>
      <c r="AC260" s="123">
        <f t="shared" si="6"/>
        <v>78719.270159999985</v>
      </c>
      <c r="AD260" s="123">
        <f t="shared" si="6"/>
        <v>76079.27016</v>
      </c>
      <c r="AE260" s="123">
        <f t="shared" si="6"/>
        <v>79499.27016</v>
      </c>
      <c r="AF260" s="123">
        <f t="shared" si="6"/>
        <v>74939.27016</v>
      </c>
      <c r="AG260" s="123">
        <f t="shared" si="6"/>
        <v>75719.270160000015</v>
      </c>
      <c r="AH260" s="123">
        <f t="shared" si="6"/>
        <v>79859.27016</v>
      </c>
      <c r="AI260" s="123">
        <f t="shared" si="6"/>
        <v>79019.27016</v>
      </c>
      <c r="AJ260" s="123">
        <f t="shared" si="6"/>
        <v>73439.27016</v>
      </c>
      <c r="AK260" s="123">
        <f t="shared" si="6"/>
        <v>79499.270160000015</v>
      </c>
      <c r="AL260" s="123">
        <f t="shared" si="6"/>
        <v>77399.27016</v>
      </c>
      <c r="AM260" s="123">
        <f t="shared" si="6"/>
        <v>77279.27016</v>
      </c>
      <c r="AN260" s="123">
        <f t="shared" si="6"/>
        <v>74339.27016</v>
      </c>
      <c r="AO260" s="123">
        <f t="shared" si="6"/>
        <v>75719.270160000015</v>
      </c>
      <c r="AP260" s="123">
        <f t="shared" si="6"/>
        <v>75959.27016</v>
      </c>
      <c r="AQ260" s="123">
        <f t="shared" si="6"/>
        <v>80159.27016</v>
      </c>
      <c r="AR260" s="123">
        <f t="shared" si="6"/>
        <v>73319.27016</v>
      </c>
      <c r="AS260" s="123">
        <f t="shared" si="6"/>
        <v>77339.27016</v>
      </c>
      <c r="AT260" s="123">
        <f t="shared" si="6"/>
        <v>75479.27016</v>
      </c>
      <c r="AU260" s="123">
        <f t="shared" si="6"/>
        <v>77399.27016</v>
      </c>
      <c r="AV260" s="123">
        <f t="shared" si="6"/>
        <v>74718.595608000003</v>
      </c>
      <c r="AW260" s="123">
        <f t="shared" si="6"/>
        <v>76717.921056000007</v>
      </c>
      <c r="AX260" s="123">
        <f t="shared" si="6"/>
        <v>81537.24650400001</v>
      </c>
      <c r="AY260" s="123">
        <f t="shared" si="6"/>
        <v>80476.571951999998</v>
      </c>
      <c r="AZ260" s="139">
        <f>SUM($D260:$AY260)</f>
        <v>10234372.145925952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5">
      <c r="A1" s="100" t="s">
        <v>285</v>
      </c>
    </row>
    <row r="2" spans="1:55">
      <c r="A2" s="98" t="s">
        <v>286</v>
      </c>
      <c r="B2" s="105" t="s">
        <v>46</v>
      </c>
    </row>
    <row r="3" spans="1:55">
      <c r="A3" s="98" t="s">
        <v>287</v>
      </c>
      <c r="B3" s="106">
        <v>10000</v>
      </c>
      <c r="C3" s="107"/>
    </row>
    <row r="4" spans="1:55">
      <c r="B4" s="108"/>
      <c r="C4" s="108"/>
    </row>
    <row r="5" spans="1:55">
      <c r="C5" s="109" t="s">
        <v>288</v>
      </c>
    </row>
    <row r="6" spans="1:55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5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5">
      <c r="A8" s="100" t="s">
        <v>293</v>
      </c>
      <c r="B8" s="112"/>
      <c r="AY8" s="108"/>
    </row>
    <row r="9" spans="1:55">
      <c r="A9" s="113" t="s">
        <v>125</v>
      </c>
      <c r="B9" s="114">
        <v>1</v>
      </c>
      <c r="C9" s="115" t="s">
        <v>294</v>
      </c>
      <c r="D9" s="115">
        <v>276.98577120000004</v>
      </c>
      <c r="E9" s="115">
        <v>276.98577120000004</v>
      </c>
      <c r="F9" s="115">
        <v>276.98577120000004</v>
      </c>
      <c r="G9" s="115">
        <v>276.98577120000004</v>
      </c>
      <c r="H9" s="115">
        <v>276.98577120000004</v>
      </c>
      <c r="I9" s="115">
        <v>276.98577120000004</v>
      </c>
      <c r="J9" s="115">
        <v>276.98577120000004</v>
      </c>
      <c r="K9" s="115">
        <v>276.98577120000004</v>
      </c>
      <c r="L9" s="115">
        <v>276.98577120000004</v>
      </c>
      <c r="M9" s="115">
        <v>276.98577120000004</v>
      </c>
      <c r="N9" s="115">
        <v>276.98577120000004</v>
      </c>
      <c r="O9" s="115">
        <v>276.98577120000004</v>
      </c>
      <c r="P9" s="115">
        <v>276.98577120000004</v>
      </c>
      <c r="Q9" s="115">
        <v>276.98577120000004</v>
      </c>
      <c r="R9" s="115">
        <v>276.98577120000004</v>
      </c>
      <c r="S9" s="115">
        <v>276.98577120000004</v>
      </c>
      <c r="T9" s="115">
        <v>276.98577120000004</v>
      </c>
      <c r="U9" s="115">
        <v>276.98577120000004</v>
      </c>
      <c r="V9" s="115">
        <v>276.98577120000004</v>
      </c>
      <c r="W9" s="115">
        <v>276.98577120000004</v>
      </c>
      <c r="X9" s="115">
        <v>276.98577120000004</v>
      </c>
      <c r="Y9" s="115">
        <v>276.98577120000004</v>
      </c>
      <c r="Z9" s="115">
        <v>276.98577120000004</v>
      </c>
      <c r="AA9" s="115">
        <v>276.98577120000004</v>
      </c>
      <c r="AB9" s="115">
        <v>266.358294</v>
      </c>
      <c r="AC9" s="115">
        <v>266.358294</v>
      </c>
      <c r="AD9" s="115">
        <v>266.358294</v>
      </c>
      <c r="AE9" s="115">
        <v>266.358294</v>
      </c>
      <c r="AF9" s="115">
        <v>266.358294</v>
      </c>
      <c r="AG9" s="115">
        <v>266.358294</v>
      </c>
      <c r="AH9" s="115">
        <v>266.358294</v>
      </c>
      <c r="AI9" s="115">
        <v>266.358294</v>
      </c>
      <c r="AJ9" s="115">
        <v>266.358294</v>
      </c>
      <c r="AK9" s="115">
        <v>266.358294</v>
      </c>
      <c r="AL9" s="115">
        <v>266.358294</v>
      </c>
      <c r="AM9" s="115">
        <v>266.358294</v>
      </c>
      <c r="AN9" s="115">
        <v>266.358294</v>
      </c>
      <c r="AO9" s="115">
        <v>266.358294</v>
      </c>
      <c r="AP9" s="115">
        <v>266.358294</v>
      </c>
      <c r="AQ9" s="115">
        <v>266.358294</v>
      </c>
      <c r="AR9" s="115">
        <v>255.73081680000001</v>
      </c>
      <c r="AS9" s="115">
        <v>255.73081680000001</v>
      </c>
      <c r="AT9" s="115">
        <v>255.73081680000001</v>
      </c>
      <c r="AU9" s="115">
        <v>255.73081680000001</v>
      </c>
      <c r="AV9" s="115">
        <v>309.00247560000003</v>
      </c>
      <c r="AW9" s="115">
        <v>309.00247560000003</v>
      </c>
      <c r="AX9" s="115">
        <v>309.00247560000003</v>
      </c>
      <c r="AY9" s="115">
        <v>309.00247560000003</v>
      </c>
    </row>
    <row r="10" spans="1:55">
      <c r="A10" s="116" t="s">
        <v>133</v>
      </c>
      <c r="B10" s="117">
        <v>1</v>
      </c>
      <c r="C10" s="104" t="s">
        <v>294</v>
      </c>
      <c r="E10" s="98">
        <v>84.138838782779999</v>
      </c>
      <c r="F10" s="98">
        <v>48.329953261538407</v>
      </c>
      <c r="G10" s="98">
        <v>48.329953261538407</v>
      </c>
      <c r="H10" s="98">
        <v>48.329953261538407</v>
      </c>
      <c r="I10" s="98">
        <v>43.167781137618007</v>
      </c>
      <c r="J10" s="98">
        <v>31.907521943056977</v>
      </c>
      <c r="K10" s="98">
        <v>17.836712392678205</v>
      </c>
      <c r="L10" s="98">
        <v>13.228275930292803</v>
      </c>
      <c r="M10" s="98">
        <v>22.445148855063607</v>
      </c>
      <c r="N10" s="98">
        <v>51.654549051041393</v>
      </c>
      <c r="O10" s="98">
        <v>51.654549051041393</v>
      </c>
      <c r="P10" s="98">
        <v>22.047126550488002</v>
      </c>
      <c r="Q10" s="98">
        <v>27.415002533585401</v>
      </c>
      <c r="R10" s="98">
        <v>13.228275930292803</v>
      </c>
      <c r="S10" s="98">
        <v>39.353884908116399</v>
      </c>
      <c r="T10" s="98">
        <v>35.164890648417597</v>
      </c>
      <c r="U10" s="98">
        <v>17.417270189991605</v>
      </c>
      <c r="V10" s="98">
        <v>44.732102046205199</v>
      </c>
      <c r="W10" s="98">
        <v>17.645102046205203</v>
      </c>
      <c r="X10" s="98">
        <v>44.732102046205199</v>
      </c>
      <c r="Y10" s="98">
        <v>39.581716764329997</v>
      </c>
      <c r="Z10" s="98">
        <v>46.286673067943994</v>
      </c>
      <c r="AA10" s="98">
        <v>51.654549051041393</v>
      </c>
      <c r="AB10" s="98">
        <v>27.415002533585401</v>
      </c>
      <c r="AC10" s="98">
        <v>54.502002533585404</v>
      </c>
      <c r="AD10" s="98">
        <v>27.247270650444001</v>
      </c>
      <c r="AE10" s="98">
        <v>48.367925237573999</v>
      </c>
      <c r="AF10" s="98">
        <v>48.367925237573999</v>
      </c>
      <c r="AG10" s="98">
        <v>44.255792842917565</v>
      </c>
      <c r="AH10" s="98">
        <v>22.047126550488002</v>
      </c>
      <c r="AI10" s="98">
        <v>22.047126550488002</v>
      </c>
      <c r="AJ10" s="98">
        <v>46.286673067943994</v>
      </c>
      <c r="AK10" s="98">
        <v>46.286673067943994</v>
      </c>
      <c r="AL10" s="98">
        <v>32.384445043535997</v>
      </c>
      <c r="AM10" s="98">
        <v>15.480111833487001</v>
      </c>
      <c r="AN10" s="98">
        <v>36.840993601778997</v>
      </c>
      <c r="AO10" s="98">
        <v>11.023563275244001</v>
      </c>
      <c r="AP10" s="98">
        <v>19.842413895439201</v>
      </c>
      <c r="AQ10" s="98">
        <v>48.722215542017402</v>
      </c>
      <c r="AR10" s="98">
        <v>19.842413895439201</v>
      </c>
      <c r="AS10" s="98">
        <v>19.842413895439201</v>
      </c>
      <c r="AT10" s="98">
        <v>17.637701240390403</v>
      </c>
      <c r="AU10" s="98">
        <v>40.725781858180802</v>
      </c>
      <c r="AV10" s="98">
        <v>40.725781858180802</v>
      </c>
      <c r="AW10" s="98">
        <v>40.725781858180802</v>
      </c>
      <c r="AX10" s="98">
        <v>15.8222194353432</v>
      </c>
      <c r="AY10" s="98">
        <v>21.9384332417916</v>
      </c>
      <c r="AZ10" s="98">
        <v>48.784215952378801</v>
      </c>
    </row>
    <row r="11" spans="1:55">
      <c r="B11" s="117">
        <v>2</v>
      </c>
      <c r="C11" s="104" t="s">
        <v>294</v>
      </c>
      <c r="F11" s="98">
        <v>27.087</v>
      </c>
      <c r="G11" s="98">
        <v>0</v>
      </c>
      <c r="J11" s="98">
        <v>5.1621721239204001</v>
      </c>
      <c r="L11" s="98">
        <v>21.936614718124797</v>
      </c>
      <c r="M11" s="98">
        <v>21.936614718124797</v>
      </c>
      <c r="N11" s="98">
        <v>21.936614718124797</v>
      </c>
      <c r="P11" s="98">
        <v>0</v>
      </c>
      <c r="Q11" s="98">
        <v>29.607422500553398</v>
      </c>
      <c r="R11" s="98">
        <v>24.239546517455995</v>
      </c>
      <c r="S11" s="98">
        <v>26.1256089778236</v>
      </c>
      <c r="T11" s="98">
        <v>0</v>
      </c>
      <c r="V11" s="98">
        <v>0</v>
      </c>
      <c r="W11" s="98">
        <v>0</v>
      </c>
      <c r="X11" s="98">
        <v>0</v>
      </c>
      <c r="Y11" s="98">
        <v>0</v>
      </c>
      <c r="AA11" s="98">
        <v>5.3678759830974005</v>
      </c>
      <c r="AB11" s="98">
        <v>0</v>
      </c>
      <c r="AC11" s="98">
        <v>0</v>
      </c>
      <c r="AD11" s="98">
        <v>0</v>
      </c>
      <c r="AE11" s="98">
        <v>21.120654587129998</v>
      </c>
      <c r="AF11" s="98">
        <v>0</v>
      </c>
      <c r="AG11" s="98">
        <v>0</v>
      </c>
      <c r="AI11" s="98">
        <v>29.645394476588997</v>
      </c>
      <c r="AJ11" s="98">
        <v>29.645394476588997</v>
      </c>
      <c r="AL11" s="98">
        <v>5.4058479591330002</v>
      </c>
      <c r="AM11" s="98">
        <v>4.456548558243</v>
      </c>
      <c r="AN11" s="98">
        <v>21.360881768291996</v>
      </c>
      <c r="AP11" s="98">
        <v>21.360881768291996</v>
      </c>
      <c r="AQ11" s="98">
        <v>28.879801646578198</v>
      </c>
      <c r="AR11" s="98">
        <v>0</v>
      </c>
      <c r="AS11" s="98">
        <v>23.663813567623198</v>
      </c>
      <c r="AT11" s="98">
        <v>23.663813567623198</v>
      </c>
      <c r="AU11" s="98">
        <v>23.0880806177904</v>
      </c>
      <c r="AV11" s="98">
        <v>0</v>
      </c>
      <c r="AW11" s="98">
        <v>12.823497</v>
      </c>
      <c r="AX11" s="98">
        <v>5.2919320310261995</v>
      </c>
      <c r="AY11" s="98">
        <v>0</v>
      </c>
      <c r="AZ11" s="98">
        <v>4.7986561600991999</v>
      </c>
    </row>
    <row r="12" spans="1:55">
      <c r="B12" s="118">
        <v>3</v>
      </c>
      <c r="C12" s="104" t="s">
        <v>294</v>
      </c>
      <c r="G12" s="98">
        <v>0</v>
      </c>
      <c r="I12" s="98">
        <v>0</v>
      </c>
      <c r="J12" s="98">
        <v>0</v>
      </c>
      <c r="K12" s="98">
        <v>0</v>
      </c>
      <c r="M12" s="98">
        <v>0</v>
      </c>
      <c r="V12" s="98">
        <v>4.1889942596988012</v>
      </c>
      <c r="W12" s="98">
        <v>0</v>
      </c>
      <c r="AA12" s="98">
        <v>0</v>
      </c>
      <c r="AF12" s="98">
        <v>0</v>
      </c>
      <c r="AI12" s="98">
        <v>0</v>
      </c>
      <c r="AL12" s="98">
        <v>5.4058479591330002</v>
      </c>
      <c r="AQ12" s="98">
        <v>4.456548558243</v>
      </c>
      <c r="AT12" s="98">
        <v>5.2159880789550002</v>
      </c>
      <c r="AU12" s="98">
        <v>5.2159880789550002</v>
      </c>
      <c r="AV12" s="98">
        <v>0</v>
      </c>
      <c r="AX12" s="98">
        <v>0</v>
      </c>
      <c r="AZ12" s="98">
        <v>21.9384332417916</v>
      </c>
    </row>
    <row r="13" spans="1:55">
      <c r="B13" s="118">
        <v>4</v>
      </c>
      <c r="C13" s="104" t="s">
        <v>294</v>
      </c>
      <c r="M13" s="98">
        <v>0</v>
      </c>
      <c r="P13" s="98">
        <v>0</v>
      </c>
      <c r="Q13" s="98">
        <v>0</v>
      </c>
      <c r="U13" s="98">
        <v>0</v>
      </c>
      <c r="AQ13" s="98">
        <v>0</v>
      </c>
      <c r="BA13" s="98">
        <v>0</v>
      </c>
      <c r="BC13" s="98">
        <v>0</v>
      </c>
    </row>
    <row r="14" spans="1:55">
      <c r="A14" s="113" t="s">
        <v>134</v>
      </c>
      <c r="B14" s="119">
        <v>1</v>
      </c>
      <c r="C14" s="115" t="s">
        <v>294</v>
      </c>
      <c r="D14" s="115"/>
      <c r="E14" s="115">
        <f t="shared" ref="E14:AZ14" si="0">D$172*SUM(D$122:D$169)</f>
        <v>28.619423531250007</v>
      </c>
      <c r="F14" s="115">
        <f t="shared" si="0"/>
        <v>28.619423531250007</v>
      </c>
      <c r="G14" s="115">
        <f t="shared" si="0"/>
        <v>28.619423531250007</v>
      </c>
      <c r="H14" s="115">
        <f t="shared" si="0"/>
        <v>28.619423531250007</v>
      </c>
      <c r="I14" s="115">
        <f t="shared" si="0"/>
        <v>28.619423531250007</v>
      </c>
      <c r="J14" s="115">
        <f t="shared" si="0"/>
        <v>28.619423531250007</v>
      </c>
      <c r="K14" s="115">
        <f t="shared" si="0"/>
        <v>28.619423531250007</v>
      </c>
      <c r="L14" s="115">
        <f t="shared" si="0"/>
        <v>28.619423531250007</v>
      </c>
      <c r="M14" s="115">
        <f t="shared" si="0"/>
        <v>28.619423531250007</v>
      </c>
      <c r="N14" s="115">
        <f t="shared" si="0"/>
        <v>28.619423531250007</v>
      </c>
      <c r="O14" s="115">
        <f t="shared" si="0"/>
        <v>28.619423531250007</v>
      </c>
      <c r="P14" s="115">
        <f t="shared" si="0"/>
        <v>28.619423531250007</v>
      </c>
      <c r="Q14" s="115">
        <f t="shared" si="0"/>
        <v>28.619423531250007</v>
      </c>
      <c r="R14" s="115">
        <f t="shared" si="0"/>
        <v>28.619423531250007</v>
      </c>
      <c r="S14" s="115">
        <f t="shared" si="0"/>
        <v>28.619423531250007</v>
      </c>
      <c r="T14" s="115">
        <f t="shared" si="0"/>
        <v>28.619423531250007</v>
      </c>
      <c r="U14" s="115">
        <f t="shared" si="0"/>
        <v>28.619423531250007</v>
      </c>
      <c r="V14" s="115">
        <f t="shared" si="0"/>
        <v>28.619423531250007</v>
      </c>
      <c r="W14" s="115">
        <f t="shared" si="0"/>
        <v>28.619423531250007</v>
      </c>
      <c r="X14" s="115">
        <f t="shared" si="0"/>
        <v>28.619423531250007</v>
      </c>
      <c r="Y14" s="115">
        <f t="shared" si="0"/>
        <v>28.619423531250007</v>
      </c>
      <c r="Z14" s="115">
        <f t="shared" si="0"/>
        <v>28.619423531250007</v>
      </c>
      <c r="AA14" s="115">
        <f t="shared" si="0"/>
        <v>28.619423531250007</v>
      </c>
      <c r="AB14" s="115">
        <f t="shared" si="0"/>
        <v>28.619423531250007</v>
      </c>
      <c r="AC14" s="115">
        <f t="shared" si="0"/>
        <v>28.619423531250007</v>
      </c>
      <c r="AD14" s="115">
        <f t="shared" si="0"/>
        <v>28.619423531250007</v>
      </c>
      <c r="AE14" s="115">
        <f t="shared" si="0"/>
        <v>28.619423531250007</v>
      </c>
      <c r="AF14" s="115">
        <f t="shared" si="0"/>
        <v>28.619423531250007</v>
      </c>
      <c r="AG14" s="115">
        <f t="shared" si="0"/>
        <v>28.619423531250007</v>
      </c>
      <c r="AH14" s="115">
        <f t="shared" si="0"/>
        <v>28.619423531250007</v>
      </c>
      <c r="AI14" s="115">
        <f t="shared" si="0"/>
        <v>28.619423531250007</v>
      </c>
      <c r="AJ14" s="115">
        <f t="shared" si="0"/>
        <v>28.619423531250007</v>
      </c>
      <c r="AK14" s="115">
        <f t="shared" si="0"/>
        <v>28.619423531250007</v>
      </c>
      <c r="AL14" s="115">
        <f t="shared" si="0"/>
        <v>28.619423531250007</v>
      </c>
      <c r="AM14" s="115">
        <f t="shared" si="0"/>
        <v>28.619423531250007</v>
      </c>
      <c r="AN14" s="115">
        <f t="shared" si="0"/>
        <v>28.619423531250007</v>
      </c>
      <c r="AO14" s="115">
        <f t="shared" si="0"/>
        <v>28.619423531250007</v>
      </c>
      <c r="AP14" s="115">
        <f t="shared" si="0"/>
        <v>28.619423531250007</v>
      </c>
      <c r="AQ14" s="115">
        <f t="shared" si="0"/>
        <v>28.619423531250007</v>
      </c>
      <c r="AR14" s="115">
        <f t="shared" si="0"/>
        <v>28.619423531250007</v>
      </c>
      <c r="AS14" s="115">
        <f t="shared" si="0"/>
        <v>28.619423531250007</v>
      </c>
      <c r="AT14" s="115">
        <f t="shared" si="0"/>
        <v>28.619423531250007</v>
      </c>
      <c r="AU14" s="115">
        <f t="shared" si="0"/>
        <v>28.619423531250007</v>
      </c>
      <c r="AV14" s="115">
        <f t="shared" si="0"/>
        <v>28.619423531250007</v>
      </c>
      <c r="AW14" s="115">
        <f t="shared" si="0"/>
        <v>28.619423531250007</v>
      </c>
      <c r="AX14" s="115">
        <f t="shared" si="0"/>
        <v>28.619423531250007</v>
      </c>
      <c r="AY14" s="115">
        <f t="shared" si="0"/>
        <v>28.619423531250007</v>
      </c>
      <c r="AZ14" s="108">
        <f t="shared" si="0"/>
        <v>28.619423531250007</v>
      </c>
      <c r="BA14" s="105">
        <f>SUM($E14:$AZ14)</f>
        <v>1373.7323295000015</v>
      </c>
    </row>
    <row r="15" spans="1:55">
      <c r="A15" s="120" t="s">
        <v>123</v>
      </c>
      <c r="B15" s="121">
        <v>1</v>
      </c>
      <c r="C15" s="122" t="s">
        <v>294</v>
      </c>
      <c r="D15" s="122">
        <v>43.118750000000006</v>
      </c>
      <c r="E15" s="122">
        <v>43.118750000000006</v>
      </c>
      <c r="F15" s="122">
        <v>43.118750000000006</v>
      </c>
      <c r="G15" s="122">
        <v>43.118750000000006</v>
      </c>
      <c r="H15" s="122">
        <v>43.118750000000006</v>
      </c>
      <c r="I15" s="122">
        <v>43.118750000000006</v>
      </c>
      <c r="J15" s="122">
        <v>43.118750000000006</v>
      </c>
      <c r="K15" s="122">
        <v>43.118750000000006</v>
      </c>
      <c r="L15" s="122">
        <v>43.118750000000006</v>
      </c>
      <c r="M15" s="122">
        <v>43.118750000000006</v>
      </c>
      <c r="N15" s="122">
        <v>43.118750000000006</v>
      </c>
      <c r="O15" s="122">
        <v>43.118750000000006</v>
      </c>
      <c r="P15" s="122">
        <v>43.118750000000006</v>
      </c>
      <c r="Q15" s="122">
        <v>43.118750000000006</v>
      </c>
      <c r="R15" s="122">
        <v>43.118750000000006</v>
      </c>
      <c r="S15" s="122">
        <v>43.118750000000006</v>
      </c>
      <c r="T15" s="122">
        <v>43.118750000000006</v>
      </c>
      <c r="U15" s="122">
        <v>43.118750000000006</v>
      </c>
      <c r="V15" s="122">
        <v>43.118750000000006</v>
      </c>
      <c r="W15" s="122">
        <v>43.118750000000006</v>
      </c>
      <c r="X15" s="122">
        <v>43.118750000000006</v>
      </c>
      <c r="Y15" s="122">
        <v>43.118750000000006</v>
      </c>
      <c r="Z15" s="122">
        <v>43.118750000000006</v>
      </c>
      <c r="AA15" s="122">
        <v>43.118750000000006</v>
      </c>
      <c r="AB15" s="122">
        <v>43.118750000000006</v>
      </c>
      <c r="AC15" s="122">
        <v>43.118750000000006</v>
      </c>
      <c r="AD15" s="122">
        <v>43.118750000000006</v>
      </c>
      <c r="AE15" s="122">
        <v>43.118750000000006</v>
      </c>
      <c r="AF15" s="122">
        <v>43.118750000000006</v>
      </c>
      <c r="AG15" s="122">
        <v>43.118750000000006</v>
      </c>
      <c r="AH15" s="122">
        <v>43.118750000000006</v>
      </c>
      <c r="AI15" s="122">
        <v>43.118750000000006</v>
      </c>
      <c r="AJ15" s="122">
        <v>43.118750000000006</v>
      </c>
      <c r="AK15" s="122">
        <v>43.118750000000006</v>
      </c>
      <c r="AL15" s="122">
        <v>43.118750000000006</v>
      </c>
      <c r="AM15" s="122">
        <v>43.118750000000006</v>
      </c>
      <c r="AN15" s="122">
        <v>43.118750000000006</v>
      </c>
      <c r="AO15" s="122">
        <v>43.118750000000006</v>
      </c>
      <c r="AP15" s="122">
        <v>43.118750000000006</v>
      </c>
      <c r="AQ15" s="122">
        <v>43.118750000000006</v>
      </c>
      <c r="AR15" s="122">
        <v>43.118750000000006</v>
      </c>
      <c r="AS15" s="122">
        <v>43.118750000000006</v>
      </c>
      <c r="AT15" s="122">
        <v>43.118750000000006</v>
      </c>
      <c r="AU15" s="122">
        <v>43.118750000000006</v>
      </c>
      <c r="AV15" s="122">
        <v>43.118750000000006</v>
      </c>
      <c r="AW15" s="122">
        <v>43.118750000000006</v>
      </c>
      <c r="AX15" s="122">
        <v>43.118750000000006</v>
      </c>
      <c r="AY15" s="122">
        <v>43.118750000000006</v>
      </c>
      <c r="AZ15" s="98">
        <v>0</v>
      </c>
    </row>
    <row r="16" spans="1:55">
      <c r="A16" s="108"/>
      <c r="B16" s="117">
        <v>2</v>
      </c>
      <c r="C16" s="107" t="s">
        <v>294</v>
      </c>
      <c r="D16" s="104"/>
      <c r="E16" s="108"/>
      <c r="F16" s="108">
        <v>0</v>
      </c>
      <c r="G16" s="108">
        <v>0</v>
      </c>
      <c r="H16" s="108"/>
      <c r="I16" s="108"/>
      <c r="J16" s="108">
        <v>0</v>
      </c>
      <c r="K16" s="108"/>
      <c r="L16" s="108">
        <v>0</v>
      </c>
      <c r="M16" s="108">
        <v>0</v>
      </c>
      <c r="N16" s="108">
        <v>0</v>
      </c>
      <c r="O16" s="108"/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>
        <v>0</v>
      </c>
      <c r="Z16" s="108"/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/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>
        <v>0</v>
      </c>
      <c r="AZ16" s="98">
        <v>0</v>
      </c>
    </row>
    <row r="17" spans="1:55">
      <c r="A17" s="108"/>
      <c r="B17" s="117">
        <v>3</v>
      </c>
      <c r="C17" s="107" t="s">
        <v>294</v>
      </c>
      <c r="D17" s="104"/>
      <c r="E17" s="108"/>
      <c r="F17" s="108"/>
      <c r="G17" s="108">
        <v>0</v>
      </c>
      <c r="H17" s="108"/>
      <c r="I17" s="108">
        <v>0</v>
      </c>
      <c r="J17" s="108">
        <v>0</v>
      </c>
      <c r="K17" s="108">
        <v>0</v>
      </c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/>
      <c r="V17" s="108">
        <v>0</v>
      </c>
      <c r="W17" s="108">
        <v>0</v>
      </c>
      <c r="X17" s="108"/>
      <c r="Y17" s="108"/>
      <c r="Z17" s="108"/>
      <c r="AA17" s="108">
        <v>0</v>
      </c>
      <c r="AB17" s="108"/>
      <c r="AC17" s="108"/>
      <c r="AD17" s="108"/>
      <c r="AE17" s="108"/>
      <c r="AF17" s="108">
        <v>0</v>
      </c>
      <c r="AG17" s="108"/>
      <c r="AH17" s="108"/>
      <c r="AI17" s="108">
        <v>0</v>
      </c>
      <c r="AJ17" s="108"/>
      <c r="AK17" s="108"/>
      <c r="AL17" s="108">
        <v>0</v>
      </c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>
        <v>0</v>
      </c>
      <c r="AV17" s="108">
        <v>0</v>
      </c>
      <c r="AW17" s="108"/>
      <c r="AX17" s="108">
        <v>0</v>
      </c>
      <c r="AY17" s="108"/>
      <c r="AZ17" s="98">
        <v>0</v>
      </c>
    </row>
    <row r="18" spans="1:55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>
        <v>0</v>
      </c>
      <c r="N18" s="123"/>
      <c r="O18" s="123"/>
      <c r="P18" s="123">
        <v>0</v>
      </c>
      <c r="Q18" s="123">
        <v>0</v>
      </c>
      <c r="R18" s="123"/>
      <c r="S18" s="123"/>
      <c r="T18" s="123"/>
      <c r="U18" s="123">
        <v>0</v>
      </c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>
        <v>0</v>
      </c>
      <c r="AR18" s="123"/>
      <c r="AS18" s="123"/>
      <c r="AT18" s="123"/>
      <c r="AU18" s="123"/>
      <c r="AV18" s="123"/>
      <c r="AW18" s="123"/>
      <c r="AX18" s="123"/>
      <c r="AY18" s="123"/>
      <c r="BA18" s="98">
        <v>0</v>
      </c>
      <c r="BC18" s="98">
        <v>0</v>
      </c>
    </row>
    <row r="20" spans="1:55">
      <c r="A20" s="100" t="s">
        <v>295</v>
      </c>
    </row>
    <row r="21" spans="1:55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5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5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5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5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5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5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5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5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5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5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5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/>
      <c r="D95" s="108">
        <v>276.98577120000004</v>
      </c>
      <c r="E95" s="108">
        <v>276.98577120000004</v>
      </c>
      <c r="F95" s="108">
        <v>276.98577120000004</v>
      </c>
      <c r="G95" s="108">
        <v>276.98577120000004</v>
      </c>
      <c r="H95" s="108">
        <v>276.98577120000004</v>
      </c>
      <c r="I95" s="108">
        <v>276.98577120000004</v>
      </c>
      <c r="J95" s="108">
        <v>276.98577120000004</v>
      </c>
      <c r="K95" s="108">
        <v>276.98577120000004</v>
      </c>
      <c r="L95" s="108">
        <v>276.98577120000004</v>
      </c>
      <c r="M95" s="108">
        <v>276.98577120000004</v>
      </c>
      <c r="N95" s="108">
        <v>276.98577120000004</v>
      </c>
      <c r="O95" s="108">
        <v>276.98577120000004</v>
      </c>
      <c r="P95" s="108">
        <v>276.98577120000004</v>
      </c>
      <c r="Q95" s="108">
        <v>276.98577120000004</v>
      </c>
      <c r="R95" s="108">
        <v>276.98577120000004</v>
      </c>
      <c r="S95" s="108">
        <v>276.98577120000004</v>
      </c>
      <c r="T95" s="108">
        <v>276.98577120000004</v>
      </c>
      <c r="U95" s="108">
        <v>276.98577120000004</v>
      </c>
      <c r="V95" s="108">
        <v>276.98577120000004</v>
      </c>
      <c r="W95" s="108">
        <v>276.98577120000004</v>
      </c>
      <c r="X95" s="108">
        <v>276.98577120000004</v>
      </c>
      <c r="Y95" s="108">
        <v>276.98577120000004</v>
      </c>
      <c r="Z95" s="108">
        <v>276.98577120000004</v>
      </c>
      <c r="AA95" s="108">
        <v>276.98577120000004</v>
      </c>
      <c r="AB95" s="108">
        <v>266.358294</v>
      </c>
      <c r="AC95" s="108">
        <v>266.358294</v>
      </c>
      <c r="AD95" s="108">
        <v>266.358294</v>
      </c>
      <c r="AE95" s="108">
        <v>266.358294</v>
      </c>
      <c r="AF95" s="108">
        <v>266.358294</v>
      </c>
      <c r="AG95" s="108">
        <v>266.358294</v>
      </c>
      <c r="AH95" s="108">
        <v>266.358294</v>
      </c>
      <c r="AI95" s="108">
        <v>266.358294</v>
      </c>
      <c r="AJ95" s="108">
        <v>266.358294</v>
      </c>
      <c r="AK95" s="108">
        <v>266.358294</v>
      </c>
      <c r="AL95" s="108">
        <v>266.358294</v>
      </c>
      <c r="AM95" s="108">
        <v>266.358294</v>
      </c>
      <c r="AN95" s="108">
        <v>266.358294</v>
      </c>
      <c r="AO95" s="108">
        <v>266.358294</v>
      </c>
      <c r="AP95" s="108">
        <v>266.358294</v>
      </c>
      <c r="AQ95" s="108">
        <v>266.358294</v>
      </c>
      <c r="AR95" s="108">
        <v>255.73081680000001</v>
      </c>
      <c r="AS95" s="108">
        <v>255.73081680000001</v>
      </c>
      <c r="AT95" s="108">
        <v>255.73081680000001</v>
      </c>
      <c r="AU95" s="108">
        <v>255.73081680000001</v>
      </c>
      <c r="AV95" s="108">
        <v>309.00247560000003</v>
      </c>
      <c r="AW95" s="108">
        <v>309.00247560000003</v>
      </c>
      <c r="AX95" s="108">
        <v>309.00247560000003</v>
      </c>
      <c r="AY95" s="108">
        <v>309.00247560000003</v>
      </c>
    </row>
    <row r="96" spans="1:52">
      <c r="A96" s="107"/>
      <c r="B96" s="118">
        <v>2</v>
      </c>
      <c r="C96" s="108"/>
      <c r="D96" s="108">
        <v>0</v>
      </c>
      <c r="E96" s="108">
        <v>111.98577120000004</v>
      </c>
      <c r="F96" s="108">
        <v>152.97154240000009</v>
      </c>
      <c r="G96" s="108">
        <v>254.95731360000013</v>
      </c>
      <c r="H96" s="108">
        <v>276.98577120000004</v>
      </c>
      <c r="I96" s="108">
        <v>276.98577120000004</v>
      </c>
      <c r="J96" s="108">
        <v>276.98577120000004</v>
      </c>
      <c r="K96" s="108">
        <v>276.98577120000004</v>
      </c>
      <c r="L96" s="108">
        <v>276.98577120000004</v>
      </c>
      <c r="M96" s="108">
        <v>276.98577120000004</v>
      </c>
      <c r="N96" s="108">
        <v>276.98577120000004</v>
      </c>
      <c r="O96" s="108">
        <v>276.98577120000004</v>
      </c>
      <c r="P96" s="108">
        <v>276.98577120000004</v>
      </c>
      <c r="Q96" s="108">
        <v>276.98577120000004</v>
      </c>
      <c r="R96" s="108">
        <v>276.98577120000004</v>
      </c>
      <c r="S96" s="108">
        <v>276.98577120000004</v>
      </c>
      <c r="T96" s="108">
        <v>276.98577120000004</v>
      </c>
      <c r="U96" s="108">
        <v>276.98577120000004</v>
      </c>
      <c r="V96" s="108">
        <v>276.98577120000004</v>
      </c>
      <c r="W96" s="108">
        <v>276.98577120000004</v>
      </c>
      <c r="X96" s="108">
        <v>276.98577120000004</v>
      </c>
      <c r="Y96" s="108">
        <v>276.98577120000004</v>
      </c>
      <c r="Z96" s="108">
        <v>276.98577120000004</v>
      </c>
      <c r="AA96" s="108">
        <v>276.98577120000004</v>
      </c>
      <c r="AB96" s="108">
        <v>276.98577120000004</v>
      </c>
      <c r="AC96" s="108">
        <v>266.358294</v>
      </c>
      <c r="AD96" s="108">
        <v>266.358294</v>
      </c>
      <c r="AE96" s="108">
        <v>266.358294</v>
      </c>
      <c r="AF96" s="108">
        <v>266.358294</v>
      </c>
      <c r="AG96" s="108">
        <v>266.358294</v>
      </c>
      <c r="AH96" s="108">
        <v>266.358294</v>
      </c>
      <c r="AI96" s="108">
        <v>266.358294</v>
      </c>
      <c r="AJ96" s="108">
        <v>266.358294</v>
      </c>
      <c r="AK96" s="108">
        <v>266.358294</v>
      </c>
      <c r="AL96" s="108">
        <v>266.358294</v>
      </c>
      <c r="AM96" s="108">
        <v>266.358294</v>
      </c>
      <c r="AN96" s="108">
        <v>266.358294</v>
      </c>
      <c r="AO96" s="108">
        <v>266.358294</v>
      </c>
      <c r="AP96" s="108">
        <v>266.358294</v>
      </c>
      <c r="AQ96" s="108">
        <v>266.358294</v>
      </c>
      <c r="AR96" s="108">
        <v>266.358294</v>
      </c>
      <c r="AS96" s="108">
        <v>255.73081680000001</v>
      </c>
      <c r="AT96" s="108">
        <v>255.73081680000001</v>
      </c>
      <c r="AU96" s="108">
        <v>255.73081680000001</v>
      </c>
      <c r="AV96" s="108">
        <v>255.73081680000001</v>
      </c>
      <c r="AW96" s="108">
        <v>309.00247560000003</v>
      </c>
      <c r="AX96" s="108">
        <v>309.00247560000003</v>
      </c>
      <c r="AY96" s="108">
        <v>309.00247560000003</v>
      </c>
    </row>
    <row r="97" spans="1:52">
      <c r="A97" s="107"/>
      <c r="B97" s="125">
        <v>3</v>
      </c>
      <c r="C97" s="108"/>
      <c r="D97" s="108">
        <v>0</v>
      </c>
      <c r="E97" s="108">
        <v>0</v>
      </c>
      <c r="F97" s="108">
        <v>0</v>
      </c>
      <c r="G97" s="108">
        <v>0</v>
      </c>
      <c r="H97" s="108">
        <v>101.95731360000013</v>
      </c>
      <c r="I97" s="108">
        <v>167.94308480000018</v>
      </c>
      <c r="J97" s="108">
        <v>256.92885600000022</v>
      </c>
      <c r="K97" s="108">
        <v>276.98577120000004</v>
      </c>
      <c r="L97" s="108">
        <v>276.98577120000004</v>
      </c>
      <c r="M97" s="108">
        <v>276.98577120000004</v>
      </c>
      <c r="N97" s="108">
        <v>276.98577120000004</v>
      </c>
      <c r="O97" s="108">
        <v>276.98577120000004</v>
      </c>
      <c r="P97" s="108">
        <v>276.98577120000004</v>
      </c>
      <c r="Q97" s="108">
        <v>276.98577120000004</v>
      </c>
      <c r="R97" s="108">
        <v>276.98577120000004</v>
      </c>
      <c r="S97" s="108">
        <v>276.98577120000004</v>
      </c>
      <c r="T97" s="108">
        <v>276.98577120000004</v>
      </c>
      <c r="U97" s="108">
        <v>276.98577120000004</v>
      </c>
      <c r="V97" s="108">
        <v>276.98577120000004</v>
      </c>
      <c r="W97" s="108">
        <v>276.98577120000004</v>
      </c>
      <c r="X97" s="108">
        <v>276.98577120000004</v>
      </c>
      <c r="Y97" s="108">
        <v>276.98577120000004</v>
      </c>
      <c r="Z97" s="108">
        <v>276.98577120000004</v>
      </c>
      <c r="AA97" s="108">
        <v>276.98577120000004</v>
      </c>
      <c r="AB97" s="108">
        <v>276.98577120000004</v>
      </c>
      <c r="AC97" s="108">
        <v>276.98577120000004</v>
      </c>
      <c r="AD97" s="108">
        <v>266.358294</v>
      </c>
      <c r="AE97" s="108">
        <v>266.358294</v>
      </c>
      <c r="AF97" s="108">
        <v>266.358294</v>
      </c>
      <c r="AG97" s="108">
        <v>266.358294</v>
      </c>
      <c r="AH97" s="108">
        <v>266.358294</v>
      </c>
      <c r="AI97" s="108">
        <v>266.358294</v>
      </c>
      <c r="AJ97" s="108">
        <v>266.358294</v>
      </c>
      <c r="AK97" s="108">
        <v>266.358294</v>
      </c>
      <c r="AL97" s="108">
        <v>266.358294</v>
      </c>
      <c r="AM97" s="108">
        <v>266.358294</v>
      </c>
      <c r="AN97" s="108">
        <v>266.358294</v>
      </c>
      <c r="AO97" s="108">
        <v>266.358294</v>
      </c>
      <c r="AP97" s="108">
        <v>266.358294</v>
      </c>
      <c r="AQ97" s="108">
        <v>266.358294</v>
      </c>
      <c r="AR97" s="108">
        <v>266.358294</v>
      </c>
      <c r="AS97" s="108">
        <v>266.358294</v>
      </c>
      <c r="AT97" s="108">
        <v>255.73081680000001</v>
      </c>
      <c r="AU97" s="108">
        <v>255.73081680000001</v>
      </c>
      <c r="AV97" s="108">
        <v>255.73081680000001</v>
      </c>
      <c r="AW97" s="108">
        <v>255.73081680000001</v>
      </c>
      <c r="AX97" s="108">
        <v>309.00247560000003</v>
      </c>
      <c r="AY97" s="108">
        <v>309.00247560000003</v>
      </c>
    </row>
    <row r="98" spans="1:52">
      <c r="A98" s="107"/>
      <c r="B98" s="128">
        <v>4</v>
      </c>
      <c r="C98" s="104"/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107.92885600000022</v>
      </c>
      <c r="L98" s="108">
        <v>166.91462720000027</v>
      </c>
      <c r="M98" s="108">
        <v>265.90039840000031</v>
      </c>
      <c r="N98" s="108">
        <v>276.98577120000004</v>
      </c>
      <c r="O98" s="108">
        <v>276.98577120000004</v>
      </c>
      <c r="P98" s="108">
        <v>276.98577120000004</v>
      </c>
      <c r="Q98" s="108">
        <v>276.98577120000004</v>
      </c>
      <c r="R98" s="108">
        <v>276.98577120000004</v>
      </c>
      <c r="S98" s="108">
        <v>276.98577120000004</v>
      </c>
      <c r="T98" s="108">
        <v>276.98577120000004</v>
      </c>
      <c r="U98" s="108">
        <v>276.98577120000004</v>
      </c>
      <c r="V98" s="108">
        <v>276.98577120000004</v>
      </c>
      <c r="W98" s="108">
        <v>276.98577120000004</v>
      </c>
      <c r="X98" s="108">
        <v>276.98577120000004</v>
      </c>
      <c r="Y98" s="108">
        <v>276.98577120000004</v>
      </c>
      <c r="Z98" s="108">
        <v>276.98577120000004</v>
      </c>
      <c r="AA98" s="108">
        <v>276.98577120000004</v>
      </c>
      <c r="AB98" s="108">
        <v>276.98577120000004</v>
      </c>
      <c r="AC98" s="108">
        <v>276.98577120000004</v>
      </c>
      <c r="AD98" s="108">
        <v>276.98577120000004</v>
      </c>
      <c r="AE98" s="108">
        <v>266.358294</v>
      </c>
      <c r="AF98" s="108">
        <v>266.358294</v>
      </c>
      <c r="AG98" s="108">
        <v>266.358294</v>
      </c>
      <c r="AH98" s="108">
        <v>266.358294</v>
      </c>
      <c r="AI98" s="108">
        <v>266.358294</v>
      </c>
      <c r="AJ98" s="108">
        <v>266.358294</v>
      </c>
      <c r="AK98" s="108">
        <v>266.358294</v>
      </c>
      <c r="AL98" s="108">
        <v>266.358294</v>
      </c>
      <c r="AM98" s="108">
        <v>266.358294</v>
      </c>
      <c r="AN98" s="108">
        <v>266.358294</v>
      </c>
      <c r="AO98" s="108">
        <v>266.358294</v>
      </c>
      <c r="AP98" s="108">
        <v>266.358294</v>
      </c>
      <c r="AQ98" s="108">
        <v>266.358294</v>
      </c>
      <c r="AR98" s="108">
        <v>266.358294</v>
      </c>
      <c r="AS98" s="108">
        <v>266.358294</v>
      </c>
      <c r="AT98" s="108">
        <v>266.358294</v>
      </c>
      <c r="AU98" s="108">
        <v>255.73081680000001</v>
      </c>
      <c r="AV98" s="108">
        <v>255.73081680000001</v>
      </c>
      <c r="AW98" s="108">
        <v>255.73081680000001</v>
      </c>
      <c r="AX98" s="108">
        <v>255.73081680000001</v>
      </c>
      <c r="AY98" s="108">
        <v>309.00247560000003</v>
      </c>
    </row>
    <row r="99" spans="1:52">
      <c r="A99" s="126"/>
      <c r="B99" s="130" t="s">
        <v>297</v>
      </c>
      <c r="C99" s="123"/>
      <c r="D99" s="123">
        <v>0</v>
      </c>
      <c r="E99" s="123">
        <v>0</v>
      </c>
      <c r="F99" s="123">
        <v>0</v>
      </c>
      <c r="G99" s="123">
        <v>0</v>
      </c>
      <c r="H99" s="123">
        <v>0</v>
      </c>
      <c r="I99" s="123">
        <v>0</v>
      </c>
      <c r="J99" s="123">
        <v>0</v>
      </c>
      <c r="K99" s="123">
        <v>0</v>
      </c>
      <c r="L99" s="123">
        <v>0</v>
      </c>
      <c r="M99" s="123">
        <v>0</v>
      </c>
      <c r="N99" s="123">
        <v>46.900398400000313</v>
      </c>
      <c r="O99" s="123">
        <v>62.985771200000045</v>
      </c>
      <c r="P99" s="123">
        <v>60.985771200000045</v>
      </c>
      <c r="Q99" s="123">
        <v>60.985771200000045</v>
      </c>
      <c r="R99" s="123">
        <v>114.98577120000004</v>
      </c>
      <c r="S99" s="123">
        <v>113.98577120000004</v>
      </c>
      <c r="T99" s="123">
        <v>66.985771200000045</v>
      </c>
      <c r="U99" s="123">
        <v>39.985771200000045</v>
      </c>
      <c r="V99" s="123">
        <v>94.985771200000045</v>
      </c>
      <c r="W99" s="123">
        <v>82.985771200000045</v>
      </c>
      <c r="X99" s="123">
        <v>105.98577120000004</v>
      </c>
      <c r="Y99" s="123">
        <v>105.98577120000004</v>
      </c>
      <c r="Z99" s="123">
        <v>57.985771200000045</v>
      </c>
      <c r="AA99" s="123">
        <v>31.985771200000045</v>
      </c>
      <c r="AB99" s="123">
        <v>57.985771200000045</v>
      </c>
      <c r="AC99" s="123">
        <v>33.985771200000045</v>
      </c>
      <c r="AD99" s="123">
        <v>15.985771200000045</v>
      </c>
      <c r="AE99" s="123">
        <v>60.985771200000045</v>
      </c>
      <c r="AF99" s="123">
        <v>114.358294</v>
      </c>
      <c r="AG99" s="123">
        <v>52.358294000000001</v>
      </c>
      <c r="AH99" s="123">
        <v>115.358294</v>
      </c>
      <c r="AI99" s="123">
        <v>52.358294000000001</v>
      </c>
      <c r="AJ99" s="123">
        <v>45.358294000000001</v>
      </c>
      <c r="AK99" s="123">
        <v>77.358294000000001</v>
      </c>
      <c r="AL99" s="123">
        <v>75.358294000000001</v>
      </c>
      <c r="AM99" s="123">
        <v>30.358294000000001</v>
      </c>
      <c r="AN99" s="123">
        <v>80.358294000000001</v>
      </c>
      <c r="AO99" s="123">
        <v>79.358294000000001</v>
      </c>
      <c r="AP99" s="123">
        <v>80.358294000000001</v>
      </c>
      <c r="AQ99" s="123">
        <v>22.358294000000001</v>
      </c>
      <c r="AR99" s="123">
        <v>107.358294</v>
      </c>
      <c r="AS99" s="123">
        <v>53.358294000000001</v>
      </c>
      <c r="AT99" s="123">
        <v>2.3582940000000008</v>
      </c>
      <c r="AU99" s="123">
        <v>99.358294000000001</v>
      </c>
      <c r="AV99" s="123">
        <v>47.730816800000014</v>
      </c>
      <c r="AW99" s="123">
        <v>29.730816800000014</v>
      </c>
      <c r="AX99" s="123">
        <v>51.730816800000014</v>
      </c>
      <c r="AY99" s="123">
        <v>63.730816800000014</v>
      </c>
      <c r="AZ99" s="105">
        <f>SUM($D99:$AY99)</f>
        <v>2497.3144800000027</v>
      </c>
    </row>
    <row r="100" spans="1:52">
      <c r="A100" s="129" t="s">
        <v>133</v>
      </c>
      <c r="B100" s="117">
        <v>1</v>
      </c>
      <c r="C100" s="104"/>
      <c r="D100" s="104">
        <v>0</v>
      </c>
      <c r="E100" s="104">
        <v>84.138838782779999</v>
      </c>
      <c r="F100" s="104">
        <v>48.329953261538407</v>
      </c>
      <c r="G100" s="104">
        <v>48.329953261538407</v>
      </c>
      <c r="H100" s="104">
        <v>48.329953261538407</v>
      </c>
      <c r="I100" s="104">
        <v>43.167781137618007</v>
      </c>
      <c r="J100" s="104">
        <v>31.907521943056977</v>
      </c>
      <c r="K100" s="104">
        <v>17.836712392678205</v>
      </c>
      <c r="L100" s="104">
        <v>13.228275930292803</v>
      </c>
      <c r="M100" s="104">
        <v>22.445148855063607</v>
      </c>
      <c r="N100" s="104">
        <v>51.654549051041393</v>
      </c>
      <c r="O100" s="104">
        <v>51.654549051041393</v>
      </c>
      <c r="P100" s="104">
        <v>22.047126550488002</v>
      </c>
      <c r="Q100" s="104">
        <v>27.415002533585401</v>
      </c>
      <c r="R100" s="104">
        <v>13.228275930292803</v>
      </c>
      <c r="S100" s="104">
        <v>39.353884908116399</v>
      </c>
      <c r="T100" s="104">
        <v>35.164890648417597</v>
      </c>
      <c r="U100" s="104">
        <v>17.417270189991605</v>
      </c>
      <c r="V100" s="104">
        <v>44.732102046205199</v>
      </c>
      <c r="W100" s="104">
        <v>17.645102046205203</v>
      </c>
      <c r="X100" s="104">
        <v>44.732102046205199</v>
      </c>
      <c r="Y100" s="104">
        <v>39.581716764329997</v>
      </c>
      <c r="Z100" s="104">
        <v>46.286673067943994</v>
      </c>
      <c r="AA100" s="104">
        <v>51.654549051041393</v>
      </c>
      <c r="AB100" s="104">
        <v>27.415002533585401</v>
      </c>
      <c r="AC100" s="104">
        <v>54.502002533585404</v>
      </c>
      <c r="AD100" s="104">
        <v>27.247270650444001</v>
      </c>
      <c r="AE100" s="104">
        <v>48.367925237573999</v>
      </c>
      <c r="AF100" s="104">
        <v>48.367925237573999</v>
      </c>
      <c r="AG100" s="104">
        <v>44.255792842917565</v>
      </c>
      <c r="AH100" s="104">
        <v>22.047126550488002</v>
      </c>
      <c r="AI100" s="104">
        <v>22.047126550488002</v>
      </c>
      <c r="AJ100" s="104">
        <v>46.286673067943994</v>
      </c>
      <c r="AK100" s="104">
        <v>46.286673067943994</v>
      </c>
      <c r="AL100" s="104">
        <v>32.384445043535997</v>
      </c>
      <c r="AM100" s="104">
        <v>15.480111833487001</v>
      </c>
      <c r="AN100" s="104">
        <v>36.840993601778997</v>
      </c>
      <c r="AO100" s="104">
        <v>11.023563275244001</v>
      </c>
      <c r="AP100" s="104">
        <v>19.842413895439201</v>
      </c>
      <c r="AQ100" s="104">
        <v>48.722215542017402</v>
      </c>
      <c r="AR100" s="104">
        <v>19.842413895439201</v>
      </c>
      <c r="AS100" s="104">
        <v>19.842413895439201</v>
      </c>
      <c r="AT100" s="104">
        <v>17.637701240390403</v>
      </c>
      <c r="AU100" s="104">
        <v>40.725781858180802</v>
      </c>
      <c r="AV100" s="104">
        <v>40.725781858180802</v>
      </c>
      <c r="AW100" s="104">
        <v>40.725781858180802</v>
      </c>
      <c r="AX100" s="104">
        <v>15.8222194353432</v>
      </c>
      <c r="AY100" s="104">
        <v>21.9384332417916</v>
      </c>
    </row>
    <row r="101" spans="1:52">
      <c r="A101" s="107"/>
      <c r="B101" s="117">
        <v>2</v>
      </c>
      <c r="C101" s="104"/>
      <c r="D101" s="104">
        <v>0</v>
      </c>
      <c r="E101" s="104">
        <v>0</v>
      </c>
      <c r="F101" s="104">
        <v>27.087000000000003</v>
      </c>
      <c r="G101" s="104">
        <v>0</v>
      </c>
      <c r="H101" s="104">
        <v>0</v>
      </c>
      <c r="I101" s="104">
        <v>0</v>
      </c>
      <c r="J101" s="104">
        <v>5.1621721239203993</v>
      </c>
      <c r="K101" s="104">
        <v>0</v>
      </c>
      <c r="L101" s="104">
        <v>21.936614718124797</v>
      </c>
      <c r="M101" s="104">
        <v>21.936614718124797</v>
      </c>
      <c r="N101" s="104">
        <v>21.936614718124801</v>
      </c>
      <c r="O101" s="104">
        <v>0</v>
      </c>
      <c r="P101" s="104">
        <v>0</v>
      </c>
      <c r="Q101" s="104">
        <v>29.607422500553398</v>
      </c>
      <c r="R101" s="104">
        <v>24.239546517455999</v>
      </c>
      <c r="S101" s="104">
        <v>26.125608977823596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0</v>
      </c>
      <c r="AA101" s="104">
        <v>5.3678759830973988</v>
      </c>
      <c r="AB101" s="104">
        <v>0</v>
      </c>
      <c r="AC101" s="104">
        <v>0</v>
      </c>
      <c r="AD101" s="104">
        <v>0</v>
      </c>
      <c r="AE101" s="104">
        <v>21.120654587129998</v>
      </c>
      <c r="AF101" s="104">
        <v>0</v>
      </c>
      <c r="AG101" s="104">
        <v>0</v>
      </c>
      <c r="AH101" s="104">
        <v>0</v>
      </c>
      <c r="AI101" s="104">
        <v>29.645394476588997</v>
      </c>
      <c r="AJ101" s="104">
        <v>29.645394476588997</v>
      </c>
      <c r="AK101" s="104">
        <v>0</v>
      </c>
      <c r="AL101" s="104">
        <v>5.4058479591329984</v>
      </c>
      <c r="AM101" s="104">
        <v>4.456548558243</v>
      </c>
      <c r="AN101" s="104">
        <v>21.360881768291996</v>
      </c>
      <c r="AO101" s="104">
        <v>0</v>
      </c>
      <c r="AP101" s="104">
        <v>21.360881768291996</v>
      </c>
      <c r="AQ101" s="104">
        <v>28.879801646578194</v>
      </c>
      <c r="AR101" s="104">
        <v>0</v>
      </c>
      <c r="AS101" s="104">
        <v>23.663813567623201</v>
      </c>
      <c r="AT101" s="104">
        <v>23.663813567623201</v>
      </c>
      <c r="AU101" s="104">
        <v>23.0880806177904</v>
      </c>
      <c r="AV101" s="104">
        <v>0</v>
      </c>
      <c r="AW101" s="104">
        <v>12.823496999999996</v>
      </c>
      <c r="AX101" s="104">
        <v>5.2919320310261995</v>
      </c>
      <c r="AY101" s="104">
        <v>0</v>
      </c>
    </row>
    <row r="102" spans="1:52">
      <c r="A102" s="107"/>
      <c r="B102" s="118">
        <v>3</v>
      </c>
      <c r="C102" s="104"/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4.1889942596988012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5.4058479591330002</v>
      </c>
      <c r="AM102" s="104">
        <v>0</v>
      </c>
      <c r="AN102" s="104">
        <v>0</v>
      </c>
      <c r="AO102" s="104">
        <v>0</v>
      </c>
      <c r="AP102" s="104">
        <v>0</v>
      </c>
      <c r="AQ102" s="104">
        <v>4.456548558243</v>
      </c>
      <c r="AR102" s="104">
        <v>0</v>
      </c>
      <c r="AS102" s="104">
        <v>0</v>
      </c>
      <c r="AT102" s="104">
        <v>5.2159880789550002</v>
      </c>
      <c r="AU102" s="104">
        <v>5.2159880789550002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/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/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/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/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/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/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/>
      <c r="D109" s="104">
        <v>0</v>
      </c>
      <c r="E109" s="104">
        <v>28.619423531250007</v>
      </c>
      <c r="F109" s="104">
        <v>28.619423531250007</v>
      </c>
      <c r="G109" s="104">
        <v>28.619423531250007</v>
      </c>
      <c r="H109" s="104">
        <v>28.619423531250007</v>
      </c>
      <c r="I109" s="104">
        <v>28.619423531250007</v>
      </c>
      <c r="J109" s="104">
        <v>28.619423531250007</v>
      </c>
      <c r="K109" s="104">
        <v>28.619423531250007</v>
      </c>
      <c r="L109" s="104">
        <v>28.619423531250007</v>
      </c>
      <c r="M109" s="104">
        <v>28.619423531250007</v>
      </c>
      <c r="N109" s="104">
        <v>28.619423531250007</v>
      </c>
      <c r="O109" s="104">
        <v>28.619423531250007</v>
      </c>
      <c r="P109" s="104">
        <v>28.619423531250007</v>
      </c>
      <c r="Q109" s="104">
        <v>28.619423531250007</v>
      </c>
      <c r="R109" s="104">
        <v>28.619423531250007</v>
      </c>
      <c r="S109" s="104">
        <v>28.619423531250007</v>
      </c>
      <c r="T109" s="104">
        <v>28.619423531250007</v>
      </c>
      <c r="U109" s="104">
        <v>28.619423531250007</v>
      </c>
      <c r="V109" s="104">
        <v>28.619423531250007</v>
      </c>
      <c r="W109" s="104">
        <v>28.619423531250007</v>
      </c>
      <c r="X109" s="104">
        <v>28.619423531250007</v>
      </c>
      <c r="Y109" s="104">
        <v>28.619423531250007</v>
      </c>
      <c r="Z109" s="104">
        <v>28.619423531250007</v>
      </c>
      <c r="AA109" s="104">
        <v>28.619423531250007</v>
      </c>
      <c r="AB109" s="104">
        <v>28.619423531250007</v>
      </c>
      <c r="AC109" s="104">
        <v>28.619423531250007</v>
      </c>
      <c r="AD109" s="104">
        <v>28.619423531250007</v>
      </c>
      <c r="AE109" s="104">
        <v>28.619423531250007</v>
      </c>
      <c r="AF109" s="104">
        <v>28.619423531250007</v>
      </c>
      <c r="AG109" s="104">
        <v>28.619423531250007</v>
      </c>
      <c r="AH109" s="104">
        <v>28.619423531250007</v>
      </c>
      <c r="AI109" s="104">
        <v>28.619423531250007</v>
      </c>
      <c r="AJ109" s="104">
        <v>28.619423531250007</v>
      </c>
      <c r="AK109" s="104">
        <v>28.619423531250007</v>
      </c>
      <c r="AL109" s="104">
        <v>28.619423531250007</v>
      </c>
      <c r="AM109" s="104">
        <v>28.619423531250007</v>
      </c>
      <c r="AN109" s="104">
        <v>28.619423531250007</v>
      </c>
      <c r="AO109" s="104">
        <v>28.619423531250007</v>
      </c>
      <c r="AP109" s="104">
        <v>28.619423531250007</v>
      </c>
      <c r="AQ109" s="104">
        <v>28.619423531250007</v>
      </c>
      <c r="AR109" s="104">
        <v>28.619423531250007</v>
      </c>
      <c r="AS109" s="104">
        <v>28.619423531250007</v>
      </c>
      <c r="AT109" s="104">
        <v>28.619423531250007</v>
      </c>
      <c r="AU109" s="104">
        <v>28.619423531250007</v>
      </c>
      <c r="AV109" s="104">
        <v>28.619423531250007</v>
      </c>
      <c r="AW109" s="104">
        <v>28.619423531250007</v>
      </c>
      <c r="AX109" s="104">
        <v>28.619423531250007</v>
      </c>
      <c r="AY109" s="104">
        <v>28.619423531250007</v>
      </c>
    </row>
    <row r="110" spans="1:52">
      <c r="A110" s="107"/>
      <c r="B110" s="117">
        <v>2</v>
      </c>
      <c r="C110" s="104"/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/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/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/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/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/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/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/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/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/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/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/>
      <c r="D121" s="123">
        <v>0</v>
      </c>
      <c r="E121" s="123">
        <v>0</v>
      </c>
      <c r="F121" s="123">
        <v>0</v>
      </c>
      <c r="G121" s="123">
        <v>0</v>
      </c>
      <c r="H121" s="123">
        <v>0</v>
      </c>
      <c r="I121" s="123">
        <v>0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0</v>
      </c>
    </row>
    <row r="122" spans="1:52">
      <c r="A122" s="129" t="s">
        <v>123</v>
      </c>
      <c r="B122" s="117">
        <v>1</v>
      </c>
      <c r="C122" s="104"/>
      <c r="D122" s="104">
        <v>43.118750000000006</v>
      </c>
      <c r="E122" s="104">
        <v>43.118750000000006</v>
      </c>
      <c r="F122" s="104">
        <v>43.118750000000006</v>
      </c>
      <c r="G122" s="104">
        <v>43.118750000000006</v>
      </c>
      <c r="H122" s="104">
        <v>43.118750000000006</v>
      </c>
      <c r="I122" s="104">
        <v>43.118750000000006</v>
      </c>
      <c r="J122" s="104">
        <v>43.118750000000006</v>
      </c>
      <c r="K122" s="104">
        <v>43.118750000000006</v>
      </c>
      <c r="L122" s="104">
        <v>43.118750000000006</v>
      </c>
      <c r="M122" s="104">
        <v>43.118750000000006</v>
      </c>
      <c r="N122" s="104">
        <v>43.118750000000006</v>
      </c>
      <c r="O122" s="104">
        <v>43.118750000000006</v>
      </c>
      <c r="P122" s="104">
        <v>43.118750000000006</v>
      </c>
      <c r="Q122" s="104">
        <v>43.118750000000006</v>
      </c>
      <c r="R122" s="104">
        <v>43.118750000000006</v>
      </c>
      <c r="S122" s="104">
        <v>43.118750000000006</v>
      </c>
      <c r="T122" s="104">
        <v>43.118750000000006</v>
      </c>
      <c r="U122" s="104">
        <v>43.118750000000006</v>
      </c>
      <c r="V122" s="104">
        <v>43.118750000000006</v>
      </c>
      <c r="W122" s="104">
        <v>43.118750000000006</v>
      </c>
      <c r="X122" s="104">
        <v>43.118750000000006</v>
      </c>
      <c r="Y122" s="104">
        <v>43.118750000000006</v>
      </c>
      <c r="Z122" s="104">
        <v>43.118750000000006</v>
      </c>
      <c r="AA122" s="104">
        <v>43.118750000000006</v>
      </c>
      <c r="AB122" s="104">
        <v>43.118750000000006</v>
      </c>
      <c r="AC122" s="104">
        <v>43.118750000000006</v>
      </c>
      <c r="AD122" s="104">
        <v>43.118750000000006</v>
      </c>
      <c r="AE122" s="104">
        <v>43.118750000000006</v>
      </c>
      <c r="AF122" s="104">
        <v>43.118750000000006</v>
      </c>
      <c r="AG122" s="104">
        <v>43.118750000000006</v>
      </c>
      <c r="AH122" s="104">
        <v>43.118750000000006</v>
      </c>
      <c r="AI122" s="104">
        <v>43.118750000000006</v>
      </c>
      <c r="AJ122" s="104">
        <v>43.118750000000006</v>
      </c>
      <c r="AK122" s="104">
        <v>43.118750000000006</v>
      </c>
      <c r="AL122" s="104">
        <v>43.118750000000006</v>
      </c>
      <c r="AM122" s="104">
        <v>43.118750000000006</v>
      </c>
      <c r="AN122" s="104">
        <v>43.118750000000006</v>
      </c>
      <c r="AO122" s="104">
        <v>43.118750000000006</v>
      </c>
      <c r="AP122" s="104">
        <v>43.118750000000006</v>
      </c>
      <c r="AQ122" s="104">
        <v>43.118750000000006</v>
      </c>
      <c r="AR122" s="104">
        <v>43.118750000000006</v>
      </c>
      <c r="AS122" s="104">
        <v>43.118750000000006</v>
      </c>
      <c r="AT122" s="104">
        <v>43.118750000000006</v>
      </c>
      <c r="AU122" s="104">
        <v>43.118750000000006</v>
      </c>
      <c r="AV122" s="104">
        <v>43.118750000000006</v>
      </c>
      <c r="AW122" s="104">
        <v>43.118750000000006</v>
      </c>
      <c r="AX122" s="104">
        <v>43.118750000000006</v>
      </c>
      <c r="AY122" s="104">
        <v>43.118750000000006</v>
      </c>
    </row>
    <row r="123" spans="1:52">
      <c r="A123" s="107"/>
      <c r="B123" s="117">
        <v>2</v>
      </c>
      <c r="C123" s="104"/>
      <c r="D123" s="104">
        <v>0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/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/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/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/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/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/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/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/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/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/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/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/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/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/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/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/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/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/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/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/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/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/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/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/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/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/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/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/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/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/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/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/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/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/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/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/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/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/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/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/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/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/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/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/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/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/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/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/>
      <c r="D172" s="132">
        <v>0.66373500000000007</v>
      </c>
      <c r="E172" s="132">
        <v>0.66373500000000007</v>
      </c>
      <c r="F172" s="132">
        <v>0.66373500000000007</v>
      </c>
      <c r="G172" s="132">
        <v>0.66373500000000007</v>
      </c>
      <c r="H172" s="132">
        <v>0.66373500000000007</v>
      </c>
      <c r="I172" s="132">
        <v>0.66373500000000007</v>
      </c>
      <c r="J172" s="132">
        <v>0.66373500000000007</v>
      </c>
      <c r="K172" s="132">
        <v>0.66373500000000007</v>
      </c>
      <c r="L172" s="132">
        <v>0.66373500000000007</v>
      </c>
      <c r="M172" s="132">
        <v>0.66373500000000007</v>
      </c>
      <c r="N172" s="132">
        <v>0.66373500000000007</v>
      </c>
      <c r="O172" s="132">
        <v>0.66373500000000007</v>
      </c>
      <c r="P172" s="132">
        <v>0.66373500000000007</v>
      </c>
      <c r="Q172" s="132">
        <v>0.66373500000000007</v>
      </c>
      <c r="R172" s="132">
        <v>0.66373500000000007</v>
      </c>
      <c r="S172" s="132">
        <v>0.66373500000000007</v>
      </c>
      <c r="T172" s="132">
        <v>0.66373500000000007</v>
      </c>
      <c r="U172" s="132">
        <v>0.66373500000000007</v>
      </c>
      <c r="V172" s="132">
        <v>0.66373500000000007</v>
      </c>
      <c r="W172" s="132">
        <v>0.66373500000000007</v>
      </c>
      <c r="X172" s="132">
        <v>0.66373500000000007</v>
      </c>
      <c r="Y172" s="132">
        <v>0.66373500000000007</v>
      </c>
      <c r="Z172" s="132">
        <v>0.66373500000000007</v>
      </c>
      <c r="AA172" s="132">
        <v>0.66373500000000007</v>
      </c>
      <c r="AB172" s="132">
        <v>0.66373500000000007</v>
      </c>
      <c r="AC172" s="132">
        <v>0.66373500000000007</v>
      </c>
      <c r="AD172" s="132">
        <v>0.66373500000000007</v>
      </c>
      <c r="AE172" s="132">
        <v>0.66373500000000007</v>
      </c>
      <c r="AF172" s="132">
        <v>0.66373500000000007</v>
      </c>
      <c r="AG172" s="132">
        <v>0.66373500000000007</v>
      </c>
      <c r="AH172" s="132">
        <v>0.66373500000000007</v>
      </c>
      <c r="AI172" s="132">
        <v>0.66373500000000007</v>
      </c>
      <c r="AJ172" s="132">
        <v>0.66373500000000007</v>
      </c>
      <c r="AK172" s="132">
        <v>0.66373500000000007</v>
      </c>
      <c r="AL172" s="132">
        <v>0.66373500000000007</v>
      </c>
      <c r="AM172" s="132">
        <v>0.66373500000000007</v>
      </c>
      <c r="AN172" s="132">
        <v>0.66373500000000007</v>
      </c>
      <c r="AO172" s="132">
        <v>0.66373500000000007</v>
      </c>
      <c r="AP172" s="132">
        <v>0.66373500000000007</v>
      </c>
      <c r="AQ172" s="132">
        <v>0.66373500000000007</v>
      </c>
      <c r="AR172" s="132">
        <v>0.66373500000000007</v>
      </c>
      <c r="AS172" s="132">
        <v>0.66373500000000007</v>
      </c>
      <c r="AT172" s="132">
        <v>0.66373500000000007</v>
      </c>
      <c r="AU172" s="132">
        <v>0.66373500000000007</v>
      </c>
      <c r="AV172" s="132">
        <v>0.66373500000000007</v>
      </c>
      <c r="AW172" s="132">
        <v>0.66373500000000007</v>
      </c>
      <c r="AX172" s="132">
        <v>0.66373500000000007</v>
      </c>
      <c r="AY172" s="132">
        <v>0.66373500000000007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276.98577120000004</v>
      </c>
      <c r="E175" s="122">
        <f t="shared" si="1"/>
        <v>388.97154240000009</v>
      </c>
      <c r="F175" s="122">
        <f t="shared" si="1"/>
        <v>429.95731360000013</v>
      </c>
      <c r="G175" s="122">
        <f t="shared" si="1"/>
        <v>531.94308480000018</v>
      </c>
      <c r="H175" s="122">
        <f t="shared" si="1"/>
        <v>655.92885600000022</v>
      </c>
      <c r="I175" s="122">
        <f t="shared" si="1"/>
        <v>721.91462720000027</v>
      </c>
      <c r="J175" s="122">
        <f t="shared" si="1"/>
        <v>810.90039840000031</v>
      </c>
      <c r="K175" s="122">
        <f t="shared" si="1"/>
        <v>938.88616960000036</v>
      </c>
      <c r="L175" s="122">
        <f t="shared" si="1"/>
        <v>997.8719408000004</v>
      </c>
      <c r="M175" s="122">
        <f t="shared" si="1"/>
        <v>1096.8577120000004</v>
      </c>
      <c r="N175" s="122">
        <f t="shared" si="1"/>
        <v>1107.9430848000002</v>
      </c>
      <c r="O175" s="122">
        <f t="shared" si="1"/>
        <v>1107.9430848000002</v>
      </c>
      <c r="P175" s="122">
        <f t="shared" si="1"/>
        <v>1107.9430848000002</v>
      </c>
      <c r="Q175" s="122">
        <f t="shared" si="1"/>
        <v>1107.9430848000002</v>
      </c>
      <c r="R175" s="122">
        <f t="shared" si="1"/>
        <v>1107.9430848000002</v>
      </c>
      <c r="S175" s="122">
        <f t="shared" si="1"/>
        <v>1107.9430848000002</v>
      </c>
      <c r="T175" s="122">
        <f t="shared" si="1"/>
        <v>1107.9430848000002</v>
      </c>
      <c r="U175" s="122">
        <f t="shared" si="1"/>
        <v>1107.9430848000002</v>
      </c>
      <c r="V175" s="122">
        <f t="shared" si="1"/>
        <v>1107.9430848000002</v>
      </c>
      <c r="W175" s="122">
        <f t="shared" si="1"/>
        <v>1107.9430848000002</v>
      </c>
      <c r="X175" s="122">
        <f t="shared" si="1"/>
        <v>1107.9430848000002</v>
      </c>
      <c r="Y175" s="122">
        <f t="shared" si="1"/>
        <v>1107.9430848000002</v>
      </c>
      <c r="Z175" s="122">
        <f t="shared" si="1"/>
        <v>1107.9430848000002</v>
      </c>
      <c r="AA175" s="122">
        <f t="shared" si="1"/>
        <v>1107.9430848000002</v>
      </c>
      <c r="AB175" s="122">
        <f t="shared" si="1"/>
        <v>1097.3156076</v>
      </c>
      <c r="AC175" s="122">
        <f t="shared" si="1"/>
        <v>1086.6881304000001</v>
      </c>
      <c r="AD175" s="122">
        <f t="shared" si="1"/>
        <v>1076.0606532000002</v>
      </c>
      <c r="AE175" s="122">
        <f t="shared" si="1"/>
        <v>1065.433176</v>
      </c>
      <c r="AF175" s="122">
        <f t="shared" si="1"/>
        <v>1065.433176</v>
      </c>
      <c r="AG175" s="122">
        <f t="shared" si="1"/>
        <v>1065.433176</v>
      </c>
      <c r="AH175" s="122">
        <f t="shared" si="1"/>
        <v>1065.433176</v>
      </c>
      <c r="AI175" s="122">
        <f t="shared" si="1"/>
        <v>1065.433176</v>
      </c>
      <c r="AJ175" s="122">
        <f t="shared" si="1"/>
        <v>1065.433176</v>
      </c>
      <c r="AK175" s="122">
        <f t="shared" si="1"/>
        <v>1065.433176</v>
      </c>
      <c r="AL175" s="122">
        <f t="shared" si="1"/>
        <v>1065.433176</v>
      </c>
      <c r="AM175" s="122">
        <f t="shared" si="1"/>
        <v>1065.433176</v>
      </c>
      <c r="AN175" s="122">
        <f t="shared" si="1"/>
        <v>1065.433176</v>
      </c>
      <c r="AO175" s="122">
        <f t="shared" si="1"/>
        <v>1065.433176</v>
      </c>
      <c r="AP175" s="122">
        <f t="shared" si="1"/>
        <v>1065.433176</v>
      </c>
      <c r="AQ175" s="122">
        <f t="shared" si="1"/>
        <v>1065.433176</v>
      </c>
      <c r="AR175" s="122">
        <f t="shared" si="1"/>
        <v>1054.8056988000001</v>
      </c>
      <c r="AS175" s="122">
        <f t="shared" si="1"/>
        <v>1044.1782216000001</v>
      </c>
      <c r="AT175" s="122">
        <f t="shared" si="1"/>
        <v>1033.5507444</v>
      </c>
      <c r="AU175" s="122">
        <f t="shared" si="1"/>
        <v>1022.9232672000001</v>
      </c>
      <c r="AV175" s="122">
        <f t="shared" si="1"/>
        <v>1076.1949259999999</v>
      </c>
      <c r="AW175" s="122">
        <f t="shared" si="1"/>
        <v>1129.4665848</v>
      </c>
      <c r="AX175" s="122">
        <f t="shared" si="1"/>
        <v>1182.7382436</v>
      </c>
      <c r="AY175" s="122">
        <f t="shared" si="1"/>
        <v>1236.0099024000001</v>
      </c>
    </row>
    <row r="176" spans="1:52">
      <c r="A176" s="123"/>
      <c r="B176" s="134" t="s">
        <v>300</v>
      </c>
      <c r="C176" s="123" t="s">
        <v>294</v>
      </c>
      <c r="D176" s="123">
        <v>165</v>
      </c>
      <c r="E176" s="123">
        <v>236</v>
      </c>
      <c r="F176" s="123">
        <v>175</v>
      </c>
      <c r="G176" s="123">
        <v>153</v>
      </c>
      <c r="H176" s="123">
        <v>211</v>
      </c>
      <c r="I176" s="123">
        <v>188</v>
      </c>
      <c r="J176" s="123">
        <v>149</v>
      </c>
      <c r="K176" s="123">
        <v>218</v>
      </c>
      <c r="L176" s="123">
        <v>178</v>
      </c>
      <c r="M176" s="123">
        <v>219</v>
      </c>
      <c r="N176" s="123">
        <v>214</v>
      </c>
      <c r="O176" s="123">
        <v>216</v>
      </c>
      <c r="P176" s="123">
        <v>216</v>
      </c>
      <c r="Q176" s="123">
        <v>162</v>
      </c>
      <c r="R176" s="123">
        <v>163</v>
      </c>
      <c r="S176" s="123">
        <v>210</v>
      </c>
      <c r="T176" s="123">
        <v>237</v>
      </c>
      <c r="U176" s="123">
        <v>182</v>
      </c>
      <c r="V176" s="123">
        <v>194</v>
      </c>
      <c r="W176" s="123">
        <v>171</v>
      </c>
      <c r="X176" s="123">
        <v>171</v>
      </c>
      <c r="Y176" s="123">
        <v>219</v>
      </c>
      <c r="Z176" s="123">
        <v>245</v>
      </c>
      <c r="AA176" s="123">
        <v>219</v>
      </c>
      <c r="AB176" s="123">
        <v>243</v>
      </c>
      <c r="AC176" s="123">
        <v>261</v>
      </c>
      <c r="AD176" s="123">
        <v>216</v>
      </c>
      <c r="AE176" s="123">
        <v>152</v>
      </c>
      <c r="AF176" s="123">
        <v>214</v>
      </c>
      <c r="AG176" s="123">
        <v>151</v>
      </c>
      <c r="AH176" s="123">
        <v>214</v>
      </c>
      <c r="AI176" s="123">
        <v>221</v>
      </c>
      <c r="AJ176" s="123">
        <v>189</v>
      </c>
      <c r="AK176" s="123">
        <v>191</v>
      </c>
      <c r="AL176" s="123">
        <v>236</v>
      </c>
      <c r="AM176" s="123">
        <v>186</v>
      </c>
      <c r="AN176" s="123">
        <v>187</v>
      </c>
      <c r="AO176" s="123">
        <v>186</v>
      </c>
      <c r="AP176" s="123">
        <v>244</v>
      </c>
      <c r="AQ176" s="123">
        <v>159</v>
      </c>
      <c r="AR176" s="123">
        <v>213</v>
      </c>
      <c r="AS176" s="123">
        <v>264</v>
      </c>
      <c r="AT176" s="123">
        <v>167</v>
      </c>
      <c r="AU176" s="123">
        <v>208</v>
      </c>
      <c r="AV176" s="123">
        <v>226</v>
      </c>
      <c r="AW176" s="123">
        <v>204</v>
      </c>
      <c r="AX176" s="123">
        <v>192</v>
      </c>
      <c r="AY176" s="123">
        <v>199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0</v>
      </c>
      <c r="E177" s="122">
        <f t="shared" si="2"/>
        <v>84.138838782779999</v>
      </c>
      <c r="F177" s="122">
        <f t="shared" si="2"/>
        <v>75.41695326153841</v>
      </c>
      <c r="G177" s="122">
        <f t="shared" si="2"/>
        <v>48.329953261538407</v>
      </c>
      <c r="H177" s="122">
        <f t="shared" si="2"/>
        <v>48.329953261538407</v>
      </c>
      <c r="I177" s="122">
        <f t="shared" si="2"/>
        <v>43.167781137618007</v>
      </c>
      <c r="J177" s="122">
        <f t="shared" si="2"/>
        <v>37.069694066977377</v>
      </c>
      <c r="K177" s="122">
        <f t="shared" si="2"/>
        <v>17.836712392678205</v>
      </c>
      <c r="L177" s="122">
        <f t="shared" si="2"/>
        <v>35.164890648417597</v>
      </c>
      <c r="M177" s="122">
        <f t="shared" si="2"/>
        <v>44.381763573188408</v>
      </c>
      <c r="N177" s="122">
        <f t="shared" si="2"/>
        <v>73.591163769166201</v>
      </c>
      <c r="O177" s="122">
        <f t="shared" si="2"/>
        <v>51.654549051041393</v>
      </c>
      <c r="P177" s="122">
        <f t="shared" si="2"/>
        <v>22.047126550488002</v>
      </c>
      <c r="Q177" s="122">
        <f t="shared" si="2"/>
        <v>57.022425034138799</v>
      </c>
      <c r="R177" s="122">
        <f t="shared" si="2"/>
        <v>37.467822447748802</v>
      </c>
      <c r="S177" s="122">
        <f t="shared" si="2"/>
        <v>65.479493885940002</v>
      </c>
      <c r="T177" s="122">
        <f t="shared" si="2"/>
        <v>35.164890648417597</v>
      </c>
      <c r="U177" s="122">
        <f t="shared" si="2"/>
        <v>17.417270189991605</v>
      </c>
      <c r="V177" s="122">
        <f t="shared" si="2"/>
        <v>48.921096305904001</v>
      </c>
      <c r="W177" s="122">
        <f t="shared" si="2"/>
        <v>17.645102046205203</v>
      </c>
      <c r="X177" s="122">
        <f t="shared" si="2"/>
        <v>44.732102046205199</v>
      </c>
      <c r="Y177" s="122">
        <f t="shared" si="2"/>
        <v>39.581716764329997</v>
      </c>
      <c r="Z177" s="122">
        <f t="shared" si="2"/>
        <v>46.286673067943994</v>
      </c>
      <c r="AA177" s="122">
        <f t="shared" si="2"/>
        <v>57.022425034138791</v>
      </c>
      <c r="AB177" s="122">
        <f t="shared" si="2"/>
        <v>27.415002533585401</v>
      </c>
      <c r="AC177" s="122">
        <f t="shared" si="2"/>
        <v>54.502002533585404</v>
      </c>
      <c r="AD177" s="122">
        <f t="shared" si="2"/>
        <v>27.247270650444001</v>
      </c>
      <c r="AE177" s="122">
        <f t="shared" si="2"/>
        <v>69.488579824704004</v>
      </c>
      <c r="AF177" s="122">
        <f t="shared" si="2"/>
        <v>48.367925237573999</v>
      </c>
      <c r="AG177" s="122">
        <f t="shared" si="2"/>
        <v>44.255792842917565</v>
      </c>
      <c r="AH177" s="122">
        <f t="shared" si="2"/>
        <v>22.047126550488002</v>
      </c>
      <c r="AI177" s="122">
        <f t="shared" si="2"/>
        <v>51.692521027076999</v>
      </c>
      <c r="AJ177" s="122">
        <f t="shared" si="2"/>
        <v>75.932067544532998</v>
      </c>
      <c r="AK177" s="122">
        <f t="shared" si="2"/>
        <v>46.286673067943994</v>
      </c>
      <c r="AL177" s="122">
        <f t="shared" si="2"/>
        <v>43.196140961801994</v>
      </c>
      <c r="AM177" s="122">
        <f t="shared" si="2"/>
        <v>19.936660391730001</v>
      </c>
      <c r="AN177" s="122">
        <f t="shared" si="2"/>
        <v>58.201875370070994</v>
      </c>
      <c r="AO177" s="122">
        <f t="shared" si="2"/>
        <v>11.023563275244001</v>
      </c>
      <c r="AP177" s="122">
        <f t="shared" si="2"/>
        <v>41.203295663731197</v>
      </c>
      <c r="AQ177" s="122">
        <f t="shared" si="2"/>
        <v>82.058565746838596</v>
      </c>
      <c r="AR177" s="122">
        <f t="shared" si="2"/>
        <v>19.842413895439201</v>
      </c>
      <c r="AS177" s="122">
        <f t="shared" si="2"/>
        <v>43.506227463062402</v>
      </c>
      <c r="AT177" s="122">
        <f t="shared" si="2"/>
        <v>46.517502886968607</v>
      </c>
      <c r="AU177" s="122">
        <f t="shared" si="2"/>
        <v>69.029850554926213</v>
      </c>
      <c r="AV177" s="122">
        <f t="shared" si="2"/>
        <v>40.725781858180802</v>
      </c>
      <c r="AW177" s="122">
        <f t="shared" si="2"/>
        <v>53.549278858180799</v>
      </c>
      <c r="AX177" s="122">
        <f t="shared" si="2"/>
        <v>21.1141514663694</v>
      </c>
      <c r="AY177" s="122">
        <f t="shared" si="2"/>
        <v>21.9384332417916</v>
      </c>
    </row>
    <row r="178" spans="1:51">
      <c r="A178" s="123"/>
      <c r="B178" s="134" t="s">
        <v>300</v>
      </c>
      <c r="C178" s="123" t="s">
        <v>294</v>
      </c>
      <c r="D178" s="123">
        <v>0</v>
      </c>
      <c r="E178" s="123">
        <v>84.138838782779999</v>
      </c>
      <c r="F178" s="123">
        <v>75.41695326153841</v>
      </c>
      <c r="G178" s="123">
        <v>48.329953261538407</v>
      </c>
      <c r="H178" s="123">
        <v>48.329953261538407</v>
      </c>
      <c r="I178" s="123">
        <v>43.167781137618007</v>
      </c>
      <c r="J178" s="123">
        <v>37.069694066977377</v>
      </c>
      <c r="K178" s="123">
        <v>17.836712392678205</v>
      </c>
      <c r="L178" s="123">
        <v>35.164890648417597</v>
      </c>
      <c r="M178" s="123">
        <v>44.381763573188408</v>
      </c>
      <c r="N178" s="123">
        <v>73.591163769166201</v>
      </c>
      <c r="O178" s="123">
        <v>51.654549051041393</v>
      </c>
      <c r="P178" s="123">
        <v>22.047126550488002</v>
      </c>
      <c r="Q178" s="123">
        <v>57.022425034138799</v>
      </c>
      <c r="R178" s="123">
        <v>37.467822447748802</v>
      </c>
      <c r="S178" s="123">
        <v>65.479493885940002</v>
      </c>
      <c r="T178" s="123">
        <v>35.164890648417597</v>
      </c>
      <c r="U178" s="123">
        <v>17.417270189991605</v>
      </c>
      <c r="V178" s="123">
        <v>48.921096305904001</v>
      </c>
      <c r="W178" s="123">
        <v>17.645102046205203</v>
      </c>
      <c r="X178" s="123">
        <v>44.732102046205199</v>
      </c>
      <c r="Y178" s="123">
        <v>39.581716764329997</v>
      </c>
      <c r="Z178" s="123">
        <v>46.286673067943994</v>
      </c>
      <c r="AA178" s="123">
        <v>57.022425034138791</v>
      </c>
      <c r="AB178" s="123">
        <v>27.415002533585401</v>
      </c>
      <c r="AC178" s="123">
        <v>54.502002533585404</v>
      </c>
      <c r="AD178" s="123">
        <v>27.247270650444001</v>
      </c>
      <c r="AE178" s="123">
        <v>69.488579824704004</v>
      </c>
      <c r="AF178" s="123">
        <v>48.367925237573999</v>
      </c>
      <c r="AG178" s="123">
        <v>44.255792842917565</v>
      </c>
      <c r="AH178" s="123">
        <v>22.047126550488002</v>
      </c>
      <c r="AI178" s="123">
        <v>51.692521027076999</v>
      </c>
      <c r="AJ178" s="123">
        <v>75.932067544532998</v>
      </c>
      <c r="AK178" s="123">
        <v>46.286673067943994</v>
      </c>
      <c r="AL178" s="123">
        <v>43.196140961801994</v>
      </c>
      <c r="AM178" s="123">
        <v>19.936660391730001</v>
      </c>
      <c r="AN178" s="123">
        <v>58.201875370070994</v>
      </c>
      <c r="AO178" s="123">
        <v>11.023563275244001</v>
      </c>
      <c r="AP178" s="123">
        <v>41.203295663731197</v>
      </c>
      <c r="AQ178" s="123">
        <v>82.058565746838596</v>
      </c>
      <c r="AR178" s="123">
        <v>19.842413895439201</v>
      </c>
      <c r="AS178" s="123">
        <v>43.506227463062402</v>
      </c>
      <c r="AT178" s="123">
        <v>46.517502886968607</v>
      </c>
      <c r="AU178" s="123">
        <v>69.029850554926213</v>
      </c>
      <c r="AV178" s="123">
        <v>40.725781858180802</v>
      </c>
      <c r="AW178" s="123">
        <v>53.549278858180799</v>
      </c>
      <c r="AX178" s="123">
        <v>21.1141514663694</v>
      </c>
      <c r="AY178" s="123">
        <v>21.9384332417916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0</v>
      </c>
      <c r="E179" s="122">
        <f t="shared" si="3"/>
        <v>28.619423531250007</v>
      </c>
      <c r="F179" s="122">
        <f t="shared" si="3"/>
        <v>28.619423531250007</v>
      </c>
      <c r="G179" s="122">
        <f t="shared" si="3"/>
        <v>28.619423531250007</v>
      </c>
      <c r="H179" s="122">
        <f t="shared" si="3"/>
        <v>28.619423531250007</v>
      </c>
      <c r="I179" s="122">
        <f t="shared" si="3"/>
        <v>28.619423531250007</v>
      </c>
      <c r="J179" s="122">
        <f t="shared" si="3"/>
        <v>28.619423531250007</v>
      </c>
      <c r="K179" s="122">
        <f t="shared" si="3"/>
        <v>28.619423531250007</v>
      </c>
      <c r="L179" s="122">
        <f t="shared" si="3"/>
        <v>28.619423531250007</v>
      </c>
      <c r="M179" s="122">
        <f t="shared" si="3"/>
        <v>28.619423531250007</v>
      </c>
      <c r="N179" s="122">
        <f t="shared" si="3"/>
        <v>28.619423531250007</v>
      </c>
      <c r="O179" s="122">
        <f t="shared" si="3"/>
        <v>28.619423531250007</v>
      </c>
      <c r="P179" s="122">
        <f t="shared" si="3"/>
        <v>28.619423531250007</v>
      </c>
      <c r="Q179" s="122">
        <f t="shared" si="3"/>
        <v>28.619423531250007</v>
      </c>
      <c r="R179" s="122">
        <f t="shared" si="3"/>
        <v>28.619423531250007</v>
      </c>
      <c r="S179" s="122">
        <f t="shared" si="3"/>
        <v>28.619423531250007</v>
      </c>
      <c r="T179" s="122">
        <f t="shared" si="3"/>
        <v>28.619423531250007</v>
      </c>
      <c r="U179" s="122">
        <f t="shared" si="3"/>
        <v>28.619423531250007</v>
      </c>
      <c r="V179" s="122">
        <f t="shared" si="3"/>
        <v>28.619423531250007</v>
      </c>
      <c r="W179" s="122">
        <f t="shared" si="3"/>
        <v>28.619423531250007</v>
      </c>
      <c r="X179" s="122">
        <f t="shared" si="3"/>
        <v>28.619423531250007</v>
      </c>
      <c r="Y179" s="122">
        <f t="shared" si="3"/>
        <v>28.619423531250007</v>
      </c>
      <c r="Z179" s="122">
        <f t="shared" si="3"/>
        <v>28.619423531250007</v>
      </c>
      <c r="AA179" s="122">
        <f t="shared" si="3"/>
        <v>28.619423531250007</v>
      </c>
      <c r="AB179" s="122">
        <f t="shared" si="3"/>
        <v>28.619423531250007</v>
      </c>
      <c r="AC179" s="122">
        <f t="shared" si="3"/>
        <v>28.619423531250007</v>
      </c>
      <c r="AD179" s="122">
        <f t="shared" si="3"/>
        <v>28.619423531250007</v>
      </c>
      <c r="AE179" s="122">
        <f t="shared" si="3"/>
        <v>28.619423531250007</v>
      </c>
      <c r="AF179" s="122">
        <f t="shared" si="3"/>
        <v>28.619423531250007</v>
      </c>
      <c r="AG179" s="122">
        <f t="shared" si="3"/>
        <v>28.619423531250007</v>
      </c>
      <c r="AH179" s="122">
        <f t="shared" si="3"/>
        <v>28.619423531250007</v>
      </c>
      <c r="AI179" s="122">
        <f t="shared" si="3"/>
        <v>28.619423531250007</v>
      </c>
      <c r="AJ179" s="122">
        <f t="shared" si="3"/>
        <v>28.619423531250007</v>
      </c>
      <c r="AK179" s="122">
        <f t="shared" si="3"/>
        <v>28.619423531250007</v>
      </c>
      <c r="AL179" s="122">
        <f t="shared" si="3"/>
        <v>28.619423531250007</v>
      </c>
      <c r="AM179" s="122">
        <f t="shared" si="3"/>
        <v>28.619423531250007</v>
      </c>
      <c r="AN179" s="122">
        <f t="shared" si="3"/>
        <v>28.619423531250007</v>
      </c>
      <c r="AO179" s="122">
        <f t="shared" si="3"/>
        <v>28.619423531250007</v>
      </c>
      <c r="AP179" s="122">
        <f t="shared" si="3"/>
        <v>28.619423531250007</v>
      </c>
      <c r="AQ179" s="122">
        <f t="shared" si="3"/>
        <v>28.619423531250007</v>
      </c>
      <c r="AR179" s="122">
        <f t="shared" si="3"/>
        <v>28.619423531250007</v>
      </c>
      <c r="AS179" s="122">
        <f t="shared" si="3"/>
        <v>28.619423531250007</v>
      </c>
      <c r="AT179" s="122">
        <f t="shared" si="3"/>
        <v>28.619423531250007</v>
      </c>
      <c r="AU179" s="122">
        <f t="shared" si="3"/>
        <v>28.619423531250007</v>
      </c>
      <c r="AV179" s="122">
        <f t="shared" si="3"/>
        <v>28.619423531250007</v>
      </c>
      <c r="AW179" s="122">
        <f t="shared" si="3"/>
        <v>28.619423531250007</v>
      </c>
      <c r="AX179" s="122">
        <f t="shared" si="3"/>
        <v>28.619423531250007</v>
      </c>
      <c r="AY179" s="122">
        <f t="shared" si="3"/>
        <v>28.619423531250007</v>
      </c>
    </row>
    <row r="180" spans="1:51">
      <c r="A180" s="123"/>
      <c r="B180" s="134" t="s">
        <v>300</v>
      </c>
      <c r="C180" s="123" t="s">
        <v>294</v>
      </c>
      <c r="D180" s="123">
        <v>0</v>
      </c>
      <c r="E180" s="123">
        <v>28.619423531250007</v>
      </c>
      <c r="F180" s="123">
        <v>28.619423531250007</v>
      </c>
      <c r="G180" s="123">
        <v>28.619423531250007</v>
      </c>
      <c r="H180" s="123">
        <v>28.619423531250007</v>
      </c>
      <c r="I180" s="123">
        <v>28.619423531250007</v>
      </c>
      <c r="J180" s="123">
        <v>28.619423531250007</v>
      </c>
      <c r="K180" s="123">
        <v>28.619423531250007</v>
      </c>
      <c r="L180" s="123">
        <v>28.619423531250007</v>
      </c>
      <c r="M180" s="123">
        <v>28.619423531250007</v>
      </c>
      <c r="N180" s="123">
        <v>28.619423531250007</v>
      </c>
      <c r="O180" s="123">
        <v>28.619423531250007</v>
      </c>
      <c r="P180" s="123">
        <v>28.619423531250007</v>
      </c>
      <c r="Q180" s="123">
        <v>28.619423531250007</v>
      </c>
      <c r="R180" s="123">
        <v>28.619423531250007</v>
      </c>
      <c r="S180" s="123">
        <v>28.619423531250007</v>
      </c>
      <c r="T180" s="123">
        <v>28.619423531250007</v>
      </c>
      <c r="U180" s="123">
        <v>28.619423531250007</v>
      </c>
      <c r="V180" s="123">
        <v>28.619423531250007</v>
      </c>
      <c r="W180" s="123">
        <v>28.619423531250007</v>
      </c>
      <c r="X180" s="123">
        <v>28.619423531250007</v>
      </c>
      <c r="Y180" s="123">
        <v>28.619423531250007</v>
      </c>
      <c r="Z180" s="123">
        <v>28.619423531250007</v>
      </c>
      <c r="AA180" s="123">
        <v>28.619423531250007</v>
      </c>
      <c r="AB180" s="123">
        <v>28.619423531250007</v>
      </c>
      <c r="AC180" s="123">
        <v>28.619423531250007</v>
      </c>
      <c r="AD180" s="123">
        <v>28.619423531250007</v>
      </c>
      <c r="AE180" s="123">
        <v>28.619423531250007</v>
      </c>
      <c r="AF180" s="123">
        <v>28.619423531250007</v>
      </c>
      <c r="AG180" s="123">
        <v>28.619423531250007</v>
      </c>
      <c r="AH180" s="123">
        <v>28.619423531250007</v>
      </c>
      <c r="AI180" s="123">
        <v>28.619423531250007</v>
      </c>
      <c r="AJ180" s="123">
        <v>28.619423531250007</v>
      </c>
      <c r="AK180" s="123">
        <v>28.619423531250007</v>
      </c>
      <c r="AL180" s="123">
        <v>28.619423531250007</v>
      </c>
      <c r="AM180" s="123">
        <v>28.619423531250007</v>
      </c>
      <c r="AN180" s="123">
        <v>28.619423531250007</v>
      </c>
      <c r="AO180" s="123">
        <v>28.619423531250007</v>
      </c>
      <c r="AP180" s="123">
        <v>28.619423531250007</v>
      </c>
      <c r="AQ180" s="123">
        <v>28.619423531250007</v>
      </c>
      <c r="AR180" s="123">
        <v>28.619423531250007</v>
      </c>
      <c r="AS180" s="123">
        <v>28.619423531250007</v>
      </c>
      <c r="AT180" s="123">
        <v>28.619423531250007</v>
      </c>
      <c r="AU180" s="123">
        <v>28.619423531250007</v>
      </c>
      <c r="AV180" s="123">
        <v>28.619423531250007</v>
      </c>
      <c r="AW180" s="123">
        <v>28.619423531250007</v>
      </c>
      <c r="AX180" s="123">
        <v>28.619423531250007</v>
      </c>
      <c r="AY180" s="123">
        <v>28.619423531250007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14.499326468749999</v>
      </c>
      <c r="E181" s="122">
        <f t="shared" si="4"/>
        <v>14.499326468749999</v>
      </c>
      <c r="F181" s="122">
        <f t="shared" si="4"/>
        <v>14.499326468749999</v>
      </c>
      <c r="G181" s="122">
        <f t="shared" si="4"/>
        <v>14.499326468749999</v>
      </c>
      <c r="H181" s="122">
        <f t="shared" si="4"/>
        <v>14.499326468749999</v>
      </c>
      <c r="I181" s="122">
        <f t="shared" si="4"/>
        <v>14.499326468749999</v>
      </c>
      <c r="J181" s="122">
        <f t="shared" si="4"/>
        <v>14.499326468749999</v>
      </c>
      <c r="K181" s="122">
        <f t="shared" si="4"/>
        <v>14.499326468749999</v>
      </c>
      <c r="L181" s="122">
        <f t="shared" si="4"/>
        <v>14.499326468749999</v>
      </c>
      <c r="M181" s="122">
        <f t="shared" si="4"/>
        <v>14.499326468749999</v>
      </c>
      <c r="N181" s="122">
        <f t="shared" si="4"/>
        <v>14.499326468749999</v>
      </c>
      <c r="O181" s="122">
        <f t="shared" si="4"/>
        <v>14.499326468749999</v>
      </c>
      <c r="P181" s="122">
        <f t="shared" si="4"/>
        <v>14.499326468749999</v>
      </c>
      <c r="Q181" s="122">
        <f t="shared" si="4"/>
        <v>14.499326468749999</v>
      </c>
      <c r="R181" s="122">
        <f t="shared" si="4"/>
        <v>14.499326468749999</v>
      </c>
      <c r="S181" s="122">
        <f t="shared" si="4"/>
        <v>14.499326468749999</v>
      </c>
      <c r="T181" s="122">
        <f t="shared" si="4"/>
        <v>14.499326468749999</v>
      </c>
      <c r="U181" s="122">
        <f t="shared" si="4"/>
        <v>14.499326468749999</v>
      </c>
      <c r="V181" s="122">
        <f t="shared" si="4"/>
        <v>14.499326468749999</v>
      </c>
      <c r="W181" s="122">
        <f t="shared" si="4"/>
        <v>14.499326468749999</v>
      </c>
      <c r="X181" s="122">
        <f t="shared" si="4"/>
        <v>14.499326468749999</v>
      </c>
      <c r="Y181" s="122">
        <f t="shared" si="4"/>
        <v>14.499326468749999</v>
      </c>
      <c r="Z181" s="122">
        <f t="shared" si="4"/>
        <v>14.499326468749999</v>
      </c>
      <c r="AA181" s="122">
        <f t="shared" si="4"/>
        <v>14.499326468749999</v>
      </c>
      <c r="AB181" s="122">
        <f t="shared" si="4"/>
        <v>14.499326468749999</v>
      </c>
      <c r="AC181" s="122">
        <f t="shared" si="4"/>
        <v>14.499326468749999</v>
      </c>
      <c r="AD181" s="122">
        <f t="shared" si="4"/>
        <v>14.499326468749999</v>
      </c>
      <c r="AE181" s="122">
        <f t="shared" si="4"/>
        <v>14.499326468749999</v>
      </c>
      <c r="AF181" s="122">
        <f t="shared" si="4"/>
        <v>14.499326468749999</v>
      </c>
      <c r="AG181" s="122">
        <f t="shared" si="4"/>
        <v>14.499326468749999</v>
      </c>
      <c r="AH181" s="122">
        <f t="shared" si="4"/>
        <v>14.499326468749999</v>
      </c>
      <c r="AI181" s="122">
        <f t="shared" si="4"/>
        <v>14.499326468749999</v>
      </c>
      <c r="AJ181" s="122">
        <f t="shared" si="4"/>
        <v>14.499326468749999</v>
      </c>
      <c r="AK181" s="122">
        <f t="shared" si="4"/>
        <v>14.499326468749999</v>
      </c>
      <c r="AL181" s="122">
        <f t="shared" si="4"/>
        <v>14.499326468749999</v>
      </c>
      <c r="AM181" s="122">
        <f t="shared" si="4"/>
        <v>14.499326468749999</v>
      </c>
      <c r="AN181" s="122">
        <f t="shared" si="4"/>
        <v>14.499326468749999</v>
      </c>
      <c r="AO181" s="122">
        <f t="shared" si="4"/>
        <v>14.499326468749999</v>
      </c>
      <c r="AP181" s="122">
        <f t="shared" si="4"/>
        <v>14.499326468749999</v>
      </c>
      <c r="AQ181" s="122">
        <f t="shared" si="4"/>
        <v>14.499326468749999</v>
      </c>
      <c r="AR181" s="122">
        <f t="shared" si="4"/>
        <v>14.499326468749999</v>
      </c>
      <c r="AS181" s="122">
        <f t="shared" si="4"/>
        <v>14.499326468749999</v>
      </c>
      <c r="AT181" s="122">
        <f t="shared" si="4"/>
        <v>14.499326468749999</v>
      </c>
      <c r="AU181" s="122">
        <f t="shared" si="4"/>
        <v>14.499326468749999</v>
      </c>
      <c r="AV181" s="122">
        <f t="shared" si="4"/>
        <v>14.499326468749999</v>
      </c>
      <c r="AW181" s="122">
        <f t="shared" si="4"/>
        <v>14.499326468749999</v>
      </c>
      <c r="AX181" s="122">
        <f t="shared" si="4"/>
        <v>14.499326468749999</v>
      </c>
      <c r="AY181" s="122">
        <f t="shared" si="4"/>
        <v>14.499326468749999</v>
      </c>
    </row>
    <row r="182" spans="1:51">
      <c r="A182" s="123"/>
      <c r="B182" s="134" t="s">
        <v>300</v>
      </c>
      <c r="C182" s="123" t="s">
        <v>294</v>
      </c>
      <c r="D182" s="123">
        <v>14.499326468749999</v>
      </c>
      <c r="E182" s="123">
        <v>14.499326468749999</v>
      </c>
      <c r="F182" s="123">
        <v>14.499326468749999</v>
      </c>
      <c r="G182" s="123">
        <v>14.499326468749999</v>
      </c>
      <c r="H182" s="123">
        <v>14.499326468749999</v>
      </c>
      <c r="I182" s="123">
        <v>14.499326468749999</v>
      </c>
      <c r="J182" s="123">
        <v>14.499326468749999</v>
      </c>
      <c r="K182" s="123">
        <v>14.499326468749999</v>
      </c>
      <c r="L182" s="123">
        <v>14.499326468749999</v>
      </c>
      <c r="M182" s="123">
        <v>14.499326468749999</v>
      </c>
      <c r="N182" s="123">
        <v>14.499326468749999</v>
      </c>
      <c r="O182" s="123">
        <v>14.499326468749999</v>
      </c>
      <c r="P182" s="123">
        <v>14.499326468749999</v>
      </c>
      <c r="Q182" s="123">
        <v>14.499326468749999</v>
      </c>
      <c r="R182" s="123">
        <v>14.499326468749999</v>
      </c>
      <c r="S182" s="123">
        <v>14.499326468749999</v>
      </c>
      <c r="T182" s="123">
        <v>14.499326468749999</v>
      </c>
      <c r="U182" s="123">
        <v>14.499326468749999</v>
      </c>
      <c r="V182" s="123">
        <v>14.499326468749999</v>
      </c>
      <c r="W182" s="123">
        <v>14.499326468749999</v>
      </c>
      <c r="X182" s="123">
        <v>14.499326468749999</v>
      </c>
      <c r="Y182" s="123">
        <v>14.499326468749999</v>
      </c>
      <c r="Z182" s="123">
        <v>14.499326468749999</v>
      </c>
      <c r="AA182" s="123">
        <v>14.499326468749999</v>
      </c>
      <c r="AB182" s="123">
        <v>14.499326468749999</v>
      </c>
      <c r="AC182" s="123">
        <v>14.499326468749999</v>
      </c>
      <c r="AD182" s="123">
        <v>14.499326468749999</v>
      </c>
      <c r="AE182" s="123">
        <v>14.499326468749999</v>
      </c>
      <c r="AF182" s="123">
        <v>14.499326468749999</v>
      </c>
      <c r="AG182" s="123">
        <v>14.499326468749999</v>
      </c>
      <c r="AH182" s="123">
        <v>14.499326468749999</v>
      </c>
      <c r="AI182" s="123">
        <v>14.499326468749999</v>
      </c>
      <c r="AJ182" s="123">
        <v>14.499326468749999</v>
      </c>
      <c r="AK182" s="123">
        <v>14.499326468749999</v>
      </c>
      <c r="AL182" s="123">
        <v>14.499326468749999</v>
      </c>
      <c r="AM182" s="123">
        <v>14.499326468749999</v>
      </c>
      <c r="AN182" s="123">
        <v>14.499326468749999</v>
      </c>
      <c r="AO182" s="123">
        <v>14.499326468749999</v>
      </c>
      <c r="AP182" s="123">
        <v>14.499326468749999</v>
      </c>
      <c r="AQ182" s="123">
        <v>14.499326468749999</v>
      </c>
      <c r="AR182" s="123">
        <v>14.499326468749999</v>
      </c>
      <c r="AS182" s="123">
        <v>14.499326468749999</v>
      </c>
      <c r="AT182" s="123">
        <v>14.499326468749999</v>
      </c>
      <c r="AU182" s="123">
        <v>14.499326468749999</v>
      </c>
      <c r="AV182" s="123">
        <v>14.499326468749999</v>
      </c>
      <c r="AW182" s="123">
        <v>14.499326468749999</v>
      </c>
      <c r="AX182" s="123">
        <v>14.499326468749999</v>
      </c>
      <c r="AY182" s="123">
        <v>14.499326468749999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/>
      <c r="D185" s="122">
        <v>165</v>
      </c>
      <c r="E185" s="122">
        <v>124.01422879999996</v>
      </c>
      <c r="F185" s="122">
        <v>22.028457599999911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/>
      <c r="D186" s="104">
        <v>0</v>
      </c>
      <c r="E186" s="104">
        <v>111.98577120000004</v>
      </c>
      <c r="F186" s="104">
        <v>152.97154240000009</v>
      </c>
      <c r="G186" s="104">
        <v>153</v>
      </c>
      <c r="H186" s="104">
        <v>109.04268639999987</v>
      </c>
      <c r="I186" s="104">
        <v>20.056915199999821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/>
      <c r="D187" s="104">
        <v>0</v>
      </c>
      <c r="E187" s="104">
        <v>0</v>
      </c>
      <c r="F187" s="104">
        <v>0</v>
      </c>
      <c r="G187" s="104">
        <v>0</v>
      </c>
      <c r="H187" s="104">
        <v>101.95731360000013</v>
      </c>
      <c r="I187" s="104">
        <v>167.94308480000018</v>
      </c>
      <c r="J187" s="104">
        <v>149</v>
      </c>
      <c r="K187" s="104">
        <v>110.07114399999978</v>
      </c>
      <c r="L187" s="104">
        <v>11.085372799999732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/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107.92885600000022</v>
      </c>
      <c r="L188" s="104">
        <v>166.91462720000027</v>
      </c>
      <c r="M188" s="104">
        <v>219</v>
      </c>
      <c r="N188" s="104">
        <v>214</v>
      </c>
      <c r="O188" s="104">
        <v>216</v>
      </c>
      <c r="P188" s="104">
        <v>216</v>
      </c>
      <c r="Q188" s="104">
        <v>162</v>
      </c>
      <c r="R188" s="104">
        <v>163</v>
      </c>
      <c r="S188" s="104">
        <v>210</v>
      </c>
      <c r="T188" s="104">
        <v>237</v>
      </c>
      <c r="U188" s="104">
        <v>182</v>
      </c>
      <c r="V188" s="104">
        <v>194</v>
      </c>
      <c r="W188" s="104">
        <v>171</v>
      </c>
      <c r="X188" s="104">
        <v>171</v>
      </c>
      <c r="Y188" s="104">
        <v>219</v>
      </c>
      <c r="Z188" s="104">
        <v>245</v>
      </c>
      <c r="AA188" s="104">
        <v>219</v>
      </c>
      <c r="AB188" s="104">
        <v>243</v>
      </c>
      <c r="AC188" s="104">
        <v>261</v>
      </c>
      <c r="AD188" s="104">
        <v>216</v>
      </c>
      <c r="AE188" s="104">
        <v>152</v>
      </c>
      <c r="AF188" s="104">
        <v>214</v>
      </c>
      <c r="AG188" s="104">
        <v>151</v>
      </c>
      <c r="AH188" s="104">
        <v>214</v>
      </c>
      <c r="AI188" s="104">
        <v>221</v>
      </c>
      <c r="AJ188" s="104">
        <v>189</v>
      </c>
      <c r="AK188" s="104">
        <v>191</v>
      </c>
      <c r="AL188" s="104">
        <v>236</v>
      </c>
      <c r="AM188" s="104">
        <v>186</v>
      </c>
      <c r="AN188" s="104">
        <v>187</v>
      </c>
      <c r="AO188" s="104">
        <v>186</v>
      </c>
      <c r="AP188" s="104">
        <v>244</v>
      </c>
      <c r="AQ188" s="104">
        <v>159</v>
      </c>
      <c r="AR188" s="104">
        <v>213</v>
      </c>
      <c r="AS188" s="104">
        <v>264</v>
      </c>
      <c r="AT188" s="104">
        <v>167</v>
      </c>
      <c r="AU188" s="104">
        <v>208</v>
      </c>
      <c r="AV188" s="104">
        <v>226</v>
      </c>
      <c r="AW188" s="104">
        <v>204</v>
      </c>
      <c r="AX188" s="104">
        <v>192</v>
      </c>
      <c r="AY188" s="104">
        <v>199</v>
      </c>
    </row>
    <row r="189" spans="1:51">
      <c r="A189" s="124" t="s">
        <v>133</v>
      </c>
      <c r="B189" s="121">
        <v>1</v>
      </c>
      <c r="C189" s="122"/>
      <c r="D189" s="122">
        <v>0</v>
      </c>
      <c r="E189" s="122">
        <v>84.138838782779999</v>
      </c>
      <c r="F189" s="122">
        <v>48.329953261538407</v>
      </c>
      <c r="G189" s="122">
        <v>48.329953261538407</v>
      </c>
      <c r="H189" s="122">
        <v>48.329953261538407</v>
      </c>
      <c r="I189" s="122">
        <v>43.167781137618007</v>
      </c>
      <c r="J189" s="122">
        <v>31.907521943056977</v>
      </c>
      <c r="K189" s="122">
        <v>17.836712392678205</v>
      </c>
      <c r="L189" s="122">
        <v>13.228275930292799</v>
      </c>
      <c r="M189" s="122">
        <v>22.445148855063607</v>
      </c>
      <c r="N189" s="122">
        <v>51.654549051041393</v>
      </c>
      <c r="O189" s="122">
        <v>51.654549051041393</v>
      </c>
      <c r="P189" s="122">
        <v>22.047126550488002</v>
      </c>
      <c r="Q189" s="122">
        <v>27.415002533585401</v>
      </c>
      <c r="R189" s="122">
        <v>13.228275930292803</v>
      </c>
      <c r="S189" s="122">
        <v>39.353884908116399</v>
      </c>
      <c r="T189" s="122">
        <v>35.164890648417597</v>
      </c>
      <c r="U189" s="122">
        <v>17.417270189991605</v>
      </c>
      <c r="V189" s="122">
        <v>44.732102046205199</v>
      </c>
      <c r="W189" s="122">
        <v>17.645102046205203</v>
      </c>
      <c r="X189" s="122">
        <v>44.732102046205199</v>
      </c>
      <c r="Y189" s="122">
        <v>39.581716764329997</v>
      </c>
      <c r="Z189" s="122">
        <v>46.286673067943994</v>
      </c>
      <c r="AA189" s="122">
        <v>51.654549051041393</v>
      </c>
      <c r="AB189" s="122">
        <v>27.415002533585401</v>
      </c>
      <c r="AC189" s="122">
        <v>54.502002533585404</v>
      </c>
      <c r="AD189" s="122">
        <v>27.247270650444001</v>
      </c>
      <c r="AE189" s="122">
        <v>48.367925237573999</v>
      </c>
      <c r="AF189" s="122">
        <v>48.367925237573999</v>
      </c>
      <c r="AG189" s="122">
        <v>44.255792842917565</v>
      </c>
      <c r="AH189" s="122">
        <v>22.047126550488002</v>
      </c>
      <c r="AI189" s="122">
        <v>22.047126550488002</v>
      </c>
      <c r="AJ189" s="122">
        <v>46.286673067943994</v>
      </c>
      <c r="AK189" s="122">
        <v>46.286673067943994</v>
      </c>
      <c r="AL189" s="122">
        <v>32.384445043535997</v>
      </c>
      <c r="AM189" s="122">
        <v>15.480111833487001</v>
      </c>
      <c r="AN189" s="122">
        <v>36.840993601778997</v>
      </c>
      <c r="AO189" s="122">
        <v>11.023563275244001</v>
      </c>
      <c r="AP189" s="122">
        <v>19.842413895439201</v>
      </c>
      <c r="AQ189" s="122">
        <v>48.722215542017402</v>
      </c>
      <c r="AR189" s="122">
        <v>19.842413895439201</v>
      </c>
      <c r="AS189" s="122">
        <v>19.842413895439201</v>
      </c>
      <c r="AT189" s="122">
        <v>17.637701240390403</v>
      </c>
      <c r="AU189" s="122">
        <v>40.725781858180802</v>
      </c>
      <c r="AV189" s="122">
        <v>40.725781858180802</v>
      </c>
      <c r="AW189" s="122">
        <v>40.725781858180802</v>
      </c>
      <c r="AX189" s="122">
        <v>15.8222194353432</v>
      </c>
      <c r="AY189" s="122">
        <v>21.9384332417916</v>
      </c>
    </row>
    <row r="190" spans="1:51">
      <c r="A190" s="107"/>
      <c r="B190" s="117">
        <v>2</v>
      </c>
      <c r="C190" s="104"/>
      <c r="D190" s="104">
        <v>0</v>
      </c>
      <c r="E190" s="104">
        <v>0</v>
      </c>
      <c r="F190" s="104">
        <v>27.087000000000003</v>
      </c>
      <c r="G190" s="104">
        <v>0</v>
      </c>
      <c r="H190" s="104">
        <v>0</v>
      </c>
      <c r="I190" s="104">
        <v>0</v>
      </c>
      <c r="J190" s="104">
        <v>5.1621721239203993</v>
      </c>
      <c r="K190" s="104">
        <v>0</v>
      </c>
      <c r="L190" s="104">
        <v>21.936614718124797</v>
      </c>
      <c r="M190" s="104">
        <v>21.936614718124797</v>
      </c>
      <c r="N190" s="104">
        <v>21.936614718124801</v>
      </c>
      <c r="O190" s="104">
        <v>0</v>
      </c>
      <c r="P190" s="104">
        <v>0</v>
      </c>
      <c r="Q190" s="104">
        <v>29.607422500553398</v>
      </c>
      <c r="R190" s="104">
        <v>24.239546517455999</v>
      </c>
      <c r="S190" s="104">
        <v>26.125608977823596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0</v>
      </c>
      <c r="AA190" s="104">
        <v>5.3678759830973988</v>
      </c>
      <c r="AB190" s="104">
        <v>0</v>
      </c>
      <c r="AC190" s="104">
        <v>0</v>
      </c>
      <c r="AD190" s="104">
        <v>0</v>
      </c>
      <c r="AE190" s="104">
        <v>21.120654587129998</v>
      </c>
      <c r="AF190" s="104">
        <v>0</v>
      </c>
      <c r="AG190" s="104">
        <v>0</v>
      </c>
      <c r="AH190" s="104">
        <v>0</v>
      </c>
      <c r="AI190" s="104">
        <v>29.645394476588997</v>
      </c>
      <c r="AJ190" s="104">
        <v>29.645394476588997</v>
      </c>
      <c r="AK190" s="104">
        <v>0</v>
      </c>
      <c r="AL190" s="104">
        <v>5.4058479591329984</v>
      </c>
      <c r="AM190" s="104">
        <v>4.456548558243</v>
      </c>
      <c r="AN190" s="104">
        <v>21.360881768291996</v>
      </c>
      <c r="AO190" s="104">
        <v>0</v>
      </c>
      <c r="AP190" s="104">
        <v>21.360881768291996</v>
      </c>
      <c r="AQ190" s="104">
        <v>28.879801646578194</v>
      </c>
      <c r="AR190" s="104">
        <v>0</v>
      </c>
      <c r="AS190" s="104">
        <v>23.663813567623201</v>
      </c>
      <c r="AT190" s="104">
        <v>23.663813567623201</v>
      </c>
      <c r="AU190" s="104">
        <v>23.0880806177904</v>
      </c>
      <c r="AV190" s="104">
        <v>0</v>
      </c>
      <c r="AW190" s="104">
        <v>12.823496999999996</v>
      </c>
      <c r="AX190" s="104">
        <v>5.2919320310261995</v>
      </c>
      <c r="AY190" s="104">
        <v>0</v>
      </c>
    </row>
    <row r="191" spans="1:51">
      <c r="A191" s="107"/>
      <c r="B191" s="118">
        <v>3</v>
      </c>
      <c r="C191" s="104"/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4.1889942596988012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5.4058479591330002</v>
      </c>
      <c r="AM191" s="104">
        <v>0</v>
      </c>
      <c r="AN191" s="104">
        <v>0</v>
      </c>
      <c r="AO191" s="104">
        <v>0</v>
      </c>
      <c r="AP191" s="104">
        <v>0</v>
      </c>
      <c r="AQ191" s="104">
        <v>4.456548558243</v>
      </c>
      <c r="AR191" s="104">
        <v>0</v>
      </c>
      <c r="AS191" s="104">
        <v>0</v>
      </c>
      <c r="AT191" s="104">
        <v>5.2159880789550002</v>
      </c>
      <c r="AU191" s="104">
        <v>5.2159880789550002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/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/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/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/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/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/>
      <c r="D197" s="104">
        <v>0</v>
      </c>
      <c r="E197" s="104">
        <v>28.619423531250007</v>
      </c>
      <c r="F197" s="104">
        <v>28.619423531250007</v>
      </c>
      <c r="G197" s="104">
        <v>28.619423531250007</v>
      </c>
      <c r="H197" s="104">
        <v>28.619423531250007</v>
      </c>
      <c r="I197" s="104">
        <v>28.619423531250007</v>
      </c>
      <c r="J197" s="104">
        <v>28.619423531250007</v>
      </c>
      <c r="K197" s="104">
        <v>28.619423531250007</v>
      </c>
      <c r="L197" s="104">
        <v>28.619423531250007</v>
      </c>
      <c r="M197" s="104">
        <v>28.619423531250007</v>
      </c>
      <c r="N197" s="104">
        <v>28.619423531250007</v>
      </c>
      <c r="O197" s="104">
        <v>28.619423531250007</v>
      </c>
      <c r="P197" s="104">
        <v>28.619423531250007</v>
      </c>
      <c r="Q197" s="104">
        <v>28.619423531250007</v>
      </c>
      <c r="R197" s="104">
        <v>28.619423531250007</v>
      </c>
      <c r="S197" s="104">
        <v>28.619423531250007</v>
      </c>
      <c r="T197" s="104">
        <v>28.619423531250007</v>
      </c>
      <c r="U197" s="104">
        <v>28.619423531250007</v>
      </c>
      <c r="V197" s="104">
        <v>28.619423531250007</v>
      </c>
      <c r="W197" s="104">
        <v>28.619423531250007</v>
      </c>
      <c r="X197" s="104">
        <v>28.619423531250007</v>
      </c>
      <c r="Y197" s="104">
        <v>28.619423531250007</v>
      </c>
      <c r="Z197" s="104">
        <v>28.619423531250007</v>
      </c>
      <c r="AA197" s="104">
        <v>28.619423531250007</v>
      </c>
      <c r="AB197" s="104">
        <v>28.619423531250007</v>
      </c>
      <c r="AC197" s="104">
        <v>28.619423531250007</v>
      </c>
      <c r="AD197" s="104">
        <v>28.619423531250007</v>
      </c>
      <c r="AE197" s="104">
        <v>28.619423531250007</v>
      </c>
      <c r="AF197" s="104">
        <v>28.619423531250007</v>
      </c>
      <c r="AG197" s="104">
        <v>28.619423531250007</v>
      </c>
      <c r="AH197" s="104">
        <v>28.619423531250007</v>
      </c>
      <c r="AI197" s="104">
        <v>28.619423531250007</v>
      </c>
      <c r="AJ197" s="104">
        <v>28.619423531250007</v>
      </c>
      <c r="AK197" s="104">
        <v>28.619423531250007</v>
      </c>
      <c r="AL197" s="104">
        <v>28.619423531250007</v>
      </c>
      <c r="AM197" s="104">
        <v>28.619423531250007</v>
      </c>
      <c r="AN197" s="104">
        <v>28.619423531250007</v>
      </c>
      <c r="AO197" s="104">
        <v>28.619423531250007</v>
      </c>
      <c r="AP197" s="104">
        <v>28.619423531250007</v>
      </c>
      <c r="AQ197" s="104">
        <v>28.619423531250007</v>
      </c>
      <c r="AR197" s="104">
        <v>28.619423531250007</v>
      </c>
      <c r="AS197" s="104">
        <v>28.619423531250007</v>
      </c>
      <c r="AT197" s="104">
        <v>28.619423531250007</v>
      </c>
      <c r="AU197" s="104">
        <v>28.619423531250007</v>
      </c>
      <c r="AV197" s="104">
        <v>28.619423531250007</v>
      </c>
      <c r="AW197" s="104">
        <v>28.619423531250007</v>
      </c>
      <c r="AX197" s="104">
        <v>28.619423531250007</v>
      </c>
      <c r="AY197" s="104">
        <v>28.619423531250007</v>
      </c>
    </row>
    <row r="198" spans="1:51">
      <c r="A198" s="107"/>
      <c r="B198" s="117">
        <v>2</v>
      </c>
      <c r="C198" s="104"/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/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/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/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/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/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/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/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/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/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/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/>
      <c r="D209" s="122">
        <v>14.499326468749999</v>
      </c>
      <c r="E209" s="122">
        <v>14.499326468749999</v>
      </c>
      <c r="F209" s="122">
        <v>14.499326468749999</v>
      </c>
      <c r="G209" s="122">
        <v>14.499326468749999</v>
      </c>
      <c r="H209" s="122">
        <v>14.499326468749999</v>
      </c>
      <c r="I209" s="122">
        <v>14.499326468749999</v>
      </c>
      <c r="J209" s="122">
        <v>14.499326468749999</v>
      </c>
      <c r="K209" s="122">
        <v>14.499326468749999</v>
      </c>
      <c r="L209" s="122">
        <v>14.499326468749999</v>
      </c>
      <c r="M209" s="122">
        <v>14.499326468749999</v>
      </c>
      <c r="N209" s="122">
        <v>14.499326468749999</v>
      </c>
      <c r="O209" s="122">
        <v>14.499326468749999</v>
      </c>
      <c r="P209" s="122">
        <v>14.499326468749999</v>
      </c>
      <c r="Q209" s="122">
        <v>14.499326468749999</v>
      </c>
      <c r="R209" s="122">
        <v>14.499326468749999</v>
      </c>
      <c r="S209" s="122">
        <v>14.499326468749999</v>
      </c>
      <c r="T209" s="122">
        <v>14.499326468749999</v>
      </c>
      <c r="U209" s="122">
        <v>14.499326468749999</v>
      </c>
      <c r="V209" s="122">
        <v>14.499326468749999</v>
      </c>
      <c r="W209" s="122">
        <v>14.499326468749999</v>
      </c>
      <c r="X209" s="122">
        <v>14.499326468749999</v>
      </c>
      <c r="Y209" s="122">
        <v>14.499326468749999</v>
      </c>
      <c r="Z209" s="122">
        <v>14.499326468749999</v>
      </c>
      <c r="AA209" s="122">
        <v>14.499326468749999</v>
      </c>
      <c r="AB209" s="122">
        <v>14.499326468749999</v>
      </c>
      <c r="AC209" s="122">
        <v>14.499326468749999</v>
      </c>
      <c r="AD209" s="122">
        <v>14.499326468749999</v>
      </c>
      <c r="AE209" s="122">
        <v>14.499326468749999</v>
      </c>
      <c r="AF209" s="122">
        <v>14.499326468749999</v>
      </c>
      <c r="AG209" s="122">
        <v>14.499326468749999</v>
      </c>
      <c r="AH209" s="122">
        <v>14.499326468749999</v>
      </c>
      <c r="AI209" s="122">
        <v>14.499326468749999</v>
      </c>
      <c r="AJ209" s="122">
        <v>14.499326468749999</v>
      </c>
      <c r="AK209" s="122">
        <v>14.499326468749999</v>
      </c>
      <c r="AL209" s="122">
        <v>14.499326468749999</v>
      </c>
      <c r="AM209" s="122">
        <v>14.499326468749999</v>
      </c>
      <c r="AN209" s="122">
        <v>14.499326468749999</v>
      </c>
      <c r="AO209" s="122">
        <v>14.499326468749999</v>
      </c>
      <c r="AP209" s="122">
        <v>14.499326468749999</v>
      </c>
      <c r="AQ209" s="122">
        <v>14.499326468749999</v>
      </c>
      <c r="AR209" s="122">
        <v>14.499326468749999</v>
      </c>
      <c r="AS209" s="122">
        <v>14.499326468749999</v>
      </c>
      <c r="AT209" s="122">
        <v>14.499326468749999</v>
      </c>
      <c r="AU209" s="122">
        <v>14.499326468749999</v>
      </c>
      <c r="AV209" s="122">
        <v>14.499326468749999</v>
      </c>
      <c r="AW209" s="122">
        <v>14.499326468749999</v>
      </c>
      <c r="AX209" s="122">
        <v>14.499326468749999</v>
      </c>
      <c r="AY209" s="122">
        <v>14.499326468749999</v>
      </c>
    </row>
    <row r="210" spans="1:51">
      <c r="A210" s="107"/>
      <c r="B210" s="117">
        <v>2</v>
      </c>
      <c r="C210" s="104"/>
      <c r="D210" s="108">
        <v>0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/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/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/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/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/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/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/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/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/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/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/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/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/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/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/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/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/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/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/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/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/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/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/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/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/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/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/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/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/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/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/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/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/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/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/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/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/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/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/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/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/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/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/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/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/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/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18602.625295312504</v>
      </c>
      <c r="E259" s="122">
        <f t="shared" ref="E259:AX259" si="5">F$14*$B$259</f>
        <v>18602.625295312504</v>
      </c>
      <c r="F259" s="122">
        <f t="shared" si="5"/>
        <v>18602.625295312504</v>
      </c>
      <c r="G259" s="122">
        <f t="shared" si="5"/>
        <v>18602.625295312504</v>
      </c>
      <c r="H259" s="122">
        <f t="shared" si="5"/>
        <v>18602.625295312504</v>
      </c>
      <c r="I259" s="122">
        <f t="shared" si="5"/>
        <v>18602.625295312504</v>
      </c>
      <c r="J259" s="122">
        <f t="shared" si="5"/>
        <v>18602.625295312504</v>
      </c>
      <c r="K259" s="122">
        <f t="shared" si="5"/>
        <v>18602.625295312504</v>
      </c>
      <c r="L259" s="122">
        <f t="shared" si="5"/>
        <v>18602.625295312504</v>
      </c>
      <c r="M259" s="122">
        <f t="shared" si="5"/>
        <v>18602.625295312504</v>
      </c>
      <c r="N259" s="122">
        <f t="shared" si="5"/>
        <v>18602.625295312504</v>
      </c>
      <c r="O259" s="122">
        <f t="shared" si="5"/>
        <v>18602.625295312504</v>
      </c>
      <c r="P259" s="122">
        <f t="shared" si="5"/>
        <v>18602.625295312504</v>
      </c>
      <c r="Q259" s="122">
        <f t="shared" si="5"/>
        <v>18602.625295312504</v>
      </c>
      <c r="R259" s="122">
        <f t="shared" si="5"/>
        <v>18602.625295312504</v>
      </c>
      <c r="S259" s="122">
        <f t="shared" si="5"/>
        <v>18602.625295312504</v>
      </c>
      <c r="T259" s="122">
        <f t="shared" si="5"/>
        <v>18602.625295312504</v>
      </c>
      <c r="U259" s="122">
        <f t="shared" si="5"/>
        <v>18602.625295312504</v>
      </c>
      <c r="V259" s="122">
        <f t="shared" si="5"/>
        <v>18602.625295312504</v>
      </c>
      <c r="W259" s="122">
        <f t="shared" si="5"/>
        <v>18602.625295312504</v>
      </c>
      <c r="X259" s="122">
        <f t="shared" si="5"/>
        <v>18602.625295312504</v>
      </c>
      <c r="Y259" s="122">
        <f t="shared" si="5"/>
        <v>18602.625295312504</v>
      </c>
      <c r="Z259" s="122">
        <f t="shared" si="5"/>
        <v>18602.625295312504</v>
      </c>
      <c r="AA259" s="122">
        <f t="shared" si="5"/>
        <v>18602.625295312504</v>
      </c>
      <c r="AB259" s="122">
        <f t="shared" si="5"/>
        <v>18602.625295312504</v>
      </c>
      <c r="AC259" s="122">
        <f t="shared" si="5"/>
        <v>18602.625295312504</v>
      </c>
      <c r="AD259" s="122">
        <f t="shared" si="5"/>
        <v>18602.625295312504</v>
      </c>
      <c r="AE259" s="122">
        <f t="shared" si="5"/>
        <v>18602.625295312504</v>
      </c>
      <c r="AF259" s="122">
        <f t="shared" si="5"/>
        <v>18602.625295312504</v>
      </c>
      <c r="AG259" s="122">
        <f t="shared" si="5"/>
        <v>18602.625295312504</v>
      </c>
      <c r="AH259" s="122">
        <f t="shared" si="5"/>
        <v>18602.625295312504</v>
      </c>
      <c r="AI259" s="122">
        <f t="shared" si="5"/>
        <v>18602.625295312504</v>
      </c>
      <c r="AJ259" s="122">
        <f t="shared" si="5"/>
        <v>18602.625295312504</v>
      </c>
      <c r="AK259" s="122">
        <f t="shared" si="5"/>
        <v>18602.625295312504</v>
      </c>
      <c r="AL259" s="122">
        <f t="shared" si="5"/>
        <v>18602.625295312504</v>
      </c>
      <c r="AM259" s="122">
        <f t="shared" si="5"/>
        <v>18602.625295312504</v>
      </c>
      <c r="AN259" s="122">
        <f t="shared" si="5"/>
        <v>18602.625295312504</v>
      </c>
      <c r="AO259" s="122">
        <f t="shared" si="5"/>
        <v>18602.625295312504</v>
      </c>
      <c r="AP259" s="122">
        <f t="shared" si="5"/>
        <v>18602.625295312504</v>
      </c>
      <c r="AQ259" s="122">
        <f t="shared" si="5"/>
        <v>18602.625295312504</v>
      </c>
      <c r="AR259" s="122">
        <f t="shared" si="5"/>
        <v>18602.625295312504</v>
      </c>
      <c r="AS259" s="122">
        <f t="shared" si="5"/>
        <v>18602.625295312504</v>
      </c>
      <c r="AT259" s="122">
        <f t="shared" si="5"/>
        <v>18602.625295312504</v>
      </c>
      <c r="AU259" s="122">
        <f t="shared" si="5"/>
        <v>18602.625295312504</v>
      </c>
      <c r="AV259" s="122">
        <f t="shared" si="5"/>
        <v>18602.625295312504</v>
      </c>
      <c r="AW259" s="122">
        <f t="shared" si="5"/>
        <v>18602.625295312504</v>
      </c>
      <c r="AX259" s="122">
        <f t="shared" si="5"/>
        <v>18602.625295312504</v>
      </c>
      <c r="AY259" s="122">
        <f>AZ$14*$B$259</f>
        <v>18602.625295312504</v>
      </c>
      <c r="AZ259" s="137">
        <f>SUM($D259:$AY259)</f>
        <v>892926.01417499979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6719.1462720000027</v>
      </c>
      <c r="E260" s="123">
        <f t="shared" ref="E260:AY260" si="6">(E$175-E$176+E$177-E$178+E$179-E$180+E$181-E$182)*$B$260</f>
        <v>9178.2925440000054</v>
      </c>
      <c r="F260" s="123">
        <f t="shared" si="6"/>
        <v>15297.438816000009</v>
      </c>
      <c r="G260" s="123">
        <f t="shared" si="6"/>
        <v>22736.585088000011</v>
      </c>
      <c r="H260" s="123">
        <f t="shared" si="6"/>
        <v>26695.731360000013</v>
      </c>
      <c r="I260" s="123">
        <f t="shared" si="6"/>
        <v>32034.877632000018</v>
      </c>
      <c r="J260" s="123">
        <f t="shared" si="6"/>
        <v>39714.023904000016</v>
      </c>
      <c r="K260" s="123">
        <f t="shared" si="6"/>
        <v>43253.170176000021</v>
      </c>
      <c r="L260" s="123">
        <f t="shared" si="6"/>
        <v>49192.316448000027</v>
      </c>
      <c r="M260" s="123">
        <f t="shared" si="6"/>
        <v>52671.462720000025</v>
      </c>
      <c r="N260" s="123">
        <f t="shared" si="6"/>
        <v>53636.585088000007</v>
      </c>
      <c r="O260" s="123">
        <f t="shared" si="6"/>
        <v>53516.585088000007</v>
      </c>
      <c r="P260" s="123">
        <f t="shared" si="6"/>
        <v>53516.585088000007</v>
      </c>
      <c r="Q260" s="123">
        <f t="shared" si="6"/>
        <v>56756.585088000007</v>
      </c>
      <c r="R260" s="123">
        <f t="shared" si="6"/>
        <v>56696.585088000007</v>
      </c>
      <c r="S260" s="123">
        <f t="shared" si="6"/>
        <v>53876.585088000007</v>
      </c>
      <c r="T260" s="123">
        <f t="shared" si="6"/>
        <v>52256.585088000007</v>
      </c>
      <c r="U260" s="123">
        <f t="shared" si="6"/>
        <v>55556.585088000007</v>
      </c>
      <c r="V260" s="123">
        <f t="shared" si="6"/>
        <v>54836.585088000007</v>
      </c>
      <c r="W260" s="123">
        <f t="shared" si="6"/>
        <v>56216.585088000007</v>
      </c>
      <c r="X260" s="123">
        <f t="shared" si="6"/>
        <v>56216.585088000007</v>
      </c>
      <c r="Y260" s="123">
        <f t="shared" si="6"/>
        <v>53336.585088000007</v>
      </c>
      <c r="Z260" s="123">
        <f t="shared" si="6"/>
        <v>51776.585088000007</v>
      </c>
      <c r="AA260" s="123">
        <f t="shared" si="6"/>
        <v>53336.585088000007</v>
      </c>
      <c r="AB260" s="123">
        <f t="shared" si="6"/>
        <v>51258.936456000003</v>
      </c>
      <c r="AC260" s="123">
        <f t="shared" si="6"/>
        <v>49541.287824000006</v>
      </c>
      <c r="AD260" s="123">
        <f t="shared" si="6"/>
        <v>51603.63919200001</v>
      </c>
      <c r="AE260" s="123">
        <f t="shared" si="6"/>
        <v>54805.990559999998</v>
      </c>
      <c r="AF260" s="123">
        <f t="shared" si="6"/>
        <v>51085.990559999998</v>
      </c>
      <c r="AG260" s="123">
        <f t="shared" si="6"/>
        <v>54865.990559999998</v>
      </c>
      <c r="AH260" s="123">
        <f t="shared" si="6"/>
        <v>51085.990559999998</v>
      </c>
      <c r="AI260" s="123">
        <f t="shared" si="6"/>
        <v>50665.990559999998</v>
      </c>
      <c r="AJ260" s="123">
        <f t="shared" si="6"/>
        <v>52585.990559999998</v>
      </c>
      <c r="AK260" s="123">
        <f t="shared" si="6"/>
        <v>52465.990559999998</v>
      </c>
      <c r="AL260" s="123">
        <f t="shared" si="6"/>
        <v>49765.990559999998</v>
      </c>
      <c r="AM260" s="123">
        <f t="shared" si="6"/>
        <v>52765.990559999998</v>
      </c>
      <c r="AN260" s="123">
        <f t="shared" si="6"/>
        <v>52705.990559999998</v>
      </c>
      <c r="AO260" s="123">
        <f t="shared" si="6"/>
        <v>52765.990559999998</v>
      </c>
      <c r="AP260" s="123">
        <f t="shared" si="6"/>
        <v>49285.990559999998</v>
      </c>
      <c r="AQ260" s="123">
        <f t="shared" si="6"/>
        <v>54385.990559999998</v>
      </c>
      <c r="AR260" s="123">
        <f t="shared" si="6"/>
        <v>50508.341928000002</v>
      </c>
      <c r="AS260" s="123">
        <f t="shared" si="6"/>
        <v>46810.693296000012</v>
      </c>
      <c r="AT260" s="123">
        <f t="shared" si="6"/>
        <v>51993.044664000001</v>
      </c>
      <c r="AU260" s="123">
        <f t="shared" si="6"/>
        <v>48895.396032000004</v>
      </c>
      <c r="AV260" s="123">
        <f t="shared" si="6"/>
        <v>51011.695559999993</v>
      </c>
      <c r="AW260" s="123">
        <f t="shared" si="6"/>
        <v>55527.995087999996</v>
      </c>
      <c r="AX260" s="123">
        <f t="shared" si="6"/>
        <v>59444.294615999999</v>
      </c>
      <c r="AY260" s="123">
        <f t="shared" si="6"/>
        <v>62220.594144000002</v>
      </c>
      <c r="AZ260" s="139">
        <f>SUM($D260:$AY260)</f>
        <v>2317079.0322720013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4">
      <c r="A1" s="100" t="s">
        <v>285</v>
      </c>
    </row>
    <row r="2" spans="1:54">
      <c r="A2" s="98" t="s">
        <v>286</v>
      </c>
      <c r="B2" s="105" t="s">
        <v>59</v>
      </c>
    </row>
    <row r="3" spans="1:54">
      <c r="A3" s="98" t="s">
        <v>287</v>
      </c>
      <c r="B3" s="106">
        <v>40000</v>
      </c>
      <c r="C3" s="107"/>
    </row>
    <row r="4" spans="1:54">
      <c r="B4" s="108"/>
      <c r="C4" s="108"/>
    </row>
    <row r="5" spans="1:54">
      <c r="C5" s="109" t="s">
        <v>288</v>
      </c>
    </row>
    <row r="6" spans="1:54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4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4">
      <c r="A8" s="100" t="s">
        <v>293</v>
      </c>
      <c r="B8" s="112"/>
      <c r="AY8" s="108"/>
    </row>
    <row r="9" spans="1:54">
      <c r="A9" s="113" t="s">
        <v>125</v>
      </c>
      <c r="B9" s="114">
        <v>1</v>
      </c>
      <c r="C9" s="115" t="s">
        <v>294</v>
      </c>
      <c r="D9" s="115">
        <v>531.37386000000004</v>
      </c>
      <c r="E9" s="115">
        <v>531.37386000000004</v>
      </c>
      <c r="F9" s="115">
        <v>531.37386000000004</v>
      </c>
      <c r="G9" s="115">
        <v>531.37386000000004</v>
      </c>
      <c r="H9" s="115">
        <v>403.84413360000002</v>
      </c>
      <c r="I9" s="115">
        <v>403.84413360000002</v>
      </c>
      <c r="J9" s="115">
        <v>403.84413360000002</v>
      </c>
      <c r="K9" s="115">
        <v>403.84413360000002</v>
      </c>
      <c r="L9" s="115">
        <v>531.37386000000004</v>
      </c>
      <c r="M9" s="115">
        <v>531.37386000000004</v>
      </c>
      <c r="N9" s="115">
        <v>531.37386000000004</v>
      </c>
      <c r="O9" s="115">
        <v>531.37386000000004</v>
      </c>
      <c r="P9" s="115">
        <v>361.33422480000002</v>
      </c>
      <c r="Q9" s="115">
        <v>361.33422480000002</v>
      </c>
      <c r="R9" s="115">
        <v>361.33422480000002</v>
      </c>
      <c r="S9" s="115">
        <v>361.33422480000002</v>
      </c>
      <c r="T9" s="115">
        <v>403.84413360000002</v>
      </c>
      <c r="U9" s="115">
        <v>403.84413360000002</v>
      </c>
      <c r="V9" s="115">
        <v>403.84413360000002</v>
      </c>
      <c r="W9" s="115">
        <v>403.84413360000002</v>
      </c>
      <c r="X9" s="115">
        <v>531.37386000000004</v>
      </c>
      <c r="Y9" s="115">
        <v>531.37386000000004</v>
      </c>
      <c r="Z9" s="115">
        <v>531.37386000000004</v>
      </c>
      <c r="AA9" s="115">
        <v>531.37386000000004</v>
      </c>
      <c r="AB9" s="115">
        <v>531.37386000000004</v>
      </c>
      <c r="AC9" s="115">
        <v>531.37386000000004</v>
      </c>
      <c r="AD9" s="115">
        <v>531.37386000000004</v>
      </c>
      <c r="AE9" s="115">
        <v>531.37386000000004</v>
      </c>
      <c r="AF9" s="115">
        <v>531.37386000000004</v>
      </c>
      <c r="AG9" s="115">
        <v>531.37386000000004</v>
      </c>
      <c r="AH9" s="115">
        <v>531.37386000000004</v>
      </c>
      <c r="AI9" s="115">
        <v>531.37386000000004</v>
      </c>
      <c r="AJ9" s="115">
        <v>371.96170200000006</v>
      </c>
      <c r="AK9" s="115">
        <v>371.96170200000006</v>
      </c>
      <c r="AL9" s="115">
        <v>371.96170200000006</v>
      </c>
      <c r="AM9" s="115">
        <v>371.96170200000006</v>
      </c>
      <c r="AN9" s="115">
        <v>499.49142840000007</v>
      </c>
      <c r="AO9" s="115">
        <v>499.49142840000007</v>
      </c>
      <c r="AP9" s="115">
        <v>499.49142840000007</v>
      </c>
      <c r="AQ9" s="115">
        <v>499.49142840000007</v>
      </c>
      <c r="AR9" s="115">
        <v>510.11890560000006</v>
      </c>
      <c r="AS9" s="115">
        <v>510.11890560000006</v>
      </c>
      <c r="AT9" s="115">
        <v>510.11890560000006</v>
      </c>
      <c r="AU9" s="115">
        <v>510.11890560000006</v>
      </c>
      <c r="AV9" s="115">
        <v>414.47161080000001</v>
      </c>
      <c r="AW9" s="115">
        <v>414.47161080000001</v>
      </c>
      <c r="AX9" s="115">
        <v>414.47161080000001</v>
      </c>
      <c r="AY9" s="115">
        <v>414.47161080000001</v>
      </c>
    </row>
    <row r="10" spans="1:54">
      <c r="A10" s="116" t="s">
        <v>133</v>
      </c>
      <c r="B10" s="117">
        <v>1</v>
      </c>
      <c r="C10" s="104" t="s">
        <v>294</v>
      </c>
      <c r="D10" s="98">
        <v>946.62952646239421</v>
      </c>
      <c r="E10" s="98">
        <v>3873.0336205653007</v>
      </c>
      <c r="F10" s="98">
        <v>1822.9844490112077</v>
      </c>
      <c r="G10" s="98">
        <v>1745.9360316033176</v>
      </c>
      <c r="H10" s="98">
        <v>1822.9844490112077</v>
      </c>
      <c r="I10" s="98">
        <v>1745.9360316033176</v>
      </c>
      <c r="J10" s="98">
        <v>1407.0462881735029</v>
      </c>
      <c r="K10" s="98">
        <v>1212.0249982703185</v>
      </c>
      <c r="L10" s="98">
        <v>342.02499827031841</v>
      </c>
      <c r="M10" s="98">
        <v>2442.0249982703185</v>
      </c>
      <c r="N10" s="98">
        <v>1893.1540022057129</v>
      </c>
      <c r="O10" s="98">
        <v>1893.1540022057129</v>
      </c>
      <c r="P10" s="98">
        <v>1893.1540022057129</v>
      </c>
      <c r="Q10" s="98">
        <v>1893.1540022057129</v>
      </c>
      <c r="R10" s="98">
        <v>1507.2231202890566</v>
      </c>
      <c r="S10" s="98">
        <v>1507.2231202890566</v>
      </c>
      <c r="T10" s="98">
        <v>1212.0249982703185</v>
      </c>
      <c r="U10" s="98">
        <v>1207.2231202890564</v>
      </c>
      <c r="V10" s="98">
        <v>1677.2071484046926</v>
      </c>
      <c r="W10" s="98">
        <v>1270.5961484046925</v>
      </c>
      <c r="X10" s="98">
        <v>1677.2071484046926</v>
      </c>
      <c r="Y10" s="98">
        <v>1390.5961484046925</v>
      </c>
      <c r="Z10" s="98">
        <v>1303.9086940570319</v>
      </c>
      <c r="AA10" s="98">
        <v>1743.1540022057129</v>
      </c>
      <c r="AB10" s="98">
        <v>940.04166378386401</v>
      </c>
      <c r="AC10" s="98">
        <v>1969.765002205713</v>
      </c>
      <c r="AD10" s="98">
        <v>1060.0416637838639</v>
      </c>
      <c r="AE10" s="98">
        <v>1833.5466203638141</v>
      </c>
      <c r="AF10" s="98">
        <v>1756.4982029559239</v>
      </c>
      <c r="AG10" s="98">
        <v>1704.8656521518103</v>
      </c>
      <c r="AH10" s="98">
        <v>1873.7161735583188</v>
      </c>
      <c r="AI10" s="98">
        <v>1903.7161735583188</v>
      </c>
      <c r="AJ10" s="98">
        <v>1240.0416637838639</v>
      </c>
      <c r="AK10" s="98">
        <v>1903.7161735583188</v>
      </c>
      <c r="AL10" s="98">
        <v>1175.0208318919319</v>
      </c>
      <c r="AM10" s="98">
        <v>1565.0208318919319</v>
      </c>
      <c r="AN10" s="98">
        <v>1544.6410578512368</v>
      </c>
      <c r="AO10" s="98">
        <v>1574.6410578512368</v>
      </c>
      <c r="AP10" s="98">
        <v>1233.0374974054776</v>
      </c>
      <c r="AQ10" s="98">
        <v>1843.9011504169025</v>
      </c>
      <c r="AR10" s="98">
        <v>1233.0374974054776</v>
      </c>
      <c r="AS10" s="98">
        <v>1843.9011504169025</v>
      </c>
      <c r="AT10" s="98">
        <v>356.03333102709121</v>
      </c>
      <c r="AU10" s="98">
        <v>386.03333102709121</v>
      </c>
      <c r="AV10" s="98">
        <v>3922.9789260270909</v>
      </c>
      <c r="AW10" s="98">
        <v>386.03333102709121</v>
      </c>
      <c r="AX10" s="98">
        <v>1669.8006857949238</v>
      </c>
      <c r="AY10" s="98">
        <v>1664.1041895207466</v>
      </c>
      <c r="AZ10" s="98">
        <v>1704.8215176868557</v>
      </c>
    </row>
    <row r="11" spans="1:54">
      <c r="B11" s="117">
        <v>2</v>
      </c>
      <c r="C11" s="104" t="s">
        <v>294</v>
      </c>
      <c r="D11" s="98">
        <v>1577.1442536240002</v>
      </c>
      <c r="E11" s="98">
        <v>0</v>
      </c>
      <c r="G11" s="98">
        <v>0</v>
      </c>
      <c r="H11" s="98">
        <v>77.048417407889985</v>
      </c>
      <c r="J11" s="98">
        <v>77.048417407889985</v>
      </c>
      <c r="K11" s="98">
        <v>0</v>
      </c>
      <c r="L11" s="98">
        <v>441.16594858874356</v>
      </c>
      <c r="M11" s="98">
        <v>29.297037219014385</v>
      </c>
      <c r="N11" s="98">
        <v>463.73782273945835</v>
      </c>
      <c r="O11" s="98">
        <v>33.867030273167984</v>
      </c>
      <c r="Q11" s="98">
        <v>33.867030273167984</v>
      </c>
      <c r="R11" s="98">
        <v>33.867030273167984</v>
      </c>
      <c r="S11" s="98">
        <v>29.297037219014385</v>
      </c>
      <c r="U11" s="98">
        <v>295.1981220187381</v>
      </c>
      <c r="V11" s="98">
        <v>0</v>
      </c>
      <c r="X11" s="98">
        <v>0</v>
      </c>
      <c r="Y11" s="98">
        <v>0</v>
      </c>
      <c r="Z11" s="98">
        <v>209.29703721901438</v>
      </c>
      <c r="AA11" s="98">
        <v>0</v>
      </c>
      <c r="AC11" s="98">
        <v>623.11233842184902</v>
      </c>
      <c r="AE11" s="98">
        <v>197.04841740788999</v>
      </c>
      <c r="AF11" s="98">
        <v>0</v>
      </c>
      <c r="AG11" s="98">
        <v>77.048417407889985</v>
      </c>
      <c r="AH11" s="98">
        <v>0</v>
      </c>
      <c r="AI11" s="98">
        <v>63.867030273167984</v>
      </c>
      <c r="AJ11" s="98">
        <v>33.867030273167984</v>
      </c>
      <c r="AK11" s="98">
        <v>63.867030273167984</v>
      </c>
      <c r="AL11" s="98">
        <v>33.867030273167984</v>
      </c>
      <c r="AM11" s="98">
        <v>50.654538955475971</v>
      </c>
      <c r="AN11" s="98">
        <v>30.27476491478086</v>
      </c>
      <c r="AO11" s="98">
        <v>50.654538955475971</v>
      </c>
      <c r="AQ11" s="98">
        <v>636.08818502105453</v>
      </c>
      <c r="AS11" s="98">
        <v>636.08818502105453</v>
      </c>
      <c r="AT11" s="98">
        <v>25.22453200962957</v>
      </c>
      <c r="AU11" s="98">
        <v>46.582033746091156</v>
      </c>
      <c r="AV11" s="98">
        <v>0</v>
      </c>
      <c r="AW11" s="98">
        <v>46.582033746091156</v>
      </c>
      <c r="AX11" s="98">
        <v>1488.5700294627279</v>
      </c>
      <c r="AZ11" s="98">
        <v>0</v>
      </c>
      <c r="BA11" s="98">
        <v>29.324335617754741</v>
      </c>
    </row>
    <row r="12" spans="1:54">
      <c r="B12" s="118">
        <v>3</v>
      </c>
      <c r="C12" s="104" t="s">
        <v>294</v>
      </c>
      <c r="F12" s="98">
        <v>630.51472716160595</v>
      </c>
      <c r="G12" s="98">
        <v>256.61099999999999</v>
      </c>
      <c r="J12" s="98">
        <v>0</v>
      </c>
      <c r="O12" s="98">
        <v>29.297037219014385</v>
      </c>
      <c r="Q12" s="98">
        <v>33.867030273167984</v>
      </c>
      <c r="U12" s="98">
        <v>0</v>
      </c>
      <c r="V12" s="98">
        <v>29.297037219014385</v>
      </c>
      <c r="W12" s="98">
        <v>0</v>
      </c>
      <c r="X12" s="98">
        <v>0</v>
      </c>
      <c r="Y12" s="98">
        <v>0</v>
      </c>
      <c r="AB12" s="98">
        <v>623.11233842184902</v>
      </c>
      <c r="AD12" s="98">
        <v>0</v>
      </c>
      <c r="AE12" s="98">
        <v>0</v>
      </c>
      <c r="AF12" s="98">
        <v>576.45653917206005</v>
      </c>
      <c r="AH12" s="98">
        <v>0</v>
      </c>
      <c r="AL12" s="98">
        <v>633.67450977445492</v>
      </c>
      <c r="AN12" s="98">
        <v>369.62022595930489</v>
      </c>
      <c r="AQ12" s="98">
        <v>20.654538955475971</v>
      </c>
      <c r="AS12" s="98">
        <v>25.22453200962957</v>
      </c>
      <c r="AW12" s="98">
        <v>16.582033746091156</v>
      </c>
      <c r="AY12" s="98">
        <v>0</v>
      </c>
      <c r="AZ12" s="98">
        <v>29.324335617754741</v>
      </c>
      <c r="BB12" s="98">
        <v>0</v>
      </c>
    </row>
    <row r="13" spans="1:54">
      <c r="B13" s="118">
        <v>4</v>
      </c>
      <c r="C13" s="104" t="s">
        <v>294</v>
      </c>
      <c r="F13" s="98">
        <v>0</v>
      </c>
      <c r="V13" s="98">
        <v>29.297037219014385</v>
      </c>
      <c r="AD13" s="98">
        <v>183.86703027316798</v>
      </c>
    </row>
    <row r="14" spans="1:54">
      <c r="A14" s="113" t="s">
        <v>134</v>
      </c>
      <c r="B14" s="119">
        <v>1</v>
      </c>
      <c r="C14" s="115" t="s">
        <v>294</v>
      </c>
      <c r="D14" s="115">
        <v>224.29337792735805</v>
      </c>
      <c r="E14" s="115">
        <f t="shared" ref="E14:AZ14" si="0">D$172*SUM(D$122:D$169)</f>
        <v>899.23693748697303</v>
      </c>
      <c r="F14" s="115">
        <f t="shared" si="0"/>
        <v>269.08014047864725</v>
      </c>
      <c r="G14" s="115">
        <f t="shared" si="0"/>
        <v>291.11342550925741</v>
      </c>
      <c r="H14" s="115">
        <f t="shared" si="0"/>
        <v>88.58919638020835</v>
      </c>
      <c r="I14" s="115">
        <f t="shared" si="0"/>
        <v>88.58919638020835</v>
      </c>
      <c r="J14" s="115">
        <f t="shared" si="0"/>
        <v>88.58919638020835</v>
      </c>
      <c r="K14" s="115">
        <f t="shared" si="0"/>
        <v>88.58919638020835</v>
      </c>
      <c r="L14" s="115">
        <f t="shared" si="0"/>
        <v>88.58919638020835</v>
      </c>
      <c r="M14" s="115">
        <f t="shared" si="0"/>
        <v>88.58919638020835</v>
      </c>
      <c r="N14" s="115">
        <f t="shared" si="0"/>
        <v>88.58919638020835</v>
      </c>
      <c r="O14" s="115">
        <f t="shared" si="0"/>
        <v>88.58919638020835</v>
      </c>
      <c r="P14" s="115">
        <f t="shared" si="0"/>
        <v>88.58919638020835</v>
      </c>
      <c r="Q14" s="115">
        <f t="shared" si="0"/>
        <v>88.58919638020835</v>
      </c>
      <c r="R14" s="115">
        <f t="shared" si="0"/>
        <v>88.58919638020835</v>
      </c>
      <c r="S14" s="115">
        <f t="shared" si="0"/>
        <v>88.58919638020835</v>
      </c>
      <c r="T14" s="115">
        <f t="shared" si="0"/>
        <v>88.58919638020835</v>
      </c>
      <c r="U14" s="115">
        <f t="shared" si="0"/>
        <v>88.58919638020835</v>
      </c>
      <c r="V14" s="115">
        <f t="shared" si="0"/>
        <v>88.58919638020835</v>
      </c>
      <c r="W14" s="115">
        <f t="shared" si="0"/>
        <v>88.58919638020835</v>
      </c>
      <c r="X14" s="115">
        <f t="shared" si="0"/>
        <v>88.58919638020835</v>
      </c>
      <c r="Y14" s="115">
        <f t="shared" si="0"/>
        <v>88.58919638020835</v>
      </c>
      <c r="Z14" s="115">
        <f t="shared" si="0"/>
        <v>88.58919638020835</v>
      </c>
      <c r="AA14" s="115">
        <f t="shared" si="0"/>
        <v>88.58919638020835</v>
      </c>
      <c r="AB14" s="115">
        <f t="shared" si="0"/>
        <v>88.58919638020835</v>
      </c>
      <c r="AC14" s="115">
        <f t="shared" si="0"/>
        <v>88.58919638020835</v>
      </c>
      <c r="AD14" s="115">
        <f t="shared" si="0"/>
        <v>88.58919638020835</v>
      </c>
      <c r="AE14" s="115">
        <f t="shared" si="0"/>
        <v>88.58919638020835</v>
      </c>
      <c r="AF14" s="115">
        <f t="shared" si="0"/>
        <v>88.58919638020835</v>
      </c>
      <c r="AG14" s="115">
        <f t="shared" si="0"/>
        <v>88.58919638020835</v>
      </c>
      <c r="AH14" s="115">
        <f t="shared" si="0"/>
        <v>88.58919638020835</v>
      </c>
      <c r="AI14" s="115">
        <f t="shared" si="0"/>
        <v>88.58919638020835</v>
      </c>
      <c r="AJ14" s="115">
        <f t="shared" si="0"/>
        <v>88.58919638020835</v>
      </c>
      <c r="AK14" s="115">
        <f t="shared" si="0"/>
        <v>88.58919638020835</v>
      </c>
      <c r="AL14" s="115">
        <f t="shared" si="0"/>
        <v>88.58919638020835</v>
      </c>
      <c r="AM14" s="115">
        <f t="shared" si="0"/>
        <v>88.58919638020835</v>
      </c>
      <c r="AN14" s="115">
        <f t="shared" si="0"/>
        <v>88.58919638020835</v>
      </c>
      <c r="AO14" s="115">
        <f t="shared" si="0"/>
        <v>88.58919638020835</v>
      </c>
      <c r="AP14" s="115">
        <f t="shared" si="0"/>
        <v>88.58919638020835</v>
      </c>
      <c r="AQ14" s="115">
        <f t="shared" si="0"/>
        <v>88.58919638020835</v>
      </c>
      <c r="AR14" s="115">
        <f t="shared" si="0"/>
        <v>88.58919638020835</v>
      </c>
      <c r="AS14" s="115">
        <f t="shared" si="0"/>
        <v>88.58919638020835</v>
      </c>
      <c r="AT14" s="115">
        <f t="shared" si="0"/>
        <v>88.58919638020835</v>
      </c>
      <c r="AU14" s="115">
        <f t="shared" si="0"/>
        <v>88.58919638020835</v>
      </c>
      <c r="AV14" s="115">
        <f t="shared" si="0"/>
        <v>88.58919638020835</v>
      </c>
      <c r="AW14" s="115">
        <f t="shared" si="0"/>
        <v>88.58919638020835</v>
      </c>
      <c r="AX14" s="115">
        <f t="shared" si="0"/>
        <v>88.58919638020835</v>
      </c>
      <c r="AY14" s="115">
        <f t="shared" si="0"/>
        <v>88.58919638020835</v>
      </c>
      <c r="AZ14" s="108">
        <f t="shared" si="0"/>
        <v>88.58919638020835</v>
      </c>
      <c r="BA14" s="105">
        <f>SUM($E14:$AZ14)</f>
        <v>5445.9443405842558</v>
      </c>
    </row>
    <row r="15" spans="1:54">
      <c r="A15" s="120" t="s">
        <v>123</v>
      </c>
      <c r="B15" s="121">
        <v>1</v>
      </c>
      <c r="C15" s="122" t="s">
        <v>294</v>
      </c>
      <c r="D15" s="122">
        <v>637.11526520427083</v>
      </c>
      <c r="E15" s="122">
        <v>143.74479166666669</v>
      </c>
      <c r="F15" s="122">
        <v>143.74479166666669</v>
      </c>
      <c r="G15" s="122">
        <v>143.74479166666669</v>
      </c>
      <c r="H15" s="122">
        <v>143.74479166666669</v>
      </c>
      <c r="I15" s="122">
        <v>143.74479166666669</v>
      </c>
      <c r="J15" s="122">
        <v>143.74479166666669</v>
      </c>
      <c r="K15" s="122">
        <v>143.74479166666669</v>
      </c>
      <c r="L15" s="122">
        <v>143.74479166666669</v>
      </c>
      <c r="M15" s="122">
        <v>143.74479166666669</v>
      </c>
      <c r="N15" s="122">
        <v>143.74479166666669</v>
      </c>
      <c r="O15" s="122">
        <v>143.74479166666669</v>
      </c>
      <c r="P15" s="122">
        <v>143.74479166666669</v>
      </c>
      <c r="Q15" s="122">
        <v>143.74479166666669</v>
      </c>
      <c r="R15" s="122">
        <v>143.74479166666669</v>
      </c>
      <c r="S15" s="122">
        <v>143.74479166666669</v>
      </c>
      <c r="T15" s="122">
        <v>143.74479166666669</v>
      </c>
      <c r="U15" s="122">
        <v>143.74479166666669</v>
      </c>
      <c r="V15" s="122">
        <v>143.74479166666669</v>
      </c>
      <c r="W15" s="122">
        <v>143.74479166666669</v>
      </c>
      <c r="X15" s="122">
        <v>143.74479166666669</v>
      </c>
      <c r="Y15" s="122">
        <v>143.74479166666669</v>
      </c>
      <c r="Z15" s="122">
        <v>143.74479166666669</v>
      </c>
      <c r="AA15" s="122">
        <v>143.74479166666669</v>
      </c>
      <c r="AB15" s="122">
        <v>143.74479166666669</v>
      </c>
      <c r="AC15" s="122">
        <v>143.74479166666669</v>
      </c>
      <c r="AD15" s="122">
        <v>143.74479166666669</v>
      </c>
      <c r="AE15" s="122">
        <v>143.74479166666669</v>
      </c>
      <c r="AF15" s="122">
        <v>143.74479166666669</v>
      </c>
      <c r="AG15" s="122">
        <v>143.74479166666669</v>
      </c>
      <c r="AH15" s="122">
        <v>143.74479166666669</v>
      </c>
      <c r="AI15" s="122">
        <v>143.74479166666669</v>
      </c>
      <c r="AJ15" s="122">
        <v>143.74479166666669</v>
      </c>
      <c r="AK15" s="122">
        <v>143.74479166666669</v>
      </c>
      <c r="AL15" s="122">
        <v>143.74479166666669</v>
      </c>
      <c r="AM15" s="122">
        <v>143.74479166666669</v>
      </c>
      <c r="AN15" s="122">
        <v>143.74479166666669</v>
      </c>
      <c r="AO15" s="122">
        <v>143.74479166666669</v>
      </c>
      <c r="AP15" s="122">
        <v>143.74479166666669</v>
      </c>
      <c r="AQ15" s="122">
        <v>143.74479166666669</v>
      </c>
      <c r="AR15" s="122">
        <v>143.74479166666669</v>
      </c>
      <c r="AS15" s="122">
        <v>143.74479166666669</v>
      </c>
      <c r="AT15" s="122">
        <v>143.74479166666669</v>
      </c>
      <c r="AU15" s="122">
        <v>143.74479166666669</v>
      </c>
      <c r="AV15" s="122">
        <v>143.74479166666669</v>
      </c>
      <c r="AW15" s="122">
        <v>143.74479166666669</v>
      </c>
      <c r="AX15" s="122">
        <v>143.74479166666669</v>
      </c>
      <c r="AY15" s="122">
        <v>143.74479166666669</v>
      </c>
      <c r="AZ15" s="98">
        <v>0</v>
      </c>
    </row>
    <row r="16" spans="1:54">
      <c r="A16" s="108"/>
      <c r="B16" s="117">
        <v>2</v>
      </c>
      <c r="C16" s="107" t="s">
        <v>294</v>
      </c>
      <c r="D16" s="104">
        <v>821.98619998200013</v>
      </c>
      <c r="E16" s="108">
        <v>0</v>
      </c>
      <c r="F16" s="108"/>
      <c r="G16" s="108">
        <v>0</v>
      </c>
      <c r="H16" s="108">
        <v>0</v>
      </c>
      <c r="I16" s="108"/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/>
      <c r="Q16" s="108">
        <v>0</v>
      </c>
      <c r="R16" s="108">
        <v>0</v>
      </c>
      <c r="S16" s="108">
        <v>0</v>
      </c>
      <c r="T16" s="108"/>
      <c r="U16" s="108">
        <v>0</v>
      </c>
      <c r="V16" s="108">
        <v>0</v>
      </c>
      <c r="W16" s="108"/>
      <c r="X16" s="108">
        <v>0</v>
      </c>
      <c r="Y16" s="108">
        <v>0</v>
      </c>
      <c r="Z16" s="108">
        <v>0</v>
      </c>
      <c r="AA16" s="108">
        <v>0</v>
      </c>
      <c r="AB16" s="108"/>
      <c r="AC16" s="108">
        <v>0</v>
      </c>
      <c r="AD16" s="108"/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/>
      <c r="AQ16" s="108">
        <v>0</v>
      </c>
      <c r="AR16" s="108"/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/>
      <c r="AZ16" s="98">
        <v>0</v>
      </c>
      <c r="BA16" s="98">
        <v>0</v>
      </c>
    </row>
    <row r="17" spans="1:54">
      <c r="A17" s="108"/>
      <c r="B17" s="117">
        <v>3</v>
      </c>
      <c r="C17" s="107" t="s">
        <v>294</v>
      </c>
      <c r="D17" s="104"/>
      <c r="E17" s="108"/>
      <c r="F17" s="108">
        <v>328.61572644439599</v>
      </c>
      <c r="G17" s="108">
        <v>0</v>
      </c>
      <c r="H17" s="108"/>
      <c r="I17" s="108"/>
      <c r="J17" s="108">
        <v>0</v>
      </c>
      <c r="K17" s="108"/>
      <c r="L17" s="108"/>
      <c r="M17" s="108"/>
      <c r="N17" s="108"/>
      <c r="O17" s="108">
        <v>0</v>
      </c>
      <c r="P17" s="108"/>
      <c r="Q17" s="108">
        <v>0</v>
      </c>
      <c r="R17" s="108"/>
      <c r="S17" s="108"/>
      <c r="T17" s="108"/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>
        <v>0</v>
      </c>
      <c r="AC17" s="108"/>
      <c r="AD17" s="108">
        <v>0</v>
      </c>
      <c r="AE17" s="108">
        <v>0</v>
      </c>
      <c r="AF17" s="108">
        <v>0</v>
      </c>
      <c r="AG17" s="108"/>
      <c r="AH17" s="108">
        <v>0</v>
      </c>
      <c r="AI17" s="108"/>
      <c r="AJ17" s="108"/>
      <c r="AK17" s="108"/>
      <c r="AL17" s="108">
        <v>0</v>
      </c>
      <c r="AM17" s="108"/>
      <c r="AN17" s="108">
        <v>0</v>
      </c>
      <c r="AO17" s="108"/>
      <c r="AP17" s="108"/>
      <c r="AQ17" s="108">
        <v>0</v>
      </c>
      <c r="AR17" s="108"/>
      <c r="AS17" s="108">
        <v>0</v>
      </c>
      <c r="AT17" s="108"/>
      <c r="AU17" s="108"/>
      <c r="AV17" s="108"/>
      <c r="AW17" s="108">
        <v>0</v>
      </c>
      <c r="AX17" s="108"/>
      <c r="AY17" s="108">
        <v>0</v>
      </c>
      <c r="AZ17" s="98">
        <v>0</v>
      </c>
      <c r="BB17" s="98">
        <v>0</v>
      </c>
    </row>
    <row r="18" spans="1:54">
      <c r="A18" s="123"/>
      <c r="B18" s="114">
        <v>4</v>
      </c>
      <c r="C18" s="123" t="s">
        <v>294</v>
      </c>
      <c r="D18" s="123"/>
      <c r="E18" s="123"/>
      <c r="F18" s="123">
        <v>0</v>
      </c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>
        <v>0</v>
      </c>
      <c r="W18" s="123"/>
      <c r="X18" s="123"/>
      <c r="Y18" s="123"/>
      <c r="Z18" s="123"/>
      <c r="AA18" s="123"/>
      <c r="AB18" s="123"/>
      <c r="AC18" s="123"/>
      <c r="AD18" s="123">
        <v>0</v>
      </c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4">
      <c r="A20" s="100" t="s">
        <v>295</v>
      </c>
    </row>
    <row r="21" spans="1:54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4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4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484.99914999999999</v>
      </c>
      <c r="D95" s="108">
        <v>531.37386000000004</v>
      </c>
      <c r="E95" s="108">
        <v>531.37386000000004</v>
      </c>
      <c r="F95" s="108">
        <v>531.37386000000004</v>
      </c>
      <c r="G95" s="108">
        <v>531.37386000000004</v>
      </c>
      <c r="H95" s="108">
        <v>403.84413360000002</v>
      </c>
      <c r="I95" s="108">
        <v>403.84413360000002</v>
      </c>
      <c r="J95" s="108">
        <v>403.84413360000002</v>
      </c>
      <c r="K95" s="108">
        <v>403.84413360000002</v>
      </c>
      <c r="L95" s="108">
        <v>531.37386000000004</v>
      </c>
      <c r="M95" s="108">
        <v>531.37386000000004</v>
      </c>
      <c r="N95" s="108">
        <v>531.37386000000004</v>
      </c>
      <c r="O95" s="108">
        <v>531.37386000000004</v>
      </c>
      <c r="P95" s="108">
        <v>361.33422480000002</v>
      </c>
      <c r="Q95" s="108">
        <v>361.33422480000002</v>
      </c>
      <c r="R95" s="108">
        <v>361.33422480000002</v>
      </c>
      <c r="S95" s="108">
        <v>361.33422480000002</v>
      </c>
      <c r="T95" s="108">
        <v>403.84413360000002</v>
      </c>
      <c r="U95" s="108">
        <v>403.84413360000002</v>
      </c>
      <c r="V95" s="108">
        <v>403.84413360000002</v>
      </c>
      <c r="W95" s="108">
        <v>403.84413360000002</v>
      </c>
      <c r="X95" s="108">
        <v>531.37386000000004</v>
      </c>
      <c r="Y95" s="108">
        <v>531.37386000000004</v>
      </c>
      <c r="Z95" s="108">
        <v>531.37386000000004</v>
      </c>
      <c r="AA95" s="108">
        <v>531.37386000000004</v>
      </c>
      <c r="AB95" s="108">
        <v>531.37386000000004</v>
      </c>
      <c r="AC95" s="108">
        <v>531.37386000000004</v>
      </c>
      <c r="AD95" s="108">
        <v>531.37386000000004</v>
      </c>
      <c r="AE95" s="108">
        <v>531.37386000000004</v>
      </c>
      <c r="AF95" s="108">
        <v>531.37386000000004</v>
      </c>
      <c r="AG95" s="108">
        <v>531.37386000000004</v>
      </c>
      <c r="AH95" s="108">
        <v>531.37386000000004</v>
      </c>
      <c r="AI95" s="108">
        <v>531.37386000000004</v>
      </c>
      <c r="AJ95" s="108">
        <v>371.96170200000006</v>
      </c>
      <c r="AK95" s="108">
        <v>371.96170200000006</v>
      </c>
      <c r="AL95" s="108">
        <v>371.96170200000006</v>
      </c>
      <c r="AM95" s="108">
        <v>371.96170200000006</v>
      </c>
      <c r="AN95" s="108">
        <v>499.49142840000007</v>
      </c>
      <c r="AO95" s="108">
        <v>499.49142840000007</v>
      </c>
      <c r="AP95" s="108">
        <v>499.49142840000007</v>
      </c>
      <c r="AQ95" s="108">
        <v>499.49142840000007</v>
      </c>
      <c r="AR95" s="108">
        <v>510.11890560000006</v>
      </c>
      <c r="AS95" s="108">
        <v>510.11890560000006</v>
      </c>
      <c r="AT95" s="108">
        <v>510.11890560000006</v>
      </c>
      <c r="AU95" s="108">
        <v>510.11890560000006</v>
      </c>
      <c r="AV95" s="108">
        <v>414.47161080000001</v>
      </c>
      <c r="AW95" s="108">
        <v>414.47161080000001</v>
      </c>
      <c r="AX95" s="108">
        <v>414.47161080000001</v>
      </c>
      <c r="AY95" s="108">
        <v>414.47161080000001</v>
      </c>
    </row>
    <row r="96" spans="1:52">
      <c r="A96" s="107"/>
      <c r="B96" s="118">
        <v>2</v>
      </c>
      <c r="C96" s="108">
        <v>484.99914999999999</v>
      </c>
      <c r="D96" s="108">
        <v>484.99914999999999</v>
      </c>
      <c r="E96" s="108">
        <v>531.37386000000004</v>
      </c>
      <c r="F96" s="108">
        <v>531.37386000000004</v>
      </c>
      <c r="G96" s="108">
        <v>531.37386000000004</v>
      </c>
      <c r="H96" s="108">
        <v>531.37386000000004</v>
      </c>
      <c r="I96" s="108">
        <v>403.84413360000002</v>
      </c>
      <c r="J96" s="108">
        <v>403.84413360000002</v>
      </c>
      <c r="K96" s="108">
        <v>403.84413360000002</v>
      </c>
      <c r="L96" s="108">
        <v>403.84413360000002</v>
      </c>
      <c r="M96" s="108">
        <v>531.37386000000004</v>
      </c>
      <c r="N96" s="108">
        <v>531.37386000000004</v>
      </c>
      <c r="O96" s="108">
        <v>531.37386000000004</v>
      </c>
      <c r="P96" s="108">
        <v>531.37386000000004</v>
      </c>
      <c r="Q96" s="108">
        <v>361.33422480000002</v>
      </c>
      <c r="R96" s="108">
        <v>361.33422480000002</v>
      </c>
      <c r="S96" s="108">
        <v>361.33422480000002</v>
      </c>
      <c r="T96" s="108">
        <v>361.33422480000002</v>
      </c>
      <c r="U96" s="108">
        <v>403.84413360000002</v>
      </c>
      <c r="V96" s="108">
        <v>403.84413360000002</v>
      </c>
      <c r="W96" s="108">
        <v>403.84413360000002</v>
      </c>
      <c r="X96" s="108">
        <v>403.84413360000002</v>
      </c>
      <c r="Y96" s="108">
        <v>531.37386000000004</v>
      </c>
      <c r="Z96" s="108">
        <v>531.37386000000004</v>
      </c>
      <c r="AA96" s="108">
        <v>531.37386000000004</v>
      </c>
      <c r="AB96" s="108">
        <v>531.37386000000004</v>
      </c>
      <c r="AC96" s="108">
        <v>531.37386000000004</v>
      </c>
      <c r="AD96" s="108">
        <v>531.37386000000004</v>
      </c>
      <c r="AE96" s="108">
        <v>531.37386000000004</v>
      </c>
      <c r="AF96" s="108">
        <v>531.37386000000004</v>
      </c>
      <c r="AG96" s="108">
        <v>531.37386000000004</v>
      </c>
      <c r="AH96" s="108">
        <v>531.37386000000004</v>
      </c>
      <c r="AI96" s="108">
        <v>531.37386000000004</v>
      </c>
      <c r="AJ96" s="108">
        <v>531.37386000000004</v>
      </c>
      <c r="AK96" s="108">
        <v>371.96170200000006</v>
      </c>
      <c r="AL96" s="108">
        <v>371.96170200000006</v>
      </c>
      <c r="AM96" s="108">
        <v>371.96170200000006</v>
      </c>
      <c r="AN96" s="108">
        <v>371.96170200000006</v>
      </c>
      <c r="AO96" s="108">
        <v>499.49142840000007</v>
      </c>
      <c r="AP96" s="108">
        <v>499.49142840000007</v>
      </c>
      <c r="AQ96" s="108">
        <v>499.49142840000007</v>
      </c>
      <c r="AR96" s="108">
        <v>499.49142840000007</v>
      </c>
      <c r="AS96" s="108">
        <v>510.11890560000006</v>
      </c>
      <c r="AT96" s="108">
        <v>510.11890560000006</v>
      </c>
      <c r="AU96" s="108">
        <v>510.11890560000006</v>
      </c>
      <c r="AV96" s="108">
        <v>510.11890560000006</v>
      </c>
      <c r="AW96" s="108">
        <v>414.47161080000001</v>
      </c>
      <c r="AX96" s="108">
        <v>414.47161080000001</v>
      </c>
      <c r="AY96" s="108">
        <v>414.47161080000001</v>
      </c>
    </row>
    <row r="97" spans="1:52">
      <c r="A97" s="107"/>
      <c r="B97" s="125">
        <v>3</v>
      </c>
      <c r="C97" s="108">
        <v>484.99914999999999</v>
      </c>
      <c r="D97" s="108">
        <v>484.99914999999999</v>
      </c>
      <c r="E97" s="108">
        <v>484.99914999999999</v>
      </c>
      <c r="F97" s="108">
        <v>531.37386000000004</v>
      </c>
      <c r="G97" s="108">
        <v>531.37386000000004</v>
      </c>
      <c r="H97" s="108">
        <v>531.37386000000004</v>
      </c>
      <c r="I97" s="108">
        <v>531.37386000000004</v>
      </c>
      <c r="J97" s="108">
        <v>403.84413360000002</v>
      </c>
      <c r="K97" s="108">
        <v>403.84413360000002</v>
      </c>
      <c r="L97" s="108">
        <v>403.84413360000002</v>
      </c>
      <c r="M97" s="108">
        <v>403.84413360000002</v>
      </c>
      <c r="N97" s="108">
        <v>531.37386000000004</v>
      </c>
      <c r="O97" s="108">
        <v>531.37386000000004</v>
      </c>
      <c r="P97" s="108">
        <v>531.37386000000004</v>
      </c>
      <c r="Q97" s="108">
        <v>531.37386000000004</v>
      </c>
      <c r="R97" s="108">
        <v>361.33422480000002</v>
      </c>
      <c r="S97" s="108">
        <v>361.33422480000002</v>
      </c>
      <c r="T97" s="108">
        <v>361.33422480000002</v>
      </c>
      <c r="U97" s="108">
        <v>361.33422480000002</v>
      </c>
      <c r="V97" s="108">
        <v>403.84413360000002</v>
      </c>
      <c r="W97" s="108">
        <v>403.84413360000002</v>
      </c>
      <c r="X97" s="108">
        <v>403.84413360000002</v>
      </c>
      <c r="Y97" s="108">
        <v>324.58540800000037</v>
      </c>
      <c r="Z97" s="108">
        <v>248.95926800000041</v>
      </c>
      <c r="AA97" s="108">
        <v>251.33312800000044</v>
      </c>
      <c r="AB97" s="108">
        <v>258.70698800000048</v>
      </c>
      <c r="AC97" s="108">
        <v>362.08084800000051</v>
      </c>
      <c r="AD97" s="108">
        <v>395.45470800000055</v>
      </c>
      <c r="AE97" s="108">
        <v>457.82856800000059</v>
      </c>
      <c r="AF97" s="108">
        <v>517.20242800000062</v>
      </c>
      <c r="AG97" s="108">
        <v>531.37386000000004</v>
      </c>
      <c r="AH97" s="108">
        <v>523.95014800000069</v>
      </c>
      <c r="AI97" s="108">
        <v>531.37386000000004</v>
      </c>
      <c r="AJ97" s="108">
        <v>531.37386000000004</v>
      </c>
      <c r="AK97" s="108">
        <v>531.37386000000004</v>
      </c>
      <c r="AL97" s="108">
        <v>371.96170200000006</v>
      </c>
      <c r="AM97" s="108">
        <v>371.96170200000006</v>
      </c>
      <c r="AN97" s="108">
        <v>371.96170200000006</v>
      </c>
      <c r="AO97" s="108">
        <v>295.91853600000104</v>
      </c>
      <c r="AP97" s="108">
        <v>313.40996440000112</v>
      </c>
      <c r="AQ97" s="108">
        <v>302.90139280000119</v>
      </c>
      <c r="AR97" s="108">
        <v>322.39282120000126</v>
      </c>
      <c r="AS97" s="108">
        <v>241.88424960000134</v>
      </c>
      <c r="AT97" s="108">
        <v>195.0031552000014</v>
      </c>
      <c r="AU97" s="108">
        <v>237.12206080000146</v>
      </c>
      <c r="AV97" s="108">
        <v>281.24096640000153</v>
      </c>
      <c r="AW97" s="108">
        <v>265.35987200000159</v>
      </c>
      <c r="AX97" s="108">
        <v>167.8314828000016</v>
      </c>
      <c r="AY97" s="108">
        <v>90.303093600001603</v>
      </c>
    </row>
    <row r="98" spans="1:52">
      <c r="A98" s="107"/>
      <c r="B98" s="128">
        <v>4</v>
      </c>
      <c r="C98" s="104">
        <v>392.99744999999996</v>
      </c>
      <c r="D98" s="108">
        <v>410.99659999999994</v>
      </c>
      <c r="E98" s="108">
        <v>484.99914999999999</v>
      </c>
      <c r="F98" s="108">
        <v>484.99914999999999</v>
      </c>
      <c r="G98" s="108">
        <v>531.37386000000004</v>
      </c>
      <c r="H98" s="108">
        <v>531.37386000000004</v>
      </c>
      <c r="I98" s="108">
        <v>531.37386000000004</v>
      </c>
      <c r="J98" s="108">
        <v>531.37386000000004</v>
      </c>
      <c r="K98" s="108">
        <v>403.84413360000002</v>
      </c>
      <c r="L98" s="108">
        <v>294.68826720000004</v>
      </c>
      <c r="M98" s="108">
        <v>286.53240080000006</v>
      </c>
      <c r="N98" s="108">
        <v>183.37653440000008</v>
      </c>
      <c r="O98" s="108">
        <v>205.75039440000012</v>
      </c>
      <c r="P98" s="108">
        <v>264.12425440000015</v>
      </c>
      <c r="Q98" s="108">
        <v>332.49811440000019</v>
      </c>
      <c r="R98" s="108">
        <v>444.87197440000023</v>
      </c>
      <c r="S98" s="108">
        <v>329.20619920000024</v>
      </c>
      <c r="T98" s="108">
        <v>259.54042400000026</v>
      </c>
      <c r="U98" s="108">
        <v>212.87464880000027</v>
      </c>
      <c r="V98" s="108">
        <v>177.20887360000029</v>
      </c>
      <c r="W98" s="108">
        <v>59.053007200000309</v>
      </c>
      <c r="X98" s="108">
        <v>15.897140800000329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23.202428000000623</v>
      </c>
      <c r="AH98" s="108">
        <v>0</v>
      </c>
      <c r="AI98" s="108">
        <v>27.950148000000695</v>
      </c>
      <c r="AJ98" s="108">
        <v>15.324008000000731</v>
      </c>
      <c r="AK98" s="108">
        <v>154.69786800000077</v>
      </c>
      <c r="AL98" s="108">
        <v>135.0717280000008</v>
      </c>
      <c r="AM98" s="108">
        <v>98.033430000000862</v>
      </c>
      <c r="AN98" s="108">
        <v>29.995132000000922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6"/>
      <c r="B99" s="130" t="s">
        <v>297</v>
      </c>
      <c r="C99" s="123">
        <v>0</v>
      </c>
      <c r="D99" s="123">
        <v>0</v>
      </c>
      <c r="E99" s="123">
        <v>20.996599999999944</v>
      </c>
      <c r="F99" s="123">
        <v>13.999149999999986</v>
      </c>
      <c r="G99" s="123">
        <v>32.999149999999986</v>
      </c>
      <c r="H99" s="123">
        <v>55.373860000000036</v>
      </c>
      <c r="I99" s="123">
        <v>108.37386000000004</v>
      </c>
      <c r="J99" s="123">
        <v>134.37386000000004</v>
      </c>
      <c r="K99" s="123">
        <v>91.373860000000036</v>
      </c>
      <c r="L99" s="123">
        <v>0</v>
      </c>
      <c r="M99" s="123">
        <v>0</v>
      </c>
      <c r="N99" s="123">
        <v>0</v>
      </c>
      <c r="O99" s="123">
        <v>0</v>
      </c>
      <c r="P99" s="123">
        <v>0</v>
      </c>
      <c r="Q99" s="123">
        <v>0</v>
      </c>
      <c r="R99" s="123">
        <v>0</v>
      </c>
      <c r="S99" s="123">
        <v>0</v>
      </c>
      <c r="T99" s="123">
        <v>0</v>
      </c>
      <c r="U99" s="123">
        <v>0</v>
      </c>
      <c r="V99" s="123">
        <v>0</v>
      </c>
      <c r="W99" s="123">
        <v>0</v>
      </c>
      <c r="X99" s="123">
        <v>0</v>
      </c>
      <c r="Y99" s="123">
        <v>0</v>
      </c>
      <c r="Z99" s="123">
        <v>0</v>
      </c>
      <c r="AA99" s="123">
        <v>0</v>
      </c>
      <c r="AB99" s="123">
        <v>0</v>
      </c>
      <c r="AC99" s="123">
        <v>0</v>
      </c>
      <c r="AD99" s="123">
        <v>0</v>
      </c>
      <c r="AE99" s="123">
        <v>0</v>
      </c>
      <c r="AF99" s="123">
        <v>0</v>
      </c>
      <c r="AG99" s="123">
        <v>0</v>
      </c>
      <c r="AH99" s="123">
        <v>0</v>
      </c>
      <c r="AI99" s="123">
        <v>0</v>
      </c>
      <c r="AJ99" s="123">
        <v>0</v>
      </c>
      <c r="AK99" s="123">
        <v>0</v>
      </c>
      <c r="AL99" s="123">
        <v>0</v>
      </c>
      <c r="AM99" s="123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0</v>
      </c>
      <c r="AS99" s="123">
        <v>0</v>
      </c>
      <c r="AT99" s="123">
        <v>0</v>
      </c>
      <c r="AU99" s="123">
        <v>0</v>
      </c>
      <c r="AV99" s="123">
        <v>0</v>
      </c>
      <c r="AW99" s="123">
        <v>0</v>
      </c>
      <c r="AX99" s="123">
        <v>0</v>
      </c>
      <c r="AY99" s="123">
        <v>0</v>
      </c>
      <c r="AZ99" s="105">
        <f>SUM($D99:$AY99)</f>
        <v>457.49034000000006</v>
      </c>
    </row>
    <row r="100" spans="1:52">
      <c r="A100" s="129" t="s">
        <v>133</v>
      </c>
      <c r="B100" s="117">
        <v>1</v>
      </c>
      <c r="C100" s="104">
        <v>0</v>
      </c>
      <c r="D100" s="104">
        <v>946.62952646239421</v>
      </c>
      <c r="E100" s="104">
        <v>3873.0336205653007</v>
      </c>
      <c r="F100" s="104">
        <v>1822.9844490112077</v>
      </c>
      <c r="G100" s="104">
        <v>1745.9360316033176</v>
      </c>
      <c r="H100" s="104">
        <v>1822.9844490112077</v>
      </c>
      <c r="I100" s="104">
        <v>1745.9360316033176</v>
      </c>
      <c r="J100" s="104">
        <v>1407.0462881735029</v>
      </c>
      <c r="K100" s="104">
        <v>1212.0249982703185</v>
      </c>
      <c r="L100" s="104">
        <v>342.02499827031841</v>
      </c>
      <c r="M100" s="104">
        <v>2442.0249982703185</v>
      </c>
      <c r="N100" s="104">
        <v>1893.1540022057129</v>
      </c>
      <c r="O100" s="104">
        <v>1893.1540022057129</v>
      </c>
      <c r="P100" s="104">
        <v>1893.1540022057129</v>
      </c>
      <c r="Q100" s="104">
        <v>1893.1540022057129</v>
      </c>
      <c r="R100" s="104">
        <v>1507.2231202890566</v>
      </c>
      <c r="S100" s="104">
        <v>1507.2231202890566</v>
      </c>
      <c r="T100" s="104">
        <v>1212.0249982703185</v>
      </c>
      <c r="U100" s="104">
        <v>1207.2231202890564</v>
      </c>
      <c r="V100" s="104">
        <v>1677.2071484046926</v>
      </c>
      <c r="W100" s="104">
        <v>1270.5961484046925</v>
      </c>
      <c r="X100" s="104">
        <v>1677.2071484046926</v>
      </c>
      <c r="Y100" s="104">
        <v>1390.5961484046925</v>
      </c>
      <c r="Z100" s="104">
        <v>1303.9086940570319</v>
      </c>
      <c r="AA100" s="104">
        <v>1743.1540022057129</v>
      </c>
      <c r="AB100" s="104">
        <v>940.04166378386401</v>
      </c>
      <c r="AC100" s="104">
        <v>1969.765002205713</v>
      </c>
      <c r="AD100" s="104">
        <v>1060.0416637838639</v>
      </c>
      <c r="AE100" s="104">
        <v>1833.5466203638141</v>
      </c>
      <c r="AF100" s="104">
        <v>1756.4982029559239</v>
      </c>
      <c r="AG100" s="104">
        <v>1704.8656521518103</v>
      </c>
      <c r="AH100" s="104">
        <v>1873.7161735583188</v>
      </c>
      <c r="AI100" s="104">
        <v>1903.7161735583188</v>
      </c>
      <c r="AJ100" s="104">
        <v>1240.0416637838639</v>
      </c>
      <c r="AK100" s="104">
        <v>1903.7161735583188</v>
      </c>
      <c r="AL100" s="104">
        <v>1175.0208318919319</v>
      </c>
      <c r="AM100" s="104">
        <v>1565.0208318919319</v>
      </c>
      <c r="AN100" s="104">
        <v>1544.6410578512368</v>
      </c>
      <c r="AO100" s="104">
        <v>1574.6410578512368</v>
      </c>
      <c r="AP100" s="104">
        <v>1233.0374974054776</v>
      </c>
      <c r="AQ100" s="104">
        <v>1843.9011504169025</v>
      </c>
      <c r="AR100" s="104">
        <v>1233.0374974054776</v>
      </c>
      <c r="AS100" s="104">
        <v>1843.9011504169025</v>
      </c>
      <c r="AT100" s="104">
        <v>356.03333102709121</v>
      </c>
      <c r="AU100" s="104">
        <v>386.03333102709121</v>
      </c>
      <c r="AV100" s="104">
        <v>3922.9789260270909</v>
      </c>
      <c r="AW100" s="104">
        <v>386.03333102709121</v>
      </c>
      <c r="AX100" s="104">
        <v>1669.8006857949238</v>
      </c>
      <c r="AY100" s="104">
        <v>1664.1041895207466</v>
      </c>
    </row>
    <row r="101" spans="1:52">
      <c r="A101" s="107"/>
      <c r="B101" s="117">
        <v>2</v>
      </c>
      <c r="C101" s="104">
        <v>630.51472716160595</v>
      </c>
      <c r="D101" s="104">
        <v>1577.1442536240002</v>
      </c>
      <c r="E101" s="104">
        <v>946.62952646239421</v>
      </c>
      <c r="F101" s="104">
        <v>3325.8074006516949</v>
      </c>
      <c r="G101" s="104">
        <v>1822.9844490112077</v>
      </c>
      <c r="H101" s="104">
        <v>1822.9844490112075</v>
      </c>
      <c r="I101" s="104">
        <v>1822.9844490112077</v>
      </c>
      <c r="J101" s="104">
        <v>1822.9844490112075</v>
      </c>
      <c r="K101" s="104">
        <v>1407.0462881735029</v>
      </c>
      <c r="L101" s="104">
        <v>1653.190946859062</v>
      </c>
      <c r="M101" s="104">
        <v>371.32203548933279</v>
      </c>
      <c r="N101" s="104">
        <v>2905.7628210097769</v>
      </c>
      <c r="O101" s="104">
        <v>1927.0210324788809</v>
      </c>
      <c r="P101" s="104">
        <v>1893.1540022057129</v>
      </c>
      <c r="Q101" s="104">
        <v>1927.0210324788809</v>
      </c>
      <c r="R101" s="104">
        <v>1927.0210324788809</v>
      </c>
      <c r="S101" s="104">
        <v>1536.520157508071</v>
      </c>
      <c r="T101" s="104">
        <v>1507.2231202890566</v>
      </c>
      <c r="U101" s="104">
        <v>1507.2231202890566</v>
      </c>
      <c r="V101" s="104">
        <v>1207.2231202890564</v>
      </c>
      <c r="W101" s="104">
        <v>1677.2071484046926</v>
      </c>
      <c r="X101" s="104">
        <v>1270.5961484046925</v>
      </c>
      <c r="Y101" s="104">
        <v>1677.2071484046926</v>
      </c>
      <c r="Z101" s="104">
        <v>1599.8931856237068</v>
      </c>
      <c r="AA101" s="104">
        <v>1303.9086940570319</v>
      </c>
      <c r="AB101" s="104">
        <v>1404.3241024381425</v>
      </c>
      <c r="AC101" s="104">
        <v>1563.1540022057129</v>
      </c>
      <c r="AD101" s="104">
        <v>1969.765002205713</v>
      </c>
      <c r="AE101" s="104">
        <v>1257.0900811917538</v>
      </c>
      <c r="AF101" s="104">
        <v>1833.5466203638141</v>
      </c>
      <c r="AG101" s="104">
        <v>1833.5466203638139</v>
      </c>
      <c r="AH101" s="104">
        <v>1704.8656521518103</v>
      </c>
      <c r="AI101" s="104">
        <v>1937.5832038314868</v>
      </c>
      <c r="AJ101" s="104">
        <v>1937.5832038314868</v>
      </c>
      <c r="AK101" s="104">
        <v>1303.9086940570319</v>
      </c>
      <c r="AL101" s="104">
        <v>1937.5832038314868</v>
      </c>
      <c r="AM101" s="104">
        <v>1225.675370847408</v>
      </c>
      <c r="AN101" s="104">
        <v>1595.2955968067129</v>
      </c>
      <c r="AO101" s="104">
        <v>1595.2955968067129</v>
      </c>
      <c r="AP101" s="104">
        <v>1574.6410578512368</v>
      </c>
      <c r="AQ101" s="104">
        <v>1869.125682426532</v>
      </c>
      <c r="AR101" s="104">
        <v>1843.9011504169025</v>
      </c>
      <c r="AS101" s="104">
        <v>1869.125682426532</v>
      </c>
      <c r="AT101" s="104">
        <v>1869.125682426532</v>
      </c>
      <c r="AU101" s="104">
        <v>402.61536477318236</v>
      </c>
      <c r="AV101" s="104">
        <v>0</v>
      </c>
      <c r="AW101" s="104">
        <v>1626.5609597731818</v>
      </c>
      <c r="AX101" s="104">
        <v>1558.7463540090921</v>
      </c>
      <c r="AY101" s="104">
        <v>1621.5470398040159</v>
      </c>
    </row>
    <row r="102" spans="1:52">
      <c r="A102" s="107"/>
      <c r="B102" s="118">
        <v>3</v>
      </c>
      <c r="C102" s="104">
        <v>0</v>
      </c>
      <c r="D102" s="104">
        <v>0</v>
      </c>
      <c r="E102" s="104">
        <v>147.14425362400016</v>
      </c>
      <c r="F102" s="104">
        <v>630.51472716160595</v>
      </c>
      <c r="G102" s="104">
        <v>2709.9331278133009</v>
      </c>
      <c r="H102" s="104">
        <v>1822.9844490112077</v>
      </c>
      <c r="I102" s="104">
        <v>1822.9844490112075</v>
      </c>
      <c r="J102" s="104">
        <v>1822.9844490112077</v>
      </c>
      <c r="K102" s="104">
        <v>1822.9844490112075</v>
      </c>
      <c r="L102" s="104">
        <v>1407.0462881735029</v>
      </c>
      <c r="M102" s="104">
        <v>1653.190946859062</v>
      </c>
      <c r="N102" s="104">
        <v>371.32203548933279</v>
      </c>
      <c r="O102" s="104">
        <v>1634.4900526088204</v>
      </c>
      <c r="P102" s="104">
        <v>1927.0210324788809</v>
      </c>
      <c r="Q102" s="104">
        <v>1927.0210324788809</v>
      </c>
      <c r="R102" s="104">
        <v>1927.0210324788809</v>
      </c>
      <c r="S102" s="104">
        <v>1927.0210324788809</v>
      </c>
      <c r="T102" s="104">
        <v>1536.520157508071</v>
      </c>
      <c r="U102" s="104">
        <v>1507.2231202890566</v>
      </c>
      <c r="V102" s="104">
        <v>1536.520157508071</v>
      </c>
      <c r="W102" s="104">
        <v>1207.2231202890564</v>
      </c>
      <c r="X102" s="104">
        <v>962.56492374230584</v>
      </c>
      <c r="Y102" s="104">
        <v>238.16107214699832</v>
      </c>
      <c r="Z102" s="104">
        <v>57.368220551690911</v>
      </c>
      <c r="AA102" s="104">
        <v>179.26140617539772</v>
      </c>
      <c r="AB102" s="104">
        <v>623.11233842184902</v>
      </c>
      <c r="AC102" s="104">
        <v>394.43644085999154</v>
      </c>
      <c r="AD102" s="104">
        <v>384.59044306570445</v>
      </c>
      <c r="AE102" s="104">
        <v>809.22247554458545</v>
      </c>
      <c r="AF102" s="104">
        <v>1000.7690959083993</v>
      </c>
      <c r="AG102" s="104">
        <v>980.31571627221342</v>
      </c>
      <c r="AH102" s="104">
        <v>1038.8623366360273</v>
      </c>
      <c r="AI102" s="104">
        <v>1264.7279887878376</v>
      </c>
      <c r="AJ102" s="104">
        <v>1668.3111926193244</v>
      </c>
      <c r="AK102" s="104">
        <v>1705.8943964508112</v>
      </c>
      <c r="AL102" s="104">
        <v>1654.477600282298</v>
      </c>
      <c r="AM102" s="104">
        <v>1677.0608041137848</v>
      </c>
      <c r="AN102" s="104">
        <v>1531.3564009204977</v>
      </c>
      <c r="AO102" s="104">
        <v>886.65199772721053</v>
      </c>
      <c r="AP102" s="104">
        <v>583.94759453392339</v>
      </c>
      <c r="AQ102" s="104">
        <v>43.243191340636258</v>
      </c>
      <c r="AR102" s="104">
        <v>263.36887376716822</v>
      </c>
      <c r="AS102" s="104">
        <v>392.49455619370019</v>
      </c>
      <c r="AT102" s="104">
        <v>699.62023862023216</v>
      </c>
      <c r="AU102" s="104">
        <v>797.74592104676412</v>
      </c>
      <c r="AV102" s="104">
        <v>0</v>
      </c>
      <c r="AW102" s="104">
        <v>16.582033746091156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926.93312781330087</v>
      </c>
      <c r="I103" s="104">
        <v>730.91757682450861</v>
      </c>
      <c r="J103" s="104">
        <v>743.90202583571613</v>
      </c>
      <c r="K103" s="104">
        <v>910.88647484692387</v>
      </c>
      <c r="L103" s="104">
        <v>924.87092385813139</v>
      </c>
      <c r="M103" s="104">
        <v>549.91721203163434</v>
      </c>
      <c r="N103" s="104">
        <v>123.10815889069636</v>
      </c>
      <c r="O103" s="104">
        <v>0</v>
      </c>
      <c r="P103" s="104">
        <v>66.490052608820406</v>
      </c>
      <c r="Q103" s="104">
        <v>280.5110850877013</v>
      </c>
      <c r="R103" s="104">
        <v>556.5321175665822</v>
      </c>
      <c r="S103" s="104">
        <v>1024.5531500454631</v>
      </c>
      <c r="T103" s="104">
        <v>1038.574182524344</v>
      </c>
      <c r="U103" s="104">
        <v>771.09434003241495</v>
      </c>
      <c r="V103" s="104">
        <v>741.6144975404859</v>
      </c>
      <c r="W103" s="104">
        <v>51.134655048556851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183.86703027316798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0</v>
      </c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>
        <v>408.91260949268343</v>
      </c>
      <c r="D109" s="104">
        <v>224.29337792735805</v>
      </c>
      <c r="E109" s="104">
        <v>899.23693748697303</v>
      </c>
      <c r="F109" s="104">
        <v>269.08014047864725</v>
      </c>
      <c r="G109" s="104">
        <v>291.11342550925741</v>
      </c>
      <c r="H109" s="104">
        <v>88.58919638020835</v>
      </c>
      <c r="I109" s="104">
        <v>88.58919638020835</v>
      </c>
      <c r="J109" s="104">
        <v>88.58919638020835</v>
      </c>
      <c r="K109" s="104">
        <v>88.58919638020835</v>
      </c>
      <c r="L109" s="104">
        <v>88.58919638020835</v>
      </c>
      <c r="M109" s="104">
        <v>88.58919638020835</v>
      </c>
      <c r="N109" s="104">
        <v>88.58919638020835</v>
      </c>
      <c r="O109" s="104">
        <v>88.58919638020835</v>
      </c>
      <c r="P109" s="104">
        <v>88.58919638020835</v>
      </c>
      <c r="Q109" s="104">
        <v>88.58919638020835</v>
      </c>
      <c r="R109" s="104">
        <v>88.58919638020835</v>
      </c>
      <c r="S109" s="104">
        <v>88.58919638020835</v>
      </c>
      <c r="T109" s="104">
        <v>88.58919638020835</v>
      </c>
      <c r="U109" s="104">
        <v>88.58919638020835</v>
      </c>
      <c r="V109" s="104">
        <v>88.58919638020835</v>
      </c>
      <c r="W109" s="104">
        <v>88.58919638020835</v>
      </c>
      <c r="X109" s="104">
        <v>88.58919638020835</v>
      </c>
      <c r="Y109" s="104">
        <v>88.58919638020835</v>
      </c>
      <c r="Z109" s="104">
        <v>88.58919638020835</v>
      </c>
      <c r="AA109" s="104">
        <v>88.58919638020835</v>
      </c>
      <c r="AB109" s="104">
        <v>88.58919638020835</v>
      </c>
      <c r="AC109" s="104">
        <v>88.58919638020835</v>
      </c>
      <c r="AD109" s="104">
        <v>88.58919638020835</v>
      </c>
      <c r="AE109" s="104">
        <v>88.58919638020835</v>
      </c>
      <c r="AF109" s="104">
        <v>88.58919638020835</v>
      </c>
      <c r="AG109" s="104">
        <v>88.58919638020835</v>
      </c>
      <c r="AH109" s="104">
        <v>88.58919638020835</v>
      </c>
      <c r="AI109" s="104">
        <v>88.58919638020835</v>
      </c>
      <c r="AJ109" s="104">
        <v>88.58919638020835</v>
      </c>
      <c r="AK109" s="104">
        <v>88.58919638020835</v>
      </c>
      <c r="AL109" s="104">
        <v>88.58919638020835</v>
      </c>
      <c r="AM109" s="104">
        <v>88.58919638020835</v>
      </c>
      <c r="AN109" s="104">
        <v>88.58919638020835</v>
      </c>
      <c r="AO109" s="104">
        <v>88.58919638020835</v>
      </c>
      <c r="AP109" s="104">
        <v>88.58919638020835</v>
      </c>
      <c r="AQ109" s="104">
        <v>88.58919638020835</v>
      </c>
      <c r="AR109" s="104">
        <v>88.58919638020835</v>
      </c>
      <c r="AS109" s="104">
        <v>88.58919638020835</v>
      </c>
      <c r="AT109" s="104">
        <v>88.58919638020835</v>
      </c>
      <c r="AU109" s="104">
        <v>88.58919638020835</v>
      </c>
      <c r="AV109" s="104">
        <v>88.58919638020835</v>
      </c>
      <c r="AW109" s="104">
        <v>88.58919638020835</v>
      </c>
      <c r="AX109" s="104">
        <v>88.58919638020835</v>
      </c>
      <c r="AY109" s="104">
        <v>88.58919638020835</v>
      </c>
    </row>
    <row r="110" spans="1:52">
      <c r="A110" s="107"/>
      <c r="B110" s="117">
        <v>2</v>
      </c>
      <c r="C110" s="104">
        <v>599.27848070411108</v>
      </c>
      <c r="D110" s="104">
        <v>408.91260949268343</v>
      </c>
      <c r="E110" s="104">
        <v>224.29337792735805</v>
      </c>
      <c r="F110" s="104">
        <v>899.23693748697303</v>
      </c>
      <c r="G110" s="104">
        <v>269.08014047864725</v>
      </c>
      <c r="H110" s="104">
        <v>291.11342550925741</v>
      </c>
      <c r="I110" s="104">
        <v>88.58919638020835</v>
      </c>
      <c r="J110" s="104">
        <v>88.58919638020835</v>
      </c>
      <c r="K110" s="104">
        <v>88.58919638020835</v>
      </c>
      <c r="L110" s="104">
        <v>88.58919638020835</v>
      </c>
      <c r="M110" s="104">
        <v>88.58919638020835</v>
      </c>
      <c r="N110" s="104">
        <v>88.58919638020835</v>
      </c>
      <c r="O110" s="104">
        <v>88.58919638020835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572.47994722200008</v>
      </c>
      <c r="D111" s="104">
        <v>599.27848070411108</v>
      </c>
      <c r="E111" s="104">
        <v>408.91260949268343</v>
      </c>
      <c r="F111" s="104">
        <v>224.29337792735805</v>
      </c>
      <c r="G111" s="104">
        <v>899.23693748697303</v>
      </c>
      <c r="H111" s="104">
        <v>269.08014047864725</v>
      </c>
      <c r="I111" s="104">
        <v>291.11342550925741</v>
      </c>
      <c r="J111" s="104">
        <v>88.58919638020835</v>
      </c>
      <c r="K111" s="104">
        <v>88.58919638020835</v>
      </c>
      <c r="L111" s="104">
        <v>88.58919638020835</v>
      </c>
      <c r="M111" s="104">
        <v>88.58919638020835</v>
      </c>
      <c r="N111" s="104">
        <v>88.58919638020835</v>
      </c>
      <c r="O111" s="104">
        <v>88.58919638020835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0</v>
      </c>
      <c r="D112" s="104">
        <v>572.47994722200008</v>
      </c>
      <c r="E112" s="104">
        <v>599.27848070411108</v>
      </c>
      <c r="F112" s="104">
        <v>408.91260949268343</v>
      </c>
      <c r="G112" s="104">
        <v>224.29337792735805</v>
      </c>
      <c r="H112" s="104">
        <v>899.23693748697303</v>
      </c>
      <c r="I112" s="104">
        <v>269.08014047864725</v>
      </c>
      <c r="J112" s="104">
        <v>291.11342550925741</v>
      </c>
      <c r="K112" s="104">
        <v>88.58919638020835</v>
      </c>
      <c r="L112" s="104">
        <v>88.58919638020835</v>
      </c>
      <c r="M112" s="104">
        <v>88.58919638020835</v>
      </c>
      <c r="N112" s="104">
        <v>88.58919638020835</v>
      </c>
      <c r="O112" s="104">
        <v>88.58919638020835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0</v>
      </c>
      <c r="D113" s="104">
        <v>0</v>
      </c>
      <c r="E113" s="104">
        <v>572.47994722200008</v>
      </c>
      <c r="F113" s="104">
        <v>599.27848070411108</v>
      </c>
      <c r="G113" s="104">
        <v>408.91260949268343</v>
      </c>
      <c r="H113" s="104">
        <v>224.29337792735805</v>
      </c>
      <c r="I113" s="104">
        <v>899.23693748697303</v>
      </c>
      <c r="J113" s="104">
        <v>269.08014047864725</v>
      </c>
      <c r="K113" s="104">
        <v>291.11342550925741</v>
      </c>
      <c r="L113" s="104">
        <v>88.58919638020835</v>
      </c>
      <c r="M113" s="104">
        <v>88.58919638020835</v>
      </c>
      <c r="N113" s="104">
        <v>88.58919638020835</v>
      </c>
      <c r="O113" s="104">
        <v>88.58919638020835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75.267731579441801</v>
      </c>
      <c r="D114" s="104">
        <v>0</v>
      </c>
      <c r="E114" s="104">
        <v>0</v>
      </c>
      <c r="F114" s="104">
        <v>572.47994722200008</v>
      </c>
      <c r="G114" s="104">
        <v>599.27848070411108</v>
      </c>
      <c r="H114" s="104">
        <v>408.91260949268343</v>
      </c>
      <c r="I114" s="104">
        <v>224.29337792735805</v>
      </c>
      <c r="J114" s="104">
        <v>899.23693748697303</v>
      </c>
      <c r="K114" s="104">
        <v>269.08014047864725</v>
      </c>
      <c r="L114" s="104">
        <v>291.11342550925741</v>
      </c>
      <c r="M114" s="104">
        <v>88.58919638020835</v>
      </c>
      <c r="N114" s="104">
        <v>88.58919638020835</v>
      </c>
      <c r="O114" s="104">
        <v>43.430239541097222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714.3942908695326</v>
      </c>
      <c r="D115" s="104">
        <v>75.267731579441801</v>
      </c>
      <c r="E115" s="104">
        <v>0</v>
      </c>
      <c r="F115" s="104">
        <v>0</v>
      </c>
      <c r="G115" s="104">
        <v>572.47994722200008</v>
      </c>
      <c r="H115" s="104">
        <v>599.27848070411108</v>
      </c>
      <c r="I115" s="104">
        <v>408.91260949268343</v>
      </c>
      <c r="J115" s="104">
        <v>224.29337792735805</v>
      </c>
      <c r="K115" s="104">
        <v>899.23693748697303</v>
      </c>
      <c r="L115" s="104">
        <v>269.08014047864725</v>
      </c>
      <c r="M115" s="104">
        <v>291.11342550925741</v>
      </c>
      <c r="N115" s="104">
        <v>88.58919638020835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949.196545019273</v>
      </c>
      <c r="D116" s="104">
        <v>714.3942908695326</v>
      </c>
      <c r="E116" s="104">
        <v>75.267731579441801</v>
      </c>
      <c r="F116" s="104">
        <v>0</v>
      </c>
      <c r="G116" s="104">
        <v>0</v>
      </c>
      <c r="H116" s="104">
        <v>572.47994722200008</v>
      </c>
      <c r="I116" s="104">
        <v>599.27848070411108</v>
      </c>
      <c r="J116" s="104">
        <v>408.91260949268343</v>
      </c>
      <c r="K116" s="104">
        <v>224.29337792735805</v>
      </c>
      <c r="L116" s="104">
        <v>899.23693748697303</v>
      </c>
      <c r="M116" s="104">
        <v>269.08014047864725</v>
      </c>
      <c r="N116" s="104">
        <v>291.11342550925741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1137.9443718813259</v>
      </c>
      <c r="D117" s="104">
        <v>949.196545019273</v>
      </c>
      <c r="E117" s="104">
        <v>714.3942908695326</v>
      </c>
      <c r="F117" s="104">
        <v>75.267731579441801</v>
      </c>
      <c r="G117" s="104">
        <v>0</v>
      </c>
      <c r="H117" s="104">
        <v>0</v>
      </c>
      <c r="I117" s="104">
        <v>572.47994722200008</v>
      </c>
      <c r="J117" s="104">
        <v>599.27848070411108</v>
      </c>
      <c r="K117" s="104">
        <v>408.91260949268343</v>
      </c>
      <c r="L117" s="104">
        <v>125.23214692559446</v>
      </c>
      <c r="M117" s="104">
        <v>472.4690844125675</v>
      </c>
      <c r="N117" s="104">
        <v>97.549224891214749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0</v>
      </c>
      <c r="D118" s="104">
        <v>1137.9443718813259</v>
      </c>
      <c r="E118" s="104">
        <v>949.196545019273</v>
      </c>
      <c r="F118" s="104">
        <v>714.3942908695326</v>
      </c>
      <c r="G118" s="104">
        <v>75.267731579441801</v>
      </c>
      <c r="H118" s="104">
        <v>0</v>
      </c>
      <c r="I118" s="104">
        <v>0</v>
      </c>
      <c r="J118" s="104">
        <v>7.7476788014419071</v>
      </c>
      <c r="K118" s="104">
        <v>70.026159505552982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336.74508300835635</v>
      </c>
      <c r="D119" s="104">
        <v>0</v>
      </c>
      <c r="E119" s="104">
        <v>938.15763095962029</v>
      </c>
      <c r="F119" s="104">
        <v>949.196545019273</v>
      </c>
      <c r="G119" s="104">
        <v>714.3942908695326</v>
      </c>
      <c r="H119" s="104">
        <v>75.267731579441801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378.31388231057264</v>
      </c>
      <c r="D120" s="104">
        <v>263.21325907829436</v>
      </c>
      <c r="E120" s="104">
        <v>0</v>
      </c>
      <c r="F120" s="104">
        <v>313.15763095962029</v>
      </c>
      <c r="G120" s="104">
        <v>697.35417597889329</v>
      </c>
      <c r="H120" s="104">
        <v>714.3942908695326</v>
      </c>
      <c r="I120" s="104">
        <v>75.267731579441801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54.411652631666072</v>
      </c>
      <c r="D121" s="123">
        <v>0</v>
      </c>
      <c r="E121" s="123">
        <v>0</v>
      </c>
      <c r="F121" s="123">
        <v>0</v>
      </c>
      <c r="G121" s="123">
        <v>0</v>
      </c>
      <c r="H121" s="123">
        <v>228.35417597889329</v>
      </c>
      <c r="I121" s="123">
        <v>130.3942908695326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358.74846684842589</v>
      </c>
    </row>
    <row r="122" spans="1:52">
      <c r="A122" s="129" t="s">
        <v>123</v>
      </c>
      <c r="B122" s="117">
        <v>1</v>
      </c>
      <c r="C122" s="104">
        <v>0</v>
      </c>
      <c r="D122" s="104">
        <v>637.11526520427083</v>
      </c>
      <c r="E122" s="104">
        <v>143.74479166666669</v>
      </c>
      <c r="F122" s="104">
        <v>143.74479166666669</v>
      </c>
      <c r="G122" s="104">
        <v>143.74479166666669</v>
      </c>
      <c r="H122" s="104">
        <v>143.74479166666669</v>
      </c>
      <c r="I122" s="104">
        <v>143.74479166666669</v>
      </c>
      <c r="J122" s="104">
        <v>143.74479166666669</v>
      </c>
      <c r="K122" s="104">
        <v>143.74479166666669</v>
      </c>
      <c r="L122" s="104">
        <v>143.74479166666669</v>
      </c>
      <c r="M122" s="104">
        <v>143.74479166666669</v>
      </c>
      <c r="N122" s="104">
        <v>143.74479166666669</v>
      </c>
      <c r="O122" s="104">
        <v>143.74479166666669</v>
      </c>
      <c r="P122" s="104">
        <v>143.74479166666669</v>
      </c>
      <c r="Q122" s="104">
        <v>143.74479166666669</v>
      </c>
      <c r="R122" s="104">
        <v>143.74479166666669</v>
      </c>
      <c r="S122" s="104">
        <v>143.74479166666669</v>
      </c>
      <c r="T122" s="104">
        <v>143.74479166666669</v>
      </c>
      <c r="U122" s="104">
        <v>143.74479166666669</v>
      </c>
      <c r="V122" s="104">
        <v>143.74479166666669</v>
      </c>
      <c r="W122" s="104">
        <v>143.74479166666669</v>
      </c>
      <c r="X122" s="104">
        <v>143.74479166666669</v>
      </c>
      <c r="Y122" s="104">
        <v>143.74479166666669</v>
      </c>
      <c r="Z122" s="104">
        <v>143.74479166666669</v>
      </c>
      <c r="AA122" s="104">
        <v>143.74479166666669</v>
      </c>
      <c r="AB122" s="104">
        <v>143.74479166666669</v>
      </c>
      <c r="AC122" s="104">
        <v>143.74479166666669</v>
      </c>
      <c r="AD122" s="104">
        <v>143.74479166666669</v>
      </c>
      <c r="AE122" s="104">
        <v>143.74479166666669</v>
      </c>
      <c r="AF122" s="104">
        <v>143.74479166666669</v>
      </c>
      <c r="AG122" s="104">
        <v>143.74479166666669</v>
      </c>
      <c r="AH122" s="104">
        <v>143.74479166666669</v>
      </c>
      <c r="AI122" s="104">
        <v>143.74479166666669</v>
      </c>
      <c r="AJ122" s="104">
        <v>143.74479166666669</v>
      </c>
      <c r="AK122" s="104">
        <v>143.74479166666669</v>
      </c>
      <c r="AL122" s="104">
        <v>143.74479166666669</v>
      </c>
      <c r="AM122" s="104">
        <v>143.74479166666669</v>
      </c>
      <c r="AN122" s="104">
        <v>143.74479166666669</v>
      </c>
      <c r="AO122" s="104">
        <v>143.74479166666669</v>
      </c>
      <c r="AP122" s="104">
        <v>143.74479166666669</v>
      </c>
      <c r="AQ122" s="104">
        <v>143.74479166666669</v>
      </c>
      <c r="AR122" s="104">
        <v>143.74479166666669</v>
      </c>
      <c r="AS122" s="104">
        <v>143.74479166666669</v>
      </c>
      <c r="AT122" s="104">
        <v>143.74479166666669</v>
      </c>
      <c r="AU122" s="104">
        <v>143.74479166666669</v>
      </c>
      <c r="AV122" s="104">
        <v>143.74479166666669</v>
      </c>
      <c r="AW122" s="104">
        <v>143.74479166666669</v>
      </c>
      <c r="AX122" s="104">
        <v>143.74479166666669</v>
      </c>
      <c r="AY122" s="104">
        <v>143.74479166666669</v>
      </c>
    </row>
    <row r="123" spans="1:52">
      <c r="A123" s="107"/>
      <c r="B123" s="117">
        <v>2</v>
      </c>
      <c r="C123" s="104">
        <v>328.61572644439599</v>
      </c>
      <c r="D123" s="104">
        <v>821.98619998200013</v>
      </c>
      <c r="E123" s="104">
        <v>244.46431283520471</v>
      </c>
      <c r="F123" s="104">
        <v>2.8421709430404007E-14</v>
      </c>
      <c r="G123" s="104">
        <v>1.4210854715202004E-14</v>
      </c>
      <c r="H123" s="104">
        <v>7.1054273576010019E-15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0</v>
      </c>
      <c r="D124" s="104">
        <v>0</v>
      </c>
      <c r="E124" s="104">
        <v>48.400214864093357</v>
      </c>
      <c r="F124" s="104">
        <v>328.61572644439599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0.68254000000000004</v>
      </c>
      <c r="D172" s="132">
        <v>0.61629500000000004</v>
      </c>
      <c r="E172" s="132">
        <v>0.61629500000000004</v>
      </c>
      <c r="F172" s="132">
        <v>0.61629500000000004</v>
      </c>
      <c r="G172" s="132">
        <v>0.61629500000000004</v>
      </c>
      <c r="H172" s="132">
        <v>0.61629500000000004</v>
      </c>
      <c r="I172" s="132">
        <v>0.61629500000000004</v>
      </c>
      <c r="J172" s="132">
        <v>0.61629500000000004</v>
      </c>
      <c r="K172" s="132">
        <v>0.61629500000000004</v>
      </c>
      <c r="L172" s="132">
        <v>0.61629500000000004</v>
      </c>
      <c r="M172" s="132">
        <v>0.61629500000000004</v>
      </c>
      <c r="N172" s="132">
        <v>0.61629500000000004</v>
      </c>
      <c r="O172" s="132">
        <v>0.61629500000000004</v>
      </c>
      <c r="P172" s="132">
        <v>0.61629500000000004</v>
      </c>
      <c r="Q172" s="132">
        <v>0.61629500000000004</v>
      </c>
      <c r="R172" s="132">
        <v>0.61629500000000004</v>
      </c>
      <c r="S172" s="132">
        <v>0.61629500000000004</v>
      </c>
      <c r="T172" s="132">
        <v>0.61629500000000004</v>
      </c>
      <c r="U172" s="132">
        <v>0.61629500000000004</v>
      </c>
      <c r="V172" s="132">
        <v>0.61629500000000004</v>
      </c>
      <c r="W172" s="132">
        <v>0.61629500000000004</v>
      </c>
      <c r="X172" s="132">
        <v>0.61629500000000004</v>
      </c>
      <c r="Y172" s="132">
        <v>0.61629500000000004</v>
      </c>
      <c r="Z172" s="132">
        <v>0.61629500000000004</v>
      </c>
      <c r="AA172" s="132">
        <v>0.61629500000000004</v>
      </c>
      <c r="AB172" s="132">
        <v>0.61629500000000004</v>
      </c>
      <c r="AC172" s="132">
        <v>0.61629500000000004</v>
      </c>
      <c r="AD172" s="132">
        <v>0.61629500000000004</v>
      </c>
      <c r="AE172" s="132">
        <v>0.61629500000000004</v>
      </c>
      <c r="AF172" s="132">
        <v>0.61629500000000004</v>
      </c>
      <c r="AG172" s="132">
        <v>0.61629500000000004</v>
      </c>
      <c r="AH172" s="132">
        <v>0.61629500000000004</v>
      </c>
      <c r="AI172" s="132">
        <v>0.61629500000000004</v>
      </c>
      <c r="AJ172" s="132">
        <v>0.61629500000000004</v>
      </c>
      <c r="AK172" s="132">
        <v>0.61629500000000004</v>
      </c>
      <c r="AL172" s="132">
        <v>0.61629500000000004</v>
      </c>
      <c r="AM172" s="132">
        <v>0.61629500000000004</v>
      </c>
      <c r="AN172" s="132">
        <v>0.61629500000000004</v>
      </c>
      <c r="AO172" s="132">
        <v>0.61629500000000004</v>
      </c>
      <c r="AP172" s="132">
        <v>0.61629500000000004</v>
      </c>
      <c r="AQ172" s="132">
        <v>0.61629500000000004</v>
      </c>
      <c r="AR172" s="132">
        <v>0.61629500000000004</v>
      </c>
      <c r="AS172" s="132">
        <v>0.61629500000000004</v>
      </c>
      <c r="AT172" s="132">
        <v>0.61629500000000004</v>
      </c>
      <c r="AU172" s="132">
        <v>0.61629500000000004</v>
      </c>
      <c r="AV172" s="132">
        <v>0.61629500000000004</v>
      </c>
      <c r="AW172" s="132">
        <v>0.61629500000000004</v>
      </c>
      <c r="AX172" s="132">
        <v>0.61629500000000004</v>
      </c>
      <c r="AY172" s="132">
        <v>0.61629500000000004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1912.3687599999998</v>
      </c>
      <c r="E175" s="122">
        <f t="shared" si="1"/>
        <v>2032.74602</v>
      </c>
      <c r="F175" s="122">
        <f t="shared" si="1"/>
        <v>2079.1207300000001</v>
      </c>
      <c r="G175" s="122">
        <f t="shared" si="1"/>
        <v>2125.4954400000001</v>
      </c>
      <c r="H175" s="122">
        <f t="shared" si="1"/>
        <v>1997.9657136000001</v>
      </c>
      <c r="I175" s="122">
        <f t="shared" si="1"/>
        <v>1870.4359872</v>
      </c>
      <c r="J175" s="122">
        <f t="shared" si="1"/>
        <v>1742.9062607999999</v>
      </c>
      <c r="K175" s="122">
        <f t="shared" si="1"/>
        <v>1615.3765344000001</v>
      </c>
      <c r="L175" s="122">
        <f t="shared" si="1"/>
        <v>1633.7503944</v>
      </c>
      <c r="M175" s="122">
        <f t="shared" si="1"/>
        <v>1753.1242544000002</v>
      </c>
      <c r="N175" s="122">
        <f t="shared" si="1"/>
        <v>1777.4981144000001</v>
      </c>
      <c r="O175" s="122">
        <f t="shared" si="1"/>
        <v>1799.8719744</v>
      </c>
      <c r="P175" s="122">
        <f t="shared" si="1"/>
        <v>1688.2061992000004</v>
      </c>
      <c r="Q175" s="122">
        <f t="shared" si="1"/>
        <v>1586.5404240000003</v>
      </c>
      <c r="R175" s="122">
        <f t="shared" si="1"/>
        <v>1528.8746488000004</v>
      </c>
      <c r="S175" s="122">
        <f t="shared" si="1"/>
        <v>1413.2088736000005</v>
      </c>
      <c r="T175" s="122">
        <f t="shared" si="1"/>
        <v>1386.0530072000001</v>
      </c>
      <c r="U175" s="122">
        <f t="shared" si="1"/>
        <v>1381.8971408000002</v>
      </c>
      <c r="V175" s="122">
        <f t="shared" si="1"/>
        <v>1388.7412744000003</v>
      </c>
      <c r="W175" s="122">
        <f t="shared" si="1"/>
        <v>1270.5854080000004</v>
      </c>
      <c r="X175" s="122">
        <f t="shared" si="1"/>
        <v>1354.9592680000005</v>
      </c>
      <c r="Y175" s="122">
        <f t="shared" si="1"/>
        <v>1387.3331280000004</v>
      </c>
      <c r="Z175" s="122">
        <f t="shared" si="1"/>
        <v>1311.7069880000004</v>
      </c>
      <c r="AA175" s="122">
        <f t="shared" si="1"/>
        <v>1314.0808480000005</v>
      </c>
      <c r="AB175" s="122">
        <f t="shared" si="1"/>
        <v>1321.4547080000007</v>
      </c>
      <c r="AC175" s="122">
        <f t="shared" si="1"/>
        <v>1424.8285680000006</v>
      </c>
      <c r="AD175" s="122">
        <f t="shared" si="1"/>
        <v>1458.2024280000005</v>
      </c>
      <c r="AE175" s="122">
        <f t="shared" si="1"/>
        <v>1520.5762880000007</v>
      </c>
      <c r="AF175" s="122">
        <f t="shared" si="1"/>
        <v>1579.9501480000008</v>
      </c>
      <c r="AG175" s="122">
        <f t="shared" si="1"/>
        <v>1617.3240080000005</v>
      </c>
      <c r="AH175" s="122">
        <f t="shared" si="1"/>
        <v>1586.6978680000007</v>
      </c>
      <c r="AI175" s="122">
        <f t="shared" si="1"/>
        <v>1622.0717280000008</v>
      </c>
      <c r="AJ175" s="122">
        <f t="shared" si="1"/>
        <v>1450.0334300000009</v>
      </c>
      <c r="AK175" s="122">
        <f t="shared" si="1"/>
        <v>1429.9951320000009</v>
      </c>
      <c r="AL175" s="122">
        <f t="shared" si="1"/>
        <v>1250.956834000001</v>
      </c>
      <c r="AM175" s="122">
        <f t="shared" si="1"/>
        <v>1213.918536000001</v>
      </c>
      <c r="AN175" s="122">
        <f t="shared" si="1"/>
        <v>1273.4099644000012</v>
      </c>
      <c r="AO175" s="122">
        <f t="shared" si="1"/>
        <v>1294.9013928000013</v>
      </c>
      <c r="AP175" s="122">
        <f t="shared" si="1"/>
        <v>1312.3928212000012</v>
      </c>
      <c r="AQ175" s="122">
        <f t="shared" si="1"/>
        <v>1301.8842496000013</v>
      </c>
      <c r="AR175" s="122">
        <f t="shared" si="1"/>
        <v>1332.0031552000014</v>
      </c>
      <c r="AS175" s="122">
        <f t="shared" si="1"/>
        <v>1262.1220608000015</v>
      </c>
      <c r="AT175" s="122">
        <f t="shared" si="1"/>
        <v>1215.2409664000015</v>
      </c>
      <c r="AU175" s="122">
        <f t="shared" si="1"/>
        <v>1257.3598720000016</v>
      </c>
      <c r="AV175" s="122">
        <f t="shared" si="1"/>
        <v>1205.8314828000016</v>
      </c>
      <c r="AW175" s="122">
        <f t="shared" si="1"/>
        <v>1094.3030936000016</v>
      </c>
      <c r="AX175" s="122">
        <f t="shared" si="1"/>
        <v>996.77470440000161</v>
      </c>
      <c r="AY175" s="122">
        <f t="shared" si="1"/>
        <v>919.24631520000162</v>
      </c>
    </row>
    <row r="176" spans="1:52">
      <c r="A176" s="123"/>
      <c r="B176" s="134" t="s">
        <v>300</v>
      </c>
      <c r="C176" s="123" t="s">
        <v>294</v>
      </c>
      <c r="D176" s="123">
        <v>390</v>
      </c>
      <c r="E176" s="123">
        <v>471</v>
      </c>
      <c r="F176" s="123">
        <v>452</v>
      </c>
      <c r="G176" s="123">
        <v>476</v>
      </c>
      <c r="H176" s="123">
        <v>423</v>
      </c>
      <c r="I176" s="123">
        <v>397</v>
      </c>
      <c r="J176" s="123">
        <v>440</v>
      </c>
      <c r="K176" s="123">
        <v>513</v>
      </c>
      <c r="L176" s="123">
        <v>412</v>
      </c>
      <c r="M176" s="123">
        <v>507</v>
      </c>
      <c r="N176" s="123">
        <v>509</v>
      </c>
      <c r="O176" s="123">
        <v>473</v>
      </c>
      <c r="P176" s="123">
        <v>463</v>
      </c>
      <c r="Q176" s="123">
        <v>419</v>
      </c>
      <c r="R176" s="123">
        <v>477</v>
      </c>
      <c r="S176" s="123">
        <v>431</v>
      </c>
      <c r="T176" s="123">
        <v>408</v>
      </c>
      <c r="U176" s="123">
        <v>397</v>
      </c>
      <c r="V176" s="123">
        <v>522</v>
      </c>
      <c r="W176" s="123">
        <v>447</v>
      </c>
      <c r="X176" s="123">
        <v>499</v>
      </c>
      <c r="Y176" s="123">
        <v>607</v>
      </c>
      <c r="Z176" s="123">
        <v>529</v>
      </c>
      <c r="AA176" s="123">
        <v>524</v>
      </c>
      <c r="AB176" s="123">
        <v>428</v>
      </c>
      <c r="AC176" s="123">
        <v>498</v>
      </c>
      <c r="AD176" s="123">
        <v>469</v>
      </c>
      <c r="AE176" s="123">
        <v>472</v>
      </c>
      <c r="AF176" s="123">
        <v>494</v>
      </c>
      <c r="AG176" s="123">
        <v>562</v>
      </c>
      <c r="AH176" s="123">
        <v>496</v>
      </c>
      <c r="AI176" s="123">
        <v>544</v>
      </c>
      <c r="AJ176" s="123">
        <v>392</v>
      </c>
      <c r="AK176" s="123">
        <v>551</v>
      </c>
      <c r="AL176" s="123">
        <v>409</v>
      </c>
      <c r="AM176" s="123">
        <v>440</v>
      </c>
      <c r="AN176" s="123">
        <v>478</v>
      </c>
      <c r="AO176" s="123">
        <v>482</v>
      </c>
      <c r="AP176" s="123">
        <v>510</v>
      </c>
      <c r="AQ176" s="123">
        <v>480</v>
      </c>
      <c r="AR176" s="123">
        <v>580</v>
      </c>
      <c r="AS176" s="123">
        <v>557</v>
      </c>
      <c r="AT176" s="123">
        <v>468</v>
      </c>
      <c r="AU176" s="123">
        <v>466</v>
      </c>
      <c r="AV176" s="123">
        <v>526</v>
      </c>
      <c r="AW176" s="123">
        <v>512</v>
      </c>
      <c r="AX176" s="123">
        <v>492</v>
      </c>
      <c r="AY176" s="123">
        <v>519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2523.7737800863943</v>
      </c>
      <c r="E177" s="122">
        <f t="shared" si="2"/>
        <v>4966.8074006516954</v>
      </c>
      <c r="F177" s="122">
        <f t="shared" si="2"/>
        <v>5779.3065768245087</v>
      </c>
      <c r="G177" s="122">
        <f t="shared" si="2"/>
        <v>6278.8536084278257</v>
      </c>
      <c r="H177" s="122">
        <f t="shared" si="2"/>
        <v>6395.8864748469241</v>
      </c>
      <c r="I177" s="122">
        <f t="shared" si="2"/>
        <v>6122.8225064502412</v>
      </c>
      <c r="J177" s="122">
        <f t="shared" si="2"/>
        <v>5796.9172120316343</v>
      </c>
      <c r="K177" s="122">
        <f t="shared" si="2"/>
        <v>5352.9422103019533</v>
      </c>
      <c r="L177" s="122">
        <f t="shared" si="2"/>
        <v>4327.1331571610153</v>
      </c>
      <c r="M177" s="122">
        <f t="shared" si="2"/>
        <v>5016.4551926503482</v>
      </c>
      <c r="N177" s="122">
        <f t="shared" si="2"/>
        <v>5293.347017595519</v>
      </c>
      <c r="O177" s="122">
        <f t="shared" si="2"/>
        <v>5454.6650872934142</v>
      </c>
      <c r="P177" s="122">
        <f t="shared" si="2"/>
        <v>5779.8190894991276</v>
      </c>
      <c r="Q177" s="122">
        <f t="shared" si="2"/>
        <v>6027.707152251176</v>
      </c>
      <c r="R177" s="122">
        <f t="shared" si="2"/>
        <v>5917.7973028134011</v>
      </c>
      <c r="S177" s="122">
        <f t="shared" si="2"/>
        <v>5995.317460321472</v>
      </c>
      <c r="T177" s="122">
        <f t="shared" si="2"/>
        <v>5294.3424585917901</v>
      </c>
      <c r="U177" s="122">
        <f t="shared" si="2"/>
        <v>4992.7637008995853</v>
      </c>
      <c r="V177" s="122">
        <f t="shared" si="2"/>
        <v>5162.5649237423058</v>
      </c>
      <c r="W177" s="122">
        <f t="shared" si="2"/>
        <v>4206.1610721469979</v>
      </c>
      <c r="X177" s="122">
        <f t="shared" si="2"/>
        <v>3910.3682205516907</v>
      </c>
      <c r="Y177" s="122">
        <f t="shared" si="2"/>
        <v>3305.9643689563832</v>
      </c>
      <c r="Z177" s="122">
        <f t="shared" si="2"/>
        <v>2961.1701002324298</v>
      </c>
      <c r="AA177" s="122">
        <f t="shared" si="2"/>
        <v>3226.3241024381423</v>
      </c>
      <c r="AB177" s="122">
        <f t="shared" si="2"/>
        <v>2967.4781046438557</v>
      </c>
      <c r="AC177" s="122">
        <f t="shared" si="2"/>
        <v>3927.355445271417</v>
      </c>
      <c r="AD177" s="122">
        <f t="shared" si="2"/>
        <v>3598.2641393284493</v>
      </c>
      <c r="AE177" s="122">
        <f t="shared" si="2"/>
        <v>3899.8591771001534</v>
      </c>
      <c r="AF177" s="122">
        <f t="shared" si="2"/>
        <v>4590.8139192281378</v>
      </c>
      <c r="AG177" s="122">
        <f t="shared" si="2"/>
        <v>4518.7279887878376</v>
      </c>
      <c r="AH177" s="122">
        <f t="shared" si="2"/>
        <v>4617.4441623461562</v>
      </c>
      <c r="AI177" s="122">
        <f t="shared" si="2"/>
        <v>5106.0273661776428</v>
      </c>
      <c r="AJ177" s="122">
        <f t="shared" si="2"/>
        <v>4845.9360602346751</v>
      </c>
      <c r="AK177" s="122">
        <f t="shared" si="2"/>
        <v>4913.5192640661626</v>
      </c>
      <c r="AL177" s="122">
        <f t="shared" si="2"/>
        <v>4767.081636005717</v>
      </c>
      <c r="AM177" s="122">
        <f t="shared" si="2"/>
        <v>4467.7570068531249</v>
      </c>
      <c r="AN177" s="122">
        <f t="shared" si="2"/>
        <v>4671.2930555784469</v>
      </c>
      <c r="AO177" s="122">
        <f t="shared" si="2"/>
        <v>4056.58865238516</v>
      </c>
      <c r="AP177" s="122">
        <f t="shared" si="2"/>
        <v>3391.626149790638</v>
      </c>
      <c r="AQ177" s="122">
        <f t="shared" si="2"/>
        <v>3756.2700241840707</v>
      </c>
      <c r="AR177" s="122">
        <f t="shared" si="2"/>
        <v>3340.3075215895483</v>
      </c>
      <c r="AS177" s="122">
        <f t="shared" si="2"/>
        <v>4105.5213890371342</v>
      </c>
      <c r="AT177" s="122">
        <f t="shared" si="2"/>
        <v>2924.7792520738553</v>
      </c>
      <c r="AU177" s="122">
        <f t="shared" si="2"/>
        <v>1586.3946168470377</v>
      </c>
      <c r="AV177" s="122">
        <f t="shared" si="2"/>
        <v>3922.9789260270909</v>
      </c>
      <c r="AW177" s="122">
        <f t="shared" si="2"/>
        <v>2029.1763245463642</v>
      </c>
      <c r="AX177" s="122">
        <f t="shared" si="2"/>
        <v>3228.5470398040161</v>
      </c>
      <c r="AY177" s="122">
        <f t="shared" si="2"/>
        <v>3285.6512293247624</v>
      </c>
    </row>
    <row r="178" spans="1:51">
      <c r="A178" s="123"/>
      <c r="B178" s="134" t="s">
        <v>300</v>
      </c>
      <c r="C178" s="123" t="s">
        <v>294</v>
      </c>
      <c r="D178" s="123">
        <v>1430</v>
      </c>
      <c r="E178" s="123">
        <v>1641</v>
      </c>
      <c r="F178" s="123">
        <v>1503</v>
      </c>
      <c r="G178" s="123">
        <v>1783</v>
      </c>
      <c r="H178" s="123">
        <v>2019</v>
      </c>
      <c r="I178" s="123">
        <v>1810</v>
      </c>
      <c r="J178" s="123">
        <v>1656</v>
      </c>
      <c r="K178" s="123">
        <v>1809</v>
      </c>
      <c r="L178" s="123">
        <v>1782</v>
      </c>
      <c r="M178" s="123">
        <v>2080</v>
      </c>
      <c r="N178" s="123">
        <v>1795</v>
      </c>
      <c r="O178" s="123">
        <v>1568</v>
      </c>
      <c r="P178" s="123">
        <v>1713</v>
      </c>
      <c r="Q178" s="123">
        <v>1651</v>
      </c>
      <c r="R178" s="123">
        <v>1459</v>
      </c>
      <c r="S178" s="123">
        <v>1913</v>
      </c>
      <c r="T178" s="123">
        <v>1804</v>
      </c>
      <c r="U178" s="123">
        <v>1566</v>
      </c>
      <c r="V178" s="123">
        <v>2227</v>
      </c>
      <c r="W178" s="123">
        <v>1973</v>
      </c>
      <c r="X178" s="123">
        <v>1995</v>
      </c>
      <c r="Y178" s="123">
        <v>1858</v>
      </c>
      <c r="Z178" s="123">
        <v>1478</v>
      </c>
      <c r="AA178" s="123">
        <v>1822</v>
      </c>
      <c r="AB178" s="123">
        <v>1633</v>
      </c>
      <c r="AC178" s="123">
        <v>1573</v>
      </c>
      <c r="AD178" s="123">
        <v>1729</v>
      </c>
      <c r="AE178" s="123">
        <v>1642</v>
      </c>
      <c r="AF178" s="123">
        <v>1854</v>
      </c>
      <c r="AG178" s="123">
        <v>1775</v>
      </c>
      <c r="AH178" s="123">
        <v>1479</v>
      </c>
      <c r="AI178" s="123">
        <v>1534</v>
      </c>
      <c r="AJ178" s="123">
        <v>1900</v>
      </c>
      <c r="AK178" s="123">
        <v>1989</v>
      </c>
      <c r="AL178" s="123">
        <v>1915</v>
      </c>
      <c r="AM178" s="123">
        <v>1741</v>
      </c>
      <c r="AN178" s="123">
        <v>2240</v>
      </c>
      <c r="AO178" s="123">
        <v>1898</v>
      </c>
      <c r="AP178" s="123">
        <v>2136</v>
      </c>
      <c r="AQ178" s="123">
        <v>1649</v>
      </c>
      <c r="AR178" s="123">
        <v>1740</v>
      </c>
      <c r="AS178" s="123">
        <v>1562</v>
      </c>
      <c r="AT178" s="123">
        <v>1771</v>
      </c>
      <c r="AU178" s="123">
        <v>1586.3946168470377</v>
      </c>
      <c r="AV178" s="123">
        <v>2343</v>
      </c>
      <c r="AW178" s="123">
        <v>1959</v>
      </c>
      <c r="AX178" s="123">
        <v>1607</v>
      </c>
      <c r="AY178" s="123">
        <v>2011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4944.9806137740197</v>
      </c>
      <c r="E179" s="122">
        <f t="shared" si="3"/>
        <v>5381.2175512609938</v>
      </c>
      <c r="F179" s="122">
        <f t="shared" si="3"/>
        <v>5025.2976917396409</v>
      </c>
      <c r="G179" s="122">
        <f t="shared" si="3"/>
        <v>4751.4111172488983</v>
      </c>
      <c r="H179" s="122">
        <f t="shared" si="3"/>
        <v>4142.6461376502129</v>
      </c>
      <c r="I179" s="122">
        <f t="shared" si="3"/>
        <v>3516.8410431608886</v>
      </c>
      <c r="J179" s="122">
        <f t="shared" si="3"/>
        <v>2965.4302395410973</v>
      </c>
      <c r="K179" s="122">
        <f t="shared" si="3"/>
        <v>2517.0194359213056</v>
      </c>
      <c r="L179" s="122">
        <f t="shared" si="3"/>
        <v>2027.6086323015138</v>
      </c>
      <c r="M179" s="122">
        <f t="shared" si="3"/>
        <v>1564.1978286817223</v>
      </c>
      <c r="N179" s="122">
        <f t="shared" si="3"/>
        <v>1008.7870250619306</v>
      </c>
      <c r="O179" s="122">
        <f t="shared" si="3"/>
        <v>486.37622144213901</v>
      </c>
      <c r="P179" s="122">
        <f t="shared" si="3"/>
        <v>88.58919638020835</v>
      </c>
      <c r="Q179" s="122">
        <f t="shared" si="3"/>
        <v>88.58919638020835</v>
      </c>
      <c r="R179" s="122">
        <f t="shared" si="3"/>
        <v>88.58919638020835</v>
      </c>
      <c r="S179" s="122">
        <f t="shared" si="3"/>
        <v>88.58919638020835</v>
      </c>
      <c r="T179" s="122">
        <f t="shared" si="3"/>
        <v>88.58919638020835</v>
      </c>
      <c r="U179" s="122">
        <f t="shared" si="3"/>
        <v>88.58919638020835</v>
      </c>
      <c r="V179" s="122">
        <f t="shared" si="3"/>
        <v>88.58919638020835</v>
      </c>
      <c r="W179" s="122">
        <f t="shared" si="3"/>
        <v>88.58919638020835</v>
      </c>
      <c r="X179" s="122">
        <f t="shared" si="3"/>
        <v>88.58919638020835</v>
      </c>
      <c r="Y179" s="122">
        <f t="shared" si="3"/>
        <v>88.58919638020835</v>
      </c>
      <c r="Z179" s="122">
        <f t="shared" si="3"/>
        <v>88.58919638020835</v>
      </c>
      <c r="AA179" s="122">
        <f t="shared" si="3"/>
        <v>88.58919638020835</v>
      </c>
      <c r="AB179" s="122">
        <f t="shared" si="3"/>
        <v>88.58919638020835</v>
      </c>
      <c r="AC179" s="122">
        <f t="shared" si="3"/>
        <v>88.58919638020835</v>
      </c>
      <c r="AD179" s="122">
        <f t="shared" si="3"/>
        <v>88.58919638020835</v>
      </c>
      <c r="AE179" s="122">
        <f t="shared" si="3"/>
        <v>88.58919638020835</v>
      </c>
      <c r="AF179" s="122">
        <f t="shared" si="3"/>
        <v>88.58919638020835</v>
      </c>
      <c r="AG179" s="122">
        <f t="shared" si="3"/>
        <v>88.58919638020835</v>
      </c>
      <c r="AH179" s="122">
        <f t="shared" si="3"/>
        <v>88.58919638020835</v>
      </c>
      <c r="AI179" s="122">
        <f t="shared" si="3"/>
        <v>88.58919638020835</v>
      </c>
      <c r="AJ179" s="122">
        <f t="shared" si="3"/>
        <v>88.58919638020835</v>
      </c>
      <c r="AK179" s="122">
        <f t="shared" si="3"/>
        <v>88.58919638020835</v>
      </c>
      <c r="AL179" s="122">
        <f t="shared" si="3"/>
        <v>88.58919638020835</v>
      </c>
      <c r="AM179" s="122">
        <f t="shared" si="3"/>
        <v>88.58919638020835</v>
      </c>
      <c r="AN179" s="122">
        <f t="shared" si="3"/>
        <v>88.58919638020835</v>
      </c>
      <c r="AO179" s="122">
        <f t="shared" si="3"/>
        <v>88.58919638020835</v>
      </c>
      <c r="AP179" s="122">
        <f t="shared" si="3"/>
        <v>88.58919638020835</v>
      </c>
      <c r="AQ179" s="122">
        <f t="shared" si="3"/>
        <v>88.58919638020835</v>
      </c>
      <c r="AR179" s="122">
        <f t="shared" si="3"/>
        <v>88.58919638020835</v>
      </c>
      <c r="AS179" s="122">
        <f t="shared" si="3"/>
        <v>88.58919638020835</v>
      </c>
      <c r="AT179" s="122">
        <f t="shared" si="3"/>
        <v>88.58919638020835</v>
      </c>
      <c r="AU179" s="122">
        <f t="shared" si="3"/>
        <v>88.58919638020835</v>
      </c>
      <c r="AV179" s="122">
        <f t="shared" si="3"/>
        <v>88.58919638020835</v>
      </c>
      <c r="AW179" s="122">
        <f t="shared" si="3"/>
        <v>88.58919638020835</v>
      </c>
      <c r="AX179" s="122">
        <f t="shared" si="3"/>
        <v>88.58919638020835</v>
      </c>
      <c r="AY179" s="122">
        <f t="shared" si="3"/>
        <v>88.58919638020835</v>
      </c>
    </row>
    <row r="180" spans="1:51">
      <c r="A180" s="123"/>
      <c r="B180" s="134" t="s">
        <v>300</v>
      </c>
      <c r="C180" s="123" t="s">
        <v>294</v>
      </c>
      <c r="D180" s="123">
        <v>463</v>
      </c>
      <c r="E180" s="123">
        <v>625</v>
      </c>
      <c r="F180" s="123">
        <v>565</v>
      </c>
      <c r="G180" s="123">
        <v>469</v>
      </c>
      <c r="H180" s="123">
        <v>584</v>
      </c>
      <c r="I180" s="123">
        <v>640</v>
      </c>
      <c r="J180" s="123">
        <v>537</v>
      </c>
      <c r="K180" s="123">
        <v>578</v>
      </c>
      <c r="L180" s="123">
        <v>552</v>
      </c>
      <c r="M180" s="123">
        <v>644</v>
      </c>
      <c r="N180" s="123">
        <v>611</v>
      </c>
      <c r="O180" s="123">
        <v>486.37622144213901</v>
      </c>
      <c r="P180" s="123">
        <v>88.58919638020835</v>
      </c>
      <c r="Q180" s="123">
        <v>88.58919638020835</v>
      </c>
      <c r="R180" s="123">
        <v>88.58919638020835</v>
      </c>
      <c r="S180" s="123">
        <v>88.58919638020835</v>
      </c>
      <c r="T180" s="123">
        <v>88.58919638020835</v>
      </c>
      <c r="U180" s="123">
        <v>88.58919638020835</v>
      </c>
      <c r="V180" s="123">
        <v>88.58919638020835</v>
      </c>
      <c r="W180" s="123">
        <v>88.58919638020835</v>
      </c>
      <c r="X180" s="123">
        <v>88.58919638020835</v>
      </c>
      <c r="Y180" s="123">
        <v>88.58919638020835</v>
      </c>
      <c r="Z180" s="123">
        <v>88.58919638020835</v>
      </c>
      <c r="AA180" s="123">
        <v>88.58919638020835</v>
      </c>
      <c r="AB180" s="123">
        <v>88.58919638020835</v>
      </c>
      <c r="AC180" s="123">
        <v>88.58919638020835</v>
      </c>
      <c r="AD180" s="123">
        <v>88.58919638020835</v>
      </c>
      <c r="AE180" s="123">
        <v>88.58919638020835</v>
      </c>
      <c r="AF180" s="123">
        <v>88.58919638020835</v>
      </c>
      <c r="AG180" s="123">
        <v>88.58919638020835</v>
      </c>
      <c r="AH180" s="123">
        <v>88.58919638020835</v>
      </c>
      <c r="AI180" s="123">
        <v>88.58919638020835</v>
      </c>
      <c r="AJ180" s="123">
        <v>88.58919638020835</v>
      </c>
      <c r="AK180" s="123">
        <v>88.58919638020835</v>
      </c>
      <c r="AL180" s="123">
        <v>88.58919638020835</v>
      </c>
      <c r="AM180" s="123">
        <v>88.58919638020835</v>
      </c>
      <c r="AN180" s="123">
        <v>88.58919638020835</v>
      </c>
      <c r="AO180" s="123">
        <v>88.58919638020835</v>
      </c>
      <c r="AP180" s="123">
        <v>88.58919638020835</v>
      </c>
      <c r="AQ180" s="123">
        <v>88.58919638020835</v>
      </c>
      <c r="AR180" s="123">
        <v>88.58919638020835</v>
      </c>
      <c r="AS180" s="123">
        <v>88.58919638020835</v>
      </c>
      <c r="AT180" s="123">
        <v>88.58919638020835</v>
      </c>
      <c r="AU180" s="123">
        <v>88.58919638020835</v>
      </c>
      <c r="AV180" s="123">
        <v>88.58919638020835</v>
      </c>
      <c r="AW180" s="123">
        <v>88.58919638020835</v>
      </c>
      <c r="AX180" s="123">
        <v>88.58919638020835</v>
      </c>
      <c r="AY180" s="123">
        <v>88.58919638020835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559.86452769929804</v>
      </c>
      <c r="E181" s="122">
        <f t="shared" si="4"/>
        <v>167.52917888731747</v>
      </c>
      <c r="F181" s="122">
        <f t="shared" si="4"/>
        <v>181.24709260180529</v>
      </c>
      <c r="G181" s="122">
        <f t="shared" si="4"/>
        <v>55.155595286458336</v>
      </c>
      <c r="H181" s="122">
        <f t="shared" si="4"/>
        <v>55.155595286458336</v>
      </c>
      <c r="I181" s="122">
        <f t="shared" si="4"/>
        <v>55.155595286458336</v>
      </c>
      <c r="J181" s="122">
        <f t="shared" si="4"/>
        <v>55.155595286458336</v>
      </c>
      <c r="K181" s="122">
        <f t="shared" si="4"/>
        <v>55.155595286458336</v>
      </c>
      <c r="L181" s="122">
        <f t="shared" si="4"/>
        <v>55.155595286458336</v>
      </c>
      <c r="M181" s="122">
        <f t="shared" si="4"/>
        <v>55.155595286458336</v>
      </c>
      <c r="N181" s="122">
        <f t="shared" si="4"/>
        <v>55.155595286458336</v>
      </c>
      <c r="O181" s="122">
        <f t="shared" si="4"/>
        <v>55.155595286458336</v>
      </c>
      <c r="P181" s="122">
        <f t="shared" si="4"/>
        <v>55.155595286458336</v>
      </c>
      <c r="Q181" s="122">
        <f t="shared" si="4"/>
        <v>55.155595286458336</v>
      </c>
      <c r="R181" s="122">
        <f t="shared" si="4"/>
        <v>55.155595286458336</v>
      </c>
      <c r="S181" s="122">
        <f t="shared" si="4"/>
        <v>55.155595286458336</v>
      </c>
      <c r="T181" s="122">
        <f t="shared" si="4"/>
        <v>55.155595286458336</v>
      </c>
      <c r="U181" s="122">
        <f t="shared" si="4"/>
        <v>55.155595286458336</v>
      </c>
      <c r="V181" s="122">
        <f t="shared" si="4"/>
        <v>55.155595286458336</v>
      </c>
      <c r="W181" s="122">
        <f t="shared" si="4"/>
        <v>55.155595286458336</v>
      </c>
      <c r="X181" s="122">
        <f t="shared" si="4"/>
        <v>55.155595286458336</v>
      </c>
      <c r="Y181" s="122">
        <f t="shared" si="4"/>
        <v>55.155595286458336</v>
      </c>
      <c r="Z181" s="122">
        <f t="shared" si="4"/>
        <v>55.155595286458336</v>
      </c>
      <c r="AA181" s="122">
        <f t="shared" si="4"/>
        <v>55.155595286458336</v>
      </c>
      <c r="AB181" s="122">
        <f t="shared" si="4"/>
        <v>55.155595286458336</v>
      </c>
      <c r="AC181" s="122">
        <f t="shared" si="4"/>
        <v>55.155595286458336</v>
      </c>
      <c r="AD181" s="122">
        <f t="shared" si="4"/>
        <v>55.155595286458336</v>
      </c>
      <c r="AE181" s="122">
        <f t="shared" si="4"/>
        <v>55.155595286458336</v>
      </c>
      <c r="AF181" s="122">
        <f t="shared" si="4"/>
        <v>55.155595286458336</v>
      </c>
      <c r="AG181" s="122">
        <f t="shared" si="4"/>
        <v>55.155595286458336</v>
      </c>
      <c r="AH181" s="122">
        <f t="shared" si="4"/>
        <v>55.155595286458336</v>
      </c>
      <c r="AI181" s="122">
        <f t="shared" si="4"/>
        <v>55.155595286458336</v>
      </c>
      <c r="AJ181" s="122">
        <f t="shared" si="4"/>
        <v>55.155595286458336</v>
      </c>
      <c r="AK181" s="122">
        <f t="shared" si="4"/>
        <v>55.155595286458336</v>
      </c>
      <c r="AL181" s="122">
        <f t="shared" si="4"/>
        <v>55.155595286458336</v>
      </c>
      <c r="AM181" s="122">
        <f t="shared" si="4"/>
        <v>55.155595286458336</v>
      </c>
      <c r="AN181" s="122">
        <f t="shared" si="4"/>
        <v>55.155595286458336</v>
      </c>
      <c r="AO181" s="122">
        <f t="shared" si="4"/>
        <v>55.155595286458336</v>
      </c>
      <c r="AP181" s="122">
        <f t="shared" si="4"/>
        <v>55.155595286458336</v>
      </c>
      <c r="AQ181" s="122">
        <f t="shared" si="4"/>
        <v>55.155595286458336</v>
      </c>
      <c r="AR181" s="122">
        <f t="shared" si="4"/>
        <v>55.155595286458336</v>
      </c>
      <c r="AS181" s="122">
        <f t="shared" si="4"/>
        <v>55.155595286458336</v>
      </c>
      <c r="AT181" s="122">
        <f t="shared" si="4"/>
        <v>55.155595286458336</v>
      </c>
      <c r="AU181" s="122">
        <f t="shared" si="4"/>
        <v>55.155595286458336</v>
      </c>
      <c r="AV181" s="122">
        <f t="shared" si="4"/>
        <v>55.155595286458336</v>
      </c>
      <c r="AW181" s="122">
        <f t="shared" si="4"/>
        <v>55.155595286458336</v>
      </c>
      <c r="AX181" s="122">
        <f t="shared" si="4"/>
        <v>55.155595286458336</v>
      </c>
      <c r="AY181" s="122">
        <f t="shared" si="4"/>
        <v>55.155595286458336</v>
      </c>
    </row>
    <row r="182" spans="1:51">
      <c r="A182" s="123"/>
      <c r="B182" s="134" t="s">
        <v>300</v>
      </c>
      <c r="C182" s="123" t="s">
        <v>294</v>
      </c>
      <c r="D182" s="123">
        <v>267</v>
      </c>
      <c r="E182" s="123">
        <v>167.52917888731747</v>
      </c>
      <c r="F182" s="123">
        <v>181.24709260180529</v>
      </c>
      <c r="G182" s="123">
        <v>55.155595286458336</v>
      </c>
      <c r="H182" s="123">
        <v>55.155595286458336</v>
      </c>
      <c r="I182" s="123">
        <v>55.155595286458336</v>
      </c>
      <c r="J182" s="123">
        <v>55.155595286458336</v>
      </c>
      <c r="K182" s="123">
        <v>55.155595286458336</v>
      </c>
      <c r="L182" s="123">
        <v>55.155595286458336</v>
      </c>
      <c r="M182" s="123">
        <v>55.155595286458336</v>
      </c>
      <c r="N182" s="123">
        <v>55.155595286458336</v>
      </c>
      <c r="O182" s="123">
        <v>55.155595286458336</v>
      </c>
      <c r="P182" s="123">
        <v>55.155595286458336</v>
      </c>
      <c r="Q182" s="123">
        <v>55.155595286458336</v>
      </c>
      <c r="R182" s="123">
        <v>55.155595286458336</v>
      </c>
      <c r="S182" s="123">
        <v>55.155595286458336</v>
      </c>
      <c r="T182" s="123">
        <v>55.155595286458336</v>
      </c>
      <c r="U182" s="123">
        <v>55.155595286458336</v>
      </c>
      <c r="V182" s="123">
        <v>55.155595286458336</v>
      </c>
      <c r="W182" s="123">
        <v>55.155595286458336</v>
      </c>
      <c r="X182" s="123">
        <v>55.155595286458336</v>
      </c>
      <c r="Y182" s="123">
        <v>55.155595286458336</v>
      </c>
      <c r="Z182" s="123">
        <v>55.155595286458336</v>
      </c>
      <c r="AA182" s="123">
        <v>55.155595286458336</v>
      </c>
      <c r="AB182" s="123">
        <v>55.155595286458336</v>
      </c>
      <c r="AC182" s="123">
        <v>55.155595286458336</v>
      </c>
      <c r="AD182" s="123">
        <v>55.155595286458336</v>
      </c>
      <c r="AE182" s="123">
        <v>55.155595286458336</v>
      </c>
      <c r="AF182" s="123">
        <v>55.155595286458336</v>
      </c>
      <c r="AG182" s="123">
        <v>55.155595286458336</v>
      </c>
      <c r="AH182" s="123">
        <v>55.155595286458336</v>
      </c>
      <c r="AI182" s="123">
        <v>55.155595286458336</v>
      </c>
      <c r="AJ182" s="123">
        <v>55.155595286458336</v>
      </c>
      <c r="AK182" s="123">
        <v>55.155595286458336</v>
      </c>
      <c r="AL182" s="123">
        <v>55.155595286458336</v>
      </c>
      <c r="AM182" s="123">
        <v>55.155595286458336</v>
      </c>
      <c r="AN182" s="123">
        <v>55.155595286458336</v>
      </c>
      <c r="AO182" s="123">
        <v>55.155595286458336</v>
      </c>
      <c r="AP182" s="123">
        <v>55.155595286458336</v>
      </c>
      <c r="AQ182" s="123">
        <v>55.155595286458336</v>
      </c>
      <c r="AR182" s="123">
        <v>55.155595286458336</v>
      </c>
      <c r="AS182" s="123">
        <v>55.155595286458336</v>
      </c>
      <c r="AT182" s="123">
        <v>55.155595286458336</v>
      </c>
      <c r="AU182" s="123">
        <v>55.155595286458336</v>
      </c>
      <c r="AV182" s="123">
        <v>55.155595286458336</v>
      </c>
      <c r="AW182" s="123">
        <v>55.155595286458336</v>
      </c>
      <c r="AX182" s="123">
        <v>55.155595286458336</v>
      </c>
      <c r="AY182" s="123">
        <v>55.155595286458336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14.22529559999839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79.25872559999965</v>
      </c>
      <c r="Y186" s="104">
        <v>282.41459199999963</v>
      </c>
      <c r="Z186" s="104">
        <v>280.04073199999959</v>
      </c>
      <c r="AA186" s="104">
        <v>272.66687199999956</v>
      </c>
      <c r="AB186" s="104">
        <v>169.29301199999952</v>
      </c>
      <c r="AC186" s="104">
        <v>135.91915199999949</v>
      </c>
      <c r="AD186" s="104">
        <v>73.545291999999449</v>
      </c>
      <c r="AE186" s="104">
        <v>14.171431999999413</v>
      </c>
      <c r="AF186" s="104">
        <v>0</v>
      </c>
      <c r="AG186" s="104">
        <v>7.4237119999993411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76.043165999999019</v>
      </c>
      <c r="AO186" s="104">
        <v>186.08146399999896</v>
      </c>
      <c r="AP186" s="104">
        <v>196.59003559999888</v>
      </c>
      <c r="AQ186" s="104">
        <v>177.09860719999881</v>
      </c>
      <c r="AR186" s="104">
        <v>257.60717879999874</v>
      </c>
      <c r="AS186" s="104">
        <v>315.11575039999866</v>
      </c>
      <c r="AT186" s="104">
        <v>272.9968447999986</v>
      </c>
      <c r="AU186" s="104">
        <v>228.87793919999854</v>
      </c>
      <c r="AV186" s="104">
        <v>244.75903359999847</v>
      </c>
      <c r="AW186" s="104">
        <v>246.64012799999841</v>
      </c>
      <c r="AX186" s="104">
        <v>324.1685171999984</v>
      </c>
      <c r="AY186" s="104">
        <v>414.47161080000001</v>
      </c>
    </row>
    <row r="187" spans="1:51">
      <c r="A187" s="107"/>
      <c r="B187" s="125">
        <v>3</v>
      </c>
      <c r="C187" s="104">
        <v>74.002550000000042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109.15586639999998</v>
      </c>
      <c r="L187" s="104">
        <v>117.31173279999996</v>
      </c>
      <c r="M187" s="104">
        <v>220.46759919999994</v>
      </c>
      <c r="N187" s="104">
        <v>325.62346559999992</v>
      </c>
      <c r="O187" s="104">
        <v>267.24960559999988</v>
      </c>
      <c r="P187" s="104">
        <v>198.87574559999985</v>
      </c>
      <c r="Q187" s="104">
        <v>86.50188559999981</v>
      </c>
      <c r="R187" s="104">
        <v>32.128025599999773</v>
      </c>
      <c r="S187" s="104">
        <v>101.79380079999976</v>
      </c>
      <c r="T187" s="104">
        <v>148.45957599999974</v>
      </c>
      <c r="U187" s="104">
        <v>184.12535119999973</v>
      </c>
      <c r="V187" s="104">
        <v>344.79112639999971</v>
      </c>
      <c r="W187" s="104">
        <v>387.94699279999969</v>
      </c>
      <c r="X187" s="104">
        <v>403.84413360000002</v>
      </c>
      <c r="Y187" s="104">
        <v>324.58540800000037</v>
      </c>
      <c r="Z187" s="104">
        <v>248.95926800000041</v>
      </c>
      <c r="AA187" s="104">
        <v>251.33312800000044</v>
      </c>
      <c r="AB187" s="104">
        <v>258.70698800000048</v>
      </c>
      <c r="AC187" s="104">
        <v>362.08084800000051</v>
      </c>
      <c r="AD187" s="104">
        <v>395.45470800000055</v>
      </c>
      <c r="AE187" s="104">
        <v>457.82856800000059</v>
      </c>
      <c r="AF187" s="104">
        <v>494</v>
      </c>
      <c r="AG187" s="104">
        <v>531.37386000000004</v>
      </c>
      <c r="AH187" s="104">
        <v>496</v>
      </c>
      <c r="AI187" s="104">
        <v>516.04985199999931</v>
      </c>
      <c r="AJ187" s="104">
        <v>376.67599199999927</v>
      </c>
      <c r="AK187" s="104">
        <v>396.30213199999923</v>
      </c>
      <c r="AL187" s="104">
        <v>273.9282719999992</v>
      </c>
      <c r="AM187" s="104">
        <v>341.96656999999914</v>
      </c>
      <c r="AN187" s="104">
        <v>371.96170200000006</v>
      </c>
      <c r="AO187" s="104">
        <v>295.91853600000104</v>
      </c>
      <c r="AP187" s="104">
        <v>313.40996440000112</v>
      </c>
      <c r="AQ187" s="104">
        <v>302.90139280000119</v>
      </c>
      <c r="AR187" s="104">
        <v>322.39282120000126</v>
      </c>
      <c r="AS187" s="104">
        <v>241.88424960000134</v>
      </c>
      <c r="AT187" s="104">
        <v>195.0031552000014</v>
      </c>
      <c r="AU187" s="104">
        <v>237.12206080000146</v>
      </c>
      <c r="AV187" s="104">
        <v>281.24096640000153</v>
      </c>
      <c r="AW187" s="104">
        <v>265.35987200000159</v>
      </c>
      <c r="AX187" s="104">
        <v>167.8314828000016</v>
      </c>
      <c r="AY187" s="104">
        <v>90.303093600001603</v>
      </c>
    </row>
    <row r="188" spans="1:51">
      <c r="A188" s="126"/>
      <c r="B188" s="127">
        <v>4</v>
      </c>
      <c r="C188" s="104">
        <v>392.99744999999996</v>
      </c>
      <c r="D188" s="104">
        <v>390</v>
      </c>
      <c r="E188" s="104">
        <v>471</v>
      </c>
      <c r="F188" s="104">
        <v>452</v>
      </c>
      <c r="G188" s="104">
        <v>476</v>
      </c>
      <c r="H188" s="104">
        <v>423</v>
      </c>
      <c r="I188" s="104">
        <v>397</v>
      </c>
      <c r="J188" s="104">
        <v>440</v>
      </c>
      <c r="K188" s="104">
        <v>403.84413360000002</v>
      </c>
      <c r="L188" s="104">
        <v>294.68826720000004</v>
      </c>
      <c r="M188" s="104">
        <v>286.53240080000006</v>
      </c>
      <c r="N188" s="104">
        <v>183.37653440000008</v>
      </c>
      <c r="O188" s="104">
        <v>205.75039440000012</v>
      </c>
      <c r="P188" s="104">
        <v>264.12425440000015</v>
      </c>
      <c r="Q188" s="104">
        <v>332.49811440000019</v>
      </c>
      <c r="R188" s="104">
        <v>444.87197440000023</v>
      </c>
      <c r="S188" s="104">
        <v>329.20619920000024</v>
      </c>
      <c r="T188" s="104">
        <v>259.54042400000026</v>
      </c>
      <c r="U188" s="104">
        <v>212.87464880000027</v>
      </c>
      <c r="V188" s="104">
        <v>177.20887360000029</v>
      </c>
      <c r="W188" s="104">
        <v>59.053007200000309</v>
      </c>
      <c r="X188" s="104">
        <v>15.897140800000329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23.202428000000623</v>
      </c>
      <c r="AH188" s="104">
        <v>0</v>
      </c>
      <c r="AI188" s="104">
        <v>27.950148000000695</v>
      </c>
      <c r="AJ188" s="104">
        <v>15.324008000000731</v>
      </c>
      <c r="AK188" s="104">
        <v>154.69786800000077</v>
      </c>
      <c r="AL188" s="104">
        <v>135.0717280000008</v>
      </c>
      <c r="AM188" s="104">
        <v>98.033430000000862</v>
      </c>
      <c r="AN188" s="104">
        <v>29.995132000000922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547.22621991360563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0</v>
      </c>
      <c r="P189" s="122">
        <v>0</v>
      </c>
      <c r="Q189" s="122">
        <v>0</v>
      </c>
      <c r="R189" s="122">
        <v>0</v>
      </c>
      <c r="S189" s="122">
        <v>0</v>
      </c>
      <c r="T189" s="122">
        <v>0</v>
      </c>
      <c r="U189" s="122">
        <v>0</v>
      </c>
      <c r="V189" s="122">
        <v>0</v>
      </c>
      <c r="W189" s="122">
        <v>0</v>
      </c>
      <c r="X189" s="122">
        <v>0</v>
      </c>
      <c r="Y189" s="122">
        <v>0</v>
      </c>
      <c r="Z189" s="122">
        <v>0</v>
      </c>
      <c r="AA189" s="122">
        <v>338.8298997675704</v>
      </c>
      <c r="AB189" s="122">
        <v>0</v>
      </c>
      <c r="AC189" s="122">
        <v>0</v>
      </c>
      <c r="AD189" s="122">
        <v>0</v>
      </c>
      <c r="AE189" s="122">
        <v>0</v>
      </c>
      <c r="AF189" s="122">
        <v>0</v>
      </c>
      <c r="AG189" s="122">
        <v>0</v>
      </c>
      <c r="AH189" s="122">
        <v>0</v>
      </c>
      <c r="AI189" s="122">
        <v>0</v>
      </c>
      <c r="AJ189" s="122">
        <v>0</v>
      </c>
      <c r="AK189" s="122">
        <v>0</v>
      </c>
      <c r="AL189" s="122">
        <v>0</v>
      </c>
      <c r="AM189" s="122">
        <v>0</v>
      </c>
      <c r="AN189" s="122">
        <v>0</v>
      </c>
      <c r="AO189" s="122">
        <v>0</v>
      </c>
      <c r="AP189" s="122">
        <v>0</v>
      </c>
      <c r="AQ189" s="122">
        <v>0</v>
      </c>
      <c r="AR189" s="122">
        <v>0</v>
      </c>
      <c r="AS189" s="122">
        <v>0</v>
      </c>
      <c r="AT189" s="122">
        <v>0</v>
      </c>
      <c r="AU189" s="122">
        <v>386.03333102709121</v>
      </c>
      <c r="AV189" s="122">
        <v>2343</v>
      </c>
      <c r="AW189" s="122">
        <v>315.85700648072702</v>
      </c>
      <c r="AX189" s="122">
        <v>48.253645990907899</v>
      </c>
      <c r="AY189" s="122">
        <v>389.45296019598413</v>
      </c>
    </row>
    <row r="190" spans="1:51">
      <c r="A190" s="107"/>
      <c r="B190" s="117">
        <v>2</v>
      </c>
      <c r="C190" s="104">
        <v>630.51472716160595</v>
      </c>
      <c r="D190" s="104">
        <v>1430</v>
      </c>
      <c r="E190" s="104">
        <v>946.62952646239421</v>
      </c>
      <c r="F190" s="104">
        <v>872.48527283839405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1300.5698056199708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714.64222466238675</v>
      </c>
      <c r="X190" s="104">
        <v>1032.4350762576942</v>
      </c>
      <c r="Y190" s="104">
        <v>1619.8389278530017</v>
      </c>
      <c r="Z190" s="104">
        <v>1420.6317794483091</v>
      </c>
      <c r="AA190" s="104">
        <v>1303.9086940570319</v>
      </c>
      <c r="AB190" s="104">
        <v>1009.887661578151</v>
      </c>
      <c r="AC190" s="104">
        <v>1178.5635591400085</v>
      </c>
      <c r="AD190" s="104">
        <v>1160.5425266611276</v>
      </c>
      <c r="AE190" s="104">
        <v>832.77752445541455</v>
      </c>
      <c r="AF190" s="104">
        <v>853.23090409160068</v>
      </c>
      <c r="AG190" s="104">
        <v>794.68428372778658</v>
      </c>
      <c r="AH190" s="104">
        <v>440.13766336397271</v>
      </c>
      <c r="AI190" s="104">
        <v>269.2720112121624</v>
      </c>
      <c r="AJ190" s="104">
        <v>231.6888073806756</v>
      </c>
      <c r="AK190" s="104">
        <v>283.1056035491888</v>
      </c>
      <c r="AL190" s="104">
        <v>260.522399717702</v>
      </c>
      <c r="AM190" s="104">
        <v>63.939195886215202</v>
      </c>
      <c r="AN190" s="104">
        <v>708.64359907950234</v>
      </c>
      <c r="AO190" s="104">
        <v>1011.3480022727895</v>
      </c>
      <c r="AP190" s="104">
        <v>1552.0524054660766</v>
      </c>
      <c r="AQ190" s="104">
        <v>1605.7568086593637</v>
      </c>
      <c r="AR190" s="104">
        <v>1476.6311262328318</v>
      </c>
      <c r="AS190" s="104">
        <v>1169.5054438062998</v>
      </c>
      <c r="AT190" s="104">
        <v>1071.3797613797678</v>
      </c>
      <c r="AU190" s="104">
        <v>402.61536477318236</v>
      </c>
      <c r="AV190" s="104">
        <v>0</v>
      </c>
      <c r="AW190" s="104">
        <v>1626.5609597731818</v>
      </c>
      <c r="AX190" s="104">
        <v>1558.7463540090921</v>
      </c>
      <c r="AY190" s="104">
        <v>1621.5470398040159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147.14425362400016</v>
      </c>
      <c r="F191" s="104">
        <v>630.51472716160595</v>
      </c>
      <c r="G191" s="104">
        <v>1783</v>
      </c>
      <c r="H191" s="104">
        <v>1092.0668721866991</v>
      </c>
      <c r="I191" s="104">
        <v>1079.0824231754914</v>
      </c>
      <c r="J191" s="104">
        <v>912.09797416428387</v>
      </c>
      <c r="K191" s="104">
        <v>898.11352515307613</v>
      </c>
      <c r="L191" s="104">
        <v>857.12907614186861</v>
      </c>
      <c r="M191" s="104">
        <v>1530.0827879683657</v>
      </c>
      <c r="N191" s="104">
        <v>371.32203548933279</v>
      </c>
      <c r="O191" s="104">
        <v>1568</v>
      </c>
      <c r="P191" s="104">
        <v>1646.5099473911796</v>
      </c>
      <c r="Q191" s="104">
        <v>1370.4889149122987</v>
      </c>
      <c r="R191" s="104">
        <v>902.4678824334178</v>
      </c>
      <c r="S191" s="104">
        <v>888.4468499545369</v>
      </c>
      <c r="T191" s="104">
        <v>765.425817475656</v>
      </c>
      <c r="U191" s="104">
        <v>794.90565996758505</v>
      </c>
      <c r="V191" s="104">
        <v>1485.3855024595141</v>
      </c>
      <c r="W191" s="104">
        <v>1207.2231202890564</v>
      </c>
      <c r="X191" s="104">
        <v>962.56492374230584</v>
      </c>
      <c r="Y191" s="104">
        <v>238.16107214699832</v>
      </c>
      <c r="Z191" s="104">
        <v>57.368220551690911</v>
      </c>
      <c r="AA191" s="104">
        <v>179.26140617539772</v>
      </c>
      <c r="AB191" s="104">
        <v>623.11233842184902</v>
      </c>
      <c r="AC191" s="104">
        <v>394.43644085999154</v>
      </c>
      <c r="AD191" s="104">
        <v>384.59044306570445</v>
      </c>
      <c r="AE191" s="104">
        <v>809.22247554458545</v>
      </c>
      <c r="AF191" s="104">
        <v>1000.7690959083993</v>
      </c>
      <c r="AG191" s="104">
        <v>980.31571627221342</v>
      </c>
      <c r="AH191" s="104">
        <v>1038.8623366360273</v>
      </c>
      <c r="AI191" s="104">
        <v>1264.7279887878376</v>
      </c>
      <c r="AJ191" s="104">
        <v>1668.3111926193244</v>
      </c>
      <c r="AK191" s="104">
        <v>1705.8943964508112</v>
      </c>
      <c r="AL191" s="104">
        <v>1654.477600282298</v>
      </c>
      <c r="AM191" s="104">
        <v>1677.0608041137848</v>
      </c>
      <c r="AN191" s="104">
        <v>1531.3564009204977</v>
      </c>
      <c r="AO191" s="104">
        <v>886.65199772721053</v>
      </c>
      <c r="AP191" s="104">
        <v>583.94759453392339</v>
      </c>
      <c r="AQ191" s="104">
        <v>43.243191340636258</v>
      </c>
      <c r="AR191" s="104">
        <v>263.36887376716822</v>
      </c>
      <c r="AS191" s="104">
        <v>392.49455619370019</v>
      </c>
      <c r="AT191" s="104">
        <v>699.62023862023216</v>
      </c>
      <c r="AU191" s="104">
        <v>797.74592104676412</v>
      </c>
      <c r="AV191" s="104">
        <v>0</v>
      </c>
      <c r="AW191" s="104">
        <v>16.582033746091156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926.93312781330087</v>
      </c>
      <c r="I192" s="104">
        <v>730.91757682450861</v>
      </c>
      <c r="J192" s="104">
        <v>743.90202583571613</v>
      </c>
      <c r="K192" s="104">
        <v>910.88647484692387</v>
      </c>
      <c r="L192" s="104">
        <v>924.87092385813139</v>
      </c>
      <c r="M192" s="104">
        <v>549.91721203163434</v>
      </c>
      <c r="N192" s="104">
        <v>123.10815889069636</v>
      </c>
      <c r="O192" s="104">
        <v>0</v>
      </c>
      <c r="P192" s="104">
        <v>66.490052608820406</v>
      </c>
      <c r="Q192" s="104">
        <v>280.5110850877013</v>
      </c>
      <c r="R192" s="104">
        <v>556.5321175665822</v>
      </c>
      <c r="S192" s="104">
        <v>1024.5531500454631</v>
      </c>
      <c r="T192" s="104">
        <v>1038.574182524344</v>
      </c>
      <c r="U192" s="104">
        <v>771.09434003241495</v>
      </c>
      <c r="V192" s="104">
        <v>741.6144975404859</v>
      </c>
      <c r="W192" s="104">
        <v>51.134655048556851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183.86703027316798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0</v>
      </c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88.58919638020835</v>
      </c>
      <c r="P197" s="104">
        <v>88.58919638020835</v>
      </c>
      <c r="Q197" s="104">
        <v>88.58919638020835</v>
      </c>
      <c r="R197" s="104">
        <v>88.58919638020835</v>
      </c>
      <c r="S197" s="104">
        <v>88.58919638020835</v>
      </c>
      <c r="T197" s="104">
        <v>88.58919638020835</v>
      </c>
      <c r="U197" s="104">
        <v>88.58919638020835</v>
      </c>
      <c r="V197" s="104">
        <v>88.58919638020835</v>
      </c>
      <c r="W197" s="104">
        <v>88.58919638020835</v>
      </c>
      <c r="X197" s="104">
        <v>88.58919638020835</v>
      </c>
      <c r="Y197" s="104">
        <v>88.58919638020835</v>
      </c>
      <c r="Z197" s="104">
        <v>88.58919638020835</v>
      </c>
      <c r="AA197" s="104">
        <v>88.58919638020835</v>
      </c>
      <c r="AB197" s="104">
        <v>88.58919638020835</v>
      </c>
      <c r="AC197" s="104">
        <v>88.58919638020835</v>
      </c>
      <c r="AD197" s="104">
        <v>88.58919638020835</v>
      </c>
      <c r="AE197" s="104">
        <v>88.58919638020835</v>
      </c>
      <c r="AF197" s="104">
        <v>88.58919638020835</v>
      </c>
      <c r="AG197" s="104">
        <v>88.58919638020835</v>
      </c>
      <c r="AH197" s="104">
        <v>88.58919638020835</v>
      </c>
      <c r="AI197" s="104">
        <v>88.58919638020835</v>
      </c>
      <c r="AJ197" s="104">
        <v>88.58919638020835</v>
      </c>
      <c r="AK197" s="104">
        <v>88.58919638020835</v>
      </c>
      <c r="AL197" s="104">
        <v>88.58919638020835</v>
      </c>
      <c r="AM197" s="104">
        <v>88.58919638020835</v>
      </c>
      <c r="AN197" s="104">
        <v>88.58919638020835</v>
      </c>
      <c r="AO197" s="104">
        <v>88.58919638020835</v>
      </c>
      <c r="AP197" s="104">
        <v>88.58919638020835</v>
      </c>
      <c r="AQ197" s="104">
        <v>88.58919638020835</v>
      </c>
      <c r="AR197" s="104">
        <v>88.58919638020835</v>
      </c>
      <c r="AS197" s="104">
        <v>88.58919638020835</v>
      </c>
      <c r="AT197" s="104">
        <v>88.58919638020835</v>
      </c>
      <c r="AU197" s="104">
        <v>88.58919638020835</v>
      </c>
      <c r="AV197" s="104">
        <v>88.58919638020835</v>
      </c>
      <c r="AW197" s="104">
        <v>88.58919638020835</v>
      </c>
      <c r="AX197" s="104">
        <v>88.58919638020835</v>
      </c>
      <c r="AY197" s="104">
        <v>88.58919638020835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88.58919638020835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88.58919638020835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88.58919638020835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45.158956839111127</v>
      </c>
      <c r="O201" s="104">
        <v>88.58919638020835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88.58919638020835</v>
      </c>
      <c r="O202" s="104">
        <v>43.430239541097222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88.58919638020835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99.061231001763588</v>
      </c>
      <c r="L204" s="104">
        <v>426.76785307440554</v>
      </c>
      <c r="M204" s="104">
        <v>171.5309155874325</v>
      </c>
      <c r="N204" s="104">
        <v>291.11342550925741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564.73226842055817</v>
      </c>
      <c r="J205" s="104">
        <v>529.25232119855809</v>
      </c>
      <c r="K205" s="104">
        <v>408.91260949268343</v>
      </c>
      <c r="L205" s="104">
        <v>125.23214692559446</v>
      </c>
      <c r="M205" s="104">
        <v>472.4690844125675</v>
      </c>
      <c r="N205" s="104">
        <v>97.549224891214749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199.78674092170564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7.7476788014419071</v>
      </c>
      <c r="K206" s="104">
        <v>70.026159505552982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73.531823930061989</v>
      </c>
      <c r="D207" s="104">
        <v>0</v>
      </c>
      <c r="E207" s="104">
        <v>625</v>
      </c>
      <c r="F207" s="104">
        <v>251.84236904037971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378.31388231057264</v>
      </c>
      <c r="D208" s="104">
        <v>263.21325907829436</v>
      </c>
      <c r="E208" s="104">
        <v>0</v>
      </c>
      <c r="F208" s="104">
        <v>313.15763095962029</v>
      </c>
      <c r="G208" s="104">
        <v>469</v>
      </c>
      <c r="H208" s="104">
        <v>584</v>
      </c>
      <c r="I208" s="104">
        <v>75.267731579441801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55.155595286458308</v>
      </c>
      <c r="F209" s="122">
        <v>55.155595286458322</v>
      </c>
      <c r="G209" s="122">
        <v>55.155595286458329</v>
      </c>
      <c r="H209" s="122">
        <v>55.155595286458336</v>
      </c>
      <c r="I209" s="122">
        <v>55.155595286458336</v>
      </c>
      <c r="J209" s="122">
        <v>55.155595286458336</v>
      </c>
      <c r="K209" s="122">
        <v>55.155595286458336</v>
      </c>
      <c r="L209" s="122">
        <v>55.155595286458336</v>
      </c>
      <c r="M209" s="122">
        <v>55.155595286458336</v>
      </c>
      <c r="N209" s="122">
        <v>55.155595286458336</v>
      </c>
      <c r="O209" s="122">
        <v>55.155595286458336</v>
      </c>
      <c r="P209" s="122">
        <v>55.155595286458336</v>
      </c>
      <c r="Q209" s="122">
        <v>55.155595286458336</v>
      </c>
      <c r="R209" s="122">
        <v>55.155595286458336</v>
      </c>
      <c r="S209" s="122">
        <v>55.155595286458336</v>
      </c>
      <c r="T209" s="122">
        <v>55.155595286458336</v>
      </c>
      <c r="U209" s="122">
        <v>55.155595286458336</v>
      </c>
      <c r="V209" s="122">
        <v>55.155595286458336</v>
      </c>
      <c r="W209" s="122">
        <v>55.155595286458336</v>
      </c>
      <c r="X209" s="122">
        <v>55.155595286458336</v>
      </c>
      <c r="Y209" s="122">
        <v>55.155595286458336</v>
      </c>
      <c r="Z209" s="122">
        <v>55.155595286458336</v>
      </c>
      <c r="AA209" s="122">
        <v>55.155595286458336</v>
      </c>
      <c r="AB209" s="122">
        <v>55.155595286458336</v>
      </c>
      <c r="AC209" s="122">
        <v>55.155595286458336</v>
      </c>
      <c r="AD209" s="122">
        <v>55.155595286458336</v>
      </c>
      <c r="AE209" s="122">
        <v>55.155595286458336</v>
      </c>
      <c r="AF209" s="122">
        <v>55.155595286458336</v>
      </c>
      <c r="AG209" s="122">
        <v>55.155595286458336</v>
      </c>
      <c r="AH209" s="122">
        <v>55.155595286458336</v>
      </c>
      <c r="AI209" s="122">
        <v>55.155595286458336</v>
      </c>
      <c r="AJ209" s="122">
        <v>55.155595286458336</v>
      </c>
      <c r="AK209" s="122">
        <v>55.155595286458336</v>
      </c>
      <c r="AL209" s="122">
        <v>55.155595286458336</v>
      </c>
      <c r="AM209" s="122">
        <v>55.155595286458336</v>
      </c>
      <c r="AN209" s="122">
        <v>55.155595286458336</v>
      </c>
      <c r="AO209" s="122">
        <v>55.155595286458336</v>
      </c>
      <c r="AP209" s="122">
        <v>55.155595286458336</v>
      </c>
      <c r="AQ209" s="122">
        <v>55.155595286458336</v>
      </c>
      <c r="AR209" s="122">
        <v>55.155595286458336</v>
      </c>
      <c r="AS209" s="122">
        <v>55.155595286458336</v>
      </c>
      <c r="AT209" s="122">
        <v>55.155595286458336</v>
      </c>
      <c r="AU209" s="122">
        <v>55.155595286458336</v>
      </c>
      <c r="AV209" s="122">
        <v>55.155595286458336</v>
      </c>
      <c r="AW209" s="122">
        <v>55.155595286458336</v>
      </c>
      <c r="AX209" s="122">
        <v>55.155595286458336</v>
      </c>
      <c r="AY209" s="122">
        <v>55.155595286458336</v>
      </c>
    </row>
    <row r="210" spans="1:51">
      <c r="A210" s="107"/>
      <c r="B210" s="117">
        <v>2</v>
      </c>
      <c r="C210" s="104">
        <v>104.32234851703794</v>
      </c>
      <c r="D210" s="108">
        <v>267</v>
      </c>
      <c r="E210" s="108">
        <v>93.802179156432217</v>
      </c>
      <c r="F210" s="108">
        <v>1.0905552016993169E-14</v>
      </c>
      <c r="G210" s="108">
        <v>5.4527760084965843E-15</v>
      </c>
      <c r="H210" s="108">
        <v>2.7263880042482922E-15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0</v>
      </c>
      <c r="D211" s="108">
        <v>0</v>
      </c>
      <c r="E211" s="108">
        <v>18.571404444426939</v>
      </c>
      <c r="F211" s="108">
        <v>126.09149731534696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584504.00936653244</v>
      </c>
      <c r="E259" s="122">
        <f t="shared" ref="E259:AX259" si="5">F$14*$B$259</f>
        <v>174902.09131112072</v>
      </c>
      <c r="F259" s="122">
        <f t="shared" si="5"/>
        <v>189223.72658101731</v>
      </c>
      <c r="G259" s="122">
        <f t="shared" si="5"/>
        <v>57582.977647135427</v>
      </c>
      <c r="H259" s="122">
        <f t="shared" si="5"/>
        <v>57582.977647135427</v>
      </c>
      <c r="I259" s="122">
        <f t="shared" si="5"/>
        <v>57582.977647135427</v>
      </c>
      <c r="J259" s="122">
        <f t="shared" si="5"/>
        <v>57582.977647135427</v>
      </c>
      <c r="K259" s="122">
        <f t="shared" si="5"/>
        <v>57582.977647135427</v>
      </c>
      <c r="L259" s="122">
        <f t="shared" si="5"/>
        <v>57582.977647135427</v>
      </c>
      <c r="M259" s="122">
        <f t="shared" si="5"/>
        <v>57582.977647135427</v>
      </c>
      <c r="N259" s="122">
        <f t="shared" si="5"/>
        <v>57582.977647135427</v>
      </c>
      <c r="O259" s="122">
        <f t="shared" si="5"/>
        <v>57582.977647135427</v>
      </c>
      <c r="P259" s="122">
        <f t="shared" si="5"/>
        <v>57582.977647135427</v>
      </c>
      <c r="Q259" s="122">
        <f t="shared" si="5"/>
        <v>57582.977647135427</v>
      </c>
      <c r="R259" s="122">
        <f t="shared" si="5"/>
        <v>57582.977647135427</v>
      </c>
      <c r="S259" s="122">
        <f t="shared" si="5"/>
        <v>57582.977647135427</v>
      </c>
      <c r="T259" s="122">
        <f t="shared" si="5"/>
        <v>57582.977647135427</v>
      </c>
      <c r="U259" s="122">
        <f t="shared" si="5"/>
        <v>57582.977647135427</v>
      </c>
      <c r="V259" s="122">
        <f t="shared" si="5"/>
        <v>57582.977647135427</v>
      </c>
      <c r="W259" s="122">
        <f t="shared" si="5"/>
        <v>57582.977647135427</v>
      </c>
      <c r="X259" s="122">
        <f t="shared" si="5"/>
        <v>57582.977647135427</v>
      </c>
      <c r="Y259" s="122">
        <f t="shared" si="5"/>
        <v>57582.977647135427</v>
      </c>
      <c r="Z259" s="122">
        <f t="shared" si="5"/>
        <v>57582.977647135427</v>
      </c>
      <c r="AA259" s="122">
        <f t="shared" si="5"/>
        <v>57582.977647135427</v>
      </c>
      <c r="AB259" s="122">
        <f t="shared" si="5"/>
        <v>57582.977647135427</v>
      </c>
      <c r="AC259" s="122">
        <f t="shared" si="5"/>
        <v>57582.977647135427</v>
      </c>
      <c r="AD259" s="122">
        <f t="shared" si="5"/>
        <v>57582.977647135427</v>
      </c>
      <c r="AE259" s="122">
        <f t="shared" si="5"/>
        <v>57582.977647135427</v>
      </c>
      <c r="AF259" s="122">
        <f t="shared" si="5"/>
        <v>57582.977647135427</v>
      </c>
      <c r="AG259" s="122">
        <f t="shared" si="5"/>
        <v>57582.977647135427</v>
      </c>
      <c r="AH259" s="122">
        <f t="shared" si="5"/>
        <v>57582.977647135427</v>
      </c>
      <c r="AI259" s="122">
        <f t="shared" si="5"/>
        <v>57582.977647135427</v>
      </c>
      <c r="AJ259" s="122">
        <f t="shared" si="5"/>
        <v>57582.977647135427</v>
      </c>
      <c r="AK259" s="122">
        <f t="shared" si="5"/>
        <v>57582.977647135427</v>
      </c>
      <c r="AL259" s="122">
        <f t="shared" si="5"/>
        <v>57582.977647135427</v>
      </c>
      <c r="AM259" s="122">
        <f t="shared" si="5"/>
        <v>57582.977647135427</v>
      </c>
      <c r="AN259" s="122">
        <f t="shared" si="5"/>
        <v>57582.977647135427</v>
      </c>
      <c r="AO259" s="122">
        <f t="shared" si="5"/>
        <v>57582.977647135427</v>
      </c>
      <c r="AP259" s="122">
        <f t="shared" si="5"/>
        <v>57582.977647135427</v>
      </c>
      <c r="AQ259" s="122">
        <f t="shared" si="5"/>
        <v>57582.977647135427</v>
      </c>
      <c r="AR259" s="122">
        <f t="shared" si="5"/>
        <v>57582.977647135427</v>
      </c>
      <c r="AS259" s="122">
        <f t="shared" si="5"/>
        <v>57582.977647135427</v>
      </c>
      <c r="AT259" s="122">
        <f t="shared" si="5"/>
        <v>57582.977647135427</v>
      </c>
      <c r="AU259" s="122">
        <f t="shared" si="5"/>
        <v>57582.977647135427</v>
      </c>
      <c r="AV259" s="122">
        <f t="shared" si="5"/>
        <v>57582.977647135427</v>
      </c>
      <c r="AW259" s="122">
        <f t="shared" si="5"/>
        <v>57582.977647135427</v>
      </c>
      <c r="AX259" s="122">
        <f t="shared" si="5"/>
        <v>57582.977647135427</v>
      </c>
      <c r="AY259" s="122">
        <f>AZ$14*$B$259</f>
        <v>57582.977647135427</v>
      </c>
      <c r="AZ259" s="137">
        <f>SUM($D259:$AY259)</f>
        <v>3539863.8213797677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443459.26089358272</v>
      </c>
      <c r="E260" s="123">
        <f t="shared" ref="E260:AY260" si="6">(E$175-E$176+E$177-E$178+E$179-E$180+E$181-E$182)*$B$260</f>
        <v>578626.25831476133</v>
      </c>
      <c r="F260" s="123">
        <f t="shared" si="6"/>
        <v>621823.49991384905</v>
      </c>
      <c r="G260" s="123">
        <f t="shared" si="6"/>
        <v>625665.60994060349</v>
      </c>
      <c r="H260" s="123">
        <f t="shared" si="6"/>
        <v>570629.89956582827</v>
      </c>
      <c r="I260" s="123">
        <f t="shared" si="6"/>
        <v>519785.97220866772</v>
      </c>
      <c r="J260" s="123">
        <f t="shared" si="6"/>
        <v>472335.22274236393</v>
      </c>
      <c r="K260" s="123">
        <f t="shared" si="6"/>
        <v>395120.29083739553</v>
      </c>
      <c r="L260" s="123">
        <f t="shared" si="6"/>
        <v>314549.53103175171</v>
      </c>
      <c r="M260" s="123">
        <f t="shared" si="6"/>
        <v>306166.63654392422</v>
      </c>
      <c r="N260" s="123">
        <f t="shared" si="6"/>
        <v>309877.929423447</v>
      </c>
      <c r="O260" s="123">
        <f t="shared" si="6"/>
        <v>312812.22370160487</v>
      </c>
      <c r="P260" s="123">
        <f t="shared" si="6"/>
        <v>317521.51732194767</v>
      </c>
      <c r="Q260" s="123">
        <f t="shared" si="6"/>
        <v>332654.85457507061</v>
      </c>
      <c r="R260" s="123">
        <f t="shared" si="6"/>
        <v>330640.31709680409</v>
      </c>
      <c r="S260" s="123">
        <f t="shared" si="6"/>
        <v>303871.58003528835</v>
      </c>
      <c r="T260" s="123">
        <f t="shared" si="6"/>
        <v>268103.7279475074</v>
      </c>
      <c r="U260" s="123">
        <f t="shared" si="6"/>
        <v>264699.65050197515</v>
      </c>
      <c r="V260" s="123">
        <f t="shared" si="6"/>
        <v>228138.37188853836</v>
      </c>
      <c r="W260" s="123">
        <f t="shared" si="6"/>
        <v>183404.78880881987</v>
      </c>
      <c r="X260" s="123">
        <f t="shared" si="6"/>
        <v>166279.64931310149</v>
      </c>
      <c r="Y260" s="123">
        <f t="shared" si="6"/>
        <v>133697.84981738304</v>
      </c>
      <c r="Z260" s="123">
        <f t="shared" si="6"/>
        <v>135952.62529394581</v>
      </c>
      <c r="AA260" s="123">
        <f t="shared" si="6"/>
        <v>131664.29702628858</v>
      </c>
      <c r="AB260" s="123">
        <f t="shared" si="6"/>
        <v>133675.96875863138</v>
      </c>
      <c r="AC260" s="123">
        <f t="shared" si="6"/>
        <v>196871.04079628506</v>
      </c>
      <c r="AD260" s="123">
        <f t="shared" si="6"/>
        <v>171507.994039707</v>
      </c>
      <c r="AE260" s="123">
        <f t="shared" si="6"/>
        <v>198386.12790600923</v>
      </c>
      <c r="AF260" s="123">
        <f t="shared" si="6"/>
        <v>229365.84403368831</v>
      </c>
      <c r="AG260" s="123">
        <f t="shared" si="6"/>
        <v>227943.1198072703</v>
      </c>
      <c r="AH260" s="123">
        <f t="shared" si="6"/>
        <v>253748.52182076938</v>
      </c>
      <c r="AI260" s="123">
        <f t="shared" si="6"/>
        <v>279005.94565065863</v>
      </c>
      <c r="AJ260" s="123">
        <f t="shared" si="6"/>
        <v>240238.16941408059</v>
      </c>
      <c r="AK260" s="123">
        <f t="shared" si="6"/>
        <v>228210.8637639698</v>
      </c>
      <c r="AL260" s="123">
        <f t="shared" si="6"/>
        <v>221642.3082003431</v>
      </c>
      <c r="AM260" s="123">
        <f t="shared" si="6"/>
        <v>210040.53257118756</v>
      </c>
      <c r="AN260" s="123">
        <f t="shared" si="6"/>
        <v>193602.18119870685</v>
      </c>
      <c r="AO260" s="123">
        <f t="shared" si="6"/>
        <v>178289.40271110967</v>
      </c>
      <c r="AP260" s="123">
        <f t="shared" si="6"/>
        <v>123481.13825943833</v>
      </c>
      <c r="AQ260" s="123">
        <f t="shared" si="6"/>
        <v>175749.25642704431</v>
      </c>
      <c r="AR260" s="123">
        <f t="shared" si="6"/>
        <v>141138.64060737297</v>
      </c>
      <c r="AS260" s="123">
        <f t="shared" si="6"/>
        <v>194918.60699022812</v>
      </c>
      <c r="AT260" s="123">
        <f t="shared" si="6"/>
        <v>114061.21310843142</v>
      </c>
      <c r="AU260" s="123">
        <f t="shared" si="6"/>
        <v>47481.592320000098</v>
      </c>
      <c r="AV260" s="123">
        <f t="shared" si="6"/>
        <v>135588.62452962552</v>
      </c>
      <c r="AW260" s="123">
        <f t="shared" si="6"/>
        <v>39148.765088781947</v>
      </c>
      <c r="AX260" s="123">
        <f t="shared" si="6"/>
        <v>127579.30465224106</v>
      </c>
      <c r="AY260" s="123">
        <f t="shared" si="6"/>
        <v>100493.85267148586</v>
      </c>
      <c r="AZ260" s="139">
        <f>SUM($D260:$AY260)</f>
        <v>12429650.580071516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12</v>
      </c>
      <c r="E6" s="98">
        <v>6940.7999999999993</v>
      </c>
      <c r="F6" s="98">
        <v>11</v>
      </c>
      <c r="G6" s="98">
        <v>6362.4</v>
      </c>
      <c r="H6" s="98">
        <v>11</v>
      </c>
      <c r="I6" s="98">
        <v>6362.4</v>
      </c>
      <c r="J6" s="98">
        <v>14</v>
      </c>
      <c r="K6" s="98">
        <v>8097.5999999999995</v>
      </c>
      <c r="L6" s="98">
        <v>10</v>
      </c>
      <c r="M6" s="98">
        <v>5784</v>
      </c>
      <c r="N6" s="98">
        <v>12</v>
      </c>
      <c r="O6" s="98">
        <v>6940.7999999999993</v>
      </c>
      <c r="P6" s="98">
        <v>11</v>
      </c>
      <c r="Q6" s="98">
        <v>6362.4</v>
      </c>
      <c r="R6" s="98">
        <v>19</v>
      </c>
      <c r="S6" s="98">
        <v>10989.6</v>
      </c>
      <c r="T6" s="98">
        <v>9</v>
      </c>
      <c r="U6" s="98">
        <v>5205.5999999999995</v>
      </c>
      <c r="V6" s="98">
        <v>13</v>
      </c>
      <c r="W6" s="98">
        <v>7519.2</v>
      </c>
      <c r="X6" s="98">
        <v>16</v>
      </c>
      <c r="Y6" s="98">
        <v>9254.4</v>
      </c>
      <c r="Z6" s="98">
        <v>10</v>
      </c>
      <c r="AA6" s="98">
        <v>5784</v>
      </c>
      <c r="AB6" s="98">
        <v>10</v>
      </c>
      <c r="AC6" s="98">
        <v>5784</v>
      </c>
      <c r="AD6" s="98">
        <v>12</v>
      </c>
      <c r="AE6" s="98">
        <v>6940.7999999999993</v>
      </c>
      <c r="AF6" s="98">
        <v>18</v>
      </c>
      <c r="AG6" s="98">
        <v>10411.199999999999</v>
      </c>
      <c r="AH6" s="98">
        <v>15</v>
      </c>
      <c r="AI6" s="98">
        <v>8676</v>
      </c>
      <c r="AJ6" s="98">
        <v>11</v>
      </c>
      <c r="AK6" s="98">
        <v>6362.4</v>
      </c>
      <c r="AL6" s="98">
        <v>9</v>
      </c>
      <c r="AM6" s="98">
        <v>5205.5999999999995</v>
      </c>
      <c r="AN6" s="98">
        <v>16</v>
      </c>
      <c r="AO6" s="98">
        <v>9254.4</v>
      </c>
      <c r="AP6" s="98">
        <v>13</v>
      </c>
      <c r="AQ6" s="98">
        <v>7519.2</v>
      </c>
      <c r="AR6" s="98">
        <v>15</v>
      </c>
      <c r="AS6" s="98">
        <v>8676</v>
      </c>
      <c r="AT6" s="98">
        <v>18</v>
      </c>
      <c r="AU6" s="98">
        <v>10411.199999999999</v>
      </c>
      <c r="AV6" s="98">
        <v>17</v>
      </c>
      <c r="AW6" s="98">
        <v>9832.7999999999993</v>
      </c>
      <c r="AX6" s="98">
        <v>15</v>
      </c>
      <c r="AY6" s="98">
        <v>8676</v>
      </c>
      <c r="AZ6" s="98">
        <v>12</v>
      </c>
      <c r="BA6" s="98">
        <v>6940.7999999999993</v>
      </c>
      <c r="BB6" s="98">
        <v>18</v>
      </c>
      <c r="BC6" s="98">
        <v>10411.199999999999</v>
      </c>
      <c r="BD6" s="98">
        <v>12</v>
      </c>
      <c r="BE6" s="98">
        <v>6940.7999999999993</v>
      </c>
      <c r="BF6" s="98">
        <v>13</v>
      </c>
      <c r="BG6" s="98">
        <v>7519.2</v>
      </c>
      <c r="BH6" s="98">
        <v>17</v>
      </c>
      <c r="BI6" s="98">
        <v>9832.7999999999993</v>
      </c>
      <c r="BJ6" s="98">
        <v>19</v>
      </c>
      <c r="BK6" s="98">
        <v>10989.6</v>
      </c>
      <c r="BL6" s="98">
        <v>15</v>
      </c>
      <c r="BM6" s="98">
        <v>8676</v>
      </c>
      <c r="BN6" s="98">
        <v>16</v>
      </c>
      <c r="BO6" s="98">
        <v>9254.4</v>
      </c>
      <c r="BP6" s="98">
        <v>12</v>
      </c>
      <c r="BQ6" s="98">
        <v>6940.7999999999993</v>
      </c>
      <c r="BR6" s="98">
        <v>19</v>
      </c>
      <c r="BS6" s="98">
        <v>10989.6</v>
      </c>
      <c r="BT6" s="98">
        <v>12</v>
      </c>
      <c r="BU6" s="98">
        <v>6940.7999999999993</v>
      </c>
      <c r="BV6" s="98">
        <v>14</v>
      </c>
      <c r="BW6" s="98">
        <v>8097.5999999999995</v>
      </c>
      <c r="BX6" s="98">
        <v>18</v>
      </c>
      <c r="BY6" s="98">
        <v>10411.199999999999</v>
      </c>
      <c r="BZ6" s="98">
        <v>11</v>
      </c>
      <c r="CA6" s="98">
        <v>6362.4</v>
      </c>
      <c r="CB6" s="98">
        <v>11</v>
      </c>
      <c r="CC6" s="98">
        <v>6362.4</v>
      </c>
      <c r="CD6" s="98">
        <v>11</v>
      </c>
      <c r="CE6" s="98">
        <v>6362.4</v>
      </c>
      <c r="CF6" s="98">
        <v>18</v>
      </c>
      <c r="CG6" s="98">
        <v>10411.199999999999</v>
      </c>
      <c r="CH6" s="98">
        <v>16</v>
      </c>
      <c r="CI6" s="98">
        <v>9254.4</v>
      </c>
      <c r="CJ6" s="98">
        <v>15</v>
      </c>
      <c r="CK6" s="98">
        <v>8676</v>
      </c>
      <c r="CL6" s="98">
        <v>17</v>
      </c>
      <c r="CM6" s="98">
        <v>9832.7999999999993</v>
      </c>
      <c r="CN6" s="98">
        <v>17</v>
      </c>
      <c r="CO6" s="98">
        <v>9832.7999999999993</v>
      </c>
      <c r="CP6" s="98">
        <v>22</v>
      </c>
      <c r="CQ6" s="98">
        <v>12724.8</v>
      </c>
      <c r="CR6" s="98">
        <v>10</v>
      </c>
      <c r="CS6" s="98">
        <v>5784</v>
      </c>
      <c r="CT6" s="98">
        <v>17</v>
      </c>
      <c r="CU6" s="98">
        <v>9832.7999999999993</v>
      </c>
    </row>
    <row r="7" spans="1:99">
      <c r="C7" s="97" t="s">
        <v>174</v>
      </c>
      <c r="D7" s="98">
        <v>10</v>
      </c>
      <c r="E7" s="98">
        <v>7884</v>
      </c>
      <c r="F7" s="98">
        <v>10</v>
      </c>
      <c r="G7" s="98">
        <v>7884</v>
      </c>
      <c r="H7" s="98">
        <v>10</v>
      </c>
      <c r="I7" s="98">
        <v>7884</v>
      </c>
      <c r="J7" s="98">
        <v>14</v>
      </c>
      <c r="K7" s="98">
        <v>11037.6</v>
      </c>
      <c r="L7" s="98">
        <v>9</v>
      </c>
      <c r="M7" s="98">
        <v>7095.5999999999995</v>
      </c>
      <c r="N7" s="98">
        <v>13</v>
      </c>
      <c r="O7" s="98">
        <v>10249.199999999999</v>
      </c>
      <c r="P7" s="98">
        <v>10</v>
      </c>
      <c r="Q7" s="98">
        <v>7884</v>
      </c>
      <c r="R7" s="98">
        <v>16</v>
      </c>
      <c r="S7" s="98">
        <v>12614.4</v>
      </c>
      <c r="T7" s="98">
        <v>10</v>
      </c>
      <c r="U7" s="98">
        <v>7884</v>
      </c>
      <c r="V7" s="98">
        <v>12</v>
      </c>
      <c r="W7" s="98">
        <v>9460.7999999999993</v>
      </c>
      <c r="X7" s="98">
        <v>18</v>
      </c>
      <c r="Y7" s="98">
        <v>14191.199999999999</v>
      </c>
      <c r="Z7" s="98">
        <v>10</v>
      </c>
      <c r="AA7" s="98">
        <v>7884</v>
      </c>
      <c r="AB7" s="98">
        <v>11</v>
      </c>
      <c r="AC7" s="98">
        <v>8672.4</v>
      </c>
      <c r="AD7" s="98">
        <v>11</v>
      </c>
      <c r="AE7" s="98">
        <v>8672.4</v>
      </c>
      <c r="AF7" s="98">
        <v>14</v>
      </c>
      <c r="AG7" s="98">
        <v>11037.6</v>
      </c>
      <c r="AH7" s="98">
        <v>12</v>
      </c>
      <c r="AI7" s="98">
        <v>9460.7999999999993</v>
      </c>
      <c r="AJ7" s="98">
        <v>9</v>
      </c>
      <c r="AK7" s="98">
        <v>7095.5999999999995</v>
      </c>
      <c r="AL7" s="98">
        <v>10</v>
      </c>
      <c r="AM7" s="98">
        <v>7884</v>
      </c>
      <c r="AN7" s="98">
        <v>14</v>
      </c>
      <c r="AO7" s="98">
        <v>11037.6</v>
      </c>
      <c r="AP7" s="98">
        <v>14</v>
      </c>
      <c r="AQ7" s="98">
        <v>11037.6</v>
      </c>
      <c r="AR7" s="98">
        <v>15</v>
      </c>
      <c r="AS7" s="98">
        <v>11826</v>
      </c>
      <c r="AT7" s="98">
        <v>17</v>
      </c>
      <c r="AU7" s="98">
        <v>13402.8</v>
      </c>
      <c r="AV7" s="98">
        <v>16</v>
      </c>
      <c r="AW7" s="98">
        <v>12614.4</v>
      </c>
      <c r="AX7" s="98">
        <v>13</v>
      </c>
      <c r="AY7" s="98">
        <v>10249.199999999999</v>
      </c>
      <c r="AZ7" s="98">
        <v>12</v>
      </c>
      <c r="BA7" s="98">
        <v>9460.7999999999993</v>
      </c>
      <c r="BB7" s="98">
        <v>15</v>
      </c>
      <c r="BC7" s="98">
        <v>11826</v>
      </c>
      <c r="BD7" s="98">
        <v>12</v>
      </c>
      <c r="BE7" s="98">
        <v>9460.7999999999993</v>
      </c>
      <c r="BF7" s="98">
        <v>12</v>
      </c>
      <c r="BG7" s="98">
        <v>9460.7999999999993</v>
      </c>
      <c r="BH7" s="98">
        <v>16</v>
      </c>
      <c r="BI7" s="98">
        <v>12614.4</v>
      </c>
      <c r="BJ7" s="98">
        <v>18</v>
      </c>
      <c r="BK7" s="98">
        <v>14191.199999999999</v>
      </c>
      <c r="BL7" s="98">
        <v>15</v>
      </c>
      <c r="BM7" s="98">
        <v>11826</v>
      </c>
      <c r="BN7" s="98">
        <v>17</v>
      </c>
      <c r="BO7" s="98">
        <v>13402.8</v>
      </c>
      <c r="BP7" s="98">
        <v>10</v>
      </c>
      <c r="BQ7" s="98">
        <v>7884</v>
      </c>
      <c r="BR7" s="98">
        <v>16</v>
      </c>
      <c r="BS7" s="98">
        <v>12614.4</v>
      </c>
      <c r="BT7" s="98">
        <v>10</v>
      </c>
      <c r="BU7" s="98">
        <v>7884</v>
      </c>
      <c r="BV7" s="98">
        <v>13</v>
      </c>
      <c r="BW7" s="98">
        <v>10249.199999999999</v>
      </c>
      <c r="BX7" s="98">
        <v>18</v>
      </c>
      <c r="BY7" s="98">
        <v>14191.199999999999</v>
      </c>
      <c r="BZ7" s="98">
        <v>11</v>
      </c>
      <c r="CA7" s="98">
        <v>8672.4</v>
      </c>
      <c r="CB7" s="98">
        <v>12</v>
      </c>
      <c r="CC7" s="98">
        <v>9460.7999999999993</v>
      </c>
      <c r="CD7" s="98">
        <v>12</v>
      </c>
      <c r="CE7" s="98">
        <v>9460.7999999999993</v>
      </c>
      <c r="CF7" s="98">
        <v>16</v>
      </c>
      <c r="CG7" s="98">
        <v>12614.4</v>
      </c>
      <c r="CH7" s="98">
        <v>17</v>
      </c>
      <c r="CI7" s="98">
        <v>13402.8</v>
      </c>
      <c r="CJ7" s="98">
        <v>16</v>
      </c>
      <c r="CK7" s="98">
        <v>12614.4</v>
      </c>
      <c r="CL7" s="98">
        <v>17</v>
      </c>
      <c r="CM7" s="98">
        <v>13402.8</v>
      </c>
      <c r="CN7" s="98">
        <v>16</v>
      </c>
      <c r="CO7" s="98">
        <v>12614.4</v>
      </c>
      <c r="CP7" s="98">
        <v>21</v>
      </c>
      <c r="CQ7" s="98">
        <v>16556.399999999998</v>
      </c>
      <c r="CR7" s="98">
        <v>11</v>
      </c>
      <c r="CS7" s="98">
        <v>8672.4</v>
      </c>
      <c r="CT7" s="98">
        <v>15</v>
      </c>
      <c r="CU7" s="98">
        <v>11826</v>
      </c>
    </row>
    <row r="8" spans="1:99">
      <c r="C8" s="97" t="s">
        <v>175</v>
      </c>
      <c r="D8" s="98">
        <v>11</v>
      </c>
      <c r="E8" s="98">
        <v>3405.5999999999995</v>
      </c>
      <c r="F8" s="98">
        <v>13</v>
      </c>
      <c r="G8" s="98">
        <v>4024.7999999999997</v>
      </c>
      <c r="H8" s="98">
        <v>9</v>
      </c>
      <c r="I8" s="98">
        <v>2786.3999999999996</v>
      </c>
      <c r="J8" s="98">
        <v>15</v>
      </c>
      <c r="K8" s="98">
        <v>4643.9999999999991</v>
      </c>
      <c r="L8" s="98">
        <v>12</v>
      </c>
      <c r="M8" s="98">
        <v>3715.2</v>
      </c>
      <c r="N8" s="98">
        <v>15</v>
      </c>
      <c r="O8" s="98">
        <v>4643.9999999999991</v>
      </c>
      <c r="P8" s="98">
        <v>11</v>
      </c>
      <c r="Q8" s="98">
        <v>3405.5999999999995</v>
      </c>
      <c r="R8" s="98">
        <v>20</v>
      </c>
      <c r="S8" s="98">
        <v>6191.9999999999991</v>
      </c>
      <c r="T8" s="98">
        <v>10</v>
      </c>
      <c r="U8" s="98">
        <v>3095.9999999999995</v>
      </c>
      <c r="V8" s="98">
        <v>15</v>
      </c>
      <c r="W8" s="98">
        <v>4643.9999999999991</v>
      </c>
      <c r="X8" s="98">
        <v>19</v>
      </c>
      <c r="Y8" s="98">
        <v>5882.4</v>
      </c>
      <c r="Z8" s="98">
        <v>12</v>
      </c>
      <c r="AA8" s="98">
        <v>3715.2</v>
      </c>
      <c r="AB8" s="98">
        <v>12</v>
      </c>
      <c r="AC8" s="98">
        <v>3715.2</v>
      </c>
      <c r="AD8" s="98">
        <v>13</v>
      </c>
      <c r="AE8" s="98">
        <v>4024.7999999999997</v>
      </c>
      <c r="AF8" s="98">
        <v>17</v>
      </c>
      <c r="AG8" s="98">
        <v>5263.2</v>
      </c>
      <c r="AH8" s="98">
        <v>15</v>
      </c>
      <c r="AI8" s="98">
        <v>4643.9999999999991</v>
      </c>
      <c r="AJ8" s="98">
        <v>10</v>
      </c>
      <c r="AK8" s="98">
        <v>3095.9999999999995</v>
      </c>
      <c r="AL8" s="98">
        <v>10</v>
      </c>
      <c r="AM8" s="98">
        <v>3095.9999999999995</v>
      </c>
      <c r="AN8" s="98">
        <v>17</v>
      </c>
      <c r="AO8" s="98">
        <v>5263.2</v>
      </c>
      <c r="AP8" s="98">
        <v>13</v>
      </c>
      <c r="AQ8" s="98">
        <v>4024.7999999999997</v>
      </c>
      <c r="AR8" s="98">
        <v>16</v>
      </c>
      <c r="AS8" s="98">
        <v>4953.5999999999995</v>
      </c>
      <c r="AT8" s="98">
        <v>18</v>
      </c>
      <c r="AU8" s="98">
        <v>5572.7999999999993</v>
      </c>
      <c r="AV8" s="98">
        <v>18</v>
      </c>
      <c r="AW8" s="98">
        <v>5572.7999999999993</v>
      </c>
      <c r="AX8" s="98">
        <v>16</v>
      </c>
      <c r="AY8" s="98">
        <v>4953.5999999999995</v>
      </c>
      <c r="AZ8" s="98">
        <v>13</v>
      </c>
      <c r="BA8" s="98">
        <v>4024.7999999999997</v>
      </c>
      <c r="BB8" s="98">
        <v>15</v>
      </c>
      <c r="BC8" s="98">
        <v>4643.9999999999991</v>
      </c>
      <c r="BD8" s="98">
        <v>13</v>
      </c>
      <c r="BE8" s="98">
        <v>4024.7999999999997</v>
      </c>
      <c r="BF8" s="98">
        <v>12</v>
      </c>
      <c r="BG8" s="98">
        <v>3715.2</v>
      </c>
      <c r="BH8" s="98">
        <v>17</v>
      </c>
      <c r="BI8" s="98">
        <v>5263.2</v>
      </c>
      <c r="BJ8" s="98">
        <v>21</v>
      </c>
      <c r="BK8" s="98">
        <v>6501.5999999999995</v>
      </c>
      <c r="BL8" s="98">
        <v>13</v>
      </c>
      <c r="BM8" s="98">
        <v>4024.7999999999997</v>
      </c>
      <c r="BN8" s="98">
        <v>18</v>
      </c>
      <c r="BO8" s="98">
        <v>5572.7999999999993</v>
      </c>
      <c r="BP8" s="98">
        <v>12</v>
      </c>
      <c r="BQ8" s="98">
        <v>3715.2</v>
      </c>
      <c r="BR8" s="98">
        <v>19</v>
      </c>
      <c r="BS8" s="98">
        <v>5882.4</v>
      </c>
      <c r="BT8" s="98">
        <v>12</v>
      </c>
      <c r="BU8" s="98">
        <v>3715.2</v>
      </c>
      <c r="BV8" s="98">
        <v>13</v>
      </c>
      <c r="BW8" s="98">
        <v>4024.7999999999997</v>
      </c>
      <c r="BX8" s="98">
        <v>20</v>
      </c>
      <c r="BY8" s="98">
        <v>6191.9999999999991</v>
      </c>
      <c r="BZ8" s="98">
        <v>12</v>
      </c>
      <c r="CA8" s="98">
        <v>3715.2</v>
      </c>
      <c r="CB8" s="98">
        <v>12</v>
      </c>
      <c r="CC8" s="98">
        <v>3715.2</v>
      </c>
      <c r="CD8" s="98">
        <v>11</v>
      </c>
      <c r="CE8" s="98">
        <v>3405.5999999999995</v>
      </c>
      <c r="CF8" s="98">
        <v>18</v>
      </c>
      <c r="CG8" s="98">
        <v>5572.7999999999993</v>
      </c>
      <c r="CH8" s="98">
        <v>18</v>
      </c>
      <c r="CI8" s="98">
        <v>5572.7999999999993</v>
      </c>
      <c r="CJ8" s="98">
        <v>18</v>
      </c>
      <c r="CK8" s="98">
        <v>5572.7999999999993</v>
      </c>
      <c r="CL8" s="98">
        <v>17</v>
      </c>
      <c r="CM8" s="98">
        <v>5263.2</v>
      </c>
      <c r="CN8" s="98">
        <v>17</v>
      </c>
      <c r="CO8" s="98">
        <v>5263.2</v>
      </c>
      <c r="CP8" s="98">
        <v>22</v>
      </c>
      <c r="CQ8" s="98">
        <v>6811.1999999999989</v>
      </c>
      <c r="CR8" s="98">
        <v>12</v>
      </c>
      <c r="CS8" s="98">
        <v>3715.2</v>
      </c>
      <c r="CT8" s="98">
        <v>16</v>
      </c>
      <c r="CU8" s="98">
        <v>4953.5999999999995</v>
      </c>
    </row>
    <row r="9" spans="1:99">
      <c r="C9" s="97" t="s">
        <v>176</v>
      </c>
      <c r="D9" s="98">
        <v>11</v>
      </c>
      <c r="E9" s="98">
        <v>7722</v>
      </c>
      <c r="F9" s="98">
        <v>11</v>
      </c>
      <c r="G9" s="98">
        <v>7722</v>
      </c>
      <c r="H9" s="98">
        <v>10</v>
      </c>
      <c r="I9" s="98">
        <v>7020</v>
      </c>
      <c r="J9" s="98">
        <v>13</v>
      </c>
      <c r="K9" s="98">
        <v>9126</v>
      </c>
      <c r="L9" s="98">
        <v>10</v>
      </c>
      <c r="M9" s="98">
        <v>7020</v>
      </c>
      <c r="N9" s="98">
        <v>13</v>
      </c>
      <c r="O9" s="98">
        <v>9126</v>
      </c>
      <c r="P9" s="98">
        <v>11</v>
      </c>
      <c r="Q9" s="98">
        <v>7722</v>
      </c>
      <c r="R9" s="98">
        <v>16</v>
      </c>
      <c r="S9" s="98">
        <v>11232</v>
      </c>
      <c r="T9" s="98">
        <v>10</v>
      </c>
      <c r="U9" s="98">
        <v>7020</v>
      </c>
      <c r="V9" s="98">
        <v>12</v>
      </c>
      <c r="W9" s="98">
        <v>8424</v>
      </c>
      <c r="X9" s="98">
        <v>18</v>
      </c>
      <c r="Y9" s="98">
        <v>12636</v>
      </c>
      <c r="Z9" s="98">
        <v>12</v>
      </c>
      <c r="AA9" s="98">
        <v>8424</v>
      </c>
      <c r="AB9" s="98">
        <v>12</v>
      </c>
      <c r="AC9" s="98">
        <v>8424</v>
      </c>
      <c r="AD9" s="98">
        <v>12</v>
      </c>
      <c r="AE9" s="98">
        <v>8424</v>
      </c>
      <c r="AF9" s="98">
        <v>15</v>
      </c>
      <c r="AG9" s="98">
        <v>10530</v>
      </c>
      <c r="AH9" s="98">
        <v>15</v>
      </c>
      <c r="AI9" s="98">
        <v>10530</v>
      </c>
      <c r="AJ9" s="98">
        <v>10</v>
      </c>
      <c r="AK9" s="98">
        <v>7020</v>
      </c>
      <c r="AL9" s="98">
        <v>10</v>
      </c>
      <c r="AM9" s="98">
        <v>7020</v>
      </c>
      <c r="AN9" s="98">
        <v>16</v>
      </c>
      <c r="AO9" s="98">
        <v>11232</v>
      </c>
      <c r="AP9" s="98">
        <v>14</v>
      </c>
      <c r="AQ9" s="98">
        <v>9828</v>
      </c>
      <c r="AR9" s="98">
        <v>16</v>
      </c>
      <c r="AS9" s="98">
        <v>11232</v>
      </c>
      <c r="AT9" s="98">
        <v>20</v>
      </c>
      <c r="AU9" s="98">
        <v>14040</v>
      </c>
      <c r="AV9" s="98">
        <v>17</v>
      </c>
      <c r="AW9" s="98">
        <v>11934</v>
      </c>
      <c r="AX9" s="98">
        <v>16</v>
      </c>
      <c r="AY9" s="98">
        <v>11232</v>
      </c>
      <c r="AZ9" s="98">
        <v>11</v>
      </c>
      <c r="BA9" s="98">
        <v>7722</v>
      </c>
      <c r="BB9" s="98">
        <v>16</v>
      </c>
      <c r="BC9" s="98">
        <v>11232</v>
      </c>
      <c r="BD9" s="98">
        <v>13</v>
      </c>
      <c r="BE9" s="98">
        <v>9126</v>
      </c>
      <c r="BF9" s="98">
        <v>11</v>
      </c>
      <c r="BG9" s="98">
        <v>7722</v>
      </c>
      <c r="BH9" s="98">
        <v>16</v>
      </c>
      <c r="BI9" s="98">
        <v>11232</v>
      </c>
      <c r="BJ9" s="98">
        <v>19</v>
      </c>
      <c r="BK9" s="98">
        <v>13338</v>
      </c>
      <c r="BL9" s="98">
        <v>14</v>
      </c>
      <c r="BM9" s="98">
        <v>9828</v>
      </c>
      <c r="BN9" s="98">
        <v>18</v>
      </c>
      <c r="BO9" s="98">
        <v>12636</v>
      </c>
      <c r="BP9" s="98">
        <v>10</v>
      </c>
      <c r="BQ9" s="98">
        <v>7020</v>
      </c>
      <c r="BR9" s="98">
        <v>15</v>
      </c>
      <c r="BS9" s="98">
        <v>10530</v>
      </c>
      <c r="BT9" s="98">
        <v>11</v>
      </c>
      <c r="BU9" s="98">
        <v>7722</v>
      </c>
      <c r="BV9" s="98">
        <v>14</v>
      </c>
      <c r="BW9" s="98">
        <v>9828</v>
      </c>
      <c r="BX9" s="98">
        <v>19</v>
      </c>
      <c r="BY9" s="98">
        <v>13338</v>
      </c>
      <c r="BZ9" s="98">
        <v>12</v>
      </c>
      <c r="CA9" s="98">
        <v>8424</v>
      </c>
      <c r="CB9" s="98">
        <v>11</v>
      </c>
      <c r="CC9" s="98">
        <v>7722</v>
      </c>
      <c r="CD9" s="98">
        <v>11</v>
      </c>
      <c r="CE9" s="98">
        <v>7722</v>
      </c>
      <c r="CF9" s="98">
        <v>18</v>
      </c>
      <c r="CG9" s="98">
        <v>12636</v>
      </c>
      <c r="CH9" s="98">
        <v>18</v>
      </c>
      <c r="CI9" s="98">
        <v>12636</v>
      </c>
      <c r="CJ9" s="98">
        <v>14</v>
      </c>
      <c r="CK9" s="98">
        <v>9828</v>
      </c>
      <c r="CL9" s="98">
        <v>16</v>
      </c>
      <c r="CM9" s="98">
        <v>11232</v>
      </c>
      <c r="CN9" s="98">
        <v>15</v>
      </c>
      <c r="CO9" s="98">
        <v>10530</v>
      </c>
      <c r="CP9" s="98">
        <v>23</v>
      </c>
      <c r="CQ9" s="98">
        <v>16146</v>
      </c>
      <c r="CR9" s="98">
        <v>12</v>
      </c>
      <c r="CS9" s="98">
        <v>8424</v>
      </c>
      <c r="CT9" s="98">
        <v>17</v>
      </c>
      <c r="CU9" s="98">
        <v>11934</v>
      </c>
    </row>
    <row r="10" spans="1:99">
      <c r="C10" s="97" t="s">
        <v>177</v>
      </c>
      <c r="D10" s="98">
        <v>11</v>
      </c>
      <c r="E10" s="98">
        <v>5992.7999999999993</v>
      </c>
      <c r="F10" s="98">
        <v>12</v>
      </c>
      <c r="G10" s="98">
        <v>6537.5999999999995</v>
      </c>
      <c r="H10" s="98">
        <v>9</v>
      </c>
      <c r="I10" s="98">
        <v>4903.2</v>
      </c>
      <c r="J10" s="98">
        <v>15</v>
      </c>
      <c r="K10" s="98">
        <v>8171.9999999999991</v>
      </c>
      <c r="L10" s="98">
        <v>11</v>
      </c>
      <c r="M10" s="98">
        <v>5992.7999999999993</v>
      </c>
      <c r="N10" s="98">
        <v>14</v>
      </c>
      <c r="O10" s="98">
        <v>7627.1999999999989</v>
      </c>
      <c r="P10" s="98">
        <v>10</v>
      </c>
      <c r="Q10" s="98">
        <v>5448</v>
      </c>
      <c r="R10" s="98">
        <v>18</v>
      </c>
      <c r="S10" s="98">
        <v>9806.4</v>
      </c>
      <c r="T10" s="98">
        <v>10</v>
      </c>
      <c r="U10" s="98">
        <v>5448</v>
      </c>
      <c r="V10" s="98">
        <v>13</v>
      </c>
      <c r="W10" s="98">
        <v>7082.4</v>
      </c>
      <c r="X10" s="98">
        <v>16</v>
      </c>
      <c r="Y10" s="98">
        <v>8716.7999999999993</v>
      </c>
      <c r="Z10" s="98">
        <v>12</v>
      </c>
      <c r="AA10" s="98">
        <v>6537.5999999999995</v>
      </c>
      <c r="AB10" s="98">
        <v>11</v>
      </c>
      <c r="AC10" s="98">
        <v>5992.7999999999993</v>
      </c>
      <c r="AD10" s="98">
        <v>12</v>
      </c>
      <c r="AE10" s="98">
        <v>6537.5999999999995</v>
      </c>
      <c r="AF10" s="98">
        <v>17</v>
      </c>
      <c r="AG10" s="98">
        <v>9261.5999999999985</v>
      </c>
      <c r="AH10" s="98">
        <v>15</v>
      </c>
      <c r="AI10" s="98">
        <v>8171.9999999999991</v>
      </c>
      <c r="AJ10" s="98">
        <v>10</v>
      </c>
      <c r="AK10" s="98">
        <v>5448</v>
      </c>
      <c r="AL10" s="98">
        <v>10</v>
      </c>
      <c r="AM10" s="98">
        <v>5448</v>
      </c>
      <c r="AN10" s="98">
        <v>17</v>
      </c>
      <c r="AO10" s="98">
        <v>9261.5999999999985</v>
      </c>
      <c r="AP10" s="98">
        <v>14</v>
      </c>
      <c r="AQ10" s="98">
        <v>7627.1999999999989</v>
      </c>
      <c r="AR10" s="98">
        <v>14</v>
      </c>
      <c r="AS10" s="98">
        <v>7627.1999999999989</v>
      </c>
      <c r="AT10" s="98">
        <v>20</v>
      </c>
      <c r="AU10" s="98">
        <v>10896</v>
      </c>
      <c r="AV10" s="98">
        <v>17</v>
      </c>
      <c r="AW10" s="98">
        <v>9261.5999999999985</v>
      </c>
      <c r="AX10" s="98">
        <v>16</v>
      </c>
      <c r="AY10" s="98">
        <v>8716.7999999999993</v>
      </c>
      <c r="AZ10" s="98">
        <v>13</v>
      </c>
      <c r="BA10" s="98">
        <v>7082.4</v>
      </c>
      <c r="BB10" s="98">
        <v>16</v>
      </c>
      <c r="BC10" s="98">
        <v>8716.7999999999993</v>
      </c>
      <c r="BD10" s="98">
        <v>13</v>
      </c>
      <c r="BE10" s="98">
        <v>7082.4</v>
      </c>
      <c r="BF10" s="98">
        <v>12</v>
      </c>
      <c r="BG10" s="98">
        <v>6537.5999999999995</v>
      </c>
      <c r="BH10" s="98">
        <v>17</v>
      </c>
      <c r="BI10" s="98">
        <v>9261.5999999999985</v>
      </c>
      <c r="BJ10" s="98">
        <v>22</v>
      </c>
      <c r="BK10" s="98">
        <v>11985.599999999999</v>
      </c>
      <c r="BL10" s="98">
        <v>15</v>
      </c>
      <c r="BM10" s="98">
        <v>8171.9999999999991</v>
      </c>
      <c r="BN10" s="98">
        <v>18</v>
      </c>
      <c r="BO10" s="98">
        <v>9806.4</v>
      </c>
      <c r="BP10" s="98">
        <v>10</v>
      </c>
      <c r="BQ10" s="98">
        <v>5448</v>
      </c>
      <c r="BR10" s="98">
        <v>17</v>
      </c>
      <c r="BS10" s="98">
        <v>9261.5999999999985</v>
      </c>
      <c r="BT10" s="98">
        <v>11</v>
      </c>
      <c r="BU10" s="98">
        <v>5992.7999999999993</v>
      </c>
      <c r="BV10" s="98">
        <v>14</v>
      </c>
      <c r="BW10" s="98">
        <v>7627.1999999999989</v>
      </c>
      <c r="BX10" s="98">
        <v>19</v>
      </c>
      <c r="BY10" s="98">
        <v>10351.199999999999</v>
      </c>
      <c r="BZ10" s="98">
        <v>13</v>
      </c>
      <c r="CA10" s="98">
        <v>7082.4</v>
      </c>
      <c r="CB10" s="98">
        <v>11</v>
      </c>
      <c r="CC10" s="98">
        <v>5992.7999999999993</v>
      </c>
      <c r="CD10" s="98">
        <v>11</v>
      </c>
      <c r="CE10" s="98">
        <v>5992.7999999999993</v>
      </c>
      <c r="CF10" s="98">
        <v>18</v>
      </c>
      <c r="CG10" s="98">
        <v>9806.4</v>
      </c>
      <c r="CH10" s="98">
        <v>19</v>
      </c>
      <c r="CI10" s="98">
        <v>10351.199999999999</v>
      </c>
      <c r="CJ10" s="98">
        <v>16</v>
      </c>
      <c r="CK10" s="98">
        <v>8716.7999999999993</v>
      </c>
      <c r="CL10" s="98">
        <v>15</v>
      </c>
      <c r="CM10" s="98">
        <v>8171.9999999999991</v>
      </c>
      <c r="CN10" s="98">
        <v>17</v>
      </c>
      <c r="CO10" s="98">
        <v>9261.5999999999985</v>
      </c>
      <c r="CP10" s="98">
        <v>20</v>
      </c>
      <c r="CQ10" s="98">
        <v>10896</v>
      </c>
      <c r="CR10" s="98">
        <v>11</v>
      </c>
      <c r="CS10" s="98">
        <v>5992.7999999999993</v>
      </c>
      <c r="CT10" s="98">
        <v>17</v>
      </c>
      <c r="CU10" s="98">
        <v>9261.5999999999985</v>
      </c>
    </row>
    <row r="11" spans="1:99">
      <c r="C11" s="97" t="s">
        <v>178</v>
      </c>
      <c r="D11" s="98">
        <v>10</v>
      </c>
      <c r="E11" s="98">
        <v>5328</v>
      </c>
      <c r="F11" s="98">
        <v>11</v>
      </c>
      <c r="G11" s="98">
        <v>5860.7999999999993</v>
      </c>
      <c r="H11" s="98">
        <v>10</v>
      </c>
      <c r="I11" s="98">
        <v>5328</v>
      </c>
      <c r="J11" s="98">
        <v>13</v>
      </c>
      <c r="K11" s="98">
        <v>6926.4</v>
      </c>
      <c r="L11" s="98">
        <v>10</v>
      </c>
      <c r="M11" s="98">
        <v>5328</v>
      </c>
      <c r="N11" s="98">
        <v>14</v>
      </c>
      <c r="O11" s="98">
        <v>7459.1999999999989</v>
      </c>
      <c r="P11" s="98">
        <v>11</v>
      </c>
      <c r="Q11" s="98">
        <v>5860.7999999999993</v>
      </c>
      <c r="R11" s="98">
        <v>18</v>
      </c>
      <c r="S11" s="98">
        <v>9590.4</v>
      </c>
      <c r="T11" s="98">
        <v>10</v>
      </c>
      <c r="U11" s="98">
        <v>5328</v>
      </c>
      <c r="V11" s="98">
        <v>13</v>
      </c>
      <c r="W11" s="98">
        <v>6926.4</v>
      </c>
      <c r="X11" s="98">
        <v>18</v>
      </c>
      <c r="Y11" s="98">
        <v>9590.4</v>
      </c>
      <c r="Z11" s="98">
        <v>11</v>
      </c>
      <c r="AA11" s="98">
        <v>5860.7999999999993</v>
      </c>
      <c r="AB11" s="98">
        <v>11</v>
      </c>
      <c r="AC11" s="98">
        <v>5860.7999999999993</v>
      </c>
      <c r="AD11" s="98">
        <v>11</v>
      </c>
      <c r="AE11" s="98">
        <v>5860.7999999999993</v>
      </c>
      <c r="AF11" s="98">
        <v>15</v>
      </c>
      <c r="AG11" s="98">
        <v>7991.9999999999991</v>
      </c>
      <c r="AH11" s="98">
        <v>13</v>
      </c>
      <c r="AI11" s="98">
        <v>6926.4</v>
      </c>
      <c r="AJ11" s="98">
        <v>10</v>
      </c>
      <c r="AK11" s="98">
        <v>5328</v>
      </c>
      <c r="AL11" s="98">
        <v>9</v>
      </c>
      <c r="AM11" s="98">
        <v>4795.2</v>
      </c>
      <c r="AN11" s="98">
        <v>18</v>
      </c>
      <c r="AO11" s="98">
        <v>9590.4</v>
      </c>
      <c r="AP11" s="98">
        <v>13</v>
      </c>
      <c r="AQ11" s="98">
        <v>6926.4</v>
      </c>
      <c r="AR11" s="98">
        <v>15</v>
      </c>
      <c r="AS11" s="98">
        <v>7991.9999999999991</v>
      </c>
      <c r="AT11" s="98">
        <v>19</v>
      </c>
      <c r="AU11" s="98">
        <v>10123.199999999999</v>
      </c>
      <c r="AV11" s="98">
        <v>18</v>
      </c>
      <c r="AW11" s="98">
        <v>9590.4</v>
      </c>
      <c r="AX11" s="98">
        <v>15</v>
      </c>
      <c r="AY11" s="98">
        <v>7991.9999999999991</v>
      </c>
      <c r="AZ11" s="98">
        <v>11</v>
      </c>
      <c r="BA11" s="98">
        <v>5860.7999999999993</v>
      </c>
      <c r="BB11" s="98">
        <v>18</v>
      </c>
      <c r="BC11" s="98">
        <v>9590.4</v>
      </c>
      <c r="BD11" s="98">
        <v>12</v>
      </c>
      <c r="BE11" s="98">
        <v>6393.5999999999995</v>
      </c>
      <c r="BF11" s="98">
        <v>11</v>
      </c>
      <c r="BG11" s="98">
        <v>5860.7999999999993</v>
      </c>
      <c r="BH11" s="98">
        <v>16</v>
      </c>
      <c r="BI11" s="98">
        <v>8524.7999999999993</v>
      </c>
      <c r="BJ11" s="98">
        <v>20</v>
      </c>
      <c r="BK11" s="98">
        <v>10656</v>
      </c>
      <c r="BL11" s="98">
        <v>15</v>
      </c>
      <c r="BM11" s="98">
        <v>7991.9999999999991</v>
      </c>
      <c r="BN11" s="98">
        <v>18</v>
      </c>
      <c r="BO11" s="98">
        <v>9590.4</v>
      </c>
      <c r="BP11" s="98">
        <v>11</v>
      </c>
      <c r="BQ11" s="98">
        <v>5860.7999999999993</v>
      </c>
      <c r="BR11" s="98">
        <v>18</v>
      </c>
      <c r="BS11" s="98">
        <v>9590.4</v>
      </c>
      <c r="BT11" s="98">
        <v>11</v>
      </c>
      <c r="BU11" s="98">
        <v>5860.7999999999993</v>
      </c>
      <c r="BV11" s="98">
        <v>13</v>
      </c>
      <c r="BW11" s="98">
        <v>6926.4</v>
      </c>
      <c r="BX11" s="98">
        <v>17</v>
      </c>
      <c r="BY11" s="98">
        <v>9057.5999999999985</v>
      </c>
      <c r="BZ11" s="98">
        <v>11</v>
      </c>
      <c r="CA11" s="98">
        <v>5860.7999999999993</v>
      </c>
      <c r="CB11" s="98">
        <v>12</v>
      </c>
      <c r="CC11" s="98">
        <v>6393.5999999999995</v>
      </c>
      <c r="CD11" s="98">
        <v>11</v>
      </c>
      <c r="CE11" s="98">
        <v>5860.7999999999993</v>
      </c>
      <c r="CF11" s="98">
        <v>17</v>
      </c>
      <c r="CG11" s="98">
        <v>9057.5999999999985</v>
      </c>
      <c r="CH11" s="98">
        <v>19</v>
      </c>
      <c r="CI11" s="98">
        <v>10123.199999999999</v>
      </c>
      <c r="CJ11" s="98">
        <v>16</v>
      </c>
      <c r="CK11" s="98">
        <v>8524.7999999999993</v>
      </c>
      <c r="CL11" s="98">
        <v>17</v>
      </c>
      <c r="CM11" s="98">
        <v>9057.5999999999985</v>
      </c>
      <c r="CN11" s="98">
        <v>15</v>
      </c>
      <c r="CO11" s="98">
        <v>7991.9999999999991</v>
      </c>
      <c r="CP11" s="98">
        <v>21</v>
      </c>
      <c r="CQ11" s="98">
        <v>11188.8</v>
      </c>
      <c r="CR11" s="98">
        <v>11</v>
      </c>
      <c r="CS11" s="98">
        <v>5860.7999999999993</v>
      </c>
      <c r="CT11" s="98">
        <v>15</v>
      </c>
      <c r="CU11" s="98">
        <v>7991.9999999999991</v>
      </c>
    </row>
    <row r="12" spans="1:99">
      <c r="C12" s="97" t="s">
        <v>179</v>
      </c>
      <c r="D12" s="98">
        <v>11</v>
      </c>
      <c r="E12" s="98">
        <v>6190.7999999999993</v>
      </c>
      <c r="F12" s="98">
        <v>12</v>
      </c>
      <c r="G12" s="98">
        <v>6753.5999999999995</v>
      </c>
      <c r="H12" s="98">
        <v>10</v>
      </c>
      <c r="I12" s="98">
        <v>5628</v>
      </c>
      <c r="J12" s="98">
        <v>13</v>
      </c>
      <c r="K12" s="98">
        <v>7316.4</v>
      </c>
      <c r="L12" s="98">
        <v>10</v>
      </c>
      <c r="M12" s="98">
        <v>5628</v>
      </c>
      <c r="N12" s="98">
        <v>13</v>
      </c>
      <c r="O12" s="98">
        <v>7316.4</v>
      </c>
      <c r="P12" s="98">
        <v>10</v>
      </c>
      <c r="Q12" s="98">
        <v>5628</v>
      </c>
      <c r="R12" s="98">
        <v>16</v>
      </c>
      <c r="S12" s="98">
        <v>9004.7999999999993</v>
      </c>
      <c r="T12" s="98">
        <v>10</v>
      </c>
      <c r="U12" s="98">
        <v>5628</v>
      </c>
      <c r="V12" s="98">
        <v>14</v>
      </c>
      <c r="W12" s="98">
        <v>7879.1999999999989</v>
      </c>
      <c r="X12" s="98">
        <v>17</v>
      </c>
      <c r="Y12" s="98">
        <v>9567.5999999999985</v>
      </c>
      <c r="Z12" s="98">
        <v>12</v>
      </c>
      <c r="AA12" s="98">
        <v>6753.5999999999995</v>
      </c>
      <c r="AB12" s="98">
        <v>11</v>
      </c>
      <c r="AC12" s="98">
        <v>6190.7999999999993</v>
      </c>
      <c r="AD12" s="98">
        <v>11</v>
      </c>
      <c r="AE12" s="98">
        <v>6190.7999999999993</v>
      </c>
      <c r="AF12" s="98">
        <v>16</v>
      </c>
      <c r="AG12" s="98">
        <v>9004.7999999999993</v>
      </c>
      <c r="AH12" s="98">
        <v>15</v>
      </c>
      <c r="AI12" s="98">
        <v>8442</v>
      </c>
      <c r="AJ12" s="98">
        <v>11</v>
      </c>
      <c r="AK12" s="98">
        <v>6190.7999999999993</v>
      </c>
      <c r="AL12" s="98">
        <v>10</v>
      </c>
      <c r="AM12" s="98">
        <v>5628</v>
      </c>
      <c r="AN12" s="98">
        <v>15</v>
      </c>
      <c r="AO12" s="98">
        <v>8442</v>
      </c>
      <c r="AP12" s="98">
        <v>13</v>
      </c>
      <c r="AQ12" s="98">
        <v>7316.4</v>
      </c>
      <c r="AR12" s="98">
        <v>13</v>
      </c>
      <c r="AS12" s="98">
        <v>7316.4</v>
      </c>
      <c r="AT12" s="98">
        <v>19</v>
      </c>
      <c r="AU12" s="98">
        <v>10693.199999999999</v>
      </c>
      <c r="AV12" s="98">
        <v>18</v>
      </c>
      <c r="AW12" s="98">
        <v>10130.4</v>
      </c>
      <c r="AX12" s="98">
        <v>15</v>
      </c>
      <c r="AY12" s="98">
        <v>8442</v>
      </c>
      <c r="AZ12" s="98">
        <v>13</v>
      </c>
      <c r="BA12" s="98">
        <v>7316.4</v>
      </c>
      <c r="BB12" s="98">
        <v>17</v>
      </c>
      <c r="BC12" s="98">
        <v>9567.5999999999985</v>
      </c>
      <c r="BD12" s="98">
        <v>13</v>
      </c>
      <c r="BE12" s="98">
        <v>7316.4</v>
      </c>
      <c r="BF12" s="98">
        <v>12</v>
      </c>
      <c r="BG12" s="98">
        <v>6753.5999999999995</v>
      </c>
      <c r="BH12" s="98">
        <v>15</v>
      </c>
      <c r="BI12" s="98">
        <v>8442</v>
      </c>
      <c r="BJ12" s="98">
        <v>19</v>
      </c>
      <c r="BK12" s="98">
        <v>10693.199999999999</v>
      </c>
      <c r="BL12" s="98">
        <v>15</v>
      </c>
      <c r="BM12" s="98">
        <v>8442</v>
      </c>
      <c r="BN12" s="98">
        <v>19</v>
      </c>
      <c r="BO12" s="98">
        <v>10693.199999999999</v>
      </c>
      <c r="BP12" s="98">
        <v>11</v>
      </c>
      <c r="BQ12" s="98">
        <v>6190.7999999999993</v>
      </c>
      <c r="BR12" s="98">
        <v>16</v>
      </c>
      <c r="BS12" s="98">
        <v>9004.7999999999993</v>
      </c>
      <c r="BT12" s="98">
        <v>11</v>
      </c>
      <c r="BU12" s="98">
        <v>6190.7999999999993</v>
      </c>
      <c r="BV12" s="98">
        <v>15</v>
      </c>
      <c r="BW12" s="98">
        <v>8442</v>
      </c>
      <c r="BX12" s="98">
        <v>17</v>
      </c>
      <c r="BY12" s="98">
        <v>9567.5999999999985</v>
      </c>
      <c r="BZ12" s="98">
        <v>12</v>
      </c>
      <c r="CA12" s="98">
        <v>6753.5999999999995</v>
      </c>
      <c r="CB12" s="98">
        <v>12</v>
      </c>
      <c r="CC12" s="98">
        <v>6753.5999999999995</v>
      </c>
      <c r="CD12" s="98">
        <v>12</v>
      </c>
      <c r="CE12" s="98">
        <v>6753.5999999999995</v>
      </c>
      <c r="CF12" s="98">
        <v>18</v>
      </c>
      <c r="CG12" s="98">
        <v>10130.4</v>
      </c>
      <c r="CH12" s="98">
        <v>18</v>
      </c>
      <c r="CI12" s="98">
        <v>10130.4</v>
      </c>
      <c r="CJ12" s="98">
        <v>17</v>
      </c>
      <c r="CK12" s="98">
        <v>9567.5999999999985</v>
      </c>
      <c r="CL12" s="98">
        <v>17</v>
      </c>
      <c r="CM12" s="98">
        <v>9567.5999999999985</v>
      </c>
      <c r="CN12" s="98">
        <v>16</v>
      </c>
      <c r="CO12" s="98">
        <v>9004.7999999999993</v>
      </c>
      <c r="CP12" s="98">
        <v>21</v>
      </c>
      <c r="CQ12" s="98">
        <v>11818.8</v>
      </c>
      <c r="CR12" s="98">
        <v>11</v>
      </c>
      <c r="CS12" s="98">
        <v>6190.7999999999993</v>
      </c>
      <c r="CT12" s="98">
        <v>16</v>
      </c>
      <c r="CU12" s="98">
        <v>9004.7999999999993</v>
      </c>
    </row>
    <row r="13" spans="1:99">
      <c r="C13" s="97" t="s">
        <v>180</v>
      </c>
      <c r="D13" s="98">
        <v>12</v>
      </c>
      <c r="E13" s="98">
        <v>1022.4000000000001</v>
      </c>
      <c r="F13" s="98">
        <v>13</v>
      </c>
      <c r="G13" s="98">
        <v>1107.6000000000001</v>
      </c>
      <c r="H13" s="98">
        <v>10</v>
      </c>
      <c r="I13" s="98">
        <v>852</v>
      </c>
      <c r="J13" s="98">
        <v>14</v>
      </c>
      <c r="K13" s="98">
        <v>1192.8</v>
      </c>
      <c r="L13" s="98">
        <v>10</v>
      </c>
      <c r="M13" s="98">
        <v>852</v>
      </c>
      <c r="N13" s="98">
        <v>14</v>
      </c>
      <c r="O13" s="98">
        <v>1192.8</v>
      </c>
      <c r="P13" s="98">
        <v>12</v>
      </c>
      <c r="Q13" s="98">
        <v>1022.4000000000001</v>
      </c>
      <c r="R13" s="98">
        <v>18</v>
      </c>
      <c r="S13" s="98">
        <v>1533.6000000000001</v>
      </c>
      <c r="T13" s="98">
        <v>11</v>
      </c>
      <c r="U13" s="98">
        <v>937.2</v>
      </c>
      <c r="V13" s="98">
        <v>13</v>
      </c>
      <c r="W13" s="98">
        <v>1107.6000000000001</v>
      </c>
      <c r="X13" s="98">
        <v>18</v>
      </c>
      <c r="Y13" s="98">
        <v>1533.6000000000001</v>
      </c>
      <c r="Z13" s="98">
        <v>12</v>
      </c>
      <c r="AA13" s="98">
        <v>1022.4000000000001</v>
      </c>
      <c r="AB13" s="98">
        <v>12</v>
      </c>
      <c r="AC13" s="98">
        <v>1022.4000000000001</v>
      </c>
      <c r="AD13" s="98">
        <v>13</v>
      </c>
      <c r="AE13" s="98">
        <v>1107.6000000000001</v>
      </c>
      <c r="AF13" s="98">
        <v>16</v>
      </c>
      <c r="AG13" s="98">
        <v>1363.2</v>
      </c>
      <c r="AH13" s="98">
        <v>14</v>
      </c>
      <c r="AI13" s="98">
        <v>1192.8</v>
      </c>
      <c r="AJ13" s="98">
        <v>11</v>
      </c>
      <c r="AK13" s="98">
        <v>937.2</v>
      </c>
      <c r="AL13" s="98">
        <v>10</v>
      </c>
      <c r="AM13" s="98">
        <v>852</v>
      </c>
      <c r="AN13" s="98">
        <v>16</v>
      </c>
      <c r="AO13" s="98">
        <v>1363.2</v>
      </c>
      <c r="AP13" s="98">
        <v>15</v>
      </c>
      <c r="AQ13" s="98">
        <v>1278</v>
      </c>
      <c r="AR13" s="98">
        <v>17</v>
      </c>
      <c r="AS13" s="98">
        <v>1448.4</v>
      </c>
      <c r="AT13" s="98">
        <v>21</v>
      </c>
      <c r="AU13" s="98">
        <v>1789.2</v>
      </c>
      <c r="AV13" s="98">
        <v>20</v>
      </c>
      <c r="AW13" s="98">
        <v>1704</v>
      </c>
      <c r="AX13" s="98">
        <v>14</v>
      </c>
      <c r="AY13" s="98">
        <v>1192.8</v>
      </c>
      <c r="AZ13" s="98">
        <v>12</v>
      </c>
      <c r="BA13" s="98">
        <v>1022.4000000000001</v>
      </c>
      <c r="BB13" s="98">
        <v>16</v>
      </c>
      <c r="BC13" s="98">
        <v>1363.2</v>
      </c>
      <c r="BD13" s="98">
        <v>12</v>
      </c>
      <c r="BE13" s="98">
        <v>1022.4000000000001</v>
      </c>
      <c r="BF13" s="98">
        <v>13</v>
      </c>
      <c r="BG13" s="98">
        <v>1107.6000000000001</v>
      </c>
      <c r="BH13" s="98">
        <v>18</v>
      </c>
      <c r="BI13" s="98">
        <v>1533.6000000000001</v>
      </c>
      <c r="BJ13" s="98">
        <v>23</v>
      </c>
      <c r="BK13" s="98">
        <v>1959.6000000000001</v>
      </c>
      <c r="BL13" s="98">
        <v>14</v>
      </c>
      <c r="BM13" s="98">
        <v>1192.8</v>
      </c>
      <c r="BN13" s="98">
        <v>20</v>
      </c>
      <c r="BO13" s="98">
        <v>1704</v>
      </c>
      <c r="BP13" s="98">
        <v>12</v>
      </c>
      <c r="BQ13" s="98">
        <v>1022.4000000000001</v>
      </c>
      <c r="BR13" s="98">
        <v>18</v>
      </c>
      <c r="BS13" s="98">
        <v>1533.6000000000001</v>
      </c>
      <c r="BT13" s="98">
        <v>12</v>
      </c>
      <c r="BU13" s="98">
        <v>1022.4000000000001</v>
      </c>
      <c r="BV13" s="98">
        <v>14</v>
      </c>
      <c r="BW13" s="98">
        <v>1192.8</v>
      </c>
      <c r="BX13" s="98">
        <v>17</v>
      </c>
      <c r="BY13" s="98">
        <v>1448.4</v>
      </c>
      <c r="BZ13" s="98">
        <v>13</v>
      </c>
      <c r="CA13" s="98">
        <v>1107.6000000000001</v>
      </c>
      <c r="CB13" s="98">
        <v>12</v>
      </c>
      <c r="CC13" s="98">
        <v>1022.4000000000001</v>
      </c>
      <c r="CD13" s="98">
        <v>13</v>
      </c>
      <c r="CE13" s="98">
        <v>1107.6000000000001</v>
      </c>
      <c r="CF13" s="98">
        <v>18</v>
      </c>
      <c r="CG13" s="98">
        <v>1533.6000000000001</v>
      </c>
      <c r="CH13" s="98">
        <v>20</v>
      </c>
      <c r="CI13" s="98">
        <v>1704</v>
      </c>
      <c r="CJ13" s="98">
        <v>18</v>
      </c>
      <c r="CK13" s="98">
        <v>1533.6000000000001</v>
      </c>
      <c r="CL13" s="98">
        <v>18</v>
      </c>
      <c r="CM13" s="98">
        <v>1533.6000000000001</v>
      </c>
      <c r="CN13" s="98">
        <v>19</v>
      </c>
      <c r="CO13" s="98">
        <v>1618.8</v>
      </c>
      <c r="CP13" s="98">
        <v>25</v>
      </c>
      <c r="CQ13" s="98">
        <v>2130</v>
      </c>
      <c r="CR13" s="98">
        <v>13</v>
      </c>
      <c r="CS13" s="98">
        <v>1107.6000000000001</v>
      </c>
      <c r="CT13" s="98">
        <v>18</v>
      </c>
      <c r="CU13" s="98">
        <v>1533.6000000000001</v>
      </c>
    </row>
    <row r="14" spans="1:99">
      <c r="C14" s="97" t="s">
        <v>181</v>
      </c>
      <c r="D14" s="98">
        <v>10</v>
      </c>
      <c r="E14" s="98">
        <v>4884</v>
      </c>
      <c r="F14" s="98">
        <v>11</v>
      </c>
      <c r="G14" s="98">
        <v>5372.4</v>
      </c>
      <c r="H14" s="98">
        <v>11</v>
      </c>
      <c r="I14" s="98">
        <v>5372.4</v>
      </c>
      <c r="J14" s="98">
        <v>13</v>
      </c>
      <c r="K14" s="98">
        <v>6349.2</v>
      </c>
      <c r="L14" s="98">
        <v>11</v>
      </c>
      <c r="M14" s="98">
        <v>5372.4</v>
      </c>
      <c r="N14" s="98">
        <v>13</v>
      </c>
      <c r="O14" s="98">
        <v>6349.2</v>
      </c>
      <c r="P14" s="98">
        <v>11</v>
      </c>
      <c r="Q14" s="98">
        <v>5372.4</v>
      </c>
      <c r="R14" s="98">
        <v>19</v>
      </c>
      <c r="S14" s="98">
        <v>9279.6</v>
      </c>
      <c r="T14" s="98">
        <v>11</v>
      </c>
      <c r="U14" s="98">
        <v>5372.4</v>
      </c>
      <c r="V14" s="98">
        <v>14</v>
      </c>
      <c r="W14" s="98">
        <v>6837.5999999999995</v>
      </c>
      <c r="X14" s="98">
        <v>16</v>
      </c>
      <c r="Y14" s="98">
        <v>7814.4</v>
      </c>
      <c r="Z14" s="98">
        <v>10</v>
      </c>
      <c r="AA14" s="98">
        <v>4884</v>
      </c>
      <c r="AB14" s="98">
        <v>12</v>
      </c>
      <c r="AC14" s="98">
        <v>5860.7999999999993</v>
      </c>
      <c r="AD14" s="98">
        <v>12</v>
      </c>
      <c r="AE14" s="98">
        <v>5860.7999999999993</v>
      </c>
      <c r="AF14" s="98">
        <v>18</v>
      </c>
      <c r="AG14" s="98">
        <v>8791.1999999999989</v>
      </c>
      <c r="AH14" s="98">
        <v>13</v>
      </c>
      <c r="AI14" s="98">
        <v>6349.2</v>
      </c>
      <c r="AJ14" s="98">
        <v>9</v>
      </c>
      <c r="AK14" s="98">
        <v>4395.5999999999995</v>
      </c>
      <c r="AL14" s="98">
        <v>11</v>
      </c>
      <c r="AM14" s="98">
        <v>5372.4</v>
      </c>
      <c r="AN14" s="98">
        <v>18</v>
      </c>
      <c r="AO14" s="98">
        <v>8791.1999999999989</v>
      </c>
      <c r="AP14" s="98">
        <v>14</v>
      </c>
      <c r="AQ14" s="98">
        <v>6837.5999999999995</v>
      </c>
      <c r="AR14" s="98">
        <v>16</v>
      </c>
      <c r="AS14" s="98">
        <v>7814.4</v>
      </c>
      <c r="AT14" s="98">
        <v>21</v>
      </c>
      <c r="AU14" s="98">
        <v>10256.4</v>
      </c>
      <c r="AV14" s="98">
        <v>19</v>
      </c>
      <c r="AW14" s="98">
        <v>9279.6</v>
      </c>
      <c r="AX14" s="98">
        <v>15</v>
      </c>
      <c r="AY14" s="98">
        <v>7326</v>
      </c>
      <c r="AZ14" s="98">
        <v>13</v>
      </c>
      <c r="BA14" s="98">
        <v>6349.2</v>
      </c>
      <c r="BB14" s="98">
        <v>16</v>
      </c>
      <c r="BC14" s="98">
        <v>7814.4</v>
      </c>
      <c r="BD14" s="98">
        <v>12</v>
      </c>
      <c r="BE14" s="98">
        <v>5860.7999999999993</v>
      </c>
      <c r="BF14" s="98">
        <v>13</v>
      </c>
      <c r="BG14" s="98">
        <v>6349.2</v>
      </c>
      <c r="BH14" s="98">
        <v>16</v>
      </c>
      <c r="BI14" s="98">
        <v>7814.4</v>
      </c>
      <c r="BJ14" s="98">
        <v>21</v>
      </c>
      <c r="BK14" s="98">
        <v>10256.4</v>
      </c>
      <c r="BL14" s="98">
        <v>13</v>
      </c>
      <c r="BM14" s="98">
        <v>6349.2</v>
      </c>
      <c r="BN14" s="98">
        <v>19</v>
      </c>
      <c r="BO14" s="98">
        <v>9279.6</v>
      </c>
      <c r="BP14" s="98">
        <v>12</v>
      </c>
      <c r="BQ14" s="98">
        <v>5860.7999999999993</v>
      </c>
      <c r="BR14" s="98">
        <v>17</v>
      </c>
      <c r="BS14" s="98">
        <v>8302.7999999999993</v>
      </c>
      <c r="BT14" s="98">
        <v>12</v>
      </c>
      <c r="BU14" s="98">
        <v>5860.7999999999993</v>
      </c>
      <c r="BV14" s="98">
        <v>14</v>
      </c>
      <c r="BW14" s="98">
        <v>6837.5999999999995</v>
      </c>
      <c r="BX14" s="98">
        <v>17</v>
      </c>
      <c r="BY14" s="98">
        <v>8302.7999999999993</v>
      </c>
      <c r="BZ14" s="98">
        <v>13</v>
      </c>
      <c r="CA14" s="98">
        <v>6349.2</v>
      </c>
      <c r="CB14" s="98">
        <v>12</v>
      </c>
      <c r="CC14" s="98">
        <v>5860.7999999999993</v>
      </c>
      <c r="CD14" s="98">
        <v>12</v>
      </c>
      <c r="CE14" s="98">
        <v>5860.7999999999993</v>
      </c>
      <c r="CF14" s="98">
        <v>20</v>
      </c>
      <c r="CG14" s="98">
        <v>9768</v>
      </c>
      <c r="CH14" s="98">
        <v>17</v>
      </c>
      <c r="CI14" s="98">
        <v>8302.7999999999993</v>
      </c>
      <c r="CJ14" s="98">
        <v>16</v>
      </c>
      <c r="CK14" s="98">
        <v>7814.4</v>
      </c>
      <c r="CL14" s="98">
        <v>17</v>
      </c>
      <c r="CM14" s="98">
        <v>8302.7999999999993</v>
      </c>
      <c r="CN14" s="98">
        <v>16</v>
      </c>
      <c r="CO14" s="98">
        <v>7814.4</v>
      </c>
      <c r="CP14" s="98">
        <v>22</v>
      </c>
      <c r="CQ14" s="98">
        <v>10744.8</v>
      </c>
      <c r="CR14" s="98">
        <v>11</v>
      </c>
      <c r="CS14" s="98">
        <v>5372.4</v>
      </c>
      <c r="CT14" s="98">
        <v>15</v>
      </c>
      <c r="CU14" s="98">
        <v>7326</v>
      </c>
    </row>
    <row r="15" spans="1:99">
      <c r="C15" s="97" t="s">
        <v>182</v>
      </c>
      <c r="D15" s="98">
        <v>11</v>
      </c>
      <c r="E15" s="98">
        <v>8395.1999999999989</v>
      </c>
      <c r="F15" s="98">
        <v>10</v>
      </c>
      <c r="G15" s="98">
        <v>7631.9999999999991</v>
      </c>
      <c r="H15" s="98">
        <v>10</v>
      </c>
      <c r="I15" s="98">
        <v>7631.9999999999991</v>
      </c>
      <c r="J15" s="98">
        <v>14</v>
      </c>
      <c r="K15" s="98">
        <v>10684.8</v>
      </c>
      <c r="L15" s="98">
        <v>11</v>
      </c>
      <c r="M15" s="98">
        <v>8395.1999999999989</v>
      </c>
      <c r="N15" s="98">
        <v>13</v>
      </c>
      <c r="O15" s="98">
        <v>9921.5999999999985</v>
      </c>
      <c r="P15" s="98">
        <v>10</v>
      </c>
      <c r="Q15" s="98">
        <v>7631.9999999999991</v>
      </c>
      <c r="R15" s="98">
        <v>16</v>
      </c>
      <c r="S15" s="98">
        <v>12211.199999999999</v>
      </c>
      <c r="T15" s="98">
        <v>10</v>
      </c>
      <c r="U15" s="98">
        <v>7631.9999999999991</v>
      </c>
      <c r="V15" s="98">
        <v>13</v>
      </c>
      <c r="W15" s="98">
        <v>9921.5999999999985</v>
      </c>
      <c r="X15" s="98">
        <v>17</v>
      </c>
      <c r="Y15" s="98">
        <v>12974.4</v>
      </c>
      <c r="Z15" s="98">
        <v>12</v>
      </c>
      <c r="AA15" s="98">
        <v>9158.4</v>
      </c>
      <c r="AB15" s="98">
        <v>12</v>
      </c>
      <c r="AC15" s="98">
        <v>9158.4</v>
      </c>
      <c r="AD15" s="98">
        <v>11</v>
      </c>
      <c r="AE15" s="98">
        <v>8395.1999999999989</v>
      </c>
      <c r="AF15" s="98">
        <v>15</v>
      </c>
      <c r="AG15" s="98">
        <v>11447.999999999998</v>
      </c>
      <c r="AH15" s="98">
        <v>15</v>
      </c>
      <c r="AI15" s="98">
        <v>11447.999999999998</v>
      </c>
      <c r="AJ15" s="98">
        <v>9</v>
      </c>
      <c r="AK15" s="98">
        <v>6868.7999999999993</v>
      </c>
      <c r="AL15" s="98">
        <v>10</v>
      </c>
      <c r="AM15" s="98">
        <v>7631.9999999999991</v>
      </c>
      <c r="AN15" s="98">
        <v>15</v>
      </c>
      <c r="AO15" s="98">
        <v>11447.999999999998</v>
      </c>
      <c r="AP15" s="98">
        <v>13</v>
      </c>
      <c r="AQ15" s="98">
        <v>9921.5999999999985</v>
      </c>
      <c r="AR15" s="98">
        <v>14</v>
      </c>
      <c r="AS15" s="98">
        <v>10684.8</v>
      </c>
      <c r="AT15" s="98">
        <v>18</v>
      </c>
      <c r="AU15" s="98">
        <v>13737.599999999999</v>
      </c>
      <c r="AV15" s="98">
        <v>15</v>
      </c>
      <c r="AW15" s="98">
        <v>11447.999999999998</v>
      </c>
      <c r="AX15" s="98">
        <v>16</v>
      </c>
      <c r="AY15" s="98">
        <v>12211.199999999999</v>
      </c>
      <c r="AZ15" s="98">
        <v>11</v>
      </c>
      <c r="BA15" s="98">
        <v>8395.1999999999989</v>
      </c>
      <c r="BB15" s="98">
        <v>17</v>
      </c>
      <c r="BC15" s="98">
        <v>12974.4</v>
      </c>
      <c r="BD15" s="98">
        <v>12</v>
      </c>
      <c r="BE15" s="98">
        <v>9158.4</v>
      </c>
      <c r="BF15" s="98">
        <v>11</v>
      </c>
      <c r="BG15" s="98">
        <v>8395.1999999999989</v>
      </c>
      <c r="BH15" s="98">
        <v>17</v>
      </c>
      <c r="BI15" s="98">
        <v>12974.4</v>
      </c>
      <c r="BJ15" s="98">
        <v>22</v>
      </c>
      <c r="BK15" s="98">
        <v>16790.399999999998</v>
      </c>
      <c r="BL15" s="98">
        <v>15</v>
      </c>
      <c r="BM15" s="98">
        <v>11447.999999999998</v>
      </c>
      <c r="BN15" s="98">
        <v>17</v>
      </c>
      <c r="BO15" s="98">
        <v>12974.4</v>
      </c>
      <c r="BP15" s="98">
        <v>11</v>
      </c>
      <c r="BQ15" s="98">
        <v>8395.1999999999989</v>
      </c>
      <c r="BR15" s="98">
        <v>17</v>
      </c>
      <c r="BS15" s="98">
        <v>12974.4</v>
      </c>
      <c r="BT15" s="98">
        <v>11</v>
      </c>
      <c r="BU15" s="98">
        <v>8395.1999999999989</v>
      </c>
      <c r="BV15" s="98">
        <v>13</v>
      </c>
      <c r="BW15" s="98">
        <v>9921.5999999999985</v>
      </c>
      <c r="BX15" s="98">
        <v>16</v>
      </c>
      <c r="BY15" s="98">
        <v>12211.199999999999</v>
      </c>
      <c r="BZ15" s="98">
        <v>12</v>
      </c>
      <c r="CA15" s="98">
        <v>9158.4</v>
      </c>
      <c r="CB15" s="98">
        <v>11</v>
      </c>
      <c r="CC15" s="98">
        <v>8395.1999999999989</v>
      </c>
      <c r="CD15" s="98">
        <v>11</v>
      </c>
      <c r="CE15" s="98">
        <v>8395.1999999999989</v>
      </c>
      <c r="CF15" s="98">
        <v>19</v>
      </c>
      <c r="CG15" s="98">
        <v>14500.8</v>
      </c>
      <c r="CH15" s="98">
        <v>17</v>
      </c>
      <c r="CI15" s="98">
        <v>12974.4</v>
      </c>
      <c r="CJ15" s="98">
        <v>17</v>
      </c>
      <c r="CK15" s="98">
        <v>12974.4</v>
      </c>
      <c r="CL15" s="98">
        <v>17</v>
      </c>
      <c r="CM15" s="98">
        <v>12974.4</v>
      </c>
      <c r="CN15" s="98">
        <v>15</v>
      </c>
      <c r="CO15" s="98">
        <v>11447.999999999998</v>
      </c>
      <c r="CP15" s="98">
        <v>20</v>
      </c>
      <c r="CQ15" s="98">
        <v>15263.999999999998</v>
      </c>
      <c r="CR15" s="98">
        <v>10</v>
      </c>
      <c r="CS15" s="98">
        <v>7631.9999999999991</v>
      </c>
      <c r="CT15" s="98">
        <v>17</v>
      </c>
      <c r="CU15" s="98">
        <v>12974.4</v>
      </c>
    </row>
    <row r="16" spans="1:99">
      <c r="C16" s="97" t="s">
        <v>183</v>
      </c>
      <c r="D16" s="98">
        <v>11</v>
      </c>
      <c r="E16" s="98">
        <v>3748.8</v>
      </c>
      <c r="F16" s="98">
        <v>12</v>
      </c>
      <c r="G16" s="98">
        <v>4089.6000000000004</v>
      </c>
      <c r="H16" s="98">
        <v>10</v>
      </c>
      <c r="I16" s="98">
        <v>3408</v>
      </c>
      <c r="J16" s="98">
        <v>15</v>
      </c>
      <c r="K16" s="98">
        <v>5112</v>
      </c>
      <c r="L16" s="98">
        <v>10</v>
      </c>
      <c r="M16" s="98">
        <v>3408</v>
      </c>
      <c r="N16" s="98">
        <v>15</v>
      </c>
      <c r="O16" s="98">
        <v>5112</v>
      </c>
      <c r="P16" s="98">
        <v>11</v>
      </c>
      <c r="Q16" s="98">
        <v>3748.8</v>
      </c>
      <c r="R16" s="98">
        <v>17</v>
      </c>
      <c r="S16" s="98">
        <v>5793.6</v>
      </c>
      <c r="T16" s="98">
        <v>10</v>
      </c>
      <c r="U16" s="98">
        <v>3408</v>
      </c>
      <c r="V16" s="98">
        <v>14</v>
      </c>
      <c r="W16" s="98">
        <v>4771.2</v>
      </c>
      <c r="X16" s="98">
        <v>16</v>
      </c>
      <c r="Y16" s="98">
        <v>5452.8</v>
      </c>
      <c r="Z16" s="98">
        <v>12</v>
      </c>
      <c r="AA16" s="98">
        <v>4089.6000000000004</v>
      </c>
      <c r="AB16" s="98">
        <v>11</v>
      </c>
      <c r="AC16" s="98">
        <v>3748.8</v>
      </c>
      <c r="AD16" s="98">
        <v>13</v>
      </c>
      <c r="AE16" s="98">
        <v>4430.4000000000005</v>
      </c>
      <c r="AF16" s="98">
        <v>18</v>
      </c>
      <c r="AG16" s="98">
        <v>6134.4000000000005</v>
      </c>
      <c r="AH16" s="98">
        <v>13</v>
      </c>
      <c r="AI16" s="98">
        <v>4430.4000000000005</v>
      </c>
      <c r="AJ16" s="98">
        <v>10</v>
      </c>
      <c r="AK16" s="98">
        <v>3408</v>
      </c>
      <c r="AL16" s="98">
        <v>9</v>
      </c>
      <c r="AM16" s="98">
        <v>3067.2000000000003</v>
      </c>
      <c r="AN16" s="98">
        <v>17</v>
      </c>
      <c r="AO16" s="98">
        <v>5793.6</v>
      </c>
      <c r="AP16" s="98">
        <v>14</v>
      </c>
      <c r="AQ16" s="98">
        <v>4771.2</v>
      </c>
      <c r="AR16" s="98">
        <v>15</v>
      </c>
      <c r="AS16" s="98">
        <v>5112</v>
      </c>
      <c r="AT16" s="98">
        <v>20</v>
      </c>
      <c r="AU16" s="98">
        <v>6816</v>
      </c>
      <c r="AV16" s="98">
        <v>19</v>
      </c>
      <c r="AW16" s="98">
        <v>6475.2</v>
      </c>
      <c r="AX16" s="98">
        <v>16</v>
      </c>
      <c r="AY16" s="98">
        <v>5452.8</v>
      </c>
      <c r="AZ16" s="98">
        <v>11</v>
      </c>
      <c r="BA16" s="98">
        <v>3748.8</v>
      </c>
      <c r="BB16" s="98">
        <v>16</v>
      </c>
      <c r="BC16" s="98">
        <v>5452.8</v>
      </c>
      <c r="BD16" s="98">
        <v>13</v>
      </c>
      <c r="BE16" s="98">
        <v>4430.4000000000005</v>
      </c>
      <c r="BF16" s="98">
        <v>13</v>
      </c>
      <c r="BG16" s="98">
        <v>4430.4000000000005</v>
      </c>
      <c r="BH16" s="98">
        <v>17</v>
      </c>
      <c r="BI16" s="98">
        <v>5793.6</v>
      </c>
      <c r="BJ16" s="98">
        <v>20</v>
      </c>
      <c r="BK16" s="98">
        <v>6816</v>
      </c>
      <c r="BL16" s="98">
        <v>14</v>
      </c>
      <c r="BM16" s="98">
        <v>4771.2</v>
      </c>
      <c r="BN16" s="98">
        <v>17</v>
      </c>
      <c r="BO16" s="98">
        <v>5793.6</v>
      </c>
      <c r="BP16" s="98">
        <v>12</v>
      </c>
      <c r="BQ16" s="98">
        <v>4089.6000000000004</v>
      </c>
      <c r="BR16" s="98">
        <v>18</v>
      </c>
      <c r="BS16" s="98">
        <v>6134.4000000000005</v>
      </c>
      <c r="BT16" s="98">
        <v>11</v>
      </c>
      <c r="BU16" s="98">
        <v>3748.8</v>
      </c>
      <c r="BV16" s="98">
        <v>14</v>
      </c>
      <c r="BW16" s="98">
        <v>4771.2</v>
      </c>
      <c r="BX16" s="98">
        <v>19</v>
      </c>
      <c r="BY16" s="98">
        <v>6475.2</v>
      </c>
      <c r="BZ16" s="98">
        <v>11</v>
      </c>
      <c r="CA16" s="98">
        <v>3748.8</v>
      </c>
      <c r="CB16" s="98">
        <v>12</v>
      </c>
      <c r="CC16" s="98">
        <v>4089.6000000000004</v>
      </c>
      <c r="CD16" s="98">
        <v>12</v>
      </c>
      <c r="CE16" s="98">
        <v>4089.6000000000004</v>
      </c>
      <c r="CF16" s="98">
        <v>17</v>
      </c>
      <c r="CG16" s="98">
        <v>5793.6</v>
      </c>
      <c r="CH16" s="98">
        <v>16</v>
      </c>
      <c r="CI16" s="98">
        <v>5452.8</v>
      </c>
      <c r="CJ16" s="98">
        <v>17</v>
      </c>
      <c r="CK16" s="98">
        <v>5793.6</v>
      </c>
      <c r="CL16" s="98">
        <v>16</v>
      </c>
      <c r="CM16" s="98">
        <v>5452.8</v>
      </c>
      <c r="CN16" s="98">
        <v>16</v>
      </c>
      <c r="CO16" s="98">
        <v>5452.8</v>
      </c>
      <c r="CP16" s="98">
        <v>23</v>
      </c>
      <c r="CQ16" s="98">
        <v>7838.4000000000005</v>
      </c>
      <c r="CR16" s="98">
        <v>11</v>
      </c>
      <c r="CS16" s="98">
        <v>3748.8</v>
      </c>
      <c r="CT16" s="98">
        <v>15</v>
      </c>
      <c r="CU16" s="98">
        <v>5112</v>
      </c>
    </row>
    <row r="17" spans="2:99">
      <c r="C17" s="97" t="s">
        <v>184</v>
      </c>
      <c r="D17" s="98">
        <v>12</v>
      </c>
      <c r="E17" s="98">
        <v>5068.7999999999993</v>
      </c>
      <c r="F17" s="98">
        <v>11</v>
      </c>
      <c r="G17" s="98">
        <v>4646.3999999999996</v>
      </c>
      <c r="H17" s="98">
        <v>10</v>
      </c>
      <c r="I17" s="98">
        <v>4224</v>
      </c>
      <c r="J17" s="98">
        <v>16</v>
      </c>
      <c r="K17" s="98">
        <v>6758.4</v>
      </c>
      <c r="L17" s="98">
        <v>12</v>
      </c>
      <c r="M17" s="98">
        <v>5068.7999999999993</v>
      </c>
      <c r="N17" s="98">
        <v>13</v>
      </c>
      <c r="O17" s="98">
        <v>5491.2</v>
      </c>
      <c r="P17" s="98">
        <v>10</v>
      </c>
      <c r="Q17" s="98">
        <v>4224</v>
      </c>
      <c r="R17" s="98">
        <v>17</v>
      </c>
      <c r="S17" s="98">
        <v>7180.7999999999993</v>
      </c>
      <c r="T17" s="98">
        <v>10</v>
      </c>
      <c r="U17" s="98">
        <v>4224</v>
      </c>
      <c r="V17" s="98">
        <v>14</v>
      </c>
      <c r="W17" s="98">
        <v>5913.5999999999995</v>
      </c>
      <c r="X17" s="98">
        <v>19</v>
      </c>
      <c r="Y17" s="98">
        <v>8025.5999999999995</v>
      </c>
      <c r="Z17" s="98">
        <v>12</v>
      </c>
      <c r="AA17" s="98">
        <v>5068.7999999999993</v>
      </c>
      <c r="AB17" s="98">
        <v>11</v>
      </c>
      <c r="AC17" s="98">
        <v>4646.3999999999996</v>
      </c>
      <c r="AD17" s="98">
        <v>12</v>
      </c>
      <c r="AE17" s="98">
        <v>5068.7999999999993</v>
      </c>
      <c r="AF17" s="98">
        <v>18</v>
      </c>
      <c r="AG17" s="98">
        <v>7603.2</v>
      </c>
      <c r="AH17" s="98">
        <v>15</v>
      </c>
      <c r="AI17" s="98">
        <v>6336</v>
      </c>
      <c r="AJ17" s="98">
        <v>10</v>
      </c>
      <c r="AK17" s="98">
        <v>4224</v>
      </c>
      <c r="AL17" s="98">
        <v>10</v>
      </c>
      <c r="AM17" s="98">
        <v>4224</v>
      </c>
      <c r="AN17" s="98">
        <v>18</v>
      </c>
      <c r="AO17" s="98">
        <v>7603.2</v>
      </c>
      <c r="AP17" s="98">
        <v>12</v>
      </c>
      <c r="AQ17" s="98">
        <v>5068.7999999999993</v>
      </c>
      <c r="AR17" s="98">
        <v>15</v>
      </c>
      <c r="AS17" s="98">
        <v>6336</v>
      </c>
      <c r="AT17" s="98">
        <v>18</v>
      </c>
      <c r="AU17" s="98">
        <v>7603.2</v>
      </c>
      <c r="AV17" s="98">
        <v>16</v>
      </c>
      <c r="AW17" s="98">
        <v>6758.4</v>
      </c>
      <c r="AX17" s="98">
        <v>14</v>
      </c>
      <c r="AY17" s="98">
        <v>5913.5999999999995</v>
      </c>
      <c r="AZ17" s="98">
        <v>12</v>
      </c>
      <c r="BA17" s="98">
        <v>5068.7999999999993</v>
      </c>
      <c r="BB17" s="98">
        <v>16</v>
      </c>
      <c r="BC17" s="98">
        <v>6758.4</v>
      </c>
      <c r="BD17" s="98">
        <v>12</v>
      </c>
      <c r="BE17" s="98">
        <v>5068.7999999999993</v>
      </c>
      <c r="BF17" s="98">
        <v>11</v>
      </c>
      <c r="BG17" s="98">
        <v>4646.3999999999996</v>
      </c>
      <c r="BH17" s="98">
        <v>16</v>
      </c>
      <c r="BI17" s="98">
        <v>6758.4</v>
      </c>
      <c r="BJ17" s="98">
        <v>21</v>
      </c>
      <c r="BK17" s="98">
        <v>8870.4</v>
      </c>
      <c r="BL17" s="98">
        <v>15</v>
      </c>
      <c r="BM17" s="98">
        <v>6336</v>
      </c>
      <c r="BN17" s="98">
        <v>18</v>
      </c>
      <c r="BO17" s="98">
        <v>7603.2</v>
      </c>
      <c r="BP17" s="98">
        <v>12</v>
      </c>
      <c r="BQ17" s="98">
        <v>5068.7999999999993</v>
      </c>
      <c r="BR17" s="98">
        <v>17</v>
      </c>
      <c r="BS17" s="98">
        <v>7180.7999999999993</v>
      </c>
      <c r="BT17" s="98">
        <v>11</v>
      </c>
      <c r="BU17" s="98">
        <v>4646.3999999999996</v>
      </c>
      <c r="BV17" s="98">
        <v>13</v>
      </c>
      <c r="BW17" s="98">
        <v>5491.2</v>
      </c>
      <c r="BX17" s="98">
        <v>17</v>
      </c>
      <c r="BY17" s="98">
        <v>7180.7999999999993</v>
      </c>
      <c r="BZ17" s="98">
        <v>13</v>
      </c>
      <c r="CA17" s="98">
        <v>5491.2</v>
      </c>
      <c r="CB17" s="98">
        <v>11</v>
      </c>
      <c r="CC17" s="98">
        <v>4646.3999999999996</v>
      </c>
      <c r="CD17" s="98">
        <v>12</v>
      </c>
      <c r="CE17" s="98">
        <v>5068.7999999999993</v>
      </c>
      <c r="CF17" s="98">
        <v>18</v>
      </c>
      <c r="CG17" s="98">
        <v>7603.2</v>
      </c>
      <c r="CH17" s="98">
        <v>17</v>
      </c>
      <c r="CI17" s="98">
        <v>7180.7999999999993</v>
      </c>
      <c r="CJ17" s="98">
        <v>15</v>
      </c>
      <c r="CK17" s="98">
        <v>6336</v>
      </c>
      <c r="CL17" s="98">
        <v>15</v>
      </c>
      <c r="CM17" s="98">
        <v>6336</v>
      </c>
      <c r="CN17" s="98">
        <v>17</v>
      </c>
      <c r="CO17" s="98">
        <v>7180.7999999999993</v>
      </c>
      <c r="CP17" s="98">
        <v>23</v>
      </c>
      <c r="CQ17" s="98">
        <v>9715.1999999999989</v>
      </c>
      <c r="CR17" s="98">
        <v>11</v>
      </c>
      <c r="CS17" s="98">
        <v>4646.3999999999996</v>
      </c>
      <c r="CT17" s="98">
        <v>18</v>
      </c>
      <c r="CU17" s="98">
        <v>7603.2</v>
      </c>
    </row>
    <row r="18" spans="2:99">
      <c r="C18" s="97" t="s">
        <v>185</v>
      </c>
      <c r="D18" s="98">
        <v>11</v>
      </c>
      <c r="E18" s="98">
        <v>7180.7999999999993</v>
      </c>
      <c r="F18" s="98">
        <v>11</v>
      </c>
      <c r="G18" s="98">
        <v>7180.7999999999993</v>
      </c>
      <c r="H18" s="98">
        <v>11</v>
      </c>
      <c r="I18" s="98">
        <v>7180.7999999999993</v>
      </c>
      <c r="J18" s="98">
        <v>14</v>
      </c>
      <c r="K18" s="98">
        <v>9139.1999999999989</v>
      </c>
      <c r="L18" s="98">
        <v>11</v>
      </c>
      <c r="M18" s="98">
        <v>7180.7999999999993</v>
      </c>
      <c r="N18" s="98">
        <v>13</v>
      </c>
      <c r="O18" s="98">
        <v>8486.4</v>
      </c>
      <c r="P18" s="98">
        <v>10</v>
      </c>
      <c r="Q18" s="98">
        <v>6528</v>
      </c>
      <c r="R18" s="98">
        <v>17</v>
      </c>
      <c r="S18" s="98">
        <v>11097.599999999999</v>
      </c>
      <c r="T18" s="98">
        <v>11</v>
      </c>
      <c r="U18" s="98">
        <v>7180.7999999999993</v>
      </c>
      <c r="V18" s="98">
        <v>12</v>
      </c>
      <c r="W18" s="98">
        <v>7833.5999999999995</v>
      </c>
      <c r="X18" s="98">
        <v>18</v>
      </c>
      <c r="Y18" s="98">
        <v>11750.4</v>
      </c>
      <c r="Z18" s="98">
        <v>11</v>
      </c>
      <c r="AA18" s="98">
        <v>7180.7999999999993</v>
      </c>
      <c r="AB18" s="98">
        <v>11</v>
      </c>
      <c r="AC18" s="98">
        <v>7180.7999999999993</v>
      </c>
      <c r="AD18" s="98">
        <v>11</v>
      </c>
      <c r="AE18" s="98">
        <v>7180.7999999999993</v>
      </c>
      <c r="AF18" s="98">
        <v>15</v>
      </c>
      <c r="AG18" s="98">
        <v>9792</v>
      </c>
      <c r="AH18" s="98">
        <v>13</v>
      </c>
      <c r="AI18" s="98">
        <v>8486.4</v>
      </c>
      <c r="AJ18" s="98">
        <v>9</v>
      </c>
      <c r="AK18" s="98">
        <v>5875.2</v>
      </c>
      <c r="AL18" s="98">
        <v>10</v>
      </c>
      <c r="AM18" s="98">
        <v>6528</v>
      </c>
      <c r="AN18" s="98">
        <v>15</v>
      </c>
      <c r="AO18" s="98">
        <v>9792</v>
      </c>
      <c r="AP18" s="98">
        <v>12</v>
      </c>
      <c r="AQ18" s="98">
        <v>7833.5999999999995</v>
      </c>
      <c r="AR18" s="98">
        <v>15</v>
      </c>
      <c r="AS18" s="98">
        <v>9792</v>
      </c>
      <c r="AT18" s="98">
        <v>21</v>
      </c>
      <c r="AU18" s="98">
        <v>13708.8</v>
      </c>
      <c r="AV18" s="98">
        <v>18</v>
      </c>
      <c r="AW18" s="98">
        <v>11750.4</v>
      </c>
      <c r="AX18" s="98">
        <v>15</v>
      </c>
      <c r="AY18" s="98">
        <v>9792</v>
      </c>
      <c r="AZ18" s="98">
        <v>13</v>
      </c>
      <c r="BA18" s="98">
        <v>8486.4</v>
      </c>
      <c r="BB18" s="98">
        <v>15</v>
      </c>
      <c r="BC18" s="98">
        <v>9792</v>
      </c>
      <c r="BD18" s="98">
        <v>12</v>
      </c>
      <c r="BE18" s="98">
        <v>7833.5999999999995</v>
      </c>
      <c r="BF18" s="98">
        <v>12</v>
      </c>
      <c r="BG18" s="98">
        <v>7833.5999999999995</v>
      </c>
      <c r="BH18" s="98">
        <v>17</v>
      </c>
      <c r="BI18" s="98">
        <v>11097.599999999999</v>
      </c>
      <c r="BJ18" s="98">
        <v>22</v>
      </c>
      <c r="BK18" s="98">
        <v>14361.599999999999</v>
      </c>
      <c r="BL18" s="98">
        <v>15</v>
      </c>
      <c r="BM18" s="98">
        <v>9792</v>
      </c>
      <c r="BN18" s="98">
        <v>16</v>
      </c>
      <c r="BO18" s="98">
        <v>10444.799999999999</v>
      </c>
      <c r="BP18" s="98">
        <v>10</v>
      </c>
      <c r="BQ18" s="98">
        <v>6528</v>
      </c>
      <c r="BR18" s="98">
        <v>16</v>
      </c>
      <c r="BS18" s="98">
        <v>10444.799999999999</v>
      </c>
      <c r="BT18" s="98">
        <v>12</v>
      </c>
      <c r="BU18" s="98">
        <v>7833.5999999999995</v>
      </c>
      <c r="BV18" s="98">
        <v>13</v>
      </c>
      <c r="BW18" s="98">
        <v>8486.4</v>
      </c>
      <c r="BX18" s="98">
        <v>18</v>
      </c>
      <c r="BY18" s="98">
        <v>11750.4</v>
      </c>
      <c r="BZ18" s="98">
        <v>11</v>
      </c>
      <c r="CA18" s="98">
        <v>7180.7999999999993</v>
      </c>
      <c r="CB18" s="98">
        <v>11</v>
      </c>
      <c r="CC18" s="98">
        <v>7180.7999999999993</v>
      </c>
      <c r="CD18" s="98">
        <v>11</v>
      </c>
      <c r="CE18" s="98">
        <v>7180.7999999999993</v>
      </c>
      <c r="CF18" s="98">
        <v>16</v>
      </c>
      <c r="CG18" s="98">
        <v>10444.799999999999</v>
      </c>
      <c r="CH18" s="98">
        <v>19</v>
      </c>
      <c r="CI18" s="98">
        <v>12403.199999999999</v>
      </c>
      <c r="CJ18" s="98">
        <v>17</v>
      </c>
      <c r="CK18" s="98">
        <v>11097.599999999999</v>
      </c>
      <c r="CL18" s="98">
        <v>15</v>
      </c>
      <c r="CM18" s="98">
        <v>9792</v>
      </c>
      <c r="CN18" s="98">
        <v>16</v>
      </c>
      <c r="CO18" s="98">
        <v>10444.799999999999</v>
      </c>
      <c r="CP18" s="98">
        <v>22</v>
      </c>
      <c r="CQ18" s="98">
        <v>14361.599999999999</v>
      </c>
      <c r="CR18" s="98">
        <v>11</v>
      </c>
      <c r="CS18" s="98">
        <v>7180.7999999999993</v>
      </c>
      <c r="CT18" s="98">
        <v>15</v>
      </c>
      <c r="CU18" s="98">
        <v>9792</v>
      </c>
    </row>
    <row r="19" spans="2:99">
      <c r="C19" s="97" t="s">
        <v>186</v>
      </c>
      <c r="D19" s="98">
        <v>11</v>
      </c>
      <c r="E19" s="98">
        <v>3630</v>
      </c>
      <c r="F19" s="98">
        <v>13</v>
      </c>
      <c r="G19" s="98">
        <v>4290</v>
      </c>
      <c r="H19" s="98">
        <v>10</v>
      </c>
      <c r="I19" s="98">
        <v>3300</v>
      </c>
      <c r="J19" s="98">
        <v>14</v>
      </c>
      <c r="K19" s="98">
        <v>4620</v>
      </c>
      <c r="L19" s="98">
        <v>10</v>
      </c>
      <c r="M19" s="98">
        <v>3300</v>
      </c>
      <c r="N19" s="98">
        <v>15</v>
      </c>
      <c r="O19" s="98">
        <v>4950</v>
      </c>
      <c r="P19" s="98">
        <v>11</v>
      </c>
      <c r="Q19" s="98">
        <v>3630</v>
      </c>
      <c r="R19" s="98">
        <v>19</v>
      </c>
      <c r="S19" s="98">
        <v>6270</v>
      </c>
      <c r="T19" s="98">
        <v>10</v>
      </c>
      <c r="U19" s="98">
        <v>3300</v>
      </c>
      <c r="V19" s="98">
        <v>14</v>
      </c>
      <c r="W19" s="98">
        <v>4620</v>
      </c>
      <c r="X19" s="98">
        <v>20</v>
      </c>
      <c r="Y19" s="98">
        <v>6600</v>
      </c>
      <c r="Z19" s="98">
        <v>12</v>
      </c>
      <c r="AA19" s="98">
        <v>3960</v>
      </c>
      <c r="AB19" s="98">
        <v>12</v>
      </c>
      <c r="AC19" s="98">
        <v>3960</v>
      </c>
      <c r="AD19" s="98">
        <v>12</v>
      </c>
      <c r="AE19" s="98">
        <v>3960</v>
      </c>
      <c r="AF19" s="98">
        <v>16</v>
      </c>
      <c r="AG19" s="98">
        <v>5280</v>
      </c>
      <c r="AH19" s="98">
        <v>13</v>
      </c>
      <c r="AI19" s="98">
        <v>4290</v>
      </c>
      <c r="AJ19" s="98">
        <v>11</v>
      </c>
      <c r="AK19" s="98">
        <v>3630</v>
      </c>
      <c r="AL19" s="98">
        <v>10</v>
      </c>
      <c r="AM19" s="98">
        <v>3300</v>
      </c>
      <c r="AN19" s="98">
        <v>16</v>
      </c>
      <c r="AO19" s="98">
        <v>5280</v>
      </c>
      <c r="AP19" s="98">
        <v>15</v>
      </c>
      <c r="AQ19" s="98">
        <v>4950</v>
      </c>
      <c r="AR19" s="98">
        <v>16</v>
      </c>
      <c r="AS19" s="98">
        <v>5280</v>
      </c>
      <c r="AT19" s="98">
        <v>19</v>
      </c>
      <c r="AU19" s="98">
        <v>6270</v>
      </c>
      <c r="AV19" s="98">
        <v>19</v>
      </c>
      <c r="AW19" s="98">
        <v>6270</v>
      </c>
      <c r="AX19" s="98">
        <v>14</v>
      </c>
      <c r="AY19" s="98">
        <v>4620</v>
      </c>
      <c r="AZ19" s="98">
        <v>13</v>
      </c>
      <c r="BA19" s="98">
        <v>4290</v>
      </c>
      <c r="BB19" s="98">
        <v>15</v>
      </c>
      <c r="BC19" s="98">
        <v>4950</v>
      </c>
      <c r="BD19" s="98">
        <v>13</v>
      </c>
      <c r="BE19" s="98">
        <v>4290</v>
      </c>
      <c r="BF19" s="98">
        <v>13</v>
      </c>
      <c r="BG19" s="98">
        <v>4290</v>
      </c>
      <c r="BH19" s="98">
        <v>17</v>
      </c>
      <c r="BI19" s="98">
        <v>5610</v>
      </c>
      <c r="BJ19" s="98">
        <v>21</v>
      </c>
      <c r="BK19" s="98">
        <v>6930</v>
      </c>
      <c r="BL19" s="98">
        <v>15</v>
      </c>
      <c r="BM19" s="98">
        <v>4950</v>
      </c>
      <c r="BN19" s="98">
        <v>19</v>
      </c>
      <c r="BO19" s="98">
        <v>6270</v>
      </c>
      <c r="BP19" s="98">
        <v>13</v>
      </c>
      <c r="BQ19" s="98">
        <v>4290</v>
      </c>
      <c r="BR19" s="98">
        <v>17</v>
      </c>
      <c r="BS19" s="98">
        <v>5610</v>
      </c>
      <c r="BT19" s="98">
        <v>11</v>
      </c>
      <c r="BU19" s="98">
        <v>3630</v>
      </c>
      <c r="BV19" s="98">
        <v>14</v>
      </c>
      <c r="BW19" s="98">
        <v>4620</v>
      </c>
      <c r="BX19" s="98">
        <v>20</v>
      </c>
      <c r="BY19" s="98">
        <v>6600</v>
      </c>
      <c r="BZ19" s="98">
        <v>11</v>
      </c>
      <c r="CA19" s="98">
        <v>3630</v>
      </c>
      <c r="CB19" s="98">
        <v>13</v>
      </c>
      <c r="CC19" s="98">
        <v>4290</v>
      </c>
      <c r="CD19" s="98">
        <v>11</v>
      </c>
      <c r="CE19" s="98">
        <v>3630</v>
      </c>
      <c r="CF19" s="98">
        <v>18</v>
      </c>
      <c r="CG19" s="98">
        <v>5940</v>
      </c>
      <c r="CH19" s="98">
        <v>17</v>
      </c>
      <c r="CI19" s="98">
        <v>5610</v>
      </c>
      <c r="CJ19" s="98">
        <v>17</v>
      </c>
      <c r="CK19" s="98">
        <v>5610</v>
      </c>
      <c r="CL19" s="98">
        <v>15</v>
      </c>
      <c r="CM19" s="98">
        <v>4950</v>
      </c>
      <c r="CN19" s="98">
        <v>16</v>
      </c>
      <c r="CO19" s="98">
        <v>5280</v>
      </c>
      <c r="CP19" s="98">
        <v>21</v>
      </c>
      <c r="CQ19" s="98">
        <v>6930</v>
      </c>
      <c r="CR19" s="98">
        <v>11</v>
      </c>
      <c r="CS19" s="98">
        <v>3630</v>
      </c>
      <c r="CT19" s="98">
        <v>18</v>
      </c>
      <c r="CU19" s="98">
        <v>5940</v>
      </c>
    </row>
    <row r="20" spans="2:99">
      <c r="B20" s="97" t="s">
        <v>127</v>
      </c>
      <c r="C20" s="97" t="s">
        <v>187</v>
      </c>
      <c r="D20" s="98">
        <v>5</v>
      </c>
      <c r="E20" s="98">
        <v>1434</v>
      </c>
      <c r="F20" s="98">
        <v>6</v>
      </c>
      <c r="G20" s="98">
        <v>1720.8000000000002</v>
      </c>
      <c r="H20" s="98">
        <v>8</v>
      </c>
      <c r="I20" s="98">
        <v>2294.4</v>
      </c>
      <c r="J20" s="98">
        <v>7</v>
      </c>
      <c r="K20" s="98">
        <v>2007.6000000000001</v>
      </c>
      <c r="L20" s="98">
        <v>9</v>
      </c>
      <c r="M20" s="98">
        <v>2581.2000000000003</v>
      </c>
      <c r="N20" s="98">
        <v>4</v>
      </c>
      <c r="O20" s="98">
        <v>1147.2</v>
      </c>
      <c r="P20" s="98">
        <v>7</v>
      </c>
      <c r="Q20" s="98">
        <v>2007.6000000000001</v>
      </c>
      <c r="R20" s="98">
        <v>8</v>
      </c>
      <c r="S20" s="98">
        <v>2294.4</v>
      </c>
      <c r="T20" s="98">
        <v>6</v>
      </c>
      <c r="U20" s="98">
        <v>1720.8000000000002</v>
      </c>
      <c r="V20" s="98">
        <v>7</v>
      </c>
      <c r="W20" s="98">
        <v>2007.6000000000001</v>
      </c>
      <c r="X20" s="98">
        <v>5</v>
      </c>
      <c r="Y20" s="98">
        <v>1434</v>
      </c>
      <c r="Z20" s="98">
        <v>8</v>
      </c>
      <c r="AA20" s="98">
        <v>2294.4</v>
      </c>
      <c r="AB20" s="98">
        <v>7</v>
      </c>
      <c r="AC20" s="98">
        <v>2007.6000000000001</v>
      </c>
      <c r="AD20" s="98">
        <v>5</v>
      </c>
      <c r="AE20" s="98">
        <v>1434</v>
      </c>
      <c r="AF20" s="98">
        <v>5</v>
      </c>
      <c r="AG20" s="98">
        <v>1434</v>
      </c>
      <c r="AH20" s="98">
        <v>6</v>
      </c>
      <c r="AI20" s="98">
        <v>1720.8000000000002</v>
      </c>
      <c r="AJ20" s="98">
        <v>7</v>
      </c>
      <c r="AK20" s="98">
        <v>2007.6000000000001</v>
      </c>
      <c r="AL20" s="98">
        <v>5</v>
      </c>
      <c r="AM20" s="98">
        <v>1434</v>
      </c>
      <c r="AN20" s="98">
        <v>5</v>
      </c>
      <c r="AO20" s="98">
        <v>1434</v>
      </c>
      <c r="AP20" s="98">
        <v>6</v>
      </c>
      <c r="AQ20" s="98">
        <v>1720.8000000000002</v>
      </c>
      <c r="AR20" s="98">
        <v>7</v>
      </c>
      <c r="AS20" s="98">
        <v>2007.6000000000001</v>
      </c>
      <c r="AT20" s="98">
        <v>8</v>
      </c>
      <c r="AU20" s="98">
        <v>2294.4</v>
      </c>
      <c r="AV20" s="98">
        <v>9</v>
      </c>
      <c r="AW20" s="98">
        <v>2581.2000000000003</v>
      </c>
      <c r="AX20" s="98">
        <v>7</v>
      </c>
      <c r="AY20" s="98">
        <v>2007.6000000000001</v>
      </c>
      <c r="AZ20" s="98">
        <v>6</v>
      </c>
      <c r="BA20" s="98">
        <v>1720.8000000000002</v>
      </c>
      <c r="BB20" s="98">
        <v>5</v>
      </c>
      <c r="BC20" s="98">
        <v>1434</v>
      </c>
      <c r="BD20" s="98">
        <v>5</v>
      </c>
      <c r="BE20" s="98">
        <v>1434</v>
      </c>
      <c r="BF20" s="98">
        <v>8</v>
      </c>
      <c r="BG20" s="98">
        <v>2294.4</v>
      </c>
      <c r="BH20" s="98">
        <v>6</v>
      </c>
      <c r="BI20" s="98">
        <v>1720.8000000000002</v>
      </c>
      <c r="BJ20" s="98">
        <v>6</v>
      </c>
      <c r="BK20" s="98">
        <v>1720.8000000000002</v>
      </c>
      <c r="BL20" s="98">
        <v>7</v>
      </c>
      <c r="BM20" s="98">
        <v>2007.6000000000001</v>
      </c>
      <c r="BN20" s="98">
        <v>6</v>
      </c>
      <c r="BO20" s="98">
        <v>1720.8000000000002</v>
      </c>
      <c r="BP20" s="98">
        <v>5</v>
      </c>
      <c r="BQ20" s="98">
        <v>1434</v>
      </c>
      <c r="BR20" s="98">
        <v>8</v>
      </c>
      <c r="BS20" s="98">
        <v>2294.4</v>
      </c>
      <c r="BT20" s="98">
        <v>6</v>
      </c>
      <c r="BU20" s="98">
        <v>1720.8000000000002</v>
      </c>
      <c r="BV20" s="98">
        <v>5</v>
      </c>
      <c r="BW20" s="98">
        <v>1434</v>
      </c>
      <c r="BX20" s="98">
        <v>5</v>
      </c>
      <c r="BY20" s="98">
        <v>1434</v>
      </c>
      <c r="BZ20" s="98">
        <v>7</v>
      </c>
      <c r="CA20" s="98">
        <v>2007.6000000000001</v>
      </c>
      <c r="CB20" s="98">
        <v>8</v>
      </c>
      <c r="CC20" s="98">
        <v>2294.4</v>
      </c>
      <c r="CD20" s="98">
        <v>8</v>
      </c>
      <c r="CE20" s="98">
        <v>2294.4</v>
      </c>
      <c r="CF20" s="98">
        <v>9</v>
      </c>
      <c r="CG20" s="98">
        <v>2581.2000000000003</v>
      </c>
      <c r="CH20" s="98">
        <v>6</v>
      </c>
      <c r="CI20" s="98">
        <v>1720.8000000000002</v>
      </c>
      <c r="CJ20" s="98">
        <v>5</v>
      </c>
      <c r="CK20" s="98">
        <v>1434</v>
      </c>
      <c r="CL20" s="98">
        <v>5</v>
      </c>
      <c r="CM20" s="98">
        <v>1434</v>
      </c>
      <c r="CN20" s="98">
        <v>9</v>
      </c>
      <c r="CO20" s="98">
        <v>2581.2000000000003</v>
      </c>
      <c r="CP20" s="98">
        <v>5</v>
      </c>
      <c r="CQ20" s="98">
        <v>1434</v>
      </c>
      <c r="CR20" s="98">
        <v>10</v>
      </c>
      <c r="CS20" s="98">
        <v>2868</v>
      </c>
      <c r="CT20" s="98">
        <v>8</v>
      </c>
      <c r="CU20" s="98">
        <v>2294.4</v>
      </c>
    </row>
    <row r="21" spans="2:99">
      <c r="C21" s="97" t="s">
        <v>188</v>
      </c>
      <c r="D21" s="98">
        <v>5</v>
      </c>
      <c r="E21" s="98">
        <v>312</v>
      </c>
      <c r="F21" s="98">
        <v>6</v>
      </c>
      <c r="G21" s="98">
        <v>374.4</v>
      </c>
      <c r="H21" s="98">
        <v>8</v>
      </c>
      <c r="I21" s="98">
        <v>499.2</v>
      </c>
      <c r="J21" s="98">
        <v>7</v>
      </c>
      <c r="K21" s="98">
        <v>436.8</v>
      </c>
      <c r="L21" s="98">
        <v>9</v>
      </c>
      <c r="M21" s="98">
        <v>561.6</v>
      </c>
      <c r="N21" s="98">
        <v>4</v>
      </c>
      <c r="O21" s="98">
        <v>249.6</v>
      </c>
      <c r="P21" s="98">
        <v>6</v>
      </c>
      <c r="Q21" s="98">
        <v>374.4</v>
      </c>
      <c r="R21" s="98">
        <v>7</v>
      </c>
      <c r="S21" s="98">
        <v>436.8</v>
      </c>
      <c r="T21" s="98">
        <v>6</v>
      </c>
      <c r="U21" s="98">
        <v>374.4</v>
      </c>
      <c r="V21" s="98">
        <v>7</v>
      </c>
      <c r="W21" s="98">
        <v>436.8</v>
      </c>
      <c r="X21" s="98">
        <v>4</v>
      </c>
      <c r="Y21" s="98">
        <v>249.6</v>
      </c>
      <c r="Z21" s="98">
        <v>7</v>
      </c>
      <c r="AA21" s="98">
        <v>436.8</v>
      </c>
      <c r="AB21" s="98">
        <v>7</v>
      </c>
      <c r="AC21" s="98">
        <v>436.8</v>
      </c>
      <c r="AD21" s="98">
        <v>6</v>
      </c>
      <c r="AE21" s="98">
        <v>374.4</v>
      </c>
      <c r="AF21" s="98">
        <v>5</v>
      </c>
      <c r="AG21" s="98">
        <v>312</v>
      </c>
      <c r="AH21" s="98">
        <v>6</v>
      </c>
      <c r="AI21" s="98">
        <v>374.4</v>
      </c>
      <c r="AJ21" s="98">
        <v>7</v>
      </c>
      <c r="AK21" s="98">
        <v>436.8</v>
      </c>
      <c r="AL21" s="98">
        <v>6</v>
      </c>
      <c r="AM21" s="98">
        <v>374.4</v>
      </c>
      <c r="AN21" s="98">
        <v>4</v>
      </c>
      <c r="AO21" s="98">
        <v>249.6</v>
      </c>
      <c r="AP21" s="98">
        <v>6</v>
      </c>
      <c r="AQ21" s="98">
        <v>374.4</v>
      </c>
      <c r="AR21" s="98">
        <v>7</v>
      </c>
      <c r="AS21" s="98">
        <v>436.8</v>
      </c>
      <c r="AT21" s="98">
        <v>10</v>
      </c>
      <c r="AU21" s="98">
        <v>624</v>
      </c>
      <c r="AV21" s="98">
        <v>8</v>
      </c>
      <c r="AW21" s="98">
        <v>499.2</v>
      </c>
      <c r="AX21" s="98">
        <v>9</v>
      </c>
      <c r="AY21" s="98">
        <v>561.6</v>
      </c>
      <c r="AZ21" s="98">
        <v>7</v>
      </c>
      <c r="BA21" s="98">
        <v>436.8</v>
      </c>
      <c r="BB21" s="98">
        <v>5</v>
      </c>
      <c r="BC21" s="98">
        <v>312</v>
      </c>
      <c r="BD21" s="98">
        <v>6</v>
      </c>
      <c r="BE21" s="98">
        <v>374.4</v>
      </c>
      <c r="BF21" s="98">
        <v>9</v>
      </c>
      <c r="BG21" s="98">
        <v>561.6</v>
      </c>
      <c r="BH21" s="98">
        <v>6</v>
      </c>
      <c r="BI21" s="98">
        <v>374.4</v>
      </c>
      <c r="BJ21" s="98">
        <v>6</v>
      </c>
      <c r="BK21" s="98">
        <v>374.4</v>
      </c>
      <c r="BL21" s="98">
        <v>7</v>
      </c>
      <c r="BM21" s="98">
        <v>436.8</v>
      </c>
      <c r="BN21" s="98">
        <v>6</v>
      </c>
      <c r="BO21" s="98">
        <v>374.4</v>
      </c>
      <c r="BP21" s="98">
        <v>6</v>
      </c>
      <c r="BQ21" s="98">
        <v>374.4</v>
      </c>
      <c r="BR21" s="98">
        <v>9</v>
      </c>
      <c r="BS21" s="98">
        <v>561.6</v>
      </c>
      <c r="BT21" s="98">
        <v>6</v>
      </c>
      <c r="BU21" s="98">
        <v>374.4</v>
      </c>
      <c r="BV21" s="98">
        <v>6</v>
      </c>
      <c r="BW21" s="98">
        <v>374.4</v>
      </c>
      <c r="BX21" s="98">
        <v>5</v>
      </c>
      <c r="BY21" s="98">
        <v>312</v>
      </c>
      <c r="BZ21" s="98">
        <v>7</v>
      </c>
      <c r="CA21" s="98">
        <v>436.8</v>
      </c>
      <c r="CB21" s="98">
        <v>9</v>
      </c>
      <c r="CC21" s="98">
        <v>561.6</v>
      </c>
      <c r="CD21" s="98">
        <v>9</v>
      </c>
      <c r="CE21" s="98">
        <v>561.6</v>
      </c>
      <c r="CF21" s="98">
        <v>10</v>
      </c>
      <c r="CG21" s="98">
        <v>624</v>
      </c>
      <c r="CH21" s="98">
        <v>7</v>
      </c>
      <c r="CI21" s="98">
        <v>436.8</v>
      </c>
      <c r="CJ21" s="98">
        <v>5</v>
      </c>
      <c r="CK21" s="98">
        <v>312</v>
      </c>
      <c r="CL21" s="98">
        <v>6</v>
      </c>
      <c r="CM21" s="98">
        <v>374.4</v>
      </c>
      <c r="CN21" s="98">
        <v>9</v>
      </c>
      <c r="CO21" s="98">
        <v>561.6</v>
      </c>
      <c r="CP21" s="98">
        <v>5</v>
      </c>
      <c r="CQ21" s="98">
        <v>312</v>
      </c>
      <c r="CR21" s="98">
        <v>9</v>
      </c>
      <c r="CS21" s="98">
        <v>561.6</v>
      </c>
      <c r="CT21" s="98">
        <v>7</v>
      </c>
      <c r="CU21" s="98">
        <v>436.8</v>
      </c>
    </row>
    <row r="22" spans="2:99">
      <c r="C22" s="97" t="s">
        <v>189</v>
      </c>
      <c r="D22" s="98">
        <v>4</v>
      </c>
      <c r="E22" s="98">
        <v>748.8</v>
      </c>
      <c r="F22" s="98">
        <v>7</v>
      </c>
      <c r="G22" s="98">
        <v>1310.3999999999999</v>
      </c>
      <c r="H22" s="98">
        <v>7</v>
      </c>
      <c r="I22" s="98">
        <v>1310.3999999999999</v>
      </c>
      <c r="J22" s="98">
        <v>7</v>
      </c>
      <c r="K22" s="98">
        <v>1310.3999999999999</v>
      </c>
      <c r="L22" s="98">
        <v>8</v>
      </c>
      <c r="M22" s="98">
        <v>1497.6</v>
      </c>
      <c r="N22" s="98">
        <v>5</v>
      </c>
      <c r="O22" s="98">
        <v>936</v>
      </c>
      <c r="P22" s="98">
        <v>7</v>
      </c>
      <c r="Q22" s="98">
        <v>1310.3999999999999</v>
      </c>
      <c r="R22" s="98">
        <v>7</v>
      </c>
      <c r="S22" s="98">
        <v>1310.3999999999999</v>
      </c>
      <c r="T22" s="98">
        <v>6</v>
      </c>
      <c r="U22" s="98">
        <v>1123.1999999999998</v>
      </c>
      <c r="V22" s="98">
        <v>7</v>
      </c>
      <c r="W22" s="98">
        <v>1310.3999999999999</v>
      </c>
      <c r="X22" s="98">
        <v>5</v>
      </c>
      <c r="Y22" s="98">
        <v>936</v>
      </c>
      <c r="Z22" s="98">
        <v>8</v>
      </c>
      <c r="AA22" s="98">
        <v>1497.6</v>
      </c>
      <c r="AB22" s="98">
        <v>7</v>
      </c>
      <c r="AC22" s="98">
        <v>1310.3999999999999</v>
      </c>
      <c r="AD22" s="98">
        <v>5</v>
      </c>
      <c r="AE22" s="98">
        <v>936</v>
      </c>
      <c r="AF22" s="98">
        <v>5</v>
      </c>
      <c r="AG22" s="98">
        <v>936</v>
      </c>
      <c r="AH22" s="98">
        <v>6</v>
      </c>
      <c r="AI22" s="98">
        <v>1123.1999999999998</v>
      </c>
      <c r="AJ22" s="98">
        <v>6</v>
      </c>
      <c r="AK22" s="98">
        <v>1123.1999999999998</v>
      </c>
      <c r="AL22" s="98">
        <v>5</v>
      </c>
      <c r="AM22" s="98">
        <v>936</v>
      </c>
      <c r="AN22" s="98">
        <v>4</v>
      </c>
      <c r="AO22" s="98">
        <v>748.8</v>
      </c>
      <c r="AP22" s="98">
        <v>6</v>
      </c>
      <c r="AQ22" s="98">
        <v>1123.1999999999998</v>
      </c>
      <c r="AR22" s="98">
        <v>6</v>
      </c>
      <c r="AS22" s="98">
        <v>1123.1999999999998</v>
      </c>
      <c r="AT22" s="98">
        <v>9</v>
      </c>
      <c r="AU22" s="98">
        <v>1684.8</v>
      </c>
      <c r="AV22" s="98">
        <v>8</v>
      </c>
      <c r="AW22" s="98">
        <v>1497.6</v>
      </c>
      <c r="AX22" s="98">
        <v>8</v>
      </c>
      <c r="AY22" s="98">
        <v>1497.6</v>
      </c>
      <c r="AZ22" s="98">
        <v>6</v>
      </c>
      <c r="BA22" s="98">
        <v>1123.1999999999998</v>
      </c>
      <c r="BB22" s="98">
        <v>5</v>
      </c>
      <c r="BC22" s="98">
        <v>936</v>
      </c>
      <c r="BD22" s="98">
        <v>6</v>
      </c>
      <c r="BE22" s="98">
        <v>1123.1999999999998</v>
      </c>
      <c r="BF22" s="98">
        <v>9</v>
      </c>
      <c r="BG22" s="98">
        <v>1684.8</v>
      </c>
      <c r="BH22" s="98">
        <v>7</v>
      </c>
      <c r="BI22" s="98">
        <v>1310.3999999999999</v>
      </c>
      <c r="BJ22" s="98">
        <v>6</v>
      </c>
      <c r="BK22" s="98">
        <v>1123.1999999999998</v>
      </c>
      <c r="BL22" s="98">
        <v>7</v>
      </c>
      <c r="BM22" s="98">
        <v>1310.3999999999999</v>
      </c>
      <c r="BN22" s="98">
        <v>6</v>
      </c>
      <c r="BO22" s="98">
        <v>1123.1999999999998</v>
      </c>
      <c r="BP22" s="98">
        <v>6</v>
      </c>
      <c r="BQ22" s="98">
        <v>1123.1999999999998</v>
      </c>
      <c r="BR22" s="98">
        <v>8</v>
      </c>
      <c r="BS22" s="98">
        <v>1497.6</v>
      </c>
      <c r="BT22" s="98">
        <v>7</v>
      </c>
      <c r="BU22" s="98">
        <v>1310.3999999999999</v>
      </c>
      <c r="BV22" s="98">
        <v>5</v>
      </c>
      <c r="BW22" s="98">
        <v>936</v>
      </c>
      <c r="BX22" s="98">
        <v>5</v>
      </c>
      <c r="BY22" s="98">
        <v>936</v>
      </c>
      <c r="BZ22" s="98">
        <v>7</v>
      </c>
      <c r="CA22" s="98">
        <v>1310.3999999999999</v>
      </c>
      <c r="CB22" s="98">
        <v>9</v>
      </c>
      <c r="CC22" s="98">
        <v>1684.8</v>
      </c>
      <c r="CD22" s="98">
        <v>8</v>
      </c>
      <c r="CE22" s="98">
        <v>1497.6</v>
      </c>
      <c r="CF22" s="98">
        <v>9</v>
      </c>
      <c r="CG22" s="98">
        <v>1684.8</v>
      </c>
      <c r="CH22" s="98">
        <v>6</v>
      </c>
      <c r="CI22" s="98">
        <v>1123.1999999999998</v>
      </c>
      <c r="CJ22" s="98">
        <v>5</v>
      </c>
      <c r="CK22" s="98">
        <v>936</v>
      </c>
      <c r="CL22" s="98">
        <v>5</v>
      </c>
      <c r="CM22" s="98">
        <v>936</v>
      </c>
      <c r="CN22" s="98">
        <v>8</v>
      </c>
      <c r="CO22" s="98">
        <v>1497.6</v>
      </c>
      <c r="CP22" s="98">
        <v>5</v>
      </c>
      <c r="CQ22" s="98">
        <v>936</v>
      </c>
      <c r="CR22" s="98">
        <v>9</v>
      </c>
      <c r="CS22" s="98">
        <v>1684.8</v>
      </c>
      <c r="CT22" s="98">
        <v>8</v>
      </c>
      <c r="CU22" s="98">
        <v>1497.6</v>
      </c>
    </row>
    <row r="23" spans="2:99">
      <c r="C23" s="97" t="s">
        <v>190</v>
      </c>
      <c r="D23" s="98">
        <v>5</v>
      </c>
      <c r="E23" s="98">
        <v>1470</v>
      </c>
      <c r="F23" s="98">
        <v>7</v>
      </c>
      <c r="G23" s="98">
        <v>2058</v>
      </c>
      <c r="H23" s="98">
        <v>7</v>
      </c>
      <c r="I23" s="98">
        <v>2058</v>
      </c>
      <c r="J23" s="98">
        <v>7</v>
      </c>
      <c r="K23" s="98">
        <v>2058</v>
      </c>
      <c r="L23" s="98">
        <v>8</v>
      </c>
      <c r="M23" s="98">
        <v>2352</v>
      </c>
      <c r="N23" s="98">
        <v>4</v>
      </c>
      <c r="O23" s="98">
        <v>1176</v>
      </c>
      <c r="P23" s="98">
        <v>6</v>
      </c>
      <c r="Q23" s="98">
        <v>1764</v>
      </c>
      <c r="R23" s="98">
        <v>6</v>
      </c>
      <c r="S23" s="98">
        <v>1764</v>
      </c>
      <c r="T23" s="98">
        <v>6</v>
      </c>
      <c r="U23" s="98">
        <v>1764</v>
      </c>
      <c r="V23" s="98">
        <v>7</v>
      </c>
      <c r="W23" s="98">
        <v>2058</v>
      </c>
      <c r="X23" s="98">
        <v>5</v>
      </c>
      <c r="Y23" s="98">
        <v>1470</v>
      </c>
      <c r="Z23" s="98">
        <v>8</v>
      </c>
      <c r="AA23" s="98">
        <v>2352</v>
      </c>
      <c r="AB23" s="98">
        <v>6</v>
      </c>
      <c r="AC23" s="98">
        <v>1764</v>
      </c>
      <c r="AD23" s="98">
        <v>6</v>
      </c>
      <c r="AE23" s="98">
        <v>1764</v>
      </c>
      <c r="AF23" s="98">
        <v>5</v>
      </c>
      <c r="AG23" s="98">
        <v>1470</v>
      </c>
      <c r="AH23" s="98">
        <v>5</v>
      </c>
      <c r="AI23" s="98">
        <v>1470</v>
      </c>
      <c r="AJ23" s="98">
        <v>7</v>
      </c>
      <c r="AK23" s="98">
        <v>2058</v>
      </c>
      <c r="AL23" s="98">
        <v>5</v>
      </c>
      <c r="AM23" s="98">
        <v>1470</v>
      </c>
      <c r="AN23" s="98">
        <v>4</v>
      </c>
      <c r="AO23" s="98">
        <v>1176</v>
      </c>
      <c r="AP23" s="98">
        <v>6</v>
      </c>
      <c r="AQ23" s="98">
        <v>1764</v>
      </c>
      <c r="AR23" s="98">
        <v>7</v>
      </c>
      <c r="AS23" s="98">
        <v>2058</v>
      </c>
      <c r="AT23" s="98">
        <v>8</v>
      </c>
      <c r="AU23" s="98">
        <v>2352</v>
      </c>
      <c r="AV23" s="98">
        <v>8</v>
      </c>
      <c r="AW23" s="98">
        <v>2352</v>
      </c>
      <c r="AX23" s="98">
        <v>9</v>
      </c>
      <c r="AY23" s="98">
        <v>2646</v>
      </c>
      <c r="AZ23" s="98">
        <v>7</v>
      </c>
      <c r="BA23" s="98">
        <v>2058</v>
      </c>
      <c r="BB23" s="98">
        <v>5</v>
      </c>
      <c r="BC23" s="98">
        <v>1470</v>
      </c>
      <c r="BD23" s="98">
        <v>6</v>
      </c>
      <c r="BE23" s="98">
        <v>1764</v>
      </c>
      <c r="BF23" s="98">
        <v>8</v>
      </c>
      <c r="BG23" s="98">
        <v>2352</v>
      </c>
      <c r="BH23" s="98">
        <v>8</v>
      </c>
      <c r="BI23" s="98">
        <v>2352</v>
      </c>
      <c r="BJ23" s="98">
        <v>7</v>
      </c>
      <c r="BK23" s="98">
        <v>2058</v>
      </c>
      <c r="BL23" s="98">
        <v>7</v>
      </c>
      <c r="BM23" s="98">
        <v>2058</v>
      </c>
      <c r="BN23" s="98">
        <v>6</v>
      </c>
      <c r="BO23" s="98">
        <v>1764</v>
      </c>
      <c r="BP23" s="98">
        <v>6</v>
      </c>
      <c r="BQ23" s="98">
        <v>1764</v>
      </c>
      <c r="BR23" s="98">
        <v>7</v>
      </c>
      <c r="BS23" s="98">
        <v>2058</v>
      </c>
      <c r="BT23" s="98">
        <v>6</v>
      </c>
      <c r="BU23" s="98">
        <v>1764</v>
      </c>
      <c r="BV23" s="98">
        <v>5</v>
      </c>
      <c r="BW23" s="98">
        <v>1470</v>
      </c>
      <c r="BX23" s="98">
        <v>5</v>
      </c>
      <c r="BY23" s="98">
        <v>1470</v>
      </c>
      <c r="BZ23" s="98">
        <v>7</v>
      </c>
      <c r="CA23" s="98">
        <v>2058</v>
      </c>
      <c r="CB23" s="98">
        <v>8</v>
      </c>
      <c r="CC23" s="98">
        <v>2352</v>
      </c>
      <c r="CD23" s="98">
        <v>9</v>
      </c>
      <c r="CE23" s="98">
        <v>2646</v>
      </c>
      <c r="CF23" s="98">
        <v>8</v>
      </c>
      <c r="CG23" s="98">
        <v>2352</v>
      </c>
      <c r="CH23" s="98">
        <v>6</v>
      </c>
      <c r="CI23" s="98">
        <v>1764</v>
      </c>
      <c r="CJ23" s="98">
        <v>6</v>
      </c>
      <c r="CK23" s="98">
        <v>1764</v>
      </c>
      <c r="CL23" s="98">
        <v>6</v>
      </c>
      <c r="CM23" s="98">
        <v>1764</v>
      </c>
      <c r="CN23" s="98">
        <v>9</v>
      </c>
      <c r="CO23" s="98">
        <v>2646</v>
      </c>
      <c r="CP23" s="98">
        <v>5</v>
      </c>
      <c r="CQ23" s="98">
        <v>1470</v>
      </c>
      <c r="CR23" s="98">
        <v>9</v>
      </c>
      <c r="CS23" s="98">
        <v>2646</v>
      </c>
      <c r="CT23" s="98">
        <v>8</v>
      </c>
      <c r="CU23" s="98">
        <v>2352</v>
      </c>
    </row>
    <row r="24" spans="2:99">
      <c r="C24" s="97" t="s">
        <v>191</v>
      </c>
      <c r="D24" s="98">
        <v>5</v>
      </c>
      <c r="E24" s="98">
        <v>1836</v>
      </c>
      <c r="F24" s="98">
        <v>7</v>
      </c>
      <c r="G24" s="98">
        <v>2570.4</v>
      </c>
      <c r="H24" s="98">
        <v>7</v>
      </c>
      <c r="I24" s="98">
        <v>2570.4</v>
      </c>
      <c r="J24" s="98">
        <v>7</v>
      </c>
      <c r="K24" s="98">
        <v>2570.4</v>
      </c>
      <c r="L24" s="98">
        <v>7</v>
      </c>
      <c r="M24" s="98">
        <v>2570.4</v>
      </c>
      <c r="N24" s="98">
        <v>4</v>
      </c>
      <c r="O24" s="98">
        <v>1468.8</v>
      </c>
      <c r="P24" s="98">
        <v>7</v>
      </c>
      <c r="Q24" s="98">
        <v>2570.4</v>
      </c>
      <c r="R24" s="98">
        <v>6</v>
      </c>
      <c r="S24" s="98">
        <v>2203.1999999999998</v>
      </c>
      <c r="T24" s="98">
        <v>6</v>
      </c>
      <c r="U24" s="98">
        <v>2203.1999999999998</v>
      </c>
      <c r="V24" s="98">
        <v>8</v>
      </c>
      <c r="W24" s="98">
        <v>2937.6</v>
      </c>
      <c r="X24" s="98">
        <v>4</v>
      </c>
      <c r="Y24" s="98">
        <v>1468.8</v>
      </c>
      <c r="Z24" s="98">
        <v>8</v>
      </c>
      <c r="AA24" s="98">
        <v>2937.6</v>
      </c>
      <c r="AB24" s="98">
        <v>6</v>
      </c>
      <c r="AC24" s="98">
        <v>2203.1999999999998</v>
      </c>
      <c r="AD24" s="98">
        <v>5</v>
      </c>
      <c r="AE24" s="98">
        <v>1836</v>
      </c>
      <c r="AF24" s="98">
        <v>5</v>
      </c>
      <c r="AG24" s="98">
        <v>1836</v>
      </c>
      <c r="AH24" s="98">
        <v>6</v>
      </c>
      <c r="AI24" s="98">
        <v>2203.1999999999998</v>
      </c>
      <c r="AJ24" s="98">
        <v>7</v>
      </c>
      <c r="AK24" s="98">
        <v>2570.4</v>
      </c>
      <c r="AL24" s="98">
        <v>5</v>
      </c>
      <c r="AM24" s="98">
        <v>1836</v>
      </c>
      <c r="AN24" s="98">
        <v>5</v>
      </c>
      <c r="AO24" s="98">
        <v>1836</v>
      </c>
      <c r="AP24" s="98">
        <v>6</v>
      </c>
      <c r="AQ24" s="98">
        <v>2203.1999999999998</v>
      </c>
      <c r="AR24" s="98">
        <v>7</v>
      </c>
      <c r="AS24" s="98">
        <v>2570.4</v>
      </c>
      <c r="AT24" s="98">
        <v>9</v>
      </c>
      <c r="AU24" s="98">
        <v>3304.7999999999997</v>
      </c>
      <c r="AV24" s="98">
        <v>9</v>
      </c>
      <c r="AW24" s="98">
        <v>3304.7999999999997</v>
      </c>
      <c r="AX24" s="98">
        <v>7</v>
      </c>
      <c r="AY24" s="98">
        <v>2570.4</v>
      </c>
      <c r="AZ24" s="98">
        <v>6</v>
      </c>
      <c r="BA24" s="98">
        <v>2203.1999999999998</v>
      </c>
      <c r="BB24" s="98">
        <v>5</v>
      </c>
      <c r="BC24" s="98">
        <v>1836</v>
      </c>
      <c r="BD24" s="98">
        <v>6</v>
      </c>
      <c r="BE24" s="98">
        <v>2203.1999999999998</v>
      </c>
      <c r="BF24" s="98">
        <v>8</v>
      </c>
      <c r="BG24" s="98">
        <v>2937.6</v>
      </c>
      <c r="BH24" s="98">
        <v>6</v>
      </c>
      <c r="BI24" s="98">
        <v>2203.1999999999998</v>
      </c>
      <c r="BJ24" s="98">
        <v>7</v>
      </c>
      <c r="BK24" s="98">
        <v>2570.4</v>
      </c>
      <c r="BL24" s="98">
        <v>7</v>
      </c>
      <c r="BM24" s="98">
        <v>2570.4</v>
      </c>
      <c r="BN24" s="98">
        <v>5</v>
      </c>
      <c r="BO24" s="98">
        <v>1836</v>
      </c>
      <c r="BP24" s="98">
        <v>6</v>
      </c>
      <c r="BQ24" s="98">
        <v>2203.1999999999998</v>
      </c>
      <c r="BR24" s="98">
        <v>7</v>
      </c>
      <c r="BS24" s="98">
        <v>2570.4</v>
      </c>
      <c r="BT24" s="98">
        <v>6</v>
      </c>
      <c r="BU24" s="98">
        <v>2203.1999999999998</v>
      </c>
      <c r="BV24" s="98">
        <v>5</v>
      </c>
      <c r="BW24" s="98">
        <v>1836</v>
      </c>
      <c r="BX24" s="98">
        <v>5</v>
      </c>
      <c r="BY24" s="98">
        <v>1836</v>
      </c>
      <c r="BZ24" s="98">
        <v>7</v>
      </c>
      <c r="CA24" s="98">
        <v>2570.4</v>
      </c>
      <c r="CB24" s="98">
        <v>8</v>
      </c>
      <c r="CC24" s="98">
        <v>2937.6</v>
      </c>
      <c r="CD24" s="98">
        <v>8</v>
      </c>
      <c r="CE24" s="98">
        <v>2937.6</v>
      </c>
      <c r="CF24" s="98">
        <v>8</v>
      </c>
      <c r="CG24" s="98">
        <v>2937.6</v>
      </c>
      <c r="CH24" s="98">
        <v>7</v>
      </c>
      <c r="CI24" s="98">
        <v>2570.4</v>
      </c>
      <c r="CJ24" s="98">
        <v>5</v>
      </c>
      <c r="CK24" s="98">
        <v>1836</v>
      </c>
      <c r="CL24" s="98">
        <v>6</v>
      </c>
      <c r="CM24" s="98">
        <v>2203.1999999999998</v>
      </c>
      <c r="CN24" s="98">
        <v>9</v>
      </c>
      <c r="CO24" s="98">
        <v>3304.7999999999997</v>
      </c>
      <c r="CP24" s="98">
        <v>5</v>
      </c>
      <c r="CQ24" s="98">
        <v>1836</v>
      </c>
      <c r="CR24" s="98">
        <v>10</v>
      </c>
      <c r="CS24" s="98">
        <v>3672</v>
      </c>
      <c r="CT24" s="98">
        <v>7</v>
      </c>
      <c r="CU24" s="98">
        <v>2570.4</v>
      </c>
    </row>
    <row r="25" spans="2:99">
      <c r="C25" s="97" t="s">
        <v>192</v>
      </c>
      <c r="D25" s="98">
        <v>5</v>
      </c>
      <c r="E25" s="98">
        <v>2652</v>
      </c>
      <c r="F25" s="98">
        <v>6</v>
      </c>
      <c r="G25" s="98">
        <v>3182.3999999999996</v>
      </c>
      <c r="H25" s="98">
        <v>7</v>
      </c>
      <c r="I25" s="98">
        <v>3712.7999999999997</v>
      </c>
      <c r="J25" s="98">
        <v>7</v>
      </c>
      <c r="K25" s="98">
        <v>3712.7999999999997</v>
      </c>
      <c r="L25" s="98">
        <v>8</v>
      </c>
      <c r="M25" s="98">
        <v>4243.2</v>
      </c>
      <c r="N25" s="98">
        <v>4</v>
      </c>
      <c r="O25" s="98">
        <v>2121.6</v>
      </c>
      <c r="P25" s="98">
        <v>7</v>
      </c>
      <c r="Q25" s="98">
        <v>3712.7999999999997</v>
      </c>
      <c r="R25" s="98">
        <v>7</v>
      </c>
      <c r="S25" s="98">
        <v>3712.7999999999997</v>
      </c>
      <c r="T25" s="98">
        <v>6</v>
      </c>
      <c r="U25" s="98">
        <v>3182.3999999999996</v>
      </c>
      <c r="V25" s="98">
        <v>8</v>
      </c>
      <c r="W25" s="98">
        <v>4243.2</v>
      </c>
      <c r="X25" s="98">
        <v>4</v>
      </c>
      <c r="Y25" s="98">
        <v>2121.6</v>
      </c>
      <c r="Z25" s="98">
        <v>8</v>
      </c>
      <c r="AA25" s="98">
        <v>4243.2</v>
      </c>
      <c r="AB25" s="98">
        <v>7</v>
      </c>
      <c r="AC25" s="98">
        <v>3712.7999999999997</v>
      </c>
      <c r="AD25" s="98">
        <v>6</v>
      </c>
      <c r="AE25" s="98">
        <v>3182.3999999999996</v>
      </c>
      <c r="AF25" s="98">
        <v>5</v>
      </c>
      <c r="AG25" s="98">
        <v>2652</v>
      </c>
      <c r="AH25" s="98">
        <v>5</v>
      </c>
      <c r="AI25" s="98">
        <v>2652</v>
      </c>
      <c r="AJ25" s="98">
        <v>6</v>
      </c>
      <c r="AK25" s="98">
        <v>3182.3999999999996</v>
      </c>
      <c r="AL25" s="98">
        <v>5</v>
      </c>
      <c r="AM25" s="98">
        <v>2652</v>
      </c>
      <c r="AN25" s="98">
        <v>5</v>
      </c>
      <c r="AO25" s="98">
        <v>2652</v>
      </c>
      <c r="AP25" s="98">
        <v>6</v>
      </c>
      <c r="AQ25" s="98">
        <v>3182.3999999999996</v>
      </c>
      <c r="AR25" s="98">
        <v>7</v>
      </c>
      <c r="AS25" s="98">
        <v>3712.7999999999997</v>
      </c>
      <c r="AT25" s="98">
        <v>9</v>
      </c>
      <c r="AU25" s="98">
        <v>4773.5999999999995</v>
      </c>
      <c r="AV25" s="98">
        <v>8</v>
      </c>
      <c r="AW25" s="98">
        <v>4243.2</v>
      </c>
      <c r="AX25" s="98">
        <v>7</v>
      </c>
      <c r="AY25" s="98">
        <v>3712.7999999999997</v>
      </c>
      <c r="AZ25" s="98">
        <v>6</v>
      </c>
      <c r="BA25" s="98">
        <v>3182.3999999999996</v>
      </c>
      <c r="BB25" s="98">
        <v>5</v>
      </c>
      <c r="BC25" s="98">
        <v>2652</v>
      </c>
      <c r="BD25" s="98">
        <v>5</v>
      </c>
      <c r="BE25" s="98">
        <v>2652</v>
      </c>
      <c r="BF25" s="98">
        <v>9</v>
      </c>
      <c r="BG25" s="98">
        <v>4773.5999999999995</v>
      </c>
      <c r="BH25" s="98">
        <v>6</v>
      </c>
      <c r="BI25" s="98">
        <v>3182.3999999999996</v>
      </c>
      <c r="BJ25" s="98">
        <v>6</v>
      </c>
      <c r="BK25" s="98">
        <v>3182.3999999999996</v>
      </c>
      <c r="BL25" s="98">
        <v>8</v>
      </c>
      <c r="BM25" s="98">
        <v>4243.2</v>
      </c>
      <c r="BN25" s="98">
        <v>5</v>
      </c>
      <c r="BO25" s="98">
        <v>2652</v>
      </c>
      <c r="BP25" s="98">
        <v>5</v>
      </c>
      <c r="BQ25" s="98">
        <v>2652</v>
      </c>
      <c r="BR25" s="98">
        <v>8</v>
      </c>
      <c r="BS25" s="98">
        <v>4243.2</v>
      </c>
      <c r="BT25" s="98">
        <v>6</v>
      </c>
      <c r="BU25" s="98">
        <v>3182.3999999999996</v>
      </c>
      <c r="BV25" s="98">
        <v>5</v>
      </c>
      <c r="BW25" s="98">
        <v>2652</v>
      </c>
      <c r="BX25" s="98">
        <v>5</v>
      </c>
      <c r="BY25" s="98">
        <v>2652</v>
      </c>
      <c r="BZ25" s="98">
        <v>7</v>
      </c>
      <c r="CA25" s="98">
        <v>3712.7999999999997</v>
      </c>
      <c r="CB25" s="98">
        <v>8</v>
      </c>
      <c r="CC25" s="98">
        <v>4243.2</v>
      </c>
      <c r="CD25" s="98">
        <v>8</v>
      </c>
      <c r="CE25" s="98">
        <v>4243.2</v>
      </c>
      <c r="CF25" s="98">
        <v>9</v>
      </c>
      <c r="CG25" s="98">
        <v>4773.5999999999995</v>
      </c>
      <c r="CH25" s="98">
        <v>6</v>
      </c>
      <c r="CI25" s="98">
        <v>3182.3999999999996</v>
      </c>
      <c r="CJ25" s="98">
        <v>5</v>
      </c>
      <c r="CK25" s="98">
        <v>2652</v>
      </c>
      <c r="CL25" s="98">
        <v>5</v>
      </c>
      <c r="CM25" s="98">
        <v>2652</v>
      </c>
      <c r="CN25" s="98">
        <v>8</v>
      </c>
      <c r="CO25" s="98">
        <v>4243.2</v>
      </c>
      <c r="CP25" s="98">
        <v>5</v>
      </c>
      <c r="CQ25" s="98">
        <v>2652</v>
      </c>
      <c r="CR25" s="98">
        <v>9</v>
      </c>
      <c r="CS25" s="98">
        <v>4773.5999999999995</v>
      </c>
      <c r="CT25" s="98">
        <v>7</v>
      </c>
      <c r="CU25" s="98">
        <v>3712.7999999999997</v>
      </c>
    </row>
    <row r="26" spans="2:99">
      <c r="C26" s="97" t="s">
        <v>193</v>
      </c>
      <c r="D26" s="98">
        <v>5</v>
      </c>
      <c r="E26" s="98">
        <v>2430</v>
      </c>
      <c r="F26" s="98">
        <v>6</v>
      </c>
      <c r="G26" s="98">
        <v>2916</v>
      </c>
      <c r="H26" s="98">
        <v>8</v>
      </c>
      <c r="I26" s="98">
        <v>3888</v>
      </c>
      <c r="J26" s="98">
        <v>7</v>
      </c>
      <c r="K26" s="98">
        <v>3402</v>
      </c>
      <c r="L26" s="98">
        <v>8</v>
      </c>
      <c r="M26" s="98">
        <v>3888</v>
      </c>
      <c r="N26" s="98">
        <v>4</v>
      </c>
      <c r="O26" s="98">
        <v>1944</v>
      </c>
      <c r="P26" s="98">
        <v>7</v>
      </c>
      <c r="Q26" s="98">
        <v>3402</v>
      </c>
      <c r="R26" s="98">
        <v>7</v>
      </c>
      <c r="S26" s="98">
        <v>3402</v>
      </c>
      <c r="T26" s="98">
        <v>5</v>
      </c>
      <c r="U26" s="98">
        <v>2430</v>
      </c>
      <c r="V26" s="98">
        <v>8</v>
      </c>
      <c r="W26" s="98">
        <v>3888</v>
      </c>
      <c r="X26" s="98">
        <v>4</v>
      </c>
      <c r="Y26" s="98">
        <v>1944</v>
      </c>
      <c r="Z26" s="98">
        <v>7</v>
      </c>
      <c r="AA26" s="98">
        <v>3402</v>
      </c>
      <c r="AB26" s="98">
        <v>7</v>
      </c>
      <c r="AC26" s="98">
        <v>3402</v>
      </c>
      <c r="AD26" s="98">
        <v>5</v>
      </c>
      <c r="AE26" s="98">
        <v>2430</v>
      </c>
      <c r="AF26" s="98">
        <v>5</v>
      </c>
      <c r="AG26" s="98">
        <v>2430</v>
      </c>
      <c r="AH26" s="98">
        <v>5</v>
      </c>
      <c r="AI26" s="98">
        <v>2430</v>
      </c>
      <c r="AJ26" s="98">
        <v>7</v>
      </c>
      <c r="AK26" s="98">
        <v>3402</v>
      </c>
      <c r="AL26" s="98">
        <v>5</v>
      </c>
      <c r="AM26" s="98">
        <v>2430</v>
      </c>
      <c r="AN26" s="98">
        <v>5</v>
      </c>
      <c r="AO26" s="98">
        <v>2430</v>
      </c>
      <c r="AP26" s="98">
        <v>6</v>
      </c>
      <c r="AQ26" s="98">
        <v>2916</v>
      </c>
      <c r="AR26" s="98">
        <v>6</v>
      </c>
      <c r="AS26" s="98">
        <v>2916</v>
      </c>
      <c r="AT26" s="98">
        <v>8</v>
      </c>
      <c r="AU26" s="98">
        <v>3888</v>
      </c>
      <c r="AV26" s="98">
        <v>9</v>
      </c>
      <c r="AW26" s="98">
        <v>4374</v>
      </c>
      <c r="AX26" s="98">
        <v>8</v>
      </c>
      <c r="AY26" s="98">
        <v>3888</v>
      </c>
      <c r="AZ26" s="98">
        <v>7</v>
      </c>
      <c r="BA26" s="98">
        <v>3402</v>
      </c>
      <c r="BB26" s="98">
        <v>5</v>
      </c>
      <c r="BC26" s="98">
        <v>2430</v>
      </c>
      <c r="BD26" s="98">
        <v>6</v>
      </c>
      <c r="BE26" s="98">
        <v>2916</v>
      </c>
      <c r="BF26" s="98">
        <v>9</v>
      </c>
      <c r="BG26" s="98">
        <v>4374</v>
      </c>
      <c r="BH26" s="98">
        <v>7</v>
      </c>
      <c r="BI26" s="98">
        <v>3402</v>
      </c>
      <c r="BJ26" s="98">
        <v>6</v>
      </c>
      <c r="BK26" s="98">
        <v>2916</v>
      </c>
      <c r="BL26" s="98">
        <v>7</v>
      </c>
      <c r="BM26" s="98">
        <v>3402</v>
      </c>
      <c r="BN26" s="98">
        <v>6</v>
      </c>
      <c r="BO26" s="98">
        <v>2916</v>
      </c>
      <c r="BP26" s="98">
        <v>6</v>
      </c>
      <c r="BQ26" s="98">
        <v>2916</v>
      </c>
      <c r="BR26" s="98">
        <v>7</v>
      </c>
      <c r="BS26" s="98">
        <v>3402</v>
      </c>
      <c r="BT26" s="98">
        <v>7</v>
      </c>
      <c r="BU26" s="98">
        <v>3402</v>
      </c>
      <c r="BV26" s="98">
        <v>5</v>
      </c>
      <c r="BW26" s="98">
        <v>2430</v>
      </c>
      <c r="BX26" s="98">
        <v>5</v>
      </c>
      <c r="BY26" s="98">
        <v>2430</v>
      </c>
      <c r="BZ26" s="98">
        <v>7</v>
      </c>
      <c r="CA26" s="98">
        <v>3402</v>
      </c>
      <c r="CB26" s="98">
        <v>8</v>
      </c>
      <c r="CC26" s="98">
        <v>3888</v>
      </c>
      <c r="CD26" s="98">
        <v>8</v>
      </c>
      <c r="CE26" s="98">
        <v>3888</v>
      </c>
      <c r="CF26" s="98">
        <v>8</v>
      </c>
      <c r="CG26" s="98">
        <v>3888</v>
      </c>
      <c r="CH26" s="98">
        <v>6</v>
      </c>
      <c r="CI26" s="98">
        <v>2916</v>
      </c>
      <c r="CJ26" s="98">
        <v>5</v>
      </c>
      <c r="CK26" s="98">
        <v>2430</v>
      </c>
      <c r="CL26" s="98">
        <v>5</v>
      </c>
      <c r="CM26" s="98">
        <v>2430</v>
      </c>
      <c r="CN26" s="98">
        <v>9</v>
      </c>
      <c r="CO26" s="98">
        <v>4374</v>
      </c>
      <c r="CP26" s="98">
        <v>5</v>
      </c>
      <c r="CQ26" s="98">
        <v>2430</v>
      </c>
      <c r="CR26" s="98">
        <v>9</v>
      </c>
      <c r="CS26" s="98">
        <v>4374</v>
      </c>
      <c r="CT26" s="98">
        <v>7</v>
      </c>
      <c r="CU26" s="98">
        <v>3402</v>
      </c>
    </row>
    <row r="27" spans="2:99">
      <c r="C27" s="97" t="s">
        <v>194</v>
      </c>
      <c r="D27" s="98">
        <v>5</v>
      </c>
      <c r="E27" s="98">
        <v>2136</v>
      </c>
      <c r="F27" s="98">
        <v>6</v>
      </c>
      <c r="G27" s="98">
        <v>2563.1999999999998</v>
      </c>
      <c r="H27" s="98">
        <v>8</v>
      </c>
      <c r="I27" s="98">
        <v>3417.6</v>
      </c>
      <c r="J27" s="98">
        <v>8</v>
      </c>
      <c r="K27" s="98">
        <v>3417.6</v>
      </c>
      <c r="L27" s="98">
        <v>8</v>
      </c>
      <c r="M27" s="98">
        <v>3417.6</v>
      </c>
      <c r="N27" s="98">
        <v>4</v>
      </c>
      <c r="O27" s="98">
        <v>1708.8</v>
      </c>
      <c r="P27" s="98">
        <v>6</v>
      </c>
      <c r="Q27" s="98">
        <v>2563.1999999999998</v>
      </c>
      <c r="R27" s="98">
        <v>7</v>
      </c>
      <c r="S27" s="98">
        <v>2990.4</v>
      </c>
      <c r="T27" s="98">
        <v>5</v>
      </c>
      <c r="U27" s="98">
        <v>2136</v>
      </c>
      <c r="V27" s="98">
        <v>8</v>
      </c>
      <c r="W27" s="98">
        <v>3417.6</v>
      </c>
      <c r="X27" s="98">
        <v>5</v>
      </c>
      <c r="Y27" s="98">
        <v>2136</v>
      </c>
      <c r="Z27" s="98">
        <v>7</v>
      </c>
      <c r="AA27" s="98">
        <v>2990.4</v>
      </c>
      <c r="AB27" s="98">
        <v>6</v>
      </c>
      <c r="AC27" s="98">
        <v>2563.1999999999998</v>
      </c>
      <c r="AD27" s="98">
        <v>6</v>
      </c>
      <c r="AE27" s="98">
        <v>2563.1999999999998</v>
      </c>
      <c r="AF27" s="98">
        <v>5</v>
      </c>
      <c r="AG27" s="98">
        <v>2136</v>
      </c>
      <c r="AH27" s="98">
        <v>5</v>
      </c>
      <c r="AI27" s="98">
        <v>2136</v>
      </c>
      <c r="AJ27" s="98">
        <v>7</v>
      </c>
      <c r="AK27" s="98">
        <v>2990.4</v>
      </c>
      <c r="AL27" s="98">
        <v>6</v>
      </c>
      <c r="AM27" s="98">
        <v>2563.1999999999998</v>
      </c>
      <c r="AN27" s="98">
        <v>5</v>
      </c>
      <c r="AO27" s="98">
        <v>2136</v>
      </c>
      <c r="AP27" s="98">
        <v>6</v>
      </c>
      <c r="AQ27" s="98">
        <v>2563.1999999999998</v>
      </c>
      <c r="AR27" s="98">
        <v>7</v>
      </c>
      <c r="AS27" s="98">
        <v>2990.4</v>
      </c>
      <c r="AT27" s="98">
        <v>9</v>
      </c>
      <c r="AU27" s="98">
        <v>3844.7999999999997</v>
      </c>
      <c r="AV27" s="98">
        <v>9</v>
      </c>
      <c r="AW27" s="98">
        <v>3844.7999999999997</v>
      </c>
      <c r="AX27" s="98">
        <v>8</v>
      </c>
      <c r="AY27" s="98">
        <v>3417.6</v>
      </c>
      <c r="AZ27" s="98">
        <v>7</v>
      </c>
      <c r="BA27" s="98">
        <v>2990.4</v>
      </c>
      <c r="BB27" s="98">
        <v>5</v>
      </c>
      <c r="BC27" s="98">
        <v>2136</v>
      </c>
      <c r="BD27" s="98">
        <v>6</v>
      </c>
      <c r="BE27" s="98">
        <v>2563.1999999999998</v>
      </c>
      <c r="BF27" s="98">
        <v>9</v>
      </c>
      <c r="BG27" s="98">
        <v>3844.7999999999997</v>
      </c>
      <c r="BH27" s="98">
        <v>7</v>
      </c>
      <c r="BI27" s="98">
        <v>2990.4</v>
      </c>
      <c r="BJ27" s="98">
        <v>6</v>
      </c>
      <c r="BK27" s="98">
        <v>2563.1999999999998</v>
      </c>
      <c r="BL27" s="98">
        <v>7</v>
      </c>
      <c r="BM27" s="98">
        <v>2990.4</v>
      </c>
      <c r="BN27" s="98">
        <v>6</v>
      </c>
      <c r="BO27" s="98">
        <v>2563.1999999999998</v>
      </c>
      <c r="BP27" s="98">
        <v>5</v>
      </c>
      <c r="BQ27" s="98">
        <v>2136</v>
      </c>
      <c r="BR27" s="98">
        <v>8</v>
      </c>
      <c r="BS27" s="98">
        <v>3417.6</v>
      </c>
      <c r="BT27" s="98">
        <v>6</v>
      </c>
      <c r="BU27" s="98">
        <v>2563.1999999999998</v>
      </c>
      <c r="BV27" s="98">
        <v>5</v>
      </c>
      <c r="BW27" s="98">
        <v>2136</v>
      </c>
      <c r="BX27" s="98">
        <v>5</v>
      </c>
      <c r="BY27" s="98">
        <v>2136</v>
      </c>
      <c r="BZ27" s="98">
        <v>7</v>
      </c>
      <c r="CA27" s="98">
        <v>2990.4</v>
      </c>
      <c r="CB27" s="98">
        <v>8</v>
      </c>
      <c r="CC27" s="98">
        <v>3417.6</v>
      </c>
      <c r="CD27" s="98">
        <v>9</v>
      </c>
      <c r="CE27" s="98">
        <v>3844.7999999999997</v>
      </c>
      <c r="CF27" s="98">
        <v>8</v>
      </c>
      <c r="CG27" s="98">
        <v>3417.6</v>
      </c>
      <c r="CH27" s="98">
        <v>7</v>
      </c>
      <c r="CI27" s="98">
        <v>2990.4</v>
      </c>
      <c r="CJ27" s="98">
        <v>5</v>
      </c>
      <c r="CK27" s="98">
        <v>2136</v>
      </c>
      <c r="CL27" s="98">
        <v>6</v>
      </c>
      <c r="CM27" s="98">
        <v>2563.1999999999998</v>
      </c>
      <c r="CN27" s="98">
        <v>8</v>
      </c>
      <c r="CO27" s="98">
        <v>3417.6</v>
      </c>
      <c r="CP27" s="98">
        <v>5</v>
      </c>
      <c r="CQ27" s="98">
        <v>2136</v>
      </c>
      <c r="CR27" s="98">
        <v>9</v>
      </c>
      <c r="CS27" s="98">
        <v>3844.7999999999997</v>
      </c>
      <c r="CT27" s="98">
        <v>7</v>
      </c>
      <c r="CU27" s="98">
        <v>2990.4</v>
      </c>
    </row>
    <row r="28" spans="2:99">
      <c r="C28" s="97" t="s">
        <v>195</v>
      </c>
      <c r="D28" s="98">
        <v>4</v>
      </c>
      <c r="E28" s="98">
        <v>2952</v>
      </c>
      <c r="F28" s="98">
        <v>6</v>
      </c>
      <c r="G28" s="98">
        <v>4428</v>
      </c>
      <c r="H28" s="98">
        <v>7</v>
      </c>
      <c r="I28" s="98">
        <v>5166</v>
      </c>
      <c r="J28" s="98">
        <v>7</v>
      </c>
      <c r="K28" s="98">
        <v>5166</v>
      </c>
      <c r="L28" s="98">
        <v>8</v>
      </c>
      <c r="M28" s="98">
        <v>5904</v>
      </c>
      <c r="N28" s="98">
        <v>4</v>
      </c>
      <c r="O28" s="98">
        <v>2952</v>
      </c>
      <c r="P28" s="98">
        <v>6</v>
      </c>
      <c r="Q28" s="98">
        <v>4428</v>
      </c>
      <c r="R28" s="98">
        <v>7</v>
      </c>
      <c r="S28" s="98">
        <v>5166</v>
      </c>
      <c r="T28" s="98">
        <v>6</v>
      </c>
      <c r="U28" s="98">
        <v>4428</v>
      </c>
      <c r="V28" s="98">
        <v>7</v>
      </c>
      <c r="W28" s="98">
        <v>5166</v>
      </c>
      <c r="X28" s="98">
        <v>5</v>
      </c>
      <c r="Y28" s="98">
        <v>3690</v>
      </c>
      <c r="Z28" s="98">
        <v>8</v>
      </c>
      <c r="AA28" s="98">
        <v>5904</v>
      </c>
      <c r="AB28" s="98">
        <v>7</v>
      </c>
      <c r="AC28" s="98">
        <v>5166</v>
      </c>
      <c r="AD28" s="98">
        <v>5</v>
      </c>
      <c r="AE28" s="98">
        <v>3690</v>
      </c>
      <c r="AF28" s="98">
        <v>5</v>
      </c>
      <c r="AG28" s="98">
        <v>3690</v>
      </c>
      <c r="AH28" s="98">
        <v>5</v>
      </c>
      <c r="AI28" s="98">
        <v>3690</v>
      </c>
      <c r="AJ28" s="98">
        <v>7</v>
      </c>
      <c r="AK28" s="98">
        <v>5166</v>
      </c>
      <c r="AL28" s="98">
        <v>5</v>
      </c>
      <c r="AM28" s="98">
        <v>3690</v>
      </c>
      <c r="AN28" s="98">
        <v>5</v>
      </c>
      <c r="AO28" s="98">
        <v>3690</v>
      </c>
      <c r="AP28" s="98">
        <v>6</v>
      </c>
      <c r="AQ28" s="98">
        <v>4428</v>
      </c>
      <c r="AR28" s="98">
        <v>7</v>
      </c>
      <c r="AS28" s="98">
        <v>5166</v>
      </c>
      <c r="AT28" s="98">
        <v>9</v>
      </c>
      <c r="AU28" s="98">
        <v>6642</v>
      </c>
      <c r="AV28" s="98">
        <v>9</v>
      </c>
      <c r="AW28" s="98">
        <v>6642</v>
      </c>
      <c r="AX28" s="98">
        <v>7</v>
      </c>
      <c r="AY28" s="98">
        <v>5166</v>
      </c>
      <c r="AZ28" s="98">
        <v>7</v>
      </c>
      <c r="BA28" s="98">
        <v>5166</v>
      </c>
      <c r="BB28" s="98">
        <v>5</v>
      </c>
      <c r="BC28" s="98">
        <v>3690</v>
      </c>
      <c r="BD28" s="98">
        <v>6</v>
      </c>
      <c r="BE28" s="98">
        <v>4428</v>
      </c>
      <c r="BF28" s="98">
        <v>9</v>
      </c>
      <c r="BG28" s="98">
        <v>6642</v>
      </c>
      <c r="BH28" s="98">
        <v>7</v>
      </c>
      <c r="BI28" s="98">
        <v>5166</v>
      </c>
      <c r="BJ28" s="98">
        <v>6</v>
      </c>
      <c r="BK28" s="98">
        <v>4428</v>
      </c>
      <c r="BL28" s="98">
        <v>7</v>
      </c>
      <c r="BM28" s="98">
        <v>5166</v>
      </c>
      <c r="BN28" s="98">
        <v>5</v>
      </c>
      <c r="BO28" s="98">
        <v>3690</v>
      </c>
      <c r="BP28" s="98">
        <v>5</v>
      </c>
      <c r="BQ28" s="98">
        <v>3690</v>
      </c>
      <c r="BR28" s="98">
        <v>7</v>
      </c>
      <c r="BS28" s="98">
        <v>5166</v>
      </c>
      <c r="BT28" s="98">
        <v>7</v>
      </c>
      <c r="BU28" s="98">
        <v>5166</v>
      </c>
      <c r="BV28" s="98">
        <v>5</v>
      </c>
      <c r="BW28" s="98">
        <v>3690</v>
      </c>
      <c r="BX28" s="98">
        <v>5</v>
      </c>
      <c r="BY28" s="98">
        <v>3690</v>
      </c>
      <c r="BZ28" s="98">
        <v>7</v>
      </c>
      <c r="CA28" s="98">
        <v>5166</v>
      </c>
      <c r="CB28" s="98">
        <v>9</v>
      </c>
      <c r="CC28" s="98">
        <v>6642</v>
      </c>
      <c r="CD28" s="98">
        <v>8</v>
      </c>
      <c r="CE28" s="98">
        <v>5904</v>
      </c>
      <c r="CF28" s="98">
        <v>9</v>
      </c>
      <c r="CG28" s="98">
        <v>6642</v>
      </c>
      <c r="CH28" s="98">
        <v>6</v>
      </c>
      <c r="CI28" s="98">
        <v>4428</v>
      </c>
      <c r="CJ28" s="98">
        <v>5</v>
      </c>
      <c r="CK28" s="98">
        <v>3690</v>
      </c>
      <c r="CL28" s="98">
        <v>6</v>
      </c>
      <c r="CM28" s="98">
        <v>4428</v>
      </c>
      <c r="CN28" s="98">
        <v>9</v>
      </c>
      <c r="CO28" s="98">
        <v>6642</v>
      </c>
      <c r="CP28" s="98">
        <v>5</v>
      </c>
      <c r="CQ28" s="98">
        <v>3690</v>
      </c>
      <c r="CR28" s="98">
        <v>8</v>
      </c>
      <c r="CS28" s="98">
        <v>5904</v>
      </c>
      <c r="CT28" s="98">
        <v>7</v>
      </c>
      <c r="CU28" s="98">
        <v>5166</v>
      </c>
    </row>
    <row r="29" spans="2:99">
      <c r="C29" s="97" t="s">
        <v>196</v>
      </c>
      <c r="D29" s="98">
        <v>5</v>
      </c>
      <c r="E29" s="98">
        <v>1692</v>
      </c>
      <c r="F29" s="98">
        <v>6</v>
      </c>
      <c r="G29" s="98">
        <v>2030.3999999999999</v>
      </c>
      <c r="H29" s="98">
        <v>8</v>
      </c>
      <c r="I29" s="98">
        <v>2707.2</v>
      </c>
      <c r="J29" s="98">
        <v>8</v>
      </c>
      <c r="K29" s="98">
        <v>2707.2</v>
      </c>
      <c r="L29" s="98">
        <v>9</v>
      </c>
      <c r="M29" s="98">
        <v>3045.6</v>
      </c>
      <c r="N29" s="98">
        <v>4</v>
      </c>
      <c r="O29" s="98">
        <v>1353.6</v>
      </c>
      <c r="P29" s="98">
        <v>7</v>
      </c>
      <c r="Q29" s="98">
        <v>2368.7999999999997</v>
      </c>
      <c r="R29" s="98">
        <v>6</v>
      </c>
      <c r="S29" s="98">
        <v>2030.3999999999999</v>
      </c>
      <c r="T29" s="98">
        <v>6</v>
      </c>
      <c r="U29" s="98">
        <v>2030.3999999999999</v>
      </c>
      <c r="V29" s="98">
        <v>8</v>
      </c>
      <c r="W29" s="98">
        <v>2707.2</v>
      </c>
      <c r="X29" s="98">
        <v>4</v>
      </c>
      <c r="Y29" s="98">
        <v>1353.6</v>
      </c>
      <c r="Z29" s="98">
        <v>7</v>
      </c>
      <c r="AA29" s="98">
        <v>2368.7999999999997</v>
      </c>
      <c r="AB29" s="98">
        <v>7</v>
      </c>
      <c r="AC29" s="98">
        <v>2368.7999999999997</v>
      </c>
      <c r="AD29" s="98">
        <v>5</v>
      </c>
      <c r="AE29" s="98">
        <v>1692</v>
      </c>
      <c r="AF29" s="98">
        <v>5</v>
      </c>
      <c r="AG29" s="98">
        <v>1692</v>
      </c>
      <c r="AH29" s="98">
        <v>5</v>
      </c>
      <c r="AI29" s="98">
        <v>1692</v>
      </c>
      <c r="AJ29" s="98">
        <v>7</v>
      </c>
      <c r="AK29" s="98">
        <v>2368.7999999999997</v>
      </c>
      <c r="AL29" s="98">
        <v>6</v>
      </c>
      <c r="AM29" s="98">
        <v>2030.3999999999999</v>
      </c>
      <c r="AN29" s="98">
        <v>5</v>
      </c>
      <c r="AO29" s="98">
        <v>1692</v>
      </c>
      <c r="AP29" s="98">
        <v>6</v>
      </c>
      <c r="AQ29" s="98">
        <v>2030.3999999999999</v>
      </c>
      <c r="AR29" s="98">
        <v>6</v>
      </c>
      <c r="AS29" s="98">
        <v>2030.3999999999999</v>
      </c>
      <c r="AT29" s="98">
        <v>8</v>
      </c>
      <c r="AU29" s="98">
        <v>2707.2</v>
      </c>
      <c r="AV29" s="98">
        <v>8</v>
      </c>
      <c r="AW29" s="98">
        <v>2707.2</v>
      </c>
      <c r="AX29" s="98">
        <v>7</v>
      </c>
      <c r="AY29" s="98">
        <v>2368.7999999999997</v>
      </c>
      <c r="AZ29" s="98">
        <v>6</v>
      </c>
      <c r="BA29" s="98">
        <v>2030.3999999999999</v>
      </c>
      <c r="BB29" s="98">
        <v>4</v>
      </c>
      <c r="BC29" s="98">
        <v>1353.6</v>
      </c>
      <c r="BD29" s="98">
        <v>6</v>
      </c>
      <c r="BE29" s="98">
        <v>2030.3999999999999</v>
      </c>
      <c r="BF29" s="98">
        <v>8</v>
      </c>
      <c r="BG29" s="98">
        <v>2707.2</v>
      </c>
      <c r="BH29" s="98">
        <v>7</v>
      </c>
      <c r="BI29" s="98">
        <v>2368.7999999999997</v>
      </c>
      <c r="BJ29" s="98">
        <v>7</v>
      </c>
      <c r="BK29" s="98">
        <v>2368.7999999999997</v>
      </c>
      <c r="BL29" s="98">
        <v>7</v>
      </c>
      <c r="BM29" s="98">
        <v>2368.7999999999997</v>
      </c>
      <c r="BN29" s="98">
        <v>6</v>
      </c>
      <c r="BO29" s="98">
        <v>2030.3999999999999</v>
      </c>
      <c r="BP29" s="98">
        <v>5</v>
      </c>
      <c r="BQ29" s="98">
        <v>1692</v>
      </c>
      <c r="BR29" s="98">
        <v>8</v>
      </c>
      <c r="BS29" s="98">
        <v>2707.2</v>
      </c>
      <c r="BT29" s="98">
        <v>7</v>
      </c>
      <c r="BU29" s="98">
        <v>2368.7999999999997</v>
      </c>
      <c r="BV29" s="98">
        <v>5</v>
      </c>
      <c r="BW29" s="98">
        <v>1692</v>
      </c>
      <c r="BX29" s="98">
        <v>5</v>
      </c>
      <c r="BY29" s="98">
        <v>1692</v>
      </c>
      <c r="BZ29" s="98">
        <v>7</v>
      </c>
      <c r="CA29" s="98">
        <v>2368.7999999999997</v>
      </c>
      <c r="CB29" s="98">
        <v>9</v>
      </c>
      <c r="CC29" s="98">
        <v>3045.6</v>
      </c>
      <c r="CD29" s="98">
        <v>8</v>
      </c>
      <c r="CE29" s="98">
        <v>2707.2</v>
      </c>
      <c r="CF29" s="98">
        <v>8</v>
      </c>
      <c r="CG29" s="98">
        <v>2707.2</v>
      </c>
      <c r="CH29" s="98">
        <v>6</v>
      </c>
      <c r="CI29" s="98">
        <v>2030.3999999999999</v>
      </c>
      <c r="CJ29" s="98">
        <v>5</v>
      </c>
      <c r="CK29" s="98">
        <v>1692</v>
      </c>
      <c r="CL29" s="98">
        <v>6</v>
      </c>
      <c r="CM29" s="98">
        <v>2030.3999999999999</v>
      </c>
      <c r="CN29" s="98">
        <v>8</v>
      </c>
      <c r="CO29" s="98">
        <v>2707.2</v>
      </c>
      <c r="CP29" s="98">
        <v>5</v>
      </c>
      <c r="CQ29" s="98">
        <v>1692</v>
      </c>
      <c r="CR29" s="98">
        <v>9</v>
      </c>
      <c r="CS29" s="98">
        <v>3045.6</v>
      </c>
      <c r="CT29" s="98">
        <v>7</v>
      </c>
      <c r="CU29" s="98">
        <v>2368.7999999999997</v>
      </c>
    </row>
    <row r="30" spans="2:99">
      <c r="C30" s="97" t="s">
        <v>197</v>
      </c>
      <c r="D30" s="98">
        <v>5</v>
      </c>
      <c r="E30" s="98">
        <v>696</v>
      </c>
      <c r="F30" s="98">
        <v>6</v>
      </c>
      <c r="G30" s="98">
        <v>835.19999999999993</v>
      </c>
      <c r="H30" s="98">
        <v>8</v>
      </c>
      <c r="I30" s="98">
        <v>1113.5999999999999</v>
      </c>
      <c r="J30" s="98">
        <v>7</v>
      </c>
      <c r="K30" s="98">
        <v>974.39999999999986</v>
      </c>
      <c r="L30" s="98">
        <v>9</v>
      </c>
      <c r="M30" s="98">
        <v>1252.8</v>
      </c>
      <c r="N30" s="98">
        <v>4</v>
      </c>
      <c r="O30" s="98">
        <v>556.79999999999995</v>
      </c>
      <c r="P30" s="98">
        <v>7</v>
      </c>
      <c r="Q30" s="98">
        <v>974.39999999999986</v>
      </c>
      <c r="R30" s="98">
        <v>7</v>
      </c>
      <c r="S30" s="98">
        <v>974.39999999999986</v>
      </c>
      <c r="T30" s="98">
        <v>5</v>
      </c>
      <c r="U30" s="98">
        <v>696</v>
      </c>
      <c r="V30" s="98">
        <v>7</v>
      </c>
      <c r="W30" s="98">
        <v>974.39999999999986</v>
      </c>
      <c r="X30" s="98">
        <v>5</v>
      </c>
      <c r="Y30" s="98">
        <v>696</v>
      </c>
      <c r="Z30" s="98">
        <v>8</v>
      </c>
      <c r="AA30" s="98">
        <v>1113.5999999999999</v>
      </c>
      <c r="AB30" s="98">
        <v>7</v>
      </c>
      <c r="AC30" s="98">
        <v>974.39999999999986</v>
      </c>
      <c r="AD30" s="98">
        <v>5</v>
      </c>
      <c r="AE30" s="98">
        <v>696</v>
      </c>
      <c r="AF30" s="98">
        <v>5</v>
      </c>
      <c r="AG30" s="98">
        <v>696</v>
      </c>
      <c r="AH30" s="98">
        <v>5</v>
      </c>
      <c r="AI30" s="98">
        <v>696</v>
      </c>
      <c r="AJ30" s="98">
        <v>7</v>
      </c>
      <c r="AK30" s="98">
        <v>974.39999999999986</v>
      </c>
      <c r="AL30" s="98">
        <v>5</v>
      </c>
      <c r="AM30" s="98">
        <v>696</v>
      </c>
      <c r="AN30" s="98">
        <v>5</v>
      </c>
      <c r="AO30" s="98">
        <v>696</v>
      </c>
      <c r="AP30" s="98">
        <v>7</v>
      </c>
      <c r="AQ30" s="98">
        <v>974.39999999999986</v>
      </c>
      <c r="AR30" s="98">
        <v>7</v>
      </c>
      <c r="AS30" s="98">
        <v>974.39999999999986</v>
      </c>
      <c r="AT30" s="98">
        <v>8</v>
      </c>
      <c r="AU30" s="98">
        <v>1113.5999999999999</v>
      </c>
      <c r="AV30" s="98">
        <v>8</v>
      </c>
      <c r="AW30" s="98">
        <v>1113.5999999999999</v>
      </c>
      <c r="AX30" s="98">
        <v>9</v>
      </c>
      <c r="AY30" s="98">
        <v>1252.8</v>
      </c>
      <c r="AZ30" s="98">
        <v>7</v>
      </c>
      <c r="BA30" s="98">
        <v>974.39999999999986</v>
      </c>
      <c r="BB30" s="98">
        <v>5</v>
      </c>
      <c r="BC30" s="98">
        <v>696</v>
      </c>
      <c r="BD30" s="98">
        <v>6</v>
      </c>
      <c r="BE30" s="98">
        <v>835.19999999999993</v>
      </c>
      <c r="BF30" s="98">
        <v>9</v>
      </c>
      <c r="BG30" s="98">
        <v>1252.8</v>
      </c>
      <c r="BH30" s="98">
        <v>7</v>
      </c>
      <c r="BI30" s="98">
        <v>974.39999999999986</v>
      </c>
      <c r="BJ30" s="98">
        <v>6</v>
      </c>
      <c r="BK30" s="98">
        <v>835.19999999999993</v>
      </c>
      <c r="BL30" s="98">
        <v>7</v>
      </c>
      <c r="BM30" s="98">
        <v>974.39999999999986</v>
      </c>
      <c r="BN30" s="98">
        <v>6</v>
      </c>
      <c r="BO30" s="98">
        <v>835.19999999999993</v>
      </c>
      <c r="BP30" s="98">
        <v>5</v>
      </c>
      <c r="BQ30" s="98">
        <v>696</v>
      </c>
      <c r="BR30" s="98">
        <v>8</v>
      </c>
      <c r="BS30" s="98">
        <v>1113.5999999999999</v>
      </c>
      <c r="BT30" s="98">
        <v>6</v>
      </c>
      <c r="BU30" s="98">
        <v>835.19999999999993</v>
      </c>
      <c r="BV30" s="98">
        <v>5</v>
      </c>
      <c r="BW30" s="98">
        <v>696</v>
      </c>
      <c r="BX30" s="98">
        <v>5</v>
      </c>
      <c r="BY30" s="98">
        <v>696</v>
      </c>
      <c r="BZ30" s="98">
        <v>7</v>
      </c>
      <c r="CA30" s="98">
        <v>974.39999999999986</v>
      </c>
      <c r="CB30" s="98">
        <v>9</v>
      </c>
      <c r="CC30" s="98">
        <v>1252.8</v>
      </c>
      <c r="CD30" s="98">
        <v>8</v>
      </c>
      <c r="CE30" s="98">
        <v>1113.5999999999999</v>
      </c>
      <c r="CF30" s="98">
        <v>10</v>
      </c>
      <c r="CG30" s="98">
        <v>1392</v>
      </c>
      <c r="CH30" s="98">
        <v>6</v>
      </c>
      <c r="CI30" s="98">
        <v>835.19999999999993</v>
      </c>
      <c r="CJ30" s="98">
        <v>5</v>
      </c>
      <c r="CK30" s="98">
        <v>696</v>
      </c>
      <c r="CL30" s="98">
        <v>6</v>
      </c>
      <c r="CM30" s="98">
        <v>835.19999999999993</v>
      </c>
      <c r="CN30" s="98">
        <v>9</v>
      </c>
      <c r="CO30" s="98">
        <v>1252.8</v>
      </c>
      <c r="CP30" s="98">
        <v>5</v>
      </c>
      <c r="CQ30" s="98">
        <v>696</v>
      </c>
      <c r="CR30" s="98">
        <v>9</v>
      </c>
      <c r="CS30" s="98">
        <v>1252.8</v>
      </c>
      <c r="CT30" s="98">
        <v>7</v>
      </c>
      <c r="CU30" s="98">
        <v>974.39999999999986</v>
      </c>
    </row>
    <row r="31" spans="2:99">
      <c r="C31" s="97" t="s">
        <v>198</v>
      </c>
      <c r="D31" s="98">
        <v>5</v>
      </c>
      <c r="E31" s="98">
        <v>1704</v>
      </c>
      <c r="F31" s="98">
        <v>6</v>
      </c>
      <c r="G31" s="98">
        <v>2044.8000000000002</v>
      </c>
      <c r="H31" s="98">
        <v>7</v>
      </c>
      <c r="I31" s="98">
        <v>2385.6</v>
      </c>
      <c r="J31" s="98">
        <v>7</v>
      </c>
      <c r="K31" s="98">
        <v>2385.6</v>
      </c>
      <c r="L31" s="98">
        <v>8</v>
      </c>
      <c r="M31" s="98">
        <v>2726.4</v>
      </c>
      <c r="N31" s="98">
        <v>5</v>
      </c>
      <c r="O31" s="98">
        <v>1704</v>
      </c>
      <c r="P31" s="98">
        <v>7</v>
      </c>
      <c r="Q31" s="98">
        <v>2385.6</v>
      </c>
      <c r="R31" s="98">
        <v>6</v>
      </c>
      <c r="S31" s="98">
        <v>2044.8000000000002</v>
      </c>
      <c r="T31" s="98">
        <v>6</v>
      </c>
      <c r="U31" s="98">
        <v>2044.8000000000002</v>
      </c>
      <c r="V31" s="98">
        <v>7</v>
      </c>
      <c r="W31" s="98">
        <v>2385.6</v>
      </c>
      <c r="X31" s="98">
        <v>4</v>
      </c>
      <c r="Y31" s="98">
        <v>1363.2</v>
      </c>
      <c r="Z31" s="98">
        <v>7</v>
      </c>
      <c r="AA31" s="98">
        <v>2385.6</v>
      </c>
      <c r="AB31" s="98">
        <v>7</v>
      </c>
      <c r="AC31" s="98">
        <v>2385.6</v>
      </c>
      <c r="AD31" s="98">
        <v>6</v>
      </c>
      <c r="AE31" s="98">
        <v>2044.8000000000002</v>
      </c>
      <c r="AF31" s="98">
        <v>5</v>
      </c>
      <c r="AG31" s="98">
        <v>1704</v>
      </c>
      <c r="AH31" s="98">
        <v>5</v>
      </c>
      <c r="AI31" s="98">
        <v>1704</v>
      </c>
      <c r="AJ31" s="98">
        <v>7</v>
      </c>
      <c r="AK31" s="98">
        <v>2385.6</v>
      </c>
      <c r="AL31" s="98">
        <v>5</v>
      </c>
      <c r="AM31" s="98">
        <v>1704</v>
      </c>
      <c r="AN31" s="98">
        <v>4</v>
      </c>
      <c r="AO31" s="98">
        <v>1363.2</v>
      </c>
      <c r="AP31" s="98">
        <v>6</v>
      </c>
      <c r="AQ31" s="98">
        <v>2044.8000000000002</v>
      </c>
      <c r="AR31" s="98">
        <v>6</v>
      </c>
      <c r="AS31" s="98">
        <v>2044.8000000000002</v>
      </c>
      <c r="AT31" s="98">
        <v>9</v>
      </c>
      <c r="AU31" s="98">
        <v>3067.2000000000003</v>
      </c>
      <c r="AV31" s="98">
        <v>10</v>
      </c>
      <c r="AW31" s="98">
        <v>3408</v>
      </c>
      <c r="AX31" s="98">
        <v>9</v>
      </c>
      <c r="AY31" s="98">
        <v>3067.2000000000003</v>
      </c>
      <c r="AZ31" s="98">
        <v>7</v>
      </c>
      <c r="BA31" s="98">
        <v>2385.6</v>
      </c>
      <c r="BB31" s="98">
        <v>5</v>
      </c>
      <c r="BC31" s="98">
        <v>1704</v>
      </c>
      <c r="BD31" s="98">
        <v>6</v>
      </c>
      <c r="BE31" s="98">
        <v>2044.8000000000002</v>
      </c>
      <c r="BF31" s="98">
        <v>9</v>
      </c>
      <c r="BG31" s="98">
        <v>3067.2000000000003</v>
      </c>
      <c r="BH31" s="98">
        <v>8</v>
      </c>
      <c r="BI31" s="98">
        <v>2726.4</v>
      </c>
      <c r="BJ31" s="98">
        <v>6</v>
      </c>
      <c r="BK31" s="98">
        <v>2044.8000000000002</v>
      </c>
      <c r="BL31" s="98">
        <v>8</v>
      </c>
      <c r="BM31" s="98">
        <v>2726.4</v>
      </c>
      <c r="BN31" s="98">
        <v>6</v>
      </c>
      <c r="BO31" s="98">
        <v>2044.8000000000002</v>
      </c>
      <c r="BP31" s="98">
        <v>5</v>
      </c>
      <c r="BQ31" s="98">
        <v>1704</v>
      </c>
      <c r="BR31" s="98">
        <v>8</v>
      </c>
      <c r="BS31" s="98">
        <v>2726.4</v>
      </c>
      <c r="BT31" s="98">
        <v>7</v>
      </c>
      <c r="BU31" s="98">
        <v>2385.6</v>
      </c>
      <c r="BV31" s="98">
        <v>5</v>
      </c>
      <c r="BW31" s="98">
        <v>1704</v>
      </c>
      <c r="BX31" s="98">
        <v>5</v>
      </c>
      <c r="BY31" s="98">
        <v>1704</v>
      </c>
      <c r="BZ31" s="98">
        <v>7</v>
      </c>
      <c r="CA31" s="98">
        <v>2385.6</v>
      </c>
      <c r="CB31" s="98">
        <v>8</v>
      </c>
      <c r="CC31" s="98">
        <v>2726.4</v>
      </c>
      <c r="CD31" s="98">
        <v>8</v>
      </c>
      <c r="CE31" s="98">
        <v>2726.4</v>
      </c>
      <c r="CF31" s="98">
        <v>9</v>
      </c>
      <c r="CG31" s="98">
        <v>3067.2000000000003</v>
      </c>
      <c r="CH31" s="98">
        <v>6</v>
      </c>
      <c r="CI31" s="98">
        <v>2044.8000000000002</v>
      </c>
      <c r="CJ31" s="98">
        <v>5</v>
      </c>
      <c r="CK31" s="98">
        <v>1704</v>
      </c>
      <c r="CL31" s="98">
        <v>6</v>
      </c>
      <c r="CM31" s="98">
        <v>2044.8000000000002</v>
      </c>
      <c r="CN31" s="98">
        <v>9</v>
      </c>
      <c r="CO31" s="98">
        <v>3067.2000000000003</v>
      </c>
      <c r="CP31" s="98">
        <v>5</v>
      </c>
      <c r="CQ31" s="98">
        <v>1704</v>
      </c>
      <c r="CR31" s="98">
        <v>10</v>
      </c>
      <c r="CS31" s="98">
        <v>3408</v>
      </c>
      <c r="CT31" s="98">
        <v>7</v>
      </c>
      <c r="CU31" s="98">
        <v>2385.6</v>
      </c>
    </row>
    <row r="32" spans="2:99">
      <c r="C32" s="97" t="s">
        <v>199</v>
      </c>
      <c r="D32" s="98">
        <v>4</v>
      </c>
      <c r="E32" s="98">
        <v>3360</v>
      </c>
      <c r="F32" s="98">
        <v>7</v>
      </c>
      <c r="G32" s="98">
        <v>5880</v>
      </c>
      <c r="H32" s="98">
        <v>7</v>
      </c>
      <c r="I32" s="98">
        <v>5880</v>
      </c>
      <c r="J32" s="98">
        <v>7</v>
      </c>
      <c r="K32" s="98">
        <v>5880</v>
      </c>
      <c r="L32" s="98">
        <v>8</v>
      </c>
      <c r="M32" s="98">
        <v>6720</v>
      </c>
      <c r="N32" s="98">
        <v>4</v>
      </c>
      <c r="O32" s="98">
        <v>3360</v>
      </c>
      <c r="P32" s="98">
        <v>6</v>
      </c>
      <c r="Q32" s="98">
        <v>5040</v>
      </c>
      <c r="R32" s="98">
        <v>7</v>
      </c>
      <c r="S32" s="98">
        <v>5880</v>
      </c>
      <c r="T32" s="98">
        <v>6</v>
      </c>
      <c r="U32" s="98">
        <v>5040</v>
      </c>
      <c r="V32" s="98">
        <v>7</v>
      </c>
      <c r="W32" s="98">
        <v>5880</v>
      </c>
      <c r="X32" s="98">
        <v>5</v>
      </c>
      <c r="Y32" s="98">
        <v>4200</v>
      </c>
      <c r="Z32" s="98">
        <v>7</v>
      </c>
      <c r="AA32" s="98">
        <v>5880</v>
      </c>
      <c r="AB32" s="98">
        <v>7</v>
      </c>
      <c r="AC32" s="98">
        <v>5880</v>
      </c>
      <c r="AD32" s="98">
        <v>5</v>
      </c>
      <c r="AE32" s="98">
        <v>4200</v>
      </c>
      <c r="AF32" s="98">
        <v>5</v>
      </c>
      <c r="AG32" s="98">
        <v>4200</v>
      </c>
      <c r="AH32" s="98">
        <v>5</v>
      </c>
      <c r="AI32" s="98">
        <v>4200</v>
      </c>
      <c r="AJ32" s="98">
        <v>6</v>
      </c>
      <c r="AK32" s="98">
        <v>5040</v>
      </c>
      <c r="AL32" s="98">
        <v>5</v>
      </c>
      <c r="AM32" s="98">
        <v>4200</v>
      </c>
      <c r="AN32" s="98">
        <v>5</v>
      </c>
      <c r="AO32" s="98">
        <v>4200</v>
      </c>
      <c r="AP32" s="98">
        <v>6</v>
      </c>
      <c r="AQ32" s="98">
        <v>5040</v>
      </c>
      <c r="AR32" s="98">
        <v>7</v>
      </c>
      <c r="AS32" s="98">
        <v>5880</v>
      </c>
      <c r="AT32" s="98">
        <v>9</v>
      </c>
      <c r="AU32" s="98">
        <v>7560</v>
      </c>
      <c r="AV32" s="98">
        <v>9</v>
      </c>
      <c r="AW32" s="98">
        <v>7560</v>
      </c>
      <c r="AX32" s="98">
        <v>8</v>
      </c>
      <c r="AY32" s="98">
        <v>6720</v>
      </c>
      <c r="AZ32" s="98">
        <v>7</v>
      </c>
      <c r="BA32" s="98">
        <v>5880</v>
      </c>
      <c r="BB32" s="98">
        <v>4</v>
      </c>
      <c r="BC32" s="98">
        <v>3360</v>
      </c>
      <c r="BD32" s="98">
        <v>6</v>
      </c>
      <c r="BE32" s="98">
        <v>5040</v>
      </c>
      <c r="BF32" s="98">
        <v>8</v>
      </c>
      <c r="BG32" s="98">
        <v>6720</v>
      </c>
      <c r="BH32" s="98">
        <v>6</v>
      </c>
      <c r="BI32" s="98">
        <v>5040</v>
      </c>
      <c r="BJ32" s="98">
        <v>6</v>
      </c>
      <c r="BK32" s="98">
        <v>5040</v>
      </c>
      <c r="BL32" s="98">
        <v>7</v>
      </c>
      <c r="BM32" s="98">
        <v>5880</v>
      </c>
      <c r="BN32" s="98">
        <v>6</v>
      </c>
      <c r="BO32" s="98">
        <v>5040</v>
      </c>
      <c r="BP32" s="98">
        <v>5</v>
      </c>
      <c r="BQ32" s="98">
        <v>4200</v>
      </c>
      <c r="BR32" s="98">
        <v>7</v>
      </c>
      <c r="BS32" s="98">
        <v>5880</v>
      </c>
      <c r="BT32" s="98">
        <v>6</v>
      </c>
      <c r="BU32" s="98">
        <v>5040</v>
      </c>
      <c r="BV32" s="98">
        <v>5</v>
      </c>
      <c r="BW32" s="98">
        <v>4200</v>
      </c>
      <c r="BX32" s="98">
        <v>5</v>
      </c>
      <c r="BY32" s="98">
        <v>4200</v>
      </c>
      <c r="BZ32" s="98">
        <v>6</v>
      </c>
      <c r="CA32" s="98">
        <v>5040</v>
      </c>
      <c r="CB32" s="98">
        <v>9</v>
      </c>
      <c r="CC32" s="98">
        <v>7560</v>
      </c>
      <c r="CD32" s="98">
        <v>7</v>
      </c>
      <c r="CE32" s="98">
        <v>5880</v>
      </c>
      <c r="CF32" s="98">
        <v>10</v>
      </c>
      <c r="CG32" s="98">
        <v>8400</v>
      </c>
      <c r="CH32" s="98">
        <v>6</v>
      </c>
      <c r="CI32" s="98">
        <v>5040</v>
      </c>
      <c r="CJ32" s="98">
        <v>5</v>
      </c>
      <c r="CK32" s="98">
        <v>4200</v>
      </c>
      <c r="CL32" s="98">
        <v>6</v>
      </c>
      <c r="CM32" s="98">
        <v>5040</v>
      </c>
      <c r="CN32" s="98">
        <v>8</v>
      </c>
      <c r="CO32" s="98">
        <v>6720</v>
      </c>
      <c r="CP32" s="98">
        <v>4</v>
      </c>
      <c r="CQ32" s="98">
        <v>3360</v>
      </c>
      <c r="CR32" s="98">
        <v>9</v>
      </c>
      <c r="CS32" s="98">
        <v>7560</v>
      </c>
      <c r="CT32" s="98">
        <v>7</v>
      </c>
      <c r="CU32" s="98">
        <v>5880</v>
      </c>
    </row>
    <row r="33" spans="2:99">
      <c r="C33" s="97" t="s">
        <v>200</v>
      </c>
      <c r="D33" s="98">
        <v>4</v>
      </c>
      <c r="E33" s="98">
        <v>1896</v>
      </c>
      <c r="F33" s="98">
        <v>7</v>
      </c>
      <c r="G33" s="98">
        <v>3318</v>
      </c>
      <c r="H33" s="98">
        <v>7</v>
      </c>
      <c r="I33" s="98">
        <v>3318</v>
      </c>
      <c r="J33" s="98">
        <v>7</v>
      </c>
      <c r="K33" s="98">
        <v>3318</v>
      </c>
      <c r="L33" s="98">
        <v>8</v>
      </c>
      <c r="M33" s="98">
        <v>3792</v>
      </c>
      <c r="N33" s="98">
        <v>4</v>
      </c>
      <c r="O33" s="98">
        <v>1896</v>
      </c>
      <c r="P33" s="98">
        <v>7</v>
      </c>
      <c r="Q33" s="98">
        <v>3318</v>
      </c>
      <c r="R33" s="98">
        <v>6</v>
      </c>
      <c r="S33" s="98">
        <v>2844</v>
      </c>
      <c r="T33" s="98">
        <v>6</v>
      </c>
      <c r="U33" s="98">
        <v>2844</v>
      </c>
      <c r="V33" s="98">
        <v>8</v>
      </c>
      <c r="W33" s="98">
        <v>3792</v>
      </c>
      <c r="X33" s="98">
        <v>5</v>
      </c>
      <c r="Y33" s="98">
        <v>2370</v>
      </c>
      <c r="Z33" s="98">
        <v>8</v>
      </c>
      <c r="AA33" s="98">
        <v>3792</v>
      </c>
      <c r="AB33" s="98">
        <v>7</v>
      </c>
      <c r="AC33" s="98">
        <v>3318</v>
      </c>
      <c r="AD33" s="98">
        <v>5</v>
      </c>
      <c r="AE33" s="98">
        <v>2370</v>
      </c>
      <c r="AF33" s="98">
        <v>5</v>
      </c>
      <c r="AG33" s="98">
        <v>2370</v>
      </c>
      <c r="AH33" s="98">
        <v>5</v>
      </c>
      <c r="AI33" s="98">
        <v>2370</v>
      </c>
      <c r="AJ33" s="98">
        <v>7</v>
      </c>
      <c r="AK33" s="98">
        <v>3318</v>
      </c>
      <c r="AL33" s="98">
        <v>5</v>
      </c>
      <c r="AM33" s="98">
        <v>2370</v>
      </c>
      <c r="AN33" s="98">
        <v>4</v>
      </c>
      <c r="AO33" s="98">
        <v>1896</v>
      </c>
      <c r="AP33" s="98">
        <v>6</v>
      </c>
      <c r="AQ33" s="98">
        <v>2844</v>
      </c>
      <c r="AR33" s="98">
        <v>6</v>
      </c>
      <c r="AS33" s="98">
        <v>2844</v>
      </c>
      <c r="AT33" s="98">
        <v>8</v>
      </c>
      <c r="AU33" s="98">
        <v>3792</v>
      </c>
      <c r="AV33" s="98">
        <v>10</v>
      </c>
      <c r="AW33" s="98">
        <v>4740</v>
      </c>
      <c r="AX33" s="98">
        <v>8</v>
      </c>
      <c r="AY33" s="98">
        <v>3792</v>
      </c>
      <c r="AZ33" s="98">
        <v>7</v>
      </c>
      <c r="BA33" s="98">
        <v>3318</v>
      </c>
      <c r="BB33" s="98">
        <v>5</v>
      </c>
      <c r="BC33" s="98">
        <v>2370</v>
      </c>
      <c r="BD33" s="98">
        <v>6</v>
      </c>
      <c r="BE33" s="98">
        <v>2844</v>
      </c>
      <c r="BF33" s="98">
        <v>9</v>
      </c>
      <c r="BG33" s="98">
        <v>4266</v>
      </c>
      <c r="BH33" s="98">
        <v>7</v>
      </c>
      <c r="BI33" s="98">
        <v>3318</v>
      </c>
      <c r="BJ33" s="98">
        <v>7</v>
      </c>
      <c r="BK33" s="98">
        <v>3318</v>
      </c>
      <c r="BL33" s="98">
        <v>7</v>
      </c>
      <c r="BM33" s="98">
        <v>3318</v>
      </c>
      <c r="BN33" s="98">
        <v>6</v>
      </c>
      <c r="BO33" s="98">
        <v>2844</v>
      </c>
      <c r="BP33" s="98">
        <v>5</v>
      </c>
      <c r="BQ33" s="98">
        <v>2370</v>
      </c>
      <c r="BR33" s="98">
        <v>7</v>
      </c>
      <c r="BS33" s="98">
        <v>3318</v>
      </c>
      <c r="BT33" s="98">
        <v>7</v>
      </c>
      <c r="BU33" s="98">
        <v>3318</v>
      </c>
      <c r="BV33" s="98">
        <v>6</v>
      </c>
      <c r="BW33" s="98">
        <v>2844</v>
      </c>
      <c r="BX33" s="98">
        <v>5</v>
      </c>
      <c r="BY33" s="98">
        <v>2370</v>
      </c>
      <c r="BZ33" s="98">
        <v>6</v>
      </c>
      <c r="CA33" s="98">
        <v>2844</v>
      </c>
      <c r="CB33" s="98">
        <v>9</v>
      </c>
      <c r="CC33" s="98">
        <v>4266</v>
      </c>
      <c r="CD33" s="98">
        <v>8</v>
      </c>
      <c r="CE33" s="98">
        <v>3792</v>
      </c>
      <c r="CF33" s="98">
        <v>9</v>
      </c>
      <c r="CG33" s="98">
        <v>4266</v>
      </c>
      <c r="CH33" s="98">
        <v>6</v>
      </c>
      <c r="CI33" s="98">
        <v>2844</v>
      </c>
      <c r="CJ33" s="98">
        <v>5</v>
      </c>
      <c r="CK33" s="98">
        <v>2370</v>
      </c>
      <c r="CL33" s="98">
        <v>6</v>
      </c>
      <c r="CM33" s="98">
        <v>2844</v>
      </c>
      <c r="CN33" s="98">
        <v>8</v>
      </c>
      <c r="CO33" s="98">
        <v>3792</v>
      </c>
      <c r="CP33" s="98">
        <v>5</v>
      </c>
      <c r="CQ33" s="98">
        <v>2370</v>
      </c>
      <c r="CR33" s="98">
        <v>9</v>
      </c>
      <c r="CS33" s="98">
        <v>4266</v>
      </c>
      <c r="CT33" s="98">
        <v>7</v>
      </c>
      <c r="CU33" s="98">
        <v>3318</v>
      </c>
    </row>
    <row r="34" spans="2:99">
      <c r="C34" s="97" t="s">
        <v>201</v>
      </c>
      <c r="D34" s="98">
        <v>5</v>
      </c>
      <c r="E34" s="98">
        <v>2742</v>
      </c>
      <c r="F34" s="98">
        <v>6</v>
      </c>
      <c r="G34" s="98">
        <v>3290.3999999999996</v>
      </c>
      <c r="H34" s="98">
        <v>7</v>
      </c>
      <c r="I34" s="98">
        <v>3838.7999999999997</v>
      </c>
      <c r="J34" s="98">
        <v>7</v>
      </c>
      <c r="K34" s="98">
        <v>3838.7999999999997</v>
      </c>
      <c r="L34" s="98">
        <v>7</v>
      </c>
      <c r="M34" s="98">
        <v>3838.7999999999997</v>
      </c>
      <c r="N34" s="98">
        <v>4</v>
      </c>
      <c r="O34" s="98">
        <v>2193.6</v>
      </c>
      <c r="P34" s="98">
        <v>7</v>
      </c>
      <c r="Q34" s="98">
        <v>3838.7999999999997</v>
      </c>
      <c r="R34" s="98">
        <v>6</v>
      </c>
      <c r="S34" s="98">
        <v>3290.3999999999996</v>
      </c>
      <c r="T34" s="98">
        <v>6</v>
      </c>
      <c r="U34" s="98">
        <v>3290.3999999999996</v>
      </c>
      <c r="V34" s="98">
        <v>7</v>
      </c>
      <c r="W34" s="98">
        <v>3838.7999999999997</v>
      </c>
      <c r="X34" s="98">
        <v>5</v>
      </c>
      <c r="Y34" s="98">
        <v>2742</v>
      </c>
      <c r="Z34" s="98">
        <v>8</v>
      </c>
      <c r="AA34" s="98">
        <v>4387.2</v>
      </c>
      <c r="AB34" s="98">
        <v>7</v>
      </c>
      <c r="AC34" s="98">
        <v>3838.7999999999997</v>
      </c>
      <c r="AD34" s="98">
        <v>6</v>
      </c>
      <c r="AE34" s="98">
        <v>3290.3999999999996</v>
      </c>
      <c r="AF34" s="98">
        <v>4</v>
      </c>
      <c r="AG34" s="98">
        <v>2193.6</v>
      </c>
      <c r="AH34" s="98">
        <v>5</v>
      </c>
      <c r="AI34" s="98">
        <v>2742</v>
      </c>
      <c r="AJ34" s="98">
        <v>6</v>
      </c>
      <c r="AK34" s="98">
        <v>3290.3999999999996</v>
      </c>
      <c r="AL34" s="98">
        <v>5</v>
      </c>
      <c r="AM34" s="98">
        <v>2742</v>
      </c>
      <c r="AN34" s="98">
        <v>5</v>
      </c>
      <c r="AO34" s="98">
        <v>2742</v>
      </c>
      <c r="AP34" s="98">
        <v>5</v>
      </c>
      <c r="AQ34" s="98">
        <v>2742</v>
      </c>
      <c r="AR34" s="98">
        <v>6</v>
      </c>
      <c r="AS34" s="98">
        <v>3290.3999999999996</v>
      </c>
      <c r="AT34" s="98">
        <v>8</v>
      </c>
      <c r="AU34" s="98">
        <v>4387.2</v>
      </c>
      <c r="AV34" s="98">
        <v>8</v>
      </c>
      <c r="AW34" s="98">
        <v>4387.2</v>
      </c>
      <c r="AX34" s="98">
        <v>8</v>
      </c>
      <c r="AY34" s="98">
        <v>4387.2</v>
      </c>
      <c r="AZ34" s="98">
        <v>6</v>
      </c>
      <c r="BA34" s="98">
        <v>3290.3999999999996</v>
      </c>
      <c r="BB34" s="98">
        <v>5</v>
      </c>
      <c r="BC34" s="98">
        <v>2742</v>
      </c>
      <c r="BD34" s="98">
        <v>5</v>
      </c>
      <c r="BE34" s="98">
        <v>2742</v>
      </c>
      <c r="BF34" s="98">
        <v>9</v>
      </c>
      <c r="BG34" s="98">
        <v>4935.5999999999995</v>
      </c>
      <c r="BH34" s="98">
        <v>7</v>
      </c>
      <c r="BI34" s="98">
        <v>3838.7999999999997</v>
      </c>
      <c r="BJ34" s="98">
        <v>7</v>
      </c>
      <c r="BK34" s="98">
        <v>3838.7999999999997</v>
      </c>
      <c r="BL34" s="98">
        <v>7</v>
      </c>
      <c r="BM34" s="98">
        <v>3838.7999999999997</v>
      </c>
      <c r="BN34" s="98">
        <v>5</v>
      </c>
      <c r="BO34" s="98">
        <v>2742</v>
      </c>
      <c r="BP34" s="98">
        <v>6</v>
      </c>
      <c r="BQ34" s="98">
        <v>3290.3999999999996</v>
      </c>
      <c r="BR34" s="98">
        <v>8</v>
      </c>
      <c r="BS34" s="98">
        <v>4387.2</v>
      </c>
      <c r="BT34" s="98">
        <v>6</v>
      </c>
      <c r="BU34" s="98">
        <v>3290.3999999999996</v>
      </c>
      <c r="BV34" s="98">
        <v>5</v>
      </c>
      <c r="BW34" s="98">
        <v>2742</v>
      </c>
      <c r="BX34" s="98">
        <v>5</v>
      </c>
      <c r="BY34" s="98">
        <v>2742</v>
      </c>
      <c r="BZ34" s="98">
        <v>7</v>
      </c>
      <c r="CA34" s="98">
        <v>3838.7999999999997</v>
      </c>
      <c r="CB34" s="98">
        <v>8</v>
      </c>
      <c r="CC34" s="98">
        <v>4387.2</v>
      </c>
      <c r="CD34" s="98">
        <v>8</v>
      </c>
      <c r="CE34" s="98">
        <v>4387.2</v>
      </c>
      <c r="CF34" s="98">
        <v>9</v>
      </c>
      <c r="CG34" s="98">
        <v>4935.5999999999995</v>
      </c>
      <c r="CH34" s="98">
        <v>6</v>
      </c>
      <c r="CI34" s="98">
        <v>3290.3999999999996</v>
      </c>
      <c r="CJ34" s="98">
        <v>5</v>
      </c>
      <c r="CK34" s="98">
        <v>2742</v>
      </c>
      <c r="CL34" s="98">
        <v>6</v>
      </c>
      <c r="CM34" s="98">
        <v>3290.3999999999996</v>
      </c>
      <c r="CN34" s="98">
        <v>8</v>
      </c>
      <c r="CO34" s="98">
        <v>4387.2</v>
      </c>
      <c r="CP34" s="98">
        <v>5</v>
      </c>
      <c r="CQ34" s="98">
        <v>2742</v>
      </c>
      <c r="CR34" s="98">
        <v>9</v>
      </c>
      <c r="CS34" s="98">
        <v>4935.5999999999995</v>
      </c>
      <c r="CT34" s="98">
        <v>7</v>
      </c>
      <c r="CU34" s="98">
        <v>3838.7999999999997</v>
      </c>
    </row>
    <row r="35" spans="2:99">
      <c r="C35" s="97" t="s">
        <v>202</v>
      </c>
      <c r="D35" s="98">
        <v>5</v>
      </c>
      <c r="E35" s="98">
        <v>2513.9999999999995</v>
      </c>
      <c r="F35" s="98">
        <v>7</v>
      </c>
      <c r="G35" s="98">
        <v>3519.5999999999995</v>
      </c>
      <c r="H35" s="98">
        <v>8</v>
      </c>
      <c r="I35" s="98">
        <v>4022.3999999999992</v>
      </c>
      <c r="J35" s="98">
        <v>7</v>
      </c>
      <c r="K35" s="98">
        <v>3519.5999999999995</v>
      </c>
      <c r="L35" s="98">
        <v>8</v>
      </c>
      <c r="M35" s="98">
        <v>4022.3999999999992</v>
      </c>
      <c r="N35" s="98">
        <v>4</v>
      </c>
      <c r="O35" s="98">
        <v>2011.1999999999996</v>
      </c>
      <c r="P35" s="98">
        <v>6</v>
      </c>
      <c r="Q35" s="98">
        <v>3016.7999999999993</v>
      </c>
      <c r="R35" s="98">
        <v>6</v>
      </c>
      <c r="S35" s="98">
        <v>3016.7999999999993</v>
      </c>
      <c r="T35" s="98">
        <v>6</v>
      </c>
      <c r="U35" s="98">
        <v>3016.7999999999993</v>
      </c>
      <c r="V35" s="98">
        <v>8</v>
      </c>
      <c r="W35" s="98">
        <v>4022.3999999999992</v>
      </c>
      <c r="X35" s="98">
        <v>4</v>
      </c>
      <c r="Y35" s="98">
        <v>2011.1999999999996</v>
      </c>
      <c r="Z35" s="98">
        <v>8</v>
      </c>
      <c r="AA35" s="98">
        <v>4022.3999999999992</v>
      </c>
      <c r="AB35" s="98">
        <v>7</v>
      </c>
      <c r="AC35" s="98">
        <v>3519.5999999999995</v>
      </c>
      <c r="AD35" s="98">
        <v>5</v>
      </c>
      <c r="AE35" s="98">
        <v>2513.9999999999995</v>
      </c>
      <c r="AF35" s="98">
        <v>5</v>
      </c>
      <c r="AG35" s="98">
        <v>2513.9999999999995</v>
      </c>
      <c r="AH35" s="98">
        <v>6</v>
      </c>
      <c r="AI35" s="98">
        <v>3016.7999999999993</v>
      </c>
      <c r="AJ35" s="98">
        <v>6</v>
      </c>
      <c r="AK35" s="98">
        <v>3016.7999999999993</v>
      </c>
      <c r="AL35" s="98">
        <v>5</v>
      </c>
      <c r="AM35" s="98">
        <v>2513.9999999999995</v>
      </c>
      <c r="AN35" s="98">
        <v>5</v>
      </c>
      <c r="AO35" s="98">
        <v>2513.9999999999995</v>
      </c>
      <c r="AP35" s="98">
        <v>6</v>
      </c>
      <c r="AQ35" s="98">
        <v>3016.7999999999993</v>
      </c>
      <c r="AR35" s="98">
        <v>7</v>
      </c>
      <c r="AS35" s="98">
        <v>3519.5999999999995</v>
      </c>
      <c r="AT35" s="98">
        <v>9</v>
      </c>
      <c r="AU35" s="98">
        <v>4525.1999999999989</v>
      </c>
      <c r="AV35" s="98">
        <v>10</v>
      </c>
      <c r="AW35" s="98">
        <v>5027.9999999999991</v>
      </c>
      <c r="AX35" s="98">
        <v>8</v>
      </c>
      <c r="AY35" s="98">
        <v>4022.3999999999992</v>
      </c>
      <c r="AZ35" s="98">
        <v>6</v>
      </c>
      <c r="BA35" s="98">
        <v>3016.7999999999993</v>
      </c>
      <c r="BB35" s="98">
        <v>5</v>
      </c>
      <c r="BC35" s="98">
        <v>2513.9999999999995</v>
      </c>
      <c r="BD35" s="98">
        <v>5</v>
      </c>
      <c r="BE35" s="98">
        <v>2513.9999999999995</v>
      </c>
      <c r="BF35" s="98">
        <v>9</v>
      </c>
      <c r="BG35" s="98">
        <v>4525.1999999999989</v>
      </c>
      <c r="BH35" s="98">
        <v>7</v>
      </c>
      <c r="BI35" s="98">
        <v>3519.5999999999995</v>
      </c>
      <c r="BJ35" s="98">
        <v>6</v>
      </c>
      <c r="BK35" s="98">
        <v>3016.7999999999993</v>
      </c>
      <c r="BL35" s="98">
        <v>6</v>
      </c>
      <c r="BM35" s="98">
        <v>3016.7999999999993</v>
      </c>
      <c r="BN35" s="98">
        <v>5</v>
      </c>
      <c r="BO35" s="98">
        <v>2513.9999999999995</v>
      </c>
      <c r="BP35" s="98">
        <v>5</v>
      </c>
      <c r="BQ35" s="98">
        <v>2513.9999999999995</v>
      </c>
      <c r="BR35" s="98">
        <v>7</v>
      </c>
      <c r="BS35" s="98">
        <v>3519.5999999999995</v>
      </c>
      <c r="BT35" s="98">
        <v>6</v>
      </c>
      <c r="BU35" s="98">
        <v>3016.7999999999993</v>
      </c>
      <c r="BV35" s="98">
        <v>5</v>
      </c>
      <c r="BW35" s="98">
        <v>2513.9999999999995</v>
      </c>
      <c r="BX35" s="98">
        <v>5</v>
      </c>
      <c r="BY35" s="98">
        <v>2513.9999999999995</v>
      </c>
      <c r="BZ35" s="98">
        <v>7</v>
      </c>
      <c r="CA35" s="98">
        <v>3519.5999999999995</v>
      </c>
      <c r="CB35" s="98">
        <v>9</v>
      </c>
      <c r="CC35" s="98">
        <v>4525.1999999999989</v>
      </c>
      <c r="CD35" s="98">
        <v>8</v>
      </c>
      <c r="CE35" s="98">
        <v>4022.3999999999992</v>
      </c>
      <c r="CF35" s="98">
        <v>9</v>
      </c>
      <c r="CG35" s="98">
        <v>4525.1999999999989</v>
      </c>
      <c r="CH35" s="98">
        <v>6</v>
      </c>
      <c r="CI35" s="98">
        <v>3016.7999999999993</v>
      </c>
      <c r="CJ35" s="98">
        <v>5</v>
      </c>
      <c r="CK35" s="98">
        <v>2513.9999999999995</v>
      </c>
      <c r="CL35" s="98">
        <v>5</v>
      </c>
      <c r="CM35" s="98">
        <v>2513.9999999999995</v>
      </c>
      <c r="CN35" s="98">
        <v>8</v>
      </c>
      <c r="CO35" s="98">
        <v>4022.3999999999992</v>
      </c>
      <c r="CP35" s="98">
        <v>5</v>
      </c>
      <c r="CQ35" s="98">
        <v>2513.9999999999995</v>
      </c>
      <c r="CR35" s="98">
        <v>10</v>
      </c>
      <c r="CS35" s="98">
        <v>5027.9999999999991</v>
      </c>
      <c r="CT35" s="98">
        <v>7</v>
      </c>
      <c r="CU35" s="98">
        <v>3519.5999999999995</v>
      </c>
    </row>
    <row r="36" spans="2:99">
      <c r="C36" s="97" t="s">
        <v>203</v>
      </c>
      <c r="D36" s="98">
        <v>4</v>
      </c>
      <c r="E36" s="98">
        <v>3043.2</v>
      </c>
      <c r="F36" s="98">
        <v>6</v>
      </c>
      <c r="G36" s="98">
        <v>4564.7999999999993</v>
      </c>
      <c r="H36" s="98">
        <v>6</v>
      </c>
      <c r="I36" s="98">
        <v>4564.7999999999993</v>
      </c>
      <c r="J36" s="98">
        <v>7</v>
      </c>
      <c r="K36" s="98">
        <v>5325.5999999999995</v>
      </c>
      <c r="L36" s="98">
        <v>8</v>
      </c>
      <c r="M36" s="98">
        <v>6086.4</v>
      </c>
      <c r="N36" s="98">
        <v>4</v>
      </c>
      <c r="O36" s="98">
        <v>3043.2</v>
      </c>
      <c r="P36" s="98">
        <v>6</v>
      </c>
      <c r="Q36" s="98">
        <v>4564.7999999999993</v>
      </c>
      <c r="R36" s="98">
        <v>6</v>
      </c>
      <c r="S36" s="98">
        <v>4564.7999999999993</v>
      </c>
      <c r="T36" s="98">
        <v>6</v>
      </c>
      <c r="U36" s="98">
        <v>4564.7999999999993</v>
      </c>
      <c r="V36" s="98">
        <v>7</v>
      </c>
      <c r="W36" s="98">
        <v>5325.5999999999995</v>
      </c>
      <c r="X36" s="98">
        <v>5</v>
      </c>
      <c r="Y36" s="98">
        <v>3804</v>
      </c>
      <c r="Z36" s="98">
        <v>8</v>
      </c>
      <c r="AA36" s="98">
        <v>6086.4</v>
      </c>
      <c r="AB36" s="98">
        <v>7</v>
      </c>
      <c r="AC36" s="98">
        <v>5325.5999999999995</v>
      </c>
      <c r="AD36" s="98">
        <v>5</v>
      </c>
      <c r="AE36" s="98">
        <v>3804</v>
      </c>
      <c r="AF36" s="98">
        <v>5</v>
      </c>
      <c r="AG36" s="98">
        <v>3804</v>
      </c>
      <c r="AH36" s="98">
        <v>6</v>
      </c>
      <c r="AI36" s="98">
        <v>4564.7999999999993</v>
      </c>
      <c r="AJ36" s="98">
        <v>6</v>
      </c>
      <c r="AK36" s="98">
        <v>4564.7999999999993</v>
      </c>
      <c r="AL36" s="98">
        <v>5</v>
      </c>
      <c r="AM36" s="98">
        <v>3804</v>
      </c>
      <c r="AN36" s="98">
        <v>5</v>
      </c>
      <c r="AO36" s="98">
        <v>3804</v>
      </c>
      <c r="AP36" s="98">
        <v>5</v>
      </c>
      <c r="AQ36" s="98">
        <v>3804</v>
      </c>
      <c r="AR36" s="98">
        <v>7</v>
      </c>
      <c r="AS36" s="98">
        <v>5325.5999999999995</v>
      </c>
      <c r="AT36" s="98">
        <v>8</v>
      </c>
      <c r="AU36" s="98">
        <v>6086.4</v>
      </c>
      <c r="AV36" s="98">
        <v>8</v>
      </c>
      <c r="AW36" s="98">
        <v>6086.4</v>
      </c>
      <c r="AX36" s="98">
        <v>8</v>
      </c>
      <c r="AY36" s="98">
        <v>6086.4</v>
      </c>
      <c r="AZ36" s="98">
        <v>6</v>
      </c>
      <c r="BA36" s="98">
        <v>4564.7999999999993</v>
      </c>
      <c r="BB36" s="98">
        <v>5</v>
      </c>
      <c r="BC36" s="98">
        <v>3804</v>
      </c>
      <c r="BD36" s="98">
        <v>6</v>
      </c>
      <c r="BE36" s="98">
        <v>4564.7999999999993</v>
      </c>
      <c r="BF36" s="98">
        <v>8</v>
      </c>
      <c r="BG36" s="98">
        <v>6086.4</v>
      </c>
      <c r="BH36" s="98">
        <v>7</v>
      </c>
      <c r="BI36" s="98">
        <v>5325.5999999999995</v>
      </c>
      <c r="BJ36" s="98">
        <v>7</v>
      </c>
      <c r="BK36" s="98">
        <v>5325.5999999999995</v>
      </c>
      <c r="BL36" s="98">
        <v>6</v>
      </c>
      <c r="BM36" s="98">
        <v>4564.7999999999993</v>
      </c>
      <c r="BN36" s="98">
        <v>6</v>
      </c>
      <c r="BO36" s="98">
        <v>4564.7999999999993</v>
      </c>
      <c r="BP36" s="98">
        <v>5</v>
      </c>
      <c r="BQ36" s="98">
        <v>3804</v>
      </c>
      <c r="BR36" s="98">
        <v>8</v>
      </c>
      <c r="BS36" s="98">
        <v>6086.4</v>
      </c>
      <c r="BT36" s="98">
        <v>6</v>
      </c>
      <c r="BU36" s="98">
        <v>4564.7999999999993</v>
      </c>
      <c r="BV36" s="98">
        <v>5</v>
      </c>
      <c r="BW36" s="98">
        <v>3804</v>
      </c>
      <c r="BX36" s="98">
        <v>5</v>
      </c>
      <c r="BY36" s="98">
        <v>3804</v>
      </c>
      <c r="BZ36" s="98">
        <v>7</v>
      </c>
      <c r="CA36" s="98">
        <v>5325.5999999999995</v>
      </c>
      <c r="CB36" s="98">
        <v>9</v>
      </c>
      <c r="CC36" s="98">
        <v>6847.2</v>
      </c>
      <c r="CD36" s="98">
        <v>8</v>
      </c>
      <c r="CE36" s="98">
        <v>6086.4</v>
      </c>
      <c r="CF36" s="98">
        <v>9</v>
      </c>
      <c r="CG36" s="98">
        <v>6847.2</v>
      </c>
      <c r="CH36" s="98">
        <v>6</v>
      </c>
      <c r="CI36" s="98">
        <v>4564.7999999999993</v>
      </c>
      <c r="CJ36" s="98">
        <v>5</v>
      </c>
      <c r="CK36" s="98">
        <v>3804</v>
      </c>
      <c r="CL36" s="98">
        <v>5</v>
      </c>
      <c r="CM36" s="98">
        <v>3804</v>
      </c>
      <c r="CN36" s="98">
        <v>8</v>
      </c>
      <c r="CO36" s="98">
        <v>6086.4</v>
      </c>
      <c r="CP36" s="98">
        <v>5</v>
      </c>
      <c r="CQ36" s="98">
        <v>3804</v>
      </c>
      <c r="CR36" s="98">
        <v>9</v>
      </c>
      <c r="CS36" s="98">
        <v>6847.2</v>
      </c>
      <c r="CT36" s="98">
        <v>8</v>
      </c>
      <c r="CU36" s="98">
        <v>6086.4</v>
      </c>
    </row>
    <row r="37" spans="2:99">
      <c r="B37" s="97" t="s">
        <v>128</v>
      </c>
      <c r="C37" s="97" t="s">
        <v>204</v>
      </c>
      <c r="D37" s="98">
        <v>8</v>
      </c>
      <c r="E37" s="98">
        <v>6883.2</v>
      </c>
      <c r="F37" s="98">
        <v>7</v>
      </c>
      <c r="G37" s="98">
        <v>6022.8</v>
      </c>
      <c r="H37" s="98">
        <v>5</v>
      </c>
      <c r="I37" s="98">
        <v>4302</v>
      </c>
      <c r="J37" s="98">
        <v>8</v>
      </c>
      <c r="K37" s="98">
        <v>6883.2</v>
      </c>
      <c r="L37" s="98">
        <v>6</v>
      </c>
      <c r="M37" s="98">
        <v>5162.3999999999996</v>
      </c>
      <c r="N37" s="98">
        <v>4</v>
      </c>
      <c r="O37" s="98">
        <v>3441.6</v>
      </c>
      <c r="P37" s="98">
        <v>7</v>
      </c>
      <c r="Q37" s="98">
        <v>6022.8</v>
      </c>
      <c r="R37" s="98">
        <v>6</v>
      </c>
      <c r="S37" s="98">
        <v>5162.3999999999996</v>
      </c>
      <c r="T37" s="98">
        <v>5</v>
      </c>
      <c r="U37" s="98">
        <v>4302</v>
      </c>
      <c r="V37" s="98">
        <v>5</v>
      </c>
      <c r="W37" s="98">
        <v>4302</v>
      </c>
      <c r="X37" s="98">
        <v>6</v>
      </c>
      <c r="Y37" s="98">
        <v>5162.3999999999996</v>
      </c>
      <c r="Z37" s="98">
        <v>5</v>
      </c>
      <c r="AA37" s="98">
        <v>4302</v>
      </c>
      <c r="AB37" s="98">
        <v>6</v>
      </c>
      <c r="AC37" s="98">
        <v>5162.3999999999996</v>
      </c>
      <c r="AD37" s="98">
        <v>5</v>
      </c>
      <c r="AE37" s="98">
        <v>4302</v>
      </c>
      <c r="AF37" s="98">
        <v>8</v>
      </c>
      <c r="AG37" s="98">
        <v>6883.2</v>
      </c>
      <c r="AH37" s="98">
        <v>4</v>
      </c>
      <c r="AI37" s="98">
        <v>3441.6</v>
      </c>
      <c r="AJ37" s="98">
        <v>7</v>
      </c>
      <c r="AK37" s="98">
        <v>6022.8</v>
      </c>
      <c r="AL37" s="98">
        <v>6</v>
      </c>
      <c r="AM37" s="98">
        <v>5162.3999999999996</v>
      </c>
      <c r="AN37" s="98">
        <v>7</v>
      </c>
      <c r="AO37" s="98">
        <v>6022.8</v>
      </c>
      <c r="AP37" s="98">
        <v>5</v>
      </c>
      <c r="AQ37" s="98">
        <v>4302</v>
      </c>
      <c r="AR37" s="98">
        <v>8</v>
      </c>
      <c r="AS37" s="98">
        <v>6883.2</v>
      </c>
      <c r="AT37" s="98">
        <v>6</v>
      </c>
      <c r="AU37" s="98">
        <v>5162.3999999999996</v>
      </c>
      <c r="AV37" s="98">
        <v>5</v>
      </c>
      <c r="AW37" s="98">
        <v>4302</v>
      </c>
      <c r="AX37" s="98">
        <v>8</v>
      </c>
      <c r="AY37" s="98">
        <v>6883.2</v>
      </c>
      <c r="AZ37" s="98">
        <v>5</v>
      </c>
      <c r="BA37" s="98">
        <v>4302</v>
      </c>
      <c r="BB37" s="98">
        <v>8</v>
      </c>
      <c r="BC37" s="98">
        <v>6883.2</v>
      </c>
      <c r="BD37" s="98">
        <v>6</v>
      </c>
      <c r="BE37" s="98">
        <v>5162.3999999999996</v>
      </c>
      <c r="BF37" s="98">
        <v>6</v>
      </c>
      <c r="BG37" s="98">
        <v>5162.3999999999996</v>
      </c>
      <c r="BH37" s="98">
        <v>6</v>
      </c>
      <c r="BI37" s="98">
        <v>5162.3999999999996</v>
      </c>
      <c r="BJ37" s="98">
        <v>7</v>
      </c>
      <c r="BK37" s="98">
        <v>6022.8</v>
      </c>
      <c r="BL37" s="98">
        <v>6</v>
      </c>
      <c r="BM37" s="98">
        <v>5162.3999999999996</v>
      </c>
      <c r="BN37" s="98">
        <v>7</v>
      </c>
      <c r="BO37" s="98">
        <v>6022.8</v>
      </c>
      <c r="BP37" s="98">
        <v>6</v>
      </c>
      <c r="BQ37" s="98">
        <v>5162.3999999999996</v>
      </c>
      <c r="BR37" s="98">
        <v>8</v>
      </c>
      <c r="BS37" s="98">
        <v>6883.2</v>
      </c>
      <c r="BT37" s="98">
        <v>5</v>
      </c>
      <c r="BU37" s="98">
        <v>4302</v>
      </c>
      <c r="BV37" s="98">
        <v>6</v>
      </c>
      <c r="BW37" s="98">
        <v>5162.3999999999996</v>
      </c>
      <c r="BX37" s="98">
        <v>5</v>
      </c>
      <c r="BY37" s="98">
        <v>4302</v>
      </c>
      <c r="BZ37" s="98">
        <v>7</v>
      </c>
      <c r="CA37" s="98">
        <v>6022.8</v>
      </c>
      <c r="CB37" s="98">
        <v>7</v>
      </c>
      <c r="CC37" s="98">
        <v>6022.8</v>
      </c>
      <c r="CD37" s="98">
        <v>6</v>
      </c>
      <c r="CE37" s="98">
        <v>5162.3999999999996</v>
      </c>
      <c r="CF37" s="98">
        <v>6</v>
      </c>
      <c r="CG37" s="98">
        <v>5162.3999999999996</v>
      </c>
      <c r="CH37" s="98">
        <v>8</v>
      </c>
      <c r="CI37" s="98">
        <v>6883.2</v>
      </c>
      <c r="CJ37" s="98">
        <v>4</v>
      </c>
      <c r="CK37" s="98">
        <v>3441.6</v>
      </c>
      <c r="CL37" s="98">
        <v>6</v>
      </c>
      <c r="CM37" s="98">
        <v>5162.3999999999996</v>
      </c>
      <c r="CN37" s="98">
        <v>5</v>
      </c>
      <c r="CO37" s="98">
        <v>4302</v>
      </c>
      <c r="CP37" s="98">
        <v>5</v>
      </c>
      <c r="CQ37" s="98">
        <v>4302</v>
      </c>
      <c r="CR37" s="98">
        <v>8</v>
      </c>
      <c r="CS37" s="98">
        <v>6883.2</v>
      </c>
      <c r="CT37" s="98">
        <v>5</v>
      </c>
      <c r="CU37" s="98">
        <v>4302</v>
      </c>
    </row>
    <row r="38" spans="2:99">
      <c r="C38" s="97" t="s">
        <v>205</v>
      </c>
      <c r="D38" s="98">
        <v>7</v>
      </c>
      <c r="E38" s="98">
        <v>8694</v>
      </c>
      <c r="F38" s="98">
        <v>7</v>
      </c>
      <c r="G38" s="98">
        <v>8694</v>
      </c>
      <c r="H38" s="98">
        <v>5</v>
      </c>
      <c r="I38" s="98">
        <v>6210</v>
      </c>
      <c r="J38" s="98">
        <v>7</v>
      </c>
      <c r="K38" s="98">
        <v>8694</v>
      </c>
      <c r="L38" s="98">
        <v>6</v>
      </c>
      <c r="M38" s="98">
        <v>7452</v>
      </c>
      <c r="N38" s="98">
        <v>4</v>
      </c>
      <c r="O38" s="98">
        <v>4968</v>
      </c>
      <c r="P38" s="98">
        <v>7</v>
      </c>
      <c r="Q38" s="98">
        <v>8694</v>
      </c>
      <c r="R38" s="98">
        <v>6</v>
      </c>
      <c r="S38" s="98">
        <v>7452</v>
      </c>
      <c r="T38" s="98">
        <v>6</v>
      </c>
      <c r="U38" s="98">
        <v>7452</v>
      </c>
      <c r="V38" s="98">
        <v>6</v>
      </c>
      <c r="W38" s="98">
        <v>7452</v>
      </c>
      <c r="X38" s="98">
        <v>6</v>
      </c>
      <c r="Y38" s="98">
        <v>7452</v>
      </c>
      <c r="Z38" s="98">
        <v>5</v>
      </c>
      <c r="AA38" s="98">
        <v>6210</v>
      </c>
      <c r="AB38" s="98">
        <v>6</v>
      </c>
      <c r="AC38" s="98">
        <v>7452</v>
      </c>
      <c r="AD38" s="98">
        <v>5</v>
      </c>
      <c r="AE38" s="98">
        <v>6210</v>
      </c>
      <c r="AF38" s="98">
        <v>8</v>
      </c>
      <c r="AG38" s="98">
        <v>9936</v>
      </c>
      <c r="AH38" s="98">
        <v>4</v>
      </c>
      <c r="AI38" s="98">
        <v>4968</v>
      </c>
      <c r="AJ38" s="98">
        <v>6</v>
      </c>
      <c r="AK38" s="98">
        <v>7452</v>
      </c>
      <c r="AL38" s="98">
        <v>5</v>
      </c>
      <c r="AM38" s="98">
        <v>6210</v>
      </c>
      <c r="AN38" s="98">
        <v>7</v>
      </c>
      <c r="AO38" s="98">
        <v>8694</v>
      </c>
      <c r="AP38" s="98">
        <v>6</v>
      </c>
      <c r="AQ38" s="98">
        <v>7452</v>
      </c>
      <c r="AR38" s="98">
        <v>7</v>
      </c>
      <c r="AS38" s="98">
        <v>8694</v>
      </c>
      <c r="AT38" s="98">
        <v>6</v>
      </c>
      <c r="AU38" s="98">
        <v>7452</v>
      </c>
      <c r="AV38" s="98">
        <v>5</v>
      </c>
      <c r="AW38" s="98">
        <v>6210</v>
      </c>
      <c r="AX38" s="98">
        <v>8</v>
      </c>
      <c r="AY38" s="98">
        <v>9936</v>
      </c>
      <c r="AZ38" s="98">
        <v>5</v>
      </c>
      <c r="BA38" s="98">
        <v>6210</v>
      </c>
      <c r="BB38" s="98">
        <v>7</v>
      </c>
      <c r="BC38" s="98">
        <v>8694</v>
      </c>
      <c r="BD38" s="98">
        <v>6</v>
      </c>
      <c r="BE38" s="98">
        <v>7452</v>
      </c>
      <c r="BF38" s="98">
        <v>6</v>
      </c>
      <c r="BG38" s="98">
        <v>7452</v>
      </c>
      <c r="BH38" s="98">
        <v>6</v>
      </c>
      <c r="BI38" s="98">
        <v>7452</v>
      </c>
      <c r="BJ38" s="98">
        <v>7</v>
      </c>
      <c r="BK38" s="98">
        <v>8694</v>
      </c>
      <c r="BL38" s="98">
        <v>5</v>
      </c>
      <c r="BM38" s="98">
        <v>6210</v>
      </c>
      <c r="BN38" s="98">
        <v>8</v>
      </c>
      <c r="BO38" s="98">
        <v>9936</v>
      </c>
      <c r="BP38" s="98">
        <v>7</v>
      </c>
      <c r="BQ38" s="98">
        <v>8694</v>
      </c>
      <c r="BR38" s="98">
        <v>6</v>
      </c>
      <c r="BS38" s="98">
        <v>7452</v>
      </c>
      <c r="BT38" s="98">
        <v>6</v>
      </c>
      <c r="BU38" s="98">
        <v>7452</v>
      </c>
      <c r="BV38" s="98">
        <v>6</v>
      </c>
      <c r="BW38" s="98">
        <v>7452</v>
      </c>
      <c r="BX38" s="98">
        <v>5</v>
      </c>
      <c r="BY38" s="98">
        <v>6210</v>
      </c>
      <c r="BZ38" s="98">
        <v>7</v>
      </c>
      <c r="CA38" s="98">
        <v>8694</v>
      </c>
      <c r="CB38" s="98">
        <v>6</v>
      </c>
      <c r="CC38" s="98">
        <v>7452</v>
      </c>
      <c r="CD38" s="98">
        <v>6</v>
      </c>
      <c r="CE38" s="98">
        <v>7452</v>
      </c>
      <c r="CF38" s="98">
        <v>7</v>
      </c>
      <c r="CG38" s="98">
        <v>8694</v>
      </c>
      <c r="CH38" s="98">
        <v>7</v>
      </c>
      <c r="CI38" s="98">
        <v>8694</v>
      </c>
      <c r="CJ38" s="98">
        <v>4</v>
      </c>
      <c r="CK38" s="98">
        <v>4968</v>
      </c>
      <c r="CL38" s="98">
        <v>6</v>
      </c>
      <c r="CM38" s="98">
        <v>7452</v>
      </c>
      <c r="CN38" s="98">
        <v>5</v>
      </c>
      <c r="CO38" s="98">
        <v>6210</v>
      </c>
      <c r="CP38" s="98">
        <v>4</v>
      </c>
      <c r="CQ38" s="98">
        <v>4968</v>
      </c>
      <c r="CR38" s="98">
        <v>7</v>
      </c>
      <c r="CS38" s="98">
        <v>8694</v>
      </c>
      <c r="CT38" s="98">
        <v>5</v>
      </c>
      <c r="CU38" s="98">
        <v>6210</v>
      </c>
    </row>
    <row r="39" spans="2:99">
      <c r="C39" s="97" t="s">
        <v>206</v>
      </c>
      <c r="D39" s="98">
        <v>7</v>
      </c>
      <c r="E39" s="98">
        <v>9962.4</v>
      </c>
      <c r="F39" s="98">
        <v>7</v>
      </c>
      <c r="G39" s="98">
        <v>9962.4</v>
      </c>
      <c r="H39" s="98">
        <v>5</v>
      </c>
      <c r="I39" s="98">
        <v>7116</v>
      </c>
      <c r="J39" s="98">
        <v>7</v>
      </c>
      <c r="K39" s="98">
        <v>9962.4</v>
      </c>
      <c r="L39" s="98">
        <v>5</v>
      </c>
      <c r="M39" s="98">
        <v>7116</v>
      </c>
      <c r="N39" s="98">
        <v>4</v>
      </c>
      <c r="O39" s="98">
        <v>5692.8</v>
      </c>
      <c r="P39" s="98">
        <v>8</v>
      </c>
      <c r="Q39" s="98">
        <v>11385.6</v>
      </c>
      <c r="R39" s="98">
        <v>5</v>
      </c>
      <c r="S39" s="98">
        <v>7116</v>
      </c>
      <c r="T39" s="98">
        <v>6</v>
      </c>
      <c r="U39" s="98">
        <v>8539.2000000000007</v>
      </c>
      <c r="V39" s="98">
        <v>6</v>
      </c>
      <c r="W39" s="98">
        <v>8539.2000000000007</v>
      </c>
      <c r="X39" s="98">
        <v>6</v>
      </c>
      <c r="Y39" s="98">
        <v>8539.2000000000007</v>
      </c>
      <c r="Z39" s="98">
        <v>6</v>
      </c>
      <c r="AA39" s="98">
        <v>8539.2000000000007</v>
      </c>
      <c r="AB39" s="98">
        <v>6</v>
      </c>
      <c r="AC39" s="98">
        <v>8539.2000000000007</v>
      </c>
      <c r="AD39" s="98">
        <v>5</v>
      </c>
      <c r="AE39" s="98">
        <v>7116</v>
      </c>
      <c r="AF39" s="98">
        <v>7</v>
      </c>
      <c r="AG39" s="98">
        <v>9962.4</v>
      </c>
      <c r="AH39" s="98">
        <v>4</v>
      </c>
      <c r="AI39" s="98">
        <v>5692.8</v>
      </c>
      <c r="AJ39" s="98">
        <v>6</v>
      </c>
      <c r="AK39" s="98">
        <v>8539.2000000000007</v>
      </c>
      <c r="AL39" s="98">
        <v>5</v>
      </c>
      <c r="AM39" s="98">
        <v>7116</v>
      </c>
      <c r="AN39" s="98">
        <v>7</v>
      </c>
      <c r="AO39" s="98">
        <v>9962.4</v>
      </c>
      <c r="AP39" s="98">
        <v>6</v>
      </c>
      <c r="AQ39" s="98">
        <v>8539.2000000000007</v>
      </c>
      <c r="AR39" s="98">
        <v>7</v>
      </c>
      <c r="AS39" s="98">
        <v>9962.4</v>
      </c>
      <c r="AT39" s="98">
        <v>6</v>
      </c>
      <c r="AU39" s="98">
        <v>8539.2000000000007</v>
      </c>
      <c r="AV39" s="98">
        <v>5</v>
      </c>
      <c r="AW39" s="98">
        <v>7116</v>
      </c>
      <c r="AX39" s="98">
        <v>7</v>
      </c>
      <c r="AY39" s="98">
        <v>9962.4</v>
      </c>
      <c r="AZ39" s="98">
        <v>5</v>
      </c>
      <c r="BA39" s="98">
        <v>7116</v>
      </c>
      <c r="BB39" s="98">
        <v>7</v>
      </c>
      <c r="BC39" s="98">
        <v>9962.4</v>
      </c>
      <c r="BD39" s="98">
        <v>6</v>
      </c>
      <c r="BE39" s="98">
        <v>8539.2000000000007</v>
      </c>
      <c r="BF39" s="98">
        <v>6</v>
      </c>
      <c r="BG39" s="98">
        <v>8539.2000000000007</v>
      </c>
      <c r="BH39" s="98">
        <v>6</v>
      </c>
      <c r="BI39" s="98">
        <v>8539.2000000000007</v>
      </c>
      <c r="BJ39" s="98">
        <v>7</v>
      </c>
      <c r="BK39" s="98">
        <v>9962.4</v>
      </c>
      <c r="BL39" s="98">
        <v>6</v>
      </c>
      <c r="BM39" s="98">
        <v>8539.2000000000007</v>
      </c>
      <c r="BN39" s="98">
        <v>8</v>
      </c>
      <c r="BO39" s="98">
        <v>11385.6</v>
      </c>
      <c r="BP39" s="98">
        <v>6</v>
      </c>
      <c r="BQ39" s="98">
        <v>8539.2000000000007</v>
      </c>
      <c r="BR39" s="98">
        <v>6</v>
      </c>
      <c r="BS39" s="98">
        <v>8539.2000000000007</v>
      </c>
      <c r="BT39" s="98">
        <v>5</v>
      </c>
      <c r="BU39" s="98">
        <v>7116</v>
      </c>
      <c r="BV39" s="98">
        <v>5</v>
      </c>
      <c r="BW39" s="98">
        <v>7116</v>
      </c>
      <c r="BX39" s="98">
        <v>5</v>
      </c>
      <c r="BY39" s="98">
        <v>7116</v>
      </c>
      <c r="BZ39" s="98">
        <v>8</v>
      </c>
      <c r="CA39" s="98">
        <v>11385.6</v>
      </c>
      <c r="CB39" s="98">
        <v>7</v>
      </c>
      <c r="CC39" s="98">
        <v>9962.4</v>
      </c>
      <c r="CD39" s="98">
        <v>7</v>
      </c>
      <c r="CE39" s="98">
        <v>9962.4</v>
      </c>
      <c r="CF39" s="98">
        <v>7</v>
      </c>
      <c r="CG39" s="98">
        <v>9962.4</v>
      </c>
      <c r="CH39" s="98">
        <v>7</v>
      </c>
      <c r="CI39" s="98">
        <v>9962.4</v>
      </c>
      <c r="CJ39" s="98">
        <v>4</v>
      </c>
      <c r="CK39" s="98">
        <v>5692.8</v>
      </c>
      <c r="CL39" s="98">
        <v>6</v>
      </c>
      <c r="CM39" s="98">
        <v>8539.2000000000007</v>
      </c>
      <c r="CN39" s="98">
        <v>6</v>
      </c>
      <c r="CO39" s="98">
        <v>8539.2000000000007</v>
      </c>
      <c r="CP39" s="98">
        <v>4</v>
      </c>
      <c r="CQ39" s="98">
        <v>5692.8</v>
      </c>
      <c r="CR39" s="98">
        <v>8</v>
      </c>
      <c r="CS39" s="98">
        <v>11385.6</v>
      </c>
      <c r="CT39" s="98">
        <v>4</v>
      </c>
      <c r="CU39" s="98">
        <v>5692.8</v>
      </c>
    </row>
    <row r="40" spans="2:99">
      <c r="C40" s="97" t="s">
        <v>207</v>
      </c>
      <c r="D40" s="98">
        <v>7</v>
      </c>
      <c r="E40" s="98">
        <v>5073.5999999999995</v>
      </c>
      <c r="F40" s="98">
        <v>7</v>
      </c>
      <c r="G40" s="98">
        <v>5073.5999999999995</v>
      </c>
      <c r="H40" s="98">
        <v>4</v>
      </c>
      <c r="I40" s="98">
        <v>2899.2</v>
      </c>
      <c r="J40" s="98">
        <v>7</v>
      </c>
      <c r="K40" s="98">
        <v>5073.5999999999995</v>
      </c>
      <c r="L40" s="98">
        <v>5</v>
      </c>
      <c r="M40" s="98">
        <v>3624</v>
      </c>
      <c r="N40" s="98">
        <v>4</v>
      </c>
      <c r="O40" s="98">
        <v>2899.2</v>
      </c>
      <c r="P40" s="98">
        <v>8</v>
      </c>
      <c r="Q40" s="98">
        <v>5798.4</v>
      </c>
      <c r="R40" s="98">
        <v>5</v>
      </c>
      <c r="S40" s="98">
        <v>3624</v>
      </c>
      <c r="T40" s="98">
        <v>6</v>
      </c>
      <c r="U40" s="98">
        <v>4348.7999999999993</v>
      </c>
      <c r="V40" s="98">
        <v>5</v>
      </c>
      <c r="W40" s="98">
        <v>3624</v>
      </c>
      <c r="X40" s="98">
        <v>6</v>
      </c>
      <c r="Y40" s="98">
        <v>4348.7999999999993</v>
      </c>
      <c r="Z40" s="98">
        <v>5</v>
      </c>
      <c r="AA40" s="98">
        <v>3624</v>
      </c>
      <c r="AB40" s="98">
        <v>6</v>
      </c>
      <c r="AC40" s="98">
        <v>4348.7999999999993</v>
      </c>
      <c r="AD40" s="98">
        <v>5</v>
      </c>
      <c r="AE40" s="98">
        <v>3624</v>
      </c>
      <c r="AF40" s="98">
        <v>8</v>
      </c>
      <c r="AG40" s="98">
        <v>5798.4</v>
      </c>
      <c r="AH40" s="98">
        <v>5</v>
      </c>
      <c r="AI40" s="98">
        <v>3624</v>
      </c>
      <c r="AJ40" s="98">
        <v>7</v>
      </c>
      <c r="AK40" s="98">
        <v>5073.5999999999995</v>
      </c>
      <c r="AL40" s="98">
        <v>5</v>
      </c>
      <c r="AM40" s="98">
        <v>3624</v>
      </c>
      <c r="AN40" s="98">
        <v>7</v>
      </c>
      <c r="AO40" s="98">
        <v>5073.5999999999995</v>
      </c>
      <c r="AP40" s="98">
        <v>6</v>
      </c>
      <c r="AQ40" s="98">
        <v>4348.7999999999993</v>
      </c>
      <c r="AR40" s="98">
        <v>8</v>
      </c>
      <c r="AS40" s="98">
        <v>5798.4</v>
      </c>
      <c r="AT40" s="98">
        <v>6</v>
      </c>
      <c r="AU40" s="98">
        <v>4348.7999999999993</v>
      </c>
      <c r="AV40" s="98">
        <v>5</v>
      </c>
      <c r="AW40" s="98">
        <v>3624</v>
      </c>
      <c r="AX40" s="98">
        <v>7</v>
      </c>
      <c r="AY40" s="98">
        <v>5073.5999999999995</v>
      </c>
      <c r="AZ40" s="98">
        <v>6</v>
      </c>
      <c r="BA40" s="98">
        <v>4348.7999999999993</v>
      </c>
      <c r="BB40" s="98">
        <v>6</v>
      </c>
      <c r="BC40" s="98">
        <v>4348.7999999999993</v>
      </c>
      <c r="BD40" s="98">
        <v>6</v>
      </c>
      <c r="BE40" s="98">
        <v>4348.7999999999993</v>
      </c>
      <c r="BF40" s="98">
        <v>6</v>
      </c>
      <c r="BG40" s="98">
        <v>4348.7999999999993</v>
      </c>
      <c r="BH40" s="98">
        <v>7</v>
      </c>
      <c r="BI40" s="98">
        <v>5073.5999999999995</v>
      </c>
      <c r="BJ40" s="98">
        <v>6</v>
      </c>
      <c r="BK40" s="98">
        <v>4348.7999999999993</v>
      </c>
      <c r="BL40" s="98">
        <v>6</v>
      </c>
      <c r="BM40" s="98">
        <v>4348.7999999999993</v>
      </c>
      <c r="BN40" s="98">
        <v>8</v>
      </c>
      <c r="BO40" s="98">
        <v>5798.4</v>
      </c>
      <c r="BP40" s="98">
        <v>6</v>
      </c>
      <c r="BQ40" s="98">
        <v>4348.7999999999993</v>
      </c>
      <c r="BR40" s="98">
        <v>7</v>
      </c>
      <c r="BS40" s="98">
        <v>5073.5999999999995</v>
      </c>
      <c r="BT40" s="98">
        <v>6</v>
      </c>
      <c r="BU40" s="98">
        <v>4348.7999999999993</v>
      </c>
      <c r="BV40" s="98">
        <v>6</v>
      </c>
      <c r="BW40" s="98">
        <v>4348.7999999999993</v>
      </c>
      <c r="BX40" s="98">
        <v>5</v>
      </c>
      <c r="BY40" s="98">
        <v>3624</v>
      </c>
      <c r="BZ40" s="98">
        <v>7</v>
      </c>
      <c r="CA40" s="98">
        <v>5073.5999999999995</v>
      </c>
      <c r="CB40" s="98">
        <v>7</v>
      </c>
      <c r="CC40" s="98">
        <v>5073.5999999999995</v>
      </c>
      <c r="CD40" s="98">
        <v>6</v>
      </c>
      <c r="CE40" s="98">
        <v>4348.7999999999993</v>
      </c>
      <c r="CF40" s="98">
        <v>6</v>
      </c>
      <c r="CG40" s="98">
        <v>4348.7999999999993</v>
      </c>
      <c r="CH40" s="98">
        <v>8</v>
      </c>
      <c r="CI40" s="98">
        <v>5798.4</v>
      </c>
      <c r="CJ40" s="98">
        <v>5</v>
      </c>
      <c r="CK40" s="98">
        <v>3624</v>
      </c>
      <c r="CL40" s="98">
        <v>6</v>
      </c>
      <c r="CM40" s="98">
        <v>4348.7999999999993</v>
      </c>
      <c r="CN40" s="98">
        <v>5</v>
      </c>
      <c r="CO40" s="98">
        <v>3624</v>
      </c>
      <c r="CP40" s="98">
        <v>4</v>
      </c>
      <c r="CQ40" s="98">
        <v>2899.2</v>
      </c>
      <c r="CR40" s="98">
        <v>7</v>
      </c>
      <c r="CS40" s="98">
        <v>5073.5999999999995</v>
      </c>
      <c r="CT40" s="98">
        <v>5</v>
      </c>
      <c r="CU40" s="98">
        <v>3624</v>
      </c>
    </row>
    <row r="41" spans="2:99">
      <c r="C41" s="97" t="s">
        <v>208</v>
      </c>
      <c r="D41" s="98">
        <v>8</v>
      </c>
      <c r="E41" s="98">
        <v>5280</v>
      </c>
      <c r="F41" s="98">
        <v>7</v>
      </c>
      <c r="G41" s="98">
        <v>4620</v>
      </c>
      <c r="H41" s="98">
        <v>4</v>
      </c>
      <c r="I41" s="98">
        <v>2640</v>
      </c>
      <c r="J41" s="98">
        <v>7</v>
      </c>
      <c r="K41" s="98">
        <v>4620</v>
      </c>
      <c r="L41" s="98">
        <v>6</v>
      </c>
      <c r="M41" s="98">
        <v>3960</v>
      </c>
      <c r="N41" s="98">
        <v>4</v>
      </c>
      <c r="O41" s="98">
        <v>2640</v>
      </c>
      <c r="P41" s="98">
        <v>8</v>
      </c>
      <c r="Q41" s="98">
        <v>5280</v>
      </c>
      <c r="R41" s="98">
        <v>6</v>
      </c>
      <c r="S41" s="98">
        <v>3960</v>
      </c>
      <c r="T41" s="98">
        <v>5</v>
      </c>
      <c r="U41" s="98">
        <v>3300</v>
      </c>
      <c r="V41" s="98">
        <v>6</v>
      </c>
      <c r="W41" s="98">
        <v>3960</v>
      </c>
      <c r="X41" s="98">
        <v>7</v>
      </c>
      <c r="Y41" s="98">
        <v>4620</v>
      </c>
      <c r="Z41" s="98">
        <v>5</v>
      </c>
      <c r="AA41" s="98">
        <v>3300</v>
      </c>
      <c r="AB41" s="98">
        <v>7</v>
      </c>
      <c r="AC41" s="98">
        <v>4620</v>
      </c>
      <c r="AD41" s="98">
        <v>5</v>
      </c>
      <c r="AE41" s="98">
        <v>3300</v>
      </c>
      <c r="AF41" s="98">
        <v>7</v>
      </c>
      <c r="AG41" s="98">
        <v>4620</v>
      </c>
      <c r="AH41" s="98">
        <v>4</v>
      </c>
      <c r="AI41" s="98">
        <v>2640</v>
      </c>
      <c r="AJ41" s="98">
        <v>6</v>
      </c>
      <c r="AK41" s="98">
        <v>3960</v>
      </c>
      <c r="AL41" s="98">
        <v>5</v>
      </c>
      <c r="AM41" s="98">
        <v>3300</v>
      </c>
      <c r="AN41" s="98">
        <v>7</v>
      </c>
      <c r="AO41" s="98">
        <v>4620</v>
      </c>
      <c r="AP41" s="98">
        <v>6</v>
      </c>
      <c r="AQ41" s="98">
        <v>3960</v>
      </c>
      <c r="AR41" s="98">
        <v>8</v>
      </c>
      <c r="AS41" s="98">
        <v>5280</v>
      </c>
      <c r="AT41" s="98">
        <v>7</v>
      </c>
      <c r="AU41" s="98">
        <v>4620</v>
      </c>
      <c r="AV41" s="98">
        <v>5</v>
      </c>
      <c r="AW41" s="98">
        <v>3300</v>
      </c>
      <c r="AX41" s="98">
        <v>8</v>
      </c>
      <c r="AY41" s="98">
        <v>5280</v>
      </c>
      <c r="AZ41" s="98">
        <v>6</v>
      </c>
      <c r="BA41" s="98">
        <v>3960</v>
      </c>
      <c r="BB41" s="98">
        <v>7</v>
      </c>
      <c r="BC41" s="98">
        <v>4620</v>
      </c>
      <c r="BD41" s="98">
        <v>6</v>
      </c>
      <c r="BE41" s="98">
        <v>3960</v>
      </c>
      <c r="BF41" s="98">
        <v>6</v>
      </c>
      <c r="BG41" s="98">
        <v>3960</v>
      </c>
      <c r="BH41" s="98">
        <v>6</v>
      </c>
      <c r="BI41" s="98">
        <v>3960</v>
      </c>
      <c r="BJ41" s="98">
        <v>7</v>
      </c>
      <c r="BK41" s="98">
        <v>4620</v>
      </c>
      <c r="BL41" s="98">
        <v>6</v>
      </c>
      <c r="BM41" s="98">
        <v>3960</v>
      </c>
      <c r="BN41" s="98">
        <v>8</v>
      </c>
      <c r="BO41" s="98">
        <v>5280</v>
      </c>
      <c r="BP41" s="98">
        <v>6</v>
      </c>
      <c r="BQ41" s="98">
        <v>3960</v>
      </c>
      <c r="BR41" s="98">
        <v>7</v>
      </c>
      <c r="BS41" s="98">
        <v>4620</v>
      </c>
      <c r="BT41" s="98">
        <v>5</v>
      </c>
      <c r="BU41" s="98">
        <v>3300</v>
      </c>
      <c r="BV41" s="98">
        <v>5</v>
      </c>
      <c r="BW41" s="98">
        <v>3300</v>
      </c>
      <c r="BX41" s="98">
        <v>5</v>
      </c>
      <c r="BY41" s="98">
        <v>3300</v>
      </c>
      <c r="BZ41" s="98">
        <v>9</v>
      </c>
      <c r="CA41" s="98">
        <v>5940</v>
      </c>
      <c r="CB41" s="98">
        <v>7</v>
      </c>
      <c r="CC41" s="98">
        <v>4620</v>
      </c>
      <c r="CD41" s="98">
        <v>7</v>
      </c>
      <c r="CE41" s="98">
        <v>4620</v>
      </c>
      <c r="CF41" s="98">
        <v>7</v>
      </c>
      <c r="CG41" s="98">
        <v>4620</v>
      </c>
      <c r="CH41" s="98">
        <v>7</v>
      </c>
      <c r="CI41" s="98">
        <v>4620</v>
      </c>
      <c r="CJ41" s="98">
        <v>5</v>
      </c>
      <c r="CK41" s="98">
        <v>3300</v>
      </c>
      <c r="CL41" s="98">
        <v>6</v>
      </c>
      <c r="CM41" s="98">
        <v>3960</v>
      </c>
      <c r="CN41" s="98">
        <v>5</v>
      </c>
      <c r="CO41" s="98">
        <v>3300</v>
      </c>
      <c r="CP41" s="98">
        <v>4</v>
      </c>
      <c r="CQ41" s="98">
        <v>2640</v>
      </c>
      <c r="CR41" s="98">
        <v>8</v>
      </c>
      <c r="CS41" s="98">
        <v>5280</v>
      </c>
      <c r="CT41" s="98">
        <v>5</v>
      </c>
      <c r="CU41" s="98">
        <v>3300</v>
      </c>
    </row>
    <row r="42" spans="2:99">
      <c r="C42" s="97" t="s">
        <v>209</v>
      </c>
      <c r="D42" s="98">
        <v>7</v>
      </c>
      <c r="E42" s="98">
        <v>5922</v>
      </c>
      <c r="F42" s="98">
        <v>8</v>
      </c>
      <c r="G42" s="98">
        <v>6768</v>
      </c>
      <c r="H42" s="98">
        <v>4</v>
      </c>
      <c r="I42" s="98">
        <v>3384</v>
      </c>
      <c r="J42" s="98">
        <v>7</v>
      </c>
      <c r="K42" s="98">
        <v>5922</v>
      </c>
      <c r="L42" s="98">
        <v>6</v>
      </c>
      <c r="M42" s="98">
        <v>5076</v>
      </c>
      <c r="N42" s="98">
        <v>4</v>
      </c>
      <c r="O42" s="98">
        <v>3384</v>
      </c>
      <c r="P42" s="98">
        <v>8</v>
      </c>
      <c r="Q42" s="98">
        <v>6768</v>
      </c>
      <c r="R42" s="98">
        <v>5</v>
      </c>
      <c r="S42" s="98">
        <v>4230</v>
      </c>
      <c r="T42" s="98">
        <v>6</v>
      </c>
      <c r="U42" s="98">
        <v>5076</v>
      </c>
      <c r="V42" s="98">
        <v>6</v>
      </c>
      <c r="W42" s="98">
        <v>5076</v>
      </c>
      <c r="X42" s="98">
        <v>6</v>
      </c>
      <c r="Y42" s="98">
        <v>5076</v>
      </c>
      <c r="Z42" s="98">
        <v>5</v>
      </c>
      <c r="AA42" s="98">
        <v>4230</v>
      </c>
      <c r="AB42" s="98">
        <v>5</v>
      </c>
      <c r="AC42" s="98">
        <v>4230</v>
      </c>
      <c r="AD42" s="98">
        <v>5</v>
      </c>
      <c r="AE42" s="98">
        <v>4230</v>
      </c>
      <c r="AF42" s="98">
        <v>9</v>
      </c>
      <c r="AG42" s="98">
        <v>7614</v>
      </c>
      <c r="AH42" s="98">
        <v>4</v>
      </c>
      <c r="AI42" s="98">
        <v>3384</v>
      </c>
      <c r="AJ42" s="98">
        <v>6</v>
      </c>
      <c r="AK42" s="98">
        <v>5076</v>
      </c>
      <c r="AL42" s="98">
        <v>6</v>
      </c>
      <c r="AM42" s="98">
        <v>5076</v>
      </c>
      <c r="AN42" s="98">
        <v>7</v>
      </c>
      <c r="AO42" s="98">
        <v>5922</v>
      </c>
      <c r="AP42" s="98">
        <v>6</v>
      </c>
      <c r="AQ42" s="98">
        <v>5076</v>
      </c>
      <c r="AR42" s="98">
        <v>7</v>
      </c>
      <c r="AS42" s="98">
        <v>5922</v>
      </c>
      <c r="AT42" s="98">
        <v>6</v>
      </c>
      <c r="AU42" s="98">
        <v>5076</v>
      </c>
      <c r="AV42" s="98">
        <v>5</v>
      </c>
      <c r="AW42" s="98">
        <v>4230</v>
      </c>
      <c r="AX42" s="98">
        <v>8</v>
      </c>
      <c r="AY42" s="98">
        <v>6768</v>
      </c>
      <c r="AZ42" s="98">
        <v>5</v>
      </c>
      <c r="BA42" s="98">
        <v>4230</v>
      </c>
      <c r="BB42" s="98">
        <v>7</v>
      </c>
      <c r="BC42" s="98">
        <v>5922</v>
      </c>
      <c r="BD42" s="98">
        <v>7</v>
      </c>
      <c r="BE42" s="98">
        <v>5922</v>
      </c>
      <c r="BF42" s="98">
        <v>7</v>
      </c>
      <c r="BG42" s="98">
        <v>5922</v>
      </c>
      <c r="BH42" s="98">
        <v>7</v>
      </c>
      <c r="BI42" s="98">
        <v>5922</v>
      </c>
      <c r="BJ42" s="98">
        <v>8</v>
      </c>
      <c r="BK42" s="98">
        <v>6768</v>
      </c>
      <c r="BL42" s="98">
        <v>5</v>
      </c>
      <c r="BM42" s="98">
        <v>4230</v>
      </c>
      <c r="BN42" s="98">
        <v>8</v>
      </c>
      <c r="BO42" s="98">
        <v>6768</v>
      </c>
      <c r="BP42" s="98">
        <v>6</v>
      </c>
      <c r="BQ42" s="98">
        <v>5076</v>
      </c>
      <c r="BR42" s="98">
        <v>7</v>
      </c>
      <c r="BS42" s="98">
        <v>5922</v>
      </c>
      <c r="BT42" s="98">
        <v>5</v>
      </c>
      <c r="BU42" s="98">
        <v>4230</v>
      </c>
      <c r="BV42" s="98">
        <v>5</v>
      </c>
      <c r="BW42" s="98">
        <v>4230</v>
      </c>
      <c r="BX42" s="98">
        <v>5</v>
      </c>
      <c r="BY42" s="98">
        <v>4230</v>
      </c>
      <c r="BZ42" s="98">
        <v>8</v>
      </c>
      <c r="CA42" s="98">
        <v>6768</v>
      </c>
      <c r="CB42" s="98">
        <v>7</v>
      </c>
      <c r="CC42" s="98">
        <v>5922</v>
      </c>
      <c r="CD42" s="98">
        <v>6</v>
      </c>
      <c r="CE42" s="98">
        <v>5076</v>
      </c>
      <c r="CF42" s="98">
        <v>7</v>
      </c>
      <c r="CG42" s="98">
        <v>5922</v>
      </c>
      <c r="CH42" s="98">
        <v>7</v>
      </c>
      <c r="CI42" s="98">
        <v>5922</v>
      </c>
      <c r="CJ42" s="98">
        <v>5</v>
      </c>
      <c r="CK42" s="98">
        <v>4230</v>
      </c>
      <c r="CL42" s="98">
        <v>6</v>
      </c>
      <c r="CM42" s="98">
        <v>5076</v>
      </c>
      <c r="CN42" s="98">
        <v>5</v>
      </c>
      <c r="CO42" s="98">
        <v>4230</v>
      </c>
      <c r="CP42" s="98">
        <v>4</v>
      </c>
      <c r="CQ42" s="98">
        <v>3384</v>
      </c>
      <c r="CR42" s="98">
        <v>7</v>
      </c>
      <c r="CS42" s="98">
        <v>5922</v>
      </c>
      <c r="CT42" s="98">
        <v>4</v>
      </c>
      <c r="CU42" s="98">
        <v>3384</v>
      </c>
    </row>
    <row r="43" spans="2:99">
      <c r="C43" s="97" t="s">
        <v>210</v>
      </c>
      <c r="D43" s="98">
        <v>7</v>
      </c>
      <c r="E43" s="98">
        <v>7156.8</v>
      </c>
      <c r="F43" s="98">
        <v>7</v>
      </c>
      <c r="G43" s="98">
        <v>7156.8</v>
      </c>
      <c r="H43" s="98">
        <v>4</v>
      </c>
      <c r="I43" s="98">
        <v>4089.6</v>
      </c>
      <c r="J43" s="98">
        <v>7</v>
      </c>
      <c r="K43" s="98">
        <v>7156.8</v>
      </c>
      <c r="L43" s="98">
        <v>5</v>
      </c>
      <c r="M43" s="98">
        <v>5112</v>
      </c>
      <c r="N43" s="98">
        <v>4</v>
      </c>
      <c r="O43" s="98">
        <v>4089.6</v>
      </c>
      <c r="P43" s="98">
        <v>7</v>
      </c>
      <c r="Q43" s="98">
        <v>7156.8</v>
      </c>
      <c r="R43" s="98">
        <v>5</v>
      </c>
      <c r="S43" s="98">
        <v>5112</v>
      </c>
      <c r="T43" s="98">
        <v>5</v>
      </c>
      <c r="U43" s="98">
        <v>5112</v>
      </c>
      <c r="V43" s="98">
        <v>6</v>
      </c>
      <c r="W43" s="98">
        <v>6134.4</v>
      </c>
      <c r="X43" s="98">
        <v>6</v>
      </c>
      <c r="Y43" s="98">
        <v>6134.4</v>
      </c>
      <c r="Z43" s="98">
        <v>5</v>
      </c>
      <c r="AA43" s="98">
        <v>5112</v>
      </c>
      <c r="AB43" s="98">
        <v>6</v>
      </c>
      <c r="AC43" s="98">
        <v>6134.4</v>
      </c>
      <c r="AD43" s="98">
        <v>6</v>
      </c>
      <c r="AE43" s="98">
        <v>6134.4</v>
      </c>
      <c r="AF43" s="98">
        <v>8</v>
      </c>
      <c r="AG43" s="98">
        <v>8179.2</v>
      </c>
      <c r="AH43" s="98">
        <v>5</v>
      </c>
      <c r="AI43" s="98">
        <v>5112</v>
      </c>
      <c r="AJ43" s="98">
        <v>6</v>
      </c>
      <c r="AK43" s="98">
        <v>6134.4</v>
      </c>
      <c r="AL43" s="98">
        <v>5</v>
      </c>
      <c r="AM43" s="98">
        <v>5112</v>
      </c>
      <c r="AN43" s="98">
        <v>8</v>
      </c>
      <c r="AO43" s="98">
        <v>8179.2</v>
      </c>
      <c r="AP43" s="98">
        <v>6</v>
      </c>
      <c r="AQ43" s="98">
        <v>6134.4</v>
      </c>
      <c r="AR43" s="98">
        <v>7</v>
      </c>
      <c r="AS43" s="98">
        <v>7156.8</v>
      </c>
      <c r="AT43" s="98">
        <v>6</v>
      </c>
      <c r="AU43" s="98">
        <v>6134.4</v>
      </c>
      <c r="AV43" s="98">
        <v>5</v>
      </c>
      <c r="AW43" s="98">
        <v>5112</v>
      </c>
      <c r="AX43" s="98">
        <v>8</v>
      </c>
      <c r="AY43" s="98">
        <v>8179.2</v>
      </c>
      <c r="AZ43" s="98">
        <v>5</v>
      </c>
      <c r="BA43" s="98">
        <v>5112</v>
      </c>
      <c r="BB43" s="98">
        <v>6</v>
      </c>
      <c r="BC43" s="98">
        <v>6134.4</v>
      </c>
      <c r="BD43" s="98">
        <v>7</v>
      </c>
      <c r="BE43" s="98">
        <v>7156.8</v>
      </c>
      <c r="BF43" s="98">
        <v>6</v>
      </c>
      <c r="BG43" s="98">
        <v>6134.4</v>
      </c>
      <c r="BH43" s="98">
        <v>6</v>
      </c>
      <c r="BI43" s="98">
        <v>6134.4</v>
      </c>
      <c r="BJ43" s="98">
        <v>7</v>
      </c>
      <c r="BK43" s="98">
        <v>7156.8</v>
      </c>
      <c r="BL43" s="98">
        <v>6</v>
      </c>
      <c r="BM43" s="98">
        <v>6134.4</v>
      </c>
      <c r="BN43" s="98">
        <v>7</v>
      </c>
      <c r="BO43" s="98">
        <v>7156.8</v>
      </c>
      <c r="BP43" s="98">
        <v>7</v>
      </c>
      <c r="BQ43" s="98">
        <v>7156.8</v>
      </c>
      <c r="BR43" s="98">
        <v>7</v>
      </c>
      <c r="BS43" s="98">
        <v>7156.8</v>
      </c>
      <c r="BT43" s="98">
        <v>6</v>
      </c>
      <c r="BU43" s="98">
        <v>6134.4</v>
      </c>
      <c r="BV43" s="98">
        <v>5</v>
      </c>
      <c r="BW43" s="98">
        <v>5112</v>
      </c>
      <c r="BX43" s="98">
        <v>5</v>
      </c>
      <c r="BY43" s="98">
        <v>5112</v>
      </c>
      <c r="BZ43" s="98">
        <v>8</v>
      </c>
      <c r="CA43" s="98">
        <v>8179.2</v>
      </c>
      <c r="CB43" s="98">
        <v>7</v>
      </c>
      <c r="CC43" s="98">
        <v>7156.8</v>
      </c>
      <c r="CD43" s="98">
        <v>6</v>
      </c>
      <c r="CE43" s="98">
        <v>6134.4</v>
      </c>
      <c r="CF43" s="98">
        <v>6</v>
      </c>
      <c r="CG43" s="98">
        <v>6134.4</v>
      </c>
      <c r="CH43" s="98">
        <v>8</v>
      </c>
      <c r="CI43" s="98">
        <v>8179.2</v>
      </c>
      <c r="CJ43" s="98">
        <v>4</v>
      </c>
      <c r="CK43" s="98">
        <v>4089.6</v>
      </c>
      <c r="CL43" s="98">
        <v>5</v>
      </c>
      <c r="CM43" s="98">
        <v>5112</v>
      </c>
      <c r="CN43" s="98">
        <v>6</v>
      </c>
      <c r="CO43" s="98">
        <v>6134.4</v>
      </c>
      <c r="CP43" s="98">
        <v>4</v>
      </c>
      <c r="CQ43" s="98">
        <v>4089.6</v>
      </c>
      <c r="CR43" s="98">
        <v>8</v>
      </c>
      <c r="CS43" s="98">
        <v>8179.2</v>
      </c>
      <c r="CT43" s="98">
        <v>4</v>
      </c>
      <c r="CU43" s="98">
        <v>4089.6</v>
      </c>
    </row>
    <row r="44" spans="2:99">
      <c r="C44" s="97" t="s">
        <v>211</v>
      </c>
      <c r="D44" s="98">
        <v>7</v>
      </c>
      <c r="E44" s="98">
        <v>7156.8</v>
      </c>
      <c r="F44" s="98">
        <v>7</v>
      </c>
      <c r="G44" s="98">
        <v>7156.8</v>
      </c>
      <c r="H44" s="98">
        <v>4</v>
      </c>
      <c r="I44" s="98">
        <v>4089.6</v>
      </c>
      <c r="J44" s="98">
        <v>7</v>
      </c>
      <c r="K44" s="98">
        <v>7156.8</v>
      </c>
      <c r="L44" s="98">
        <v>5</v>
      </c>
      <c r="M44" s="98">
        <v>5112</v>
      </c>
      <c r="N44" s="98">
        <v>4</v>
      </c>
      <c r="O44" s="98">
        <v>4089.6</v>
      </c>
      <c r="P44" s="98">
        <v>7</v>
      </c>
      <c r="Q44" s="98">
        <v>7156.8</v>
      </c>
      <c r="R44" s="98">
        <v>6</v>
      </c>
      <c r="S44" s="98">
        <v>6134.4</v>
      </c>
      <c r="T44" s="98">
        <v>6</v>
      </c>
      <c r="U44" s="98">
        <v>6134.4</v>
      </c>
      <c r="V44" s="98">
        <v>6</v>
      </c>
      <c r="W44" s="98">
        <v>6134.4</v>
      </c>
      <c r="X44" s="98">
        <v>5</v>
      </c>
      <c r="Y44" s="98">
        <v>5112</v>
      </c>
      <c r="Z44" s="98">
        <v>5</v>
      </c>
      <c r="AA44" s="98">
        <v>5112</v>
      </c>
      <c r="AB44" s="98">
        <v>6</v>
      </c>
      <c r="AC44" s="98">
        <v>6134.4</v>
      </c>
      <c r="AD44" s="98">
        <v>5</v>
      </c>
      <c r="AE44" s="98">
        <v>5112</v>
      </c>
      <c r="AF44" s="98">
        <v>8</v>
      </c>
      <c r="AG44" s="98">
        <v>8179.2</v>
      </c>
      <c r="AH44" s="98">
        <v>4</v>
      </c>
      <c r="AI44" s="98">
        <v>4089.6</v>
      </c>
      <c r="AJ44" s="98">
        <v>7</v>
      </c>
      <c r="AK44" s="98">
        <v>7156.8</v>
      </c>
      <c r="AL44" s="98">
        <v>5</v>
      </c>
      <c r="AM44" s="98">
        <v>5112</v>
      </c>
      <c r="AN44" s="98">
        <v>7</v>
      </c>
      <c r="AO44" s="98">
        <v>7156.8</v>
      </c>
      <c r="AP44" s="98">
        <v>6</v>
      </c>
      <c r="AQ44" s="98">
        <v>6134.4</v>
      </c>
      <c r="AR44" s="98">
        <v>7</v>
      </c>
      <c r="AS44" s="98">
        <v>7156.8</v>
      </c>
      <c r="AT44" s="98">
        <v>6</v>
      </c>
      <c r="AU44" s="98">
        <v>6134.4</v>
      </c>
      <c r="AV44" s="98">
        <v>5</v>
      </c>
      <c r="AW44" s="98">
        <v>5112</v>
      </c>
      <c r="AX44" s="98">
        <v>7</v>
      </c>
      <c r="AY44" s="98">
        <v>7156.8</v>
      </c>
      <c r="AZ44" s="98">
        <v>6</v>
      </c>
      <c r="BA44" s="98">
        <v>6134.4</v>
      </c>
      <c r="BB44" s="98">
        <v>6</v>
      </c>
      <c r="BC44" s="98">
        <v>6134.4</v>
      </c>
      <c r="BD44" s="98">
        <v>6</v>
      </c>
      <c r="BE44" s="98">
        <v>6134.4</v>
      </c>
      <c r="BF44" s="98">
        <v>6</v>
      </c>
      <c r="BG44" s="98">
        <v>6134.4</v>
      </c>
      <c r="BH44" s="98">
        <v>7</v>
      </c>
      <c r="BI44" s="98">
        <v>7156.8</v>
      </c>
      <c r="BJ44" s="98">
        <v>6</v>
      </c>
      <c r="BK44" s="98">
        <v>6134.4</v>
      </c>
      <c r="BL44" s="98">
        <v>6</v>
      </c>
      <c r="BM44" s="98">
        <v>6134.4</v>
      </c>
      <c r="BN44" s="98">
        <v>8</v>
      </c>
      <c r="BO44" s="98">
        <v>8179.2</v>
      </c>
      <c r="BP44" s="98">
        <v>6</v>
      </c>
      <c r="BQ44" s="98">
        <v>6134.4</v>
      </c>
      <c r="BR44" s="98">
        <v>6</v>
      </c>
      <c r="BS44" s="98">
        <v>6134.4</v>
      </c>
      <c r="BT44" s="98">
        <v>6</v>
      </c>
      <c r="BU44" s="98">
        <v>6134.4</v>
      </c>
      <c r="BV44" s="98">
        <v>5</v>
      </c>
      <c r="BW44" s="98">
        <v>5112</v>
      </c>
      <c r="BX44" s="98">
        <v>5</v>
      </c>
      <c r="BY44" s="98">
        <v>5112</v>
      </c>
      <c r="BZ44" s="98">
        <v>7</v>
      </c>
      <c r="CA44" s="98">
        <v>7156.8</v>
      </c>
      <c r="CB44" s="98">
        <v>7</v>
      </c>
      <c r="CC44" s="98">
        <v>7156.8</v>
      </c>
      <c r="CD44" s="98">
        <v>6</v>
      </c>
      <c r="CE44" s="98">
        <v>6134.4</v>
      </c>
      <c r="CF44" s="98">
        <v>7</v>
      </c>
      <c r="CG44" s="98">
        <v>7156.8</v>
      </c>
      <c r="CH44" s="98">
        <v>8</v>
      </c>
      <c r="CI44" s="98">
        <v>8179.2</v>
      </c>
      <c r="CJ44" s="98">
        <v>5</v>
      </c>
      <c r="CK44" s="98">
        <v>5112</v>
      </c>
      <c r="CL44" s="98">
        <v>6</v>
      </c>
      <c r="CM44" s="98">
        <v>6134.4</v>
      </c>
      <c r="CN44" s="98">
        <v>6</v>
      </c>
      <c r="CO44" s="98">
        <v>6134.4</v>
      </c>
      <c r="CP44" s="98">
        <v>4</v>
      </c>
      <c r="CQ44" s="98">
        <v>4089.6</v>
      </c>
      <c r="CR44" s="98">
        <v>7</v>
      </c>
      <c r="CS44" s="98">
        <v>7156.8</v>
      </c>
      <c r="CT44" s="98">
        <v>5</v>
      </c>
      <c r="CU44" s="98">
        <v>5112</v>
      </c>
    </row>
    <row r="45" spans="2:99">
      <c r="C45" s="97" t="s">
        <v>212</v>
      </c>
      <c r="D45" s="98">
        <v>8</v>
      </c>
      <c r="E45" s="98">
        <v>9993.6</v>
      </c>
      <c r="F45" s="98">
        <v>7</v>
      </c>
      <c r="G45" s="98">
        <v>8744.4</v>
      </c>
      <c r="H45" s="98">
        <v>4</v>
      </c>
      <c r="I45" s="98">
        <v>4996.8</v>
      </c>
      <c r="J45" s="98">
        <v>7</v>
      </c>
      <c r="K45" s="98">
        <v>8744.4</v>
      </c>
      <c r="L45" s="98">
        <v>6</v>
      </c>
      <c r="M45" s="98">
        <v>7495.2000000000007</v>
      </c>
      <c r="N45" s="98">
        <v>4</v>
      </c>
      <c r="O45" s="98">
        <v>4996.8</v>
      </c>
      <c r="P45" s="98">
        <v>8</v>
      </c>
      <c r="Q45" s="98">
        <v>9993.6</v>
      </c>
      <c r="R45" s="98">
        <v>5</v>
      </c>
      <c r="S45" s="98">
        <v>6246</v>
      </c>
      <c r="T45" s="98">
        <v>6</v>
      </c>
      <c r="U45" s="98">
        <v>7495.2000000000007</v>
      </c>
      <c r="V45" s="98">
        <v>6</v>
      </c>
      <c r="W45" s="98">
        <v>7495.2000000000007</v>
      </c>
      <c r="X45" s="98">
        <v>6</v>
      </c>
      <c r="Y45" s="98">
        <v>7495.2000000000007</v>
      </c>
      <c r="Z45" s="98">
        <v>5</v>
      </c>
      <c r="AA45" s="98">
        <v>6246</v>
      </c>
      <c r="AB45" s="98">
        <v>6</v>
      </c>
      <c r="AC45" s="98">
        <v>7495.2000000000007</v>
      </c>
      <c r="AD45" s="98">
        <v>5</v>
      </c>
      <c r="AE45" s="98">
        <v>6246</v>
      </c>
      <c r="AF45" s="98">
        <v>7</v>
      </c>
      <c r="AG45" s="98">
        <v>8744.4</v>
      </c>
      <c r="AH45" s="98">
        <v>4</v>
      </c>
      <c r="AI45" s="98">
        <v>4996.8</v>
      </c>
      <c r="AJ45" s="98">
        <v>7</v>
      </c>
      <c r="AK45" s="98">
        <v>8744.4</v>
      </c>
      <c r="AL45" s="98">
        <v>6</v>
      </c>
      <c r="AM45" s="98">
        <v>7495.2000000000007</v>
      </c>
      <c r="AN45" s="98">
        <v>7</v>
      </c>
      <c r="AO45" s="98">
        <v>8744.4</v>
      </c>
      <c r="AP45" s="98">
        <v>6</v>
      </c>
      <c r="AQ45" s="98">
        <v>7495.2000000000007</v>
      </c>
      <c r="AR45" s="98">
        <v>7</v>
      </c>
      <c r="AS45" s="98">
        <v>8744.4</v>
      </c>
      <c r="AT45" s="98">
        <v>5</v>
      </c>
      <c r="AU45" s="98">
        <v>6246</v>
      </c>
      <c r="AV45" s="98">
        <v>5</v>
      </c>
      <c r="AW45" s="98">
        <v>6246</v>
      </c>
      <c r="AX45" s="98">
        <v>7</v>
      </c>
      <c r="AY45" s="98">
        <v>8744.4</v>
      </c>
      <c r="AZ45" s="98">
        <v>6</v>
      </c>
      <c r="BA45" s="98">
        <v>7495.2000000000007</v>
      </c>
      <c r="BB45" s="98">
        <v>7</v>
      </c>
      <c r="BC45" s="98">
        <v>8744.4</v>
      </c>
      <c r="BD45" s="98">
        <v>6</v>
      </c>
      <c r="BE45" s="98">
        <v>7495.2000000000007</v>
      </c>
      <c r="BF45" s="98">
        <v>6</v>
      </c>
      <c r="BG45" s="98">
        <v>7495.2000000000007</v>
      </c>
      <c r="BH45" s="98">
        <v>6</v>
      </c>
      <c r="BI45" s="98">
        <v>7495.2000000000007</v>
      </c>
      <c r="BJ45" s="98">
        <v>7</v>
      </c>
      <c r="BK45" s="98">
        <v>8744.4</v>
      </c>
      <c r="BL45" s="98">
        <v>5</v>
      </c>
      <c r="BM45" s="98">
        <v>6246</v>
      </c>
      <c r="BN45" s="98">
        <v>8</v>
      </c>
      <c r="BO45" s="98">
        <v>9993.6</v>
      </c>
      <c r="BP45" s="98">
        <v>6</v>
      </c>
      <c r="BQ45" s="98">
        <v>7495.2000000000007</v>
      </c>
      <c r="BR45" s="98">
        <v>6</v>
      </c>
      <c r="BS45" s="98">
        <v>7495.2000000000007</v>
      </c>
      <c r="BT45" s="98">
        <v>6</v>
      </c>
      <c r="BU45" s="98">
        <v>7495.2000000000007</v>
      </c>
      <c r="BV45" s="98">
        <v>6</v>
      </c>
      <c r="BW45" s="98">
        <v>7495.2000000000007</v>
      </c>
      <c r="BX45" s="98">
        <v>5</v>
      </c>
      <c r="BY45" s="98">
        <v>6246</v>
      </c>
      <c r="BZ45" s="98">
        <v>8</v>
      </c>
      <c r="CA45" s="98">
        <v>9993.6</v>
      </c>
      <c r="CB45" s="98">
        <v>7</v>
      </c>
      <c r="CC45" s="98">
        <v>8744.4</v>
      </c>
      <c r="CD45" s="98">
        <v>6</v>
      </c>
      <c r="CE45" s="98">
        <v>7495.2000000000007</v>
      </c>
      <c r="CF45" s="98">
        <v>6</v>
      </c>
      <c r="CG45" s="98">
        <v>7495.2000000000007</v>
      </c>
      <c r="CH45" s="98">
        <v>8</v>
      </c>
      <c r="CI45" s="98">
        <v>9993.6</v>
      </c>
      <c r="CJ45" s="98">
        <v>5</v>
      </c>
      <c r="CK45" s="98">
        <v>6246</v>
      </c>
      <c r="CL45" s="98">
        <v>5</v>
      </c>
      <c r="CM45" s="98">
        <v>6246</v>
      </c>
      <c r="CN45" s="98">
        <v>5</v>
      </c>
      <c r="CO45" s="98">
        <v>6246</v>
      </c>
      <c r="CP45" s="98">
        <v>4</v>
      </c>
      <c r="CQ45" s="98">
        <v>4996.8</v>
      </c>
      <c r="CR45" s="98">
        <v>7</v>
      </c>
      <c r="CS45" s="98">
        <v>8744.4</v>
      </c>
      <c r="CT45" s="98">
        <v>4</v>
      </c>
      <c r="CU45" s="98">
        <v>4996.8</v>
      </c>
    </row>
    <row r="46" spans="2:99">
      <c r="C46" s="97" t="s">
        <v>213</v>
      </c>
      <c r="D46" s="98">
        <v>7</v>
      </c>
      <c r="E46" s="98">
        <v>8484</v>
      </c>
      <c r="F46" s="98">
        <v>7</v>
      </c>
      <c r="G46" s="98">
        <v>8484</v>
      </c>
      <c r="H46" s="98">
        <v>5</v>
      </c>
      <c r="I46" s="98">
        <v>6060</v>
      </c>
      <c r="J46" s="98">
        <v>7</v>
      </c>
      <c r="K46" s="98">
        <v>8484</v>
      </c>
      <c r="L46" s="98">
        <v>5</v>
      </c>
      <c r="M46" s="98">
        <v>6060</v>
      </c>
      <c r="N46" s="98">
        <v>4</v>
      </c>
      <c r="O46" s="98">
        <v>4848</v>
      </c>
      <c r="P46" s="98">
        <v>7</v>
      </c>
      <c r="Q46" s="98">
        <v>8484</v>
      </c>
      <c r="R46" s="98">
        <v>6</v>
      </c>
      <c r="S46" s="98">
        <v>7272</v>
      </c>
      <c r="T46" s="98">
        <v>6</v>
      </c>
      <c r="U46" s="98">
        <v>7272</v>
      </c>
      <c r="V46" s="98">
        <v>6</v>
      </c>
      <c r="W46" s="98">
        <v>7272</v>
      </c>
      <c r="X46" s="98">
        <v>6</v>
      </c>
      <c r="Y46" s="98">
        <v>7272</v>
      </c>
      <c r="Z46" s="98">
        <v>5</v>
      </c>
      <c r="AA46" s="98">
        <v>6060</v>
      </c>
      <c r="AB46" s="98">
        <v>6</v>
      </c>
      <c r="AC46" s="98">
        <v>7272</v>
      </c>
      <c r="AD46" s="98">
        <v>5</v>
      </c>
      <c r="AE46" s="98">
        <v>6060</v>
      </c>
      <c r="AF46" s="98">
        <v>8</v>
      </c>
      <c r="AG46" s="98">
        <v>9696</v>
      </c>
      <c r="AH46" s="98">
        <v>4</v>
      </c>
      <c r="AI46" s="98">
        <v>4848</v>
      </c>
      <c r="AJ46" s="98">
        <v>6</v>
      </c>
      <c r="AK46" s="98">
        <v>7272</v>
      </c>
      <c r="AL46" s="98">
        <v>5</v>
      </c>
      <c r="AM46" s="98">
        <v>6060</v>
      </c>
      <c r="AN46" s="98">
        <v>8</v>
      </c>
      <c r="AO46" s="98">
        <v>9696</v>
      </c>
      <c r="AP46" s="98">
        <v>6</v>
      </c>
      <c r="AQ46" s="98">
        <v>7272</v>
      </c>
      <c r="AR46" s="98">
        <v>7</v>
      </c>
      <c r="AS46" s="98">
        <v>8484</v>
      </c>
      <c r="AT46" s="98">
        <v>6</v>
      </c>
      <c r="AU46" s="98">
        <v>7272</v>
      </c>
      <c r="AV46" s="98">
        <v>5</v>
      </c>
      <c r="AW46" s="98">
        <v>6060</v>
      </c>
      <c r="AX46" s="98">
        <v>8</v>
      </c>
      <c r="AY46" s="98">
        <v>9696</v>
      </c>
      <c r="AZ46" s="98">
        <v>5</v>
      </c>
      <c r="BA46" s="98">
        <v>6060</v>
      </c>
      <c r="BB46" s="98">
        <v>7</v>
      </c>
      <c r="BC46" s="98">
        <v>8484</v>
      </c>
      <c r="BD46" s="98">
        <v>5</v>
      </c>
      <c r="BE46" s="98">
        <v>6060</v>
      </c>
      <c r="BF46" s="98">
        <v>6</v>
      </c>
      <c r="BG46" s="98">
        <v>7272</v>
      </c>
      <c r="BH46" s="98">
        <v>5</v>
      </c>
      <c r="BI46" s="98">
        <v>6060</v>
      </c>
      <c r="BJ46" s="98">
        <v>7</v>
      </c>
      <c r="BK46" s="98">
        <v>8484</v>
      </c>
      <c r="BL46" s="98">
        <v>6</v>
      </c>
      <c r="BM46" s="98">
        <v>7272</v>
      </c>
      <c r="BN46" s="98">
        <v>8</v>
      </c>
      <c r="BO46" s="98">
        <v>9696</v>
      </c>
      <c r="BP46" s="98">
        <v>6</v>
      </c>
      <c r="BQ46" s="98">
        <v>7272</v>
      </c>
      <c r="BR46" s="98">
        <v>7</v>
      </c>
      <c r="BS46" s="98">
        <v>8484</v>
      </c>
      <c r="BT46" s="98">
        <v>6</v>
      </c>
      <c r="BU46" s="98">
        <v>7272</v>
      </c>
      <c r="BV46" s="98">
        <v>6</v>
      </c>
      <c r="BW46" s="98">
        <v>7272</v>
      </c>
      <c r="BX46" s="98">
        <v>4</v>
      </c>
      <c r="BY46" s="98">
        <v>4848</v>
      </c>
      <c r="BZ46" s="98">
        <v>8</v>
      </c>
      <c r="CA46" s="98">
        <v>9696</v>
      </c>
      <c r="CB46" s="98">
        <v>7</v>
      </c>
      <c r="CC46" s="98">
        <v>8484</v>
      </c>
      <c r="CD46" s="98">
        <v>6</v>
      </c>
      <c r="CE46" s="98">
        <v>7272</v>
      </c>
      <c r="CF46" s="98">
        <v>7</v>
      </c>
      <c r="CG46" s="98">
        <v>8484</v>
      </c>
      <c r="CH46" s="98">
        <v>8</v>
      </c>
      <c r="CI46" s="98">
        <v>9696</v>
      </c>
      <c r="CJ46" s="98">
        <v>4</v>
      </c>
      <c r="CK46" s="98">
        <v>4848</v>
      </c>
      <c r="CL46" s="98">
        <v>6</v>
      </c>
      <c r="CM46" s="98">
        <v>7272</v>
      </c>
      <c r="CN46" s="98">
        <v>6</v>
      </c>
      <c r="CO46" s="98">
        <v>7272</v>
      </c>
      <c r="CP46" s="98">
        <v>4</v>
      </c>
      <c r="CQ46" s="98">
        <v>4848</v>
      </c>
      <c r="CR46" s="98">
        <v>8</v>
      </c>
      <c r="CS46" s="98">
        <v>9696</v>
      </c>
      <c r="CT46" s="98">
        <v>4</v>
      </c>
      <c r="CU46" s="98">
        <v>4848</v>
      </c>
    </row>
    <row r="47" spans="2:99">
      <c r="C47" s="97" t="s">
        <v>214</v>
      </c>
      <c r="D47" s="98">
        <v>7</v>
      </c>
      <c r="E47" s="98">
        <v>10693.199999999999</v>
      </c>
      <c r="F47" s="98">
        <v>8</v>
      </c>
      <c r="G47" s="98">
        <v>12220.8</v>
      </c>
      <c r="H47" s="98">
        <v>4</v>
      </c>
      <c r="I47" s="98">
        <v>6110.4</v>
      </c>
      <c r="J47" s="98">
        <v>7</v>
      </c>
      <c r="K47" s="98">
        <v>10693.199999999999</v>
      </c>
      <c r="L47" s="98">
        <v>6</v>
      </c>
      <c r="M47" s="98">
        <v>9165.5999999999985</v>
      </c>
      <c r="N47" s="98">
        <v>4</v>
      </c>
      <c r="O47" s="98">
        <v>6110.4</v>
      </c>
      <c r="P47" s="98">
        <v>7</v>
      </c>
      <c r="Q47" s="98">
        <v>10693.199999999999</v>
      </c>
      <c r="R47" s="98">
        <v>6</v>
      </c>
      <c r="S47" s="98">
        <v>9165.5999999999985</v>
      </c>
      <c r="T47" s="98">
        <v>5</v>
      </c>
      <c r="U47" s="98">
        <v>7638</v>
      </c>
      <c r="V47" s="98">
        <v>5</v>
      </c>
      <c r="W47" s="98">
        <v>7638</v>
      </c>
      <c r="X47" s="98">
        <v>5</v>
      </c>
      <c r="Y47" s="98">
        <v>7638</v>
      </c>
      <c r="Z47" s="98">
        <v>5</v>
      </c>
      <c r="AA47" s="98">
        <v>7638</v>
      </c>
      <c r="AB47" s="98">
        <v>5</v>
      </c>
      <c r="AC47" s="98">
        <v>7638</v>
      </c>
      <c r="AD47" s="98">
        <v>5</v>
      </c>
      <c r="AE47" s="98">
        <v>7638</v>
      </c>
      <c r="AF47" s="98">
        <v>7</v>
      </c>
      <c r="AG47" s="98">
        <v>10693.199999999999</v>
      </c>
      <c r="AH47" s="98">
        <v>4</v>
      </c>
      <c r="AI47" s="98">
        <v>6110.4</v>
      </c>
      <c r="AJ47" s="98">
        <v>6</v>
      </c>
      <c r="AK47" s="98">
        <v>9165.5999999999985</v>
      </c>
      <c r="AL47" s="98">
        <v>5</v>
      </c>
      <c r="AM47" s="98">
        <v>7638</v>
      </c>
      <c r="AN47" s="98">
        <v>7</v>
      </c>
      <c r="AO47" s="98">
        <v>10693.199999999999</v>
      </c>
      <c r="AP47" s="98">
        <v>5</v>
      </c>
      <c r="AQ47" s="98">
        <v>7638</v>
      </c>
      <c r="AR47" s="98">
        <v>7</v>
      </c>
      <c r="AS47" s="98">
        <v>10693.199999999999</v>
      </c>
      <c r="AT47" s="98">
        <v>6</v>
      </c>
      <c r="AU47" s="98">
        <v>9165.5999999999985</v>
      </c>
      <c r="AV47" s="98">
        <v>5</v>
      </c>
      <c r="AW47" s="98">
        <v>7638</v>
      </c>
      <c r="AX47" s="98">
        <v>8</v>
      </c>
      <c r="AY47" s="98">
        <v>12220.8</v>
      </c>
      <c r="AZ47" s="98">
        <v>5</v>
      </c>
      <c r="BA47" s="98">
        <v>7638</v>
      </c>
      <c r="BB47" s="98">
        <v>7</v>
      </c>
      <c r="BC47" s="98">
        <v>10693.199999999999</v>
      </c>
      <c r="BD47" s="98">
        <v>6</v>
      </c>
      <c r="BE47" s="98">
        <v>9165.5999999999985</v>
      </c>
      <c r="BF47" s="98">
        <v>6</v>
      </c>
      <c r="BG47" s="98">
        <v>9165.5999999999985</v>
      </c>
      <c r="BH47" s="98">
        <v>7</v>
      </c>
      <c r="BI47" s="98">
        <v>10693.199999999999</v>
      </c>
      <c r="BJ47" s="98">
        <v>6</v>
      </c>
      <c r="BK47" s="98">
        <v>9165.5999999999985</v>
      </c>
      <c r="BL47" s="98">
        <v>5</v>
      </c>
      <c r="BM47" s="98">
        <v>7638</v>
      </c>
      <c r="BN47" s="98">
        <v>7</v>
      </c>
      <c r="BO47" s="98">
        <v>10693.199999999999</v>
      </c>
      <c r="BP47" s="98">
        <v>6</v>
      </c>
      <c r="BQ47" s="98">
        <v>9165.5999999999985</v>
      </c>
      <c r="BR47" s="98">
        <v>7</v>
      </c>
      <c r="BS47" s="98">
        <v>10693.199999999999</v>
      </c>
      <c r="BT47" s="98">
        <v>5</v>
      </c>
      <c r="BU47" s="98">
        <v>7638</v>
      </c>
      <c r="BV47" s="98">
        <v>6</v>
      </c>
      <c r="BW47" s="98">
        <v>9165.5999999999985</v>
      </c>
      <c r="BX47" s="98">
        <v>5</v>
      </c>
      <c r="BY47" s="98">
        <v>7638</v>
      </c>
      <c r="BZ47" s="98">
        <v>7</v>
      </c>
      <c r="CA47" s="98">
        <v>10693.199999999999</v>
      </c>
      <c r="CB47" s="98">
        <v>6</v>
      </c>
      <c r="CC47" s="98">
        <v>9165.5999999999985</v>
      </c>
      <c r="CD47" s="98">
        <v>6</v>
      </c>
      <c r="CE47" s="98">
        <v>9165.5999999999985</v>
      </c>
      <c r="CF47" s="98">
        <v>6</v>
      </c>
      <c r="CG47" s="98">
        <v>9165.5999999999985</v>
      </c>
      <c r="CH47" s="98">
        <v>8</v>
      </c>
      <c r="CI47" s="98">
        <v>12220.8</v>
      </c>
      <c r="CJ47" s="98">
        <v>4</v>
      </c>
      <c r="CK47" s="98">
        <v>6110.4</v>
      </c>
      <c r="CL47" s="98">
        <v>6</v>
      </c>
      <c r="CM47" s="98">
        <v>9165.5999999999985</v>
      </c>
      <c r="CN47" s="98">
        <v>5</v>
      </c>
      <c r="CO47" s="98">
        <v>7638</v>
      </c>
      <c r="CP47" s="98">
        <v>5</v>
      </c>
      <c r="CQ47" s="98">
        <v>7638</v>
      </c>
      <c r="CR47" s="98">
        <v>7</v>
      </c>
      <c r="CS47" s="98">
        <v>10693.199999999999</v>
      </c>
      <c r="CT47" s="98">
        <v>4</v>
      </c>
      <c r="CU47" s="98">
        <v>6110.4</v>
      </c>
    </row>
    <row r="48" spans="2:99">
      <c r="C48" s="97" t="s">
        <v>215</v>
      </c>
      <c r="D48" s="98">
        <v>7</v>
      </c>
      <c r="E48" s="98">
        <v>6073.2</v>
      </c>
      <c r="F48" s="98">
        <v>8</v>
      </c>
      <c r="G48" s="98">
        <v>6940.8</v>
      </c>
      <c r="H48" s="98">
        <v>5</v>
      </c>
      <c r="I48" s="98">
        <v>4338</v>
      </c>
      <c r="J48" s="98">
        <v>7</v>
      </c>
      <c r="K48" s="98">
        <v>6073.2</v>
      </c>
      <c r="L48" s="98">
        <v>5</v>
      </c>
      <c r="M48" s="98">
        <v>4338</v>
      </c>
      <c r="N48" s="98">
        <v>4</v>
      </c>
      <c r="O48" s="98">
        <v>3470.4</v>
      </c>
      <c r="P48" s="98">
        <v>8</v>
      </c>
      <c r="Q48" s="98">
        <v>6940.8</v>
      </c>
      <c r="R48" s="98">
        <v>5</v>
      </c>
      <c r="S48" s="98">
        <v>4338</v>
      </c>
      <c r="T48" s="98">
        <v>5</v>
      </c>
      <c r="U48" s="98">
        <v>4338</v>
      </c>
      <c r="V48" s="98">
        <v>5</v>
      </c>
      <c r="W48" s="98">
        <v>4338</v>
      </c>
      <c r="X48" s="98">
        <v>6</v>
      </c>
      <c r="Y48" s="98">
        <v>5205.6000000000004</v>
      </c>
      <c r="Z48" s="98">
        <v>6</v>
      </c>
      <c r="AA48" s="98">
        <v>5205.6000000000004</v>
      </c>
      <c r="AB48" s="98">
        <v>6</v>
      </c>
      <c r="AC48" s="98">
        <v>5205.6000000000004</v>
      </c>
      <c r="AD48" s="98">
        <v>5</v>
      </c>
      <c r="AE48" s="98">
        <v>4338</v>
      </c>
      <c r="AF48" s="98">
        <v>8</v>
      </c>
      <c r="AG48" s="98">
        <v>6940.8</v>
      </c>
      <c r="AH48" s="98">
        <v>5</v>
      </c>
      <c r="AI48" s="98">
        <v>4338</v>
      </c>
      <c r="AJ48" s="98">
        <v>7</v>
      </c>
      <c r="AK48" s="98">
        <v>6073.2</v>
      </c>
      <c r="AL48" s="98">
        <v>6</v>
      </c>
      <c r="AM48" s="98">
        <v>5205.6000000000004</v>
      </c>
      <c r="AN48" s="98">
        <v>7</v>
      </c>
      <c r="AO48" s="98">
        <v>6073.2</v>
      </c>
      <c r="AP48" s="98">
        <v>6</v>
      </c>
      <c r="AQ48" s="98">
        <v>5205.6000000000004</v>
      </c>
      <c r="AR48" s="98">
        <v>7</v>
      </c>
      <c r="AS48" s="98">
        <v>6073.2</v>
      </c>
      <c r="AT48" s="98">
        <v>6</v>
      </c>
      <c r="AU48" s="98">
        <v>5205.6000000000004</v>
      </c>
      <c r="AV48" s="98">
        <v>5</v>
      </c>
      <c r="AW48" s="98">
        <v>4338</v>
      </c>
      <c r="AX48" s="98">
        <v>8</v>
      </c>
      <c r="AY48" s="98">
        <v>6940.8</v>
      </c>
      <c r="AZ48" s="98">
        <v>6</v>
      </c>
      <c r="BA48" s="98">
        <v>5205.6000000000004</v>
      </c>
      <c r="BB48" s="98">
        <v>7</v>
      </c>
      <c r="BC48" s="98">
        <v>6073.2</v>
      </c>
      <c r="BD48" s="98">
        <v>6</v>
      </c>
      <c r="BE48" s="98">
        <v>5205.6000000000004</v>
      </c>
      <c r="BF48" s="98">
        <v>6</v>
      </c>
      <c r="BG48" s="98">
        <v>5205.6000000000004</v>
      </c>
      <c r="BH48" s="98">
        <v>7</v>
      </c>
      <c r="BI48" s="98">
        <v>6073.2</v>
      </c>
      <c r="BJ48" s="98">
        <v>7</v>
      </c>
      <c r="BK48" s="98">
        <v>6073.2</v>
      </c>
      <c r="BL48" s="98">
        <v>5</v>
      </c>
      <c r="BM48" s="98">
        <v>4338</v>
      </c>
      <c r="BN48" s="98">
        <v>8</v>
      </c>
      <c r="BO48" s="98">
        <v>6940.8</v>
      </c>
      <c r="BP48" s="98">
        <v>6</v>
      </c>
      <c r="BQ48" s="98">
        <v>5205.6000000000004</v>
      </c>
      <c r="BR48" s="98">
        <v>8</v>
      </c>
      <c r="BS48" s="98">
        <v>6940.8</v>
      </c>
      <c r="BT48" s="98">
        <v>6</v>
      </c>
      <c r="BU48" s="98">
        <v>5205.6000000000004</v>
      </c>
      <c r="BV48" s="98">
        <v>6</v>
      </c>
      <c r="BW48" s="98">
        <v>5205.6000000000004</v>
      </c>
      <c r="BX48" s="98">
        <v>5</v>
      </c>
      <c r="BY48" s="98">
        <v>4338</v>
      </c>
      <c r="BZ48" s="98">
        <v>8</v>
      </c>
      <c r="CA48" s="98">
        <v>6940.8</v>
      </c>
      <c r="CB48" s="98">
        <v>7</v>
      </c>
      <c r="CC48" s="98">
        <v>6073.2</v>
      </c>
      <c r="CD48" s="98">
        <v>7</v>
      </c>
      <c r="CE48" s="98">
        <v>6073.2</v>
      </c>
      <c r="CF48" s="98">
        <v>7</v>
      </c>
      <c r="CG48" s="98">
        <v>6073.2</v>
      </c>
      <c r="CH48" s="98">
        <v>8</v>
      </c>
      <c r="CI48" s="98">
        <v>6940.8</v>
      </c>
      <c r="CJ48" s="98">
        <v>5</v>
      </c>
      <c r="CK48" s="98">
        <v>4338</v>
      </c>
      <c r="CL48" s="98">
        <v>6</v>
      </c>
      <c r="CM48" s="98">
        <v>5205.6000000000004</v>
      </c>
      <c r="CN48" s="98">
        <v>5</v>
      </c>
      <c r="CO48" s="98">
        <v>4338</v>
      </c>
      <c r="CP48" s="98">
        <v>4</v>
      </c>
      <c r="CQ48" s="98">
        <v>3470.4</v>
      </c>
      <c r="CR48" s="98">
        <v>7</v>
      </c>
      <c r="CS48" s="98">
        <v>6073.2</v>
      </c>
      <c r="CT48" s="98">
        <v>4</v>
      </c>
      <c r="CU48" s="98">
        <v>3470.4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6</v>
      </c>
      <c r="G49" s="98">
        <v>5911.2</v>
      </c>
      <c r="H49" s="98">
        <v>7</v>
      </c>
      <c r="I49" s="98">
        <v>6896.4</v>
      </c>
      <c r="J49" s="98">
        <v>4</v>
      </c>
      <c r="K49" s="98">
        <v>3940.7999999999997</v>
      </c>
      <c r="L49" s="98">
        <v>4</v>
      </c>
      <c r="M49" s="98">
        <v>3940.7999999999997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5</v>
      </c>
      <c r="S49" s="98">
        <v>4926</v>
      </c>
      <c r="T49" s="98">
        <v>6</v>
      </c>
      <c r="U49" s="98">
        <v>5911.2</v>
      </c>
      <c r="V49" s="98">
        <v>7</v>
      </c>
      <c r="W49" s="98">
        <v>6896.4</v>
      </c>
      <c r="X49" s="98">
        <v>6</v>
      </c>
      <c r="Y49" s="98">
        <v>5911.2</v>
      </c>
      <c r="Z49" s="98">
        <v>7</v>
      </c>
      <c r="AA49" s="98">
        <v>6896.4</v>
      </c>
      <c r="AB49" s="98">
        <v>6</v>
      </c>
      <c r="AC49" s="98">
        <v>5911.2</v>
      </c>
      <c r="AD49" s="98">
        <v>5</v>
      </c>
      <c r="AE49" s="98">
        <v>4926</v>
      </c>
      <c r="AF49" s="98">
        <v>4</v>
      </c>
      <c r="AG49" s="98">
        <v>3940.7999999999997</v>
      </c>
      <c r="AH49" s="98">
        <v>5</v>
      </c>
      <c r="AI49" s="98">
        <v>4926</v>
      </c>
      <c r="AJ49" s="98">
        <v>4</v>
      </c>
      <c r="AK49" s="98">
        <v>3940.7999999999997</v>
      </c>
      <c r="AL49" s="98">
        <v>6</v>
      </c>
      <c r="AM49" s="98">
        <v>5911.2</v>
      </c>
      <c r="AN49" s="98">
        <v>7</v>
      </c>
      <c r="AO49" s="98">
        <v>6896.4</v>
      </c>
      <c r="AP49" s="98">
        <v>5</v>
      </c>
      <c r="AQ49" s="98">
        <v>4926</v>
      </c>
      <c r="AR49" s="98">
        <v>4</v>
      </c>
      <c r="AS49" s="98">
        <v>3940.7999999999997</v>
      </c>
      <c r="AT49" s="98">
        <v>6</v>
      </c>
      <c r="AU49" s="98">
        <v>5911.2</v>
      </c>
      <c r="AV49" s="98">
        <v>4</v>
      </c>
      <c r="AW49" s="98">
        <v>3940.7999999999997</v>
      </c>
      <c r="AX49" s="98">
        <v>4</v>
      </c>
      <c r="AY49" s="98">
        <v>3940.7999999999997</v>
      </c>
      <c r="AZ49" s="98">
        <v>4</v>
      </c>
      <c r="BA49" s="98">
        <v>3940.7999999999997</v>
      </c>
      <c r="BB49" s="98">
        <v>6</v>
      </c>
      <c r="BC49" s="98">
        <v>5911.2</v>
      </c>
      <c r="BD49" s="98">
        <v>7</v>
      </c>
      <c r="BE49" s="98">
        <v>6896.4</v>
      </c>
      <c r="BF49" s="98">
        <v>4</v>
      </c>
      <c r="BG49" s="98">
        <v>3940.7999999999997</v>
      </c>
      <c r="BH49" s="98">
        <v>4</v>
      </c>
      <c r="BI49" s="98">
        <v>3940.7999999999997</v>
      </c>
      <c r="BJ49" s="98">
        <v>4</v>
      </c>
      <c r="BK49" s="98">
        <v>3940.7999999999997</v>
      </c>
      <c r="BL49" s="98">
        <v>5</v>
      </c>
      <c r="BM49" s="98">
        <v>4926</v>
      </c>
      <c r="BN49" s="98">
        <v>6</v>
      </c>
      <c r="BO49" s="98">
        <v>5911.2</v>
      </c>
      <c r="BP49" s="98">
        <v>4</v>
      </c>
      <c r="BQ49" s="98">
        <v>3940.7999999999997</v>
      </c>
      <c r="BR49" s="98">
        <v>5</v>
      </c>
      <c r="BS49" s="98">
        <v>4926</v>
      </c>
      <c r="BT49" s="98">
        <v>4</v>
      </c>
      <c r="BU49" s="98">
        <v>3940.7999999999997</v>
      </c>
      <c r="BV49" s="98">
        <v>5</v>
      </c>
      <c r="BW49" s="98">
        <v>4926</v>
      </c>
      <c r="BX49" s="98">
        <v>5</v>
      </c>
      <c r="BY49" s="98">
        <v>4926</v>
      </c>
      <c r="BZ49" s="98">
        <v>5</v>
      </c>
      <c r="CA49" s="98">
        <v>4926</v>
      </c>
      <c r="CB49" s="98">
        <v>7</v>
      </c>
      <c r="CC49" s="98">
        <v>6896.4</v>
      </c>
      <c r="CD49" s="98">
        <v>6</v>
      </c>
      <c r="CE49" s="98">
        <v>5911.2</v>
      </c>
      <c r="CF49" s="98">
        <v>5</v>
      </c>
      <c r="CG49" s="98">
        <v>4926</v>
      </c>
      <c r="CH49" s="98">
        <v>6</v>
      </c>
      <c r="CI49" s="98">
        <v>5911.2</v>
      </c>
      <c r="CJ49" s="98">
        <v>5</v>
      </c>
      <c r="CK49" s="98">
        <v>4926</v>
      </c>
      <c r="CL49" s="98">
        <v>3</v>
      </c>
      <c r="CM49" s="98">
        <v>2955.6</v>
      </c>
      <c r="CN49" s="98">
        <v>5</v>
      </c>
      <c r="CO49" s="98">
        <v>4926</v>
      </c>
      <c r="CP49" s="98">
        <v>4</v>
      </c>
      <c r="CQ49" s="98">
        <v>3940.7999999999997</v>
      </c>
      <c r="CR49" s="98">
        <v>5</v>
      </c>
      <c r="CS49" s="98">
        <v>4926</v>
      </c>
      <c r="CT49" s="98">
        <v>7</v>
      </c>
      <c r="CU49" s="98">
        <v>6896.4</v>
      </c>
    </row>
    <row r="50" spans="2:99">
      <c r="C50" s="97" t="s">
        <v>217</v>
      </c>
      <c r="D50" s="98">
        <v>4</v>
      </c>
      <c r="E50" s="98">
        <v>1128</v>
      </c>
      <c r="F50" s="98">
        <v>7</v>
      </c>
      <c r="G50" s="98">
        <v>1974</v>
      </c>
      <c r="H50" s="98">
        <v>7</v>
      </c>
      <c r="I50" s="98">
        <v>1974</v>
      </c>
      <c r="J50" s="98">
        <v>4</v>
      </c>
      <c r="K50" s="98">
        <v>1128</v>
      </c>
      <c r="L50" s="98">
        <v>4</v>
      </c>
      <c r="M50" s="98">
        <v>1128</v>
      </c>
      <c r="N50" s="98">
        <v>5</v>
      </c>
      <c r="O50" s="98">
        <v>1410</v>
      </c>
      <c r="P50" s="98">
        <v>5</v>
      </c>
      <c r="Q50" s="98">
        <v>1410</v>
      </c>
      <c r="R50" s="98">
        <v>5</v>
      </c>
      <c r="S50" s="98">
        <v>1410</v>
      </c>
      <c r="T50" s="98">
        <v>6</v>
      </c>
      <c r="U50" s="98">
        <v>1692</v>
      </c>
      <c r="V50" s="98">
        <v>7</v>
      </c>
      <c r="W50" s="98">
        <v>1974</v>
      </c>
      <c r="X50" s="98">
        <v>6</v>
      </c>
      <c r="Y50" s="98">
        <v>1692</v>
      </c>
      <c r="Z50" s="98">
        <v>7</v>
      </c>
      <c r="AA50" s="98">
        <v>1974</v>
      </c>
      <c r="AB50" s="98">
        <v>7</v>
      </c>
      <c r="AC50" s="98">
        <v>1974</v>
      </c>
      <c r="AD50" s="98">
        <v>5</v>
      </c>
      <c r="AE50" s="98">
        <v>1410</v>
      </c>
      <c r="AF50" s="98">
        <v>4</v>
      </c>
      <c r="AG50" s="98">
        <v>1128</v>
      </c>
      <c r="AH50" s="98">
        <v>6</v>
      </c>
      <c r="AI50" s="98">
        <v>1692</v>
      </c>
      <c r="AJ50" s="98">
        <v>4</v>
      </c>
      <c r="AK50" s="98">
        <v>1128</v>
      </c>
      <c r="AL50" s="98">
        <v>6</v>
      </c>
      <c r="AM50" s="98">
        <v>1692</v>
      </c>
      <c r="AN50" s="98">
        <v>7</v>
      </c>
      <c r="AO50" s="98">
        <v>1974</v>
      </c>
      <c r="AP50" s="98">
        <v>5</v>
      </c>
      <c r="AQ50" s="98">
        <v>1410</v>
      </c>
      <c r="AR50" s="98">
        <v>5</v>
      </c>
      <c r="AS50" s="98">
        <v>1410</v>
      </c>
      <c r="AT50" s="98">
        <v>7</v>
      </c>
      <c r="AU50" s="98">
        <v>1974</v>
      </c>
      <c r="AV50" s="98">
        <v>4</v>
      </c>
      <c r="AW50" s="98">
        <v>1128</v>
      </c>
      <c r="AX50" s="98">
        <v>5</v>
      </c>
      <c r="AY50" s="98">
        <v>1410</v>
      </c>
      <c r="AZ50" s="98">
        <v>5</v>
      </c>
      <c r="BA50" s="98">
        <v>1410</v>
      </c>
      <c r="BB50" s="98">
        <v>6</v>
      </c>
      <c r="BC50" s="98">
        <v>1692</v>
      </c>
      <c r="BD50" s="98">
        <v>7</v>
      </c>
      <c r="BE50" s="98">
        <v>1974</v>
      </c>
      <c r="BF50" s="98">
        <v>5</v>
      </c>
      <c r="BG50" s="98">
        <v>1410</v>
      </c>
      <c r="BH50" s="98">
        <v>4</v>
      </c>
      <c r="BI50" s="98">
        <v>1128</v>
      </c>
      <c r="BJ50" s="98">
        <v>4</v>
      </c>
      <c r="BK50" s="98">
        <v>1128</v>
      </c>
      <c r="BL50" s="98">
        <v>6</v>
      </c>
      <c r="BM50" s="98">
        <v>1692</v>
      </c>
      <c r="BN50" s="98">
        <v>6</v>
      </c>
      <c r="BO50" s="98">
        <v>1692</v>
      </c>
      <c r="BP50" s="98">
        <v>4</v>
      </c>
      <c r="BQ50" s="98">
        <v>1128</v>
      </c>
      <c r="BR50" s="98">
        <v>5</v>
      </c>
      <c r="BS50" s="98">
        <v>1410</v>
      </c>
      <c r="BT50" s="98">
        <v>4</v>
      </c>
      <c r="BU50" s="98">
        <v>1128</v>
      </c>
      <c r="BV50" s="98">
        <v>5</v>
      </c>
      <c r="BW50" s="98">
        <v>1410</v>
      </c>
      <c r="BX50" s="98">
        <v>5</v>
      </c>
      <c r="BY50" s="98">
        <v>1410</v>
      </c>
      <c r="BZ50" s="98">
        <v>6</v>
      </c>
      <c r="CA50" s="98">
        <v>1692</v>
      </c>
      <c r="CB50" s="98">
        <v>7</v>
      </c>
      <c r="CC50" s="98">
        <v>1974</v>
      </c>
      <c r="CD50" s="98">
        <v>6</v>
      </c>
      <c r="CE50" s="98">
        <v>1692</v>
      </c>
      <c r="CF50" s="98">
        <v>6</v>
      </c>
      <c r="CG50" s="98">
        <v>1692</v>
      </c>
      <c r="CH50" s="98">
        <v>7</v>
      </c>
      <c r="CI50" s="98">
        <v>1974</v>
      </c>
      <c r="CJ50" s="98">
        <v>6</v>
      </c>
      <c r="CK50" s="98">
        <v>1692</v>
      </c>
      <c r="CL50" s="98">
        <v>4</v>
      </c>
      <c r="CM50" s="98">
        <v>1128</v>
      </c>
      <c r="CN50" s="98">
        <v>5</v>
      </c>
      <c r="CO50" s="98">
        <v>1410</v>
      </c>
      <c r="CP50" s="98">
        <v>4</v>
      </c>
      <c r="CQ50" s="98">
        <v>1128</v>
      </c>
      <c r="CR50" s="98">
        <v>5</v>
      </c>
      <c r="CS50" s="98">
        <v>1410</v>
      </c>
      <c r="CT50" s="98">
        <v>7</v>
      </c>
      <c r="CU50" s="98">
        <v>1974</v>
      </c>
    </row>
    <row r="51" spans="2:99">
      <c r="C51" s="97" t="s">
        <v>218</v>
      </c>
      <c r="D51" s="98">
        <v>3</v>
      </c>
      <c r="E51" s="98">
        <v>2563.1999999999998</v>
      </c>
      <c r="F51" s="98">
        <v>7</v>
      </c>
      <c r="G51" s="98">
        <v>5980.8</v>
      </c>
      <c r="H51" s="98">
        <v>8</v>
      </c>
      <c r="I51" s="98">
        <v>6835.2</v>
      </c>
      <c r="J51" s="98">
        <v>4</v>
      </c>
      <c r="K51" s="98">
        <v>3417.6</v>
      </c>
      <c r="L51" s="98">
        <v>4</v>
      </c>
      <c r="M51" s="98">
        <v>3417.6</v>
      </c>
      <c r="N51" s="98">
        <v>5</v>
      </c>
      <c r="O51" s="98">
        <v>4272</v>
      </c>
      <c r="P51" s="98">
        <v>5</v>
      </c>
      <c r="Q51" s="98">
        <v>4272</v>
      </c>
      <c r="R51" s="98">
        <v>5</v>
      </c>
      <c r="S51" s="98">
        <v>4272</v>
      </c>
      <c r="T51" s="98">
        <v>6</v>
      </c>
      <c r="U51" s="98">
        <v>5126.3999999999996</v>
      </c>
      <c r="V51" s="98">
        <v>7</v>
      </c>
      <c r="W51" s="98">
        <v>5980.8</v>
      </c>
      <c r="X51" s="98">
        <v>7</v>
      </c>
      <c r="Y51" s="98">
        <v>5980.8</v>
      </c>
      <c r="Z51" s="98">
        <v>7</v>
      </c>
      <c r="AA51" s="98">
        <v>5980.8</v>
      </c>
      <c r="AB51" s="98">
        <v>7</v>
      </c>
      <c r="AC51" s="98">
        <v>5980.8</v>
      </c>
      <c r="AD51" s="98">
        <v>6</v>
      </c>
      <c r="AE51" s="98">
        <v>5126.3999999999996</v>
      </c>
      <c r="AF51" s="98">
        <v>4</v>
      </c>
      <c r="AG51" s="98">
        <v>3417.6</v>
      </c>
      <c r="AH51" s="98">
        <v>6</v>
      </c>
      <c r="AI51" s="98">
        <v>5126.3999999999996</v>
      </c>
      <c r="AJ51" s="98">
        <v>5</v>
      </c>
      <c r="AK51" s="98">
        <v>4272</v>
      </c>
      <c r="AL51" s="98">
        <v>6</v>
      </c>
      <c r="AM51" s="98">
        <v>5126.3999999999996</v>
      </c>
      <c r="AN51" s="98">
        <v>7</v>
      </c>
      <c r="AO51" s="98">
        <v>5980.8</v>
      </c>
      <c r="AP51" s="98">
        <v>5</v>
      </c>
      <c r="AQ51" s="98">
        <v>4272</v>
      </c>
      <c r="AR51" s="98">
        <v>5</v>
      </c>
      <c r="AS51" s="98">
        <v>4272</v>
      </c>
      <c r="AT51" s="98">
        <v>7</v>
      </c>
      <c r="AU51" s="98">
        <v>5980.8</v>
      </c>
      <c r="AV51" s="98">
        <v>4</v>
      </c>
      <c r="AW51" s="98">
        <v>3417.6</v>
      </c>
      <c r="AX51" s="98">
        <v>5</v>
      </c>
      <c r="AY51" s="98">
        <v>4272</v>
      </c>
      <c r="AZ51" s="98">
        <v>4</v>
      </c>
      <c r="BA51" s="98">
        <v>3417.6</v>
      </c>
      <c r="BB51" s="98">
        <v>6</v>
      </c>
      <c r="BC51" s="98">
        <v>5126.3999999999996</v>
      </c>
      <c r="BD51" s="98">
        <v>6</v>
      </c>
      <c r="BE51" s="98">
        <v>5126.3999999999996</v>
      </c>
      <c r="BF51" s="98">
        <v>4</v>
      </c>
      <c r="BG51" s="98">
        <v>3417.6</v>
      </c>
      <c r="BH51" s="98">
        <v>4</v>
      </c>
      <c r="BI51" s="98">
        <v>3417.6</v>
      </c>
      <c r="BJ51" s="98">
        <v>5</v>
      </c>
      <c r="BK51" s="98">
        <v>4272</v>
      </c>
      <c r="BL51" s="98">
        <v>5</v>
      </c>
      <c r="BM51" s="98">
        <v>4272</v>
      </c>
      <c r="BN51" s="98">
        <v>5</v>
      </c>
      <c r="BO51" s="98">
        <v>4272</v>
      </c>
      <c r="BP51" s="98">
        <v>4</v>
      </c>
      <c r="BQ51" s="98">
        <v>3417.6</v>
      </c>
      <c r="BR51" s="98">
        <v>6</v>
      </c>
      <c r="BS51" s="98">
        <v>5126.3999999999996</v>
      </c>
      <c r="BT51" s="98">
        <v>4</v>
      </c>
      <c r="BU51" s="98">
        <v>3417.6</v>
      </c>
      <c r="BV51" s="98">
        <v>5</v>
      </c>
      <c r="BW51" s="98">
        <v>4272</v>
      </c>
      <c r="BX51" s="98">
        <v>4</v>
      </c>
      <c r="BY51" s="98">
        <v>3417.6</v>
      </c>
      <c r="BZ51" s="98">
        <v>6</v>
      </c>
      <c r="CA51" s="98">
        <v>5126.3999999999996</v>
      </c>
      <c r="CB51" s="98">
        <v>6</v>
      </c>
      <c r="CC51" s="98">
        <v>5126.3999999999996</v>
      </c>
      <c r="CD51" s="98">
        <v>6</v>
      </c>
      <c r="CE51" s="98">
        <v>5126.3999999999996</v>
      </c>
      <c r="CF51" s="98">
        <v>6</v>
      </c>
      <c r="CG51" s="98">
        <v>5126.3999999999996</v>
      </c>
      <c r="CH51" s="98">
        <v>6</v>
      </c>
      <c r="CI51" s="98">
        <v>5126.3999999999996</v>
      </c>
      <c r="CJ51" s="98">
        <v>6</v>
      </c>
      <c r="CK51" s="98">
        <v>5126.3999999999996</v>
      </c>
      <c r="CL51" s="98">
        <v>4</v>
      </c>
      <c r="CM51" s="98">
        <v>3417.6</v>
      </c>
      <c r="CN51" s="98">
        <v>5</v>
      </c>
      <c r="CO51" s="98">
        <v>4272</v>
      </c>
      <c r="CP51" s="98">
        <v>4</v>
      </c>
      <c r="CQ51" s="98">
        <v>3417.6</v>
      </c>
      <c r="CR51" s="98">
        <v>5</v>
      </c>
      <c r="CS51" s="98">
        <v>4272</v>
      </c>
      <c r="CT51" s="98">
        <v>6</v>
      </c>
      <c r="CU51" s="98">
        <v>5126.3999999999996</v>
      </c>
    </row>
    <row r="52" spans="2:99">
      <c r="C52" s="97" t="s">
        <v>219</v>
      </c>
      <c r="D52" s="98">
        <v>4</v>
      </c>
      <c r="E52" s="98">
        <v>2160</v>
      </c>
      <c r="F52" s="98">
        <v>6</v>
      </c>
      <c r="G52" s="98">
        <v>3240</v>
      </c>
      <c r="H52" s="98">
        <v>7</v>
      </c>
      <c r="I52" s="98">
        <v>3780</v>
      </c>
      <c r="J52" s="98">
        <v>4</v>
      </c>
      <c r="K52" s="98">
        <v>2160</v>
      </c>
      <c r="L52" s="98">
        <v>4</v>
      </c>
      <c r="M52" s="98">
        <v>2160</v>
      </c>
      <c r="N52" s="98">
        <v>5</v>
      </c>
      <c r="O52" s="98">
        <v>2700</v>
      </c>
      <c r="P52" s="98">
        <v>5</v>
      </c>
      <c r="Q52" s="98">
        <v>2700</v>
      </c>
      <c r="R52" s="98">
        <v>5</v>
      </c>
      <c r="S52" s="98">
        <v>2700</v>
      </c>
      <c r="T52" s="98">
        <v>6</v>
      </c>
      <c r="U52" s="98">
        <v>3240</v>
      </c>
      <c r="V52" s="98">
        <v>7</v>
      </c>
      <c r="W52" s="98">
        <v>3780</v>
      </c>
      <c r="X52" s="98">
        <v>6</v>
      </c>
      <c r="Y52" s="98">
        <v>3240</v>
      </c>
      <c r="Z52" s="98">
        <v>6</v>
      </c>
      <c r="AA52" s="98">
        <v>3240</v>
      </c>
      <c r="AB52" s="98">
        <v>7</v>
      </c>
      <c r="AC52" s="98">
        <v>3780</v>
      </c>
      <c r="AD52" s="98">
        <v>5</v>
      </c>
      <c r="AE52" s="98">
        <v>2700</v>
      </c>
      <c r="AF52" s="98">
        <v>4</v>
      </c>
      <c r="AG52" s="98">
        <v>2160</v>
      </c>
      <c r="AH52" s="98">
        <v>5</v>
      </c>
      <c r="AI52" s="98">
        <v>2700</v>
      </c>
      <c r="AJ52" s="98">
        <v>5</v>
      </c>
      <c r="AK52" s="98">
        <v>2700</v>
      </c>
      <c r="AL52" s="98">
        <v>6</v>
      </c>
      <c r="AM52" s="98">
        <v>3240</v>
      </c>
      <c r="AN52" s="98">
        <v>8</v>
      </c>
      <c r="AO52" s="98">
        <v>4320</v>
      </c>
      <c r="AP52" s="98">
        <v>5</v>
      </c>
      <c r="AQ52" s="98">
        <v>2700</v>
      </c>
      <c r="AR52" s="98">
        <v>5</v>
      </c>
      <c r="AS52" s="98">
        <v>2700</v>
      </c>
      <c r="AT52" s="98">
        <v>7</v>
      </c>
      <c r="AU52" s="98">
        <v>3780</v>
      </c>
      <c r="AV52" s="98">
        <v>4</v>
      </c>
      <c r="AW52" s="98">
        <v>2160</v>
      </c>
      <c r="AX52" s="98">
        <v>4</v>
      </c>
      <c r="AY52" s="98">
        <v>2160</v>
      </c>
      <c r="AZ52" s="98">
        <v>4</v>
      </c>
      <c r="BA52" s="98">
        <v>2160</v>
      </c>
      <c r="BB52" s="98">
        <v>6</v>
      </c>
      <c r="BC52" s="98">
        <v>3240</v>
      </c>
      <c r="BD52" s="98">
        <v>7</v>
      </c>
      <c r="BE52" s="98">
        <v>3780</v>
      </c>
      <c r="BF52" s="98">
        <v>4</v>
      </c>
      <c r="BG52" s="98">
        <v>2160</v>
      </c>
      <c r="BH52" s="98">
        <v>4</v>
      </c>
      <c r="BI52" s="98">
        <v>2160</v>
      </c>
      <c r="BJ52" s="98">
        <v>5</v>
      </c>
      <c r="BK52" s="98">
        <v>2700</v>
      </c>
      <c r="BL52" s="98">
        <v>7</v>
      </c>
      <c r="BM52" s="98">
        <v>3780</v>
      </c>
      <c r="BN52" s="98">
        <v>6</v>
      </c>
      <c r="BO52" s="98">
        <v>3240</v>
      </c>
      <c r="BP52" s="98">
        <v>4</v>
      </c>
      <c r="BQ52" s="98">
        <v>2160</v>
      </c>
      <c r="BR52" s="98">
        <v>6</v>
      </c>
      <c r="BS52" s="98">
        <v>3240</v>
      </c>
      <c r="BT52" s="98">
        <v>4</v>
      </c>
      <c r="BU52" s="98">
        <v>2160</v>
      </c>
      <c r="BV52" s="98">
        <v>5</v>
      </c>
      <c r="BW52" s="98">
        <v>2700</v>
      </c>
      <c r="BX52" s="98">
        <v>5</v>
      </c>
      <c r="BY52" s="98">
        <v>2700</v>
      </c>
      <c r="BZ52" s="98">
        <v>6</v>
      </c>
      <c r="CA52" s="98">
        <v>3240</v>
      </c>
      <c r="CB52" s="98">
        <v>7</v>
      </c>
      <c r="CC52" s="98">
        <v>3780</v>
      </c>
      <c r="CD52" s="98">
        <v>6</v>
      </c>
      <c r="CE52" s="98">
        <v>3240</v>
      </c>
      <c r="CF52" s="98">
        <v>6</v>
      </c>
      <c r="CG52" s="98">
        <v>3240</v>
      </c>
      <c r="CH52" s="98">
        <v>6</v>
      </c>
      <c r="CI52" s="98">
        <v>3240</v>
      </c>
      <c r="CJ52" s="98">
        <v>6</v>
      </c>
      <c r="CK52" s="98">
        <v>3240</v>
      </c>
      <c r="CL52" s="98">
        <v>4</v>
      </c>
      <c r="CM52" s="98">
        <v>2160</v>
      </c>
      <c r="CN52" s="98">
        <v>5</v>
      </c>
      <c r="CO52" s="98">
        <v>2700</v>
      </c>
      <c r="CP52" s="98">
        <v>4</v>
      </c>
      <c r="CQ52" s="98">
        <v>2160</v>
      </c>
      <c r="CR52" s="98">
        <v>5</v>
      </c>
      <c r="CS52" s="98">
        <v>2700</v>
      </c>
      <c r="CT52" s="98">
        <v>7</v>
      </c>
      <c r="CU52" s="98">
        <v>3780</v>
      </c>
    </row>
    <row r="53" spans="2:99">
      <c r="C53" s="97" t="s">
        <v>220</v>
      </c>
      <c r="D53" s="98">
        <v>4</v>
      </c>
      <c r="E53" s="98">
        <v>1627.2</v>
      </c>
      <c r="F53" s="98">
        <v>6</v>
      </c>
      <c r="G53" s="98">
        <v>2440.8000000000002</v>
      </c>
      <c r="H53" s="98">
        <v>8</v>
      </c>
      <c r="I53" s="98">
        <v>3254.4</v>
      </c>
      <c r="J53" s="98">
        <v>5</v>
      </c>
      <c r="K53" s="98">
        <v>2034</v>
      </c>
      <c r="L53" s="98">
        <v>4</v>
      </c>
      <c r="M53" s="98">
        <v>1627.2</v>
      </c>
      <c r="N53" s="98">
        <v>6</v>
      </c>
      <c r="O53" s="98">
        <v>2440.8000000000002</v>
      </c>
      <c r="P53" s="98">
        <v>6</v>
      </c>
      <c r="Q53" s="98">
        <v>2440.8000000000002</v>
      </c>
      <c r="R53" s="98">
        <v>5</v>
      </c>
      <c r="S53" s="98">
        <v>2034</v>
      </c>
      <c r="T53" s="98">
        <v>6</v>
      </c>
      <c r="U53" s="98">
        <v>2440.8000000000002</v>
      </c>
      <c r="V53" s="98">
        <v>7</v>
      </c>
      <c r="W53" s="98">
        <v>2847.6</v>
      </c>
      <c r="X53" s="98">
        <v>7</v>
      </c>
      <c r="Y53" s="98">
        <v>2847.6</v>
      </c>
      <c r="Z53" s="98">
        <v>7</v>
      </c>
      <c r="AA53" s="98">
        <v>2847.6</v>
      </c>
      <c r="AB53" s="98">
        <v>7</v>
      </c>
      <c r="AC53" s="98">
        <v>2847.6</v>
      </c>
      <c r="AD53" s="98">
        <v>6</v>
      </c>
      <c r="AE53" s="98">
        <v>2440.8000000000002</v>
      </c>
      <c r="AF53" s="98">
        <v>4</v>
      </c>
      <c r="AG53" s="98">
        <v>1627.2</v>
      </c>
      <c r="AH53" s="98">
        <v>5</v>
      </c>
      <c r="AI53" s="98">
        <v>2034</v>
      </c>
      <c r="AJ53" s="98">
        <v>4</v>
      </c>
      <c r="AK53" s="98">
        <v>1627.2</v>
      </c>
      <c r="AL53" s="98">
        <v>6</v>
      </c>
      <c r="AM53" s="98">
        <v>2440.8000000000002</v>
      </c>
      <c r="AN53" s="98">
        <v>7</v>
      </c>
      <c r="AO53" s="98">
        <v>2847.6</v>
      </c>
      <c r="AP53" s="98">
        <v>5</v>
      </c>
      <c r="AQ53" s="98">
        <v>2034</v>
      </c>
      <c r="AR53" s="98">
        <v>5</v>
      </c>
      <c r="AS53" s="98">
        <v>2034</v>
      </c>
      <c r="AT53" s="98">
        <v>6</v>
      </c>
      <c r="AU53" s="98">
        <v>2440.8000000000002</v>
      </c>
      <c r="AV53" s="98">
        <v>4</v>
      </c>
      <c r="AW53" s="98">
        <v>1627.2</v>
      </c>
      <c r="AX53" s="98">
        <v>5</v>
      </c>
      <c r="AY53" s="98">
        <v>2034</v>
      </c>
      <c r="AZ53" s="98">
        <v>5</v>
      </c>
      <c r="BA53" s="98">
        <v>2034</v>
      </c>
      <c r="BB53" s="98">
        <v>6</v>
      </c>
      <c r="BC53" s="98">
        <v>2440.8000000000002</v>
      </c>
      <c r="BD53" s="98">
        <v>7</v>
      </c>
      <c r="BE53" s="98">
        <v>2847.6</v>
      </c>
      <c r="BF53" s="98">
        <v>4</v>
      </c>
      <c r="BG53" s="98">
        <v>1627.2</v>
      </c>
      <c r="BH53" s="98">
        <v>4</v>
      </c>
      <c r="BI53" s="98">
        <v>1627.2</v>
      </c>
      <c r="BJ53" s="98">
        <v>5</v>
      </c>
      <c r="BK53" s="98">
        <v>2034</v>
      </c>
      <c r="BL53" s="98">
        <v>6</v>
      </c>
      <c r="BM53" s="98">
        <v>2440.8000000000002</v>
      </c>
      <c r="BN53" s="98">
        <v>7</v>
      </c>
      <c r="BO53" s="98">
        <v>2847.6</v>
      </c>
      <c r="BP53" s="98">
        <v>4</v>
      </c>
      <c r="BQ53" s="98">
        <v>1627.2</v>
      </c>
      <c r="BR53" s="98">
        <v>6</v>
      </c>
      <c r="BS53" s="98">
        <v>2440.8000000000002</v>
      </c>
      <c r="BT53" s="98">
        <v>5</v>
      </c>
      <c r="BU53" s="98">
        <v>2034</v>
      </c>
      <c r="BV53" s="98">
        <v>6</v>
      </c>
      <c r="BW53" s="98">
        <v>2440.8000000000002</v>
      </c>
      <c r="BX53" s="98">
        <v>4</v>
      </c>
      <c r="BY53" s="98">
        <v>1627.2</v>
      </c>
      <c r="BZ53" s="98">
        <v>6</v>
      </c>
      <c r="CA53" s="98">
        <v>2440.8000000000002</v>
      </c>
      <c r="CB53" s="98">
        <v>6</v>
      </c>
      <c r="CC53" s="98">
        <v>2440.8000000000002</v>
      </c>
      <c r="CD53" s="98">
        <v>6</v>
      </c>
      <c r="CE53" s="98">
        <v>2440.8000000000002</v>
      </c>
      <c r="CF53" s="98">
        <v>5</v>
      </c>
      <c r="CG53" s="98">
        <v>2034</v>
      </c>
      <c r="CH53" s="98">
        <v>6</v>
      </c>
      <c r="CI53" s="98">
        <v>2440.8000000000002</v>
      </c>
      <c r="CJ53" s="98">
        <v>5</v>
      </c>
      <c r="CK53" s="98">
        <v>2034</v>
      </c>
      <c r="CL53" s="98">
        <v>4</v>
      </c>
      <c r="CM53" s="98">
        <v>1627.2</v>
      </c>
      <c r="CN53" s="98">
        <v>5</v>
      </c>
      <c r="CO53" s="98">
        <v>2034</v>
      </c>
      <c r="CP53" s="98">
        <v>4</v>
      </c>
      <c r="CQ53" s="98">
        <v>1627.2</v>
      </c>
      <c r="CR53" s="98">
        <v>5</v>
      </c>
      <c r="CS53" s="98">
        <v>2034</v>
      </c>
      <c r="CT53" s="98">
        <v>6</v>
      </c>
      <c r="CU53" s="98">
        <v>2440.8000000000002</v>
      </c>
    </row>
    <row r="54" spans="2:99">
      <c r="C54" s="97" t="s">
        <v>221</v>
      </c>
      <c r="D54" s="98">
        <v>4</v>
      </c>
      <c r="E54" s="98">
        <v>1339.2</v>
      </c>
      <c r="F54" s="98">
        <v>6</v>
      </c>
      <c r="G54" s="98">
        <v>2008.8000000000002</v>
      </c>
      <c r="H54" s="98">
        <v>7</v>
      </c>
      <c r="I54" s="98">
        <v>2343.6</v>
      </c>
      <c r="J54" s="98">
        <v>4</v>
      </c>
      <c r="K54" s="98">
        <v>1339.2</v>
      </c>
      <c r="L54" s="98">
        <v>4</v>
      </c>
      <c r="M54" s="98">
        <v>1339.2</v>
      </c>
      <c r="N54" s="98">
        <v>5</v>
      </c>
      <c r="O54" s="98">
        <v>1674</v>
      </c>
      <c r="P54" s="98">
        <v>5</v>
      </c>
      <c r="Q54" s="98">
        <v>1674</v>
      </c>
      <c r="R54" s="98">
        <v>5</v>
      </c>
      <c r="S54" s="98">
        <v>1674</v>
      </c>
      <c r="T54" s="98">
        <v>6</v>
      </c>
      <c r="U54" s="98">
        <v>2008.8000000000002</v>
      </c>
      <c r="V54" s="98">
        <v>8</v>
      </c>
      <c r="W54" s="98">
        <v>2678.4</v>
      </c>
      <c r="X54" s="98">
        <v>6</v>
      </c>
      <c r="Y54" s="98">
        <v>2008.8000000000002</v>
      </c>
      <c r="Z54" s="98">
        <v>7</v>
      </c>
      <c r="AA54" s="98">
        <v>2343.6</v>
      </c>
      <c r="AB54" s="98">
        <v>7</v>
      </c>
      <c r="AC54" s="98">
        <v>2343.6</v>
      </c>
      <c r="AD54" s="98">
        <v>6</v>
      </c>
      <c r="AE54" s="98">
        <v>2008.8000000000002</v>
      </c>
      <c r="AF54" s="98">
        <v>4</v>
      </c>
      <c r="AG54" s="98">
        <v>1339.2</v>
      </c>
      <c r="AH54" s="98">
        <v>5</v>
      </c>
      <c r="AI54" s="98">
        <v>1674</v>
      </c>
      <c r="AJ54" s="98">
        <v>4</v>
      </c>
      <c r="AK54" s="98">
        <v>1339.2</v>
      </c>
      <c r="AL54" s="98">
        <v>6</v>
      </c>
      <c r="AM54" s="98">
        <v>2008.8000000000002</v>
      </c>
      <c r="AN54" s="98">
        <v>7</v>
      </c>
      <c r="AO54" s="98">
        <v>2343.6</v>
      </c>
      <c r="AP54" s="98">
        <v>5</v>
      </c>
      <c r="AQ54" s="98">
        <v>1674</v>
      </c>
      <c r="AR54" s="98">
        <v>5</v>
      </c>
      <c r="AS54" s="98">
        <v>1674</v>
      </c>
      <c r="AT54" s="98">
        <v>7</v>
      </c>
      <c r="AU54" s="98">
        <v>2343.6</v>
      </c>
      <c r="AV54" s="98">
        <v>5</v>
      </c>
      <c r="AW54" s="98">
        <v>1674</v>
      </c>
      <c r="AX54" s="98">
        <v>5</v>
      </c>
      <c r="AY54" s="98">
        <v>1674</v>
      </c>
      <c r="AZ54" s="98">
        <v>5</v>
      </c>
      <c r="BA54" s="98">
        <v>1674</v>
      </c>
      <c r="BB54" s="98">
        <v>6</v>
      </c>
      <c r="BC54" s="98">
        <v>2008.8000000000002</v>
      </c>
      <c r="BD54" s="98">
        <v>7</v>
      </c>
      <c r="BE54" s="98">
        <v>2343.6</v>
      </c>
      <c r="BF54" s="98">
        <v>5</v>
      </c>
      <c r="BG54" s="98">
        <v>1674</v>
      </c>
      <c r="BH54" s="98">
        <v>4</v>
      </c>
      <c r="BI54" s="98">
        <v>1339.2</v>
      </c>
      <c r="BJ54" s="98">
        <v>5</v>
      </c>
      <c r="BK54" s="98">
        <v>1674</v>
      </c>
      <c r="BL54" s="98">
        <v>6</v>
      </c>
      <c r="BM54" s="98">
        <v>2008.8000000000002</v>
      </c>
      <c r="BN54" s="98">
        <v>6</v>
      </c>
      <c r="BO54" s="98">
        <v>2008.8000000000002</v>
      </c>
      <c r="BP54" s="98">
        <v>4</v>
      </c>
      <c r="BQ54" s="98">
        <v>1339.2</v>
      </c>
      <c r="BR54" s="98">
        <v>6</v>
      </c>
      <c r="BS54" s="98">
        <v>2008.8000000000002</v>
      </c>
      <c r="BT54" s="98">
        <v>4</v>
      </c>
      <c r="BU54" s="98">
        <v>1339.2</v>
      </c>
      <c r="BV54" s="98">
        <v>6</v>
      </c>
      <c r="BW54" s="98">
        <v>2008.8000000000002</v>
      </c>
      <c r="BX54" s="98">
        <v>5</v>
      </c>
      <c r="BY54" s="98">
        <v>1674</v>
      </c>
      <c r="BZ54" s="98">
        <v>6</v>
      </c>
      <c r="CA54" s="98">
        <v>2008.8000000000002</v>
      </c>
      <c r="CB54" s="98">
        <v>7</v>
      </c>
      <c r="CC54" s="98">
        <v>2343.6</v>
      </c>
      <c r="CD54" s="98">
        <v>6</v>
      </c>
      <c r="CE54" s="98">
        <v>2008.8000000000002</v>
      </c>
      <c r="CF54" s="98">
        <v>6</v>
      </c>
      <c r="CG54" s="98">
        <v>2008.8000000000002</v>
      </c>
      <c r="CH54" s="98">
        <v>7</v>
      </c>
      <c r="CI54" s="98">
        <v>2343.6</v>
      </c>
      <c r="CJ54" s="98">
        <v>6</v>
      </c>
      <c r="CK54" s="98">
        <v>2008.8000000000002</v>
      </c>
      <c r="CL54" s="98">
        <v>4</v>
      </c>
      <c r="CM54" s="98">
        <v>1339.2</v>
      </c>
      <c r="CN54" s="98">
        <v>5</v>
      </c>
      <c r="CO54" s="98">
        <v>1674</v>
      </c>
      <c r="CP54" s="98">
        <v>4</v>
      </c>
      <c r="CQ54" s="98">
        <v>1339.2</v>
      </c>
      <c r="CR54" s="98">
        <v>5</v>
      </c>
      <c r="CS54" s="98">
        <v>1674</v>
      </c>
      <c r="CT54" s="98">
        <v>6</v>
      </c>
      <c r="CU54" s="98">
        <v>2008.8000000000002</v>
      </c>
    </row>
    <row r="55" spans="2:99">
      <c r="C55" s="97" t="s">
        <v>222</v>
      </c>
      <c r="D55" s="98">
        <v>4</v>
      </c>
      <c r="E55" s="98">
        <v>2654.4</v>
      </c>
      <c r="F55" s="98">
        <v>6</v>
      </c>
      <c r="G55" s="98">
        <v>3981.6000000000004</v>
      </c>
      <c r="H55" s="98">
        <v>8</v>
      </c>
      <c r="I55" s="98">
        <v>5308.8</v>
      </c>
      <c r="J55" s="98">
        <v>4</v>
      </c>
      <c r="K55" s="98">
        <v>2654.4</v>
      </c>
      <c r="L55" s="98">
        <v>4</v>
      </c>
      <c r="M55" s="98">
        <v>2654.4</v>
      </c>
      <c r="N55" s="98">
        <v>5</v>
      </c>
      <c r="O55" s="98">
        <v>3318</v>
      </c>
      <c r="P55" s="98">
        <v>5</v>
      </c>
      <c r="Q55" s="98">
        <v>3318</v>
      </c>
      <c r="R55" s="98">
        <v>4</v>
      </c>
      <c r="S55" s="98">
        <v>2654.4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6</v>
      </c>
      <c r="Y55" s="98">
        <v>3981.6000000000004</v>
      </c>
      <c r="Z55" s="98">
        <v>7</v>
      </c>
      <c r="AA55" s="98">
        <v>4645.2</v>
      </c>
      <c r="AB55" s="98">
        <v>6</v>
      </c>
      <c r="AC55" s="98">
        <v>3981.6000000000004</v>
      </c>
      <c r="AD55" s="98">
        <v>5</v>
      </c>
      <c r="AE55" s="98">
        <v>3318</v>
      </c>
      <c r="AF55" s="98">
        <v>4</v>
      </c>
      <c r="AG55" s="98">
        <v>2654.4</v>
      </c>
      <c r="AH55" s="98">
        <v>5</v>
      </c>
      <c r="AI55" s="98">
        <v>3318</v>
      </c>
      <c r="AJ55" s="98">
        <v>4</v>
      </c>
      <c r="AK55" s="98">
        <v>2654.4</v>
      </c>
      <c r="AL55" s="98">
        <v>6</v>
      </c>
      <c r="AM55" s="98">
        <v>3981.6000000000004</v>
      </c>
      <c r="AN55" s="98">
        <v>7</v>
      </c>
      <c r="AO55" s="98">
        <v>4645.2</v>
      </c>
      <c r="AP55" s="98">
        <v>5</v>
      </c>
      <c r="AQ55" s="98">
        <v>3318</v>
      </c>
      <c r="AR55" s="98">
        <v>5</v>
      </c>
      <c r="AS55" s="98">
        <v>3318</v>
      </c>
      <c r="AT55" s="98">
        <v>7</v>
      </c>
      <c r="AU55" s="98">
        <v>4645.2</v>
      </c>
      <c r="AV55" s="98">
        <v>4</v>
      </c>
      <c r="AW55" s="98">
        <v>2654.4</v>
      </c>
      <c r="AX55" s="98">
        <v>5</v>
      </c>
      <c r="AY55" s="98">
        <v>3318</v>
      </c>
      <c r="AZ55" s="98">
        <v>5</v>
      </c>
      <c r="BA55" s="98">
        <v>3318</v>
      </c>
      <c r="BB55" s="98">
        <v>6</v>
      </c>
      <c r="BC55" s="98">
        <v>3981.6000000000004</v>
      </c>
      <c r="BD55" s="98">
        <v>6</v>
      </c>
      <c r="BE55" s="98">
        <v>3981.6000000000004</v>
      </c>
      <c r="BF55" s="98">
        <v>5</v>
      </c>
      <c r="BG55" s="98">
        <v>3318</v>
      </c>
      <c r="BH55" s="98">
        <v>4</v>
      </c>
      <c r="BI55" s="98">
        <v>2654.4</v>
      </c>
      <c r="BJ55" s="98">
        <v>5</v>
      </c>
      <c r="BK55" s="98">
        <v>3318</v>
      </c>
      <c r="BL55" s="98">
        <v>6</v>
      </c>
      <c r="BM55" s="98">
        <v>3981.6000000000004</v>
      </c>
      <c r="BN55" s="98">
        <v>6</v>
      </c>
      <c r="BO55" s="98">
        <v>3981.6000000000004</v>
      </c>
      <c r="BP55" s="98">
        <v>4</v>
      </c>
      <c r="BQ55" s="98">
        <v>2654.4</v>
      </c>
      <c r="BR55" s="98">
        <v>5</v>
      </c>
      <c r="BS55" s="98">
        <v>3318</v>
      </c>
      <c r="BT55" s="98">
        <v>4</v>
      </c>
      <c r="BU55" s="98">
        <v>2654.4</v>
      </c>
      <c r="BV55" s="98">
        <v>5</v>
      </c>
      <c r="BW55" s="98">
        <v>3318</v>
      </c>
      <c r="BX55" s="98">
        <v>4</v>
      </c>
      <c r="BY55" s="98">
        <v>2654.4</v>
      </c>
      <c r="BZ55" s="98">
        <v>6</v>
      </c>
      <c r="CA55" s="98">
        <v>3981.6000000000004</v>
      </c>
      <c r="CB55" s="98">
        <v>6</v>
      </c>
      <c r="CC55" s="98">
        <v>3981.6000000000004</v>
      </c>
      <c r="CD55" s="98">
        <v>6</v>
      </c>
      <c r="CE55" s="98">
        <v>3981.6000000000004</v>
      </c>
      <c r="CF55" s="98">
        <v>5</v>
      </c>
      <c r="CG55" s="98">
        <v>3318</v>
      </c>
      <c r="CH55" s="98">
        <v>7</v>
      </c>
      <c r="CI55" s="98">
        <v>4645.2</v>
      </c>
      <c r="CJ55" s="98">
        <v>5</v>
      </c>
      <c r="CK55" s="98">
        <v>3318</v>
      </c>
      <c r="CL55" s="98">
        <v>4</v>
      </c>
      <c r="CM55" s="98">
        <v>2654.4</v>
      </c>
      <c r="CN55" s="98">
        <v>5</v>
      </c>
      <c r="CO55" s="98">
        <v>3318</v>
      </c>
      <c r="CP55" s="98">
        <v>4</v>
      </c>
      <c r="CQ55" s="98">
        <v>2654.4</v>
      </c>
      <c r="CR55" s="98">
        <v>5</v>
      </c>
      <c r="CS55" s="98">
        <v>3318</v>
      </c>
      <c r="CT55" s="98">
        <v>6</v>
      </c>
      <c r="CU55" s="98">
        <v>3981.6000000000004</v>
      </c>
    </row>
    <row r="56" spans="2:99">
      <c r="C56" s="97" t="s">
        <v>223</v>
      </c>
      <c r="D56" s="98">
        <v>3</v>
      </c>
      <c r="E56" s="98">
        <v>2944.7999999999997</v>
      </c>
      <c r="F56" s="98">
        <v>6</v>
      </c>
      <c r="G56" s="98">
        <v>5889.5999999999995</v>
      </c>
      <c r="H56" s="98">
        <v>7</v>
      </c>
      <c r="I56" s="98">
        <v>6871.1999999999989</v>
      </c>
      <c r="J56" s="98">
        <v>4</v>
      </c>
      <c r="K56" s="98">
        <v>3926.3999999999996</v>
      </c>
      <c r="L56" s="98">
        <v>4</v>
      </c>
      <c r="M56" s="98">
        <v>3926.3999999999996</v>
      </c>
      <c r="N56" s="98">
        <v>5</v>
      </c>
      <c r="O56" s="98">
        <v>4908</v>
      </c>
      <c r="P56" s="98">
        <v>5</v>
      </c>
      <c r="Q56" s="98">
        <v>4908</v>
      </c>
      <c r="R56" s="98">
        <v>5</v>
      </c>
      <c r="S56" s="98">
        <v>4908</v>
      </c>
      <c r="T56" s="98">
        <v>6</v>
      </c>
      <c r="U56" s="98">
        <v>5889.5999999999995</v>
      </c>
      <c r="V56" s="98">
        <v>8</v>
      </c>
      <c r="W56" s="98">
        <v>7852.7999999999993</v>
      </c>
      <c r="X56" s="98">
        <v>6</v>
      </c>
      <c r="Y56" s="98">
        <v>5889.5999999999995</v>
      </c>
      <c r="Z56" s="98">
        <v>6</v>
      </c>
      <c r="AA56" s="98">
        <v>5889.5999999999995</v>
      </c>
      <c r="AB56" s="98">
        <v>7</v>
      </c>
      <c r="AC56" s="98">
        <v>6871.1999999999989</v>
      </c>
      <c r="AD56" s="98">
        <v>5</v>
      </c>
      <c r="AE56" s="98">
        <v>4908</v>
      </c>
      <c r="AF56" s="98">
        <v>4</v>
      </c>
      <c r="AG56" s="98">
        <v>3926.3999999999996</v>
      </c>
      <c r="AH56" s="98">
        <v>5</v>
      </c>
      <c r="AI56" s="98">
        <v>4908</v>
      </c>
      <c r="AJ56" s="98">
        <v>5</v>
      </c>
      <c r="AK56" s="98">
        <v>4908</v>
      </c>
      <c r="AL56" s="98">
        <v>6</v>
      </c>
      <c r="AM56" s="98">
        <v>5889.5999999999995</v>
      </c>
      <c r="AN56" s="98">
        <v>7</v>
      </c>
      <c r="AO56" s="98">
        <v>6871.1999999999989</v>
      </c>
      <c r="AP56" s="98">
        <v>4</v>
      </c>
      <c r="AQ56" s="98">
        <v>3926.3999999999996</v>
      </c>
      <c r="AR56" s="98">
        <v>5</v>
      </c>
      <c r="AS56" s="98">
        <v>4908</v>
      </c>
      <c r="AT56" s="98">
        <v>6</v>
      </c>
      <c r="AU56" s="98">
        <v>5889.5999999999995</v>
      </c>
      <c r="AV56" s="98">
        <v>4</v>
      </c>
      <c r="AW56" s="98">
        <v>3926.3999999999996</v>
      </c>
      <c r="AX56" s="98">
        <v>5</v>
      </c>
      <c r="AY56" s="98">
        <v>4908</v>
      </c>
      <c r="AZ56" s="98">
        <v>4</v>
      </c>
      <c r="BA56" s="98">
        <v>3926.3999999999996</v>
      </c>
      <c r="BB56" s="98">
        <v>6</v>
      </c>
      <c r="BC56" s="98">
        <v>5889.5999999999995</v>
      </c>
      <c r="BD56" s="98">
        <v>7</v>
      </c>
      <c r="BE56" s="98">
        <v>6871.1999999999989</v>
      </c>
      <c r="BF56" s="98">
        <v>4</v>
      </c>
      <c r="BG56" s="98">
        <v>3926.3999999999996</v>
      </c>
      <c r="BH56" s="98">
        <v>4</v>
      </c>
      <c r="BI56" s="98">
        <v>3926.3999999999996</v>
      </c>
      <c r="BJ56" s="98">
        <v>5</v>
      </c>
      <c r="BK56" s="98">
        <v>4908</v>
      </c>
      <c r="BL56" s="98">
        <v>6</v>
      </c>
      <c r="BM56" s="98">
        <v>5889.5999999999995</v>
      </c>
      <c r="BN56" s="98">
        <v>6</v>
      </c>
      <c r="BO56" s="98">
        <v>5889.5999999999995</v>
      </c>
      <c r="BP56" s="98">
        <v>4</v>
      </c>
      <c r="BQ56" s="98">
        <v>3926.3999999999996</v>
      </c>
      <c r="BR56" s="98">
        <v>5</v>
      </c>
      <c r="BS56" s="98">
        <v>4908</v>
      </c>
      <c r="BT56" s="98">
        <v>5</v>
      </c>
      <c r="BU56" s="98">
        <v>4908</v>
      </c>
      <c r="BV56" s="98">
        <v>6</v>
      </c>
      <c r="BW56" s="98">
        <v>5889.5999999999995</v>
      </c>
      <c r="BX56" s="98">
        <v>5</v>
      </c>
      <c r="BY56" s="98">
        <v>4908</v>
      </c>
      <c r="BZ56" s="98">
        <v>6</v>
      </c>
      <c r="CA56" s="98">
        <v>5889.5999999999995</v>
      </c>
      <c r="CB56" s="98">
        <v>6</v>
      </c>
      <c r="CC56" s="98">
        <v>5889.5999999999995</v>
      </c>
      <c r="CD56" s="98">
        <v>6</v>
      </c>
      <c r="CE56" s="98">
        <v>5889.5999999999995</v>
      </c>
      <c r="CF56" s="98">
        <v>5</v>
      </c>
      <c r="CG56" s="98">
        <v>4908</v>
      </c>
      <c r="CH56" s="98">
        <v>6</v>
      </c>
      <c r="CI56" s="98">
        <v>5889.5999999999995</v>
      </c>
      <c r="CJ56" s="98">
        <v>5</v>
      </c>
      <c r="CK56" s="98">
        <v>4908</v>
      </c>
      <c r="CL56" s="98">
        <v>3</v>
      </c>
      <c r="CM56" s="98">
        <v>2944.7999999999997</v>
      </c>
      <c r="CN56" s="98">
        <v>5</v>
      </c>
      <c r="CO56" s="98">
        <v>4908</v>
      </c>
      <c r="CP56" s="98">
        <v>4</v>
      </c>
      <c r="CQ56" s="98">
        <v>3926.3999999999996</v>
      </c>
      <c r="CR56" s="98">
        <v>4</v>
      </c>
      <c r="CS56" s="98">
        <v>3926.3999999999996</v>
      </c>
      <c r="CT56" s="98">
        <v>6</v>
      </c>
      <c r="CU56" s="98">
        <v>5889.5999999999995</v>
      </c>
    </row>
    <row r="57" spans="2:99">
      <c r="C57" s="97" t="s">
        <v>224</v>
      </c>
      <c r="D57" s="98">
        <v>4</v>
      </c>
      <c r="E57" s="98">
        <v>5644.8</v>
      </c>
      <c r="F57" s="98">
        <v>7</v>
      </c>
      <c r="G57" s="98">
        <v>9878.4</v>
      </c>
      <c r="H57" s="98">
        <v>7</v>
      </c>
      <c r="I57" s="98">
        <v>9878.4</v>
      </c>
      <c r="J57" s="98">
        <v>4</v>
      </c>
      <c r="K57" s="98">
        <v>5644.8</v>
      </c>
      <c r="L57" s="98">
        <v>4</v>
      </c>
      <c r="M57" s="98">
        <v>5644.8</v>
      </c>
      <c r="N57" s="98">
        <v>4</v>
      </c>
      <c r="O57" s="98">
        <v>5644.8</v>
      </c>
      <c r="P57" s="98">
        <v>5</v>
      </c>
      <c r="Q57" s="98">
        <v>7056</v>
      </c>
      <c r="R57" s="98">
        <v>5</v>
      </c>
      <c r="S57" s="98">
        <v>7056</v>
      </c>
      <c r="T57" s="98">
        <v>6</v>
      </c>
      <c r="U57" s="98">
        <v>8467.2000000000007</v>
      </c>
      <c r="V57" s="98">
        <v>6</v>
      </c>
      <c r="W57" s="98">
        <v>8467.2000000000007</v>
      </c>
      <c r="X57" s="98">
        <v>6</v>
      </c>
      <c r="Y57" s="98">
        <v>8467.2000000000007</v>
      </c>
      <c r="Z57" s="98">
        <v>6</v>
      </c>
      <c r="AA57" s="98">
        <v>8467.2000000000007</v>
      </c>
      <c r="AB57" s="98">
        <v>6</v>
      </c>
      <c r="AC57" s="98">
        <v>8467.2000000000007</v>
      </c>
      <c r="AD57" s="98">
        <v>5</v>
      </c>
      <c r="AE57" s="98">
        <v>7056</v>
      </c>
      <c r="AF57" s="98">
        <v>4</v>
      </c>
      <c r="AG57" s="98">
        <v>5644.8</v>
      </c>
      <c r="AH57" s="98">
        <v>4</v>
      </c>
      <c r="AI57" s="98">
        <v>5644.8</v>
      </c>
      <c r="AJ57" s="98">
        <v>4</v>
      </c>
      <c r="AK57" s="98">
        <v>5644.8</v>
      </c>
      <c r="AL57" s="98">
        <v>5</v>
      </c>
      <c r="AM57" s="98">
        <v>7056</v>
      </c>
      <c r="AN57" s="98">
        <v>7</v>
      </c>
      <c r="AO57" s="98">
        <v>9878.4</v>
      </c>
      <c r="AP57" s="98">
        <v>5</v>
      </c>
      <c r="AQ57" s="98">
        <v>7056</v>
      </c>
      <c r="AR57" s="98">
        <v>4</v>
      </c>
      <c r="AS57" s="98">
        <v>5644.8</v>
      </c>
      <c r="AT57" s="98">
        <v>6</v>
      </c>
      <c r="AU57" s="98">
        <v>8467.2000000000007</v>
      </c>
      <c r="AV57" s="98">
        <v>4</v>
      </c>
      <c r="AW57" s="98">
        <v>5644.8</v>
      </c>
      <c r="AX57" s="98">
        <v>5</v>
      </c>
      <c r="AY57" s="98">
        <v>7056</v>
      </c>
      <c r="AZ57" s="98">
        <v>4</v>
      </c>
      <c r="BA57" s="98">
        <v>5644.8</v>
      </c>
      <c r="BB57" s="98">
        <v>6</v>
      </c>
      <c r="BC57" s="98">
        <v>8467.2000000000007</v>
      </c>
      <c r="BD57" s="98">
        <v>7</v>
      </c>
      <c r="BE57" s="98">
        <v>9878.4</v>
      </c>
      <c r="BF57" s="98">
        <v>5</v>
      </c>
      <c r="BG57" s="98">
        <v>7056</v>
      </c>
      <c r="BH57" s="98">
        <v>3</v>
      </c>
      <c r="BI57" s="98">
        <v>4233.6000000000004</v>
      </c>
      <c r="BJ57" s="98">
        <v>4</v>
      </c>
      <c r="BK57" s="98">
        <v>5644.8</v>
      </c>
      <c r="BL57" s="98">
        <v>5</v>
      </c>
      <c r="BM57" s="98">
        <v>7056</v>
      </c>
      <c r="BN57" s="98">
        <v>5</v>
      </c>
      <c r="BO57" s="98">
        <v>7056</v>
      </c>
      <c r="BP57" s="98">
        <v>3</v>
      </c>
      <c r="BQ57" s="98">
        <v>4233.6000000000004</v>
      </c>
      <c r="BR57" s="98">
        <v>5</v>
      </c>
      <c r="BS57" s="98">
        <v>7056</v>
      </c>
      <c r="BT57" s="98">
        <v>5</v>
      </c>
      <c r="BU57" s="98">
        <v>7056</v>
      </c>
      <c r="BV57" s="98">
        <v>5</v>
      </c>
      <c r="BW57" s="98">
        <v>7056</v>
      </c>
      <c r="BX57" s="98">
        <v>4</v>
      </c>
      <c r="BY57" s="98">
        <v>5644.8</v>
      </c>
      <c r="BZ57" s="98">
        <v>6</v>
      </c>
      <c r="CA57" s="98">
        <v>8467.2000000000007</v>
      </c>
      <c r="CB57" s="98">
        <v>7</v>
      </c>
      <c r="CC57" s="98">
        <v>9878.4</v>
      </c>
      <c r="CD57" s="98">
        <v>6</v>
      </c>
      <c r="CE57" s="98">
        <v>8467.2000000000007</v>
      </c>
      <c r="CF57" s="98">
        <v>6</v>
      </c>
      <c r="CG57" s="98">
        <v>8467.2000000000007</v>
      </c>
      <c r="CH57" s="98">
        <v>6</v>
      </c>
      <c r="CI57" s="98">
        <v>8467.2000000000007</v>
      </c>
      <c r="CJ57" s="98">
        <v>5</v>
      </c>
      <c r="CK57" s="98">
        <v>7056</v>
      </c>
      <c r="CL57" s="98">
        <v>3</v>
      </c>
      <c r="CM57" s="98">
        <v>4233.6000000000004</v>
      </c>
      <c r="CN57" s="98">
        <v>5</v>
      </c>
      <c r="CO57" s="98">
        <v>7056</v>
      </c>
      <c r="CP57" s="98">
        <v>4</v>
      </c>
      <c r="CQ57" s="98">
        <v>5644.8</v>
      </c>
      <c r="CR57" s="98">
        <v>5</v>
      </c>
      <c r="CS57" s="98">
        <v>7056</v>
      </c>
      <c r="CT57" s="98">
        <v>6</v>
      </c>
      <c r="CU57" s="98">
        <v>8467.2000000000007</v>
      </c>
    </row>
    <row r="58" spans="2:99">
      <c r="C58" s="97" t="s">
        <v>225</v>
      </c>
      <c r="D58" s="98">
        <v>4</v>
      </c>
      <c r="E58" s="98">
        <v>4708.8</v>
      </c>
      <c r="F58" s="98">
        <v>6</v>
      </c>
      <c r="G58" s="98">
        <v>7063.2000000000007</v>
      </c>
      <c r="H58" s="98">
        <v>7</v>
      </c>
      <c r="I58" s="98">
        <v>8240.4</v>
      </c>
      <c r="J58" s="98">
        <v>4</v>
      </c>
      <c r="K58" s="98">
        <v>4708.8</v>
      </c>
      <c r="L58" s="98">
        <v>4</v>
      </c>
      <c r="M58" s="98">
        <v>4708.8</v>
      </c>
      <c r="N58" s="98">
        <v>5</v>
      </c>
      <c r="O58" s="98">
        <v>5886</v>
      </c>
      <c r="P58" s="98">
        <v>4</v>
      </c>
      <c r="Q58" s="98">
        <v>4708.8</v>
      </c>
      <c r="R58" s="98">
        <v>5</v>
      </c>
      <c r="S58" s="98">
        <v>5886</v>
      </c>
      <c r="T58" s="98">
        <v>5</v>
      </c>
      <c r="U58" s="98">
        <v>5886</v>
      </c>
      <c r="V58" s="98">
        <v>7</v>
      </c>
      <c r="W58" s="98">
        <v>8240.4</v>
      </c>
      <c r="X58" s="98">
        <v>6</v>
      </c>
      <c r="Y58" s="98">
        <v>7063.2000000000007</v>
      </c>
      <c r="Z58" s="98">
        <v>6</v>
      </c>
      <c r="AA58" s="98">
        <v>7063.2000000000007</v>
      </c>
      <c r="AB58" s="98">
        <v>7</v>
      </c>
      <c r="AC58" s="98">
        <v>8240.4</v>
      </c>
      <c r="AD58" s="98">
        <v>5</v>
      </c>
      <c r="AE58" s="98">
        <v>5886</v>
      </c>
      <c r="AF58" s="98">
        <v>4</v>
      </c>
      <c r="AG58" s="98">
        <v>4708.8</v>
      </c>
      <c r="AH58" s="98">
        <v>5</v>
      </c>
      <c r="AI58" s="98">
        <v>5886</v>
      </c>
      <c r="AJ58" s="98">
        <v>4</v>
      </c>
      <c r="AK58" s="98">
        <v>4708.8</v>
      </c>
      <c r="AL58" s="98">
        <v>6</v>
      </c>
      <c r="AM58" s="98">
        <v>7063.2000000000007</v>
      </c>
      <c r="AN58" s="98">
        <v>7</v>
      </c>
      <c r="AO58" s="98">
        <v>8240.4</v>
      </c>
      <c r="AP58" s="98">
        <v>5</v>
      </c>
      <c r="AQ58" s="98">
        <v>5886</v>
      </c>
      <c r="AR58" s="98">
        <v>5</v>
      </c>
      <c r="AS58" s="98">
        <v>5886</v>
      </c>
      <c r="AT58" s="98">
        <v>7</v>
      </c>
      <c r="AU58" s="98">
        <v>8240.4</v>
      </c>
      <c r="AV58" s="98">
        <v>4</v>
      </c>
      <c r="AW58" s="98">
        <v>4708.8</v>
      </c>
      <c r="AX58" s="98">
        <v>4</v>
      </c>
      <c r="AY58" s="98">
        <v>4708.8</v>
      </c>
      <c r="AZ58" s="98">
        <v>5</v>
      </c>
      <c r="BA58" s="98">
        <v>5886</v>
      </c>
      <c r="BB58" s="98">
        <v>6</v>
      </c>
      <c r="BC58" s="98">
        <v>7063.2000000000007</v>
      </c>
      <c r="BD58" s="98">
        <v>6</v>
      </c>
      <c r="BE58" s="98">
        <v>7063.2000000000007</v>
      </c>
      <c r="BF58" s="98">
        <v>4</v>
      </c>
      <c r="BG58" s="98">
        <v>4708.8</v>
      </c>
      <c r="BH58" s="98">
        <v>4</v>
      </c>
      <c r="BI58" s="98">
        <v>4708.8</v>
      </c>
      <c r="BJ58" s="98">
        <v>4</v>
      </c>
      <c r="BK58" s="98">
        <v>4708.8</v>
      </c>
      <c r="BL58" s="98">
        <v>6</v>
      </c>
      <c r="BM58" s="98">
        <v>7063.2000000000007</v>
      </c>
      <c r="BN58" s="98">
        <v>6</v>
      </c>
      <c r="BO58" s="98">
        <v>7063.2000000000007</v>
      </c>
      <c r="BP58" s="98">
        <v>4</v>
      </c>
      <c r="BQ58" s="98">
        <v>4708.8</v>
      </c>
      <c r="BR58" s="98">
        <v>6</v>
      </c>
      <c r="BS58" s="98">
        <v>7063.2000000000007</v>
      </c>
      <c r="BT58" s="98">
        <v>4</v>
      </c>
      <c r="BU58" s="98">
        <v>4708.8</v>
      </c>
      <c r="BV58" s="98">
        <v>5</v>
      </c>
      <c r="BW58" s="98">
        <v>5886</v>
      </c>
      <c r="BX58" s="98">
        <v>5</v>
      </c>
      <c r="BY58" s="98">
        <v>5886</v>
      </c>
      <c r="BZ58" s="98">
        <v>6</v>
      </c>
      <c r="CA58" s="98">
        <v>7063.2000000000007</v>
      </c>
      <c r="CB58" s="98">
        <v>6</v>
      </c>
      <c r="CC58" s="98">
        <v>7063.2000000000007</v>
      </c>
      <c r="CD58" s="98">
        <v>6</v>
      </c>
      <c r="CE58" s="98">
        <v>7063.2000000000007</v>
      </c>
      <c r="CF58" s="98">
        <v>6</v>
      </c>
      <c r="CG58" s="98">
        <v>7063.2000000000007</v>
      </c>
      <c r="CH58" s="98">
        <v>6</v>
      </c>
      <c r="CI58" s="98">
        <v>7063.2000000000007</v>
      </c>
      <c r="CJ58" s="98">
        <v>6</v>
      </c>
      <c r="CK58" s="98">
        <v>7063.2000000000007</v>
      </c>
      <c r="CL58" s="98">
        <v>4</v>
      </c>
      <c r="CM58" s="98">
        <v>4708.8</v>
      </c>
      <c r="CN58" s="98">
        <v>5</v>
      </c>
      <c r="CO58" s="98">
        <v>5886</v>
      </c>
      <c r="CP58" s="98">
        <v>4</v>
      </c>
      <c r="CQ58" s="98">
        <v>4708.8</v>
      </c>
      <c r="CR58" s="98">
        <v>5</v>
      </c>
      <c r="CS58" s="98">
        <v>5886</v>
      </c>
      <c r="CT58" s="98">
        <v>6</v>
      </c>
      <c r="CU58" s="98">
        <v>7063.2000000000007</v>
      </c>
    </row>
    <row r="59" spans="2:99">
      <c r="C59" s="97" t="s">
        <v>226</v>
      </c>
      <c r="D59" s="98">
        <v>4</v>
      </c>
      <c r="E59" s="98">
        <v>1214.3999999999999</v>
      </c>
      <c r="F59" s="98">
        <v>7</v>
      </c>
      <c r="G59" s="98">
        <v>2125.1999999999998</v>
      </c>
      <c r="H59" s="98">
        <v>7</v>
      </c>
      <c r="I59" s="98">
        <v>2125.1999999999998</v>
      </c>
      <c r="J59" s="98">
        <v>4</v>
      </c>
      <c r="K59" s="98">
        <v>1214.3999999999999</v>
      </c>
      <c r="L59" s="98">
        <v>4</v>
      </c>
      <c r="M59" s="98">
        <v>1214.3999999999999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5</v>
      </c>
      <c r="S59" s="98">
        <v>1517.9999999999998</v>
      </c>
      <c r="T59" s="98">
        <v>6</v>
      </c>
      <c r="U59" s="98">
        <v>1821.6</v>
      </c>
      <c r="V59" s="98">
        <v>7</v>
      </c>
      <c r="W59" s="98">
        <v>2125.1999999999998</v>
      </c>
      <c r="X59" s="98">
        <v>6</v>
      </c>
      <c r="Y59" s="98">
        <v>1821.6</v>
      </c>
      <c r="Z59" s="98">
        <v>7</v>
      </c>
      <c r="AA59" s="98">
        <v>2125.1999999999998</v>
      </c>
      <c r="AB59" s="98">
        <v>6</v>
      </c>
      <c r="AC59" s="98">
        <v>1821.6</v>
      </c>
      <c r="AD59" s="98">
        <v>6</v>
      </c>
      <c r="AE59" s="98">
        <v>1821.6</v>
      </c>
      <c r="AF59" s="98">
        <v>4</v>
      </c>
      <c r="AG59" s="98">
        <v>1214.3999999999999</v>
      </c>
      <c r="AH59" s="98">
        <v>6</v>
      </c>
      <c r="AI59" s="98">
        <v>1821.6</v>
      </c>
      <c r="AJ59" s="98">
        <v>5</v>
      </c>
      <c r="AK59" s="98">
        <v>1517.9999999999998</v>
      </c>
      <c r="AL59" s="98">
        <v>6</v>
      </c>
      <c r="AM59" s="98">
        <v>1821.6</v>
      </c>
      <c r="AN59" s="98">
        <v>8</v>
      </c>
      <c r="AO59" s="98">
        <v>2428.7999999999997</v>
      </c>
      <c r="AP59" s="98">
        <v>5</v>
      </c>
      <c r="AQ59" s="98">
        <v>1517.9999999999998</v>
      </c>
      <c r="AR59" s="98">
        <v>5</v>
      </c>
      <c r="AS59" s="98">
        <v>1517.9999999999998</v>
      </c>
      <c r="AT59" s="98">
        <v>7</v>
      </c>
      <c r="AU59" s="98">
        <v>2125.1999999999998</v>
      </c>
      <c r="AV59" s="98">
        <v>4</v>
      </c>
      <c r="AW59" s="98">
        <v>1214.3999999999999</v>
      </c>
      <c r="AX59" s="98">
        <v>5</v>
      </c>
      <c r="AY59" s="98">
        <v>1517.9999999999998</v>
      </c>
      <c r="AZ59" s="98">
        <v>5</v>
      </c>
      <c r="BA59" s="98">
        <v>1517.9999999999998</v>
      </c>
      <c r="BB59" s="98">
        <v>6</v>
      </c>
      <c r="BC59" s="98">
        <v>1821.6</v>
      </c>
      <c r="BD59" s="98">
        <v>8</v>
      </c>
      <c r="BE59" s="98">
        <v>2428.7999999999997</v>
      </c>
      <c r="BF59" s="98">
        <v>5</v>
      </c>
      <c r="BG59" s="98">
        <v>1517.9999999999998</v>
      </c>
      <c r="BH59" s="98">
        <v>4</v>
      </c>
      <c r="BI59" s="98">
        <v>1214.3999999999999</v>
      </c>
      <c r="BJ59" s="98">
        <v>5</v>
      </c>
      <c r="BK59" s="98">
        <v>1517.9999999999998</v>
      </c>
      <c r="BL59" s="98">
        <v>6</v>
      </c>
      <c r="BM59" s="98">
        <v>1821.6</v>
      </c>
      <c r="BN59" s="98">
        <v>6</v>
      </c>
      <c r="BO59" s="98">
        <v>1821.6</v>
      </c>
      <c r="BP59" s="98">
        <v>4</v>
      </c>
      <c r="BQ59" s="98">
        <v>1214.3999999999999</v>
      </c>
      <c r="BR59" s="98">
        <v>6</v>
      </c>
      <c r="BS59" s="98">
        <v>1821.6</v>
      </c>
      <c r="BT59" s="98">
        <v>4</v>
      </c>
      <c r="BU59" s="98">
        <v>1214.3999999999999</v>
      </c>
      <c r="BV59" s="98">
        <v>6</v>
      </c>
      <c r="BW59" s="98">
        <v>1821.6</v>
      </c>
      <c r="BX59" s="98">
        <v>5</v>
      </c>
      <c r="BY59" s="98">
        <v>1517.9999999999998</v>
      </c>
      <c r="BZ59" s="98">
        <v>6</v>
      </c>
      <c r="CA59" s="98">
        <v>1821.6</v>
      </c>
      <c r="CB59" s="98">
        <v>6</v>
      </c>
      <c r="CC59" s="98">
        <v>1821.6</v>
      </c>
      <c r="CD59" s="98">
        <v>6</v>
      </c>
      <c r="CE59" s="98">
        <v>1821.6</v>
      </c>
      <c r="CF59" s="98">
        <v>5</v>
      </c>
      <c r="CG59" s="98">
        <v>1517.9999999999998</v>
      </c>
      <c r="CH59" s="98">
        <v>6</v>
      </c>
      <c r="CI59" s="98">
        <v>1821.6</v>
      </c>
      <c r="CJ59" s="98">
        <v>6</v>
      </c>
      <c r="CK59" s="98">
        <v>1821.6</v>
      </c>
      <c r="CL59" s="98">
        <v>4</v>
      </c>
      <c r="CM59" s="98">
        <v>1214.3999999999999</v>
      </c>
      <c r="CN59" s="98">
        <v>5</v>
      </c>
      <c r="CO59" s="98">
        <v>1517.9999999999998</v>
      </c>
      <c r="CP59" s="98">
        <v>4</v>
      </c>
      <c r="CQ59" s="98">
        <v>1214.3999999999999</v>
      </c>
      <c r="CR59" s="98">
        <v>6</v>
      </c>
      <c r="CS59" s="98">
        <v>1821.6</v>
      </c>
      <c r="CT59" s="98">
        <v>7</v>
      </c>
      <c r="CU59" s="98">
        <v>2125.1999999999998</v>
      </c>
    </row>
    <row r="60" spans="2:99">
      <c r="C60" s="97" t="s">
        <v>227</v>
      </c>
      <c r="D60" s="98">
        <v>4</v>
      </c>
      <c r="E60" s="98">
        <v>2606.4</v>
      </c>
      <c r="F60" s="98">
        <v>6</v>
      </c>
      <c r="G60" s="98">
        <v>3909.6000000000004</v>
      </c>
      <c r="H60" s="98">
        <v>8</v>
      </c>
      <c r="I60" s="98">
        <v>5212.8</v>
      </c>
      <c r="J60" s="98">
        <v>4</v>
      </c>
      <c r="K60" s="98">
        <v>2606.4</v>
      </c>
      <c r="L60" s="98">
        <v>4</v>
      </c>
      <c r="M60" s="98">
        <v>2606.4</v>
      </c>
      <c r="N60" s="98">
        <v>5</v>
      </c>
      <c r="O60" s="98">
        <v>3258</v>
      </c>
      <c r="P60" s="98">
        <v>5</v>
      </c>
      <c r="Q60" s="98">
        <v>3258</v>
      </c>
      <c r="R60" s="98">
        <v>5</v>
      </c>
      <c r="S60" s="98">
        <v>3258</v>
      </c>
      <c r="T60" s="98">
        <v>5</v>
      </c>
      <c r="U60" s="98">
        <v>3258</v>
      </c>
      <c r="V60" s="98">
        <v>7</v>
      </c>
      <c r="W60" s="98">
        <v>4561.2</v>
      </c>
      <c r="X60" s="98">
        <v>6</v>
      </c>
      <c r="Y60" s="98">
        <v>3909.6000000000004</v>
      </c>
      <c r="Z60" s="98">
        <v>7</v>
      </c>
      <c r="AA60" s="98">
        <v>4561.2</v>
      </c>
      <c r="AB60" s="98">
        <v>7</v>
      </c>
      <c r="AC60" s="98">
        <v>4561.2</v>
      </c>
      <c r="AD60" s="98">
        <v>6</v>
      </c>
      <c r="AE60" s="98">
        <v>3909.6000000000004</v>
      </c>
      <c r="AF60" s="98">
        <v>4</v>
      </c>
      <c r="AG60" s="98">
        <v>2606.4</v>
      </c>
      <c r="AH60" s="98">
        <v>5</v>
      </c>
      <c r="AI60" s="98">
        <v>3258</v>
      </c>
      <c r="AJ60" s="98">
        <v>5</v>
      </c>
      <c r="AK60" s="98">
        <v>3258</v>
      </c>
      <c r="AL60" s="98">
        <v>6</v>
      </c>
      <c r="AM60" s="98">
        <v>3909.6000000000004</v>
      </c>
      <c r="AN60" s="98">
        <v>7</v>
      </c>
      <c r="AO60" s="98">
        <v>4561.2</v>
      </c>
      <c r="AP60" s="98">
        <v>5</v>
      </c>
      <c r="AQ60" s="98">
        <v>3258</v>
      </c>
      <c r="AR60" s="98">
        <v>5</v>
      </c>
      <c r="AS60" s="98">
        <v>3258</v>
      </c>
      <c r="AT60" s="98">
        <v>7</v>
      </c>
      <c r="AU60" s="98">
        <v>4561.2</v>
      </c>
      <c r="AV60" s="98">
        <v>4</v>
      </c>
      <c r="AW60" s="98">
        <v>2606.4</v>
      </c>
      <c r="AX60" s="98">
        <v>5</v>
      </c>
      <c r="AY60" s="98">
        <v>3258</v>
      </c>
      <c r="AZ60" s="98">
        <v>5</v>
      </c>
      <c r="BA60" s="98">
        <v>3258</v>
      </c>
      <c r="BB60" s="98">
        <v>6</v>
      </c>
      <c r="BC60" s="98">
        <v>3909.6000000000004</v>
      </c>
      <c r="BD60" s="98">
        <v>7</v>
      </c>
      <c r="BE60" s="98">
        <v>4561.2</v>
      </c>
      <c r="BF60" s="98">
        <v>4</v>
      </c>
      <c r="BG60" s="98">
        <v>2606.4</v>
      </c>
      <c r="BH60" s="98">
        <v>4</v>
      </c>
      <c r="BI60" s="98">
        <v>2606.4</v>
      </c>
      <c r="BJ60" s="98">
        <v>5</v>
      </c>
      <c r="BK60" s="98">
        <v>3258</v>
      </c>
      <c r="BL60" s="98">
        <v>6</v>
      </c>
      <c r="BM60" s="98">
        <v>3909.6000000000004</v>
      </c>
      <c r="BN60" s="98">
        <v>5</v>
      </c>
      <c r="BO60" s="98">
        <v>3258</v>
      </c>
      <c r="BP60" s="98">
        <v>4</v>
      </c>
      <c r="BQ60" s="98">
        <v>2606.4</v>
      </c>
      <c r="BR60" s="98">
        <v>6</v>
      </c>
      <c r="BS60" s="98">
        <v>3909.6000000000004</v>
      </c>
      <c r="BT60" s="98">
        <v>4</v>
      </c>
      <c r="BU60" s="98">
        <v>2606.4</v>
      </c>
      <c r="BV60" s="98">
        <v>5</v>
      </c>
      <c r="BW60" s="98">
        <v>3258</v>
      </c>
      <c r="BX60" s="98">
        <v>4</v>
      </c>
      <c r="BY60" s="98">
        <v>2606.4</v>
      </c>
      <c r="BZ60" s="98">
        <v>6</v>
      </c>
      <c r="CA60" s="98">
        <v>3909.6000000000004</v>
      </c>
      <c r="CB60" s="98">
        <v>7</v>
      </c>
      <c r="CC60" s="98">
        <v>4561.2</v>
      </c>
      <c r="CD60" s="98">
        <v>6</v>
      </c>
      <c r="CE60" s="98">
        <v>3909.6000000000004</v>
      </c>
      <c r="CF60" s="98">
        <v>5</v>
      </c>
      <c r="CG60" s="98">
        <v>3258</v>
      </c>
      <c r="CH60" s="98">
        <v>6</v>
      </c>
      <c r="CI60" s="98">
        <v>3909.6000000000004</v>
      </c>
      <c r="CJ60" s="98">
        <v>6</v>
      </c>
      <c r="CK60" s="98">
        <v>3909.6000000000004</v>
      </c>
      <c r="CL60" s="98">
        <v>4</v>
      </c>
      <c r="CM60" s="98">
        <v>2606.4</v>
      </c>
      <c r="CN60" s="98">
        <v>5</v>
      </c>
      <c r="CO60" s="98">
        <v>3258</v>
      </c>
      <c r="CP60" s="98">
        <v>4</v>
      </c>
      <c r="CQ60" s="98">
        <v>2606.4</v>
      </c>
      <c r="CR60" s="98">
        <v>5</v>
      </c>
      <c r="CS60" s="98">
        <v>3258</v>
      </c>
      <c r="CT60" s="98">
        <v>7</v>
      </c>
      <c r="CU60" s="98">
        <v>4561.2</v>
      </c>
    </row>
    <row r="61" spans="2:99">
      <c r="C61" s="97" t="s">
        <v>228</v>
      </c>
      <c r="D61" s="98">
        <v>4</v>
      </c>
      <c r="E61" s="98">
        <v>3806.3999999999996</v>
      </c>
      <c r="F61" s="98">
        <v>6</v>
      </c>
      <c r="G61" s="98">
        <v>5709.5999999999995</v>
      </c>
      <c r="H61" s="98">
        <v>7</v>
      </c>
      <c r="I61" s="98">
        <v>6661.1999999999989</v>
      </c>
      <c r="J61" s="98">
        <v>4</v>
      </c>
      <c r="K61" s="98">
        <v>3806.3999999999996</v>
      </c>
      <c r="L61" s="98">
        <v>4</v>
      </c>
      <c r="M61" s="98">
        <v>3806.3999999999996</v>
      </c>
      <c r="N61" s="98">
        <v>5</v>
      </c>
      <c r="O61" s="98">
        <v>4758</v>
      </c>
      <c r="P61" s="98">
        <v>5</v>
      </c>
      <c r="Q61" s="98">
        <v>4758</v>
      </c>
      <c r="R61" s="98">
        <v>5</v>
      </c>
      <c r="S61" s="98">
        <v>4758</v>
      </c>
      <c r="T61" s="98">
        <v>5</v>
      </c>
      <c r="U61" s="98">
        <v>4758</v>
      </c>
      <c r="V61" s="98">
        <v>7</v>
      </c>
      <c r="W61" s="98">
        <v>6661.1999999999989</v>
      </c>
      <c r="X61" s="98">
        <v>7</v>
      </c>
      <c r="Y61" s="98">
        <v>6661.1999999999989</v>
      </c>
      <c r="Z61" s="98">
        <v>6</v>
      </c>
      <c r="AA61" s="98">
        <v>5709.5999999999995</v>
      </c>
      <c r="AB61" s="98">
        <v>7</v>
      </c>
      <c r="AC61" s="98">
        <v>6661.1999999999989</v>
      </c>
      <c r="AD61" s="98">
        <v>5</v>
      </c>
      <c r="AE61" s="98">
        <v>4758</v>
      </c>
      <c r="AF61" s="98">
        <v>4</v>
      </c>
      <c r="AG61" s="98">
        <v>3806.3999999999996</v>
      </c>
      <c r="AH61" s="98">
        <v>5</v>
      </c>
      <c r="AI61" s="98">
        <v>4758</v>
      </c>
      <c r="AJ61" s="98">
        <v>4</v>
      </c>
      <c r="AK61" s="98">
        <v>3806.3999999999996</v>
      </c>
      <c r="AL61" s="98">
        <v>6</v>
      </c>
      <c r="AM61" s="98">
        <v>5709.5999999999995</v>
      </c>
      <c r="AN61" s="98">
        <v>6</v>
      </c>
      <c r="AO61" s="98">
        <v>5709.5999999999995</v>
      </c>
      <c r="AP61" s="98">
        <v>5</v>
      </c>
      <c r="AQ61" s="98">
        <v>4758</v>
      </c>
      <c r="AR61" s="98">
        <v>5</v>
      </c>
      <c r="AS61" s="98">
        <v>4758</v>
      </c>
      <c r="AT61" s="98">
        <v>7</v>
      </c>
      <c r="AU61" s="98">
        <v>6661.1999999999989</v>
      </c>
      <c r="AV61" s="98">
        <v>4</v>
      </c>
      <c r="AW61" s="98">
        <v>3806.3999999999996</v>
      </c>
      <c r="AX61" s="98">
        <v>5</v>
      </c>
      <c r="AY61" s="98">
        <v>4758</v>
      </c>
      <c r="AZ61" s="98">
        <v>4</v>
      </c>
      <c r="BA61" s="98">
        <v>3806.3999999999996</v>
      </c>
      <c r="BB61" s="98">
        <v>6</v>
      </c>
      <c r="BC61" s="98">
        <v>5709.5999999999995</v>
      </c>
      <c r="BD61" s="98">
        <v>7</v>
      </c>
      <c r="BE61" s="98">
        <v>6661.1999999999989</v>
      </c>
      <c r="BF61" s="98">
        <v>4</v>
      </c>
      <c r="BG61" s="98">
        <v>3806.3999999999996</v>
      </c>
      <c r="BH61" s="98">
        <v>3</v>
      </c>
      <c r="BI61" s="98">
        <v>2854.7999999999997</v>
      </c>
      <c r="BJ61" s="98">
        <v>4</v>
      </c>
      <c r="BK61" s="98">
        <v>3806.3999999999996</v>
      </c>
      <c r="BL61" s="98">
        <v>6</v>
      </c>
      <c r="BM61" s="98">
        <v>5709.5999999999995</v>
      </c>
      <c r="BN61" s="98">
        <v>5</v>
      </c>
      <c r="BO61" s="98">
        <v>4758</v>
      </c>
      <c r="BP61" s="98">
        <v>4</v>
      </c>
      <c r="BQ61" s="98">
        <v>3806.3999999999996</v>
      </c>
      <c r="BR61" s="98">
        <v>5</v>
      </c>
      <c r="BS61" s="98">
        <v>4758</v>
      </c>
      <c r="BT61" s="98">
        <v>4</v>
      </c>
      <c r="BU61" s="98">
        <v>3806.3999999999996</v>
      </c>
      <c r="BV61" s="98">
        <v>5</v>
      </c>
      <c r="BW61" s="98">
        <v>4758</v>
      </c>
      <c r="BX61" s="98">
        <v>4</v>
      </c>
      <c r="BY61" s="98">
        <v>3806.3999999999996</v>
      </c>
      <c r="BZ61" s="98">
        <v>6</v>
      </c>
      <c r="CA61" s="98">
        <v>5709.5999999999995</v>
      </c>
      <c r="CB61" s="98">
        <v>6</v>
      </c>
      <c r="CC61" s="98">
        <v>5709.5999999999995</v>
      </c>
      <c r="CD61" s="98">
        <v>6</v>
      </c>
      <c r="CE61" s="98">
        <v>5709.5999999999995</v>
      </c>
      <c r="CF61" s="98">
        <v>6</v>
      </c>
      <c r="CG61" s="98">
        <v>5709.5999999999995</v>
      </c>
      <c r="CH61" s="98">
        <v>6</v>
      </c>
      <c r="CI61" s="98">
        <v>5709.5999999999995</v>
      </c>
      <c r="CJ61" s="98">
        <v>6</v>
      </c>
      <c r="CK61" s="98">
        <v>5709.5999999999995</v>
      </c>
      <c r="CL61" s="98">
        <v>4</v>
      </c>
      <c r="CM61" s="98">
        <v>3806.3999999999996</v>
      </c>
      <c r="CN61" s="98">
        <v>5</v>
      </c>
      <c r="CO61" s="98">
        <v>4758</v>
      </c>
      <c r="CP61" s="98">
        <v>4</v>
      </c>
      <c r="CQ61" s="98">
        <v>3806.3999999999996</v>
      </c>
      <c r="CR61" s="98">
        <v>5</v>
      </c>
      <c r="CS61" s="98">
        <v>4758</v>
      </c>
      <c r="CT61" s="98">
        <v>6</v>
      </c>
      <c r="CU61" s="98">
        <v>5709.5999999999995</v>
      </c>
    </row>
    <row r="62" spans="2:99">
      <c r="C62" s="97" t="s">
        <v>229</v>
      </c>
      <c r="D62" s="98">
        <v>4</v>
      </c>
      <c r="E62" s="98">
        <v>6676.8</v>
      </c>
      <c r="F62" s="98">
        <v>6</v>
      </c>
      <c r="G62" s="98">
        <v>10015.200000000001</v>
      </c>
      <c r="H62" s="98">
        <v>7</v>
      </c>
      <c r="I62" s="98">
        <v>11684.4</v>
      </c>
      <c r="J62" s="98">
        <v>4</v>
      </c>
      <c r="K62" s="98">
        <v>6676.8</v>
      </c>
      <c r="L62" s="98">
        <v>4</v>
      </c>
      <c r="M62" s="98">
        <v>6676.8</v>
      </c>
      <c r="N62" s="98">
        <v>4</v>
      </c>
      <c r="O62" s="98">
        <v>6676.8</v>
      </c>
      <c r="P62" s="98">
        <v>5</v>
      </c>
      <c r="Q62" s="98">
        <v>8346</v>
      </c>
      <c r="R62" s="98">
        <v>4</v>
      </c>
      <c r="S62" s="98">
        <v>6676.8</v>
      </c>
      <c r="T62" s="98">
        <v>5</v>
      </c>
      <c r="U62" s="98">
        <v>8346</v>
      </c>
      <c r="V62" s="98">
        <v>7</v>
      </c>
      <c r="W62" s="98">
        <v>11684.4</v>
      </c>
      <c r="X62" s="98">
        <v>6</v>
      </c>
      <c r="Y62" s="98">
        <v>10015.200000000001</v>
      </c>
      <c r="Z62" s="98">
        <v>7</v>
      </c>
      <c r="AA62" s="98">
        <v>11684.4</v>
      </c>
      <c r="AB62" s="98">
        <v>6</v>
      </c>
      <c r="AC62" s="98">
        <v>10015.200000000001</v>
      </c>
      <c r="AD62" s="98">
        <v>5</v>
      </c>
      <c r="AE62" s="98">
        <v>8346</v>
      </c>
      <c r="AF62" s="98">
        <v>4</v>
      </c>
      <c r="AG62" s="98">
        <v>6676.8</v>
      </c>
      <c r="AH62" s="98">
        <v>5</v>
      </c>
      <c r="AI62" s="98">
        <v>8346</v>
      </c>
      <c r="AJ62" s="98">
        <v>4</v>
      </c>
      <c r="AK62" s="98">
        <v>6676.8</v>
      </c>
      <c r="AL62" s="98">
        <v>5</v>
      </c>
      <c r="AM62" s="98">
        <v>8346</v>
      </c>
      <c r="AN62" s="98">
        <v>6</v>
      </c>
      <c r="AO62" s="98">
        <v>10015.200000000001</v>
      </c>
      <c r="AP62" s="98">
        <v>5</v>
      </c>
      <c r="AQ62" s="98">
        <v>8346</v>
      </c>
      <c r="AR62" s="98">
        <v>5</v>
      </c>
      <c r="AS62" s="98">
        <v>8346</v>
      </c>
      <c r="AT62" s="98">
        <v>6</v>
      </c>
      <c r="AU62" s="98">
        <v>10015.200000000001</v>
      </c>
      <c r="AV62" s="98">
        <v>4</v>
      </c>
      <c r="AW62" s="98">
        <v>6676.8</v>
      </c>
      <c r="AX62" s="98">
        <v>4</v>
      </c>
      <c r="AY62" s="98">
        <v>6676.8</v>
      </c>
      <c r="AZ62" s="98">
        <v>5</v>
      </c>
      <c r="BA62" s="98">
        <v>8346</v>
      </c>
      <c r="BB62" s="98">
        <v>6</v>
      </c>
      <c r="BC62" s="98">
        <v>10015.200000000001</v>
      </c>
      <c r="BD62" s="98">
        <v>6</v>
      </c>
      <c r="BE62" s="98">
        <v>10015.200000000001</v>
      </c>
      <c r="BF62" s="98">
        <v>4</v>
      </c>
      <c r="BG62" s="98">
        <v>6676.8</v>
      </c>
      <c r="BH62" s="98">
        <v>4</v>
      </c>
      <c r="BI62" s="98">
        <v>6676.8</v>
      </c>
      <c r="BJ62" s="98">
        <v>4</v>
      </c>
      <c r="BK62" s="98">
        <v>6676.8</v>
      </c>
      <c r="BL62" s="98">
        <v>6</v>
      </c>
      <c r="BM62" s="98">
        <v>10015.200000000001</v>
      </c>
      <c r="BN62" s="98">
        <v>5</v>
      </c>
      <c r="BO62" s="98">
        <v>8346</v>
      </c>
      <c r="BP62" s="98">
        <v>4</v>
      </c>
      <c r="BQ62" s="98">
        <v>6676.8</v>
      </c>
      <c r="BR62" s="98">
        <v>5</v>
      </c>
      <c r="BS62" s="98">
        <v>8346</v>
      </c>
      <c r="BT62" s="98">
        <v>4</v>
      </c>
      <c r="BU62" s="98">
        <v>6676.8</v>
      </c>
      <c r="BV62" s="98">
        <v>5</v>
      </c>
      <c r="BW62" s="98">
        <v>8346</v>
      </c>
      <c r="BX62" s="98">
        <v>5</v>
      </c>
      <c r="BY62" s="98">
        <v>8346</v>
      </c>
      <c r="BZ62" s="98">
        <v>6</v>
      </c>
      <c r="CA62" s="98">
        <v>10015.200000000001</v>
      </c>
      <c r="CB62" s="98">
        <v>6</v>
      </c>
      <c r="CC62" s="98">
        <v>10015.200000000001</v>
      </c>
      <c r="CD62" s="98">
        <v>6</v>
      </c>
      <c r="CE62" s="98">
        <v>10015.200000000001</v>
      </c>
      <c r="CF62" s="98">
        <v>6</v>
      </c>
      <c r="CG62" s="98">
        <v>10015.200000000001</v>
      </c>
      <c r="CH62" s="98">
        <v>6</v>
      </c>
      <c r="CI62" s="98">
        <v>10015.200000000001</v>
      </c>
      <c r="CJ62" s="98">
        <v>5</v>
      </c>
      <c r="CK62" s="98">
        <v>8346</v>
      </c>
      <c r="CL62" s="98">
        <v>4</v>
      </c>
      <c r="CM62" s="98">
        <v>6676.8</v>
      </c>
      <c r="CN62" s="98">
        <v>5</v>
      </c>
      <c r="CO62" s="98">
        <v>8346</v>
      </c>
      <c r="CP62" s="98">
        <v>4</v>
      </c>
      <c r="CQ62" s="98">
        <v>6676.8</v>
      </c>
      <c r="CR62" s="98">
        <v>4</v>
      </c>
      <c r="CS62" s="98">
        <v>6676.8</v>
      </c>
      <c r="CT62" s="98">
        <v>6</v>
      </c>
      <c r="CU62" s="98">
        <v>10015.200000000001</v>
      </c>
    </row>
    <row r="63" spans="2:99">
      <c r="C63" s="97" t="s">
        <v>230</v>
      </c>
      <c r="D63" s="98">
        <v>4</v>
      </c>
      <c r="E63" s="98">
        <v>3182.4</v>
      </c>
      <c r="F63" s="98">
        <v>6</v>
      </c>
      <c r="G63" s="98">
        <v>4773.6000000000004</v>
      </c>
      <c r="H63" s="98">
        <v>7</v>
      </c>
      <c r="I63" s="98">
        <v>5569.2</v>
      </c>
      <c r="J63" s="98">
        <v>4</v>
      </c>
      <c r="K63" s="98">
        <v>3182.4</v>
      </c>
      <c r="L63" s="98">
        <v>4</v>
      </c>
      <c r="M63" s="98">
        <v>3182.4</v>
      </c>
      <c r="N63" s="98">
        <v>5</v>
      </c>
      <c r="O63" s="98">
        <v>3978</v>
      </c>
      <c r="P63" s="98">
        <v>5</v>
      </c>
      <c r="Q63" s="98">
        <v>3978</v>
      </c>
      <c r="R63" s="98">
        <v>5</v>
      </c>
      <c r="S63" s="98">
        <v>3978</v>
      </c>
      <c r="T63" s="98">
        <v>6</v>
      </c>
      <c r="U63" s="98">
        <v>4773.6000000000004</v>
      </c>
      <c r="V63" s="98">
        <v>7</v>
      </c>
      <c r="W63" s="98">
        <v>5569.2</v>
      </c>
      <c r="X63" s="98">
        <v>7</v>
      </c>
      <c r="Y63" s="98">
        <v>5569.2</v>
      </c>
      <c r="Z63" s="98">
        <v>7</v>
      </c>
      <c r="AA63" s="98">
        <v>5569.2</v>
      </c>
      <c r="AB63" s="98">
        <v>6</v>
      </c>
      <c r="AC63" s="98">
        <v>4773.6000000000004</v>
      </c>
      <c r="AD63" s="98">
        <v>5</v>
      </c>
      <c r="AE63" s="98">
        <v>3978</v>
      </c>
      <c r="AF63" s="98">
        <v>4</v>
      </c>
      <c r="AG63" s="98">
        <v>3182.4</v>
      </c>
      <c r="AH63" s="98">
        <v>5</v>
      </c>
      <c r="AI63" s="98">
        <v>3978</v>
      </c>
      <c r="AJ63" s="98">
        <v>4</v>
      </c>
      <c r="AK63" s="98">
        <v>3182.4</v>
      </c>
      <c r="AL63" s="98">
        <v>6</v>
      </c>
      <c r="AM63" s="98">
        <v>4773.6000000000004</v>
      </c>
      <c r="AN63" s="98">
        <v>7</v>
      </c>
      <c r="AO63" s="98">
        <v>5569.2</v>
      </c>
      <c r="AP63" s="98">
        <v>4</v>
      </c>
      <c r="AQ63" s="98">
        <v>3182.4</v>
      </c>
      <c r="AR63" s="98">
        <v>5</v>
      </c>
      <c r="AS63" s="98">
        <v>3978</v>
      </c>
      <c r="AT63" s="98">
        <v>7</v>
      </c>
      <c r="AU63" s="98">
        <v>5569.2</v>
      </c>
      <c r="AV63" s="98">
        <v>4</v>
      </c>
      <c r="AW63" s="98">
        <v>3182.4</v>
      </c>
      <c r="AX63" s="98">
        <v>5</v>
      </c>
      <c r="AY63" s="98">
        <v>3978</v>
      </c>
      <c r="AZ63" s="98">
        <v>5</v>
      </c>
      <c r="BA63" s="98">
        <v>3978</v>
      </c>
      <c r="BB63" s="98">
        <v>6</v>
      </c>
      <c r="BC63" s="98">
        <v>4773.6000000000004</v>
      </c>
      <c r="BD63" s="98">
        <v>7</v>
      </c>
      <c r="BE63" s="98">
        <v>5569.2</v>
      </c>
      <c r="BF63" s="98">
        <v>5</v>
      </c>
      <c r="BG63" s="98">
        <v>3978</v>
      </c>
      <c r="BH63" s="98">
        <v>4</v>
      </c>
      <c r="BI63" s="98">
        <v>3182.4</v>
      </c>
      <c r="BJ63" s="98">
        <v>5</v>
      </c>
      <c r="BK63" s="98">
        <v>3978</v>
      </c>
      <c r="BL63" s="98">
        <v>6</v>
      </c>
      <c r="BM63" s="98">
        <v>4773.6000000000004</v>
      </c>
      <c r="BN63" s="98">
        <v>6</v>
      </c>
      <c r="BO63" s="98">
        <v>4773.6000000000004</v>
      </c>
      <c r="BP63" s="98">
        <v>4</v>
      </c>
      <c r="BQ63" s="98">
        <v>3182.4</v>
      </c>
      <c r="BR63" s="98">
        <v>6</v>
      </c>
      <c r="BS63" s="98">
        <v>4773.6000000000004</v>
      </c>
      <c r="BT63" s="98">
        <v>4</v>
      </c>
      <c r="BU63" s="98">
        <v>3182.4</v>
      </c>
      <c r="BV63" s="98">
        <v>5</v>
      </c>
      <c r="BW63" s="98">
        <v>3978</v>
      </c>
      <c r="BX63" s="98">
        <v>5</v>
      </c>
      <c r="BY63" s="98">
        <v>3978</v>
      </c>
      <c r="BZ63" s="98">
        <v>6</v>
      </c>
      <c r="CA63" s="98">
        <v>4773.6000000000004</v>
      </c>
      <c r="CB63" s="98">
        <v>7</v>
      </c>
      <c r="CC63" s="98">
        <v>5569.2</v>
      </c>
      <c r="CD63" s="98">
        <v>6</v>
      </c>
      <c r="CE63" s="98">
        <v>4773.6000000000004</v>
      </c>
      <c r="CF63" s="98">
        <v>6</v>
      </c>
      <c r="CG63" s="98">
        <v>4773.6000000000004</v>
      </c>
      <c r="CH63" s="98">
        <v>6</v>
      </c>
      <c r="CI63" s="98">
        <v>4773.6000000000004</v>
      </c>
      <c r="CJ63" s="98">
        <v>5</v>
      </c>
      <c r="CK63" s="98">
        <v>3978</v>
      </c>
      <c r="CL63" s="98">
        <v>4</v>
      </c>
      <c r="CM63" s="98">
        <v>3182.4</v>
      </c>
      <c r="CN63" s="98">
        <v>5</v>
      </c>
      <c r="CO63" s="98">
        <v>3978</v>
      </c>
      <c r="CP63" s="98">
        <v>4</v>
      </c>
      <c r="CQ63" s="98">
        <v>3182.4</v>
      </c>
      <c r="CR63" s="98">
        <v>5</v>
      </c>
      <c r="CS63" s="98">
        <v>3978</v>
      </c>
      <c r="CT63" s="98">
        <v>6</v>
      </c>
      <c r="CU63" s="98">
        <v>4773.6000000000004</v>
      </c>
    </row>
    <row r="64" spans="2:99">
      <c r="C64" s="97" t="s">
        <v>231</v>
      </c>
      <c r="D64" s="98">
        <v>3</v>
      </c>
      <c r="E64" s="98">
        <v>3027.5999999999995</v>
      </c>
      <c r="F64" s="98">
        <v>6</v>
      </c>
      <c r="G64" s="98">
        <v>6055.1999999999989</v>
      </c>
      <c r="H64" s="98">
        <v>7</v>
      </c>
      <c r="I64" s="98">
        <v>7064.3999999999987</v>
      </c>
      <c r="J64" s="98">
        <v>4</v>
      </c>
      <c r="K64" s="98">
        <v>4036.7999999999993</v>
      </c>
      <c r="L64" s="98">
        <v>4</v>
      </c>
      <c r="M64" s="98">
        <v>4036.7999999999993</v>
      </c>
      <c r="N64" s="98">
        <v>4</v>
      </c>
      <c r="O64" s="98">
        <v>4036.7999999999993</v>
      </c>
      <c r="P64" s="98">
        <v>5</v>
      </c>
      <c r="Q64" s="98">
        <v>5045.9999999999991</v>
      </c>
      <c r="R64" s="98">
        <v>5</v>
      </c>
      <c r="S64" s="98">
        <v>5045.9999999999991</v>
      </c>
      <c r="T64" s="98">
        <v>5</v>
      </c>
      <c r="U64" s="98">
        <v>5045.9999999999991</v>
      </c>
      <c r="V64" s="98">
        <v>7</v>
      </c>
      <c r="W64" s="98">
        <v>7064.3999999999987</v>
      </c>
      <c r="X64" s="98">
        <v>6</v>
      </c>
      <c r="Y64" s="98">
        <v>6055.1999999999989</v>
      </c>
      <c r="Z64" s="98">
        <v>6</v>
      </c>
      <c r="AA64" s="98">
        <v>6055.1999999999989</v>
      </c>
      <c r="AB64" s="98">
        <v>7</v>
      </c>
      <c r="AC64" s="98">
        <v>7064.3999999999987</v>
      </c>
      <c r="AD64" s="98">
        <v>6</v>
      </c>
      <c r="AE64" s="98">
        <v>6055.1999999999989</v>
      </c>
      <c r="AF64" s="98">
        <v>4</v>
      </c>
      <c r="AG64" s="98">
        <v>4036.7999999999993</v>
      </c>
      <c r="AH64" s="98">
        <v>5</v>
      </c>
      <c r="AI64" s="98">
        <v>5045.9999999999991</v>
      </c>
      <c r="AJ64" s="98">
        <v>4</v>
      </c>
      <c r="AK64" s="98">
        <v>4036.7999999999993</v>
      </c>
      <c r="AL64" s="98">
        <v>5</v>
      </c>
      <c r="AM64" s="98">
        <v>5045.9999999999991</v>
      </c>
      <c r="AN64" s="98">
        <v>6</v>
      </c>
      <c r="AO64" s="98">
        <v>6055.1999999999989</v>
      </c>
      <c r="AP64" s="98">
        <v>5</v>
      </c>
      <c r="AQ64" s="98">
        <v>5045.9999999999991</v>
      </c>
      <c r="AR64" s="98">
        <v>5</v>
      </c>
      <c r="AS64" s="98">
        <v>5045.9999999999991</v>
      </c>
      <c r="AT64" s="98">
        <v>6</v>
      </c>
      <c r="AU64" s="98">
        <v>6055.1999999999989</v>
      </c>
      <c r="AV64" s="98">
        <v>4</v>
      </c>
      <c r="AW64" s="98">
        <v>4036.7999999999993</v>
      </c>
      <c r="AX64" s="98">
        <v>4</v>
      </c>
      <c r="AY64" s="98">
        <v>4036.7999999999993</v>
      </c>
      <c r="AZ64" s="98">
        <v>4</v>
      </c>
      <c r="BA64" s="98">
        <v>4036.7999999999993</v>
      </c>
      <c r="BB64" s="98">
        <v>6</v>
      </c>
      <c r="BC64" s="98">
        <v>6055.1999999999989</v>
      </c>
      <c r="BD64" s="98">
        <v>6</v>
      </c>
      <c r="BE64" s="98">
        <v>6055.1999999999989</v>
      </c>
      <c r="BF64" s="98">
        <v>5</v>
      </c>
      <c r="BG64" s="98">
        <v>5045.9999999999991</v>
      </c>
      <c r="BH64" s="98">
        <v>4</v>
      </c>
      <c r="BI64" s="98">
        <v>4036.7999999999993</v>
      </c>
      <c r="BJ64" s="98">
        <v>5</v>
      </c>
      <c r="BK64" s="98">
        <v>5045.9999999999991</v>
      </c>
      <c r="BL64" s="98">
        <v>6</v>
      </c>
      <c r="BM64" s="98">
        <v>6055.1999999999989</v>
      </c>
      <c r="BN64" s="98">
        <v>6</v>
      </c>
      <c r="BO64" s="98">
        <v>6055.1999999999989</v>
      </c>
      <c r="BP64" s="98">
        <v>3</v>
      </c>
      <c r="BQ64" s="98">
        <v>3027.5999999999995</v>
      </c>
      <c r="BR64" s="98">
        <v>6</v>
      </c>
      <c r="BS64" s="98">
        <v>6055.1999999999989</v>
      </c>
      <c r="BT64" s="98">
        <v>4</v>
      </c>
      <c r="BU64" s="98">
        <v>4036.7999999999993</v>
      </c>
      <c r="BV64" s="98">
        <v>5</v>
      </c>
      <c r="BW64" s="98">
        <v>5045.9999999999991</v>
      </c>
      <c r="BX64" s="98">
        <v>5</v>
      </c>
      <c r="BY64" s="98">
        <v>5045.9999999999991</v>
      </c>
      <c r="BZ64" s="98">
        <v>6</v>
      </c>
      <c r="CA64" s="98">
        <v>6055.1999999999989</v>
      </c>
      <c r="CB64" s="98">
        <v>7</v>
      </c>
      <c r="CC64" s="98">
        <v>7064.3999999999987</v>
      </c>
      <c r="CD64" s="98">
        <v>6</v>
      </c>
      <c r="CE64" s="98">
        <v>6055.1999999999989</v>
      </c>
      <c r="CF64" s="98">
        <v>6</v>
      </c>
      <c r="CG64" s="98">
        <v>6055.1999999999989</v>
      </c>
      <c r="CH64" s="98">
        <v>6</v>
      </c>
      <c r="CI64" s="98">
        <v>6055.1999999999989</v>
      </c>
      <c r="CJ64" s="98">
        <v>6</v>
      </c>
      <c r="CK64" s="98">
        <v>6055.1999999999989</v>
      </c>
      <c r="CL64" s="98">
        <v>4</v>
      </c>
      <c r="CM64" s="98">
        <v>4036.7999999999993</v>
      </c>
      <c r="CN64" s="98">
        <v>5</v>
      </c>
      <c r="CO64" s="98">
        <v>5045.9999999999991</v>
      </c>
      <c r="CP64" s="98">
        <v>4</v>
      </c>
      <c r="CQ64" s="98">
        <v>4036.7999999999993</v>
      </c>
      <c r="CR64" s="98">
        <v>5</v>
      </c>
      <c r="CS64" s="98">
        <v>5045.9999999999991</v>
      </c>
      <c r="CT64" s="98">
        <v>6</v>
      </c>
      <c r="CU64" s="98">
        <v>6055.1999999999989</v>
      </c>
    </row>
    <row r="65" spans="2:99">
      <c r="C65" s="97" t="s">
        <v>232</v>
      </c>
      <c r="D65" s="98">
        <v>4</v>
      </c>
      <c r="E65" s="98">
        <v>4104</v>
      </c>
      <c r="F65" s="98">
        <v>6</v>
      </c>
      <c r="G65" s="98">
        <v>6156</v>
      </c>
      <c r="H65" s="98">
        <v>7</v>
      </c>
      <c r="I65" s="98">
        <v>7182</v>
      </c>
      <c r="J65" s="98">
        <v>4</v>
      </c>
      <c r="K65" s="98">
        <v>4104</v>
      </c>
      <c r="L65" s="98">
        <v>4</v>
      </c>
      <c r="M65" s="98">
        <v>4104</v>
      </c>
      <c r="N65" s="98">
        <v>5</v>
      </c>
      <c r="O65" s="98">
        <v>5130</v>
      </c>
      <c r="P65" s="98">
        <v>4</v>
      </c>
      <c r="Q65" s="98">
        <v>4104</v>
      </c>
      <c r="R65" s="98">
        <v>5</v>
      </c>
      <c r="S65" s="98">
        <v>5130</v>
      </c>
      <c r="T65" s="98">
        <v>6</v>
      </c>
      <c r="U65" s="98">
        <v>6156</v>
      </c>
      <c r="V65" s="98">
        <v>8</v>
      </c>
      <c r="W65" s="98">
        <v>8208</v>
      </c>
      <c r="X65" s="98">
        <v>6</v>
      </c>
      <c r="Y65" s="98">
        <v>6156</v>
      </c>
      <c r="Z65" s="98">
        <v>7</v>
      </c>
      <c r="AA65" s="98">
        <v>7182</v>
      </c>
      <c r="AB65" s="98">
        <v>6</v>
      </c>
      <c r="AC65" s="98">
        <v>6156</v>
      </c>
      <c r="AD65" s="98">
        <v>6</v>
      </c>
      <c r="AE65" s="98">
        <v>6156</v>
      </c>
      <c r="AF65" s="98">
        <v>4</v>
      </c>
      <c r="AG65" s="98">
        <v>4104</v>
      </c>
      <c r="AH65" s="98">
        <v>6</v>
      </c>
      <c r="AI65" s="98">
        <v>6156</v>
      </c>
      <c r="AJ65" s="98">
        <v>4</v>
      </c>
      <c r="AK65" s="98">
        <v>4104</v>
      </c>
      <c r="AL65" s="98">
        <v>6</v>
      </c>
      <c r="AM65" s="98">
        <v>6156</v>
      </c>
      <c r="AN65" s="98">
        <v>8</v>
      </c>
      <c r="AO65" s="98">
        <v>8208</v>
      </c>
      <c r="AP65" s="98">
        <v>5</v>
      </c>
      <c r="AQ65" s="98">
        <v>5130</v>
      </c>
      <c r="AR65" s="98">
        <v>5</v>
      </c>
      <c r="AS65" s="98">
        <v>5130</v>
      </c>
      <c r="AT65" s="98">
        <v>7</v>
      </c>
      <c r="AU65" s="98">
        <v>7182</v>
      </c>
      <c r="AV65" s="98">
        <v>4</v>
      </c>
      <c r="AW65" s="98">
        <v>4104</v>
      </c>
      <c r="AX65" s="98">
        <v>5</v>
      </c>
      <c r="AY65" s="98">
        <v>5130</v>
      </c>
      <c r="AZ65" s="98">
        <v>4</v>
      </c>
      <c r="BA65" s="98">
        <v>4104</v>
      </c>
      <c r="BB65" s="98">
        <v>6</v>
      </c>
      <c r="BC65" s="98">
        <v>6156</v>
      </c>
      <c r="BD65" s="98">
        <v>7</v>
      </c>
      <c r="BE65" s="98">
        <v>7182</v>
      </c>
      <c r="BF65" s="98">
        <v>5</v>
      </c>
      <c r="BG65" s="98">
        <v>5130</v>
      </c>
      <c r="BH65" s="98">
        <v>4</v>
      </c>
      <c r="BI65" s="98">
        <v>4104</v>
      </c>
      <c r="BJ65" s="98">
        <v>5</v>
      </c>
      <c r="BK65" s="98">
        <v>5130</v>
      </c>
      <c r="BL65" s="98">
        <v>6</v>
      </c>
      <c r="BM65" s="98">
        <v>6156</v>
      </c>
      <c r="BN65" s="98">
        <v>6</v>
      </c>
      <c r="BO65" s="98">
        <v>6156</v>
      </c>
      <c r="BP65" s="98">
        <v>4</v>
      </c>
      <c r="BQ65" s="98">
        <v>4104</v>
      </c>
      <c r="BR65" s="98">
        <v>5</v>
      </c>
      <c r="BS65" s="98">
        <v>5130</v>
      </c>
      <c r="BT65" s="98">
        <v>5</v>
      </c>
      <c r="BU65" s="98">
        <v>5130</v>
      </c>
      <c r="BV65" s="98">
        <v>6</v>
      </c>
      <c r="BW65" s="98">
        <v>6156</v>
      </c>
      <c r="BX65" s="98">
        <v>5</v>
      </c>
      <c r="BY65" s="98">
        <v>5130</v>
      </c>
      <c r="BZ65" s="98">
        <v>5</v>
      </c>
      <c r="CA65" s="98">
        <v>5130</v>
      </c>
      <c r="CB65" s="98">
        <v>7</v>
      </c>
      <c r="CC65" s="98">
        <v>7182</v>
      </c>
      <c r="CD65" s="98">
        <v>6</v>
      </c>
      <c r="CE65" s="98">
        <v>6156</v>
      </c>
      <c r="CF65" s="98">
        <v>6</v>
      </c>
      <c r="CG65" s="98">
        <v>6156</v>
      </c>
      <c r="CH65" s="98">
        <v>6</v>
      </c>
      <c r="CI65" s="98">
        <v>6156</v>
      </c>
      <c r="CJ65" s="98">
        <v>6</v>
      </c>
      <c r="CK65" s="98">
        <v>6156</v>
      </c>
      <c r="CL65" s="98">
        <v>4</v>
      </c>
      <c r="CM65" s="98">
        <v>4104</v>
      </c>
      <c r="CN65" s="98">
        <v>5</v>
      </c>
      <c r="CO65" s="98">
        <v>5130</v>
      </c>
      <c r="CP65" s="98">
        <v>4</v>
      </c>
      <c r="CQ65" s="98">
        <v>4104</v>
      </c>
      <c r="CR65" s="98">
        <v>5</v>
      </c>
      <c r="CS65" s="98">
        <v>5130</v>
      </c>
      <c r="CT65" s="98">
        <v>6</v>
      </c>
      <c r="CU65" s="98">
        <v>6156</v>
      </c>
    </row>
    <row r="66" spans="2:99">
      <c r="C66" s="97" t="s">
        <v>233</v>
      </c>
      <c r="D66" s="98">
        <v>3</v>
      </c>
      <c r="E66" s="98">
        <v>3571.2</v>
      </c>
      <c r="F66" s="98">
        <v>6</v>
      </c>
      <c r="G66" s="98">
        <v>7142.4</v>
      </c>
      <c r="H66" s="98">
        <v>8</v>
      </c>
      <c r="I66" s="98">
        <v>9523.1999999999989</v>
      </c>
      <c r="J66" s="98">
        <v>4</v>
      </c>
      <c r="K66" s="98">
        <v>4761.5999999999995</v>
      </c>
      <c r="L66" s="98">
        <v>4</v>
      </c>
      <c r="M66" s="98">
        <v>4761.5999999999995</v>
      </c>
      <c r="N66" s="98">
        <v>5</v>
      </c>
      <c r="O66" s="98">
        <v>5951.9999999999991</v>
      </c>
      <c r="P66" s="98">
        <v>5</v>
      </c>
      <c r="Q66" s="98">
        <v>5951.9999999999991</v>
      </c>
      <c r="R66" s="98">
        <v>5</v>
      </c>
      <c r="S66" s="98">
        <v>5951.9999999999991</v>
      </c>
      <c r="T66" s="98">
        <v>6</v>
      </c>
      <c r="U66" s="98">
        <v>7142.4</v>
      </c>
      <c r="V66" s="98">
        <v>7</v>
      </c>
      <c r="W66" s="98">
        <v>8332.7999999999993</v>
      </c>
      <c r="X66" s="98">
        <v>7</v>
      </c>
      <c r="Y66" s="98">
        <v>8332.7999999999993</v>
      </c>
      <c r="Z66" s="98">
        <v>6</v>
      </c>
      <c r="AA66" s="98">
        <v>7142.4</v>
      </c>
      <c r="AB66" s="98">
        <v>6</v>
      </c>
      <c r="AC66" s="98">
        <v>7142.4</v>
      </c>
      <c r="AD66" s="98">
        <v>6</v>
      </c>
      <c r="AE66" s="98">
        <v>7142.4</v>
      </c>
      <c r="AF66" s="98">
        <v>4</v>
      </c>
      <c r="AG66" s="98">
        <v>4761.5999999999995</v>
      </c>
      <c r="AH66" s="98">
        <v>5</v>
      </c>
      <c r="AI66" s="98">
        <v>5951.9999999999991</v>
      </c>
      <c r="AJ66" s="98">
        <v>5</v>
      </c>
      <c r="AK66" s="98">
        <v>5951.9999999999991</v>
      </c>
      <c r="AL66" s="98">
        <v>6</v>
      </c>
      <c r="AM66" s="98">
        <v>7142.4</v>
      </c>
      <c r="AN66" s="98">
        <v>7</v>
      </c>
      <c r="AO66" s="98">
        <v>8332.7999999999993</v>
      </c>
      <c r="AP66" s="98">
        <v>4</v>
      </c>
      <c r="AQ66" s="98">
        <v>4761.5999999999995</v>
      </c>
      <c r="AR66" s="98">
        <v>5</v>
      </c>
      <c r="AS66" s="98">
        <v>5951.9999999999991</v>
      </c>
      <c r="AT66" s="98">
        <v>6</v>
      </c>
      <c r="AU66" s="98">
        <v>7142.4</v>
      </c>
      <c r="AV66" s="98">
        <v>4</v>
      </c>
      <c r="AW66" s="98">
        <v>4761.5999999999995</v>
      </c>
      <c r="AX66" s="98">
        <v>4</v>
      </c>
      <c r="AY66" s="98">
        <v>4761.5999999999995</v>
      </c>
      <c r="AZ66" s="98">
        <v>5</v>
      </c>
      <c r="BA66" s="98">
        <v>5951.9999999999991</v>
      </c>
      <c r="BB66" s="98">
        <v>6</v>
      </c>
      <c r="BC66" s="98">
        <v>7142.4</v>
      </c>
      <c r="BD66" s="98">
        <v>7</v>
      </c>
      <c r="BE66" s="98">
        <v>8332.7999999999993</v>
      </c>
      <c r="BF66" s="98">
        <v>5</v>
      </c>
      <c r="BG66" s="98">
        <v>5951.9999999999991</v>
      </c>
      <c r="BH66" s="98">
        <v>4</v>
      </c>
      <c r="BI66" s="98">
        <v>4761.5999999999995</v>
      </c>
      <c r="BJ66" s="98">
        <v>4</v>
      </c>
      <c r="BK66" s="98">
        <v>4761.5999999999995</v>
      </c>
      <c r="BL66" s="98">
        <v>5</v>
      </c>
      <c r="BM66" s="98">
        <v>5951.9999999999991</v>
      </c>
      <c r="BN66" s="98">
        <v>6</v>
      </c>
      <c r="BO66" s="98">
        <v>7142.4</v>
      </c>
      <c r="BP66" s="98">
        <v>4</v>
      </c>
      <c r="BQ66" s="98">
        <v>4761.5999999999995</v>
      </c>
      <c r="BR66" s="98">
        <v>5</v>
      </c>
      <c r="BS66" s="98">
        <v>5951.9999999999991</v>
      </c>
      <c r="BT66" s="98">
        <v>4</v>
      </c>
      <c r="BU66" s="98">
        <v>4761.5999999999995</v>
      </c>
      <c r="BV66" s="98">
        <v>5</v>
      </c>
      <c r="BW66" s="98">
        <v>5951.9999999999991</v>
      </c>
      <c r="BX66" s="98">
        <v>4</v>
      </c>
      <c r="BY66" s="98">
        <v>4761.5999999999995</v>
      </c>
      <c r="BZ66" s="98">
        <v>6</v>
      </c>
      <c r="CA66" s="98">
        <v>7142.4</v>
      </c>
      <c r="CB66" s="98">
        <v>7</v>
      </c>
      <c r="CC66" s="98">
        <v>8332.7999999999993</v>
      </c>
      <c r="CD66" s="98">
        <v>6</v>
      </c>
      <c r="CE66" s="98">
        <v>7142.4</v>
      </c>
      <c r="CF66" s="98">
        <v>5</v>
      </c>
      <c r="CG66" s="98">
        <v>5951.9999999999991</v>
      </c>
      <c r="CH66" s="98">
        <v>6</v>
      </c>
      <c r="CI66" s="98">
        <v>7142.4</v>
      </c>
      <c r="CJ66" s="98">
        <v>5</v>
      </c>
      <c r="CK66" s="98">
        <v>5951.9999999999991</v>
      </c>
      <c r="CL66" s="98">
        <v>4</v>
      </c>
      <c r="CM66" s="98">
        <v>4761.5999999999995</v>
      </c>
      <c r="CN66" s="98">
        <v>5</v>
      </c>
      <c r="CO66" s="98">
        <v>5951.9999999999991</v>
      </c>
      <c r="CP66" s="98">
        <v>4</v>
      </c>
      <c r="CQ66" s="98">
        <v>4761.5999999999995</v>
      </c>
      <c r="CR66" s="98">
        <v>5</v>
      </c>
      <c r="CS66" s="98">
        <v>5951.9999999999991</v>
      </c>
      <c r="CT66" s="98">
        <v>6</v>
      </c>
      <c r="CU66" s="98">
        <v>7142.4</v>
      </c>
    </row>
    <row r="67" spans="2:99">
      <c r="C67" s="97" t="s">
        <v>234</v>
      </c>
      <c r="D67" s="98">
        <v>4</v>
      </c>
      <c r="E67" s="98">
        <v>4492.8</v>
      </c>
      <c r="F67" s="98">
        <v>6</v>
      </c>
      <c r="G67" s="98">
        <v>6739.2000000000007</v>
      </c>
      <c r="H67" s="98">
        <v>7</v>
      </c>
      <c r="I67" s="98">
        <v>7862.4000000000005</v>
      </c>
      <c r="J67" s="98">
        <v>4</v>
      </c>
      <c r="K67" s="98">
        <v>4492.8</v>
      </c>
      <c r="L67" s="98">
        <v>4</v>
      </c>
      <c r="M67" s="98">
        <v>4492.8</v>
      </c>
      <c r="N67" s="98">
        <v>5</v>
      </c>
      <c r="O67" s="98">
        <v>5616</v>
      </c>
      <c r="P67" s="98">
        <v>4</v>
      </c>
      <c r="Q67" s="98">
        <v>4492.8</v>
      </c>
      <c r="R67" s="98">
        <v>5</v>
      </c>
      <c r="S67" s="98">
        <v>5616</v>
      </c>
      <c r="T67" s="98">
        <v>5</v>
      </c>
      <c r="U67" s="98">
        <v>5616</v>
      </c>
      <c r="V67" s="98">
        <v>7</v>
      </c>
      <c r="W67" s="98">
        <v>7862.4000000000005</v>
      </c>
      <c r="X67" s="98">
        <v>6</v>
      </c>
      <c r="Y67" s="98">
        <v>6739.2000000000007</v>
      </c>
      <c r="Z67" s="98">
        <v>7</v>
      </c>
      <c r="AA67" s="98">
        <v>7862.4000000000005</v>
      </c>
      <c r="AB67" s="98">
        <v>6</v>
      </c>
      <c r="AC67" s="98">
        <v>6739.2000000000007</v>
      </c>
      <c r="AD67" s="98">
        <v>6</v>
      </c>
      <c r="AE67" s="98">
        <v>6739.2000000000007</v>
      </c>
      <c r="AF67" s="98">
        <v>4</v>
      </c>
      <c r="AG67" s="98">
        <v>4492.8</v>
      </c>
      <c r="AH67" s="98">
        <v>5</v>
      </c>
      <c r="AI67" s="98">
        <v>5616</v>
      </c>
      <c r="AJ67" s="98">
        <v>4</v>
      </c>
      <c r="AK67" s="98">
        <v>4492.8</v>
      </c>
      <c r="AL67" s="98">
        <v>6</v>
      </c>
      <c r="AM67" s="98">
        <v>6739.2000000000007</v>
      </c>
      <c r="AN67" s="98">
        <v>7</v>
      </c>
      <c r="AO67" s="98">
        <v>7862.4000000000005</v>
      </c>
      <c r="AP67" s="98">
        <v>4</v>
      </c>
      <c r="AQ67" s="98">
        <v>4492.8</v>
      </c>
      <c r="AR67" s="98">
        <v>4</v>
      </c>
      <c r="AS67" s="98">
        <v>4492.8</v>
      </c>
      <c r="AT67" s="98">
        <v>6</v>
      </c>
      <c r="AU67" s="98">
        <v>6739.2000000000007</v>
      </c>
      <c r="AV67" s="98">
        <v>4</v>
      </c>
      <c r="AW67" s="98">
        <v>4492.8</v>
      </c>
      <c r="AX67" s="98">
        <v>5</v>
      </c>
      <c r="AY67" s="98">
        <v>5616</v>
      </c>
      <c r="AZ67" s="98">
        <v>4</v>
      </c>
      <c r="BA67" s="98">
        <v>4492.8</v>
      </c>
      <c r="BB67" s="98">
        <v>6</v>
      </c>
      <c r="BC67" s="98">
        <v>6739.2000000000007</v>
      </c>
      <c r="BD67" s="98">
        <v>7</v>
      </c>
      <c r="BE67" s="98">
        <v>7862.4000000000005</v>
      </c>
      <c r="BF67" s="98">
        <v>4</v>
      </c>
      <c r="BG67" s="98">
        <v>4492.8</v>
      </c>
      <c r="BH67" s="98">
        <v>4</v>
      </c>
      <c r="BI67" s="98">
        <v>4492.8</v>
      </c>
      <c r="BJ67" s="98">
        <v>5</v>
      </c>
      <c r="BK67" s="98">
        <v>5616</v>
      </c>
      <c r="BL67" s="98">
        <v>6</v>
      </c>
      <c r="BM67" s="98">
        <v>6739.2000000000007</v>
      </c>
      <c r="BN67" s="98">
        <v>6</v>
      </c>
      <c r="BO67" s="98">
        <v>6739.2000000000007</v>
      </c>
      <c r="BP67" s="98">
        <v>4</v>
      </c>
      <c r="BQ67" s="98">
        <v>4492.8</v>
      </c>
      <c r="BR67" s="98">
        <v>6</v>
      </c>
      <c r="BS67" s="98">
        <v>6739.2000000000007</v>
      </c>
      <c r="BT67" s="98">
        <v>4</v>
      </c>
      <c r="BU67" s="98">
        <v>4492.8</v>
      </c>
      <c r="BV67" s="98">
        <v>5</v>
      </c>
      <c r="BW67" s="98">
        <v>5616</v>
      </c>
      <c r="BX67" s="98">
        <v>4</v>
      </c>
      <c r="BY67" s="98">
        <v>4492.8</v>
      </c>
      <c r="BZ67" s="98">
        <v>6</v>
      </c>
      <c r="CA67" s="98">
        <v>6739.2000000000007</v>
      </c>
      <c r="CB67" s="98">
        <v>7</v>
      </c>
      <c r="CC67" s="98">
        <v>7862.4000000000005</v>
      </c>
      <c r="CD67" s="98">
        <v>6</v>
      </c>
      <c r="CE67" s="98">
        <v>6739.2000000000007</v>
      </c>
      <c r="CF67" s="98">
        <v>6</v>
      </c>
      <c r="CG67" s="98">
        <v>6739.2000000000007</v>
      </c>
      <c r="CH67" s="98">
        <v>6</v>
      </c>
      <c r="CI67" s="98">
        <v>6739.2000000000007</v>
      </c>
      <c r="CJ67" s="98">
        <v>5</v>
      </c>
      <c r="CK67" s="98">
        <v>5616</v>
      </c>
      <c r="CL67" s="98">
        <v>4</v>
      </c>
      <c r="CM67" s="98">
        <v>4492.8</v>
      </c>
      <c r="CN67" s="98">
        <v>5</v>
      </c>
      <c r="CO67" s="98">
        <v>5616</v>
      </c>
      <c r="CP67" s="98">
        <v>4</v>
      </c>
      <c r="CQ67" s="98">
        <v>4492.8</v>
      </c>
      <c r="CR67" s="98">
        <v>5</v>
      </c>
      <c r="CS67" s="98">
        <v>5616</v>
      </c>
      <c r="CT67" s="98">
        <v>6</v>
      </c>
      <c r="CU67" s="98">
        <v>6739.2000000000007</v>
      </c>
    </row>
    <row r="68" spans="2:99">
      <c r="C68" s="97" t="s">
        <v>235</v>
      </c>
      <c r="D68" s="98">
        <v>4</v>
      </c>
      <c r="E68" s="98">
        <v>4132.8</v>
      </c>
      <c r="F68" s="98">
        <v>7</v>
      </c>
      <c r="G68" s="98">
        <v>7232.4000000000005</v>
      </c>
      <c r="H68" s="98">
        <v>7</v>
      </c>
      <c r="I68" s="98">
        <v>7232.4000000000005</v>
      </c>
      <c r="J68" s="98">
        <v>4</v>
      </c>
      <c r="K68" s="98">
        <v>4132.8</v>
      </c>
      <c r="L68" s="98">
        <v>4</v>
      </c>
      <c r="M68" s="98">
        <v>4132.8</v>
      </c>
      <c r="N68" s="98">
        <v>5</v>
      </c>
      <c r="O68" s="98">
        <v>5166</v>
      </c>
      <c r="P68" s="98">
        <v>5</v>
      </c>
      <c r="Q68" s="98">
        <v>5166</v>
      </c>
      <c r="R68" s="98">
        <v>5</v>
      </c>
      <c r="S68" s="98">
        <v>5166</v>
      </c>
      <c r="T68" s="98">
        <v>6</v>
      </c>
      <c r="U68" s="98">
        <v>6199.2000000000007</v>
      </c>
      <c r="V68" s="98">
        <v>7</v>
      </c>
      <c r="W68" s="98">
        <v>7232.4000000000005</v>
      </c>
      <c r="X68" s="98">
        <v>6</v>
      </c>
      <c r="Y68" s="98">
        <v>6199.2000000000007</v>
      </c>
      <c r="Z68" s="98">
        <v>7</v>
      </c>
      <c r="AA68" s="98">
        <v>7232.4000000000005</v>
      </c>
      <c r="AB68" s="98">
        <v>6</v>
      </c>
      <c r="AC68" s="98">
        <v>6199.2000000000007</v>
      </c>
      <c r="AD68" s="98">
        <v>5</v>
      </c>
      <c r="AE68" s="98">
        <v>5166</v>
      </c>
      <c r="AF68" s="98">
        <v>4</v>
      </c>
      <c r="AG68" s="98">
        <v>4132.8</v>
      </c>
      <c r="AH68" s="98">
        <v>5</v>
      </c>
      <c r="AI68" s="98">
        <v>5166</v>
      </c>
      <c r="AJ68" s="98">
        <v>4</v>
      </c>
      <c r="AK68" s="98">
        <v>4132.8</v>
      </c>
      <c r="AL68" s="98">
        <v>6</v>
      </c>
      <c r="AM68" s="98">
        <v>6199.2000000000007</v>
      </c>
      <c r="AN68" s="98">
        <v>7</v>
      </c>
      <c r="AO68" s="98">
        <v>7232.4000000000005</v>
      </c>
      <c r="AP68" s="98">
        <v>5</v>
      </c>
      <c r="AQ68" s="98">
        <v>5166</v>
      </c>
      <c r="AR68" s="98">
        <v>5</v>
      </c>
      <c r="AS68" s="98">
        <v>5166</v>
      </c>
      <c r="AT68" s="98">
        <v>7</v>
      </c>
      <c r="AU68" s="98">
        <v>7232.4000000000005</v>
      </c>
      <c r="AV68" s="98">
        <v>4</v>
      </c>
      <c r="AW68" s="98">
        <v>4132.8</v>
      </c>
      <c r="AX68" s="98">
        <v>5</v>
      </c>
      <c r="AY68" s="98">
        <v>5166</v>
      </c>
      <c r="AZ68" s="98">
        <v>5</v>
      </c>
      <c r="BA68" s="98">
        <v>5166</v>
      </c>
      <c r="BB68" s="98">
        <v>5</v>
      </c>
      <c r="BC68" s="98">
        <v>5166</v>
      </c>
      <c r="BD68" s="98">
        <v>7</v>
      </c>
      <c r="BE68" s="98">
        <v>7232.4000000000005</v>
      </c>
      <c r="BF68" s="98">
        <v>4</v>
      </c>
      <c r="BG68" s="98">
        <v>4132.8</v>
      </c>
      <c r="BH68" s="98">
        <v>4</v>
      </c>
      <c r="BI68" s="98">
        <v>4132.8</v>
      </c>
      <c r="BJ68" s="98">
        <v>4</v>
      </c>
      <c r="BK68" s="98">
        <v>4132.8</v>
      </c>
      <c r="BL68" s="98">
        <v>6</v>
      </c>
      <c r="BM68" s="98">
        <v>6199.2000000000007</v>
      </c>
      <c r="BN68" s="98">
        <v>6</v>
      </c>
      <c r="BO68" s="98">
        <v>6199.2000000000007</v>
      </c>
      <c r="BP68" s="98">
        <v>4</v>
      </c>
      <c r="BQ68" s="98">
        <v>4132.8</v>
      </c>
      <c r="BR68" s="98">
        <v>5</v>
      </c>
      <c r="BS68" s="98">
        <v>5166</v>
      </c>
      <c r="BT68" s="98">
        <v>4</v>
      </c>
      <c r="BU68" s="98">
        <v>4132.8</v>
      </c>
      <c r="BV68" s="98">
        <v>5</v>
      </c>
      <c r="BW68" s="98">
        <v>5166</v>
      </c>
      <c r="BX68" s="98">
        <v>5</v>
      </c>
      <c r="BY68" s="98">
        <v>5166</v>
      </c>
      <c r="BZ68" s="98">
        <v>6</v>
      </c>
      <c r="CA68" s="98">
        <v>6199.2000000000007</v>
      </c>
      <c r="CB68" s="98">
        <v>6</v>
      </c>
      <c r="CC68" s="98">
        <v>6199.2000000000007</v>
      </c>
      <c r="CD68" s="98">
        <v>5</v>
      </c>
      <c r="CE68" s="98">
        <v>5166</v>
      </c>
      <c r="CF68" s="98">
        <v>5</v>
      </c>
      <c r="CG68" s="98">
        <v>5166</v>
      </c>
      <c r="CH68" s="98">
        <v>6</v>
      </c>
      <c r="CI68" s="98">
        <v>6199.2000000000007</v>
      </c>
      <c r="CJ68" s="98">
        <v>5</v>
      </c>
      <c r="CK68" s="98">
        <v>5166</v>
      </c>
      <c r="CL68" s="98">
        <v>4</v>
      </c>
      <c r="CM68" s="98">
        <v>4132.8</v>
      </c>
      <c r="CN68" s="98">
        <v>5</v>
      </c>
      <c r="CO68" s="98">
        <v>5166</v>
      </c>
      <c r="CP68" s="98">
        <v>4</v>
      </c>
      <c r="CQ68" s="98">
        <v>4132.8</v>
      </c>
      <c r="CR68" s="98">
        <v>5</v>
      </c>
      <c r="CS68" s="98">
        <v>5166</v>
      </c>
      <c r="CT68" s="98">
        <v>6</v>
      </c>
      <c r="CU68" s="98">
        <v>6199.2000000000007</v>
      </c>
    </row>
    <row r="69" spans="2:99">
      <c r="C69" s="97" t="s">
        <v>236</v>
      </c>
      <c r="D69" s="98">
        <v>4</v>
      </c>
      <c r="E69" s="98">
        <v>3033.6</v>
      </c>
      <c r="F69" s="98">
        <v>7</v>
      </c>
      <c r="G69" s="98">
        <v>5308.8</v>
      </c>
      <c r="H69" s="98">
        <v>8</v>
      </c>
      <c r="I69" s="98">
        <v>6067.2</v>
      </c>
      <c r="J69" s="98">
        <v>4</v>
      </c>
      <c r="K69" s="98">
        <v>3033.6</v>
      </c>
      <c r="L69" s="98">
        <v>4</v>
      </c>
      <c r="M69" s="98">
        <v>3033.6</v>
      </c>
      <c r="N69" s="98">
        <v>5</v>
      </c>
      <c r="O69" s="98">
        <v>3792</v>
      </c>
      <c r="P69" s="98">
        <v>5</v>
      </c>
      <c r="Q69" s="98">
        <v>3792</v>
      </c>
      <c r="R69" s="98">
        <v>5</v>
      </c>
      <c r="S69" s="98">
        <v>3792</v>
      </c>
      <c r="T69" s="98">
        <v>6</v>
      </c>
      <c r="U69" s="98">
        <v>4550.3999999999996</v>
      </c>
      <c r="V69" s="98">
        <v>7</v>
      </c>
      <c r="W69" s="98">
        <v>5308.8</v>
      </c>
      <c r="X69" s="98">
        <v>7</v>
      </c>
      <c r="Y69" s="98">
        <v>5308.8</v>
      </c>
      <c r="Z69" s="98">
        <v>7</v>
      </c>
      <c r="AA69" s="98">
        <v>5308.8</v>
      </c>
      <c r="AB69" s="98">
        <v>6</v>
      </c>
      <c r="AC69" s="98">
        <v>4550.3999999999996</v>
      </c>
      <c r="AD69" s="98">
        <v>6</v>
      </c>
      <c r="AE69" s="98">
        <v>4550.3999999999996</v>
      </c>
      <c r="AF69" s="98">
        <v>4</v>
      </c>
      <c r="AG69" s="98">
        <v>3033.6</v>
      </c>
      <c r="AH69" s="98">
        <v>5</v>
      </c>
      <c r="AI69" s="98">
        <v>3792</v>
      </c>
      <c r="AJ69" s="98">
        <v>4</v>
      </c>
      <c r="AK69" s="98">
        <v>3033.6</v>
      </c>
      <c r="AL69" s="98">
        <v>6</v>
      </c>
      <c r="AM69" s="98">
        <v>4550.3999999999996</v>
      </c>
      <c r="AN69" s="98">
        <v>7</v>
      </c>
      <c r="AO69" s="98">
        <v>5308.8</v>
      </c>
      <c r="AP69" s="98">
        <v>5</v>
      </c>
      <c r="AQ69" s="98">
        <v>3792</v>
      </c>
      <c r="AR69" s="98">
        <v>4</v>
      </c>
      <c r="AS69" s="98">
        <v>3033.6</v>
      </c>
      <c r="AT69" s="98">
        <v>6</v>
      </c>
      <c r="AU69" s="98">
        <v>4550.3999999999996</v>
      </c>
      <c r="AV69" s="98">
        <v>5</v>
      </c>
      <c r="AW69" s="98">
        <v>3792</v>
      </c>
      <c r="AX69" s="98">
        <v>5</v>
      </c>
      <c r="AY69" s="98">
        <v>3792</v>
      </c>
      <c r="AZ69" s="98">
        <v>5</v>
      </c>
      <c r="BA69" s="98">
        <v>3792</v>
      </c>
      <c r="BB69" s="98">
        <v>6</v>
      </c>
      <c r="BC69" s="98">
        <v>4550.3999999999996</v>
      </c>
      <c r="BD69" s="98">
        <v>6</v>
      </c>
      <c r="BE69" s="98">
        <v>4550.3999999999996</v>
      </c>
      <c r="BF69" s="98">
        <v>5</v>
      </c>
      <c r="BG69" s="98">
        <v>3792</v>
      </c>
      <c r="BH69" s="98">
        <v>4</v>
      </c>
      <c r="BI69" s="98">
        <v>3033.6</v>
      </c>
      <c r="BJ69" s="98">
        <v>5</v>
      </c>
      <c r="BK69" s="98">
        <v>3792</v>
      </c>
      <c r="BL69" s="98">
        <v>7</v>
      </c>
      <c r="BM69" s="98">
        <v>5308.8</v>
      </c>
      <c r="BN69" s="98">
        <v>5</v>
      </c>
      <c r="BO69" s="98">
        <v>3792</v>
      </c>
      <c r="BP69" s="98">
        <v>3</v>
      </c>
      <c r="BQ69" s="98">
        <v>2275.1999999999998</v>
      </c>
      <c r="BR69" s="98">
        <v>5</v>
      </c>
      <c r="BS69" s="98">
        <v>3792</v>
      </c>
      <c r="BT69" s="98">
        <v>4</v>
      </c>
      <c r="BU69" s="98">
        <v>3033.6</v>
      </c>
      <c r="BV69" s="98">
        <v>5</v>
      </c>
      <c r="BW69" s="98">
        <v>3792</v>
      </c>
      <c r="BX69" s="98">
        <v>5</v>
      </c>
      <c r="BY69" s="98">
        <v>3792</v>
      </c>
      <c r="BZ69" s="98">
        <v>6</v>
      </c>
      <c r="CA69" s="98">
        <v>4550.3999999999996</v>
      </c>
      <c r="CB69" s="98">
        <v>7</v>
      </c>
      <c r="CC69" s="98">
        <v>5308.8</v>
      </c>
      <c r="CD69" s="98">
        <v>6</v>
      </c>
      <c r="CE69" s="98">
        <v>4550.3999999999996</v>
      </c>
      <c r="CF69" s="98">
        <v>5</v>
      </c>
      <c r="CG69" s="98">
        <v>3792</v>
      </c>
      <c r="CH69" s="98">
        <v>6</v>
      </c>
      <c r="CI69" s="98">
        <v>4550.3999999999996</v>
      </c>
      <c r="CJ69" s="98">
        <v>5</v>
      </c>
      <c r="CK69" s="98">
        <v>3792</v>
      </c>
      <c r="CL69" s="98">
        <v>4</v>
      </c>
      <c r="CM69" s="98">
        <v>3033.6</v>
      </c>
      <c r="CN69" s="98">
        <v>5</v>
      </c>
      <c r="CO69" s="98">
        <v>3792</v>
      </c>
      <c r="CP69" s="98">
        <v>4</v>
      </c>
      <c r="CQ69" s="98">
        <v>3033.6</v>
      </c>
      <c r="CR69" s="98">
        <v>5</v>
      </c>
      <c r="CS69" s="98">
        <v>3792</v>
      </c>
      <c r="CT69" s="98">
        <v>7</v>
      </c>
      <c r="CU69" s="98">
        <v>5308.8</v>
      </c>
    </row>
    <row r="70" spans="2:99">
      <c r="C70" s="97" t="s">
        <v>237</v>
      </c>
      <c r="D70" s="98">
        <v>4</v>
      </c>
      <c r="E70" s="98">
        <v>2140.7999999999997</v>
      </c>
      <c r="F70" s="98">
        <v>7</v>
      </c>
      <c r="G70" s="98">
        <v>3746.3999999999996</v>
      </c>
      <c r="H70" s="98">
        <v>8</v>
      </c>
      <c r="I70" s="98">
        <v>4281.5999999999995</v>
      </c>
      <c r="J70" s="98">
        <v>4</v>
      </c>
      <c r="K70" s="98">
        <v>2140.7999999999997</v>
      </c>
      <c r="L70" s="98">
        <v>4</v>
      </c>
      <c r="M70" s="98">
        <v>2140.7999999999997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5</v>
      </c>
      <c r="S70" s="98">
        <v>2675.9999999999995</v>
      </c>
      <c r="T70" s="98">
        <v>6</v>
      </c>
      <c r="U70" s="98">
        <v>3211.2</v>
      </c>
      <c r="V70" s="98">
        <v>7</v>
      </c>
      <c r="W70" s="98">
        <v>3746.3999999999996</v>
      </c>
      <c r="X70" s="98">
        <v>6</v>
      </c>
      <c r="Y70" s="98">
        <v>3211.2</v>
      </c>
      <c r="Z70" s="98">
        <v>7</v>
      </c>
      <c r="AA70" s="98">
        <v>3746.3999999999996</v>
      </c>
      <c r="AB70" s="98">
        <v>7</v>
      </c>
      <c r="AC70" s="98">
        <v>3746.3999999999996</v>
      </c>
      <c r="AD70" s="98">
        <v>6</v>
      </c>
      <c r="AE70" s="98">
        <v>3211.2</v>
      </c>
      <c r="AF70" s="98">
        <v>4</v>
      </c>
      <c r="AG70" s="98">
        <v>2140.7999999999997</v>
      </c>
      <c r="AH70" s="98">
        <v>5</v>
      </c>
      <c r="AI70" s="98">
        <v>2675.9999999999995</v>
      </c>
      <c r="AJ70" s="98">
        <v>5</v>
      </c>
      <c r="AK70" s="98">
        <v>2675.9999999999995</v>
      </c>
      <c r="AL70" s="98">
        <v>7</v>
      </c>
      <c r="AM70" s="98">
        <v>3746.3999999999996</v>
      </c>
      <c r="AN70" s="98">
        <v>8</v>
      </c>
      <c r="AO70" s="98">
        <v>4281.5999999999995</v>
      </c>
      <c r="AP70" s="98">
        <v>5</v>
      </c>
      <c r="AQ70" s="98">
        <v>2675.9999999999995</v>
      </c>
      <c r="AR70" s="98">
        <v>5</v>
      </c>
      <c r="AS70" s="98">
        <v>2675.9999999999995</v>
      </c>
      <c r="AT70" s="98">
        <v>7</v>
      </c>
      <c r="AU70" s="98">
        <v>3746.3999999999996</v>
      </c>
      <c r="AV70" s="98">
        <v>4</v>
      </c>
      <c r="AW70" s="98">
        <v>2140.7999999999997</v>
      </c>
      <c r="AX70" s="98">
        <v>5</v>
      </c>
      <c r="AY70" s="98">
        <v>2675.9999999999995</v>
      </c>
      <c r="AZ70" s="98">
        <v>4</v>
      </c>
      <c r="BA70" s="98">
        <v>2140.7999999999997</v>
      </c>
      <c r="BB70" s="98">
        <v>6</v>
      </c>
      <c r="BC70" s="98">
        <v>3211.2</v>
      </c>
      <c r="BD70" s="98">
        <v>8</v>
      </c>
      <c r="BE70" s="98">
        <v>4281.5999999999995</v>
      </c>
      <c r="BF70" s="98">
        <v>5</v>
      </c>
      <c r="BG70" s="98">
        <v>2675.9999999999995</v>
      </c>
      <c r="BH70" s="98">
        <v>4</v>
      </c>
      <c r="BI70" s="98">
        <v>2140.7999999999997</v>
      </c>
      <c r="BJ70" s="98">
        <v>4</v>
      </c>
      <c r="BK70" s="98">
        <v>2140.7999999999997</v>
      </c>
      <c r="BL70" s="98">
        <v>6</v>
      </c>
      <c r="BM70" s="98">
        <v>3211.2</v>
      </c>
      <c r="BN70" s="98">
        <v>6</v>
      </c>
      <c r="BO70" s="98">
        <v>3211.2</v>
      </c>
      <c r="BP70" s="98">
        <v>4</v>
      </c>
      <c r="BQ70" s="98">
        <v>2140.7999999999997</v>
      </c>
      <c r="BR70" s="98">
        <v>5</v>
      </c>
      <c r="BS70" s="98">
        <v>2675.9999999999995</v>
      </c>
      <c r="BT70" s="98">
        <v>5</v>
      </c>
      <c r="BU70" s="98">
        <v>2675.9999999999995</v>
      </c>
      <c r="BV70" s="98">
        <v>6</v>
      </c>
      <c r="BW70" s="98">
        <v>3211.2</v>
      </c>
      <c r="BX70" s="98">
        <v>5</v>
      </c>
      <c r="BY70" s="98">
        <v>2675.9999999999995</v>
      </c>
      <c r="BZ70" s="98">
        <v>6</v>
      </c>
      <c r="CA70" s="98">
        <v>3211.2</v>
      </c>
      <c r="CB70" s="98">
        <v>7</v>
      </c>
      <c r="CC70" s="98">
        <v>3746.3999999999996</v>
      </c>
      <c r="CD70" s="98">
        <v>5</v>
      </c>
      <c r="CE70" s="98">
        <v>2675.9999999999995</v>
      </c>
      <c r="CF70" s="98">
        <v>6</v>
      </c>
      <c r="CG70" s="98">
        <v>3211.2</v>
      </c>
      <c r="CH70" s="98">
        <v>7</v>
      </c>
      <c r="CI70" s="98">
        <v>3746.3999999999996</v>
      </c>
      <c r="CJ70" s="98">
        <v>5</v>
      </c>
      <c r="CK70" s="98">
        <v>2675.9999999999995</v>
      </c>
      <c r="CL70" s="98">
        <v>4</v>
      </c>
      <c r="CM70" s="98">
        <v>2140.7999999999997</v>
      </c>
      <c r="CN70" s="98">
        <v>5</v>
      </c>
      <c r="CO70" s="98">
        <v>2675.9999999999995</v>
      </c>
      <c r="CP70" s="98">
        <v>4</v>
      </c>
      <c r="CQ70" s="98">
        <v>2140.7999999999997</v>
      </c>
      <c r="CR70" s="98">
        <v>5</v>
      </c>
      <c r="CS70" s="98">
        <v>2675.9999999999995</v>
      </c>
      <c r="CT70" s="98">
        <v>7</v>
      </c>
      <c r="CU70" s="98">
        <v>3746.3999999999996</v>
      </c>
    </row>
    <row r="71" spans="2:99">
      <c r="B71" s="97" t="s">
        <v>130</v>
      </c>
      <c r="C71" s="97" t="s">
        <v>238</v>
      </c>
      <c r="D71" s="98">
        <v>11</v>
      </c>
      <c r="E71" s="98">
        <v>6204</v>
      </c>
      <c r="F71" s="98">
        <v>12</v>
      </c>
      <c r="G71" s="98">
        <v>6768</v>
      </c>
      <c r="H71" s="98">
        <v>8</v>
      </c>
      <c r="I71" s="98">
        <v>4512</v>
      </c>
      <c r="J71" s="98">
        <v>16</v>
      </c>
      <c r="K71" s="98">
        <v>9024</v>
      </c>
      <c r="L71" s="98">
        <v>13</v>
      </c>
      <c r="M71" s="98">
        <v>7332</v>
      </c>
      <c r="N71" s="98">
        <v>13</v>
      </c>
      <c r="O71" s="98">
        <v>7332</v>
      </c>
      <c r="P71" s="98">
        <v>11</v>
      </c>
      <c r="Q71" s="98">
        <v>6204</v>
      </c>
      <c r="R71" s="98">
        <v>10</v>
      </c>
      <c r="S71" s="98">
        <v>5640</v>
      </c>
      <c r="T71" s="98">
        <v>10</v>
      </c>
      <c r="U71" s="98">
        <v>5640</v>
      </c>
      <c r="V71" s="98">
        <v>13</v>
      </c>
      <c r="W71" s="98">
        <v>7332</v>
      </c>
      <c r="X71" s="98">
        <v>12</v>
      </c>
      <c r="Y71" s="98">
        <v>6768</v>
      </c>
      <c r="Z71" s="98">
        <v>9</v>
      </c>
      <c r="AA71" s="98">
        <v>5076</v>
      </c>
      <c r="AB71" s="98">
        <v>13</v>
      </c>
      <c r="AC71" s="98">
        <v>7332</v>
      </c>
      <c r="AD71" s="98">
        <v>10</v>
      </c>
      <c r="AE71" s="98">
        <v>5640</v>
      </c>
      <c r="AF71" s="98">
        <v>12</v>
      </c>
      <c r="AG71" s="98">
        <v>6768</v>
      </c>
      <c r="AH71" s="98">
        <v>13</v>
      </c>
      <c r="AI71" s="98">
        <v>7332</v>
      </c>
      <c r="AJ71" s="98">
        <v>10</v>
      </c>
      <c r="AK71" s="98">
        <v>5640</v>
      </c>
      <c r="AL71" s="98">
        <v>15</v>
      </c>
      <c r="AM71" s="98">
        <v>8460</v>
      </c>
      <c r="AN71" s="98">
        <v>12</v>
      </c>
      <c r="AO71" s="98">
        <v>6768</v>
      </c>
      <c r="AP71" s="98">
        <v>14</v>
      </c>
      <c r="AQ71" s="98">
        <v>7896</v>
      </c>
      <c r="AR71" s="98">
        <v>13</v>
      </c>
      <c r="AS71" s="98">
        <v>7332</v>
      </c>
      <c r="AT71" s="98">
        <v>10</v>
      </c>
      <c r="AU71" s="98">
        <v>5640</v>
      </c>
      <c r="AV71" s="98">
        <v>16</v>
      </c>
      <c r="AW71" s="98">
        <v>9024</v>
      </c>
      <c r="AX71" s="98">
        <v>17</v>
      </c>
      <c r="AY71" s="98">
        <v>9588</v>
      </c>
      <c r="AZ71" s="98">
        <v>9</v>
      </c>
      <c r="BA71" s="98">
        <v>5076</v>
      </c>
      <c r="BB71" s="98">
        <v>11</v>
      </c>
      <c r="BC71" s="98">
        <v>6204</v>
      </c>
      <c r="BD71" s="98">
        <v>13</v>
      </c>
      <c r="BE71" s="98">
        <v>7332</v>
      </c>
      <c r="BF71" s="98">
        <v>11</v>
      </c>
      <c r="BG71" s="98">
        <v>6204</v>
      </c>
      <c r="BH71" s="98">
        <v>16</v>
      </c>
      <c r="BI71" s="98">
        <v>9024</v>
      </c>
      <c r="BJ71" s="98">
        <v>14</v>
      </c>
      <c r="BK71" s="98">
        <v>7896</v>
      </c>
      <c r="BL71" s="98">
        <v>10</v>
      </c>
      <c r="BM71" s="98">
        <v>5640</v>
      </c>
      <c r="BN71" s="98">
        <v>11</v>
      </c>
      <c r="BO71" s="98">
        <v>6204</v>
      </c>
      <c r="BP71" s="98">
        <v>17</v>
      </c>
      <c r="BQ71" s="98">
        <v>9588</v>
      </c>
      <c r="BR71" s="98">
        <v>9</v>
      </c>
      <c r="BS71" s="98">
        <v>5076</v>
      </c>
      <c r="BT71" s="98">
        <v>11</v>
      </c>
      <c r="BU71" s="98">
        <v>6204</v>
      </c>
      <c r="BV71" s="98">
        <v>13</v>
      </c>
      <c r="BW71" s="98">
        <v>7332</v>
      </c>
      <c r="BX71" s="98">
        <v>17</v>
      </c>
      <c r="BY71" s="98">
        <v>9588</v>
      </c>
      <c r="BZ71" s="98">
        <v>14</v>
      </c>
      <c r="CA71" s="98">
        <v>7896</v>
      </c>
      <c r="CB71" s="98">
        <v>14</v>
      </c>
      <c r="CC71" s="98">
        <v>7896</v>
      </c>
      <c r="CD71" s="98">
        <v>10</v>
      </c>
      <c r="CE71" s="98">
        <v>5640</v>
      </c>
      <c r="CF71" s="98">
        <v>17</v>
      </c>
      <c r="CG71" s="98">
        <v>9588</v>
      </c>
      <c r="CH71" s="98">
        <v>11</v>
      </c>
      <c r="CI71" s="98">
        <v>6204</v>
      </c>
      <c r="CJ71" s="98">
        <v>15</v>
      </c>
      <c r="CK71" s="98">
        <v>8460</v>
      </c>
      <c r="CL71" s="98">
        <v>13</v>
      </c>
      <c r="CM71" s="98">
        <v>7332</v>
      </c>
      <c r="CN71" s="98">
        <v>17</v>
      </c>
      <c r="CO71" s="98">
        <v>9588</v>
      </c>
      <c r="CP71" s="98">
        <v>15</v>
      </c>
      <c r="CQ71" s="98">
        <v>8460</v>
      </c>
      <c r="CR71" s="98">
        <v>11</v>
      </c>
      <c r="CS71" s="98">
        <v>6204</v>
      </c>
      <c r="CT71" s="98">
        <v>15</v>
      </c>
      <c r="CU71" s="98">
        <v>8460</v>
      </c>
    </row>
    <row r="72" spans="2:99">
      <c r="C72" s="97" t="s">
        <v>239</v>
      </c>
      <c r="D72" s="98">
        <v>13</v>
      </c>
      <c r="E72" s="98">
        <v>967.19999999999993</v>
      </c>
      <c r="F72" s="98">
        <v>13</v>
      </c>
      <c r="G72" s="98">
        <v>967.19999999999993</v>
      </c>
      <c r="H72" s="98">
        <v>9</v>
      </c>
      <c r="I72" s="98">
        <v>669.59999999999991</v>
      </c>
      <c r="J72" s="98">
        <v>18</v>
      </c>
      <c r="K72" s="98">
        <v>1339.1999999999998</v>
      </c>
      <c r="L72" s="98">
        <v>12</v>
      </c>
      <c r="M72" s="98">
        <v>892.8</v>
      </c>
      <c r="N72" s="98">
        <v>13</v>
      </c>
      <c r="O72" s="98">
        <v>967.19999999999993</v>
      </c>
      <c r="P72" s="98">
        <v>10</v>
      </c>
      <c r="Q72" s="98">
        <v>743.99999999999989</v>
      </c>
      <c r="R72" s="98">
        <v>11</v>
      </c>
      <c r="S72" s="98">
        <v>818.39999999999986</v>
      </c>
      <c r="T72" s="98">
        <v>11</v>
      </c>
      <c r="U72" s="98">
        <v>818.39999999999986</v>
      </c>
      <c r="V72" s="98">
        <v>14</v>
      </c>
      <c r="W72" s="98">
        <v>1041.5999999999999</v>
      </c>
      <c r="X72" s="98">
        <v>11</v>
      </c>
      <c r="Y72" s="98">
        <v>818.39999999999986</v>
      </c>
      <c r="Z72" s="98">
        <v>9</v>
      </c>
      <c r="AA72" s="98">
        <v>669.59999999999991</v>
      </c>
      <c r="AB72" s="98">
        <v>15</v>
      </c>
      <c r="AC72" s="98">
        <v>1115.9999999999998</v>
      </c>
      <c r="AD72" s="98">
        <v>12</v>
      </c>
      <c r="AE72" s="98">
        <v>892.8</v>
      </c>
      <c r="AF72" s="98">
        <v>12</v>
      </c>
      <c r="AG72" s="98">
        <v>892.8</v>
      </c>
      <c r="AH72" s="98">
        <v>14</v>
      </c>
      <c r="AI72" s="98">
        <v>1041.5999999999999</v>
      </c>
      <c r="AJ72" s="98">
        <v>10</v>
      </c>
      <c r="AK72" s="98">
        <v>743.99999999999989</v>
      </c>
      <c r="AL72" s="98">
        <v>14</v>
      </c>
      <c r="AM72" s="98">
        <v>1041.5999999999999</v>
      </c>
      <c r="AN72" s="98">
        <v>15</v>
      </c>
      <c r="AO72" s="98">
        <v>1115.9999999999998</v>
      </c>
      <c r="AP72" s="98">
        <v>14</v>
      </c>
      <c r="AQ72" s="98">
        <v>1041.5999999999999</v>
      </c>
      <c r="AR72" s="98">
        <v>14</v>
      </c>
      <c r="AS72" s="98">
        <v>1041.5999999999999</v>
      </c>
      <c r="AT72" s="98">
        <v>10</v>
      </c>
      <c r="AU72" s="98">
        <v>743.99999999999989</v>
      </c>
      <c r="AV72" s="98">
        <v>15</v>
      </c>
      <c r="AW72" s="98">
        <v>1115.9999999999998</v>
      </c>
      <c r="AX72" s="98">
        <v>18</v>
      </c>
      <c r="AY72" s="98">
        <v>1339.1999999999998</v>
      </c>
      <c r="AZ72" s="98">
        <v>10</v>
      </c>
      <c r="BA72" s="98">
        <v>743.99999999999989</v>
      </c>
      <c r="BB72" s="98">
        <v>12</v>
      </c>
      <c r="BC72" s="98">
        <v>892.8</v>
      </c>
      <c r="BD72" s="98">
        <v>16</v>
      </c>
      <c r="BE72" s="98">
        <v>1190.3999999999999</v>
      </c>
      <c r="BF72" s="98">
        <v>11</v>
      </c>
      <c r="BG72" s="98">
        <v>818.39999999999986</v>
      </c>
      <c r="BH72" s="98">
        <v>16</v>
      </c>
      <c r="BI72" s="98">
        <v>1190.3999999999999</v>
      </c>
      <c r="BJ72" s="98">
        <v>14</v>
      </c>
      <c r="BK72" s="98">
        <v>1041.5999999999999</v>
      </c>
      <c r="BL72" s="98">
        <v>10</v>
      </c>
      <c r="BM72" s="98">
        <v>743.99999999999989</v>
      </c>
      <c r="BN72" s="98">
        <v>11</v>
      </c>
      <c r="BO72" s="98">
        <v>818.39999999999986</v>
      </c>
      <c r="BP72" s="98">
        <v>16</v>
      </c>
      <c r="BQ72" s="98">
        <v>1190.3999999999999</v>
      </c>
      <c r="BR72" s="98">
        <v>10</v>
      </c>
      <c r="BS72" s="98">
        <v>743.99999999999989</v>
      </c>
      <c r="BT72" s="98">
        <v>13</v>
      </c>
      <c r="BU72" s="98">
        <v>967.19999999999993</v>
      </c>
      <c r="BV72" s="98">
        <v>13</v>
      </c>
      <c r="BW72" s="98">
        <v>967.19999999999993</v>
      </c>
      <c r="BX72" s="98">
        <v>15</v>
      </c>
      <c r="BY72" s="98">
        <v>1115.9999999999998</v>
      </c>
      <c r="BZ72" s="98">
        <v>13</v>
      </c>
      <c r="CA72" s="98">
        <v>967.19999999999993</v>
      </c>
      <c r="CB72" s="98">
        <v>15</v>
      </c>
      <c r="CC72" s="98">
        <v>1115.9999999999998</v>
      </c>
      <c r="CD72" s="98">
        <v>10</v>
      </c>
      <c r="CE72" s="98">
        <v>743.99999999999989</v>
      </c>
      <c r="CF72" s="98">
        <v>17</v>
      </c>
      <c r="CG72" s="98">
        <v>1264.8</v>
      </c>
      <c r="CH72" s="98">
        <v>14</v>
      </c>
      <c r="CI72" s="98">
        <v>1041.5999999999999</v>
      </c>
      <c r="CJ72" s="98">
        <v>15</v>
      </c>
      <c r="CK72" s="98">
        <v>1115.9999999999998</v>
      </c>
      <c r="CL72" s="98">
        <v>14</v>
      </c>
      <c r="CM72" s="98">
        <v>1041.5999999999999</v>
      </c>
      <c r="CN72" s="98">
        <v>18</v>
      </c>
      <c r="CO72" s="98">
        <v>1339.1999999999998</v>
      </c>
      <c r="CP72" s="98">
        <v>17</v>
      </c>
      <c r="CQ72" s="98">
        <v>1264.8</v>
      </c>
      <c r="CR72" s="98">
        <v>12</v>
      </c>
      <c r="CS72" s="98">
        <v>892.8</v>
      </c>
      <c r="CT72" s="98">
        <v>14</v>
      </c>
      <c r="CU72" s="98">
        <v>1041.5999999999999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14</v>
      </c>
      <c r="G73" s="98">
        <v>7828.7999999999993</v>
      </c>
      <c r="H73" s="98">
        <v>8</v>
      </c>
      <c r="I73" s="98">
        <v>4473.5999999999995</v>
      </c>
      <c r="J73" s="98">
        <v>17</v>
      </c>
      <c r="K73" s="98">
        <v>9506.4</v>
      </c>
      <c r="L73" s="98">
        <v>11</v>
      </c>
      <c r="M73" s="98">
        <v>6151.1999999999989</v>
      </c>
      <c r="N73" s="98">
        <v>13</v>
      </c>
      <c r="O73" s="98">
        <v>7269.5999999999995</v>
      </c>
      <c r="P73" s="98">
        <v>11</v>
      </c>
      <c r="Q73" s="98">
        <v>6151.1999999999989</v>
      </c>
      <c r="R73" s="98">
        <v>10</v>
      </c>
      <c r="S73" s="98">
        <v>5591.9999999999991</v>
      </c>
      <c r="T73" s="98">
        <v>10</v>
      </c>
      <c r="U73" s="98">
        <v>5591.9999999999991</v>
      </c>
      <c r="V73" s="98">
        <v>12</v>
      </c>
      <c r="W73" s="98">
        <v>6710.4</v>
      </c>
      <c r="X73" s="98">
        <v>11</v>
      </c>
      <c r="Y73" s="98">
        <v>6151.1999999999989</v>
      </c>
      <c r="Z73" s="98">
        <v>8</v>
      </c>
      <c r="AA73" s="98">
        <v>4473.5999999999995</v>
      </c>
      <c r="AB73" s="98">
        <v>14</v>
      </c>
      <c r="AC73" s="98">
        <v>7828.7999999999993</v>
      </c>
      <c r="AD73" s="98">
        <v>11</v>
      </c>
      <c r="AE73" s="98">
        <v>6151.1999999999989</v>
      </c>
      <c r="AF73" s="98">
        <v>12</v>
      </c>
      <c r="AG73" s="98">
        <v>6710.4</v>
      </c>
      <c r="AH73" s="98">
        <v>13</v>
      </c>
      <c r="AI73" s="98">
        <v>7269.5999999999995</v>
      </c>
      <c r="AJ73" s="98">
        <v>9</v>
      </c>
      <c r="AK73" s="98">
        <v>5032.7999999999993</v>
      </c>
      <c r="AL73" s="98">
        <v>16</v>
      </c>
      <c r="AM73" s="98">
        <v>8947.1999999999989</v>
      </c>
      <c r="AN73" s="98">
        <v>13</v>
      </c>
      <c r="AO73" s="98">
        <v>7269.5999999999995</v>
      </c>
      <c r="AP73" s="98">
        <v>14</v>
      </c>
      <c r="AQ73" s="98">
        <v>7828.7999999999993</v>
      </c>
      <c r="AR73" s="98">
        <v>14</v>
      </c>
      <c r="AS73" s="98">
        <v>7828.7999999999993</v>
      </c>
      <c r="AT73" s="98">
        <v>9</v>
      </c>
      <c r="AU73" s="98">
        <v>5032.7999999999993</v>
      </c>
      <c r="AV73" s="98">
        <v>17</v>
      </c>
      <c r="AW73" s="98">
        <v>9506.4</v>
      </c>
      <c r="AX73" s="98">
        <v>15</v>
      </c>
      <c r="AY73" s="98">
        <v>8387.9999999999982</v>
      </c>
      <c r="AZ73" s="98">
        <v>9</v>
      </c>
      <c r="BA73" s="98">
        <v>5032.7999999999993</v>
      </c>
      <c r="BB73" s="98">
        <v>12</v>
      </c>
      <c r="BC73" s="98">
        <v>6710.4</v>
      </c>
      <c r="BD73" s="98">
        <v>15</v>
      </c>
      <c r="BE73" s="98">
        <v>8387.9999999999982</v>
      </c>
      <c r="BF73" s="98">
        <v>11</v>
      </c>
      <c r="BG73" s="98">
        <v>6151.1999999999989</v>
      </c>
      <c r="BH73" s="98">
        <v>17</v>
      </c>
      <c r="BI73" s="98">
        <v>9506.4</v>
      </c>
      <c r="BJ73" s="98">
        <v>14</v>
      </c>
      <c r="BK73" s="98">
        <v>7828.7999999999993</v>
      </c>
      <c r="BL73" s="98">
        <v>10</v>
      </c>
      <c r="BM73" s="98">
        <v>5591.9999999999991</v>
      </c>
      <c r="BN73" s="98">
        <v>11</v>
      </c>
      <c r="BO73" s="98">
        <v>6151.1999999999989</v>
      </c>
      <c r="BP73" s="98">
        <v>15</v>
      </c>
      <c r="BQ73" s="98">
        <v>8387.9999999999982</v>
      </c>
      <c r="BR73" s="98">
        <v>11</v>
      </c>
      <c r="BS73" s="98">
        <v>6151.1999999999989</v>
      </c>
      <c r="BT73" s="98">
        <v>13</v>
      </c>
      <c r="BU73" s="98">
        <v>7269.5999999999995</v>
      </c>
      <c r="BV73" s="98">
        <v>13</v>
      </c>
      <c r="BW73" s="98">
        <v>7269.5999999999995</v>
      </c>
      <c r="BX73" s="98">
        <v>14</v>
      </c>
      <c r="BY73" s="98">
        <v>7828.7999999999993</v>
      </c>
      <c r="BZ73" s="98">
        <v>15</v>
      </c>
      <c r="CA73" s="98">
        <v>8387.9999999999982</v>
      </c>
      <c r="CB73" s="98">
        <v>14</v>
      </c>
      <c r="CC73" s="98">
        <v>7828.7999999999993</v>
      </c>
      <c r="CD73" s="98">
        <v>10</v>
      </c>
      <c r="CE73" s="98">
        <v>5591.9999999999991</v>
      </c>
      <c r="CF73" s="98">
        <v>18</v>
      </c>
      <c r="CG73" s="98">
        <v>10065.599999999999</v>
      </c>
      <c r="CH73" s="98">
        <v>12</v>
      </c>
      <c r="CI73" s="98">
        <v>6710.4</v>
      </c>
      <c r="CJ73" s="98">
        <v>15</v>
      </c>
      <c r="CK73" s="98">
        <v>8387.9999999999982</v>
      </c>
      <c r="CL73" s="98">
        <v>13</v>
      </c>
      <c r="CM73" s="98">
        <v>7269.5999999999995</v>
      </c>
      <c r="CN73" s="98">
        <v>16</v>
      </c>
      <c r="CO73" s="98">
        <v>8947.1999999999989</v>
      </c>
      <c r="CP73" s="98">
        <v>16</v>
      </c>
      <c r="CQ73" s="98">
        <v>8947.1999999999989</v>
      </c>
      <c r="CR73" s="98">
        <v>13</v>
      </c>
      <c r="CS73" s="98">
        <v>7269.5999999999995</v>
      </c>
      <c r="CT73" s="98">
        <v>15</v>
      </c>
      <c r="CU73" s="98">
        <v>8387.9999999999982</v>
      </c>
    </row>
    <row r="74" spans="2:99">
      <c r="C74" s="97" t="s">
        <v>241</v>
      </c>
      <c r="D74" s="98">
        <v>12</v>
      </c>
      <c r="E74" s="98">
        <v>4838.3999999999996</v>
      </c>
      <c r="F74" s="98">
        <v>12</v>
      </c>
      <c r="G74" s="98">
        <v>4838.3999999999996</v>
      </c>
      <c r="H74" s="98">
        <v>8</v>
      </c>
      <c r="I74" s="98">
        <v>3225.6</v>
      </c>
      <c r="J74" s="98">
        <v>16</v>
      </c>
      <c r="K74" s="98">
        <v>6451.2</v>
      </c>
      <c r="L74" s="98">
        <v>13</v>
      </c>
      <c r="M74" s="98">
        <v>5241.5999999999995</v>
      </c>
      <c r="N74" s="98">
        <v>13</v>
      </c>
      <c r="O74" s="98">
        <v>5241.5999999999995</v>
      </c>
      <c r="P74" s="98">
        <v>11</v>
      </c>
      <c r="Q74" s="98">
        <v>4435.2</v>
      </c>
      <c r="R74" s="98">
        <v>10</v>
      </c>
      <c r="S74" s="98">
        <v>4032</v>
      </c>
      <c r="T74" s="98">
        <v>10</v>
      </c>
      <c r="U74" s="98">
        <v>4032</v>
      </c>
      <c r="V74" s="98">
        <v>15</v>
      </c>
      <c r="W74" s="98">
        <v>6048</v>
      </c>
      <c r="X74" s="98">
        <v>11</v>
      </c>
      <c r="Y74" s="98">
        <v>4435.2</v>
      </c>
      <c r="Z74" s="98">
        <v>9</v>
      </c>
      <c r="AA74" s="98">
        <v>3628.7999999999997</v>
      </c>
      <c r="AB74" s="98">
        <v>15</v>
      </c>
      <c r="AC74" s="98">
        <v>6048</v>
      </c>
      <c r="AD74" s="98">
        <v>10</v>
      </c>
      <c r="AE74" s="98">
        <v>4032</v>
      </c>
      <c r="AF74" s="98">
        <v>11</v>
      </c>
      <c r="AG74" s="98">
        <v>4435.2</v>
      </c>
      <c r="AH74" s="98">
        <v>14</v>
      </c>
      <c r="AI74" s="98">
        <v>5644.8</v>
      </c>
      <c r="AJ74" s="98">
        <v>9</v>
      </c>
      <c r="AK74" s="98">
        <v>3628.7999999999997</v>
      </c>
      <c r="AL74" s="98">
        <v>17</v>
      </c>
      <c r="AM74" s="98">
        <v>6854.4</v>
      </c>
      <c r="AN74" s="98">
        <v>14</v>
      </c>
      <c r="AO74" s="98">
        <v>5644.8</v>
      </c>
      <c r="AP74" s="98">
        <v>14</v>
      </c>
      <c r="AQ74" s="98">
        <v>5644.8</v>
      </c>
      <c r="AR74" s="98">
        <v>13</v>
      </c>
      <c r="AS74" s="98">
        <v>5241.5999999999995</v>
      </c>
      <c r="AT74" s="98">
        <v>10</v>
      </c>
      <c r="AU74" s="98">
        <v>4032</v>
      </c>
      <c r="AV74" s="98">
        <v>15</v>
      </c>
      <c r="AW74" s="98">
        <v>6048</v>
      </c>
      <c r="AX74" s="98">
        <v>16</v>
      </c>
      <c r="AY74" s="98">
        <v>6451.2</v>
      </c>
      <c r="AZ74" s="98">
        <v>9</v>
      </c>
      <c r="BA74" s="98">
        <v>3628.7999999999997</v>
      </c>
      <c r="BB74" s="98">
        <v>10</v>
      </c>
      <c r="BC74" s="98">
        <v>4032</v>
      </c>
      <c r="BD74" s="98">
        <v>15</v>
      </c>
      <c r="BE74" s="98">
        <v>6048</v>
      </c>
      <c r="BF74" s="98">
        <v>10</v>
      </c>
      <c r="BG74" s="98">
        <v>4032</v>
      </c>
      <c r="BH74" s="98">
        <v>17</v>
      </c>
      <c r="BI74" s="98">
        <v>6854.4</v>
      </c>
      <c r="BJ74" s="98">
        <v>16</v>
      </c>
      <c r="BK74" s="98">
        <v>6451.2</v>
      </c>
      <c r="BL74" s="98">
        <v>10</v>
      </c>
      <c r="BM74" s="98">
        <v>4032</v>
      </c>
      <c r="BN74" s="98">
        <v>12</v>
      </c>
      <c r="BO74" s="98">
        <v>4838.3999999999996</v>
      </c>
      <c r="BP74" s="98">
        <v>18</v>
      </c>
      <c r="BQ74" s="98">
        <v>7257.5999999999995</v>
      </c>
      <c r="BR74" s="98">
        <v>11</v>
      </c>
      <c r="BS74" s="98">
        <v>4435.2</v>
      </c>
      <c r="BT74" s="98">
        <v>13</v>
      </c>
      <c r="BU74" s="98">
        <v>5241.5999999999995</v>
      </c>
      <c r="BV74" s="98">
        <v>13</v>
      </c>
      <c r="BW74" s="98">
        <v>5241.5999999999995</v>
      </c>
      <c r="BX74" s="98">
        <v>15</v>
      </c>
      <c r="BY74" s="98">
        <v>6048</v>
      </c>
      <c r="BZ74" s="98">
        <v>15</v>
      </c>
      <c r="CA74" s="98">
        <v>6048</v>
      </c>
      <c r="CB74" s="98">
        <v>14</v>
      </c>
      <c r="CC74" s="98">
        <v>5644.8</v>
      </c>
      <c r="CD74" s="98">
        <v>10</v>
      </c>
      <c r="CE74" s="98">
        <v>4032</v>
      </c>
      <c r="CF74" s="98">
        <v>17</v>
      </c>
      <c r="CG74" s="98">
        <v>6854.4</v>
      </c>
      <c r="CH74" s="98">
        <v>13</v>
      </c>
      <c r="CI74" s="98">
        <v>5241.5999999999995</v>
      </c>
      <c r="CJ74" s="98">
        <v>13</v>
      </c>
      <c r="CK74" s="98">
        <v>5241.5999999999995</v>
      </c>
      <c r="CL74" s="98">
        <v>11</v>
      </c>
      <c r="CM74" s="98">
        <v>4435.2</v>
      </c>
      <c r="CN74" s="98">
        <v>17</v>
      </c>
      <c r="CO74" s="98">
        <v>6854.4</v>
      </c>
      <c r="CP74" s="98">
        <v>17</v>
      </c>
      <c r="CQ74" s="98">
        <v>6854.4</v>
      </c>
      <c r="CR74" s="98">
        <v>13</v>
      </c>
      <c r="CS74" s="98">
        <v>5241.5999999999995</v>
      </c>
      <c r="CT74" s="98">
        <v>16</v>
      </c>
      <c r="CU74" s="98">
        <v>6451.2</v>
      </c>
    </row>
    <row r="75" spans="2:99">
      <c r="C75" s="97" t="s">
        <v>242</v>
      </c>
      <c r="D75" s="98">
        <v>13</v>
      </c>
      <c r="E75" s="98">
        <v>8361.5999999999985</v>
      </c>
      <c r="F75" s="98">
        <v>13</v>
      </c>
      <c r="G75" s="98">
        <v>8361.5999999999985</v>
      </c>
      <c r="H75" s="98">
        <v>8</v>
      </c>
      <c r="I75" s="98">
        <v>5145.5999999999995</v>
      </c>
      <c r="J75" s="98">
        <v>17</v>
      </c>
      <c r="K75" s="98">
        <v>10934.4</v>
      </c>
      <c r="L75" s="98">
        <v>11</v>
      </c>
      <c r="M75" s="98">
        <v>7075.1999999999989</v>
      </c>
      <c r="N75" s="98">
        <v>11</v>
      </c>
      <c r="O75" s="98">
        <v>7075.1999999999989</v>
      </c>
      <c r="P75" s="98">
        <v>10</v>
      </c>
      <c r="Q75" s="98">
        <v>6431.9999999999991</v>
      </c>
      <c r="R75" s="98">
        <v>10</v>
      </c>
      <c r="S75" s="98">
        <v>6431.9999999999991</v>
      </c>
      <c r="T75" s="98">
        <v>11</v>
      </c>
      <c r="U75" s="98">
        <v>7075.1999999999989</v>
      </c>
      <c r="V75" s="98">
        <v>13</v>
      </c>
      <c r="W75" s="98">
        <v>8361.5999999999985</v>
      </c>
      <c r="X75" s="98">
        <v>11</v>
      </c>
      <c r="Y75" s="98">
        <v>7075.1999999999989</v>
      </c>
      <c r="Z75" s="98">
        <v>8</v>
      </c>
      <c r="AA75" s="98">
        <v>5145.5999999999995</v>
      </c>
      <c r="AB75" s="98">
        <v>14</v>
      </c>
      <c r="AC75" s="98">
        <v>9004.7999999999993</v>
      </c>
      <c r="AD75" s="98">
        <v>10</v>
      </c>
      <c r="AE75" s="98">
        <v>6431.9999999999991</v>
      </c>
      <c r="AF75" s="98">
        <v>12</v>
      </c>
      <c r="AG75" s="98">
        <v>7718.4</v>
      </c>
      <c r="AH75" s="98">
        <v>14</v>
      </c>
      <c r="AI75" s="98">
        <v>9004.7999999999993</v>
      </c>
      <c r="AJ75" s="98">
        <v>9</v>
      </c>
      <c r="AK75" s="98">
        <v>5788.7999999999993</v>
      </c>
      <c r="AL75" s="98">
        <v>15</v>
      </c>
      <c r="AM75" s="98">
        <v>9647.9999999999982</v>
      </c>
      <c r="AN75" s="98">
        <v>13</v>
      </c>
      <c r="AO75" s="98">
        <v>8361.5999999999985</v>
      </c>
      <c r="AP75" s="98">
        <v>15</v>
      </c>
      <c r="AQ75" s="98">
        <v>9647.9999999999982</v>
      </c>
      <c r="AR75" s="98">
        <v>13</v>
      </c>
      <c r="AS75" s="98">
        <v>8361.5999999999985</v>
      </c>
      <c r="AT75" s="98">
        <v>10</v>
      </c>
      <c r="AU75" s="98">
        <v>6431.9999999999991</v>
      </c>
      <c r="AV75" s="98">
        <v>15</v>
      </c>
      <c r="AW75" s="98">
        <v>9647.9999999999982</v>
      </c>
      <c r="AX75" s="98">
        <v>15</v>
      </c>
      <c r="AY75" s="98">
        <v>9647.9999999999982</v>
      </c>
      <c r="AZ75" s="98">
        <v>9</v>
      </c>
      <c r="BA75" s="98">
        <v>5788.7999999999993</v>
      </c>
      <c r="BB75" s="98">
        <v>11</v>
      </c>
      <c r="BC75" s="98">
        <v>7075.1999999999989</v>
      </c>
      <c r="BD75" s="98">
        <v>12</v>
      </c>
      <c r="BE75" s="98">
        <v>7718.4</v>
      </c>
      <c r="BF75" s="98">
        <v>10</v>
      </c>
      <c r="BG75" s="98">
        <v>6431.9999999999991</v>
      </c>
      <c r="BH75" s="98">
        <v>14</v>
      </c>
      <c r="BI75" s="98">
        <v>9004.7999999999993</v>
      </c>
      <c r="BJ75" s="98">
        <v>15</v>
      </c>
      <c r="BK75" s="98">
        <v>9647.9999999999982</v>
      </c>
      <c r="BL75" s="98">
        <v>10</v>
      </c>
      <c r="BM75" s="98">
        <v>6431.9999999999991</v>
      </c>
      <c r="BN75" s="98">
        <v>11</v>
      </c>
      <c r="BO75" s="98">
        <v>7075.1999999999989</v>
      </c>
      <c r="BP75" s="98">
        <v>18</v>
      </c>
      <c r="BQ75" s="98">
        <v>11577.599999999999</v>
      </c>
      <c r="BR75" s="98">
        <v>11</v>
      </c>
      <c r="BS75" s="98">
        <v>7075.1999999999989</v>
      </c>
      <c r="BT75" s="98">
        <v>12</v>
      </c>
      <c r="BU75" s="98">
        <v>7718.4</v>
      </c>
      <c r="BV75" s="98">
        <v>13</v>
      </c>
      <c r="BW75" s="98">
        <v>8361.5999999999985</v>
      </c>
      <c r="BX75" s="98">
        <v>15</v>
      </c>
      <c r="BY75" s="98">
        <v>9647.9999999999982</v>
      </c>
      <c r="BZ75" s="98">
        <v>15</v>
      </c>
      <c r="CA75" s="98">
        <v>9647.9999999999982</v>
      </c>
      <c r="CB75" s="98">
        <v>15</v>
      </c>
      <c r="CC75" s="98">
        <v>9647.9999999999982</v>
      </c>
      <c r="CD75" s="98">
        <v>8</v>
      </c>
      <c r="CE75" s="98">
        <v>5145.5999999999995</v>
      </c>
      <c r="CF75" s="98">
        <v>18</v>
      </c>
      <c r="CG75" s="98">
        <v>11577.599999999999</v>
      </c>
      <c r="CH75" s="98">
        <v>12</v>
      </c>
      <c r="CI75" s="98">
        <v>7718.4</v>
      </c>
      <c r="CJ75" s="98">
        <v>13</v>
      </c>
      <c r="CK75" s="98">
        <v>8361.5999999999985</v>
      </c>
      <c r="CL75" s="98">
        <v>12</v>
      </c>
      <c r="CM75" s="98">
        <v>7718.4</v>
      </c>
      <c r="CN75" s="98">
        <v>16</v>
      </c>
      <c r="CO75" s="98">
        <v>10291.199999999999</v>
      </c>
      <c r="CP75" s="98">
        <v>16</v>
      </c>
      <c r="CQ75" s="98">
        <v>10291.199999999999</v>
      </c>
      <c r="CR75" s="98">
        <v>11</v>
      </c>
      <c r="CS75" s="98">
        <v>7075.1999999999989</v>
      </c>
      <c r="CT75" s="98">
        <v>13</v>
      </c>
      <c r="CU75" s="98">
        <v>8361.5999999999985</v>
      </c>
    </row>
    <row r="76" spans="2:99">
      <c r="C76" s="97" t="s">
        <v>243</v>
      </c>
      <c r="D76" s="98">
        <v>13</v>
      </c>
      <c r="E76" s="98">
        <v>10124.4</v>
      </c>
      <c r="F76" s="98">
        <v>12</v>
      </c>
      <c r="G76" s="98">
        <v>9345.5999999999985</v>
      </c>
      <c r="H76" s="98">
        <v>8</v>
      </c>
      <c r="I76" s="98">
        <v>6230.4</v>
      </c>
      <c r="J76" s="98">
        <v>14</v>
      </c>
      <c r="K76" s="98">
        <v>10903.199999999999</v>
      </c>
      <c r="L76" s="98">
        <v>12</v>
      </c>
      <c r="M76" s="98">
        <v>9345.5999999999985</v>
      </c>
      <c r="N76" s="98">
        <v>13</v>
      </c>
      <c r="O76" s="98">
        <v>10124.4</v>
      </c>
      <c r="P76" s="98">
        <v>10</v>
      </c>
      <c r="Q76" s="98">
        <v>7788</v>
      </c>
      <c r="R76" s="98">
        <v>10</v>
      </c>
      <c r="S76" s="98">
        <v>7788</v>
      </c>
      <c r="T76" s="98">
        <v>11</v>
      </c>
      <c r="U76" s="98">
        <v>8566.7999999999993</v>
      </c>
      <c r="V76" s="98">
        <v>12</v>
      </c>
      <c r="W76" s="98">
        <v>9345.5999999999985</v>
      </c>
      <c r="X76" s="98">
        <v>11</v>
      </c>
      <c r="Y76" s="98">
        <v>8566.7999999999993</v>
      </c>
      <c r="Z76" s="98">
        <v>9</v>
      </c>
      <c r="AA76" s="98">
        <v>7009.2</v>
      </c>
      <c r="AB76" s="98">
        <v>13</v>
      </c>
      <c r="AC76" s="98">
        <v>10124.4</v>
      </c>
      <c r="AD76" s="98">
        <v>11</v>
      </c>
      <c r="AE76" s="98">
        <v>8566.7999999999993</v>
      </c>
      <c r="AF76" s="98">
        <v>11</v>
      </c>
      <c r="AG76" s="98">
        <v>8566.7999999999993</v>
      </c>
      <c r="AH76" s="98">
        <v>14</v>
      </c>
      <c r="AI76" s="98">
        <v>10903.199999999999</v>
      </c>
      <c r="AJ76" s="98">
        <v>9</v>
      </c>
      <c r="AK76" s="98">
        <v>7009.2</v>
      </c>
      <c r="AL76" s="98">
        <v>14</v>
      </c>
      <c r="AM76" s="98">
        <v>10903.199999999999</v>
      </c>
      <c r="AN76" s="98">
        <v>14</v>
      </c>
      <c r="AO76" s="98">
        <v>10903.199999999999</v>
      </c>
      <c r="AP76" s="98">
        <v>13</v>
      </c>
      <c r="AQ76" s="98">
        <v>10124.4</v>
      </c>
      <c r="AR76" s="98">
        <v>12</v>
      </c>
      <c r="AS76" s="98">
        <v>9345.5999999999985</v>
      </c>
      <c r="AT76" s="98">
        <v>8</v>
      </c>
      <c r="AU76" s="98">
        <v>6230.4</v>
      </c>
      <c r="AV76" s="98">
        <v>16</v>
      </c>
      <c r="AW76" s="98">
        <v>12460.8</v>
      </c>
      <c r="AX76" s="98">
        <v>14</v>
      </c>
      <c r="AY76" s="98">
        <v>10903.199999999999</v>
      </c>
      <c r="AZ76" s="98">
        <v>9</v>
      </c>
      <c r="BA76" s="98">
        <v>7009.2</v>
      </c>
      <c r="BB76" s="98">
        <v>10</v>
      </c>
      <c r="BC76" s="98">
        <v>7788</v>
      </c>
      <c r="BD76" s="98">
        <v>13</v>
      </c>
      <c r="BE76" s="98">
        <v>10124.4</v>
      </c>
      <c r="BF76" s="98">
        <v>10</v>
      </c>
      <c r="BG76" s="98">
        <v>7788</v>
      </c>
      <c r="BH76" s="98">
        <v>14</v>
      </c>
      <c r="BI76" s="98">
        <v>10903.199999999999</v>
      </c>
      <c r="BJ76" s="98">
        <v>14</v>
      </c>
      <c r="BK76" s="98">
        <v>10903.199999999999</v>
      </c>
      <c r="BL76" s="98">
        <v>10</v>
      </c>
      <c r="BM76" s="98">
        <v>7788</v>
      </c>
      <c r="BN76" s="98">
        <v>10</v>
      </c>
      <c r="BO76" s="98">
        <v>7788</v>
      </c>
      <c r="BP76" s="98">
        <v>17</v>
      </c>
      <c r="BQ76" s="98">
        <v>13239.599999999999</v>
      </c>
      <c r="BR76" s="98">
        <v>10</v>
      </c>
      <c r="BS76" s="98">
        <v>7788</v>
      </c>
      <c r="BT76" s="98">
        <v>11</v>
      </c>
      <c r="BU76" s="98">
        <v>8566.7999999999993</v>
      </c>
      <c r="BV76" s="98">
        <v>12</v>
      </c>
      <c r="BW76" s="98">
        <v>9345.5999999999985</v>
      </c>
      <c r="BX76" s="98">
        <v>15</v>
      </c>
      <c r="BY76" s="98">
        <v>11682</v>
      </c>
      <c r="BZ76" s="98">
        <v>13</v>
      </c>
      <c r="CA76" s="98">
        <v>10124.4</v>
      </c>
      <c r="CB76" s="98">
        <v>13</v>
      </c>
      <c r="CC76" s="98">
        <v>10124.4</v>
      </c>
      <c r="CD76" s="98">
        <v>9</v>
      </c>
      <c r="CE76" s="98">
        <v>7009.2</v>
      </c>
      <c r="CF76" s="98">
        <v>15</v>
      </c>
      <c r="CG76" s="98">
        <v>11682</v>
      </c>
      <c r="CH76" s="98">
        <v>12</v>
      </c>
      <c r="CI76" s="98">
        <v>9345.5999999999985</v>
      </c>
      <c r="CJ76" s="98">
        <v>13</v>
      </c>
      <c r="CK76" s="98">
        <v>10124.4</v>
      </c>
      <c r="CL76" s="98">
        <v>13</v>
      </c>
      <c r="CM76" s="98">
        <v>10124.4</v>
      </c>
      <c r="CN76" s="98">
        <v>15</v>
      </c>
      <c r="CO76" s="98">
        <v>11682</v>
      </c>
      <c r="CP76" s="98">
        <v>16</v>
      </c>
      <c r="CQ76" s="98">
        <v>12460.8</v>
      </c>
      <c r="CR76" s="98">
        <v>11</v>
      </c>
      <c r="CS76" s="98">
        <v>8566.7999999999993</v>
      </c>
      <c r="CT76" s="98">
        <v>14</v>
      </c>
      <c r="CU76" s="98">
        <v>10903.199999999999</v>
      </c>
    </row>
    <row r="77" spans="2:99">
      <c r="C77" s="97" t="s">
        <v>244</v>
      </c>
      <c r="D77" s="98">
        <v>13</v>
      </c>
      <c r="E77" s="98">
        <v>3619.2</v>
      </c>
      <c r="F77" s="98">
        <v>13</v>
      </c>
      <c r="G77" s="98">
        <v>3619.2</v>
      </c>
      <c r="H77" s="98">
        <v>8</v>
      </c>
      <c r="I77" s="98">
        <v>2227.1999999999998</v>
      </c>
      <c r="J77" s="98">
        <v>15</v>
      </c>
      <c r="K77" s="98">
        <v>4176</v>
      </c>
      <c r="L77" s="98">
        <v>12</v>
      </c>
      <c r="M77" s="98">
        <v>3340.7999999999997</v>
      </c>
      <c r="N77" s="98">
        <v>11</v>
      </c>
      <c r="O77" s="98">
        <v>3062.3999999999996</v>
      </c>
      <c r="P77" s="98">
        <v>10</v>
      </c>
      <c r="Q77" s="98">
        <v>2784</v>
      </c>
      <c r="R77" s="98">
        <v>10</v>
      </c>
      <c r="S77" s="98">
        <v>2784</v>
      </c>
      <c r="T77" s="98">
        <v>12</v>
      </c>
      <c r="U77" s="98">
        <v>3340.7999999999997</v>
      </c>
      <c r="V77" s="98">
        <v>13</v>
      </c>
      <c r="W77" s="98">
        <v>3619.2</v>
      </c>
      <c r="X77" s="98">
        <v>11</v>
      </c>
      <c r="Y77" s="98">
        <v>3062.3999999999996</v>
      </c>
      <c r="Z77" s="98">
        <v>9</v>
      </c>
      <c r="AA77" s="98">
        <v>2505.6</v>
      </c>
      <c r="AB77" s="98">
        <v>14</v>
      </c>
      <c r="AC77" s="98">
        <v>3897.5999999999995</v>
      </c>
      <c r="AD77" s="98">
        <v>11</v>
      </c>
      <c r="AE77" s="98">
        <v>3062.3999999999996</v>
      </c>
      <c r="AF77" s="98">
        <v>11</v>
      </c>
      <c r="AG77" s="98">
        <v>3062.3999999999996</v>
      </c>
      <c r="AH77" s="98">
        <v>15</v>
      </c>
      <c r="AI77" s="98">
        <v>4176</v>
      </c>
      <c r="AJ77" s="98">
        <v>10</v>
      </c>
      <c r="AK77" s="98">
        <v>2784</v>
      </c>
      <c r="AL77" s="98">
        <v>16</v>
      </c>
      <c r="AM77" s="98">
        <v>4454.3999999999996</v>
      </c>
      <c r="AN77" s="98">
        <v>13</v>
      </c>
      <c r="AO77" s="98">
        <v>3619.2</v>
      </c>
      <c r="AP77" s="98">
        <v>15</v>
      </c>
      <c r="AQ77" s="98">
        <v>4176</v>
      </c>
      <c r="AR77" s="98">
        <v>13</v>
      </c>
      <c r="AS77" s="98">
        <v>3619.2</v>
      </c>
      <c r="AT77" s="98">
        <v>10</v>
      </c>
      <c r="AU77" s="98">
        <v>2784</v>
      </c>
      <c r="AV77" s="98">
        <v>17</v>
      </c>
      <c r="AW77" s="98">
        <v>4732.7999999999993</v>
      </c>
      <c r="AX77" s="98">
        <v>16</v>
      </c>
      <c r="AY77" s="98">
        <v>4454.3999999999996</v>
      </c>
      <c r="AZ77" s="98">
        <v>9</v>
      </c>
      <c r="BA77" s="98">
        <v>2505.6</v>
      </c>
      <c r="BB77" s="98">
        <v>12</v>
      </c>
      <c r="BC77" s="98">
        <v>3340.7999999999997</v>
      </c>
      <c r="BD77" s="98">
        <v>13</v>
      </c>
      <c r="BE77" s="98">
        <v>3619.2</v>
      </c>
      <c r="BF77" s="98">
        <v>10</v>
      </c>
      <c r="BG77" s="98">
        <v>2784</v>
      </c>
      <c r="BH77" s="98">
        <v>16</v>
      </c>
      <c r="BI77" s="98">
        <v>4454.3999999999996</v>
      </c>
      <c r="BJ77" s="98">
        <v>15</v>
      </c>
      <c r="BK77" s="98">
        <v>4176</v>
      </c>
      <c r="BL77" s="98">
        <v>10</v>
      </c>
      <c r="BM77" s="98">
        <v>2784</v>
      </c>
      <c r="BN77" s="98">
        <v>10</v>
      </c>
      <c r="BO77" s="98">
        <v>2784</v>
      </c>
      <c r="BP77" s="98">
        <v>17</v>
      </c>
      <c r="BQ77" s="98">
        <v>4732.7999999999993</v>
      </c>
      <c r="BR77" s="98">
        <v>11</v>
      </c>
      <c r="BS77" s="98">
        <v>3062.3999999999996</v>
      </c>
      <c r="BT77" s="98">
        <v>14</v>
      </c>
      <c r="BU77" s="98">
        <v>3897.5999999999995</v>
      </c>
      <c r="BV77" s="98">
        <v>13</v>
      </c>
      <c r="BW77" s="98">
        <v>3619.2</v>
      </c>
      <c r="BX77" s="98">
        <v>15</v>
      </c>
      <c r="BY77" s="98">
        <v>4176</v>
      </c>
      <c r="BZ77" s="98">
        <v>16</v>
      </c>
      <c r="CA77" s="98">
        <v>4454.3999999999996</v>
      </c>
      <c r="CB77" s="98">
        <v>13</v>
      </c>
      <c r="CC77" s="98">
        <v>3619.2</v>
      </c>
      <c r="CD77" s="98">
        <v>10</v>
      </c>
      <c r="CE77" s="98">
        <v>2784</v>
      </c>
      <c r="CF77" s="98">
        <v>16</v>
      </c>
      <c r="CG77" s="98">
        <v>4454.3999999999996</v>
      </c>
      <c r="CH77" s="98">
        <v>14</v>
      </c>
      <c r="CI77" s="98">
        <v>3897.5999999999995</v>
      </c>
      <c r="CJ77" s="98">
        <v>14</v>
      </c>
      <c r="CK77" s="98">
        <v>3897.5999999999995</v>
      </c>
      <c r="CL77" s="98">
        <v>12</v>
      </c>
      <c r="CM77" s="98">
        <v>3340.7999999999997</v>
      </c>
      <c r="CN77" s="98">
        <v>17</v>
      </c>
      <c r="CO77" s="98">
        <v>4732.7999999999993</v>
      </c>
      <c r="CP77" s="98">
        <v>16</v>
      </c>
      <c r="CQ77" s="98">
        <v>4454.3999999999996</v>
      </c>
      <c r="CR77" s="98">
        <v>12</v>
      </c>
      <c r="CS77" s="98">
        <v>3340.7999999999997</v>
      </c>
      <c r="CT77" s="98">
        <v>16</v>
      </c>
      <c r="CU77" s="98">
        <v>4454.3999999999996</v>
      </c>
    </row>
    <row r="78" spans="2:99">
      <c r="C78" s="97" t="s">
        <v>245</v>
      </c>
      <c r="D78" s="98">
        <v>12</v>
      </c>
      <c r="E78" s="98">
        <v>6624</v>
      </c>
      <c r="F78" s="98">
        <v>12</v>
      </c>
      <c r="G78" s="98">
        <v>6624</v>
      </c>
      <c r="H78" s="98">
        <v>8</v>
      </c>
      <c r="I78" s="98">
        <v>4416</v>
      </c>
      <c r="J78" s="98">
        <v>15</v>
      </c>
      <c r="K78" s="98">
        <v>8280</v>
      </c>
      <c r="L78" s="98">
        <v>12</v>
      </c>
      <c r="M78" s="98">
        <v>6624</v>
      </c>
      <c r="N78" s="98">
        <v>13</v>
      </c>
      <c r="O78" s="98">
        <v>7176</v>
      </c>
      <c r="P78" s="98">
        <v>10</v>
      </c>
      <c r="Q78" s="98">
        <v>5520</v>
      </c>
      <c r="R78" s="98">
        <v>10</v>
      </c>
      <c r="S78" s="98">
        <v>5520</v>
      </c>
      <c r="T78" s="98">
        <v>11</v>
      </c>
      <c r="U78" s="98">
        <v>6072</v>
      </c>
      <c r="V78" s="98">
        <v>12</v>
      </c>
      <c r="W78" s="98">
        <v>6624</v>
      </c>
      <c r="X78" s="98">
        <v>11</v>
      </c>
      <c r="Y78" s="98">
        <v>6072</v>
      </c>
      <c r="Z78" s="98">
        <v>9</v>
      </c>
      <c r="AA78" s="98">
        <v>4968</v>
      </c>
      <c r="AB78" s="98">
        <v>14</v>
      </c>
      <c r="AC78" s="98">
        <v>7728</v>
      </c>
      <c r="AD78" s="98">
        <v>11</v>
      </c>
      <c r="AE78" s="98">
        <v>6072</v>
      </c>
      <c r="AF78" s="98">
        <v>11</v>
      </c>
      <c r="AG78" s="98">
        <v>6072</v>
      </c>
      <c r="AH78" s="98">
        <v>15</v>
      </c>
      <c r="AI78" s="98">
        <v>8280</v>
      </c>
      <c r="AJ78" s="98">
        <v>10</v>
      </c>
      <c r="AK78" s="98">
        <v>5520</v>
      </c>
      <c r="AL78" s="98">
        <v>16</v>
      </c>
      <c r="AM78" s="98">
        <v>8832</v>
      </c>
      <c r="AN78" s="98">
        <v>13</v>
      </c>
      <c r="AO78" s="98">
        <v>7176</v>
      </c>
      <c r="AP78" s="98">
        <v>13</v>
      </c>
      <c r="AQ78" s="98">
        <v>7176</v>
      </c>
      <c r="AR78" s="98">
        <v>12</v>
      </c>
      <c r="AS78" s="98">
        <v>6624</v>
      </c>
      <c r="AT78" s="98">
        <v>10</v>
      </c>
      <c r="AU78" s="98">
        <v>5520</v>
      </c>
      <c r="AV78" s="98">
        <v>17</v>
      </c>
      <c r="AW78" s="98">
        <v>9384</v>
      </c>
      <c r="AX78" s="98">
        <v>15</v>
      </c>
      <c r="AY78" s="98">
        <v>8280</v>
      </c>
      <c r="AZ78" s="98">
        <v>10</v>
      </c>
      <c r="BA78" s="98">
        <v>5520</v>
      </c>
      <c r="BB78" s="98">
        <v>11</v>
      </c>
      <c r="BC78" s="98">
        <v>6072</v>
      </c>
      <c r="BD78" s="98">
        <v>14</v>
      </c>
      <c r="BE78" s="98">
        <v>7728</v>
      </c>
      <c r="BF78" s="98">
        <v>11</v>
      </c>
      <c r="BG78" s="98">
        <v>6072</v>
      </c>
      <c r="BH78" s="98">
        <v>15</v>
      </c>
      <c r="BI78" s="98">
        <v>8280</v>
      </c>
      <c r="BJ78" s="98">
        <v>15</v>
      </c>
      <c r="BK78" s="98">
        <v>8280</v>
      </c>
      <c r="BL78" s="98">
        <v>9</v>
      </c>
      <c r="BM78" s="98">
        <v>4968</v>
      </c>
      <c r="BN78" s="98">
        <v>10</v>
      </c>
      <c r="BO78" s="98">
        <v>5520</v>
      </c>
      <c r="BP78" s="98">
        <v>16</v>
      </c>
      <c r="BQ78" s="98">
        <v>8832</v>
      </c>
      <c r="BR78" s="98">
        <v>10</v>
      </c>
      <c r="BS78" s="98">
        <v>5520</v>
      </c>
      <c r="BT78" s="98">
        <v>14</v>
      </c>
      <c r="BU78" s="98">
        <v>7728</v>
      </c>
      <c r="BV78" s="98">
        <v>14</v>
      </c>
      <c r="BW78" s="98">
        <v>7728</v>
      </c>
      <c r="BX78" s="98">
        <v>17</v>
      </c>
      <c r="BY78" s="98">
        <v>9384</v>
      </c>
      <c r="BZ78" s="98">
        <v>14</v>
      </c>
      <c r="CA78" s="98">
        <v>7728</v>
      </c>
      <c r="CB78" s="98">
        <v>13</v>
      </c>
      <c r="CC78" s="98">
        <v>7176</v>
      </c>
      <c r="CD78" s="98">
        <v>9</v>
      </c>
      <c r="CE78" s="98">
        <v>4968</v>
      </c>
      <c r="CF78" s="98">
        <v>18</v>
      </c>
      <c r="CG78" s="98">
        <v>9936</v>
      </c>
      <c r="CH78" s="98">
        <v>12</v>
      </c>
      <c r="CI78" s="98">
        <v>6624</v>
      </c>
      <c r="CJ78" s="98">
        <v>14</v>
      </c>
      <c r="CK78" s="98">
        <v>7728</v>
      </c>
      <c r="CL78" s="98">
        <v>14</v>
      </c>
      <c r="CM78" s="98">
        <v>7728</v>
      </c>
      <c r="CN78" s="98">
        <v>17</v>
      </c>
      <c r="CO78" s="98">
        <v>9384</v>
      </c>
      <c r="CP78" s="98">
        <v>16</v>
      </c>
      <c r="CQ78" s="98">
        <v>8832</v>
      </c>
      <c r="CR78" s="98">
        <v>11</v>
      </c>
      <c r="CS78" s="98">
        <v>6072</v>
      </c>
      <c r="CT78" s="98">
        <v>16</v>
      </c>
      <c r="CU78" s="98">
        <v>8832</v>
      </c>
    </row>
    <row r="79" spans="2:99">
      <c r="C79" s="97" t="s">
        <v>246</v>
      </c>
      <c r="D79" s="98">
        <v>13</v>
      </c>
      <c r="E79" s="98">
        <v>9843.5999999999985</v>
      </c>
      <c r="F79" s="98">
        <v>12</v>
      </c>
      <c r="G79" s="98">
        <v>9086.4</v>
      </c>
      <c r="H79" s="98">
        <v>9</v>
      </c>
      <c r="I79" s="98">
        <v>6814.7999999999993</v>
      </c>
      <c r="J79" s="98">
        <v>14</v>
      </c>
      <c r="K79" s="98">
        <v>10600.8</v>
      </c>
      <c r="L79" s="98">
        <v>11</v>
      </c>
      <c r="M79" s="98">
        <v>8329.1999999999989</v>
      </c>
      <c r="N79" s="98">
        <v>13</v>
      </c>
      <c r="O79" s="98">
        <v>9843.5999999999985</v>
      </c>
      <c r="P79" s="98">
        <v>11</v>
      </c>
      <c r="Q79" s="98">
        <v>8329.1999999999989</v>
      </c>
      <c r="R79" s="98">
        <v>9</v>
      </c>
      <c r="S79" s="98">
        <v>6814.7999999999993</v>
      </c>
      <c r="T79" s="98">
        <v>11</v>
      </c>
      <c r="U79" s="98">
        <v>8329.1999999999989</v>
      </c>
      <c r="V79" s="98">
        <v>14</v>
      </c>
      <c r="W79" s="98">
        <v>10600.8</v>
      </c>
      <c r="X79" s="98">
        <v>10</v>
      </c>
      <c r="Y79" s="98">
        <v>7571.9999999999991</v>
      </c>
      <c r="Z79" s="98">
        <v>8</v>
      </c>
      <c r="AA79" s="98">
        <v>6057.5999999999995</v>
      </c>
      <c r="AB79" s="98">
        <v>14</v>
      </c>
      <c r="AC79" s="98">
        <v>10600.8</v>
      </c>
      <c r="AD79" s="98">
        <v>10</v>
      </c>
      <c r="AE79" s="98">
        <v>7571.9999999999991</v>
      </c>
      <c r="AF79" s="98">
        <v>12</v>
      </c>
      <c r="AG79" s="98">
        <v>9086.4</v>
      </c>
      <c r="AH79" s="98">
        <v>14</v>
      </c>
      <c r="AI79" s="98">
        <v>10600.8</v>
      </c>
      <c r="AJ79" s="98">
        <v>9</v>
      </c>
      <c r="AK79" s="98">
        <v>6814.7999999999993</v>
      </c>
      <c r="AL79" s="98">
        <v>13</v>
      </c>
      <c r="AM79" s="98">
        <v>9843.5999999999985</v>
      </c>
      <c r="AN79" s="98">
        <v>14</v>
      </c>
      <c r="AO79" s="98">
        <v>10600.8</v>
      </c>
      <c r="AP79" s="98">
        <v>15</v>
      </c>
      <c r="AQ79" s="98">
        <v>11357.999999999998</v>
      </c>
      <c r="AR79" s="98">
        <v>12</v>
      </c>
      <c r="AS79" s="98">
        <v>9086.4</v>
      </c>
      <c r="AT79" s="98">
        <v>9</v>
      </c>
      <c r="AU79" s="98">
        <v>6814.7999999999993</v>
      </c>
      <c r="AV79" s="98">
        <v>16</v>
      </c>
      <c r="AW79" s="98">
        <v>12115.199999999999</v>
      </c>
      <c r="AX79" s="98">
        <v>17</v>
      </c>
      <c r="AY79" s="98">
        <v>12872.4</v>
      </c>
      <c r="AZ79" s="98">
        <v>9</v>
      </c>
      <c r="BA79" s="98">
        <v>6814.7999999999993</v>
      </c>
      <c r="BB79" s="98">
        <v>11</v>
      </c>
      <c r="BC79" s="98">
        <v>8329.1999999999989</v>
      </c>
      <c r="BD79" s="98">
        <v>13</v>
      </c>
      <c r="BE79" s="98">
        <v>9843.5999999999985</v>
      </c>
      <c r="BF79" s="98">
        <v>10</v>
      </c>
      <c r="BG79" s="98">
        <v>7571.9999999999991</v>
      </c>
      <c r="BH79" s="98">
        <v>15</v>
      </c>
      <c r="BI79" s="98">
        <v>11357.999999999998</v>
      </c>
      <c r="BJ79" s="98">
        <v>13</v>
      </c>
      <c r="BK79" s="98">
        <v>9843.5999999999985</v>
      </c>
      <c r="BL79" s="98">
        <v>10</v>
      </c>
      <c r="BM79" s="98">
        <v>7571.9999999999991</v>
      </c>
      <c r="BN79" s="98">
        <v>10</v>
      </c>
      <c r="BO79" s="98">
        <v>7571.9999999999991</v>
      </c>
      <c r="BP79" s="98">
        <v>18</v>
      </c>
      <c r="BQ79" s="98">
        <v>13629.599999999999</v>
      </c>
      <c r="BR79" s="98">
        <v>11</v>
      </c>
      <c r="BS79" s="98">
        <v>8329.1999999999989</v>
      </c>
      <c r="BT79" s="98">
        <v>12</v>
      </c>
      <c r="BU79" s="98">
        <v>9086.4</v>
      </c>
      <c r="BV79" s="98">
        <v>12</v>
      </c>
      <c r="BW79" s="98">
        <v>9086.4</v>
      </c>
      <c r="BX79" s="98">
        <v>17</v>
      </c>
      <c r="BY79" s="98">
        <v>12872.4</v>
      </c>
      <c r="BZ79" s="98">
        <v>13</v>
      </c>
      <c r="CA79" s="98">
        <v>9843.5999999999985</v>
      </c>
      <c r="CB79" s="98">
        <v>13</v>
      </c>
      <c r="CC79" s="98">
        <v>9843.5999999999985</v>
      </c>
      <c r="CD79" s="98">
        <v>9</v>
      </c>
      <c r="CE79" s="98">
        <v>6814.7999999999993</v>
      </c>
      <c r="CF79" s="98">
        <v>15</v>
      </c>
      <c r="CG79" s="98">
        <v>11357.999999999998</v>
      </c>
      <c r="CH79" s="98">
        <v>13</v>
      </c>
      <c r="CI79" s="98">
        <v>9843.5999999999985</v>
      </c>
      <c r="CJ79" s="98">
        <v>13</v>
      </c>
      <c r="CK79" s="98">
        <v>9843.5999999999985</v>
      </c>
      <c r="CL79" s="98">
        <v>12</v>
      </c>
      <c r="CM79" s="98">
        <v>9086.4</v>
      </c>
      <c r="CN79" s="98">
        <v>17</v>
      </c>
      <c r="CO79" s="98">
        <v>12872.4</v>
      </c>
      <c r="CP79" s="98">
        <v>15</v>
      </c>
      <c r="CQ79" s="98">
        <v>11357.999999999998</v>
      </c>
      <c r="CR79" s="98">
        <v>13</v>
      </c>
      <c r="CS79" s="98">
        <v>9843.5999999999985</v>
      </c>
      <c r="CT79" s="98">
        <v>13</v>
      </c>
      <c r="CU79" s="98">
        <v>9843.5999999999985</v>
      </c>
    </row>
    <row r="80" spans="2:99">
      <c r="C80" s="97" t="s">
        <v>247</v>
      </c>
      <c r="D80" s="98">
        <v>12</v>
      </c>
      <c r="E80" s="98">
        <v>9662.4</v>
      </c>
      <c r="F80" s="98">
        <v>12</v>
      </c>
      <c r="G80" s="98">
        <v>9662.4</v>
      </c>
      <c r="H80" s="98">
        <v>9</v>
      </c>
      <c r="I80" s="98">
        <v>7246.7999999999993</v>
      </c>
      <c r="J80" s="98">
        <v>15</v>
      </c>
      <c r="K80" s="98">
        <v>12077.999999999998</v>
      </c>
      <c r="L80" s="98">
        <v>13</v>
      </c>
      <c r="M80" s="98">
        <v>10467.599999999999</v>
      </c>
      <c r="N80" s="98">
        <v>12</v>
      </c>
      <c r="O80" s="98">
        <v>9662.4</v>
      </c>
      <c r="P80" s="98">
        <v>10</v>
      </c>
      <c r="Q80" s="98">
        <v>8051.9999999999991</v>
      </c>
      <c r="R80" s="98">
        <v>9</v>
      </c>
      <c r="S80" s="98">
        <v>7246.7999999999993</v>
      </c>
      <c r="T80" s="98">
        <v>11</v>
      </c>
      <c r="U80" s="98">
        <v>8857.1999999999989</v>
      </c>
      <c r="V80" s="98">
        <v>13</v>
      </c>
      <c r="W80" s="98">
        <v>10467.599999999999</v>
      </c>
      <c r="X80" s="98">
        <v>10</v>
      </c>
      <c r="Y80" s="98">
        <v>8051.9999999999991</v>
      </c>
      <c r="Z80" s="98">
        <v>9</v>
      </c>
      <c r="AA80" s="98">
        <v>7246.7999999999993</v>
      </c>
      <c r="AB80" s="98">
        <v>13</v>
      </c>
      <c r="AC80" s="98">
        <v>10467.599999999999</v>
      </c>
      <c r="AD80" s="98">
        <v>9</v>
      </c>
      <c r="AE80" s="98">
        <v>7246.7999999999993</v>
      </c>
      <c r="AF80" s="98">
        <v>12</v>
      </c>
      <c r="AG80" s="98">
        <v>9662.4</v>
      </c>
      <c r="AH80" s="98">
        <v>13</v>
      </c>
      <c r="AI80" s="98">
        <v>10467.599999999999</v>
      </c>
      <c r="AJ80" s="98">
        <v>9</v>
      </c>
      <c r="AK80" s="98">
        <v>7246.7999999999993</v>
      </c>
      <c r="AL80" s="98">
        <v>14</v>
      </c>
      <c r="AM80" s="98">
        <v>11272.8</v>
      </c>
      <c r="AN80" s="98">
        <v>14</v>
      </c>
      <c r="AO80" s="98">
        <v>11272.8</v>
      </c>
      <c r="AP80" s="98">
        <v>15</v>
      </c>
      <c r="AQ80" s="98">
        <v>12077.999999999998</v>
      </c>
      <c r="AR80" s="98">
        <v>11</v>
      </c>
      <c r="AS80" s="98">
        <v>8857.1999999999989</v>
      </c>
      <c r="AT80" s="98">
        <v>10</v>
      </c>
      <c r="AU80" s="98">
        <v>8051.9999999999991</v>
      </c>
      <c r="AV80" s="98">
        <v>14</v>
      </c>
      <c r="AW80" s="98">
        <v>11272.8</v>
      </c>
      <c r="AX80" s="98">
        <v>14</v>
      </c>
      <c r="AY80" s="98">
        <v>11272.8</v>
      </c>
      <c r="AZ80" s="98">
        <v>10</v>
      </c>
      <c r="BA80" s="98">
        <v>8051.9999999999991</v>
      </c>
      <c r="BB80" s="98">
        <v>10</v>
      </c>
      <c r="BC80" s="98">
        <v>8051.9999999999991</v>
      </c>
      <c r="BD80" s="98">
        <v>12</v>
      </c>
      <c r="BE80" s="98">
        <v>9662.4</v>
      </c>
      <c r="BF80" s="98">
        <v>11</v>
      </c>
      <c r="BG80" s="98">
        <v>8857.1999999999989</v>
      </c>
      <c r="BH80" s="98">
        <v>15</v>
      </c>
      <c r="BI80" s="98">
        <v>12077.999999999998</v>
      </c>
      <c r="BJ80" s="98">
        <v>15</v>
      </c>
      <c r="BK80" s="98">
        <v>12077.999999999998</v>
      </c>
      <c r="BL80" s="98">
        <v>10</v>
      </c>
      <c r="BM80" s="98">
        <v>8051.9999999999991</v>
      </c>
      <c r="BN80" s="98">
        <v>10</v>
      </c>
      <c r="BO80" s="98">
        <v>8051.9999999999991</v>
      </c>
      <c r="BP80" s="98">
        <v>17</v>
      </c>
      <c r="BQ80" s="98">
        <v>13688.4</v>
      </c>
      <c r="BR80" s="98">
        <v>9</v>
      </c>
      <c r="BS80" s="98">
        <v>7246.7999999999993</v>
      </c>
      <c r="BT80" s="98">
        <v>13</v>
      </c>
      <c r="BU80" s="98">
        <v>10467.599999999999</v>
      </c>
      <c r="BV80" s="98">
        <v>12</v>
      </c>
      <c r="BW80" s="98">
        <v>9662.4</v>
      </c>
      <c r="BX80" s="98">
        <v>14</v>
      </c>
      <c r="BY80" s="98">
        <v>11272.8</v>
      </c>
      <c r="BZ80" s="98">
        <v>14</v>
      </c>
      <c r="CA80" s="98">
        <v>11272.8</v>
      </c>
      <c r="CB80" s="98">
        <v>13</v>
      </c>
      <c r="CC80" s="98">
        <v>10467.599999999999</v>
      </c>
      <c r="CD80" s="98">
        <v>10</v>
      </c>
      <c r="CE80" s="98">
        <v>8051.9999999999991</v>
      </c>
      <c r="CF80" s="98">
        <v>15</v>
      </c>
      <c r="CG80" s="98">
        <v>12077.999999999998</v>
      </c>
      <c r="CH80" s="98">
        <v>12</v>
      </c>
      <c r="CI80" s="98">
        <v>9662.4</v>
      </c>
      <c r="CJ80" s="98">
        <v>15</v>
      </c>
      <c r="CK80" s="98">
        <v>12077.999999999998</v>
      </c>
      <c r="CL80" s="98">
        <v>11</v>
      </c>
      <c r="CM80" s="98">
        <v>8857.1999999999989</v>
      </c>
      <c r="CN80" s="98">
        <v>16</v>
      </c>
      <c r="CO80" s="98">
        <v>12883.199999999999</v>
      </c>
      <c r="CP80" s="98">
        <v>16</v>
      </c>
      <c r="CQ80" s="98">
        <v>12883.199999999999</v>
      </c>
      <c r="CR80" s="98">
        <v>13</v>
      </c>
      <c r="CS80" s="98">
        <v>10467.599999999999</v>
      </c>
      <c r="CT80" s="98">
        <v>14</v>
      </c>
      <c r="CU80" s="98">
        <v>11272.8</v>
      </c>
    </row>
    <row r="81" spans="2:99">
      <c r="C81" s="97" t="s">
        <v>248</v>
      </c>
      <c r="D81" s="98">
        <v>11</v>
      </c>
      <c r="E81" s="98">
        <v>8289.6</v>
      </c>
      <c r="F81" s="98">
        <v>13</v>
      </c>
      <c r="G81" s="98">
        <v>9796.8000000000011</v>
      </c>
      <c r="H81" s="98">
        <v>7</v>
      </c>
      <c r="I81" s="98">
        <v>5275.2</v>
      </c>
      <c r="J81" s="98">
        <v>16</v>
      </c>
      <c r="K81" s="98">
        <v>12057.6</v>
      </c>
      <c r="L81" s="98">
        <v>13</v>
      </c>
      <c r="M81" s="98">
        <v>9796.8000000000011</v>
      </c>
      <c r="N81" s="98">
        <v>12</v>
      </c>
      <c r="O81" s="98">
        <v>9043.2000000000007</v>
      </c>
      <c r="P81" s="98">
        <v>9</v>
      </c>
      <c r="Q81" s="98">
        <v>6782.4000000000005</v>
      </c>
      <c r="R81" s="98">
        <v>10</v>
      </c>
      <c r="S81" s="98">
        <v>7536</v>
      </c>
      <c r="T81" s="98">
        <v>10</v>
      </c>
      <c r="U81" s="98">
        <v>7536</v>
      </c>
      <c r="V81" s="98">
        <v>12</v>
      </c>
      <c r="W81" s="98">
        <v>9043.2000000000007</v>
      </c>
      <c r="X81" s="98">
        <v>11</v>
      </c>
      <c r="Y81" s="98">
        <v>8289.6</v>
      </c>
      <c r="Z81" s="98">
        <v>8</v>
      </c>
      <c r="AA81" s="98">
        <v>6028.8</v>
      </c>
      <c r="AB81" s="98">
        <v>14</v>
      </c>
      <c r="AC81" s="98">
        <v>10550.4</v>
      </c>
      <c r="AD81" s="98">
        <v>10</v>
      </c>
      <c r="AE81" s="98">
        <v>7536</v>
      </c>
      <c r="AF81" s="98">
        <v>12</v>
      </c>
      <c r="AG81" s="98">
        <v>9043.2000000000007</v>
      </c>
      <c r="AH81" s="98">
        <v>13</v>
      </c>
      <c r="AI81" s="98">
        <v>9796.8000000000011</v>
      </c>
      <c r="AJ81" s="98">
        <v>9</v>
      </c>
      <c r="AK81" s="98">
        <v>6782.4000000000005</v>
      </c>
      <c r="AL81" s="98">
        <v>16</v>
      </c>
      <c r="AM81" s="98">
        <v>12057.6</v>
      </c>
      <c r="AN81" s="98">
        <v>14</v>
      </c>
      <c r="AO81" s="98">
        <v>10550.4</v>
      </c>
      <c r="AP81" s="98">
        <v>14</v>
      </c>
      <c r="AQ81" s="98">
        <v>10550.4</v>
      </c>
      <c r="AR81" s="98">
        <v>13</v>
      </c>
      <c r="AS81" s="98">
        <v>9796.8000000000011</v>
      </c>
      <c r="AT81" s="98">
        <v>8</v>
      </c>
      <c r="AU81" s="98">
        <v>6028.8</v>
      </c>
      <c r="AV81" s="98">
        <v>16</v>
      </c>
      <c r="AW81" s="98">
        <v>12057.6</v>
      </c>
      <c r="AX81" s="98">
        <v>16</v>
      </c>
      <c r="AY81" s="98">
        <v>12057.6</v>
      </c>
      <c r="AZ81" s="98">
        <v>9</v>
      </c>
      <c r="BA81" s="98">
        <v>6782.4000000000005</v>
      </c>
      <c r="BB81" s="98">
        <v>11</v>
      </c>
      <c r="BC81" s="98">
        <v>8289.6</v>
      </c>
      <c r="BD81" s="98">
        <v>12</v>
      </c>
      <c r="BE81" s="98">
        <v>9043.2000000000007</v>
      </c>
      <c r="BF81" s="98">
        <v>9</v>
      </c>
      <c r="BG81" s="98">
        <v>6782.4000000000005</v>
      </c>
      <c r="BH81" s="98">
        <v>15</v>
      </c>
      <c r="BI81" s="98">
        <v>11304</v>
      </c>
      <c r="BJ81" s="98">
        <v>14</v>
      </c>
      <c r="BK81" s="98">
        <v>10550.4</v>
      </c>
      <c r="BL81" s="98">
        <v>10</v>
      </c>
      <c r="BM81" s="98">
        <v>7536</v>
      </c>
      <c r="BN81" s="98">
        <v>11</v>
      </c>
      <c r="BO81" s="98">
        <v>8289.6</v>
      </c>
      <c r="BP81" s="98">
        <v>18</v>
      </c>
      <c r="BQ81" s="98">
        <v>13564.800000000001</v>
      </c>
      <c r="BR81" s="98">
        <v>10</v>
      </c>
      <c r="BS81" s="98">
        <v>7536</v>
      </c>
      <c r="BT81" s="98">
        <v>11</v>
      </c>
      <c r="BU81" s="98">
        <v>8289.6</v>
      </c>
      <c r="BV81" s="98">
        <v>12</v>
      </c>
      <c r="BW81" s="98">
        <v>9043.2000000000007</v>
      </c>
      <c r="BX81" s="98">
        <v>15</v>
      </c>
      <c r="BY81" s="98">
        <v>11304</v>
      </c>
      <c r="BZ81" s="98">
        <v>13</v>
      </c>
      <c r="CA81" s="98">
        <v>9796.8000000000011</v>
      </c>
      <c r="CB81" s="98">
        <v>14</v>
      </c>
      <c r="CC81" s="98">
        <v>10550.4</v>
      </c>
      <c r="CD81" s="98">
        <v>8</v>
      </c>
      <c r="CE81" s="98">
        <v>6028.8</v>
      </c>
      <c r="CF81" s="98">
        <v>17</v>
      </c>
      <c r="CG81" s="98">
        <v>12811.2</v>
      </c>
      <c r="CH81" s="98">
        <v>12</v>
      </c>
      <c r="CI81" s="98">
        <v>9043.2000000000007</v>
      </c>
      <c r="CJ81" s="98">
        <v>13</v>
      </c>
      <c r="CK81" s="98">
        <v>9796.8000000000011</v>
      </c>
      <c r="CL81" s="98">
        <v>12</v>
      </c>
      <c r="CM81" s="98">
        <v>9043.2000000000007</v>
      </c>
      <c r="CN81" s="98">
        <v>15</v>
      </c>
      <c r="CO81" s="98">
        <v>11304</v>
      </c>
      <c r="CP81" s="98">
        <v>15</v>
      </c>
      <c r="CQ81" s="98">
        <v>11304</v>
      </c>
      <c r="CR81" s="98">
        <v>12</v>
      </c>
      <c r="CS81" s="98">
        <v>9043.2000000000007</v>
      </c>
      <c r="CT81" s="98">
        <v>14</v>
      </c>
      <c r="CU81" s="98">
        <v>10550.4</v>
      </c>
    </row>
    <row r="82" spans="2:99">
      <c r="C82" s="97" t="s">
        <v>249</v>
      </c>
      <c r="D82" s="98">
        <v>14</v>
      </c>
      <c r="E82" s="98">
        <v>7123.1999999999989</v>
      </c>
      <c r="F82" s="98">
        <v>12</v>
      </c>
      <c r="G82" s="98">
        <v>6105.5999999999985</v>
      </c>
      <c r="H82" s="98">
        <v>8</v>
      </c>
      <c r="I82" s="98">
        <v>4070.3999999999992</v>
      </c>
      <c r="J82" s="98">
        <v>16</v>
      </c>
      <c r="K82" s="98">
        <v>8140.7999999999984</v>
      </c>
      <c r="L82" s="98">
        <v>13</v>
      </c>
      <c r="M82" s="98">
        <v>6614.3999999999987</v>
      </c>
      <c r="N82" s="98">
        <v>12</v>
      </c>
      <c r="O82" s="98">
        <v>6105.5999999999985</v>
      </c>
      <c r="P82" s="98">
        <v>11</v>
      </c>
      <c r="Q82" s="98">
        <v>5596.7999999999993</v>
      </c>
      <c r="R82" s="98">
        <v>10</v>
      </c>
      <c r="S82" s="98">
        <v>5087.9999999999991</v>
      </c>
      <c r="T82" s="98">
        <v>10</v>
      </c>
      <c r="U82" s="98">
        <v>5087.9999999999991</v>
      </c>
      <c r="V82" s="98">
        <v>14</v>
      </c>
      <c r="W82" s="98">
        <v>7123.1999999999989</v>
      </c>
      <c r="X82" s="98">
        <v>11</v>
      </c>
      <c r="Y82" s="98">
        <v>5596.7999999999993</v>
      </c>
      <c r="Z82" s="98">
        <v>9</v>
      </c>
      <c r="AA82" s="98">
        <v>4579.1999999999989</v>
      </c>
      <c r="AB82" s="98">
        <v>12</v>
      </c>
      <c r="AC82" s="98">
        <v>6105.5999999999985</v>
      </c>
      <c r="AD82" s="98">
        <v>11</v>
      </c>
      <c r="AE82" s="98">
        <v>5596.7999999999993</v>
      </c>
      <c r="AF82" s="98">
        <v>13</v>
      </c>
      <c r="AG82" s="98">
        <v>6614.3999999999987</v>
      </c>
      <c r="AH82" s="98">
        <v>13</v>
      </c>
      <c r="AI82" s="98">
        <v>6614.3999999999987</v>
      </c>
      <c r="AJ82" s="98">
        <v>9</v>
      </c>
      <c r="AK82" s="98">
        <v>4579.1999999999989</v>
      </c>
      <c r="AL82" s="98">
        <v>16</v>
      </c>
      <c r="AM82" s="98">
        <v>8140.7999999999984</v>
      </c>
      <c r="AN82" s="98">
        <v>15</v>
      </c>
      <c r="AO82" s="98">
        <v>7631.9999999999982</v>
      </c>
      <c r="AP82" s="98">
        <v>14</v>
      </c>
      <c r="AQ82" s="98">
        <v>7123.1999999999989</v>
      </c>
      <c r="AR82" s="98">
        <v>12</v>
      </c>
      <c r="AS82" s="98">
        <v>6105.5999999999985</v>
      </c>
      <c r="AT82" s="98">
        <v>9</v>
      </c>
      <c r="AU82" s="98">
        <v>4579.1999999999989</v>
      </c>
      <c r="AV82" s="98">
        <v>17</v>
      </c>
      <c r="AW82" s="98">
        <v>8649.5999999999985</v>
      </c>
      <c r="AX82" s="98">
        <v>17</v>
      </c>
      <c r="AY82" s="98">
        <v>8649.5999999999985</v>
      </c>
      <c r="AZ82" s="98">
        <v>10</v>
      </c>
      <c r="BA82" s="98">
        <v>5087.9999999999991</v>
      </c>
      <c r="BB82" s="98">
        <v>11</v>
      </c>
      <c r="BC82" s="98">
        <v>5596.7999999999993</v>
      </c>
      <c r="BD82" s="98">
        <v>15</v>
      </c>
      <c r="BE82" s="98">
        <v>7631.9999999999982</v>
      </c>
      <c r="BF82" s="98">
        <v>11</v>
      </c>
      <c r="BG82" s="98">
        <v>5596.7999999999993</v>
      </c>
      <c r="BH82" s="98">
        <v>15</v>
      </c>
      <c r="BI82" s="98">
        <v>7631.9999999999982</v>
      </c>
      <c r="BJ82" s="98">
        <v>14</v>
      </c>
      <c r="BK82" s="98">
        <v>7123.1999999999989</v>
      </c>
      <c r="BL82" s="98">
        <v>9</v>
      </c>
      <c r="BM82" s="98">
        <v>4579.1999999999989</v>
      </c>
      <c r="BN82" s="98">
        <v>10</v>
      </c>
      <c r="BO82" s="98">
        <v>5087.9999999999991</v>
      </c>
      <c r="BP82" s="98">
        <v>16</v>
      </c>
      <c r="BQ82" s="98">
        <v>8140.7999999999984</v>
      </c>
      <c r="BR82" s="98">
        <v>10</v>
      </c>
      <c r="BS82" s="98">
        <v>5087.9999999999991</v>
      </c>
      <c r="BT82" s="98">
        <v>12</v>
      </c>
      <c r="BU82" s="98">
        <v>6105.5999999999985</v>
      </c>
      <c r="BV82" s="98">
        <v>13</v>
      </c>
      <c r="BW82" s="98">
        <v>6614.3999999999987</v>
      </c>
      <c r="BX82" s="98">
        <v>17</v>
      </c>
      <c r="BY82" s="98">
        <v>8649.5999999999985</v>
      </c>
      <c r="BZ82" s="98">
        <v>15</v>
      </c>
      <c r="CA82" s="98">
        <v>7631.9999999999982</v>
      </c>
      <c r="CB82" s="98">
        <v>13</v>
      </c>
      <c r="CC82" s="98">
        <v>6614.3999999999987</v>
      </c>
      <c r="CD82" s="98">
        <v>10</v>
      </c>
      <c r="CE82" s="98">
        <v>5087.9999999999991</v>
      </c>
      <c r="CF82" s="98">
        <v>17</v>
      </c>
      <c r="CG82" s="98">
        <v>8649.5999999999985</v>
      </c>
      <c r="CH82" s="98">
        <v>12</v>
      </c>
      <c r="CI82" s="98">
        <v>6105.5999999999985</v>
      </c>
      <c r="CJ82" s="98">
        <v>16</v>
      </c>
      <c r="CK82" s="98">
        <v>8140.7999999999984</v>
      </c>
      <c r="CL82" s="98">
        <v>13</v>
      </c>
      <c r="CM82" s="98">
        <v>6614.3999999999987</v>
      </c>
      <c r="CN82" s="98">
        <v>17</v>
      </c>
      <c r="CO82" s="98">
        <v>8649.5999999999985</v>
      </c>
      <c r="CP82" s="98">
        <v>16</v>
      </c>
      <c r="CQ82" s="98">
        <v>8140.7999999999984</v>
      </c>
      <c r="CR82" s="98">
        <v>12</v>
      </c>
      <c r="CS82" s="98">
        <v>6105.5999999999985</v>
      </c>
      <c r="CT82" s="98">
        <v>15</v>
      </c>
      <c r="CU82" s="98">
        <v>7631.9999999999982</v>
      </c>
    </row>
    <row r="83" spans="2:99">
      <c r="C83" s="97" t="s">
        <v>250</v>
      </c>
      <c r="D83" s="98">
        <v>12</v>
      </c>
      <c r="E83" s="98">
        <v>10324.799999999999</v>
      </c>
      <c r="F83" s="98">
        <v>13</v>
      </c>
      <c r="G83" s="98">
        <v>11185.199999999999</v>
      </c>
      <c r="H83" s="98">
        <v>8</v>
      </c>
      <c r="I83" s="98">
        <v>6883.2</v>
      </c>
      <c r="J83" s="98">
        <v>16</v>
      </c>
      <c r="K83" s="98">
        <v>13766.4</v>
      </c>
      <c r="L83" s="98">
        <v>12</v>
      </c>
      <c r="M83" s="98">
        <v>10324.799999999999</v>
      </c>
      <c r="N83" s="98">
        <v>13</v>
      </c>
      <c r="O83" s="98">
        <v>11185.199999999999</v>
      </c>
      <c r="P83" s="98">
        <v>10</v>
      </c>
      <c r="Q83" s="98">
        <v>8604</v>
      </c>
      <c r="R83" s="98">
        <v>9</v>
      </c>
      <c r="S83" s="98">
        <v>7743.5999999999995</v>
      </c>
      <c r="T83" s="98">
        <v>10</v>
      </c>
      <c r="U83" s="98">
        <v>8604</v>
      </c>
      <c r="V83" s="98">
        <v>13</v>
      </c>
      <c r="W83" s="98">
        <v>11185.199999999999</v>
      </c>
      <c r="X83" s="98">
        <v>11</v>
      </c>
      <c r="Y83" s="98">
        <v>9464.4</v>
      </c>
      <c r="Z83" s="98">
        <v>8</v>
      </c>
      <c r="AA83" s="98">
        <v>6883.2</v>
      </c>
      <c r="AB83" s="98">
        <v>13</v>
      </c>
      <c r="AC83" s="98">
        <v>11185.199999999999</v>
      </c>
      <c r="AD83" s="98">
        <v>11</v>
      </c>
      <c r="AE83" s="98">
        <v>9464.4</v>
      </c>
      <c r="AF83" s="98">
        <v>12</v>
      </c>
      <c r="AG83" s="98">
        <v>10324.799999999999</v>
      </c>
      <c r="AH83" s="98">
        <v>13</v>
      </c>
      <c r="AI83" s="98">
        <v>11185.199999999999</v>
      </c>
      <c r="AJ83" s="98">
        <v>10</v>
      </c>
      <c r="AK83" s="98">
        <v>8604</v>
      </c>
      <c r="AL83" s="98">
        <v>14</v>
      </c>
      <c r="AM83" s="98">
        <v>12045.6</v>
      </c>
      <c r="AN83" s="98">
        <v>12</v>
      </c>
      <c r="AO83" s="98">
        <v>10324.799999999999</v>
      </c>
      <c r="AP83" s="98">
        <v>14</v>
      </c>
      <c r="AQ83" s="98">
        <v>12045.6</v>
      </c>
      <c r="AR83" s="98">
        <v>12</v>
      </c>
      <c r="AS83" s="98">
        <v>10324.799999999999</v>
      </c>
      <c r="AT83" s="98">
        <v>9</v>
      </c>
      <c r="AU83" s="98">
        <v>7743.5999999999995</v>
      </c>
      <c r="AV83" s="98">
        <v>14</v>
      </c>
      <c r="AW83" s="98">
        <v>12045.6</v>
      </c>
      <c r="AX83" s="98">
        <v>15</v>
      </c>
      <c r="AY83" s="98">
        <v>12906</v>
      </c>
      <c r="AZ83" s="98">
        <v>9</v>
      </c>
      <c r="BA83" s="98">
        <v>7743.5999999999995</v>
      </c>
      <c r="BB83" s="98">
        <v>11</v>
      </c>
      <c r="BC83" s="98">
        <v>9464.4</v>
      </c>
      <c r="BD83" s="98">
        <v>14</v>
      </c>
      <c r="BE83" s="98">
        <v>12045.6</v>
      </c>
      <c r="BF83" s="98">
        <v>9</v>
      </c>
      <c r="BG83" s="98">
        <v>7743.5999999999995</v>
      </c>
      <c r="BH83" s="98">
        <v>13</v>
      </c>
      <c r="BI83" s="98">
        <v>11185.199999999999</v>
      </c>
      <c r="BJ83" s="98">
        <v>14</v>
      </c>
      <c r="BK83" s="98">
        <v>12045.6</v>
      </c>
      <c r="BL83" s="98">
        <v>10</v>
      </c>
      <c r="BM83" s="98">
        <v>8604</v>
      </c>
      <c r="BN83" s="98">
        <v>11</v>
      </c>
      <c r="BO83" s="98">
        <v>9464.4</v>
      </c>
      <c r="BP83" s="98">
        <v>15</v>
      </c>
      <c r="BQ83" s="98">
        <v>12906</v>
      </c>
      <c r="BR83" s="98">
        <v>9</v>
      </c>
      <c r="BS83" s="98">
        <v>7743.5999999999995</v>
      </c>
      <c r="BT83" s="98">
        <v>13</v>
      </c>
      <c r="BU83" s="98">
        <v>11185.199999999999</v>
      </c>
      <c r="BV83" s="98">
        <v>11</v>
      </c>
      <c r="BW83" s="98">
        <v>9464.4</v>
      </c>
      <c r="BX83" s="98">
        <v>14</v>
      </c>
      <c r="BY83" s="98">
        <v>12045.6</v>
      </c>
      <c r="BZ83" s="98">
        <v>13</v>
      </c>
      <c r="CA83" s="98">
        <v>11185.199999999999</v>
      </c>
      <c r="CB83" s="98">
        <v>13</v>
      </c>
      <c r="CC83" s="98">
        <v>11185.199999999999</v>
      </c>
      <c r="CD83" s="98">
        <v>10</v>
      </c>
      <c r="CE83" s="98">
        <v>8604</v>
      </c>
      <c r="CF83" s="98">
        <v>14</v>
      </c>
      <c r="CG83" s="98">
        <v>12045.6</v>
      </c>
      <c r="CH83" s="98">
        <v>12</v>
      </c>
      <c r="CI83" s="98">
        <v>10324.799999999999</v>
      </c>
      <c r="CJ83" s="98">
        <v>14</v>
      </c>
      <c r="CK83" s="98">
        <v>12045.6</v>
      </c>
      <c r="CL83" s="98">
        <v>13</v>
      </c>
      <c r="CM83" s="98">
        <v>11185.199999999999</v>
      </c>
      <c r="CN83" s="98">
        <v>17</v>
      </c>
      <c r="CO83" s="98">
        <v>14626.8</v>
      </c>
      <c r="CP83" s="98">
        <v>15</v>
      </c>
      <c r="CQ83" s="98">
        <v>12906</v>
      </c>
      <c r="CR83" s="98">
        <v>11</v>
      </c>
      <c r="CS83" s="98">
        <v>9464.4</v>
      </c>
      <c r="CT83" s="98">
        <v>13</v>
      </c>
      <c r="CU83" s="98">
        <v>11185.199999999999</v>
      </c>
    </row>
    <row r="84" spans="2:99">
      <c r="C84" s="97" t="s">
        <v>251</v>
      </c>
      <c r="D84" s="98">
        <v>11</v>
      </c>
      <c r="E84" s="98">
        <v>8593.1999999999989</v>
      </c>
      <c r="F84" s="98">
        <v>12</v>
      </c>
      <c r="G84" s="98">
        <v>9374.4</v>
      </c>
      <c r="H84" s="98">
        <v>8</v>
      </c>
      <c r="I84" s="98">
        <v>6249.5999999999995</v>
      </c>
      <c r="J84" s="98">
        <v>14</v>
      </c>
      <c r="K84" s="98">
        <v>10936.8</v>
      </c>
      <c r="L84" s="98">
        <v>11</v>
      </c>
      <c r="M84" s="98">
        <v>8593.1999999999989</v>
      </c>
      <c r="N84" s="98">
        <v>12</v>
      </c>
      <c r="O84" s="98">
        <v>9374.4</v>
      </c>
      <c r="P84" s="98">
        <v>11</v>
      </c>
      <c r="Q84" s="98">
        <v>8593.1999999999989</v>
      </c>
      <c r="R84" s="98">
        <v>9</v>
      </c>
      <c r="S84" s="98">
        <v>7030.7999999999993</v>
      </c>
      <c r="T84" s="98">
        <v>10</v>
      </c>
      <c r="U84" s="98">
        <v>7811.9999999999991</v>
      </c>
      <c r="V84" s="98">
        <v>13</v>
      </c>
      <c r="W84" s="98">
        <v>10155.599999999999</v>
      </c>
      <c r="X84" s="98">
        <v>10</v>
      </c>
      <c r="Y84" s="98">
        <v>7811.9999999999991</v>
      </c>
      <c r="Z84" s="98">
        <v>8</v>
      </c>
      <c r="AA84" s="98">
        <v>6249.5999999999995</v>
      </c>
      <c r="AB84" s="98">
        <v>13</v>
      </c>
      <c r="AC84" s="98">
        <v>10155.599999999999</v>
      </c>
      <c r="AD84" s="98">
        <v>10</v>
      </c>
      <c r="AE84" s="98">
        <v>7811.9999999999991</v>
      </c>
      <c r="AF84" s="98">
        <v>13</v>
      </c>
      <c r="AG84" s="98">
        <v>10155.599999999999</v>
      </c>
      <c r="AH84" s="98">
        <v>13</v>
      </c>
      <c r="AI84" s="98">
        <v>10155.599999999999</v>
      </c>
      <c r="AJ84" s="98">
        <v>9</v>
      </c>
      <c r="AK84" s="98">
        <v>7030.7999999999993</v>
      </c>
      <c r="AL84" s="98">
        <v>15</v>
      </c>
      <c r="AM84" s="98">
        <v>11717.999999999998</v>
      </c>
      <c r="AN84" s="98">
        <v>13</v>
      </c>
      <c r="AO84" s="98">
        <v>10155.599999999999</v>
      </c>
      <c r="AP84" s="98">
        <v>15</v>
      </c>
      <c r="AQ84" s="98">
        <v>11717.999999999998</v>
      </c>
      <c r="AR84" s="98">
        <v>13</v>
      </c>
      <c r="AS84" s="98">
        <v>10155.599999999999</v>
      </c>
      <c r="AT84" s="98">
        <v>10</v>
      </c>
      <c r="AU84" s="98">
        <v>7811.9999999999991</v>
      </c>
      <c r="AV84" s="98">
        <v>14</v>
      </c>
      <c r="AW84" s="98">
        <v>10936.8</v>
      </c>
      <c r="AX84" s="98">
        <v>16</v>
      </c>
      <c r="AY84" s="98">
        <v>12499.199999999999</v>
      </c>
      <c r="AZ84" s="98">
        <v>9</v>
      </c>
      <c r="BA84" s="98">
        <v>7030.7999999999993</v>
      </c>
      <c r="BB84" s="98">
        <v>10</v>
      </c>
      <c r="BC84" s="98">
        <v>7811.9999999999991</v>
      </c>
      <c r="BD84" s="98">
        <v>14</v>
      </c>
      <c r="BE84" s="98">
        <v>10936.8</v>
      </c>
      <c r="BF84" s="98">
        <v>11</v>
      </c>
      <c r="BG84" s="98">
        <v>8593.1999999999989</v>
      </c>
      <c r="BH84" s="98">
        <v>13</v>
      </c>
      <c r="BI84" s="98">
        <v>10155.599999999999</v>
      </c>
      <c r="BJ84" s="98">
        <v>13</v>
      </c>
      <c r="BK84" s="98">
        <v>10155.599999999999</v>
      </c>
      <c r="BL84" s="98">
        <v>10</v>
      </c>
      <c r="BM84" s="98">
        <v>7811.9999999999991</v>
      </c>
      <c r="BN84" s="98">
        <v>11</v>
      </c>
      <c r="BO84" s="98">
        <v>8593.1999999999989</v>
      </c>
      <c r="BP84" s="98">
        <v>16</v>
      </c>
      <c r="BQ84" s="98">
        <v>12499.199999999999</v>
      </c>
      <c r="BR84" s="98">
        <v>10</v>
      </c>
      <c r="BS84" s="98">
        <v>7811.9999999999991</v>
      </c>
      <c r="BT84" s="98">
        <v>12</v>
      </c>
      <c r="BU84" s="98">
        <v>9374.4</v>
      </c>
      <c r="BV84" s="98">
        <v>11</v>
      </c>
      <c r="BW84" s="98">
        <v>8593.1999999999989</v>
      </c>
      <c r="BX84" s="98">
        <v>16</v>
      </c>
      <c r="BY84" s="98">
        <v>12499.199999999999</v>
      </c>
      <c r="BZ84" s="98">
        <v>15</v>
      </c>
      <c r="CA84" s="98">
        <v>11717.999999999998</v>
      </c>
      <c r="CB84" s="98">
        <v>15</v>
      </c>
      <c r="CC84" s="98">
        <v>11717.999999999998</v>
      </c>
      <c r="CD84" s="98">
        <v>8</v>
      </c>
      <c r="CE84" s="98">
        <v>6249.5999999999995</v>
      </c>
      <c r="CF84" s="98">
        <v>16</v>
      </c>
      <c r="CG84" s="98">
        <v>12499.199999999999</v>
      </c>
      <c r="CH84" s="98">
        <v>11</v>
      </c>
      <c r="CI84" s="98">
        <v>8593.1999999999989</v>
      </c>
      <c r="CJ84" s="98">
        <v>15</v>
      </c>
      <c r="CK84" s="98">
        <v>11717.999999999998</v>
      </c>
      <c r="CL84" s="98">
        <v>13</v>
      </c>
      <c r="CM84" s="98">
        <v>10155.599999999999</v>
      </c>
      <c r="CN84" s="98">
        <v>17</v>
      </c>
      <c r="CO84" s="98">
        <v>13280.4</v>
      </c>
      <c r="CP84" s="98">
        <v>16</v>
      </c>
      <c r="CQ84" s="98">
        <v>12499.199999999999</v>
      </c>
      <c r="CR84" s="98">
        <v>12</v>
      </c>
      <c r="CS84" s="98">
        <v>9374.4</v>
      </c>
      <c r="CT84" s="98">
        <v>13</v>
      </c>
      <c r="CU84" s="98">
        <v>10155.599999999999</v>
      </c>
    </row>
    <row r="85" spans="2:99">
      <c r="C85" s="97" t="s">
        <v>252</v>
      </c>
      <c r="D85" s="98">
        <v>13</v>
      </c>
      <c r="E85" s="98">
        <v>1950</v>
      </c>
      <c r="F85" s="98">
        <v>14</v>
      </c>
      <c r="G85" s="98">
        <v>2100</v>
      </c>
      <c r="H85" s="98">
        <v>8</v>
      </c>
      <c r="I85" s="98">
        <v>1200</v>
      </c>
      <c r="J85" s="98">
        <v>17</v>
      </c>
      <c r="K85" s="98">
        <v>2550</v>
      </c>
      <c r="L85" s="98">
        <v>12</v>
      </c>
      <c r="M85" s="98">
        <v>1800</v>
      </c>
      <c r="N85" s="98">
        <v>12</v>
      </c>
      <c r="O85" s="98">
        <v>1800</v>
      </c>
      <c r="P85" s="98">
        <v>10</v>
      </c>
      <c r="Q85" s="98">
        <v>1500</v>
      </c>
      <c r="R85" s="98">
        <v>11</v>
      </c>
      <c r="S85" s="98">
        <v>1650</v>
      </c>
      <c r="T85" s="98">
        <v>12</v>
      </c>
      <c r="U85" s="98">
        <v>1800</v>
      </c>
      <c r="V85" s="98">
        <v>13</v>
      </c>
      <c r="W85" s="98">
        <v>1950</v>
      </c>
      <c r="X85" s="98">
        <v>11</v>
      </c>
      <c r="Y85" s="98">
        <v>1650</v>
      </c>
      <c r="Z85" s="98">
        <v>10</v>
      </c>
      <c r="AA85" s="98">
        <v>1500</v>
      </c>
      <c r="AB85" s="98">
        <v>14</v>
      </c>
      <c r="AC85" s="98">
        <v>2100</v>
      </c>
      <c r="AD85" s="98">
        <v>12</v>
      </c>
      <c r="AE85" s="98">
        <v>1800</v>
      </c>
      <c r="AF85" s="98">
        <v>13</v>
      </c>
      <c r="AG85" s="98">
        <v>1950</v>
      </c>
      <c r="AH85" s="98">
        <v>13</v>
      </c>
      <c r="AI85" s="98">
        <v>1950</v>
      </c>
      <c r="AJ85" s="98">
        <v>11</v>
      </c>
      <c r="AK85" s="98">
        <v>1650</v>
      </c>
      <c r="AL85" s="98">
        <v>16</v>
      </c>
      <c r="AM85" s="98">
        <v>2400</v>
      </c>
      <c r="AN85" s="98">
        <v>14</v>
      </c>
      <c r="AO85" s="98">
        <v>2100</v>
      </c>
      <c r="AP85" s="98">
        <v>15</v>
      </c>
      <c r="AQ85" s="98">
        <v>2250</v>
      </c>
      <c r="AR85" s="98">
        <v>14</v>
      </c>
      <c r="AS85" s="98">
        <v>2100</v>
      </c>
      <c r="AT85" s="98">
        <v>9</v>
      </c>
      <c r="AU85" s="98">
        <v>1350</v>
      </c>
      <c r="AV85" s="98">
        <v>14</v>
      </c>
      <c r="AW85" s="98">
        <v>2100</v>
      </c>
      <c r="AX85" s="98">
        <v>16</v>
      </c>
      <c r="AY85" s="98">
        <v>2400</v>
      </c>
      <c r="AZ85" s="98">
        <v>11</v>
      </c>
      <c r="BA85" s="98">
        <v>1650</v>
      </c>
      <c r="BB85" s="98">
        <v>11</v>
      </c>
      <c r="BC85" s="98">
        <v>1650</v>
      </c>
      <c r="BD85" s="98">
        <v>13</v>
      </c>
      <c r="BE85" s="98">
        <v>1950</v>
      </c>
      <c r="BF85" s="98">
        <v>10</v>
      </c>
      <c r="BG85" s="98">
        <v>1500</v>
      </c>
      <c r="BH85" s="98">
        <v>17</v>
      </c>
      <c r="BI85" s="98">
        <v>2550</v>
      </c>
      <c r="BJ85" s="98">
        <v>16</v>
      </c>
      <c r="BK85" s="98">
        <v>2400</v>
      </c>
      <c r="BL85" s="98">
        <v>10</v>
      </c>
      <c r="BM85" s="98">
        <v>1500</v>
      </c>
      <c r="BN85" s="98">
        <v>11</v>
      </c>
      <c r="BO85" s="98">
        <v>1650</v>
      </c>
      <c r="BP85" s="98">
        <v>17</v>
      </c>
      <c r="BQ85" s="98">
        <v>2550</v>
      </c>
      <c r="BR85" s="98">
        <v>11</v>
      </c>
      <c r="BS85" s="98">
        <v>1650</v>
      </c>
      <c r="BT85" s="98">
        <v>14</v>
      </c>
      <c r="BU85" s="98">
        <v>2100</v>
      </c>
      <c r="BV85" s="98">
        <v>14</v>
      </c>
      <c r="BW85" s="98">
        <v>2100</v>
      </c>
      <c r="BX85" s="98">
        <v>17</v>
      </c>
      <c r="BY85" s="98">
        <v>2550</v>
      </c>
      <c r="BZ85" s="98">
        <v>14</v>
      </c>
      <c r="CA85" s="98">
        <v>2100</v>
      </c>
      <c r="CB85" s="98">
        <v>14</v>
      </c>
      <c r="CC85" s="98">
        <v>2100</v>
      </c>
      <c r="CD85" s="98">
        <v>10</v>
      </c>
      <c r="CE85" s="98">
        <v>1500</v>
      </c>
      <c r="CF85" s="98">
        <v>18</v>
      </c>
      <c r="CG85" s="98">
        <v>2700</v>
      </c>
      <c r="CH85" s="98">
        <v>13</v>
      </c>
      <c r="CI85" s="98">
        <v>1950</v>
      </c>
      <c r="CJ85" s="98">
        <v>17</v>
      </c>
      <c r="CK85" s="98">
        <v>2550</v>
      </c>
      <c r="CL85" s="98">
        <v>13</v>
      </c>
      <c r="CM85" s="98">
        <v>1950</v>
      </c>
      <c r="CN85" s="98">
        <v>17</v>
      </c>
      <c r="CO85" s="98">
        <v>2550</v>
      </c>
      <c r="CP85" s="98">
        <v>17</v>
      </c>
      <c r="CQ85" s="98">
        <v>2550</v>
      </c>
      <c r="CR85" s="98">
        <v>14</v>
      </c>
      <c r="CS85" s="98">
        <v>2100</v>
      </c>
      <c r="CT85" s="98">
        <v>15</v>
      </c>
      <c r="CU85" s="98">
        <v>2250</v>
      </c>
    </row>
    <row r="86" spans="2:99">
      <c r="C86" s="97" t="s">
        <v>253</v>
      </c>
      <c r="D86" s="98">
        <v>12</v>
      </c>
      <c r="E86" s="98">
        <v>6480</v>
      </c>
      <c r="F86" s="98">
        <v>14</v>
      </c>
      <c r="G86" s="98">
        <v>7560</v>
      </c>
      <c r="H86" s="98">
        <v>8</v>
      </c>
      <c r="I86" s="98">
        <v>4320</v>
      </c>
      <c r="J86" s="98">
        <v>16</v>
      </c>
      <c r="K86" s="98">
        <v>8640</v>
      </c>
      <c r="L86" s="98">
        <v>13</v>
      </c>
      <c r="M86" s="98">
        <v>7020</v>
      </c>
      <c r="N86" s="98">
        <v>12</v>
      </c>
      <c r="O86" s="98">
        <v>6480</v>
      </c>
      <c r="P86" s="98">
        <v>11</v>
      </c>
      <c r="Q86" s="98">
        <v>5940</v>
      </c>
      <c r="R86" s="98">
        <v>9</v>
      </c>
      <c r="S86" s="98">
        <v>4860</v>
      </c>
      <c r="T86" s="98">
        <v>11</v>
      </c>
      <c r="U86" s="98">
        <v>5940</v>
      </c>
      <c r="V86" s="98">
        <v>13</v>
      </c>
      <c r="W86" s="98">
        <v>7020</v>
      </c>
      <c r="X86" s="98">
        <v>11</v>
      </c>
      <c r="Y86" s="98">
        <v>5940</v>
      </c>
      <c r="Z86" s="98">
        <v>9</v>
      </c>
      <c r="AA86" s="98">
        <v>4860</v>
      </c>
      <c r="AB86" s="98">
        <v>14</v>
      </c>
      <c r="AC86" s="98">
        <v>7560</v>
      </c>
      <c r="AD86" s="98">
        <v>11</v>
      </c>
      <c r="AE86" s="98">
        <v>5940</v>
      </c>
      <c r="AF86" s="98">
        <v>11</v>
      </c>
      <c r="AG86" s="98">
        <v>5940</v>
      </c>
      <c r="AH86" s="98">
        <v>14</v>
      </c>
      <c r="AI86" s="98">
        <v>7560</v>
      </c>
      <c r="AJ86" s="98">
        <v>9</v>
      </c>
      <c r="AK86" s="98">
        <v>4860</v>
      </c>
      <c r="AL86" s="98">
        <v>14</v>
      </c>
      <c r="AM86" s="98">
        <v>7560</v>
      </c>
      <c r="AN86" s="98">
        <v>15</v>
      </c>
      <c r="AO86" s="98">
        <v>8100</v>
      </c>
      <c r="AP86" s="98">
        <v>15</v>
      </c>
      <c r="AQ86" s="98">
        <v>8100</v>
      </c>
      <c r="AR86" s="98">
        <v>14</v>
      </c>
      <c r="AS86" s="98">
        <v>7560</v>
      </c>
      <c r="AT86" s="98">
        <v>9</v>
      </c>
      <c r="AU86" s="98">
        <v>4860</v>
      </c>
      <c r="AV86" s="98">
        <v>17</v>
      </c>
      <c r="AW86" s="98">
        <v>9180</v>
      </c>
      <c r="AX86" s="98">
        <v>17</v>
      </c>
      <c r="AY86" s="98">
        <v>9180</v>
      </c>
      <c r="AZ86" s="98">
        <v>9</v>
      </c>
      <c r="BA86" s="98">
        <v>4860</v>
      </c>
      <c r="BB86" s="98">
        <v>11</v>
      </c>
      <c r="BC86" s="98">
        <v>5940</v>
      </c>
      <c r="BD86" s="98">
        <v>14</v>
      </c>
      <c r="BE86" s="98">
        <v>7560</v>
      </c>
      <c r="BF86" s="98">
        <v>11</v>
      </c>
      <c r="BG86" s="98">
        <v>5940</v>
      </c>
      <c r="BH86" s="98">
        <v>14</v>
      </c>
      <c r="BI86" s="98">
        <v>7560</v>
      </c>
      <c r="BJ86" s="98">
        <v>13</v>
      </c>
      <c r="BK86" s="98">
        <v>7020</v>
      </c>
      <c r="BL86" s="98">
        <v>9</v>
      </c>
      <c r="BM86" s="98">
        <v>4860</v>
      </c>
      <c r="BN86" s="98">
        <v>10</v>
      </c>
      <c r="BO86" s="98">
        <v>5400</v>
      </c>
      <c r="BP86" s="98">
        <v>16</v>
      </c>
      <c r="BQ86" s="98">
        <v>8640</v>
      </c>
      <c r="BR86" s="98">
        <v>10</v>
      </c>
      <c r="BS86" s="98">
        <v>5400</v>
      </c>
      <c r="BT86" s="98">
        <v>13</v>
      </c>
      <c r="BU86" s="98">
        <v>7020</v>
      </c>
      <c r="BV86" s="98">
        <v>12</v>
      </c>
      <c r="BW86" s="98">
        <v>6480</v>
      </c>
      <c r="BX86" s="98">
        <v>17</v>
      </c>
      <c r="BY86" s="98">
        <v>9180</v>
      </c>
      <c r="BZ86" s="98">
        <v>14</v>
      </c>
      <c r="CA86" s="98">
        <v>7560</v>
      </c>
      <c r="CB86" s="98">
        <v>14</v>
      </c>
      <c r="CC86" s="98">
        <v>7560</v>
      </c>
      <c r="CD86" s="98">
        <v>10</v>
      </c>
      <c r="CE86" s="98">
        <v>5400</v>
      </c>
      <c r="CF86" s="98">
        <v>18</v>
      </c>
      <c r="CG86" s="98">
        <v>9720</v>
      </c>
      <c r="CH86" s="98">
        <v>13</v>
      </c>
      <c r="CI86" s="98">
        <v>7020</v>
      </c>
      <c r="CJ86" s="98">
        <v>15</v>
      </c>
      <c r="CK86" s="98">
        <v>8100</v>
      </c>
      <c r="CL86" s="98">
        <v>13</v>
      </c>
      <c r="CM86" s="98">
        <v>7020</v>
      </c>
      <c r="CN86" s="98">
        <v>16</v>
      </c>
      <c r="CO86" s="98">
        <v>8640</v>
      </c>
      <c r="CP86" s="98">
        <v>16</v>
      </c>
      <c r="CQ86" s="98">
        <v>8640</v>
      </c>
      <c r="CR86" s="98">
        <v>13</v>
      </c>
      <c r="CS86" s="98">
        <v>7020</v>
      </c>
      <c r="CT86" s="98">
        <v>14</v>
      </c>
      <c r="CU86" s="98">
        <v>7560</v>
      </c>
    </row>
    <row r="87" spans="2:99">
      <c r="B87" s="97" t="s">
        <v>131</v>
      </c>
      <c r="C87" s="97" t="s">
        <v>254</v>
      </c>
      <c r="D87" s="98">
        <v>14</v>
      </c>
      <c r="E87" s="98">
        <v>15036</v>
      </c>
      <c r="F87" s="98">
        <v>20</v>
      </c>
      <c r="G87" s="98">
        <v>21480</v>
      </c>
      <c r="H87" s="98">
        <v>11</v>
      </c>
      <c r="I87" s="98">
        <v>11814</v>
      </c>
      <c r="J87" s="98">
        <v>13</v>
      </c>
      <c r="K87" s="98">
        <v>13962</v>
      </c>
      <c r="L87" s="98">
        <v>20</v>
      </c>
      <c r="M87" s="98">
        <v>21480</v>
      </c>
      <c r="N87" s="98">
        <v>12</v>
      </c>
      <c r="O87" s="98">
        <v>12888</v>
      </c>
      <c r="P87" s="98">
        <v>10</v>
      </c>
      <c r="Q87" s="98">
        <v>10740</v>
      </c>
      <c r="R87" s="98">
        <v>18</v>
      </c>
      <c r="S87" s="98">
        <v>19332</v>
      </c>
      <c r="T87" s="98">
        <v>11</v>
      </c>
      <c r="U87" s="98">
        <v>11814</v>
      </c>
      <c r="V87" s="98">
        <v>20</v>
      </c>
      <c r="W87" s="98">
        <v>21480</v>
      </c>
      <c r="X87" s="98">
        <v>19</v>
      </c>
      <c r="Y87" s="98">
        <v>20406</v>
      </c>
      <c r="Z87" s="98">
        <v>18</v>
      </c>
      <c r="AA87" s="98">
        <v>19332</v>
      </c>
      <c r="AB87" s="98">
        <v>17</v>
      </c>
      <c r="AC87" s="98">
        <v>18258</v>
      </c>
      <c r="AD87" s="98">
        <v>12</v>
      </c>
      <c r="AE87" s="98">
        <v>12888</v>
      </c>
      <c r="AF87" s="98">
        <v>13</v>
      </c>
      <c r="AG87" s="98">
        <v>13962</v>
      </c>
      <c r="AH87" s="98">
        <v>18</v>
      </c>
      <c r="AI87" s="98">
        <v>19332</v>
      </c>
      <c r="AJ87" s="98">
        <v>22</v>
      </c>
      <c r="AK87" s="98">
        <v>23628</v>
      </c>
      <c r="AL87" s="98">
        <v>14</v>
      </c>
      <c r="AM87" s="98">
        <v>15036</v>
      </c>
      <c r="AN87" s="98">
        <v>15</v>
      </c>
      <c r="AO87" s="98">
        <v>16110</v>
      </c>
      <c r="AP87" s="98">
        <v>11</v>
      </c>
      <c r="AQ87" s="98">
        <v>11814</v>
      </c>
      <c r="AR87" s="98">
        <v>14</v>
      </c>
      <c r="AS87" s="98">
        <v>15036</v>
      </c>
      <c r="AT87" s="98">
        <v>19</v>
      </c>
      <c r="AU87" s="98">
        <v>20406</v>
      </c>
      <c r="AV87" s="98">
        <v>21</v>
      </c>
      <c r="AW87" s="98">
        <v>22554</v>
      </c>
      <c r="AX87" s="98">
        <v>22</v>
      </c>
      <c r="AY87" s="98">
        <v>23628</v>
      </c>
      <c r="AZ87" s="98">
        <v>22</v>
      </c>
      <c r="BA87" s="98">
        <v>23628</v>
      </c>
      <c r="BB87" s="98">
        <v>21</v>
      </c>
      <c r="BC87" s="98">
        <v>22554</v>
      </c>
      <c r="BD87" s="98">
        <v>18</v>
      </c>
      <c r="BE87" s="98">
        <v>19332</v>
      </c>
      <c r="BF87" s="98">
        <v>12</v>
      </c>
      <c r="BG87" s="98">
        <v>12888</v>
      </c>
      <c r="BH87" s="98">
        <v>20</v>
      </c>
      <c r="BI87" s="98">
        <v>21480</v>
      </c>
      <c r="BJ87" s="98">
        <v>11</v>
      </c>
      <c r="BK87" s="98">
        <v>11814</v>
      </c>
      <c r="BL87" s="98">
        <v>19</v>
      </c>
      <c r="BM87" s="98">
        <v>20406</v>
      </c>
      <c r="BN87" s="98">
        <v>19</v>
      </c>
      <c r="BO87" s="98">
        <v>20406</v>
      </c>
      <c r="BP87" s="98">
        <v>15</v>
      </c>
      <c r="BQ87" s="98">
        <v>16110</v>
      </c>
      <c r="BR87" s="98">
        <v>19</v>
      </c>
      <c r="BS87" s="98">
        <v>20406</v>
      </c>
      <c r="BT87" s="98">
        <v>20</v>
      </c>
      <c r="BU87" s="98">
        <v>21480</v>
      </c>
      <c r="BV87" s="98">
        <v>15</v>
      </c>
      <c r="BW87" s="98">
        <v>16110</v>
      </c>
      <c r="BX87" s="98">
        <v>15</v>
      </c>
      <c r="BY87" s="98">
        <v>16110</v>
      </c>
      <c r="BZ87" s="98">
        <v>16</v>
      </c>
      <c r="CA87" s="98">
        <v>17184</v>
      </c>
      <c r="CB87" s="98">
        <v>22</v>
      </c>
      <c r="CC87" s="98">
        <v>23628</v>
      </c>
      <c r="CD87" s="98">
        <v>13</v>
      </c>
      <c r="CE87" s="98">
        <v>13962</v>
      </c>
      <c r="CF87" s="98">
        <v>19</v>
      </c>
      <c r="CG87" s="98">
        <v>20406</v>
      </c>
      <c r="CH87" s="98">
        <v>24</v>
      </c>
      <c r="CI87" s="98">
        <v>25776</v>
      </c>
      <c r="CJ87" s="98">
        <v>12</v>
      </c>
      <c r="CK87" s="98">
        <v>12888</v>
      </c>
      <c r="CL87" s="98">
        <v>16</v>
      </c>
      <c r="CM87" s="98">
        <v>17184</v>
      </c>
      <c r="CN87" s="98">
        <v>16</v>
      </c>
      <c r="CO87" s="98">
        <v>17184</v>
      </c>
      <c r="CP87" s="98">
        <v>17</v>
      </c>
      <c r="CQ87" s="98">
        <v>18258</v>
      </c>
      <c r="CR87" s="98">
        <v>13</v>
      </c>
      <c r="CS87" s="98">
        <v>13962</v>
      </c>
      <c r="CT87" s="98">
        <v>16</v>
      </c>
      <c r="CU87" s="98">
        <v>17184</v>
      </c>
    </row>
    <row r="88" spans="2:99">
      <c r="C88" s="97" t="s">
        <v>255</v>
      </c>
      <c r="D88" s="98">
        <v>15</v>
      </c>
      <c r="E88" s="98">
        <v>14886</v>
      </c>
      <c r="F88" s="98">
        <v>19</v>
      </c>
      <c r="G88" s="98">
        <v>18855.599999999999</v>
      </c>
      <c r="H88" s="98">
        <v>12</v>
      </c>
      <c r="I88" s="98">
        <v>11908.8</v>
      </c>
      <c r="J88" s="98">
        <v>12</v>
      </c>
      <c r="K88" s="98">
        <v>11908.8</v>
      </c>
      <c r="L88" s="98">
        <v>17</v>
      </c>
      <c r="M88" s="98">
        <v>16870.8</v>
      </c>
      <c r="N88" s="98">
        <v>13</v>
      </c>
      <c r="O88" s="98">
        <v>12901.199999999999</v>
      </c>
      <c r="P88" s="98">
        <v>10</v>
      </c>
      <c r="Q88" s="98">
        <v>9924</v>
      </c>
      <c r="R88" s="98">
        <v>20</v>
      </c>
      <c r="S88" s="98">
        <v>19848</v>
      </c>
      <c r="T88" s="98">
        <v>12</v>
      </c>
      <c r="U88" s="98">
        <v>11908.8</v>
      </c>
      <c r="V88" s="98">
        <v>18</v>
      </c>
      <c r="W88" s="98">
        <v>17863.2</v>
      </c>
      <c r="X88" s="98">
        <v>20</v>
      </c>
      <c r="Y88" s="98">
        <v>19848</v>
      </c>
      <c r="Z88" s="98">
        <v>16</v>
      </c>
      <c r="AA88" s="98">
        <v>15878.4</v>
      </c>
      <c r="AB88" s="98">
        <v>18</v>
      </c>
      <c r="AC88" s="98">
        <v>17863.2</v>
      </c>
      <c r="AD88" s="98">
        <v>13</v>
      </c>
      <c r="AE88" s="98">
        <v>12901.199999999999</v>
      </c>
      <c r="AF88" s="98">
        <v>12</v>
      </c>
      <c r="AG88" s="98">
        <v>11908.8</v>
      </c>
      <c r="AH88" s="98">
        <v>17</v>
      </c>
      <c r="AI88" s="98">
        <v>16870.8</v>
      </c>
      <c r="AJ88" s="98">
        <v>23</v>
      </c>
      <c r="AK88" s="98">
        <v>22825.200000000001</v>
      </c>
      <c r="AL88" s="98">
        <v>15</v>
      </c>
      <c r="AM88" s="98">
        <v>14886</v>
      </c>
      <c r="AN88" s="98">
        <v>15</v>
      </c>
      <c r="AO88" s="98">
        <v>14886</v>
      </c>
      <c r="AP88" s="98">
        <v>11</v>
      </c>
      <c r="AQ88" s="98">
        <v>10916.4</v>
      </c>
      <c r="AR88" s="98">
        <v>15</v>
      </c>
      <c r="AS88" s="98">
        <v>14886</v>
      </c>
      <c r="AT88" s="98">
        <v>20</v>
      </c>
      <c r="AU88" s="98">
        <v>19848</v>
      </c>
      <c r="AV88" s="98">
        <v>19</v>
      </c>
      <c r="AW88" s="98">
        <v>18855.599999999999</v>
      </c>
      <c r="AX88" s="98">
        <v>20</v>
      </c>
      <c r="AY88" s="98">
        <v>19848</v>
      </c>
      <c r="AZ88" s="98">
        <v>22</v>
      </c>
      <c r="BA88" s="98">
        <v>21832.799999999999</v>
      </c>
      <c r="BB88" s="98">
        <v>20</v>
      </c>
      <c r="BC88" s="98">
        <v>19848</v>
      </c>
      <c r="BD88" s="98">
        <v>17</v>
      </c>
      <c r="BE88" s="98">
        <v>16870.8</v>
      </c>
      <c r="BF88" s="98">
        <v>11</v>
      </c>
      <c r="BG88" s="98">
        <v>10916.4</v>
      </c>
      <c r="BH88" s="98">
        <v>20</v>
      </c>
      <c r="BI88" s="98">
        <v>19848</v>
      </c>
      <c r="BJ88" s="98">
        <v>11</v>
      </c>
      <c r="BK88" s="98">
        <v>10916.4</v>
      </c>
      <c r="BL88" s="98">
        <v>20</v>
      </c>
      <c r="BM88" s="98">
        <v>19848</v>
      </c>
      <c r="BN88" s="98">
        <v>18</v>
      </c>
      <c r="BO88" s="98">
        <v>17863.2</v>
      </c>
      <c r="BP88" s="98">
        <v>17</v>
      </c>
      <c r="BQ88" s="98">
        <v>16870.8</v>
      </c>
      <c r="BR88" s="98">
        <v>19</v>
      </c>
      <c r="BS88" s="98">
        <v>18855.599999999999</v>
      </c>
      <c r="BT88" s="98">
        <v>21</v>
      </c>
      <c r="BU88" s="98">
        <v>20840.399999999998</v>
      </c>
      <c r="BV88" s="98">
        <v>18</v>
      </c>
      <c r="BW88" s="98">
        <v>17863.2</v>
      </c>
      <c r="BX88" s="98">
        <v>15</v>
      </c>
      <c r="BY88" s="98">
        <v>14886</v>
      </c>
      <c r="BZ88" s="98">
        <v>14</v>
      </c>
      <c r="CA88" s="98">
        <v>13893.6</v>
      </c>
      <c r="CB88" s="98">
        <v>21</v>
      </c>
      <c r="CC88" s="98">
        <v>20840.399999999998</v>
      </c>
      <c r="CD88" s="98">
        <v>11</v>
      </c>
      <c r="CE88" s="98">
        <v>10916.4</v>
      </c>
      <c r="CF88" s="98">
        <v>20</v>
      </c>
      <c r="CG88" s="98">
        <v>19848</v>
      </c>
      <c r="CH88" s="98">
        <v>24</v>
      </c>
      <c r="CI88" s="98">
        <v>23817.599999999999</v>
      </c>
      <c r="CJ88" s="98">
        <v>13</v>
      </c>
      <c r="CK88" s="98">
        <v>12901.199999999999</v>
      </c>
      <c r="CL88" s="98">
        <v>15</v>
      </c>
      <c r="CM88" s="98">
        <v>14886</v>
      </c>
      <c r="CN88" s="98">
        <v>17</v>
      </c>
      <c r="CO88" s="98">
        <v>16870.8</v>
      </c>
      <c r="CP88" s="98">
        <v>17</v>
      </c>
      <c r="CQ88" s="98">
        <v>16870.8</v>
      </c>
      <c r="CR88" s="98">
        <v>13</v>
      </c>
      <c r="CS88" s="98">
        <v>12901.199999999999</v>
      </c>
      <c r="CT88" s="98">
        <v>17</v>
      </c>
      <c r="CU88" s="98">
        <v>16870.8</v>
      </c>
    </row>
    <row r="89" spans="2:99">
      <c r="C89" s="97" t="s">
        <v>256</v>
      </c>
      <c r="D89" s="98">
        <v>15</v>
      </c>
      <c r="E89" s="98">
        <v>15930</v>
      </c>
      <c r="F89" s="98">
        <v>18</v>
      </c>
      <c r="G89" s="98">
        <v>19116</v>
      </c>
      <c r="H89" s="98">
        <v>12</v>
      </c>
      <c r="I89" s="98">
        <v>12744</v>
      </c>
      <c r="J89" s="98">
        <v>12</v>
      </c>
      <c r="K89" s="98">
        <v>12744</v>
      </c>
      <c r="L89" s="98">
        <v>18</v>
      </c>
      <c r="M89" s="98">
        <v>19116</v>
      </c>
      <c r="N89" s="98">
        <v>13</v>
      </c>
      <c r="O89" s="98">
        <v>13806</v>
      </c>
      <c r="P89" s="98">
        <v>11</v>
      </c>
      <c r="Q89" s="98">
        <v>11682</v>
      </c>
      <c r="R89" s="98">
        <v>17</v>
      </c>
      <c r="S89" s="98">
        <v>18054</v>
      </c>
      <c r="T89" s="98">
        <v>12</v>
      </c>
      <c r="U89" s="98">
        <v>12744</v>
      </c>
      <c r="V89" s="98">
        <v>17</v>
      </c>
      <c r="W89" s="98">
        <v>18054</v>
      </c>
      <c r="X89" s="98">
        <v>19</v>
      </c>
      <c r="Y89" s="98">
        <v>20178</v>
      </c>
      <c r="Z89" s="98">
        <v>16</v>
      </c>
      <c r="AA89" s="98">
        <v>16992</v>
      </c>
      <c r="AB89" s="98">
        <v>16</v>
      </c>
      <c r="AC89" s="98">
        <v>16992</v>
      </c>
      <c r="AD89" s="98">
        <v>11</v>
      </c>
      <c r="AE89" s="98">
        <v>11682</v>
      </c>
      <c r="AF89" s="98">
        <v>13</v>
      </c>
      <c r="AG89" s="98">
        <v>13806</v>
      </c>
      <c r="AH89" s="98">
        <v>20</v>
      </c>
      <c r="AI89" s="98">
        <v>21240</v>
      </c>
      <c r="AJ89" s="98">
        <v>19</v>
      </c>
      <c r="AK89" s="98">
        <v>20178</v>
      </c>
      <c r="AL89" s="98">
        <v>15</v>
      </c>
      <c r="AM89" s="98">
        <v>15930</v>
      </c>
      <c r="AN89" s="98">
        <v>16</v>
      </c>
      <c r="AO89" s="98">
        <v>16992</v>
      </c>
      <c r="AP89" s="98">
        <v>12</v>
      </c>
      <c r="AQ89" s="98">
        <v>12744</v>
      </c>
      <c r="AR89" s="98">
        <v>15</v>
      </c>
      <c r="AS89" s="98">
        <v>15930</v>
      </c>
      <c r="AT89" s="98">
        <v>18</v>
      </c>
      <c r="AU89" s="98">
        <v>19116</v>
      </c>
      <c r="AV89" s="98">
        <v>19</v>
      </c>
      <c r="AW89" s="98">
        <v>20178</v>
      </c>
      <c r="AX89" s="98">
        <v>21</v>
      </c>
      <c r="AY89" s="98">
        <v>22302</v>
      </c>
      <c r="AZ89" s="98">
        <v>20</v>
      </c>
      <c r="BA89" s="98">
        <v>21240</v>
      </c>
      <c r="BB89" s="98">
        <v>24</v>
      </c>
      <c r="BC89" s="98">
        <v>25488</v>
      </c>
      <c r="BD89" s="98">
        <v>16</v>
      </c>
      <c r="BE89" s="98">
        <v>16992</v>
      </c>
      <c r="BF89" s="98">
        <v>11</v>
      </c>
      <c r="BG89" s="98">
        <v>11682</v>
      </c>
      <c r="BH89" s="98">
        <v>19</v>
      </c>
      <c r="BI89" s="98">
        <v>20178</v>
      </c>
      <c r="BJ89" s="98">
        <v>12</v>
      </c>
      <c r="BK89" s="98">
        <v>12744</v>
      </c>
      <c r="BL89" s="98">
        <v>20</v>
      </c>
      <c r="BM89" s="98">
        <v>21240</v>
      </c>
      <c r="BN89" s="98">
        <v>19</v>
      </c>
      <c r="BO89" s="98">
        <v>20178</v>
      </c>
      <c r="BP89" s="98">
        <v>18</v>
      </c>
      <c r="BQ89" s="98">
        <v>19116</v>
      </c>
      <c r="BR89" s="98">
        <v>16</v>
      </c>
      <c r="BS89" s="98">
        <v>16992</v>
      </c>
      <c r="BT89" s="98">
        <v>22</v>
      </c>
      <c r="BU89" s="98">
        <v>23364</v>
      </c>
      <c r="BV89" s="98">
        <v>15</v>
      </c>
      <c r="BW89" s="98">
        <v>15930</v>
      </c>
      <c r="BX89" s="98">
        <v>14</v>
      </c>
      <c r="BY89" s="98">
        <v>14868</v>
      </c>
      <c r="BZ89" s="98">
        <v>16</v>
      </c>
      <c r="CA89" s="98">
        <v>16992</v>
      </c>
      <c r="CB89" s="98">
        <v>24</v>
      </c>
      <c r="CC89" s="98">
        <v>25488</v>
      </c>
      <c r="CD89" s="98">
        <v>11</v>
      </c>
      <c r="CE89" s="98">
        <v>11682</v>
      </c>
      <c r="CF89" s="98">
        <v>16</v>
      </c>
      <c r="CG89" s="98">
        <v>16992</v>
      </c>
      <c r="CH89" s="98">
        <v>25</v>
      </c>
      <c r="CI89" s="98">
        <v>26550</v>
      </c>
      <c r="CJ89" s="98">
        <v>14</v>
      </c>
      <c r="CK89" s="98">
        <v>14868</v>
      </c>
      <c r="CL89" s="98">
        <v>15</v>
      </c>
      <c r="CM89" s="98">
        <v>15930</v>
      </c>
      <c r="CN89" s="98">
        <v>17</v>
      </c>
      <c r="CO89" s="98">
        <v>18054</v>
      </c>
      <c r="CP89" s="98">
        <v>19</v>
      </c>
      <c r="CQ89" s="98">
        <v>20178</v>
      </c>
      <c r="CR89" s="98">
        <v>13</v>
      </c>
      <c r="CS89" s="98">
        <v>13806</v>
      </c>
      <c r="CT89" s="98">
        <v>15</v>
      </c>
      <c r="CU89" s="98">
        <v>15930</v>
      </c>
    </row>
    <row r="90" spans="2:99">
      <c r="C90" s="97" t="s">
        <v>257</v>
      </c>
      <c r="D90" s="98">
        <v>14</v>
      </c>
      <c r="E90" s="98">
        <v>15523.199999999999</v>
      </c>
      <c r="F90" s="98">
        <v>17</v>
      </c>
      <c r="G90" s="98">
        <v>18849.599999999999</v>
      </c>
      <c r="H90" s="98">
        <v>11</v>
      </c>
      <c r="I90" s="98">
        <v>12196.8</v>
      </c>
      <c r="J90" s="98">
        <v>12</v>
      </c>
      <c r="K90" s="98">
        <v>13305.599999999999</v>
      </c>
      <c r="L90" s="98">
        <v>20</v>
      </c>
      <c r="M90" s="98">
        <v>22176</v>
      </c>
      <c r="N90" s="98">
        <v>12</v>
      </c>
      <c r="O90" s="98">
        <v>13305.599999999999</v>
      </c>
      <c r="P90" s="98">
        <v>10</v>
      </c>
      <c r="Q90" s="98">
        <v>11088</v>
      </c>
      <c r="R90" s="98">
        <v>18</v>
      </c>
      <c r="S90" s="98">
        <v>19958.399999999998</v>
      </c>
      <c r="T90" s="98">
        <v>12</v>
      </c>
      <c r="U90" s="98">
        <v>13305.599999999999</v>
      </c>
      <c r="V90" s="98">
        <v>17</v>
      </c>
      <c r="W90" s="98">
        <v>18849.599999999999</v>
      </c>
      <c r="X90" s="98">
        <v>17</v>
      </c>
      <c r="Y90" s="98">
        <v>18849.599999999999</v>
      </c>
      <c r="Z90" s="98">
        <v>17</v>
      </c>
      <c r="AA90" s="98">
        <v>18849.599999999999</v>
      </c>
      <c r="AB90" s="98">
        <v>15</v>
      </c>
      <c r="AC90" s="98">
        <v>16632</v>
      </c>
      <c r="AD90" s="98">
        <v>12</v>
      </c>
      <c r="AE90" s="98">
        <v>13305.599999999999</v>
      </c>
      <c r="AF90" s="98">
        <v>13</v>
      </c>
      <c r="AG90" s="98">
        <v>14414.4</v>
      </c>
      <c r="AH90" s="98">
        <v>19</v>
      </c>
      <c r="AI90" s="98">
        <v>21067.200000000001</v>
      </c>
      <c r="AJ90" s="98">
        <v>21</v>
      </c>
      <c r="AK90" s="98">
        <v>23284.799999999999</v>
      </c>
      <c r="AL90" s="98">
        <v>15</v>
      </c>
      <c r="AM90" s="98">
        <v>16632</v>
      </c>
      <c r="AN90" s="98">
        <v>15</v>
      </c>
      <c r="AO90" s="98">
        <v>16632</v>
      </c>
      <c r="AP90" s="98">
        <v>12</v>
      </c>
      <c r="AQ90" s="98">
        <v>13305.599999999999</v>
      </c>
      <c r="AR90" s="98">
        <v>14</v>
      </c>
      <c r="AS90" s="98">
        <v>15523.199999999999</v>
      </c>
      <c r="AT90" s="98">
        <v>20</v>
      </c>
      <c r="AU90" s="98">
        <v>22176</v>
      </c>
      <c r="AV90" s="98">
        <v>21</v>
      </c>
      <c r="AW90" s="98">
        <v>23284.799999999999</v>
      </c>
      <c r="AX90" s="98">
        <v>20</v>
      </c>
      <c r="AY90" s="98">
        <v>22176</v>
      </c>
      <c r="AZ90" s="98">
        <v>20</v>
      </c>
      <c r="BA90" s="98">
        <v>22176</v>
      </c>
      <c r="BB90" s="98">
        <v>23</v>
      </c>
      <c r="BC90" s="98">
        <v>25502.399999999998</v>
      </c>
      <c r="BD90" s="98">
        <v>18</v>
      </c>
      <c r="BE90" s="98">
        <v>19958.399999999998</v>
      </c>
      <c r="BF90" s="98">
        <v>11</v>
      </c>
      <c r="BG90" s="98">
        <v>12196.8</v>
      </c>
      <c r="BH90" s="98">
        <v>19</v>
      </c>
      <c r="BI90" s="98">
        <v>21067.200000000001</v>
      </c>
      <c r="BJ90" s="98">
        <v>12</v>
      </c>
      <c r="BK90" s="98">
        <v>13305.599999999999</v>
      </c>
      <c r="BL90" s="98">
        <v>18</v>
      </c>
      <c r="BM90" s="98">
        <v>19958.399999999998</v>
      </c>
      <c r="BN90" s="98">
        <v>20</v>
      </c>
      <c r="BO90" s="98">
        <v>22176</v>
      </c>
      <c r="BP90" s="98">
        <v>18</v>
      </c>
      <c r="BQ90" s="98">
        <v>19958.399999999998</v>
      </c>
      <c r="BR90" s="98">
        <v>18</v>
      </c>
      <c r="BS90" s="98">
        <v>19958.399999999998</v>
      </c>
      <c r="BT90" s="98">
        <v>20</v>
      </c>
      <c r="BU90" s="98">
        <v>22176</v>
      </c>
      <c r="BV90" s="98">
        <v>17</v>
      </c>
      <c r="BW90" s="98">
        <v>18849.599999999999</v>
      </c>
      <c r="BX90" s="98">
        <v>14</v>
      </c>
      <c r="BY90" s="98">
        <v>15523.199999999999</v>
      </c>
      <c r="BZ90" s="98">
        <v>13</v>
      </c>
      <c r="CA90" s="98">
        <v>14414.4</v>
      </c>
      <c r="CB90" s="98">
        <v>22</v>
      </c>
      <c r="CC90" s="98">
        <v>24393.599999999999</v>
      </c>
      <c r="CD90" s="98">
        <v>11</v>
      </c>
      <c r="CE90" s="98">
        <v>12196.8</v>
      </c>
      <c r="CF90" s="98">
        <v>17</v>
      </c>
      <c r="CG90" s="98">
        <v>18849.599999999999</v>
      </c>
      <c r="CH90" s="98">
        <v>23</v>
      </c>
      <c r="CI90" s="98">
        <v>25502.399999999998</v>
      </c>
      <c r="CJ90" s="98">
        <v>12</v>
      </c>
      <c r="CK90" s="98">
        <v>13305.599999999999</v>
      </c>
      <c r="CL90" s="98">
        <v>15</v>
      </c>
      <c r="CM90" s="98">
        <v>16632</v>
      </c>
      <c r="CN90" s="98">
        <v>18</v>
      </c>
      <c r="CO90" s="98">
        <v>19958.399999999998</v>
      </c>
      <c r="CP90" s="98">
        <v>17</v>
      </c>
      <c r="CQ90" s="98">
        <v>18849.599999999999</v>
      </c>
      <c r="CR90" s="98">
        <v>15</v>
      </c>
      <c r="CS90" s="98">
        <v>16632</v>
      </c>
      <c r="CT90" s="98">
        <v>17</v>
      </c>
      <c r="CU90" s="98">
        <v>18849.599999999999</v>
      </c>
    </row>
    <row r="91" spans="2:99">
      <c r="C91" s="97" t="s">
        <v>258</v>
      </c>
      <c r="D91" s="98">
        <v>13</v>
      </c>
      <c r="E91" s="98">
        <v>14773.199999999999</v>
      </c>
      <c r="F91" s="98">
        <v>20</v>
      </c>
      <c r="G91" s="98">
        <v>22727.999999999996</v>
      </c>
      <c r="H91" s="98">
        <v>11</v>
      </c>
      <c r="I91" s="98">
        <v>12500.399999999998</v>
      </c>
      <c r="J91" s="98">
        <v>11</v>
      </c>
      <c r="K91" s="98">
        <v>12500.399999999998</v>
      </c>
      <c r="L91" s="98">
        <v>19</v>
      </c>
      <c r="M91" s="98">
        <v>21591.599999999999</v>
      </c>
      <c r="N91" s="98">
        <v>12</v>
      </c>
      <c r="O91" s="98">
        <v>13636.8</v>
      </c>
      <c r="P91" s="98">
        <v>9</v>
      </c>
      <c r="Q91" s="98">
        <v>10227.599999999999</v>
      </c>
      <c r="R91" s="98">
        <v>19</v>
      </c>
      <c r="S91" s="98">
        <v>21591.599999999999</v>
      </c>
      <c r="T91" s="98">
        <v>13</v>
      </c>
      <c r="U91" s="98">
        <v>14773.199999999999</v>
      </c>
      <c r="V91" s="98">
        <v>16</v>
      </c>
      <c r="W91" s="98">
        <v>18182.399999999998</v>
      </c>
      <c r="X91" s="98">
        <v>19</v>
      </c>
      <c r="Y91" s="98">
        <v>21591.599999999999</v>
      </c>
      <c r="Z91" s="98">
        <v>17</v>
      </c>
      <c r="AA91" s="98">
        <v>19318.8</v>
      </c>
      <c r="AB91" s="98">
        <v>16</v>
      </c>
      <c r="AC91" s="98">
        <v>18182.399999999998</v>
      </c>
      <c r="AD91" s="98">
        <v>11</v>
      </c>
      <c r="AE91" s="98">
        <v>12500.399999999998</v>
      </c>
      <c r="AF91" s="98">
        <v>12</v>
      </c>
      <c r="AG91" s="98">
        <v>13636.8</v>
      </c>
      <c r="AH91" s="98">
        <v>18</v>
      </c>
      <c r="AI91" s="98">
        <v>20455.199999999997</v>
      </c>
      <c r="AJ91" s="98">
        <v>20</v>
      </c>
      <c r="AK91" s="98">
        <v>22727.999999999996</v>
      </c>
      <c r="AL91" s="98">
        <v>16</v>
      </c>
      <c r="AM91" s="98">
        <v>18182.399999999998</v>
      </c>
      <c r="AN91" s="98">
        <v>14</v>
      </c>
      <c r="AO91" s="98">
        <v>15909.599999999999</v>
      </c>
      <c r="AP91" s="98">
        <v>13</v>
      </c>
      <c r="AQ91" s="98">
        <v>14773.199999999999</v>
      </c>
      <c r="AR91" s="98">
        <v>15</v>
      </c>
      <c r="AS91" s="98">
        <v>17045.999999999996</v>
      </c>
      <c r="AT91" s="98">
        <v>20</v>
      </c>
      <c r="AU91" s="98">
        <v>22727.999999999996</v>
      </c>
      <c r="AV91" s="98">
        <v>22</v>
      </c>
      <c r="AW91" s="98">
        <v>25000.799999999996</v>
      </c>
      <c r="AX91" s="98">
        <v>20</v>
      </c>
      <c r="AY91" s="98">
        <v>22727.999999999996</v>
      </c>
      <c r="AZ91" s="98">
        <v>18</v>
      </c>
      <c r="BA91" s="98">
        <v>20455.199999999997</v>
      </c>
      <c r="BB91" s="98">
        <v>24</v>
      </c>
      <c r="BC91" s="98">
        <v>27273.599999999999</v>
      </c>
      <c r="BD91" s="98">
        <v>15</v>
      </c>
      <c r="BE91" s="98">
        <v>17045.999999999996</v>
      </c>
      <c r="BF91" s="98">
        <v>11</v>
      </c>
      <c r="BG91" s="98">
        <v>12500.399999999998</v>
      </c>
      <c r="BH91" s="98">
        <v>21</v>
      </c>
      <c r="BI91" s="98">
        <v>23864.399999999998</v>
      </c>
      <c r="BJ91" s="98">
        <v>12</v>
      </c>
      <c r="BK91" s="98">
        <v>13636.8</v>
      </c>
      <c r="BL91" s="98">
        <v>20</v>
      </c>
      <c r="BM91" s="98">
        <v>22727.999999999996</v>
      </c>
      <c r="BN91" s="98">
        <v>19</v>
      </c>
      <c r="BO91" s="98">
        <v>21591.599999999999</v>
      </c>
      <c r="BP91" s="98">
        <v>16</v>
      </c>
      <c r="BQ91" s="98">
        <v>18182.399999999998</v>
      </c>
      <c r="BR91" s="98">
        <v>18</v>
      </c>
      <c r="BS91" s="98">
        <v>20455.199999999997</v>
      </c>
      <c r="BT91" s="98">
        <v>18</v>
      </c>
      <c r="BU91" s="98">
        <v>20455.199999999997</v>
      </c>
      <c r="BV91" s="98">
        <v>17</v>
      </c>
      <c r="BW91" s="98">
        <v>19318.8</v>
      </c>
      <c r="BX91" s="98">
        <v>14</v>
      </c>
      <c r="BY91" s="98">
        <v>15909.599999999999</v>
      </c>
      <c r="BZ91" s="98">
        <v>14</v>
      </c>
      <c r="CA91" s="98">
        <v>15909.599999999999</v>
      </c>
      <c r="CB91" s="98">
        <v>24</v>
      </c>
      <c r="CC91" s="98">
        <v>27273.599999999999</v>
      </c>
      <c r="CD91" s="98">
        <v>11</v>
      </c>
      <c r="CE91" s="98">
        <v>12500.399999999998</v>
      </c>
      <c r="CF91" s="98">
        <v>18</v>
      </c>
      <c r="CG91" s="98">
        <v>20455.199999999997</v>
      </c>
      <c r="CH91" s="98">
        <v>21</v>
      </c>
      <c r="CI91" s="98">
        <v>23864.399999999998</v>
      </c>
      <c r="CJ91" s="98">
        <v>12</v>
      </c>
      <c r="CK91" s="98">
        <v>13636.8</v>
      </c>
      <c r="CL91" s="98">
        <v>14</v>
      </c>
      <c r="CM91" s="98">
        <v>15909.599999999999</v>
      </c>
      <c r="CN91" s="98">
        <v>17</v>
      </c>
      <c r="CO91" s="98">
        <v>19318.8</v>
      </c>
      <c r="CP91" s="98">
        <v>17</v>
      </c>
      <c r="CQ91" s="98">
        <v>19318.8</v>
      </c>
      <c r="CR91" s="98">
        <v>14</v>
      </c>
      <c r="CS91" s="98">
        <v>15909.599999999999</v>
      </c>
      <c r="CT91" s="98">
        <v>15</v>
      </c>
      <c r="CU91" s="98">
        <v>17045.999999999996</v>
      </c>
    </row>
    <row r="92" spans="2:99">
      <c r="C92" s="97" t="s">
        <v>259</v>
      </c>
      <c r="D92" s="98">
        <v>13</v>
      </c>
      <c r="E92" s="98">
        <v>10202.4</v>
      </c>
      <c r="F92" s="98">
        <v>17</v>
      </c>
      <c r="G92" s="98">
        <v>13341.599999999999</v>
      </c>
      <c r="H92" s="98">
        <v>11</v>
      </c>
      <c r="I92" s="98">
        <v>8632.7999999999993</v>
      </c>
      <c r="J92" s="98">
        <v>13</v>
      </c>
      <c r="K92" s="98">
        <v>10202.4</v>
      </c>
      <c r="L92" s="98">
        <v>18</v>
      </c>
      <c r="M92" s="98">
        <v>14126.4</v>
      </c>
      <c r="N92" s="98">
        <v>14</v>
      </c>
      <c r="O92" s="98">
        <v>10987.199999999999</v>
      </c>
      <c r="P92" s="98">
        <v>10</v>
      </c>
      <c r="Q92" s="98">
        <v>7848</v>
      </c>
      <c r="R92" s="98">
        <v>18</v>
      </c>
      <c r="S92" s="98">
        <v>14126.4</v>
      </c>
      <c r="T92" s="98">
        <v>13</v>
      </c>
      <c r="U92" s="98">
        <v>10202.4</v>
      </c>
      <c r="V92" s="98">
        <v>20</v>
      </c>
      <c r="W92" s="98">
        <v>15696</v>
      </c>
      <c r="X92" s="98">
        <v>19</v>
      </c>
      <c r="Y92" s="98">
        <v>14911.199999999999</v>
      </c>
      <c r="Z92" s="98">
        <v>17</v>
      </c>
      <c r="AA92" s="98">
        <v>13341.599999999999</v>
      </c>
      <c r="AB92" s="98">
        <v>17</v>
      </c>
      <c r="AC92" s="98">
        <v>13341.599999999999</v>
      </c>
      <c r="AD92" s="98">
        <v>12</v>
      </c>
      <c r="AE92" s="98">
        <v>9417.5999999999985</v>
      </c>
      <c r="AF92" s="98">
        <v>14</v>
      </c>
      <c r="AG92" s="98">
        <v>10987.199999999999</v>
      </c>
      <c r="AH92" s="98">
        <v>18</v>
      </c>
      <c r="AI92" s="98">
        <v>14126.4</v>
      </c>
      <c r="AJ92" s="98">
        <v>21</v>
      </c>
      <c r="AK92" s="98">
        <v>16480.8</v>
      </c>
      <c r="AL92" s="98">
        <v>16</v>
      </c>
      <c r="AM92" s="98">
        <v>12556.8</v>
      </c>
      <c r="AN92" s="98">
        <v>15</v>
      </c>
      <c r="AO92" s="98">
        <v>11772</v>
      </c>
      <c r="AP92" s="98">
        <v>13</v>
      </c>
      <c r="AQ92" s="98">
        <v>10202.4</v>
      </c>
      <c r="AR92" s="98">
        <v>17</v>
      </c>
      <c r="AS92" s="98">
        <v>13341.599999999999</v>
      </c>
      <c r="AT92" s="98">
        <v>21</v>
      </c>
      <c r="AU92" s="98">
        <v>16480.8</v>
      </c>
      <c r="AV92" s="98">
        <v>23</v>
      </c>
      <c r="AW92" s="98">
        <v>18050.399999999998</v>
      </c>
      <c r="AX92" s="98">
        <v>22</v>
      </c>
      <c r="AY92" s="98">
        <v>17265.599999999999</v>
      </c>
      <c r="AZ92" s="98">
        <v>20</v>
      </c>
      <c r="BA92" s="98">
        <v>15696</v>
      </c>
      <c r="BB92" s="98">
        <v>21</v>
      </c>
      <c r="BC92" s="98">
        <v>16480.8</v>
      </c>
      <c r="BD92" s="98">
        <v>18</v>
      </c>
      <c r="BE92" s="98">
        <v>14126.4</v>
      </c>
      <c r="BF92" s="98">
        <v>11</v>
      </c>
      <c r="BG92" s="98">
        <v>8632.7999999999993</v>
      </c>
      <c r="BH92" s="98">
        <v>20</v>
      </c>
      <c r="BI92" s="98">
        <v>15696</v>
      </c>
      <c r="BJ92" s="98">
        <v>12</v>
      </c>
      <c r="BK92" s="98">
        <v>9417.5999999999985</v>
      </c>
      <c r="BL92" s="98">
        <v>22</v>
      </c>
      <c r="BM92" s="98">
        <v>17265.599999999999</v>
      </c>
      <c r="BN92" s="98">
        <v>20</v>
      </c>
      <c r="BO92" s="98">
        <v>15696</v>
      </c>
      <c r="BP92" s="98">
        <v>18</v>
      </c>
      <c r="BQ92" s="98">
        <v>14126.4</v>
      </c>
      <c r="BR92" s="98">
        <v>18</v>
      </c>
      <c r="BS92" s="98">
        <v>14126.4</v>
      </c>
      <c r="BT92" s="98">
        <v>20</v>
      </c>
      <c r="BU92" s="98">
        <v>15696</v>
      </c>
      <c r="BV92" s="98">
        <v>16</v>
      </c>
      <c r="BW92" s="98">
        <v>12556.8</v>
      </c>
      <c r="BX92" s="98">
        <v>15</v>
      </c>
      <c r="BY92" s="98">
        <v>11772</v>
      </c>
      <c r="BZ92" s="98">
        <v>16</v>
      </c>
      <c r="CA92" s="98">
        <v>12556.8</v>
      </c>
      <c r="CB92" s="98">
        <v>25</v>
      </c>
      <c r="CC92" s="98">
        <v>19620</v>
      </c>
      <c r="CD92" s="98">
        <v>11</v>
      </c>
      <c r="CE92" s="98">
        <v>8632.7999999999993</v>
      </c>
      <c r="CF92" s="98">
        <v>20</v>
      </c>
      <c r="CG92" s="98">
        <v>15696</v>
      </c>
      <c r="CH92" s="98">
        <v>25</v>
      </c>
      <c r="CI92" s="98">
        <v>19620</v>
      </c>
      <c r="CJ92" s="98">
        <v>13</v>
      </c>
      <c r="CK92" s="98">
        <v>10202.4</v>
      </c>
      <c r="CL92" s="98">
        <v>17</v>
      </c>
      <c r="CM92" s="98">
        <v>13341.599999999999</v>
      </c>
      <c r="CN92" s="98">
        <v>17</v>
      </c>
      <c r="CO92" s="98">
        <v>13341.599999999999</v>
      </c>
      <c r="CP92" s="98">
        <v>16</v>
      </c>
      <c r="CQ92" s="98">
        <v>12556.8</v>
      </c>
      <c r="CR92" s="98">
        <v>15</v>
      </c>
      <c r="CS92" s="98">
        <v>11772</v>
      </c>
      <c r="CT92" s="98">
        <v>15</v>
      </c>
      <c r="CU92" s="98">
        <v>11772</v>
      </c>
    </row>
    <row r="93" spans="2:99">
      <c r="C93" s="97" t="s">
        <v>260</v>
      </c>
      <c r="D93" s="98">
        <v>14</v>
      </c>
      <c r="E93" s="98">
        <v>9710.4</v>
      </c>
      <c r="F93" s="98">
        <v>21</v>
      </c>
      <c r="G93" s="98">
        <v>14565.6</v>
      </c>
      <c r="H93" s="98">
        <v>13</v>
      </c>
      <c r="I93" s="98">
        <v>9016.8000000000011</v>
      </c>
      <c r="J93" s="98">
        <v>11</v>
      </c>
      <c r="K93" s="98">
        <v>7629.6</v>
      </c>
      <c r="L93" s="98">
        <v>21</v>
      </c>
      <c r="M93" s="98">
        <v>14565.6</v>
      </c>
      <c r="N93" s="98">
        <v>13</v>
      </c>
      <c r="O93" s="98">
        <v>9016.8000000000011</v>
      </c>
      <c r="P93" s="98">
        <v>10</v>
      </c>
      <c r="Q93" s="98">
        <v>6936</v>
      </c>
      <c r="R93" s="98">
        <v>20</v>
      </c>
      <c r="S93" s="98">
        <v>13872</v>
      </c>
      <c r="T93" s="98">
        <v>13</v>
      </c>
      <c r="U93" s="98">
        <v>9016.8000000000011</v>
      </c>
      <c r="V93" s="98">
        <v>18</v>
      </c>
      <c r="W93" s="98">
        <v>12484.800000000001</v>
      </c>
      <c r="X93" s="98">
        <v>21</v>
      </c>
      <c r="Y93" s="98">
        <v>14565.6</v>
      </c>
      <c r="Z93" s="98">
        <v>17</v>
      </c>
      <c r="AA93" s="98">
        <v>11791.2</v>
      </c>
      <c r="AB93" s="98">
        <v>18</v>
      </c>
      <c r="AC93" s="98">
        <v>12484.800000000001</v>
      </c>
      <c r="AD93" s="98">
        <v>13</v>
      </c>
      <c r="AE93" s="98">
        <v>9016.8000000000011</v>
      </c>
      <c r="AF93" s="98">
        <v>12</v>
      </c>
      <c r="AG93" s="98">
        <v>8323.2000000000007</v>
      </c>
      <c r="AH93" s="98">
        <v>20</v>
      </c>
      <c r="AI93" s="98">
        <v>13872</v>
      </c>
      <c r="AJ93" s="98">
        <v>23</v>
      </c>
      <c r="AK93" s="98">
        <v>15952.800000000001</v>
      </c>
      <c r="AL93" s="98">
        <v>14</v>
      </c>
      <c r="AM93" s="98">
        <v>9710.4</v>
      </c>
      <c r="AN93" s="98">
        <v>16</v>
      </c>
      <c r="AO93" s="98">
        <v>11097.6</v>
      </c>
      <c r="AP93" s="98">
        <v>14</v>
      </c>
      <c r="AQ93" s="98">
        <v>9710.4</v>
      </c>
      <c r="AR93" s="98">
        <v>17</v>
      </c>
      <c r="AS93" s="98">
        <v>11791.2</v>
      </c>
      <c r="AT93" s="98">
        <v>21</v>
      </c>
      <c r="AU93" s="98">
        <v>14565.6</v>
      </c>
      <c r="AV93" s="98">
        <v>20</v>
      </c>
      <c r="AW93" s="98">
        <v>13872</v>
      </c>
      <c r="AX93" s="98">
        <v>21</v>
      </c>
      <c r="AY93" s="98">
        <v>14565.6</v>
      </c>
      <c r="AZ93" s="98">
        <v>22</v>
      </c>
      <c r="BA93" s="98">
        <v>15259.2</v>
      </c>
      <c r="BB93" s="98">
        <v>24</v>
      </c>
      <c r="BC93" s="98">
        <v>16646.400000000001</v>
      </c>
      <c r="BD93" s="98">
        <v>16</v>
      </c>
      <c r="BE93" s="98">
        <v>11097.6</v>
      </c>
      <c r="BF93" s="98">
        <v>12</v>
      </c>
      <c r="BG93" s="98">
        <v>8323.2000000000007</v>
      </c>
      <c r="BH93" s="98">
        <v>21</v>
      </c>
      <c r="BI93" s="98">
        <v>14565.6</v>
      </c>
      <c r="BJ93" s="98">
        <v>11</v>
      </c>
      <c r="BK93" s="98">
        <v>7629.6</v>
      </c>
      <c r="BL93" s="98">
        <v>21</v>
      </c>
      <c r="BM93" s="98">
        <v>14565.6</v>
      </c>
      <c r="BN93" s="98">
        <v>18</v>
      </c>
      <c r="BO93" s="98">
        <v>12484.800000000001</v>
      </c>
      <c r="BP93" s="98">
        <v>17</v>
      </c>
      <c r="BQ93" s="98">
        <v>11791.2</v>
      </c>
      <c r="BR93" s="98">
        <v>16</v>
      </c>
      <c r="BS93" s="98">
        <v>11097.6</v>
      </c>
      <c r="BT93" s="98">
        <v>21</v>
      </c>
      <c r="BU93" s="98">
        <v>14565.6</v>
      </c>
      <c r="BV93" s="98">
        <v>17</v>
      </c>
      <c r="BW93" s="98">
        <v>11791.2</v>
      </c>
      <c r="BX93" s="98">
        <v>16</v>
      </c>
      <c r="BY93" s="98">
        <v>11097.6</v>
      </c>
      <c r="BZ93" s="98">
        <v>15</v>
      </c>
      <c r="CA93" s="98">
        <v>10404</v>
      </c>
      <c r="CB93" s="98">
        <v>26</v>
      </c>
      <c r="CC93" s="98">
        <v>18033.600000000002</v>
      </c>
      <c r="CD93" s="98">
        <v>13</v>
      </c>
      <c r="CE93" s="98">
        <v>9016.8000000000011</v>
      </c>
      <c r="CF93" s="98">
        <v>20</v>
      </c>
      <c r="CG93" s="98">
        <v>13872</v>
      </c>
      <c r="CH93" s="98">
        <v>21</v>
      </c>
      <c r="CI93" s="98">
        <v>14565.6</v>
      </c>
      <c r="CJ93" s="98">
        <v>12</v>
      </c>
      <c r="CK93" s="98">
        <v>8323.2000000000007</v>
      </c>
      <c r="CL93" s="98">
        <v>16</v>
      </c>
      <c r="CM93" s="98">
        <v>11097.6</v>
      </c>
      <c r="CN93" s="98">
        <v>18</v>
      </c>
      <c r="CO93" s="98">
        <v>12484.800000000001</v>
      </c>
      <c r="CP93" s="98">
        <v>17</v>
      </c>
      <c r="CQ93" s="98">
        <v>11791.2</v>
      </c>
      <c r="CR93" s="98">
        <v>15</v>
      </c>
      <c r="CS93" s="98">
        <v>10404</v>
      </c>
      <c r="CT93" s="98">
        <v>16</v>
      </c>
      <c r="CU93" s="98">
        <v>11097.6</v>
      </c>
    </row>
    <row r="94" spans="2:99">
      <c r="C94" s="97" t="s">
        <v>261</v>
      </c>
      <c r="D94" s="98">
        <v>14</v>
      </c>
      <c r="E94" s="98">
        <v>16699.2</v>
      </c>
      <c r="F94" s="98">
        <v>18</v>
      </c>
      <c r="G94" s="98">
        <v>21470.399999999998</v>
      </c>
      <c r="H94" s="98">
        <v>12</v>
      </c>
      <c r="I94" s="98">
        <v>14313.599999999999</v>
      </c>
      <c r="J94" s="98">
        <v>12</v>
      </c>
      <c r="K94" s="98">
        <v>14313.599999999999</v>
      </c>
      <c r="L94" s="98">
        <v>20</v>
      </c>
      <c r="M94" s="98">
        <v>23856</v>
      </c>
      <c r="N94" s="98">
        <v>14</v>
      </c>
      <c r="O94" s="98">
        <v>16699.2</v>
      </c>
      <c r="P94" s="98">
        <v>10</v>
      </c>
      <c r="Q94" s="98">
        <v>11928</v>
      </c>
      <c r="R94" s="98">
        <v>19</v>
      </c>
      <c r="S94" s="98">
        <v>22663.200000000001</v>
      </c>
      <c r="T94" s="98">
        <v>13</v>
      </c>
      <c r="U94" s="98">
        <v>15506.4</v>
      </c>
      <c r="V94" s="98">
        <v>20</v>
      </c>
      <c r="W94" s="98">
        <v>23856</v>
      </c>
      <c r="X94" s="98">
        <v>20</v>
      </c>
      <c r="Y94" s="98">
        <v>23856</v>
      </c>
      <c r="Z94" s="98">
        <v>18</v>
      </c>
      <c r="AA94" s="98">
        <v>21470.399999999998</v>
      </c>
      <c r="AB94" s="98">
        <v>16</v>
      </c>
      <c r="AC94" s="98">
        <v>19084.8</v>
      </c>
      <c r="AD94" s="98">
        <v>11</v>
      </c>
      <c r="AE94" s="98">
        <v>13120.8</v>
      </c>
      <c r="AF94" s="98">
        <v>13</v>
      </c>
      <c r="AG94" s="98">
        <v>15506.4</v>
      </c>
      <c r="AH94" s="98">
        <v>17</v>
      </c>
      <c r="AI94" s="98">
        <v>20277.599999999999</v>
      </c>
      <c r="AJ94" s="98">
        <v>22</v>
      </c>
      <c r="AK94" s="98">
        <v>26241.599999999999</v>
      </c>
      <c r="AL94" s="98">
        <v>15</v>
      </c>
      <c r="AM94" s="98">
        <v>17892</v>
      </c>
      <c r="AN94" s="98">
        <v>13</v>
      </c>
      <c r="AO94" s="98">
        <v>15506.4</v>
      </c>
      <c r="AP94" s="98">
        <v>12</v>
      </c>
      <c r="AQ94" s="98">
        <v>14313.599999999999</v>
      </c>
      <c r="AR94" s="98">
        <v>15</v>
      </c>
      <c r="AS94" s="98">
        <v>17892</v>
      </c>
      <c r="AT94" s="98">
        <v>18</v>
      </c>
      <c r="AU94" s="98">
        <v>21470.399999999998</v>
      </c>
      <c r="AV94" s="98">
        <v>20</v>
      </c>
      <c r="AW94" s="98">
        <v>23856</v>
      </c>
      <c r="AX94" s="98">
        <v>19</v>
      </c>
      <c r="AY94" s="98">
        <v>22663.200000000001</v>
      </c>
      <c r="AZ94" s="98">
        <v>22</v>
      </c>
      <c r="BA94" s="98">
        <v>26241.599999999999</v>
      </c>
      <c r="BB94" s="98">
        <v>21</v>
      </c>
      <c r="BC94" s="98">
        <v>25048.799999999999</v>
      </c>
      <c r="BD94" s="98">
        <v>17</v>
      </c>
      <c r="BE94" s="98">
        <v>20277.599999999999</v>
      </c>
      <c r="BF94" s="98">
        <v>11</v>
      </c>
      <c r="BG94" s="98">
        <v>13120.8</v>
      </c>
      <c r="BH94" s="98">
        <v>18</v>
      </c>
      <c r="BI94" s="98">
        <v>21470.399999999998</v>
      </c>
      <c r="BJ94" s="98">
        <v>12</v>
      </c>
      <c r="BK94" s="98">
        <v>14313.599999999999</v>
      </c>
      <c r="BL94" s="98">
        <v>18</v>
      </c>
      <c r="BM94" s="98">
        <v>21470.399999999998</v>
      </c>
      <c r="BN94" s="98">
        <v>18</v>
      </c>
      <c r="BO94" s="98">
        <v>21470.399999999998</v>
      </c>
      <c r="BP94" s="98">
        <v>15</v>
      </c>
      <c r="BQ94" s="98">
        <v>17892</v>
      </c>
      <c r="BR94" s="98">
        <v>17</v>
      </c>
      <c r="BS94" s="98">
        <v>20277.599999999999</v>
      </c>
      <c r="BT94" s="98">
        <v>19</v>
      </c>
      <c r="BU94" s="98">
        <v>22663.200000000001</v>
      </c>
      <c r="BV94" s="98">
        <v>17</v>
      </c>
      <c r="BW94" s="98">
        <v>20277.599999999999</v>
      </c>
      <c r="BX94" s="98">
        <v>15</v>
      </c>
      <c r="BY94" s="98">
        <v>17892</v>
      </c>
      <c r="BZ94" s="98">
        <v>14</v>
      </c>
      <c r="CA94" s="98">
        <v>16699.2</v>
      </c>
      <c r="CB94" s="98">
        <v>23</v>
      </c>
      <c r="CC94" s="98">
        <v>27434.399999999998</v>
      </c>
      <c r="CD94" s="98">
        <v>12</v>
      </c>
      <c r="CE94" s="98">
        <v>14313.599999999999</v>
      </c>
      <c r="CF94" s="98">
        <v>16</v>
      </c>
      <c r="CG94" s="98">
        <v>19084.8</v>
      </c>
      <c r="CH94" s="98">
        <v>21</v>
      </c>
      <c r="CI94" s="98">
        <v>25048.799999999999</v>
      </c>
      <c r="CJ94" s="98">
        <v>13</v>
      </c>
      <c r="CK94" s="98">
        <v>15506.4</v>
      </c>
      <c r="CL94" s="98">
        <v>13</v>
      </c>
      <c r="CM94" s="98">
        <v>15506.4</v>
      </c>
      <c r="CN94" s="98">
        <v>17</v>
      </c>
      <c r="CO94" s="98">
        <v>20277.599999999999</v>
      </c>
      <c r="CP94" s="98">
        <v>17</v>
      </c>
      <c r="CQ94" s="98">
        <v>20277.599999999999</v>
      </c>
      <c r="CR94" s="98">
        <v>12</v>
      </c>
      <c r="CS94" s="98">
        <v>14313.599999999999</v>
      </c>
      <c r="CT94" s="98">
        <v>15</v>
      </c>
      <c r="CU94" s="98">
        <v>17892</v>
      </c>
    </row>
    <row r="95" spans="2:99">
      <c r="B95" s="97" t="s">
        <v>132</v>
      </c>
      <c r="C95" s="97" t="s">
        <v>262</v>
      </c>
      <c r="D95" s="98">
        <v>5</v>
      </c>
      <c r="E95" s="98">
        <v>1644</v>
      </c>
      <c r="F95" s="98">
        <v>7</v>
      </c>
      <c r="G95" s="98">
        <v>2301.6</v>
      </c>
      <c r="H95" s="98">
        <v>7</v>
      </c>
      <c r="I95" s="98">
        <v>2301.6</v>
      </c>
      <c r="J95" s="98">
        <v>4</v>
      </c>
      <c r="K95" s="98">
        <v>1315.2</v>
      </c>
      <c r="L95" s="98">
        <v>4</v>
      </c>
      <c r="M95" s="98">
        <v>1315.2</v>
      </c>
      <c r="N95" s="98">
        <v>7</v>
      </c>
      <c r="O95" s="98">
        <v>2301.6</v>
      </c>
      <c r="P95" s="98">
        <v>5</v>
      </c>
      <c r="Q95" s="98">
        <v>1644</v>
      </c>
      <c r="R95" s="98">
        <v>5</v>
      </c>
      <c r="S95" s="98">
        <v>1644</v>
      </c>
      <c r="T95" s="98">
        <v>6</v>
      </c>
      <c r="U95" s="98">
        <v>1972.8000000000002</v>
      </c>
      <c r="V95" s="98">
        <v>6</v>
      </c>
      <c r="W95" s="98">
        <v>1972.8000000000002</v>
      </c>
      <c r="X95" s="98">
        <v>5</v>
      </c>
      <c r="Y95" s="98">
        <v>1644</v>
      </c>
      <c r="Z95" s="98">
        <v>6</v>
      </c>
      <c r="AA95" s="98">
        <v>1972.8000000000002</v>
      </c>
      <c r="AB95" s="98">
        <v>7</v>
      </c>
      <c r="AC95" s="98">
        <v>2301.6</v>
      </c>
      <c r="AD95" s="98">
        <v>6</v>
      </c>
      <c r="AE95" s="98">
        <v>1972.8000000000002</v>
      </c>
      <c r="AF95" s="98">
        <v>5</v>
      </c>
      <c r="AG95" s="98">
        <v>1644</v>
      </c>
      <c r="AH95" s="98">
        <v>5</v>
      </c>
      <c r="AI95" s="98">
        <v>1644</v>
      </c>
      <c r="AJ95" s="98">
        <v>5</v>
      </c>
      <c r="AK95" s="98">
        <v>1644</v>
      </c>
      <c r="AL95" s="98">
        <v>5</v>
      </c>
      <c r="AM95" s="98">
        <v>1644</v>
      </c>
      <c r="AN95" s="98">
        <v>6</v>
      </c>
      <c r="AO95" s="98">
        <v>1972.8000000000002</v>
      </c>
      <c r="AP95" s="98">
        <v>6</v>
      </c>
      <c r="AQ95" s="98">
        <v>1972.8000000000002</v>
      </c>
      <c r="AR95" s="98">
        <v>4</v>
      </c>
      <c r="AS95" s="98">
        <v>1315.2</v>
      </c>
      <c r="AT95" s="98">
        <v>5</v>
      </c>
      <c r="AU95" s="98">
        <v>1644</v>
      </c>
      <c r="AV95" s="98">
        <v>7</v>
      </c>
      <c r="AW95" s="98">
        <v>2301.6</v>
      </c>
      <c r="AX95" s="98">
        <v>4</v>
      </c>
      <c r="AY95" s="98">
        <v>1315.2</v>
      </c>
      <c r="AZ95" s="98">
        <v>7</v>
      </c>
      <c r="BA95" s="98">
        <v>2301.6</v>
      </c>
      <c r="BB95" s="98">
        <v>6</v>
      </c>
      <c r="BC95" s="98">
        <v>1972.8000000000002</v>
      </c>
      <c r="BD95" s="98">
        <v>7</v>
      </c>
      <c r="BE95" s="98">
        <v>2301.6</v>
      </c>
      <c r="BF95" s="98">
        <v>5</v>
      </c>
      <c r="BG95" s="98">
        <v>1644</v>
      </c>
      <c r="BH95" s="98">
        <v>4</v>
      </c>
      <c r="BI95" s="98">
        <v>1315.2</v>
      </c>
      <c r="BJ95" s="98">
        <v>5</v>
      </c>
      <c r="BK95" s="98">
        <v>1644</v>
      </c>
      <c r="BL95" s="98">
        <v>4</v>
      </c>
      <c r="BM95" s="98">
        <v>1315.2</v>
      </c>
      <c r="BN95" s="98">
        <v>6</v>
      </c>
      <c r="BO95" s="98">
        <v>1972.8000000000002</v>
      </c>
      <c r="BP95" s="98">
        <v>4</v>
      </c>
      <c r="BQ95" s="98">
        <v>1315.2</v>
      </c>
      <c r="BR95" s="98">
        <v>4</v>
      </c>
      <c r="BS95" s="98">
        <v>1315.2</v>
      </c>
      <c r="BT95" s="98">
        <v>6</v>
      </c>
      <c r="BU95" s="98">
        <v>1972.8000000000002</v>
      </c>
      <c r="BV95" s="98">
        <v>4</v>
      </c>
      <c r="BW95" s="98">
        <v>1315.2</v>
      </c>
      <c r="BX95" s="98">
        <v>5</v>
      </c>
      <c r="BY95" s="98">
        <v>1644</v>
      </c>
      <c r="BZ95" s="98">
        <v>5</v>
      </c>
      <c r="CA95" s="98">
        <v>1644</v>
      </c>
      <c r="CB95" s="98">
        <v>4</v>
      </c>
      <c r="CC95" s="98">
        <v>1315.2</v>
      </c>
      <c r="CD95" s="98">
        <v>5</v>
      </c>
      <c r="CE95" s="98">
        <v>1644</v>
      </c>
      <c r="CF95" s="98">
        <v>5</v>
      </c>
      <c r="CG95" s="98">
        <v>1644</v>
      </c>
      <c r="CH95" s="98">
        <v>6</v>
      </c>
      <c r="CI95" s="98">
        <v>1972.8000000000002</v>
      </c>
      <c r="CJ95" s="98">
        <v>5</v>
      </c>
      <c r="CK95" s="98">
        <v>1644</v>
      </c>
      <c r="CL95" s="98">
        <v>7</v>
      </c>
      <c r="CM95" s="98">
        <v>2301.6</v>
      </c>
      <c r="CN95" s="98">
        <v>7</v>
      </c>
      <c r="CO95" s="98">
        <v>2301.6</v>
      </c>
      <c r="CP95" s="98">
        <v>5</v>
      </c>
      <c r="CQ95" s="98">
        <v>1644</v>
      </c>
      <c r="CR95" s="98">
        <v>7</v>
      </c>
      <c r="CS95" s="98">
        <v>2301.6</v>
      </c>
      <c r="CT95" s="98">
        <v>5</v>
      </c>
      <c r="CU95" s="98">
        <v>1644</v>
      </c>
    </row>
    <row r="96" spans="2:99">
      <c r="C96" s="97" t="s">
        <v>263</v>
      </c>
      <c r="D96" s="98">
        <v>4</v>
      </c>
      <c r="E96" s="98">
        <v>2779.2</v>
      </c>
      <c r="F96" s="98">
        <v>6</v>
      </c>
      <c r="G96" s="98">
        <v>4168.7999999999993</v>
      </c>
      <c r="H96" s="98">
        <v>6</v>
      </c>
      <c r="I96" s="98">
        <v>4168.7999999999993</v>
      </c>
      <c r="J96" s="98">
        <v>5</v>
      </c>
      <c r="K96" s="98">
        <v>3474</v>
      </c>
      <c r="L96" s="98">
        <v>4</v>
      </c>
      <c r="M96" s="98">
        <v>2779.2</v>
      </c>
      <c r="N96" s="98">
        <v>6</v>
      </c>
      <c r="O96" s="98">
        <v>4168.7999999999993</v>
      </c>
      <c r="P96" s="98">
        <v>5</v>
      </c>
      <c r="Q96" s="98">
        <v>3474</v>
      </c>
      <c r="R96" s="98">
        <v>6</v>
      </c>
      <c r="S96" s="98">
        <v>4168.7999999999993</v>
      </c>
      <c r="T96" s="98">
        <v>6</v>
      </c>
      <c r="U96" s="98">
        <v>4168.7999999999993</v>
      </c>
      <c r="V96" s="98">
        <v>5</v>
      </c>
      <c r="W96" s="98">
        <v>3474</v>
      </c>
      <c r="X96" s="98">
        <v>4</v>
      </c>
      <c r="Y96" s="98">
        <v>2779.2</v>
      </c>
      <c r="Z96" s="98">
        <v>7</v>
      </c>
      <c r="AA96" s="98">
        <v>4863.5999999999995</v>
      </c>
      <c r="AB96" s="98">
        <v>6</v>
      </c>
      <c r="AC96" s="98">
        <v>4168.7999999999993</v>
      </c>
      <c r="AD96" s="98">
        <v>5</v>
      </c>
      <c r="AE96" s="98">
        <v>3474</v>
      </c>
      <c r="AF96" s="98">
        <v>5</v>
      </c>
      <c r="AG96" s="98">
        <v>3474</v>
      </c>
      <c r="AH96" s="98">
        <v>5</v>
      </c>
      <c r="AI96" s="98">
        <v>3474</v>
      </c>
      <c r="AJ96" s="98">
        <v>6</v>
      </c>
      <c r="AK96" s="98">
        <v>4168.7999999999993</v>
      </c>
      <c r="AL96" s="98">
        <v>5</v>
      </c>
      <c r="AM96" s="98">
        <v>3474</v>
      </c>
      <c r="AN96" s="98">
        <v>6</v>
      </c>
      <c r="AO96" s="98">
        <v>4168.7999999999993</v>
      </c>
      <c r="AP96" s="98">
        <v>6</v>
      </c>
      <c r="AQ96" s="98">
        <v>4168.7999999999993</v>
      </c>
      <c r="AR96" s="98">
        <v>4</v>
      </c>
      <c r="AS96" s="98">
        <v>2779.2</v>
      </c>
      <c r="AT96" s="98">
        <v>4</v>
      </c>
      <c r="AU96" s="98">
        <v>2779.2</v>
      </c>
      <c r="AV96" s="98">
        <v>6</v>
      </c>
      <c r="AW96" s="98">
        <v>4168.7999999999993</v>
      </c>
      <c r="AX96" s="98">
        <v>4</v>
      </c>
      <c r="AY96" s="98">
        <v>2779.2</v>
      </c>
      <c r="AZ96" s="98">
        <v>6</v>
      </c>
      <c r="BA96" s="98">
        <v>4168.7999999999993</v>
      </c>
      <c r="BB96" s="98">
        <v>7</v>
      </c>
      <c r="BC96" s="98">
        <v>4863.5999999999995</v>
      </c>
      <c r="BD96" s="98">
        <v>6</v>
      </c>
      <c r="BE96" s="98">
        <v>4168.7999999999993</v>
      </c>
      <c r="BF96" s="98">
        <v>5</v>
      </c>
      <c r="BG96" s="98">
        <v>3474</v>
      </c>
      <c r="BH96" s="98">
        <v>5</v>
      </c>
      <c r="BI96" s="98">
        <v>3474</v>
      </c>
      <c r="BJ96" s="98">
        <v>5</v>
      </c>
      <c r="BK96" s="98">
        <v>3474</v>
      </c>
      <c r="BL96" s="98">
        <v>4</v>
      </c>
      <c r="BM96" s="98">
        <v>2779.2</v>
      </c>
      <c r="BN96" s="98">
        <v>5</v>
      </c>
      <c r="BO96" s="98">
        <v>3474</v>
      </c>
      <c r="BP96" s="98">
        <v>4</v>
      </c>
      <c r="BQ96" s="98">
        <v>2779.2</v>
      </c>
      <c r="BR96" s="98">
        <v>4</v>
      </c>
      <c r="BS96" s="98">
        <v>2779.2</v>
      </c>
      <c r="BT96" s="98">
        <v>6</v>
      </c>
      <c r="BU96" s="98">
        <v>4168.7999999999993</v>
      </c>
      <c r="BV96" s="98">
        <v>4</v>
      </c>
      <c r="BW96" s="98">
        <v>2779.2</v>
      </c>
      <c r="BX96" s="98">
        <v>6</v>
      </c>
      <c r="BY96" s="98">
        <v>4168.7999999999993</v>
      </c>
      <c r="BZ96" s="98">
        <v>5</v>
      </c>
      <c r="CA96" s="98">
        <v>3474</v>
      </c>
      <c r="CB96" s="98">
        <v>4</v>
      </c>
      <c r="CC96" s="98">
        <v>2779.2</v>
      </c>
      <c r="CD96" s="98">
        <v>5</v>
      </c>
      <c r="CE96" s="98">
        <v>3474</v>
      </c>
      <c r="CF96" s="98">
        <v>5</v>
      </c>
      <c r="CG96" s="98">
        <v>3474</v>
      </c>
      <c r="CH96" s="98">
        <v>6</v>
      </c>
      <c r="CI96" s="98">
        <v>4168.7999999999993</v>
      </c>
      <c r="CJ96" s="98">
        <v>5</v>
      </c>
      <c r="CK96" s="98">
        <v>3474</v>
      </c>
      <c r="CL96" s="98">
        <v>7</v>
      </c>
      <c r="CM96" s="98">
        <v>4863.5999999999995</v>
      </c>
      <c r="CN96" s="98">
        <v>8</v>
      </c>
      <c r="CO96" s="98">
        <v>5558.4</v>
      </c>
      <c r="CP96" s="98">
        <v>5</v>
      </c>
      <c r="CQ96" s="98">
        <v>3474</v>
      </c>
      <c r="CR96" s="98">
        <v>7</v>
      </c>
      <c r="CS96" s="98">
        <v>4863.5999999999995</v>
      </c>
      <c r="CT96" s="98">
        <v>6</v>
      </c>
      <c r="CU96" s="98">
        <v>4168.7999999999993</v>
      </c>
    </row>
    <row r="97" spans="2:99">
      <c r="C97" s="97" t="s">
        <v>264</v>
      </c>
      <c r="D97" s="98">
        <v>4</v>
      </c>
      <c r="E97" s="98">
        <v>1569.6</v>
      </c>
      <c r="F97" s="98">
        <v>7</v>
      </c>
      <c r="G97" s="98">
        <v>2746.7999999999997</v>
      </c>
      <c r="H97" s="98">
        <v>6</v>
      </c>
      <c r="I97" s="98">
        <v>2354.3999999999996</v>
      </c>
      <c r="J97" s="98">
        <v>5</v>
      </c>
      <c r="K97" s="98">
        <v>1962</v>
      </c>
      <c r="L97" s="98">
        <v>5</v>
      </c>
      <c r="M97" s="98">
        <v>1962</v>
      </c>
      <c r="N97" s="98">
        <v>7</v>
      </c>
      <c r="O97" s="98">
        <v>2746.7999999999997</v>
      </c>
      <c r="P97" s="98">
        <v>6</v>
      </c>
      <c r="Q97" s="98">
        <v>2354.3999999999996</v>
      </c>
      <c r="R97" s="98">
        <v>5</v>
      </c>
      <c r="S97" s="98">
        <v>1962</v>
      </c>
      <c r="T97" s="98">
        <v>7</v>
      </c>
      <c r="U97" s="98">
        <v>2746.7999999999997</v>
      </c>
      <c r="V97" s="98">
        <v>5</v>
      </c>
      <c r="W97" s="98">
        <v>1962</v>
      </c>
      <c r="X97" s="98">
        <v>4</v>
      </c>
      <c r="Y97" s="98">
        <v>1569.6</v>
      </c>
      <c r="Z97" s="98">
        <v>6</v>
      </c>
      <c r="AA97" s="98">
        <v>2354.3999999999996</v>
      </c>
      <c r="AB97" s="98">
        <v>7</v>
      </c>
      <c r="AC97" s="98">
        <v>2746.7999999999997</v>
      </c>
      <c r="AD97" s="98">
        <v>6</v>
      </c>
      <c r="AE97" s="98">
        <v>2354.3999999999996</v>
      </c>
      <c r="AF97" s="98">
        <v>5</v>
      </c>
      <c r="AG97" s="98">
        <v>1962</v>
      </c>
      <c r="AH97" s="98">
        <v>5</v>
      </c>
      <c r="AI97" s="98">
        <v>1962</v>
      </c>
      <c r="AJ97" s="98">
        <v>5</v>
      </c>
      <c r="AK97" s="98">
        <v>1962</v>
      </c>
      <c r="AL97" s="98">
        <v>5</v>
      </c>
      <c r="AM97" s="98">
        <v>1962</v>
      </c>
      <c r="AN97" s="98">
        <v>6</v>
      </c>
      <c r="AO97" s="98">
        <v>2354.3999999999996</v>
      </c>
      <c r="AP97" s="98">
        <v>6</v>
      </c>
      <c r="AQ97" s="98">
        <v>2354.3999999999996</v>
      </c>
      <c r="AR97" s="98">
        <v>4</v>
      </c>
      <c r="AS97" s="98">
        <v>1569.6</v>
      </c>
      <c r="AT97" s="98">
        <v>4</v>
      </c>
      <c r="AU97" s="98">
        <v>1569.6</v>
      </c>
      <c r="AV97" s="98">
        <v>7</v>
      </c>
      <c r="AW97" s="98">
        <v>2746.7999999999997</v>
      </c>
      <c r="AX97" s="98">
        <v>4</v>
      </c>
      <c r="AY97" s="98">
        <v>1569.6</v>
      </c>
      <c r="AZ97" s="98">
        <v>6</v>
      </c>
      <c r="BA97" s="98">
        <v>2354.3999999999996</v>
      </c>
      <c r="BB97" s="98">
        <v>7</v>
      </c>
      <c r="BC97" s="98">
        <v>2746.7999999999997</v>
      </c>
      <c r="BD97" s="98">
        <v>6</v>
      </c>
      <c r="BE97" s="98">
        <v>2354.3999999999996</v>
      </c>
      <c r="BF97" s="98">
        <v>5</v>
      </c>
      <c r="BG97" s="98">
        <v>1962</v>
      </c>
      <c r="BH97" s="98">
        <v>4</v>
      </c>
      <c r="BI97" s="98">
        <v>1569.6</v>
      </c>
      <c r="BJ97" s="98">
        <v>4</v>
      </c>
      <c r="BK97" s="98">
        <v>1569.6</v>
      </c>
      <c r="BL97" s="98">
        <v>4</v>
      </c>
      <c r="BM97" s="98">
        <v>1569.6</v>
      </c>
      <c r="BN97" s="98">
        <v>5</v>
      </c>
      <c r="BO97" s="98">
        <v>1962</v>
      </c>
      <c r="BP97" s="98">
        <v>4</v>
      </c>
      <c r="BQ97" s="98">
        <v>1569.6</v>
      </c>
      <c r="BR97" s="98">
        <v>3</v>
      </c>
      <c r="BS97" s="98">
        <v>1177.1999999999998</v>
      </c>
      <c r="BT97" s="98">
        <v>7</v>
      </c>
      <c r="BU97" s="98">
        <v>2746.7999999999997</v>
      </c>
      <c r="BV97" s="98">
        <v>4</v>
      </c>
      <c r="BW97" s="98">
        <v>1569.6</v>
      </c>
      <c r="BX97" s="98">
        <v>6</v>
      </c>
      <c r="BY97" s="98">
        <v>2354.3999999999996</v>
      </c>
      <c r="BZ97" s="98">
        <v>6</v>
      </c>
      <c r="CA97" s="98">
        <v>2354.3999999999996</v>
      </c>
      <c r="CB97" s="98">
        <v>4</v>
      </c>
      <c r="CC97" s="98">
        <v>1569.6</v>
      </c>
      <c r="CD97" s="98">
        <v>5</v>
      </c>
      <c r="CE97" s="98">
        <v>1962</v>
      </c>
      <c r="CF97" s="98">
        <v>5</v>
      </c>
      <c r="CG97" s="98">
        <v>1962</v>
      </c>
      <c r="CH97" s="98">
        <v>7</v>
      </c>
      <c r="CI97" s="98">
        <v>2746.7999999999997</v>
      </c>
      <c r="CJ97" s="98">
        <v>5</v>
      </c>
      <c r="CK97" s="98">
        <v>1962</v>
      </c>
      <c r="CL97" s="98">
        <v>8</v>
      </c>
      <c r="CM97" s="98">
        <v>3139.2</v>
      </c>
      <c r="CN97" s="98">
        <v>7</v>
      </c>
      <c r="CO97" s="98">
        <v>2746.7999999999997</v>
      </c>
      <c r="CP97" s="98">
        <v>6</v>
      </c>
      <c r="CQ97" s="98">
        <v>2354.3999999999996</v>
      </c>
      <c r="CR97" s="98">
        <v>7</v>
      </c>
      <c r="CS97" s="98">
        <v>2746.7999999999997</v>
      </c>
      <c r="CT97" s="98">
        <v>6</v>
      </c>
      <c r="CU97" s="98">
        <v>2354.3999999999996</v>
      </c>
    </row>
    <row r="98" spans="2:99">
      <c r="C98" s="97" t="s">
        <v>265</v>
      </c>
      <c r="D98" s="98">
        <v>4</v>
      </c>
      <c r="E98" s="98">
        <v>2102.4</v>
      </c>
      <c r="F98" s="98">
        <v>7</v>
      </c>
      <c r="G98" s="98">
        <v>3679.2000000000003</v>
      </c>
      <c r="H98" s="98">
        <v>6</v>
      </c>
      <c r="I98" s="98">
        <v>3153.6000000000004</v>
      </c>
      <c r="J98" s="98">
        <v>4</v>
      </c>
      <c r="K98" s="98">
        <v>2102.4</v>
      </c>
      <c r="L98" s="98">
        <v>5</v>
      </c>
      <c r="M98" s="98">
        <v>2628</v>
      </c>
      <c r="N98" s="98">
        <v>7</v>
      </c>
      <c r="O98" s="98">
        <v>3679.2000000000003</v>
      </c>
      <c r="P98" s="98">
        <v>6</v>
      </c>
      <c r="Q98" s="98">
        <v>3153.6000000000004</v>
      </c>
      <c r="R98" s="98">
        <v>6</v>
      </c>
      <c r="S98" s="98">
        <v>3153.6000000000004</v>
      </c>
      <c r="T98" s="98">
        <v>6</v>
      </c>
      <c r="U98" s="98">
        <v>3153.6000000000004</v>
      </c>
      <c r="V98" s="98">
        <v>6</v>
      </c>
      <c r="W98" s="98">
        <v>3153.6000000000004</v>
      </c>
      <c r="X98" s="98">
        <v>5</v>
      </c>
      <c r="Y98" s="98">
        <v>2628</v>
      </c>
      <c r="Z98" s="98">
        <v>6</v>
      </c>
      <c r="AA98" s="98">
        <v>3153.6000000000004</v>
      </c>
      <c r="AB98" s="98">
        <v>7</v>
      </c>
      <c r="AC98" s="98">
        <v>3679.2000000000003</v>
      </c>
      <c r="AD98" s="98">
        <v>5</v>
      </c>
      <c r="AE98" s="98">
        <v>2628</v>
      </c>
      <c r="AF98" s="98">
        <v>5</v>
      </c>
      <c r="AG98" s="98">
        <v>2628</v>
      </c>
      <c r="AH98" s="98">
        <v>5</v>
      </c>
      <c r="AI98" s="98">
        <v>2628</v>
      </c>
      <c r="AJ98" s="98">
        <v>6</v>
      </c>
      <c r="AK98" s="98">
        <v>3153.6000000000004</v>
      </c>
      <c r="AL98" s="98">
        <v>5</v>
      </c>
      <c r="AM98" s="98">
        <v>2628</v>
      </c>
      <c r="AN98" s="98">
        <v>6</v>
      </c>
      <c r="AO98" s="98">
        <v>3153.6000000000004</v>
      </c>
      <c r="AP98" s="98">
        <v>6</v>
      </c>
      <c r="AQ98" s="98">
        <v>3153.6000000000004</v>
      </c>
      <c r="AR98" s="98">
        <v>3</v>
      </c>
      <c r="AS98" s="98">
        <v>1576.8000000000002</v>
      </c>
      <c r="AT98" s="98">
        <v>5</v>
      </c>
      <c r="AU98" s="98">
        <v>2628</v>
      </c>
      <c r="AV98" s="98">
        <v>7</v>
      </c>
      <c r="AW98" s="98">
        <v>3679.2000000000003</v>
      </c>
      <c r="AX98" s="98">
        <v>4</v>
      </c>
      <c r="AY98" s="98">
        <v>2102.4</v>
      </c>
      <c r="AZ98" s="98">
        <v>7</v>
      </c>
      <c r="BA98" s="98">
        <v>3679.2000000000003</v>
      </c>
      <c r="BB98" s="98">
        <v>6</v>
      </c>
      <c r="BC98" s="98">
        <v>3153.6000000000004</v>
      </c>
      <c r="BD98" s="98">
        <v>6</v>
      </c>
      <c r="BE98" s="98">
        <v>3153.6000000000004</v>
      </c>
      <c r="BF98" s="98">
        <v>5</v>
      </c>
      <c r="BG98" s="98">
        <v>2628</v>
      </c>
      <c r="BH98" s="98">
        <v>4</v>
      </c>
      <c r="BI98" s="98">
        <v>2102.4</v>
      </c>
      <c r="BJ98" s="98">
        <v>5</v>
      </c>
      <c r="BK98" s="98">
        <v>2628</v>
      </c>
      <c r="BL98" s="98">
        <v>4</v>
      </c>
      <c r="BM98" s="98">
        <v>2102.4</v>
      </c>
      <c r="BN98" s="98">
        <v>5</v>
      </c>
      <c r="BO98" s="98">
        <v>2628</v>
      </c>
      <c r="BP98" s="98">
        <v>4</v>
      </c>
      <c r="BQ98" s="98">
        <v>2102.4</v>
      </c>
      <c r="BR98" s="98">
        <v>4</v>
      </c>
      <c r="BS98" s="98">
        <v>2102.4</v>
      </c>
      <c r="BT98" s="98">
        <v>6</v>
      </c>
      <c r="BU98" s="98">
        <v>3153.6000000000004</v>
      </c>
      <c r="BV98" s="98">
        <v>4</v>
      </c>
      <c r="BW98" s="98">
        <v>2102.4</v>
      </c>
      <c r="BX98" s="98">
        <v>6</v>
      </c>
      <c r="BY98" s="98">
        <v>3153.6000000000004</v>
      </c>
      <c r="BZ98" s="98">
        <v>5</v>
      </c>
      <c r="CA98" s="98">
        <v>2628</v>
      </c>
      <c r="CB98" s="98">
        <v>5</v>
      </c>
      <c r="CC98" s="98">
        <v>2628</v>
      </c>
      <c r="CD98" s="98">
        <v>5</v>
      </c>
      <c r="CE98" s="98">
        <v>2628</v>
      </c>
      <c r="CF98" s="98">
        <v>5</v>
      </c>
      <c r="CG98" s="98">
        <v>2628</v>
      </c>
      <c r="CH98" s="98">
        <v>6</v>
      </c>
      <c r="CI98" s="98">
        <v>3153.6000000000004</v>
      </c>
      <c r="CJ98" s="98">
        <v>6</v>
      </c>
      <c r="CK98" s="98">
        <v>3153.6000000000004</v>
      </c>
      <c r="CL98" s="98">
        <v>7</v>
      </c>
      <c r="CM98" s="98">
        <v>3679.2000000000003</v>
      </c>
      <c r="CN98" s="98">
        <v>7</v>
      </c>
      <c r="CO98" s="98">
        <v>3679.2000000000003</v>
      </c>
      <c r="CP98" s="98">
        <v>6</v>
      </c>
      <c r="CQ98" s="98">
        <v>3153.6000000000004</v>
      </c>
      <c r="CR98" s="98">
        <v>7</v>
      </c>
      <c r="CS98" s="98">
        <v>3679.2000000000003</v>
      </c>
      <c r="CT98" s="98">
        <v>5</v>
      </c>
      <c r="CU98" s="98">
        <v>2628</v>
      </c>
    </row>
    <row r="99" spans="2:99">
      <c r="C99" s="97" t="s">
        <v>266</v>
      </c>
      <c r="D99" s="98">
        <v>4</v>
      </c>
      <c r="E99" s="98">
        <v>16833.599999999999</v>
      </c>
      <c r="F99" s="98">
        <v>5</v>
      </c>
      <c r="G99" s="98">
        <v>21042</v>
      </c>
      <c r="H99" s="98">
        <v>5</v>
      </c>
      <c r="I99" s="98">
        <v>21042</v>
      </c>
      <c r="J99" s="98">
        <v>4</v>
      </c>
      <c r="K99" s="98">
        <v>16833.599999999999</v>
      </c>
      <c r="L99" s="98">
        <v>4</v>
      </c>
      <c r="M99" s="98">
        <v>16833.599999999999</v>
      </c>
      <c r="N99" s="98">
        <v>5</v>
      </c>
      <c r="O99" s="98">
        <v>21042</v>
      </c>
      <c r="P99" s="98">
        <v>4</v>
      </c>
      <c r="Q99" s="98">
        <v>16833.599999999999</v>
      </c>
      <c r="R99" s="98">
        <v>4</v>
      </c>
      <c r="S99" s="98">
        <v>16833.599999999999</v>
      </c>
      <c r="T99" s="98">
        <v>5</v>
      </c>
      <c r="U99" s="98">
        <v>21042</v>
      </c>
      <c r="V99" s="98">
        <v>4</v>
      </c>
      <c r="W99" s="98">
        <v>16833.599999999999</v>
      </c>
      <c r="X99" s="98">
        <v>4</v>
      </c>
      <c r="Y99" s="98">
        <v>16833.599999999999</v>
      </c>
      <c r="Z99" s="98">
        <v>5</v>
      </c>
      <c r="AA99" s="98">
        <v>21042</v>
      </c>
      <c r="AB99" s="98">
        <v>5</v>
      </c>
      <c r="AC99" s="98">
        <v>21042</v>
      </c>
      <c r="AD99" s="98">
        <v>4</v>
      </c>
      <c r="AE99" s="98">
        <v>16833.599999999999</v>
      </c>
      <c r="AF99" s="98">
        <v>4</v>
      </c>
      <c r="AG99" s="98">
        <v>16833.599999999999</v>
      </c>
      <c r="AH99" s="98">
        <v>4</v>
      </c>
      <c r="AI99" s="98">
        <v>16833.599999999999</v>
      </c>
      <c r="AJ99" s="98">
        <v>4</v>
      </c>
      <c r="AK99" s="98">
        <v>16833.599999999999</v>
      </c>
      <c r="AL99" s="98">
        <v>4</v>
      </c>
      <c r="AM99" s="98">
        <v>16833.599999999999</v>
      </c>
      <c r="AN99" s="98">
        <v>4</v>
      </c>
      <c r="AO99" s="98">
        <v>16833.599999999999</v>
      </c>
      <c r="AP99" s="98">
        <v>4</v>
      </c>
      <c r="AQ99" s="98">
        <v>16833.599999999999</v>
      </c>
      <c r="AR99" s="98">
        <v>3</v>
      </c>
      <c r="AS99" s="98">
        <v>12625.199999999999</v>
      </c>
      <c r="AT99" s="98">
        <v>4</v>
      </c>
      <c r="AU99" s="98">
        <v>16833.599999999999</v>
      </c>
      <c r="AV99" s="98">
        <v>5</v>
      </c>
      <c r="AW99" s="98">
        <v>21042</v>
      </c>
      <c r="AX99" s="98">
        <v>3</v>
      </c>
      <c r="AY99" s="98">
        <v>12625.199999999999</v>
      </c>
      <c r="AZ99" s="98">
        <v>5</v>
      </c>
      <c r="BA99" s="98">
        <v>21042</v>
      </c>
      <c r="BB99" s="98">
        <v>5</v>
      </c>
      <c r="BC99" s="98">
        <v>21042</v>
      </c>
      <c r="BD99" s="98">
        <v>5</v>
      </c>
      <c r="BE99" s="98">
        <v>21042</v>
      </c>
      <c r="BF99" s="98">
        <v>4</v>
      </c>
      <c r="BG99" s="98">
        <v>16833.599999999999</v>
      </c>
      <c r="BH99" s="98">
        <v>4</v>
      </c>
      <c r="BI99" s="98">
        <v>16833.599999999999</v>
      </c>
      <c r="BJ99" s="98">
        <v>4</v>
      </c>
      <c r="BK99" s="98">
        <v>16833.599999999999</v>
      </c>
      <c r="BL99" s="98">
        <v>3</v>
      </c>
      <c r="BM99" s="98">
        <v>12625.199999999999</v>
      </c>
      <c r="BN99" s="98">
        <v>4</v>
      </c>
      <c r="BO99" s="98">
        <v>16833.599999999999</v>
      </c>
      <c r="BP99" s="98">
        <v>4</v>
      </c>
      <c r="BQ99" s="98">
        <v>16833.599999999999</v>
      </c>
      <c r="BR99" s="98">
        <v>3</v>
      </c>
      <c r="BS99" s="98">
        <v>12625.199999999999</v>
      </c>
      <c r="BT99" s="98">
        <v>5</v>
      </c>
      <c r="BU99" s="98">
        <v>21042</v>
      </c>
      <c r="BV99" s="98">
        <v>3</v>
      </c>
      <c r="BW99" s="98">
        <v>12625.199999999999</v>
      </c>
      <c r="BX99" s="98">
        <v>4</v>
      </c>
      <c r="BY99" s="98">
        <v>16833.599999999999</v>
      </c>
      <c r="BZ99" s="98">
        <v>4</v>
      </c>
      <c r="CA99" s="98">
        <v>16833.599999999999</v>
      </c>
      <c r="CB99" s="98">
        <v>3</v>
      </c>
      <c r="CC99" s="98">
        <v>12625.199999999999</v>
      </c>
      <c r="CD99" s="98">
        <v>4</v>
      </c>
      <c r="CE99" s="98">
        <v>16833.599999999999</v>
      </c>
      <c r="CF99" s="98">
        <v>4</v>
      </c>
      <c r="CG99" s="98">
        <v>16833.599999999999</v>
      </c>
      <c r="CH99" s="98">
        <v>5</v>
      </c>
      <c r="CI99" s="98">
        <v>21042</v>
      </c>
      <c r="CJ99" s="98">
        <v>4</v>
      </c>
      <c r="CK99" s="98">
        <v>16833.599999999999</v>
      </c>
      <c r="CL99" s="98">
        <v>6</v>
      </c>
      <c r="CM99" s="98">
        <v>25250.399999999998</v>
      </c>
      <c r="CN99" s="98">
        <v>6</v>
      </c>
      <c r="CO99" s="98">
        <v>25250.399999999998</v>
      </c>
      <c r="CP99" s="98">
        <v>4</v>
      </c>
      <c r="CQ99" s="98">
        <v>16833.599999999999</v>
      </c>
      <c r="CR99" s="98">
        <v>5</v>
      </c>
      <c r="CS99" s="98">
        <v>21042</v>
      </c>
      <c r="CT99" s="98">
        <v>4</v>
      </c>
      <c r="CU99" s="98">
        <v>16833.599999999999</v>
      </c>
    </row>
    <row r="100" spans="2:99">
      <c r="C100" s="97" t="s">
        <v>267</v>
      </c>
      <c r="D100" s="98">
        <v>4</v>
      </c>
      <c r="E100" s="98">
        <v>1296</v>
      </c>
      <c r="F100" s="98">
        <v>7</v>
      </c>
      <c r="G100" s="98">
        <v>2268</v>
      </c>
      <c r="H100" s="98">
        <v>6</v>
      </c>
      <c r="I100" s="98">
        <v>1944</v>
      </c>
      <c r="J100" s="98">
        <v>5</v>
      </c>
      <c r="K100" s="98">
        <v>1620</v>
      </c>
      <c r="L100" s="98">
        <v>5</v>
      </c>
      <c r="M100" s="98">
        <v>1620</v>
      </c>
      <c r="N100" s="98">
        <v>8</v>
      </c>
      <c r="O100" s="98">
        <v>2592</v>
      </c>
      <c r="P100" s="98">
        <v>5</v>
      </c>
      <c r="Q100" s="98">
        <v>1620</v>
      </c>
      <c r="R100" s="98">
        <v>6</v>
      </c>
      <c r="S100" s="98">
        <v>1944</v>
      </c>
      <c r="T100" s="98">
        <v>7</v>
      </c>
      <c r="U100" s="98">
        <v>2268</v>
      </c>
      <c r="V100" s="98">
        <v>6</v>
      </c>
      <c r="W100" s="98">
        <v>1944</v>
      </c>
      <c r="X100" s="98">
        <v>5</v>
      </c>
      <c r="Y100" s="98">
        <v>1620</v>
      </c>
      <c r="Z100" s="98">
        <v>7</v>
      </c>
      <c r="AA100" s="98">
        <v>2268</v>
      </c>
      <c r="AB100" s="98">
        <v>6</v>
      </c>
      <c r="AC100" s="98">
        <v>1944</v>
      </c>
      <c r="AD100" s="98">
        <v>6</v>
      </c>
      <c r="AE100" s="98">
        <v>1944</v>
      </c>
      <c r="AF100" s="98">
        <v>5</v>
      </c>
      <c r="AG100" s="98">
        <v>1620</v>
      </c>
      <c r="AH100" s="98">
        <v>5</v>
      </c>
      <c r="AI100" s="98">
        <v>1620</v>
      </c>
      <c r="AJ100" s="98">
        <v>5</v>
      </c>
      <c r="AK100" s="98">
        <v>1620</v>
      </c>
      <c r="AL100" s="98">
        <v>5</v>
      </c>
      <c r="AM100" s="98">
        <v>1620</v>
      </c>
      <c r="AN100" s="98">
        <v>6</v>
      </c>
      <c r="AO100" s="98">
        <v>1944</v>
      </c>
      <c r="AP100" s="98">
        <v>6</v>
      </c>
      <c r="AQ100" s="98">
        <v>1944</v>
      </c>
      <c r="AR100" s="98">
        <v>4</v>
      </c>
      <c r="AS100" s="98">
        <v>1296</v>
      </c>
      <c r="AT100" s="98">
        <v>5</v>
      </c>
      <c r="AU100" s="98">
        <v>1620</v>
      </c>
      <c r="AV100" s="98">
        <v>7</v>
      </c>
      <c r="AW100" s="98">
        <v>2268</v>
      </c>
      <c r="AX100" s="98">
        <v>4</v>
      </c>
      <c r="AY100" s="98">
        <v>1296</v>
      </c>
      <c r="AZ100" s="98">
        <v>7</v>
      </c>
      <c r="BA100" s="98">
        <v>2268</v>
      </c>
      <c r="BB100" s="98">
        <v>7</v>
      </c>
      <c r="BC100" s="98">
        <v>2268</v>
      </c>
      <c r="BD100" s="98">
        <v>6</v>
      </c>
      <c r="BE100" s="98">
        <v>1944</v>
      </c>
      <c r="BF100" s="98">
        <v>5</v>
      </c>
      <c r="BG100" s="98">
        <v>1620</v>
      </c>
      <c r="BH100" s="98">
        <v>4</v>
      </c>
      <c r="BI100" s="98">
        <v>1296</v>
      </c>
      <c r="BJ100" s="98">
        <v>5</v>
      </c>
      <c r="BK100" s="98">
        <v>1620</v>
      </c>
      <c r="BL100" s="98">
        <v>4</v>
      </c>
      <c r="BM100" s="98">
        <v>1296</v>
      </c>
      <c r="BN100" s="98">
        <v>6</v>
      </c>
      <c r="BO100" s="98">
        <v>1944</v>
      </c>
      <c r="BP100" s="98">
        <v>4</v>
      </c>
      <c r="BQ100" s="98">
        <v>1296</v>
      </c>
      <c r="BR100" s="98">
        <v>4</v>
      </c>
      <c r="BS100" s="98">
        <v>1296</v>
      </c>
      <c r="BT100" s="98">
        <v>6</v>
      </c>
      <c r="BU100" s="98">
        <v>1944</v>
      </c>
      <c r="BV100" s="98">
        <v>4</v>
      </c>
      <c r="BW100" s="98">
        <v>1296</v>
      </c>
      <c r="BX100" s="98">
        <v>5</v>
      </c>
      <c r="BY100" s="98">
        <v>1620</v>
      </c>
      <c r="BZ100" s="98">
        <v>5</v>
      </c>
      <c r="CA100" s="98">
        <v>1620</v>
      </c>
      <c r="CB100" s="98">
        <v>5</v>
      </c>
      <c r="CC100" s="98">
        <v>1620</v>
      </c>
      <c r="CD100" s="98">
        <v>5</v>
      </c>
      <c r="CE100" s="98">
        <v>1620</v>
      </c>
      <c r="CF100" s="98">
        <v>5</v>
      </c>
      <c r="CG100" s="98">
        <v>1620</v>
      </c>
      <c r="CH100" s="98">
        <v>7</v>
      </c>
      <c r="CI100" s="98">
        <v>2268</v>
      </c>
      <c r="CJ100" s="98">
        <v>5</v>
      </c>
      <c r="CK100" s="98">
        <v>1620</v>
      </c>
      <c r="CL100" s="98">
        <v>7</v>
      </c>
      <c r="CM100" s="98">
        <v>2268</v>
      </c>
      <c r="CN100" s="98">
        <v>8</v>
      </c>
      <c r="CO100" s="98">
        <v>2592</v>
      </c>
      <c r="CP100" s="98">
        <v>5</v>
      </c>
      <c r="CQ100" s="98">
        <v>1620</v>
      </c>
      <c r="CR100" s="98">
        <v>7</v>
      </c>
      <c r="CS100" s="98">
        <v>2268</v>
      </c>
      <c r="CT100" s="98">
        <v>5</v>
      </c>
      <c r="CU100" s="98">
        <v>1620</v>
      </c>
    </row>
    <row r="101" spans="2:99">
      <c r="C101" s="97" t="s">
        <v>268</v>
      </c>
      <c r="D101" s="98">
        <v>5</v>
      </c>
      <c r="E101" s="98">
        <v>3618</v>
      </c>
      <c r="F101" s="98">
        <v>7</v>
      </c>
      <c r="G101" s="98">
        <v>5065.2</v>
      </c>
      <c r="H101" s="98">
        <v>7</v>
      </c>
      <c r="I101" s="98">
        <v>5065.2</v>
      </c>
      <c r="J101" s="98">
        <v>4</v>
      </c>
      <c r="K101" s="98">
        <v>2894.4</v>
      </c>
      <c r="L101" s="98">
        <v>5</v>
      </c>
      <c r="M101" s="98">
        <v>3618</v>
      </c>
      <c r="N101" s="98">
        <v>7</v>
      </c>
      <c r="O101" s="98">
        <v>5065.2</v>
      </c>
      <c r="P101" s="98">
        <v>5</v>
      </c>
      <c r="Q101" s="98">
        <v>3618</v>
      </c>
      <c r="R101" s="98">
        <v>5</v>
      </c>
      <c r="S101" s="98">
        <v>3618</v>
      </c>
      <c r="T101" s="98">
        <v>7</v>
      </c>
      <c r="U101" s="98">
        <v>5065.2</v>
      </c>
      <c r="V101" s="98">
        <v>5</v>
      </c>
      <c r="W101" s="98">
        <v>3618</v>
      </c>
      <c r="X101" s="98">
        <v>4</v>
      </c>
      <c r="Y101" s="98">
        <v>2894.4</v>
      </c>
      <c r="Z101" s="98">
        <v>6</v>
      </c>
      <c r="AA101" s="98">
        <v>4341.6000000000004</v>
      </c>
      <c r="AB101" s="98">
        <v>6</v>
      </c>
      <c r="AC101" s="98">
        <v>4341.6000000000004</v>
      </c>
      <c r="AD101" s="98">
        <v>5</v>
      </c>
      <c r="AE101" s="98">
        <v>3618</v>
      </c>
      <c r="AF101" s="98">
        <v>5</v>
      </c>
      <c r="AG101" s="98">
        <v>3618</v>
      </c>
      <c r="AH101" s="98">
        <v>5</v>
      </c>
      <c r="AI101" s="98">
        <v>3618</v>
      </c>
      <c r="AJ101" s="98">
        <v>5</v>
      </c>
      <c r="AK101" s="98">
        <v>3618</v>
      </c>
      <c r="AL101" s="98">
        <v>4</v>
      </c>
      <c r="AM101" s="98">
        <v>2894.4</v>
      </c>
      <c r="AN101" s="98">
        <v>6</v>
      </c>
      <c r="AO101" s="98">
        <v>4341.6000000000004</v>
      </c>
      <c r="AP101" s="98">
        <v>6</v>
      </c>
      <c r="AQ101" s="98">
        <v>4341.6000000000004</v>
      </c>
      <c r="AR101" s="98">
        <v>4</v>
      </c>
      <c r="AS101" s="98">
        <v>2894.4</v>
      </c>
      <c r="AT101" s="98">
        <v>4</v>
      </c>
      <c r="AU101" s="98">
        <v>2894.4</v>
      </c>
      <c r="AV101" s="98">
        <v>7</v>
      </c>
      <c r="AW101" s="98">
        <v>5065.2</v>
      </c>
      <c r="AX101" s="98">
        <v>4</v>
      </c>
      <c r="AY101" s="98">
        <v>2894.4</v>
      </c>
      <c r="AZ101" s="98">
        <v>6</v>
      </c>
      <c r="BA101" s="98">
        <v>4341.6000000000004</v>
      </c>
      <c r="BB101" s="98">
        <v>7</v>
      </c>
      <c r="BC101" s="98">
        <v>5065.2</v>
      </c>
      <c r="BD101" s="98">
        <v>6</v>
      </c>
      <c r="BE101" s="98">
        <v>4341.6000000000004</v>
      </c>
      <c r="BF101" s="98">
        <v>5</v>
      </c>
      <c r="BG101" s="98">
        <v>3618</v>
      </c>
      <c r="BH101" s="98">
        <v>4</v>
      </c>
      <c r="BI101" s="98">
        <v>2894.4</v>
      </c>
      <c r="BJ101" s="98">
        <v>4</v>
      </c>
      <c r="BK101" s="98">
        <v>2894.4</v>
      </c>
      <c r="BL101" s="98">
        <v>4</v>
      </c>
      <c r="BM101" s="98">
        <v>2894.4</v>
      </c>
      <c r="BN101" s="98">
        <v>5</v>
      </c>
      <c r="BO101" s="98">
        <v>3618</v>
      </c>
      <c r="BP101" s="98">
        <v>4</v>
      </c>
      <c r="BQ101" s="98">
        <v>2894.4</v>
      </c>
      <c r="BR101" s="98">
        <v>3</v>
      </c>
      <c r="BS101" s="98">
        <v>2170.8000000000002</v>
      </c>
      <c r="BT101" s="98">
        <v>6</v>
      </c>
      <c r="BU101" s="98">
        <v>4341.6000000000004</v>
      </c>
      <c r="BV101" s="98">
        <v>4</v>
      </c>
      <c r="BW101" s="98">
        <v>2894.4</v>
      </c>
      <c r="BX101" s="98">
        <v>5</v>
      </c>
      <c r="BY101" s="98">
        <v>3618</v>
      </c>
      <c r="BZ101" s="98">
        <v>5</v>
      </c>
      <c r="CA101" s="98">
        <v>3618</v>
      </c>
      <c r="CB101" s="98">
        <v>4</v>
      </c>
      <c r="CC101" s="98">
        <v>2894.4</v>
      </c>
      <c r="CD101" s="98">
        <v>5</v>
      </c>
      <c r="CE101" s="98">
        <v>3618</v>
      </c>
      <c r="CF101" s="98">
        <v>5</v>
      </c>
      <c r="CG101" s="98">
        <v>3618</v>
      </c>
      <c r="CH101" s="98">
        <v>6</v>
      </c>
      <c r="CI101" s="98">
        <v>4341.6000000000004</v>
      </c>
      <c r="CJ101" s="98">
        <v>5</v>
      </c>
      <c r="CK101" s="98">
        <v>3618</v>
      </c>
      <c r="CL101" s="98">
        <v>7</v>
      </c>
      <c r="CM101" s="98">
        <v>5065.2</v>
      </c>
      <c r="CN101" s="98">
        <v>7</v>
      </c>
      <c r="CO101" s="98">
        <v>5065.2</v>
      </c>
      <c r="CP101" s="98">
        <v>6</v>
      </c>
      <c r="CQ101" s="98">
        <v>4341.6000000000004</v>
      </c>
      <c r="CR101" s="98">
        <v>7</v>
      </c>
      <c r="CS101" s="98">
        <v>5065.2</v>
      </c>
      <c r="CT101" s="98">
        <v>6</v>
      </c>
      <c r="CU101" s="98">
        <v>4341.6000000000004</v>
      </c>
    </row>
    <row r="102" spans="2:99">
      <c r="C102" s="97" t="s">
        <v>269</v>
      </c>
      <c r="D102" s="98">
        <v>4</v>
      </c>
      <c r="E102" s="98">
        <v>2126.4</v>
      </c>
      <c r="F102" s="98">
        <v>7</v>
      </c>
      <c r="G102" s="98">
        <v>3721.2000000000003</v>
      </c>
      <c r="H102" s="98">
        <v>6</v>
      </c>
      <c r="I102" s="98">
        <v>3189.6000000000004</v>
      </c>
      <c r="J102" s="98">
        <v>4</v>
      </c>
      <c r="K102" s="98">
        <v>2126.4</v>
      </c>
      <c r="L102" s="98">
        <v>4</v>
      </c>
      <c r="M102" s="98">
        <v>2126.4</v>
      </c>
      <c r="N102" s="98">
        <v>8</v>
      </c>
      <c r="O102" s="98">
        <v>4252.8</v>
      </c>
      <c r="P102" s="98">
        <v>6</v>
      </c>
      <c r="Q102" s="98">
        <v>3189.6000000000004</v>
      </c>
      <c r="R102" s="98">
        <v>6</v>
      </c>
      <c r="S102" s="98">
        <v>3189.6000000000004</v>
      </c>
      <c r="T102" s="98">
        <v>6</v>
      </c>
      <c r="U102" s="98">
        <v>3189.6000000000004</v>
      </c>
      <c r="V102" s="98">
        <v>5</v>
      </c>
      <c r="W102" s="98">
        <v>2658</v>
      </c>
      <c r="X102" s="98">
        <v>4</v>
      </c>
      <c r="Y102" s="98">
        <v>2126.4</v>
      </c>
      <c r="Z102" s="98">
        <v>6</v>
      </c>
      <c r="AA102" s="98">
        <v>3189.6000000000004</v>
      </c>
      <c r="AB102" s="98">
        <v>6</v>
      </c>
      <c r="AC102" s="98">
        <v>3189.6000000000004</v>
      </c>
      <c r="AD102" s="98">
        <v>5</v>
      </c>
      <c r="AE102" s="98">
        <v>2658</v>
      </c>
      <c r="AF102" s="98">
        <v>4</v>
      </c>
      <c r="AG102" s="98">
        <v>2126.4</v>
      </c>
      <c r="AH102" s="98">
        <v>5</v>
      </c>
      <c r="AI102" s="98">
        <v>2658</v>
      </c>
      <c r="AJ102" s="98">
        <v>6</v>
      </c>
      <c r="AK102" s="98">
        <v>3189.6000000000004</v>
      </c>
      <c r="AL102" s="98">
        <v>4</v>
      </c>
      <c r="AM102" s="98">
        <v>2126.4</v>
      </c>
      <c r="AN102" s="98">
        <v>5</v>
      </c>
      <c r="AO102" s="98">
        <v>2658</v>
      </c>
      <c r="AP102" s="98">
        <v>6</v>
      </c>
      <c r="AQ102" s="98">
        <v>3189.6000000000004</v>
      </c>
      <c r="AR102" s="98">
        <v>4</v>
      </c>
      <c r="AS102" s="98">
        <v>2126.4</v>
      </c>
      <c r="AT102" s="98">
        <v>5</v>
      </c>
      <c r="AU102" s="98">
        <v>2658</v>
      </c>
      <c r="AV102" s="98">
        <v>6</v>
      </c>
      <c r="AW102" s="98">
        <v>3189.6000000000004</v>
      </c>
      <c r="AX102" s="98">
        <v>5</v>
      </c>
      <c r="AY102" s="98">
        <v>2658</v>
      </c>
      <c r="AZ102" s="98">
        <v>6</v>
      </c>
      <c r="BA102" s="98">
        <v>3189.6000000000004</v>
      </c>
      <c r="BB102" s="98">
        <v>7</v>
      </c>
      <c r="BC102" s="98">
        <v>3721.2000000000003</v>
      </c>
      <c r="BD102" s="98">
        <v>7</v>
      </c>
      <c r="BE102" s="98">
        <v>3721.2000000000003</v>
      </c>
      <c r="BF102" s="98">
        <v>5</v>
      </c>
      <c r="BG102" s="98">
        <v>2658</v>
      </c>
      <c r="BH102" s="98">
        <v>5</v>
      </c>
      <c r="BI102" s="98">
        <v>2658</v>
      </c>
      <c r="BJ102" s="98">
        <v>4</v>
      </c>
      <c r="BK102" s="98">
        <v>2126.4</v>
      </c>
      <c r="BL102" s="98">
        <v>4</v>
      </c>
      <c r="BM102" s="98">
        <v>2126.4</v>
      </c>
      <c r="BN102" s="98">
        <v>6</v>
      </c>
      <c r="BO102" s="98">
        <v>3189.6000000000004</v>
      </c>
      <c r="BP102" s="98">
        <v>5</v>
      </c>
      <c r="BQ102" s="98">
        <v>2658</v>
      </c>
      <c r="BR102" s="98">
        <v>4</v>
      </c>
      <c r="BS102" s="98">
        <v>2126.4</v>
      </c>
      <c r="BT102" s="98">
        <v>6</v>
      </c>
      <c r="BU102" s="98">
        <v>3189.6000000000004</v>
      </c>
      <c r="BV102" s="98">
        <v>4</v>
      </c>
      <c r="BW102" s="98">
        <v>2126.4</v>
      </c>
      <c r="BX102" s="98">
        <v>6</v>
      </c>
      <c r="BY102" s="98">
        <v>3189.6000000000004</v>
      </c>
      <c r="BZ102" s="98">
        <v>6</v>
      </c>
      <c r="CA102" s="98">
        <v>3189.6000000000004</v>
      </c>
      <c r="CB102" s="98">
        <v>4</v>
      </c>
      <c r="CC102" s="98">
        <v>2126.4</v>
      </c>
      <c r="CD102" s="98">
        <v>5</v>
      </c>
      <c r="CE102" s="98">
        <v>2658</v>
      </c>
      <c r="CF102" s="98">
        <v>6</v>
      </c>
      <c r="CG102" s="98">
        <v>3189.6000000000004</v>
      </c>
      <c r="CH102" s="98">
        <v>6</v>
      </c>
      <c r="CI102" s="98">
        <v>3189.6000000000004</v>
      </c>
      <c r="CJ102" s="98">
        <v>6</v>
      </c>
      <c r="CK102" s="98">
        <v>3189.6000000000004</v>
      </c>
      <c r="CL102" s="98">
        <v>8</v>
      </c>
      <c r="CM102" s="98">
        <v>4252.8</v>
      </c>
      <c r="CN102" s="98">
        <v>7</v>
      </c>
      <c r="CO102" s="98">
        <v>3721.2000000000003</v>
      </c>
      <c r="CP102" s="98">
        <v>5</v>
      </c>
      <c r="CQ102" s="98">
        <v>2658</v>
      </c>
      <c r="CR102" s="98">
        <v>7</v>
      </c>
      <c r="CS102" s="98">
        <v>3721.2000000000003</v>
      </c>
      <c r="CT102" s="98">
        <v>6</v>
      </c>
      <c r="CU102" s="98">
        <v>3189.6000000000004</v>
      </c>
    </row>
    <row r="103" spans="2:99">
      <c r="C103" s="97" t="s">
        <v>270</v>
      </c>
      <c r="D103" s="98">
        <v>4</v>
      </c>
      <c r="E103" s="98">
        <v>2356.7999999999997</v>
      </c>
      <c r="F103" s="98">
        <v>7</v>
      </c>
      <c r="G103" s="98">
        <v>4124.3999999999996</v>
      </c>
      <c r="H103" s="98">
        <v>6</v>
      </c>
      <c r="I103" s="98">
        <v>3535.2</v>
      </c>
      <c r="J103" s="98">
        <v>5</v>
      </c>
      <c r="K103" s="98">
        <v>2945.9999999999995</v>
      </c>
      <c r="L103" s="98">
        <v>4</v>
      </c>
      <c r="M103" s="98">
        <v>2356.7999999999997</v>
      </c>
      <c r="N103" s="98">
        <v>7</v>
      </c>
      <c r="O103" s="98">
        <v>4124.3999999999996</v>
      </c>
      <c r="P103" s="98">
        <v>6</v>
      </c>
      <c r="Q103" s="98">
        <v>3535.2</v>
      </c>
      <c r="R103" s="98">
        <v>6</v>
      </c>
      <c r="S103" s="98">
        <v>3535.2</v>
      </c>
      <c r="T103" s="98">
        <v>6</v>
      </c>
      <c r="U103" s="98">
        <v>3535.2</v>
      </c>
      <c r="V103" s="98">
        <v>5</v>
      </c>
      <c r="W103" s="98">
        <v>2945.9999999999995</v>
      </c>
      <c r="X103" s="98">
        <v>5</v>
      </c>
      <c r="Y103" s="98">
        <v>2945.9999999999995</v>
      </c>
      <c r="Z103" s="98">
        <v>6</v>
      </c>
      <c r="AA103" s="98">
        <v>3535.2</v>
      </c>
      <c r="AB103" s="98">
        <v>7</v>
      </c>
      <c r="AC103" s="98">
        <v>4124.3999999999996</v>
      </c>
      <c r="AD103" s="98">
        <v>5</v>
      </c>
      <c r="AE103" s="98">
        <v>2945.9999999999995</v>
      </c>
      <c r="AF103" s="98">
        <v>5</v>
      </c>
      <c r="AG103" s="98">
        <v>2945.9999999999995</v>
      </c>
      <c r="AH103" s="98">
        <v>4</v>
      </c>
      <c r="AI103" s="98">
        <v>2356.7999999999997</v>
      </c>
      <c r="AJ103" s="98">
        <v>5</v>
      </c>
      <c r="AK103" s="98">
        <v>2945.9999999999995</v>
      </c>
      <c r="AL103" s="98">
        <v>5</v>
      </c>
      <c r="AM103" s="98">
        <v>2945.9999999999995</v>
      </c>
      <c r="AN103" s="98">
        <v>6</v>
      </c>
      <c r="AO103" s="98">
        <v>3535.2</v>
      </c>
      <c r="AP103" s="98">
        <v>6</v>
      </c>
      <c r="AQ103" s="98">
        <v>3535.2</v>
      </c>
      <c r="AR103" s="98">
        <v>3</v>
      </c>
      <c r="AS103" s="98">
        <v>1767.6</v>
      </c>
      <c r="AT103" s="98">
        <v>4</v>
      </c>
      <c r="AU103" s="98">
        <v>2356.7999999999997</v>
      </c>
      <c r="AV103" s="98">
        <v>7</v>
      </c>
      <c r="AW103" s="98">
        <v>4124.3999999999996</v>
      </c>
      <c r="AX103" s="98">
        <v>5</v>
      </c>
      <c r="AY103" s="98">
        <v>2945.9999999999995</v>
      </c>
      <c r="AZ103" s="98">
        <v>6</v>
      </c>
      <c r="BA103" s="98">
        <v>3535.2</v>
      </c>
      <c r="BB103" s="98">
        <v>7</v>
      </c>
      <c r="BC103" s="98">
        <v>4124.3999999999996</v>
      </c>
      <c r="BD103" s="98">
        <v>6</v>
      </c>
      <c r="BE103" s="98">
        <v>3535.2</v>
      </c>
      <c r="BF103" s="98">
        <v>5</v>
      </c>
      <c r="BG103" s="98">
        <v>2945.9999999999995</v>
      </c>
      <c r="BH103" s="98">
        <v>5</v>
      </c>
      <c r="BI103" s="98">
        <v>2945.9999999999995</v>
      </c>
      <c r="BJ103" s="98">
        <v>5</v>
      </c>
      <c r="BK103" s="98">
        <v>2945.9999999999995</v>
      </c>
      <c r="BL103" s="98">
        <v>4</v>
      </c>
      <c r="BM103" s="98">
        <v>2356.7999999999997</v>
      </c>
      <c r="BN103" s="98">
        <v>6</v>
      </c>
      <c r="BO103" s="98">
        <v>3535.2</v>
      </c>
      <c r="BP103" s="98">
        <v>5</v>
      </c>
      <c r="BQ103" s="98">
        <v>2945.9999999999995</v>
      </c>
      <c r="BR103" s="98">
        <v>4</v>
      </c>
      <c r="BS103" s="98">
        <v>2356.7999999999997</v>
      </c>
      <c r="BT103" s="98">
        <v>6</v>
      </c>
      <c r="BU103" s="98">
        <v>3535.2</v>
      </c>
      <c r="BV103" s="98">
        <v>4</v>
      </c>
      <c r="BW103" s="98">
        <v>2356.7999999999997</v>
      </c>
      <c r="BX103" s="98">
        <v>5</v>
      </c>
      <c r="BY103" s="98">
        <v>2945.9999999999995</v>
      </c>
      <c r="BZ103" s="98">
        <v>5</v>
      </c>
      <c r="CA103" s="98">
        <v>2945.9999999999995</v>
      </c>
      <c r="CB103" s="98">
        <v>4</v>
      </c>
      <c r="CC103" s="98">
        <v>2356.7999999999997</v>
      </c>
      <c r="CD103" s="98">
        <v>5</v>
      </c>
      <c r="CE103" s="98">
        <v>2945.9999999999995</v>
      </c>
      <c r="CF103" s="98">
        <v>5</v>
      </c>
      <c r="CG103" s="98">
        <v>2945.9999999999995</v>
      </c>
      <c r="CH103" s="98">
        <v>6</v>
      </c>
      <c r="CI103" s="98">
        <v>3535.2</v>
      </c>
      <c r="CJ103" s="98">
        <v>5</v>
      </c>
      <c r="CK103" s="98">
        <v>2945.9999999999995</v>
      </c>
      <c r="CL103" s="98">
        <v>7</v>
      </c>
      <c r="CM103" s="98">
        <v>4124.3999999999996</v>
      </c>
      <c r="CN103" s="98">
        <v>7</v>
      </c>
      <c r="CO103" s="98">
        <v>4124.3999999999996</v>
      </c>
      <c r="CP103" s="98">
        <v>5</v>
      </c>
      <c r="CQ103" s="98">
        <v>2945.9999999999995</v>
      </c>
      <c r="CR103" s="98">
        <v>7</v>
      </c>
      <c r="CS103" s="98">
        <v>4124.3999999999996</v>
      </c>
      <c r="CT103" s="98">
        <v>6</v>
      </c>
      <c r="CU103" s="98">
        <v>3535.2</v>
      </c>
    </row>
    <row r="104" spans="2:99">
      <c r="C104" s="97" t="s">
        <v>271</v>
      </c>
      <c r="D104" s="98">
        <v>4</v>
      </c>
      <c r="E104" s="98">
        <v>2529.6</v>
      </c>
      <c r="F104" s="98">
        <v>7</v>
      </c>
      <c r="G104" s="98">
        <v>4426.8</v>
      </c>
      <c r="H104" s="98">
        <v>7</v>
      </c>
      <c r="I104" s="98">
        <v>4426.8</v>
      </c>
      <c r="J104" s="98">
        <v>4</v>
      </c>
      <c r="K104" s="98">
        <v>2529.6</v>
      </c>
      <c r="L104" s="98">
        <v>5</v>
      </c>
      <c r="M104" s="98">
        <v>3162</v>
      </c>
      <c r="N104" s="98">
        <v>7</v>
      </c>
      <c r="O104" s="98">
        <v>4426.8</v>
      </c>
      <c r="P104" s="98">
        <v>5</v>
      </c>
      <c r="Q104" s="98">
        <v>3162</v>
      </c>
      <c r="R104" s="98">
        <v>5</v>
      </c>
      <c r="S104" s="98">
        <v>3162</v>
      </c>
      <c r="T104" s="98">
        <v>6</v>
      </c>
      <c r="U104" s="98">
        <v>3794.3999999999996</v>
      </c>
      <c r="V104" s="98">
        <v>5</v>
      </c>
      <c r="W104" s="98">
        <v>3162</v>
      </c>
      <c r="X104" s="98">
        <v>4</v>
      </c>
      <c r="Y104" s="98">
        <v>2529.6</v>
      </c>
      <c r="Z104" s="98">
        <v>6</v>
      </c>
      <c r="AA104" s="98">
        <v>3794.3999999999996</v>
      </c>
      <c r="AB104" s="98">
        <v>7</v>
      </c>
      <c r="AC104" s="98">
        <v>4426.8</v>
      </c>
      <c r="AD104" s="98">
        <v>5</v>
      </c>
      <c r="AE104" s="98">
        <v>3162</v>
      </c>
      <c r="AF104" s="98">
        <v>5</v>
      </c>
      <c r="AG104" s="98">
        <v>3162</v>
      </c>
      <c r="AH104" s="98">
        <v>5</v>
      </c>
      <c r="AI104" s="98">
        <v>3162</v>
      </c>
      <c r="AJ104" s="98">
        <v>5</v>
      </c>
      <c r="AK104" s="98">
        <v>3162</v>
      </c>
      <c r="AL104" s="98">
        <v>5</v>
      </c>
      <c r="AM104" s="98">
        <v>3162</v>
      </c>
      <c r="AN104" s="98">
        <v>6</v>
      </c>
      <c r="AO104" s="98">
        <v>3794.3999999999996</v>
      </c>
      <c r="AP104" s="98">
        <v>6</v>
      </c>
      <c r="AQ104" s="98">
        <v>3794.3999999999996</v>
      </c>
      <c r="AR104" s="98">
        <v>3</v>
      </c>
      <c r="AS104" s="98">
        <v>1897.1999999999998</v>
      </c>
      <c r="AT104" s="98">
        <v>5</v>
      </c>
      <c r="AU104" s="98">
        <v>3162</v>
      </c>
      <c r="AV104" s="98">
        <v>6</v>
      </c>
      <c r="AW104" s="98">
        <v>3794.3999999999996</v>
      </c>
      <c r="AX104" s="98">
        <v>4</v>
      </c>
      <c r="AY104" s="98">
        <v>2529.6</v>
      </c>
      <c r="AZ104" s="98">
        <v>6</v>
      </c>
      <c r="BA104" s="98">
        <v>3794.3999999999996</v>
      </c>
      <c r="BB104" s="98">
        <v>6</v>
      </c>
      <c r="BC104" s="98">
        <v>3794.3999999999996</v>
      </c>
      <c r="BD104" s="98">
        <v>7</v>
      </c>
      <c r="BE104" s="98">
        <v>4426.8</v>
      </c>
      <c r="BF104" s="98">
        <v>5</v>
      </c>
      <c r="BG104" s="98">
        <v>3162</v>
      </c>
      <c r="BH104" s="98">
        <v>5</v>
      </c>
      <c r="BI104" s="98">
        <v>3162</v>
      </c>
      <c r="BJ104" s="98">
        <v>4</v>
      </c>
      <c r="BK104" s="98">
        <v>2529.6</v>
      </c>
      <c r="BL104" s="98">
        <v>5</v>
      </c>
      <c r="BM104" s="98">
        <v>3162</v>
      </c>
      <c r="BN104" s="98">
        <v>6</v>
      </c>
      <c r="BO104" s="98">
        <v>3794.3999999999996</v>
      </c>
      <c r="BP104" s="98">
        <v>4</v>
      </c>
      <c r="BQ104" s="98">
        <v>2529.6</v>
      </c>
      <c r="BR104" s="98">
        <v>4</v>
      </c>
      <c r="BS104" s="98">
        <v>2529.6</v>
      </c>
      <c r="BT104" s="98">
        <v>6</v>
      </c>
      <c r="BU104" s="98">
        <v>3794.3999999999996</v>
      </c>
      <c r="BV104" s="98">
        <v>4</v>
      </c>
      <c r="BW104" s="98">
        <v>2529.6</v>
      </c>
      <c r="BX104" s="98">
        <v>5</v>
      </c>
      <c r="BY104" s="98">
        <v>3162</v>
      </c>
      <c r="BZ104" s="98">
        <v>5</v>
      </c>
      <c r="CA104" s="98">
        <v>3162</v>
      </c>
      <c r="CB104" s="98">
        <v>4</v>
      </c>
      <c r="CC104" s="98">
        <v>2529.6</v>
      </c>
      <c r="CD104" s="98">
        <v>5</v>
      </c>
      <c r="CE104" s="98">
        <v>3162</v>
      </c>
      <c r="CF104" s="98">
        <v>6</v>
      </c>
      <c r="CG104" s="98">
        <v>3794.3999999999996</v>
      </c>
      <c r="CH104" s="98">
        <v>6</v>
      </c>
      <c r="CI104" s="98">
        <v>3794.3999999999996</v>
      </c>
      <c r="CJ104" s="98">
        <v>5</v>
      </c>
      <c r="CK104" s="98">
        <v>3162</v>
      </c>
      <c r="CL104" s="98">
        <v>8</v>
      </c>
      <c r="CM104" s="98">
        <v>5059.2</v>
      </c>
      <c r="CN104" s="98">
        <v>7</v>
      </c>
      <c r="CO104" s="98">
        <v>4426.8</v>
      </c>
      <c r="CP104" s="98">
        <v>6</v>
      </c>
      <c r="CQ104" s="98">
        <v>3794.3999999999996</v>
      </c>
      <c r="CR104" s="98">
        <v>6</v>
      </c>
      <c r="CS104" s="98">
        <v>3794.3999999999996</v>
      </c>
      <c r="CT104" s="98">
        <v>6</v>
      </c>
      <c r="CU104" s="98">
        <v>3794.3999999999996</v>
      </c>
    </row>
    <row r="105" spans="2:99">
      <c r="C105" s="97" t="s">
        <v>272</v>
      </c>
      <c r="D105" s="98">
        <v>4</v>
      </c>
      <c r="E105" s="98">
        <v>2227.1999999999998</v>
      </c>
      <c r="F105" s="98">
        <v>7</v>
      </c>
      <c r="G105" s="98">
        <v>3897.5999999999995</v>
      </c>
      <c r="H105" s="98">
        <v>6</v>
      </c>
      <c r="I105" s="98">
        <v>3340.7999999999997</v>
      </c>
      <c r="J105" s="98">
        <v>5</v>
      </c>
      <c r="K105" s="98">
        <v>2784</v>
      </c>
      <c r="L105" s="98">
        <v>5</v>
      </c>
      <c r="M105" s="98">
        <v>2784</v>
      </c>
      <c r="N105" s="98">
        <v>7</v>
      </c>
      <c r="O105" s="98">
        <v>3897.5999999999995</v>
      </c>
      <c r="P105" s="98">
        <v>6</v>
      </c>
      <c r="Q105" s="98">
        <v>3340.7999999999997</v>
      </c>
      <c r="R105" s="98">
        <v>6</v>
      </c>
      <c r="S105" s="98">
        <v>3340.7999999999997</v>
      </c>
      <c r="T105" s="98">
        <v>6</v>
      </c>
      <c r="U105" s="98">
        <v>3340.7999999999997</v>
      </c>
      <c r="V105" s="98">
        <v>6</v>
      </c>
      <c r="W105" s="98">
        <v>3340.7999999999997</v>
      </c>
      <c r="X105" s="98">
        <v>4</v>
      </c>
      <c r="Y105" s="98">
        <v>2227.1999999999998</v>
      </c>
      <c r="Z105" s="98">
        <v>6</v>
      </c>
      <c r="AA105" s="98">
        <v>3340.7999999999997</v>
      </c>
      <c r="AB105" s="98">
        <v>6</v>
      </c>
      <c r="AC105" s="98">
        <v>3340.7999999999997</v>
      </c>
      <c r="AD105" s="98">
        <v>5</v>
      </c>
      <c r="AE105" s="98">
        <v>2784</v>
      </c>
      <c r="AF105" s="98">
        <v>5</v>
      </c>
      <c r="AG105" s="98">
        <v>2784</v>
      </c>
      <c r="AH105" s="98">
        <v>5</v>
      </c>
      <c r="AI105" s="98">
        <v>2784</v>
      </c>
      <c r="AJ105" s="98">
        <v>5</v>
      </c>
      <c r="AK105" s="98">
        <v>2784</v>
      </c>
      <c r="AL105" s="98">
        <v>4</v>
      </c>
      <c r="AM105" s="98">
        <v>2227.1999999999998</v>
      </c>
      <c r="AN105" s="98">
        <v>5</v>
      </c>
      <c r="AO105" s="98">
        <v>2784</v>
      </c>
      <c r="AP105" s="98">
        <v>6</v>
      </c>
      <c r="AQ105" s="98">
        <v>3340.7999999999997</v>
      </c>
      <c r="AR105" s="98">
        <v>3</v>
      </c>
      <c r="AS105" s="98">
        <v>1670.3999999999999</v>
      </c>
      <c r="AT105" s="98">
        <v>5</v>
      </c>
      <c r="AU105" s="98">
        <v>2784</v>
      </c>
      <c r="AV105" s="98">
        <v>7</v>
      </c>
      <c r="AW105" s="98">
        <v>3897.5999999999995</v>
      </c>
      <c r="AX105" s="98">
        <v>4</v>
      </c>
      <c r="AY105" s="98">
        <v>2227.1999999999998</v>
      </c>
      <c r="AZ105" s="98">
        <v>6</v>
      </c>
      <c r="BA105" s="98">
        <v>3340.7999999999997</v>
      </c>
      <c r="BB105" s="98">
        <v>6</v>
      </c>
      <c r="BC105" s="98">
        <v>3340.7999999999997</v>
      </c>
      <c r="BD105" s="98">
        <v>6</v>
      </c>
      <c r="BE105" s="98">
        <v>3340.7999999999997</v>
      </c>
      <c r="BF105" s="98">
        <v>5</v>
      </c>
      <c r="BG105" s="98">
        <v>2784</v>
      </c>
      <c r="BH105" s="98">
        <v>4</v>
      </c>
      <c r="BI105" s="98">
        <v>2227.1999999999998</v>
      </c>
      <c r="BJ105" s="98">
        <v>4</v>
      </c>
      <c r="BK105" s="98">
        <v>2227.1999999999998</v>
      </c>
      <c r="BL105" s="98">
        <v>4</v>
      </c>
      <c r="BM105" s="98">
        <v>2227.1999999999998</v>
      </c>
      <c r="BN105" s="98">
        <v>5</v>
      </c>
      <c r="BO105" s="98">
        <v>2784</v>
      </c>
      <c r="BP105" s="98">
        <v>5</v>
      </c>
      <c r="BQ105" s="98">
        <v>2784</v>
      </c>
      <c r="BR105" s="98">
        <v>3</v>
      </c>
      <c r="BS105" s="98">
        <v>1670.3999999999999</v>
      </c>
      <c r="BT105" s="98">
        <v>6</v>
      </c>
      <c r="BU105" s="98">
        <v>3340.7999999999997</v>
      </c>
      <c r="BV105" s="98">
        <v>4</v>
      </c>
      <c r="BW105" s="98">
        <v>2227.1999999999998</v>
      </c>
      <c r="BX105" s="98">
        <v>6</v>
      </c>
      <c r="BY105" s="98">
        <v>3340.7999999999997</v>
      </c>
      <c r="BZ105" s="98">
        <v>5</v>
      </c>
      <c r="CA105" s="98">
        <v>2784</v>
      </c>
      <c r="CB105" s="98">
        <v>4</v>
      </c>
      <c r="CC105" s="98">
        <v>2227.1999999999998</v>
      </c>
      <c r="CD105" s="98">
        <v>5</v>
      </c>
      <c r="CE105" s="98">
        <v>2784</v>
      </c>
      <c r="CF105" s="98">
        <v>5</v>
      </c>
      <c r="CG105" s="98">
        <v>2784</v>
      </c>
      <c r="CH105" s="98">
        <v>7</v>
      </c>
      <c r="CI105" s="98">
        <v>3897.5999999999995</v>
      </c>
      <c r="CJ105" s="98">
        <v>5</v>
      </c>
      <c r="CK105" s="98">
        <v>2784</v>
      </c>
      <c r="CL105" s="98">
        <v>8</v>
      </c>
      <c r="CM105" s="98">
        <v>4454.3999999999996</v>
      </c>
      <c r="CN105" s="98">
        <v>8</v>
      </c>
      <c r="CO105" s="98">
        <v>4454.3999999999996</v>
      </c>
      <c r="CP105" s="98">
        <v>6</v>
      </c>
      <c r="CQ105" s="98">
        <v>3340.7999999999997</v>
      </c>
      <c r="CR105" s="98">
        <v>7</v>
      </c>
      <c r="CS105" s="98">
        <v>3897.5999999999995</v>
      </c>
      <c r="CT105" s="98">
        <v>6</v>
      </c>
      <c r="CU105" s="98">
        <v>3340.7999999999997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653</v>
      </c>
      <c r="E109" s="98">
        <f>SUM(L$6:L$19)+SUM(N$6:N$19)+SUM(P$6:P$19)+SUM(R$6:R$19)</f>
        <v>732</v>
      </c>
      <c r="F109" s="98">
        <f>SUM(T$6:T$19)+SUM(V$6:V$19)+SUM(X$6:X$19)+SUM(Z$6:Z$19)</f>
        <v>734</v>
      </c>
      <c r="G109" s="98">
        <f>SUM(AB$6:AB$19)+SUM(AD$6:AD$19)+SUM(AF$6:AF$19)+SUM(AH$6:AH$19)</f>
        <v>749</v>
      </c>
      <c r="H109" s="98">
        <f>SUM(AJ$6:AJ$19)+SUM(AL$6:AL$19)+SUM(AN$6:AN$19)+SUM(AP$6:AP$19)</f>
        <v>695</v>
      </c>
      <c r="I109" s="98">
        <f>SUM(AR$6:AR$19)+SUM(AT$6:AT$19)+SUM(AV$6:AV$19)+SUM(AX$6:AX$19)</f>
        <v>938</v>
      </c>
      <c r="J109" s="98">
        <f>SUM(AZ$6:AZ$19)+SUM(BB$6:BB$19)+SUM(BD$6:BD$19)+SUM(BF$6:BF$19)</f>
        <v>739</v>
      </c>
      <c r="K109" s="98">
        <f>SUM(BH$6:BH$19)+SUM(BJ$6:BJ$19)+SUM(BL$6:BL$19)+SUM(BN$6:BN$19)</f>
        <v>973</v>
      </c>
      <c r="L109" s="98">
        <f>SUM(BP$6:BP$19)+SUM(BR$6:BR$19)+SUM(BT$6:BT$19)+SUM(BV$6:BV$19)</f>
        <v>747</v>
      </c>
      <c r="M109" s="98">
        <f>SUM(BX$6:BX$19)+SUM(BZ$6:BZ$19)+SUM(CB$6:CB$19)+SUM(CD$6:CD$19)</f>
        <v>742</v>
      </c>
      <c r="N109" s="98">
        <f>SUM(CF$6:CF$19)+SUM(CH$6:CH$19)+SUM(CJ$6:CJ$19)+SUM(CL$6:CL$19)</f>
        <v>955</v>
      </c>
      <c r="O109" s="98">
        <f>SUM(CN$6:CN$19)+SUM(CP$6:CP$19)+SUM(CR$6:CR$19)+SUM(CT$6:CT$19)</f>
        <v>919</v>
      </c>
    </row>
    <row r="110" spans="2:99">
      <c r="C110" s="97" t="s">
        <v>127</v>
      </c>
      <c r="D110" s="98">
        <f>SUM(D$20:D$36)+SUM(F$20:F$36)+SUM(H$20:H$36)+SUM(J$20:J$36)</f>
        <v>434</v>
      </c>
      <c r="E110" s="98">
        <f>SUM(L$20:L$36)+SUM(N$20:N$36)+SUM(P$20:P$36)+SUM(R$20:R$36)</f>
        <v>432</v>
      </c>
      <c r="F110" s="98">
        <f>SUM(T$20:T$36)+SUM(V$20:V$36)+SUM(X$20:X$36)+SUM(Z$20:Z$36)</f>
        <v>433</v>
      </c>
      <c r="G110" s="98">
        <f>SUM(AB$20:AB$36)+SUM(AD$20:AD$36)+SUM(AF$20:AF$36)+SUM(AH$20:AH$36)</f>
        <v>382</v>
      </c>
      <c r="H110" s="98">
        <f>SUM(AJ$20:AJ$36)+SUM(AL$20:AL$36)+SUM(AN$20:AN$36)+SUM(AP$20:AP$36)</f>
        <v>382</v>
      </c>
      <c r="I110" s="98">
        <f>SUM(AR$20:AR$36)+SUM(AT$20:AT$36)+SUM(AV$20:AV$36)+SUM(AX$20:AX$36)</f>
        <v>542</v>
      </c>
      <c r="J110" s="98">
        <f>SUM(AZ$20:AZ$36)+SUM(BB$20:BB$36)+SUM(BD$20:BD$36)+SUM(BF$20:BF$36)</f>
        <v>439</v>
      </c>
      <c r="K110" s="98">
        <f>SUM(BH$20:BH$36)+SUM(BJ$20:BJ$36)+SUM(BL$20:BL$36)+SUM(BN$20:BN$36)</f>
        <v>440</v>
      </c>
      <c r="L110" s="98">
        <f>SUM(BP$20:BP$36)+SUM(BR$20:BR$36)+SUM(BT$20:BT$36)+SUM(BV$20:BV$36)</f>
        <v>416</v>
      </c>
      <c r="M110" s="98">
        <f>SUM(BX$20:BX$36)+SUM(BZ$20:BZ$36)+SUM(CB$20:CB$36)+SUM(CD$20:CD$36)</f>
        <v>485</v>
      </c>
      <c r="N110" s="98">
        <f>SUM(CF$20:CF$36)+SUM(CH$20:CH$36)+SUM(CJ$20:CJ$36)+SUM(CL$20:CL$36)</f>
        <v>438</v>
      </c>
      <c r="O110" s="98">
        <f>SUM(CN$20:CN$36)+SUM(CP$20:CP$36)+SUM(CR$20:CR$36)+SUM(CT$20:CT$36)</f>
        <v>507</v>
      </c>
    </row>
    <row r="111" spans="2:99">
      <c r="C111" s="97" t="s">
        <v>128</v>
      </c>
      <c r="D111" s="98">
        <f>SUM(D$37:D$48)+SUM(F$37:F$48)+SUM(H$37:H$48)+SUM(J$37:J$48)</f>
        <v>312</v>
      </c>
      <c r="E111" s="98">
        <f>SUM(L$37:L$48)+SUM(N$37:N$48)+SUM(P$37:P$48)+SUM(R$37:R$48)</f>
        <v>270</v>
      </c>
      <c r="F111" s="98">
        <f>SUM(T$37:T$48)+SUM(V$37:V$48)+SUM(X$37:X$48)+SUM(Z$37:Z$48)</f>
        <v>268</v>
      </c>
      <c r="G111" s="98">
        <f>SUM(AB$37:AB$48)+SUM(AD$37:AD$48)+SUM(AF$37:AF$48)+SUM(AH$37:AH$48)</f>
        <v>276</v>
      </c>
      <c r="H111" s="98">
        <f>SUM(AJ$37:AJ$48)+SUM(AL$37:AL$48)+SUM(AN$37:AN$48)+SUM(AP$37:AP$48)</f>
        <v>297</v>
      </c>
      <c r="I111" s="98">
        <f>SUM(AR$37:AR$48)+SUM(AT$37:AT$48)+SUM(AV$37:AV$48)+SUM(AX$37:AX$48)</f>
        <v>311</v>
      </c>
      <c r="J111" s="98">
        <f>SUM(AZ$37:AZ$48)+SUM(BB$37:BB$48)+SUM(BD$37:BD$48)+SUM(BF$37:BF$48)</f>
        <v>293</v>
      </c>
      <c r="K111" s="98">
        <f>SUM(BH$37:BH$48)+SUM(BJ$37:BJ$48)+SUM(BL$37:BL$48)+SUM(BN$37:BN$48)</f>
        <v>318</v>
      </c>
      <c r="L111" s="98">
        <f>SUM(BP$37:BP$48)+SUM(BR$37:BR$48)+SUM(BT$37:BT$48)+SUM(BV$37:BV$48)</f>
        <v>290</v>
      </c>
      <c r="M111" s="98">
        <f>SUM(BX$37:BX$48)+SUM(BZ$37:BZ$48)+SUM(CB$37:CB$48)+SUM(CD$37:CD$48)</f>
        <v>308</v>
      </c>
      <c r="N111" s="98">
        <f>SUM(CF$37:CF$48)+SUM(CH$37:CH$48)+SUM(CJ$37:CJ$48)+SUM(CL$37:CL$48)</f>
        <v>295</v>
      </c>
      <c r="O111" s="98">
        <f>SUM(CN$37:CN$48)+SUM(CP$37:CP$48)+SUM(CR$37:CR$48)+SUM(CT$37:CT$48)</f>
        <v>256</v>
      </c>
    </row>
    <row r="112" spans="2:99">
      <c r="C112" s="97" t="s">
        <v>129</v>
      </c>
      <c r="D112" s="98">
        <f>SUM(D$49:D$70)+SUM(F$49:F$70)+SUM(H$49:H$70)+SUM(J$49:J$70)</f>
        <v>473</v>
      </c>
      <c r="E112" s="98">
        <f>SUM(L$49:L$70)+SUM(N$49:N$70)+SUM(P$49:P$70)+SUM(R$49:R$70)</f>
        <v>411</v>
      </c>
      <c r="F112" s="98">
        <f>SUM(T$49:T$70)+SUM(V$49:V$70)+SUM(X$49:X$70)+SUM(Z$49:Z$70)</f>
        <v>567</v>
      </c>
      <c r="G112" s="98">
        <f>SUM(AB$49:AB$70)+SUM(AD$49:AD$70)+SUM(AF$49:AF$70)+SUM(AH$49:AH$70)</f>
        <v>465</v>
      </c>
      <c r="H112" s="98">
        <f>SUM(AJ$49:AJ$70)+SUM(AL$49:AL$70)+SUM(AN$49:AN$70)+SUM(AP$49:AP$70)</f>
        <v>486</v>
      </c>
      <c r="I112" s="98">
        <f>SUM(AR$49:AR$70)+SUM(AT$49:AT$70)+SUM(AV$49:AV$70)+SUM(AX$49:AX$70)</f>
        <v>445</v>
      </c>
      <c r="J112" s="98">
        <f>SUM(AZ$49:AZ$70)+SUM(BB$49:BB$70)+SUM(BD$49:BD$70)+SUM(BF$49:BF$70)</f>
        <v>480</v>
      </c>
      <c r="K112" s="98">
        <f>SUM(BH$49:BH$70)+SUM(BJ$49:BJ$70)+SUM(BL$49:BL$70)+SUM(BN$49:BN$70)</f>
        <v>444</v>
      </c>
      <c r="L112" s="98">
        <f>SUM(BP$49:BP$70)+SUM(BR$49:BR$70)+SUM(BT$49:BT$70)+SUM(BV$49:BV$70)</f>
        <v>414</v>
      </c>
      <c r="M112" s="98">
        <f>SUM(BX$49:BX$70)+SUM(BZ$49:BZ$70)+SUM(CB$49:CB$70)+SUM(CD$49:CD$70)</f>
        <v>507</v>
      </c>
      <c r="N112" s="98">
        <f>SUM(CF$49:CF$70)+SUM(CH$49:CH$70)+SUM(CJ$49:CJ$70)+SUM(CL$49:CL$70)</f>
        <v>464</v>
      </c>
      <c r="O112" s="98">
        <f>SUM(CN$49:CN$70)+SUM(CP$49:CP$70)+SUM(CR$49:CR$70)+SUM(CT$49:CT$70)</f>
        <v>446</v>
      </c>
    </row>
    <row r="113" spans="2:15">
      <c r="C113" s="97" t="s">
        <v>130</v>
      </c>
      <c r="D113" s="98">
        <f>SUM(D$71:D$86)+SUM(F$71:F$86)+SUM(H$71:H$86)+SUM(J$71:J$86)</f>
        <v>783</v>
      </c>
      <c r="E113" s="98">
        <f>SUM(L$71:L$86)+SUM(N$71:N$86)+SUM(P$71:P$86)+SUM(R$71:R$86)</f>
        <v>715</v>
      </c>
      <c r="F113" s="98">
        <f>SUM(T$71:T$86)+SUM(V$71:V$86)+SUM(X$71:X$86)+SUM(Z$71:Z$86)</f>
        <v>693</v>
      </c>
      <c r="G113" s="98">
        <f>SUM(AB$71:AB$86)+SUM(AD$71:AD$86)+SUM(AF$71:AF$86)+SUM(AH$71:AH$86)</f>
        <v>797</v>
      </c>
      <c r="H113" s="98">
        <f>SUM(AJ$71:AJ$86)+SUM(AL$71:AL$86)+SUM(AN$71:AN$86)+SUM(AP$71:AP$86)</f>
        <v>839</v>
      </c>
      <c r="I113" s="98">
        <f>SUM(AR$71:AR$86)+SUM(AT$71:AT$86)+SUM(AV$71:AV$86)+SUM(AX$71:AX$86)</f>
        <v>859</v>
      </c>
      <c r="J113" s="98">
        <f>SUM(AZ$71:AZ$86)+SUM(BB$71:BB$86)+SUM(BD$71:BD$86)+SUM(BF$71:BF$86)</f>
        <v>709</v>
      </c>
      <c r="K113" s="98">
        <f>SUM(BH$71:BH$86)+SUM(BJ$71:BJ$86)+SUM(BL$71:BL$86)+SUM(BN$71:BN$86)</f>
        <v>798</v>
      </c>
      <c r="L113" s="98">
        <f>SUM(BP$71:BP$86)+SUM(BR$71:BR$86)+SUM(BT$71:BT$86)+SUM(BV$71:BV$86)</f>
        <v>832</v>
      </c>
      <c r="M113" s="98">
        <f>SUM(BX$71:BX$86)+SUM(BZ$71:BZ$86)+SUM(CB$71:CB$86)+SUM(CD$71:CD$86)</f>
        <v>847</v>
      </c>
      <c r="N113" s="98">
        <f>SUM(CF$71:CF$86)+SUM(CH$71:CH$86)+SUM(CJ$71:CJ$86)+SUM(CL$71:CL$86)</f>
        <v>896</v>
      </c>
      <c r="O113" s="98">
        <f>SUM(CN$71:CN$86)+SUM(CP$71:CP$86)+SUM(CR$71:CR$86)+SUM(CT$71:CT$86)</f>
        <v>944</v>
      </c>
    </row>
    <row r="114" spans="2:15">
      <c r="C114" s="97" t="s">
        <v>131</v>
      </c>
      <c r="D114" s="98">
        <f>SUM(D$87:D$94)+SUM(F$87:F$94)+SUM(H$87:H$94)+SUM(J$87:J$94)</f>
        <v>451</v>
      </c>
      <c r="E114" s="98">
        <f>SUM(L$87:L$94)+SUM(N$87:N$94)+SUM(P$87:P$94)+SUM(R$87:R$94)</f>
        <v>485</v>
      </c>
      <c r="F114" s="98">
        <f>SUM(T$87:T$94)+SUM(V$87:V$94)+SUM(X$87:X$94)+SUM(Z$87:Z$94)</f>
        <v>535</v>
      </c>
      <c r="G114" s="98">
        <f>SUM(AB$87:AB$94)+SUM(AD$87:AD$94)+SUM(AF$87:AF$94)+SUM(AH$87:AH$94)</f>
        <v>477</v>
      </c>
      <c r="H114" s="98">
        <f>SUM(AJ$87:AJ$94)+SUM(AL$87:AL$94)+SUM(AN$87:AN$94)+SUM(AP$87:AP$94)</f>
        <v>508</v>
      </c>
      <c r="I114" s="98">
        <f>SUM(AR$87:AR$94)+SUM(AT$87:AT$94)+SUM(AV$87:AV$94)+SUM(AX$87:AX$94)</f>
        <v>609</v>
      </c>
      <c r="J114" s="98">
        <f>SUM(AZ$87:AZ$94)+SUM(BB$87:BB$94)+SUM(BD$87:BD$94)+SUM(BF$87:BF$94)</f>
        <v>569</v>
      </c>
      <c r="K114" s="98">
        <f>SUM(BH$87:BH$94)+SUM(BJ$87:BJ$94)+SUM(BL$87:BL$94)+SUM(BN$87:BN$94)</f>
        <v>560</v>
      </c>
      <c r="L114" s="98">
        <f>SUM(BP$87:BP$94)+SUM(BR$87:BR$94)+SUM(BT$87:BT$94)+SUM(BV$87:BV$94)</f>
        <v>568</v>
      </c>
      <c r="M114" s="98">
        <f>SUM(BX$87:BX$94)+SUM(BZ$87:BZ$94)+SUM(CB$87:CB$94)+SUM(CD$87:CD$94)</f>
        <v>516</v>
      </c>
      <c r="N114" s="98">
        <f>SUM(CF$87:CF$94)+SUM(CH$87:CH$94)+SUM(CJ$87:CJ$94)+SUM(CL$87:CL$94)</f>
        <v>552</v>
      </c>
      <c r="O114" s="98">
        <f>SUM(CN$87:CN$94)+SUM(CP$87:CP$94)+SUM(CR$87:CR$94)+SUM(CT$87:CT$94)</f>
        <v>510</v>
      </c>
    </row>
    <row r="115" spans="2:15">
      <c r="C115" s="97" t="s">
        <v>132</v>
      </c>
      <c r="D115" s="98">
        <f>SUM(D$95:D$105)+SUM(F$95:F$105)+SUM(H$95:H$105)+SUM(J$95:J$105)</f>
        <v>237</v>
      </c>
      <c r="E115" s="98">
        <f>SUM(L$95:L$105)+SUM(N$95:N$105)+SUM(P$95:P$105)+SUM(R$95:R$105)</f>
        <v>245</v>
      </c>
      <c r="F115" s="98">
        <f>SUM(T$95:T$105)+SUM(V$95:V$105)+SUM(X$95:X$105)+SUM(Z$95:Z$105)</f>
        <v>241</v>
      </c>
      <c r="G115" s="98">
        <f>SUM(AB$95:AB$105)+SUM(AD$95:AD$105)+SUM(AF$95:AF$105)+SUM(AH$95:AH$105)</f>
        <v>233</v>
      </c>
      <c r="H115" s="98">
        <f>SUM(AJ$95:AJ$105)+SUM(AL$95:AL$105)+SUM(AN$95:AN$105)+SUM(AP$95:AP$105)</f>
        <v>234</v>
      </c>
      <c r="I115" s="98">
        <f>SUM(AR$95:AR$105)+SUM(AT$95:AT$105)+SUM(AV$95:AV$105)+SUM(AX$95:AX$105)</f>
        <v>206</v>
      </c>
      <c r="J115" s="98">
        <f>SUM(AZ$95:AZ$105)+SUM(BB$95:BB$105)+SUM(BD$95:BD$105)+SUM(BF$95:BF$105)</f>
        <v>261</v>
      </c>
      <c r="K115" s="98">
        <f>SUM(BH$95:BH$105)+SUM(BJ$95:BJ$105)+SUM(BL$95:BL$105)+SUM(BN$95:BN$105)</f>
        <v>200</v>
      </c>
      <c r="L115" s="98">
        <f>SUM(BP$95:BP$105)+SUM(BR$95:BR$105)+SUM(BT$95:BT$105)+SUM(BV$95:BV$105)</f>
        <v>196</v>
      </c>
      <c r="M115" s="98">
        <f>SUM(BX$95:BX$105)+SUM(BZ$95:BZ$105)+SUM(CB$95:CB$105)+SUM(CD$95:CD$105)</f>
        <v>214</v>
      </c>
      <c r="N115" s="98">
        <f>SUM(CF$95:CF$105)+SUM(CH$95:CH$105)+SUM(CJ$95:CJ$105)+SUM(CL$95:CL$105)</f>
        <v>260</v>
      </c>
      <c r="O115" s="98">
        <f>SUM(CN$95:CN$105)+SUM(CP$95:CP$105)+SUM(CR$95:CR$105)+SUM(CT$95:CT$105)</f>
        <v>273</v>
      </c>
    </row>
    <row r="116" spans="2:15">
      <c r="C116" s="97" t="s">
        <v>279</v>
      </c>
      <c r="D116" s="98">
        <f t="shared" ref="D116:O116" si="0">SUM(D$109:D$115)</f>
        <v>3343</v>
      </c>
      <c r="E116" s="98">
        <f t="shared" si="0"/>
        <v>3290</v>
      </c>
      <c r="F116" s="98">
        <f t="shared" si="0"/>
        <v>3471</v>
      </c>
      <c r="G116" s="98">
        <f t="shared" si="0"/>
        <v>3379</v>
      </c>
      <c r="H116" s="98">
        <f t="shared" si="0"/>
        <v>3441</v>
      </c>
      <c r="I116" s="98">
        <f t="shared" si="0"/>
        <v>3910</v>
      </c>
      <c r="J116" s="98">
        <f t="shared" si="0"/>
        <v>3490</v>
      </c>
      <c r="K116" s="98">
        <f t="shared" si="0"/>
        <v>3733</v>
      </c>
      <c r="L116" s="98">
        <f t="shared" si="0"/>
        <v>3463</v>
      </c>
      <c r="M116" s="98">
        <f t="shared" si="0"/>
        <v>3619</v>
      </c>
      <c r="N116" s="98">
        <f t="shared" si="0"/>
        <v>3860</v>
      </c>
      <c r="O116" s="98">
        <f t="shared" si="0"/>
        <v>3855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D109*pricing!D6*2000</f>
        <v>2612000</v>
      </c>
      <c r="E120" s="98">
        <f>E109*pricing!E6*2000</f>
        <v>2928000</v>
      </c>
      <c r="F120" s="98">
        <f>F109*pricing!F6*2000</f>
        <v>2936000</v>
      </c>
      <c r="G120" s="98">
        <f>G109*pricing!G6*2000</f>
        <v>2996000</v>
      </c>
      <c r="H120" s="98">
        <f>H109*pricing!H6*2000</f>
        <v>2780000</v>
      </c>
      <c r="I120" s="98">
        <f>I109*pricing!I6*2000</f>
        <v>3752000</v>
      </c>
      <c r="J120" s="98">
        <f>J109*pricing!J6*2000</f>
        <v>2956000</v>
      </c>
      <c r="K120" s="98">
        <f>K109*pricing!K6*2000</f>
        <v>3892000</v>
      </c>
      <c r="L120" s="98">
        <f>L109*pricing!L6*2000</f>
        <v>2988000</v>
      </c>
      <c r="M120" s="98">
        <f>M109*pricing!M6*2000</f>
        <v>2968000</v>
      </c>
      <c r="N120" s="98">
        <f>N109*pricing!N6*2000</f>
        <v>3820000</v>
      </c>
      <c r="O120" s="98">
        <f>O109*pricing!O6*2000</f>
        <v>3676000</v>
      </c>
    </row>
    <row r="121" spans="2:15">
      <c r="C121" s="97" t="s">
        <v>127</v>
      </c>
      <c r="D121" s="98">
        <f>D110*pricing!D7*2000</f>
        <v>2951200</v>
      </c>
      <c r="E121" s="98">
        <f>E110*pricing!E7*2000</f>
        <v>2937600</v>
      </c>
      <c r="F121" s="98">
        <f>F110*pricing!F7*2000</f>
        <v>2944400</v>
      </c>
      <c r="G121" s="98">
        <f>G110*pricing!G7*2000</f>
        <v>2597600</v>
      </c>
      <c r="H121" s="98">
        <f>H110*pricing!H7*2000</f>
        <v>2597600</v>
      </c>
      <c r="I121" s="98">
        <f>I110*pricing!I7*2000</f>
        <v>3685600</v>
      </c>
      <c r="J121" s="98">
        <f>J110*pricing!J7*2000</f>
        <v>2985200</v>
      </c>
      <c r="K121" s="98">
        <f>K110*pricing!K7*2000</f>
        <v>2992000</v>
      </c>
      <c r="L121" s="98">
        <f>L110*pricing!L7*2000</f>
        <v>2828799.9999999995</v>
      </c>
      <c r="M121" s="98">
        <f>M110*pricing!M7*2000</f>
        <v>3298000</v>
      </c>
      <c r="N121" s="98">
        <f>N110*pricing!N7*2000</f>
        <v>2978400</v>
      </c>
      <c r="O121" s="98">
        <f>O110*pricing!O7*2000</f>
        <v>3447600</v>
      </c>
    </row>
    <row r="122" spans="2:15">
      <c r="C122" s="97" t="s">
        <v>128</v>
      </c>
      <c r="D122" s="98">
        <f>D111*pricing!D8*2000</f>
        <v>2059199.9999999998</v>
      </c>
      <c r="E122" s="98">
        <f>E111*pricing!E8*2000</f>
        <v>1782000</v>
      </c>
      <c r="F122" s="98">
        <f>F111*pricing!F8*2000</f>
        <v>1768800</v>
      </c>
      <c r="G122" s="98">
        <f>G111*pricing!G8*2000</f>
        <v>1821600</v>
      </c>
      <c r="H122" s="98">
        <f>H111*pricing!H8*2000</f>
        <v>1960199.9999999998</v>
      </c>
      <c r="I122" s="98">
        <f>I111*pricing!I8*2000</f>
        <v>2052600</v>
      </c>
      <c r="J122" s="98">
        <f>J111*pricing!J8*2000</f>
        <v>1933800</v>
      </c>
      <c r="K122" s="98">
        <f>K111*pricing!K8*2000</f>
        <v>2098799.9999999995</v>
      </c>
      <c r="L122" s="98">
        <f>L111*pricing!L8*2000</f>
        <v>1914000</v>
      </c>
      <c r="M122" s="98">
        <f>M111*pricing!M8*2000</f>
        <v>2032800</v>
      </c>
      <c r="N122" s="98">
        <f>N111*pricing!N8*2000</f>
        <v>1947000</v>
      </c>
      <c r="O122" s="98">
        <f>O111*pricing!O8*2000</f>
        <v>1689600</v>
      </c>
    </row>
    <row r="123" spans="2:15">
      <c r="C123" s="97" t="s">
        <v>129</v>
      </c>
      <c r="D123" s="98">
        <f>D112*pricing!D9*2000</f>
        <v>3121799.9999999995</v>
      </c>
      <c r="E123" s="98">
        <f>E112*pricing!E9*2000</f>
        <v>2712600</v>
      </c>
      <c r="F123" s="98">
        <f>F112*pricing!F9*2000</f>
        <v>3742200</v>
      </c>
      <c r="G123" s="98">
        <f>G112*pricing!G9*2000</f>
        <v>3069000</v>
      </c>
      <c r="H123" s="98">
        <f>H112*pricing!H9*2000</f>
        <v>3207600</v>
      </c>
      <c r="I123" s="98">
        <f>I112*pricing!I9*2000</f>
        <v>2937000</v>
      </c>
      <c r="J123" s="98">
        <f>J112*pricing!J9*2000</f>
        <v>3168000</v>
      </c>
      <c r="K123" s="98">
        <f>K112*pricing!K9*2000</f>
        <v>2930399.9999999995</v>
      </c>
      <c r="L123" s="98">
        <f>L112*pricing!L9*2000</f>
        <v>2732399.9999999995</v>
      </c>
      <c r="M123" s="98">
        <f>M112*pricing!M9*2000</f>
        <v>3346200</v>
      </c>
      <c r="N123" s="98">
        <f>N112*pricing!N9*2000</f>
        <v>3062399.9999999995</v>
      </c>
      <c r="O123" s="98">
        <f>O112*pricing!O9*2000</f>
        <v>2943600</v>
      </c>
    </row>
    <row r="124" spans="2:15">
      <c r="C124" s="97" t="s">
        <v>130</v>
      </c>
      <c r="D124" s="98">
        <f>D113*pricing!D10*2000</f>
        <v>3132000</v>
      </c>
      <c r="E124" s="98">
        <f>E113*pricing!E10*2000</f>
        <v>2860000</v>
      </c>
      <c r="F124" s="98">
        <f>F113*pricing!F10*2000</f>
        <v>2772000</v>
      </c>
      <c r="G124" s="98">
        <f>G113*pricing!G10*2000</f>
        <v>3188000</v>
      </c>
      <c r="H124" s="98">
        <f>H113*pricing!H10*2000</f>
        <v>3356000</v>
      </c>
      <c r="I124" s="98">
        <f>I113*pricing!I10*2000</f>
        <v>3436000</v>
      </c>
      <c r="J124" s="98">
        <f>J113*pricing!J10*2000</f>
        <v>2836000</v>
      </c>
      <c r="K124" s="98">
        <f>K113*pricing!K10*2000</f>
        <v>3192000</v>
      </c>
      <c r="L124" s="98">
        <f>L113*pricing!L10*2000</f>
        <v>3328000</v>
      </c>
      <c r="M124" s="98">
        <f>M113*pricing!M10*2000</f>
        <v>3388000</v>
      </c>
      <c r="N124" s="98">
        <f>N113*pricing!N10*2000</f>
        <v>3584000</v>
      </c>
      <c r="O124" s="98">
        <f>O113*pricing!O10*2000</f>
        <v>3776000</v>
      </c>
    </row>
    <row r="125" spans="2:15">
      <c r="C125" s="97" t="s">
        <v>131</v>
      </c>
      <c r="D125" s="98">
        <f>D114*pricing!D11*2000</f>
        <v>1804000</v>
      </c>
      <c r="E125" s="98">
        <f>E114*pricing!E11*2000</f>
        <v>1940000</v>
      </c>
      <c r="F125" s="98">
        <f>F114*pricing!F11*2000</f>
        <v>2140000</v>
      </c>
      <c r="G125" s="98">
        <f>G114*pricing!G11*2000</f>
        <v>1908000</v>
      </c>
      <c r="H125" s="98">
        <f>H114*pricing!H11*2000</f>
        <v>2032000</v>
      </c>
      <c r="I125" s="98">
        <f>I114*pricing!I11*2000</f>
        <v>2436000</v>
      </c>
      <c r="J125" s="98">
        <f>J114*pricing!J11*2000</f>
        <v>2276000</v>
      </c>
      <c r="K125" s="98">
        <f>K114*pricing!K11*2000</f>
        <v>2240000</v>
      </c>
      <c r="L125" s="98">
        <f>L114*pricing!L11*2000</f>
        <v>2272000</v>
      </c>
      <c r="M125" s="98">
        <f>M114*pricing!M11*2000</f>
        <v>2064000</v>
      </c>
      <c r="N125" s="98">
        <f>N114*pricing!N11*2000</f>
        <v>2208000</v>
      </c>
      <c r="O125" s="98">
        <f>O114*pricing!O11*2000</f>
        <v>2040000</v>
      </c>
    </row>
    <row r="126" spans="2:15">
      <c r="C126" s="97" t="s">
        <v>132</v>
      </c>
      <c r="D126" s="98">
        <f>D115*pricing!D12*2000</f>
        <v>1564199.9999999998</v>
      </c>
      <c r="E126" s="98">
        <f>E115*pricing!E12*2000</f>
        <v>1617000</v>
      </c>
      <c r="F126" s="98">
        <f>F115*pricing!F12*2000</f>
        <v>1590600</v>
      </c>
      <c r="G126" s="98">
        <f>G115*pricing!G12*2000</f>
        <v>1537800</v>
      </c>
      <c r="H126" s="98">
        <f>H115*pricing!H12*2000</f>
        <v>1544399.9999999998</v>
      </c>
      <c r="I126" s="98">
        <f>I115*pricing!I12*2000</f>
        <v>1359600</v>
      </c>
      <c r="J126" s="98">
        <f>J115*pricing!J12*2000</f>
        <v>1722600</v>
      </c>
      <c r="K126" s="98">
        <f>K115*pricing!K12*2000</f>
        <v>1320000</v>
      </c>
      <c r="L126" s="98">
        <f>L115*pricing!L12*2000</f>
        <v>1293600</v>
      </c>
      <c r="M126" s="98">
        <f>M115*pricing!M12*2000</f>
        <v>1412399.9999999998</v>
      </c>
      <c r="N126" s="98">
        <f>N115*pricing!N12*2000</f>
        <v>1716000</v>
      </c>
      <c r="O126" s="98">
        <f>O115*pricing!O12*2000</f>
        <v>1801800</v>
      </c>
    </row>
    <row r="127" spans="2:15">
      <c r="C127" s="97" t="s">
        <v>279</v>
      </c>
      <c r="D127" s="98">
        <f t="shared" ref="D127:O127" si="1">SUM(D$120:D$126)</f>
        <v>17244400</v>
      </c>
      <c r="E127" s="98">
        <f t="shared" si="1"/>
        <v>16777200</v>
      </c>
      <c r="F127" s="98">
        <f t="shared" si="1"/>
        <v>17894000</v>
      </c>
      <c r="G127" s="98">
        <f t="shared" si="1"/>
        <v>17118000</v>
      </c>
      <c r="H127" s="98">
        <f t="shared" si="1"/>
        <v>17477800</v>
      </c>
      <c r="I127" s="98">
        <f t="shared" si="1"/>
        <v>19658800</v>
      </c>
      <c r="J127" s="98">
        <f t="shared" si="1"/>
        <v>17877600</v>
      </c>
      <c r="K127" s="98">
        <f t="shared" si="1"/>
        <v>18665200</v>
      </c>
      <c r="L127" s="98">
        <f t="shared" si="1"/>
        <v>17356800</v>
      </c>
      <c r="M127" s="98">
        <f t="shared" si="1"/>
        <v>18509400</v>
      </c>
      <c r="N127" s="98">
        <f t="shared" si="1"/>
        <v>19315800</v>
      </c>
      <c r="O127" s="98">
        <f t="shared" si="1"/>
        <v>19374600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327915.59999999998</v>
      </c>
      <c r="E131" s="104">
        <f>SUM(M$6:M$19)+SUM(O$6:O$19)+SUM(Q$6:Q$19)+SUM(S$6:S$19)</f>
        <v>366271.20000000007</v>
      </c>
      <c r="F131" s="104">
        <f>SUM(U$6:U$19)+SUM(W$6:W$19)+SUM(Y$6:Y$19)+SUM(AA$6:AA$19)</f>
        <v>368918.4</v>
      </c>
      <c r="G131" s="104">
        <f>SUM(AC$6:AC$19)+SUM(AE$6:AE$19)+SUM(AG$6:AG$19)+SUM(AI$6:AI$19)</f>
        <v>376168.8</v>
      </c>
      <c r="H131" s="104">
        <f>SUM(AK$6:AK$19)+SUM(AM$6:AM$19)+SUM(AO$6:AO$19)+SUM(AQ$6:AQ$19)</f>
        <v>349024.8</v>
      </c>
      <c r="I131" s="104">
        <f>SUM(AS$6:AS$19)+SUM(AU$6:AU$19)+SUM(AW$6:AW$19)+SUM(AY$6:AY$19)</f>
        <v>470803.20000000001</v>
      </c>
      <c r="J131" s="104">
        <f>SUM(BA$6:BA$19)+SUM(BC$6:BC$19)+SUM(BE$6:BE$19)+SUM(BG$6:BG$19)</f>
        <v>373492.79999999993</v>
      </c>
      <c r="K131" s="104">
        <f>SUM(BI$6:BI$19)+SUM(BK$6:BK$19)+SUM(BM$6:BM$19)+SUM(BO$6:BO$19)</f>
        <v>489918</v>
      </c>
      <c r="L131" s="104">
        <f>SUM(BQ$6:BQ$19)+SUM(BS$6:BS$19)+SUM(BU$6:BU$19)+SUM(BW$6:BW$19)</f>
        <v>374328</v>
      </c>
      <c r="M131" s="104">
        <f>SUM(BY$6:BY$19)+SUM(CA$6:CA$19)+SUM(CC$6:CC$19)+SUM(CE$6:CE$19)</f>
        <v>373390.79999999993</v>
      </c>
      <c r="N131" s="104">
        <f>SUM(CG$6:CG$19)+SUM(CI$6:CI$19)+SUM(CK$6:CK$19)+SUM(CM$6:CM$19)</f>
        <v>481441.19999999995</v>
      </c>
      <c r="O131" s="104">
        <f>SUM(CO$6:CO$19)+SUM(CQ$6:CQ$19)+SUM(CS$6:CS$19)+SUM(CU$6:CU$19)</f>
        <v>459908.4</v>
      </c>
    </row>
    <row r="132" spans="2:15">
      <c r="C132" s="103" t="s">
        <v>127</v>
      </c>
      <c r="D132" s="104">
        <f>SUM(E$20:E$36)+SUM(G$20:G$36)+SUM(I$20:I$36)+SUM(K$20:K$36)</f>
        <v>185002.8</v>
      </c>
      <c r="E132" s="104">
        <f>SUM(M$20:M$36)+SUM(O$20:O$36)+SUM(Q$20:Q$36)+SUM(S$20:S$36)</f>
        <v>183888</v>
      </c>
      <c r="F132" s="104">
        <f>SUM(U$20:U$36)+SUM(W$20:W$36)+SUM(Y$20:Y$36)+SUM(AA$20:AA$36)</f>
        <v>187364.4</v>
      </c>
      <c r="G132" s="104">
        <f>SUM(AC$20:AC$36)+SUM(AE$20:AE$36)+SUM(AG$20:AG$36)+SUM(AI$20:AI$36)</f>
        <v>163852.79999999999</v>
      </c>
      <c r="H132" s="104">
        <f>SUM(AK$20:AK$36)+SUM(AM$20:AM$36)+SUM(AO$20:AO$36)+SUM(AQ$20:AQ$36)</f>
        <v>163372.80000000002</v>
      </c>
      <c r="I132" s="104">
        <f>SUM(AS$20:AS$36)+SUM(AU$20:AU$36)+SUM(AW$20:AW$36)+SUM(AY$20:AY$36)</f>
        <v>233071.19999999998</v>
      </c>
      <c r="J132" s="104">
        <f>SUM(BA$20:BA$36)+SUM(BC$20:BC$36)+SUM(BE$20:BE$36)+SUM(BG$20:BG$36)</f>
        <v>188281.19999999998</v>
      </c>
      <c r="K132" s="104">
        <f>SUM(BI$20:BI$36)+SUM(BK$20:BK$36)+SUM(BM$20:BM$36)+SUM(BO$20:BO$36)</f>
        <v>188665.2</v>
      </c>
      <c r="L132" s="104">
        <f>SUM(BQ$20:BQ$36)+SUM(BS$20:BS$36)+SUM(BU$20:BU$36)+SUM(BW$20:BW$36)</f>
        <v>177172.8</v>
      </c>
      <c r="M132" s="104">
        <f>SUM(BY$20:BY$36)+SUM(CA$20:CA$36)+SUM(CC$20:CC$36)+SUM(CE$20:CE$36)</f>
        <v>207733.19999999998</v>
      </c>
      <c r="N132" s="104">
        <f>SUM(CG$20:CG$36)+SUM(CI$20:CI$36)+SUM(CK$20:CK$36)+SUM(CM$20:CM$36)</f>
        <v>187939.20000000001</v>
      </c>
      <c r="O132" s="104">
        <f>SUM(CO$20:CO$36)+SUM(CQ$20:CQ$36)+SUM(CS$20:CS$36)+SUM(CU$20:CU$36)</f>
        <v>216547.20000000001</v>
      </c>
    </row>
    <row r="133" spans="2:15">
      <c r="C133" s="103" t="s">
        <v>128</v>
      </c>
      <c r="D133" s="104">
        <f>SUM(E$37:E$48)+SUM(G$37:G$48)+SUM(I$37:I$48)+SUM(K$37:K$48)</f>
        <v>328916.40000000002</v>
      </c>
      <c r="E133" s="104">
        <f>SUM(M$37:M$48)+SUM(O$37:O$48)+SUM(Q$37:Q$48)+SUM(S$37:S$48)</f>
        <v>284490</v>
      </c>
      <c r="F133" s="104">
        <f>SUM(U$37:U$48)+SUM(W$37:W$48)+SUM(Y$37:Y$48)+SUM(AA$37:AA$48)</f>
        <v>282607.2</v>
      </c>
      <c r="G133" s="104">
        <f>SUM(AC$37:AC$48)+SUM(AE$37:AE$48)+SUM(AG$37:AG$48)+SUM(AI$37:AI$48)</f>
        <v>289034.39999999997</v>
      </c>
      <c r="H133" s="104">
        <f>SUM(AK$37:AK$48)+SUM(AM$37:AM$48)+SUM(AO$37:AO$48)+SUM(AQ$37:AQ$48)</f>
        <v>312176.40000000002</v>
      </c>
      <c r="I133" s="104">
        <f>SUM(AS$37:AS$48)+SUM(AU$37:AU$48)+SUM(AW$37:AW$48)+SUM(AY$37:AY$48)</f>
        <v>326334</v>
      </c>
      <c r="J133" s="104">
        <f>SUM(BA$37:BA$48)+SUM(BC$37:BC$48)+SUM(BE$37:BE$48)+SUM(BG$37:BG$48)</f>
        <v>307899.59999999998</v>
      </c>
      <c r="K133" s="104">
        <f>SUM(BI$37:BI$48)+SUM(BK$37:BK$48)+SUM(BM$37:BM$48)+SUM(BO$37:BO$48)</f>
        <v>333960.00000000006</v>
      </c>
      <c r="L133" s="104">
        <f>SUM(BQ$37:BQ$48)+SUM(BS$37:BS$48)+SUM(BU$37:BU$48)+SUM(BW$37:BW$48)</f>
        <v>305204.40000000002</v>
      </c>
      <c r="M133" s="104">
        <f>SUM(BY$37:BY$48)+SUM(CA$37:CA$48)+SUM(CC$37:CC$48)+SUM(CE$37:CE$48)</f>
        <v>323349.60000000003</v>
      </c>
      <c r="N133" s="104">
        <f>SUM(CG$37:CG$48)+SUM(CI$37:CI$48)+SUM(CK$37:CK$48)+SUM(CM$37:CM$48)</f>
        <v>309982.80000000005</v>
      </c>
      <c r="O133" s="104">
        <f>SUM(CO$37:CO$48)+SUM(CQ$37:CQ$48)+SUM(CS$37:CS$48)+SUM(CU$37:CU$48)</f>
        <v>269907.59999999998</v>
      </c>
    </row>
    <row r="134" spans="2:15">
      <c r="C134" s="103" t="s">
        <v>129</v>
      </c>
      <c r="D134" s="104">
        <f>SUM(E$49:E$70)+SUM(G$49:G$70)+SUM(I$49:I$70)+SUM(K$49:K$70)</f>
        <v>398973.6</v>
      </c>
      <c r="E134" s="104">
        <f>SUM(M$49:M$70)+SUM(O$49:O$70)+SUM(Q$49:Q$70)+SUM(S$49:S$70)</f>
        <v>345075.60000000003</v>
      </c>
      <c r="F134" s="104">
        <f>SUM(U$49:U$70)+SUM(W$49:W$70)+SUM(Y$49:Y$70)+SUM(AA$49:AA$70)</f>
        <v>477829.19999999984</v>
      </c>
      <c r="G134" s="104">
        <f>SUM(AC$49:AC$70)+SUM(AE$49:AE$70)+SUM(AG$49:AG$70)+SUM(AI$49:AI$70)</f>
        <v>390652.79999999993</v>
      </c>
      <c r="H134" s="104">
        <f>SUM(AK$49:AK$70)+SUM(AM$49:AM$70)+SUM(AO$49:AO$70)+SUM(AQ$49:AQ$70)</f>
        <v>407234.39999999997</v>
      </c>
      <c r="I134" s="104">
        <f>SUM(AS$49:AS$70)+SUM(AU$49:AU$70)+SUM(AW$49:AW$70)+SUM(AY$49:AY$70)</f>
        <v>373072.8</v>
      </c>
      <c r="J134" s="104">
        <f>SUM(BA$49:BA$70)+SUM(BC$49:BC$70)+SUM(BE$49:BE$70)+SUM(BG$49:BG$70)</f>
        <v>403613.99999999994</v>
      </c>
      <c r="K134" s="104">
        <f>SUM(BI$49:BI$70)+SUM(BK$49:BK$70)+SUM(BM$49:BM$70)+SUM(BO$49:BO$70)</f>
        <v>371733.6</v>
      </c>
      <c r="L134" s="104">
        <f>SUM(BQ$49:BQ$70)+SUM(BS$49:BS$70)+SUM(BU$49:BU$70)+SUM(BW$49:BW$70)</f>
        <v>348278.39999999997</v>
      </c>
      <c r="M134" s="104">
        <f>SUM(BY$49:BY$70)+SUM(CA$49:CA$70)+SUM(CC$49:CC$70)+SUM(CE$49:CE$70)</f>
        <v>429542.39999999997</v>
      </c>
      <c r="N134" s="104">
        <f>SUM(CG$49:CG$70)+SUM(CI$49:CI$70)+SUM(CK$49:CK$70)+SUM(CM$49:CM$70)</f>
        <v>390957.6</v>
      </c>
      <c r="O134" s="104">
        <f>SUM(CO$49:CO$70)+SUM(CQ$49:CQ$70)+SUM(CS$49:CS$70)+SUM(CU$49:CU$70)</f>
        <v>375388.8</v>
      </c>
    </row>
    <row r="135" spans="2:15">
      <c r="C135" s="103" t="s">
        <v>130</v>
      </c>
      <c r="D135" s="104">
        <f>SUM(E$71:E$86)+SUM(G$71:G$86)+SUM(I$71:I$86)+SUM(K$71:K$86)</f>
        <v>435843.6</v>
      </c>
      <c r="E135" s="104">
        <f>SUM(M$71:M$86)+SUM(O$71:O$86)+SUM(Q$71:Q$86)+SUM(S$71:S$86)</f>
        <v>400724.39999999997</v>
      </c>
      <c r="F135" s="104">
        <f>SUM(U$71:U$86)+SUM(W$71:W$86)+SUM(Y$71:Y$86)+SUM(AA$71:AA$86)</f>
        <v>385939.19999999995</v>
      </c>
      <c r="G135" s="104">
        <f>SUM(AC$71:AC$86)+SUM(AE$71:AE$86)+SUM(AG$71:AG$86)+SUM(AI$71:AI$86)</f>
        <v>444607.20000000007</v>
      </c>
      <c r="H135" s="104">
        <f>SUM(AK$71:AK$86)+SUM(AM$71:AM$86)+SUM(AO$71:AO$86)+SUM(AQ$71:AQ$86)</f>
        <v>468248.39999999997</v>
      </c>
      <c r="I135" s="104">
        <f>SUM(AS$71:AS$86)+SUM(AU$71:AU$86)+SUM(AW$71:AW$86)+SUM(AY$71:AY$86)</f>
        <v>478203.6</v>
      </c>
      <c r="J135" s="104">
        <f>SUM(BA$71:BA$86)+SUM(BC$71:BC$86)+SUM(BE$71:BE$86)+SUM(BG$71:BG$86)</f>
        <v>394264.8</v>
      </c>
      <c r="K135" s="104">
        <f>SUM(BI$71:BI$86)+SUM(BK$71:BK$86)+SUM(BM$71:BM$86)+SUM(BO$71:BO$86)</f>
        <v>444265.19999999995</v>
      </c>
      <c r="L135" s="104">
        <f>SUM(BQ$71:BQ$86)+SUM(BS$71:BS$86)+SUM(BU$71:BU$86)+SUM(BW$71:BW$86)</f>
        <v>463213.19999999995</v>
      </c>
      <c r="M135" s="104">
        <f>SUM(BY$71:BY$86)+SUM(CA$71:CA$86)+SUM(CC$71:CC$86)+SUM(CE$71:CE$86)</f>
        <v>472951.2</v>
      </c>
      <c r="N135" s="104">
        <f>SUM(CG$71:CG$86)+SUM(CI$71:CI$86)+SUM(CK$71:CK$86)+SUM(CM$71:CM$86)</f>
        <v>497102.4</v>
      </c>
      <c r="O135" s="104">
        <f>SUM(CO$71:CO$86)+SUM(CQ$71:CQ$86)+SUM(CS$71:CS$86)+SUM(CU$71:CU$86)</f>
        <v>524894.4</v>
      </c>
    </row>
    <row r="136" spans="2:15">
      <c r="C136" s="103" t="s">
        <v>131</v>
      </c>
      <c r="D136" s="104">
        <f>SUM(E$87:E$94)+SUM(G$87:G$94)+SUM(I$87:I$94)+SUM(K$87:K$94)</f>
        <v>452860.79999999993</v>
      </c>
      <c r="E136" s="104">
        <f>SUM(M$87:M$94)+SUM(O$87:O$94)+SUM(Q$87:Q$94)+SUM(S$87:S$94)</f>
        <v>486842.4</v>
      </c>
      <c r="F136" s="104">
        <f>SUM(U$87:U$94)+SUM(W$87:W$94)+SUM(Y$87:Y$94)+SUM(AA$87:AA$94)</f>
        <v>536917.19999999995</v>
      </c>
      <c r="G136" s="104">
        <f>SUM(AC$87:AC$94)+SUM(AE$87:AE$94)+SUM(AG$87:AG$94)+SUM(AI$87:AI$94)</f>
        <v>477457.19999999995</v>
      </c>
      <c r="H136" s="104">
        <f>SUM(AK$87:AK$94)+SUM(AM$87:AM$94)+SUM(AO$87:AO$94)+SUM(AQ$87:AQ$94)</f>
        <v>508830</v>
      </c>
      <c r="I136" s="104">
        <f>SUM(AS$87:AS$94)+SUM(AU$87:AU$94)+SUM(AW$87:AW$94)+SUM(AY$87:AY$94)</f>
        <v>609064.80000000005</v>
      </c>
      <c r="J136" s="104">
        <f>SUM(BA$87:BA$94)+SUM(BC$87:BC$94)+SUM(BE$87:BE$94)+SUM(BG$87:BG$94)</f>
        <v>571332</v>
      </c>
      <c r="K136" s="104">
        <f>SUM(BI$87:BI$94)+SUM(BK$87:BK$94)+SUM(BM$87:BM$94)+SUM(BO$87:BO$94)</f>
        <v>561295.19999999995</v>
      </c>
      <c r="L136" s="104">
        <f>SUM(BQ$87:BQ$94)+SUM(BS$87:BS$94)+SUM(BU$87:BU$94)+SUM(BW$87:BW$94)</f>
        <v>570153.6</v>
      </c>
      <c r="M136" s="104">
        <f>SUM(BY$87:BY$94)+SUM(CA$87:CA$94)+SUM(CC$87:CC$94)+SUM(CE$87:CE$94)</f>
        <v>516044.39999999997</v>
      </c>
      <c r="N136" s="104">
        <f>SUM(CG$87:CG$94)+SUM(CI$87:CI$94)+SUM(CK$87:CK$94)+SUM(CM$87:CM$94)</f>
        <v>552067.19999999995</v>
      </c>
      <c r="O136" s="104">
        <f>SUM(CO$87:CO$94)+SUM(CQ$87:CQ$94)+SUM(CS$87:CS$94)+SUM(CU$87:CU$94)</f>
        <v>511933.19999999995</v>
      </c>
    </row>
    <row r="137" spans="2:15">
      <c r="C137" s="103" t="s">
        <v>132</v>
      </c>
      <c r="D137" s="104">
        <f>SUM(E$95:E$105)+SUM(G$95:G$105)+SUM(I$95:I$105)+SUM(K$95:K$105)</f>
        <v>191634</v>
      </c>
      <c r="E137" s="104">
        <f>SUM(M$95:M$105)+SUM(O$95:O$105)+SUM(Q$95:Q$105)+SUM(S$95:S$105)</f>
        <v>191959.2</v>
      </c>
      <c r="F137" s="104">
        <f>SUM(U$95:U$105)+SUM(W$95:W$105)+SUM(Y$95:Y$105)+SUM(AA$95:AA$105)</f>
        <v>192996</v>
      </c>
      <c r="G137" s="104">
        <f>SUM(AC$95:AC$105)+SUM(AE$95:AE$105)+SUM(AG$95:AG$105)+SUM(AI$95:AI$105)</f>
        <v>185218.80000000002</v>
      </c>
      <c r="H137" s="104">
        <f>SUM(AK$95:AK$105)+SUM(AM$95:AM$105)+SUM(AO$95:AO$105)+SUM(AQ$95:AQ$105)</f>
        <v>182768.39999999997</v>
      </c>
      <c r="I137" s="104">
        <f>SUM(AS$95:AS$105)+SUM(AU$95:AU$105)+SUM(AW$95:AW$105)+SUM(AY$95:AY$105)</f>
        <v>163668</v>
      </c>
      <c r="J137" s="104">
        <f>SUM(BA$95:BA$105)+SUM(BC$95:BC$105)+SUM(BE$95:BE$105)+SUM(BG$95:BG$105)</f>
        <v>207768</v>
      </c>
      <c r="K137" s="104">
        <f>SUM(BI$95:BI$105)+SUM(BK$95:BK$105)+SUM(BM$95:BM$105)+SUM(BO$95:BO$105)</f>
        <v>161161.19999999998</v>
      </c>
      <c r="L137" s="104">
        <f>SUM(BQ$95:BQ$105)+SUM(BS$95:BS$105)+SUM(BU$95:BU$105)+SUM(BW$95:BW$105)</f>
        <v>158908.79999999999</v>
      </c>
      <c r="M137" s="104">
        <f>SUM(BY$95:BY$105)+SUM(CA$95:CA$105)+SUM(CC$95:CC$105)+SUM(CE$95:CE$105)</f>
        <v>168285.6</v>
      </c>
      <c r="N137" s="104">
        <f>SUM(CG$95:CG$105)+SUM(CI$95:CI$105)+SUM(CK$95:CK$105)+SUM(CM$95:CM$105)</f>
        <v>207448.8</v>
      </c>
      <c r="O137" s="104">
        <f>SUM(CO$95:CO$105)+SUM(CQ$95:CQ$105)+SUM(CS$95:CS$105)+SUM(CU$95:CU$105)</f>
        <v>215035.19999999998</v>
      </c>
    </row>
    <row r="138" spans="2:15">
      <c r="C138" s="103" t="s">
        <v>279</v>
      </c>
      <c r="D138" s="98">
        <f t="shared" ref="D138:O138" si="2">SUM(D$131:D$137)</f>
        <v>2321146.7999999998</v>
      </c>
      <c r="E138" s="98">
        <f t="shared" si="2"/>
        <v>2259250.8000000003</v>
      </c>
      <c r="F138" s="98">
        <f t="shared" si="2"/>
        <v>2432571.5999999996</v>
      </c>
      <c r="G138" s="98">
        <f t="shared" si="2"/>
        <v>2326992</v>
      </c>
      <c r="H138" s="98">
        <f t="shared" si="2"/>
        <v>2391655.1999999997</v>
      </c>
      <c r="I138" s="98">
        <f t="shared" si="2"/>
        <v>2654217.5999999996</v>
      </c>
      <c r="J138" s="98">
        <f t="shared" si="2"/>
        <v>2446652.4</v>
      </c>
      <c r="K138" s="98">
        <f t="shared" si="2"/>
        <v>2550998.4</v>
      </c>
      <c r="L138" s="98">
        <f t="shared" si="2"/>
        <v>2397259.1999999997</v>
      </c>
      <c r="M138" s="98">
        <f t="shared" si="2"/>
        <v>2491297.1999999997</v>
      </c>
      <c r="N138" s="98">
        <f t="shared" si="2"/>
        <v>2626939.1999999993</v>
      </c>
      <c r="O138" s="98">
        <f t="shared" si="2"/>
        <v>2573614.7999999998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283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17</v>
      </c>
      <c r="E6" s="98">
        <v>9832.7999999999993</v>
      </c>
      <c r="F6" s="98">
        <v>30</v>
      </c>
      <c r="G6" s="98">
        <v>17352</v>
      </c>
      <c r="H6" s="98">
        <v>21</v>
      </c>
      <c r="I6" s="98">
        <v>12146.4</v>
      </c>
      <c r="J6" s="98">
        <v>31</v>
      </c>
      <c r="K6" s="98">
        <v>17930.399999999998</v>
      </c>
      <c r="L6" s="98">
        <v>24</v>
      </c>
      <c r="M6" s="98">
        <v>13881.599999999999</v>
      </c>
      <c r="N6" s="98">
        <v>28</v>
      </c>
      <c r="O6" s="98">
        <v>16195.199999999999</v>
      </c>
      <c r="P6" s="98">
        <v>29</v>
      </c>
      <c r="Q6" s="98">
        <v>16773.599999999999</v>
      </c>
      <c r="R6" s="98">
        <v>18</v>
      </c>
      <c r="S6" s="98">
        <v>10411.199999999999</v>
      </c>
      <c r="T6" s="98">
        <v>26</v>
      </c>
      <c r="U6" s="98">
        <v>15038.4</v>
      </c>
      <c r="V6" s="98">
        <v>28</v>
      </c>
      <c r="W6" s="98">
        <v>16195.199999999999</v>
      </c>
      <c r="X6" s="98">
        <v>25</v>
      </c>
      <c r="Y6" s="98">
        <v>14460</v>
      </c>
      <c r="Z6" s="98">
        <v>17</v>
      </c>
      <c r="AA6" s="98">
        <v>9832.7999999999993</v>
      </c>
      <c r="AB6" s="98">
        <v>31</v>
      </c>
      <c r="AC6" s="98">
        <v>17930.399999999998</v>
      </c>
      <c r="AD6" s="98">
        <v>29</v>
      </c>
      <c r="AE6" s="98">
        <v>16773.599999999999</v>
      </c>
      <c r="AF6" s="98">
        <v>22</v>
      </c>
      <c r="AG6" s="98">
        <v>12724.8</v>
      </c>
      <c r="AH6" s="98">
        <v>29</v>
      </c>
      <c r="AI6" s="98">
        <v>16773.599999999999</v>
      </c>
      <c r="AJ6" s="98">
        <v>24</v>
      </c>
      <c r="AK6" s="98">
        <v>13881.599999999999</v>
      </c>
      <c r="AL6" s="98">
        <v>23</v>
      </c>
      <c r="AM6" s="98">
        <v>13303.199999999999</v>
      </c>
      <c r="AN6" s="98">
        <v>32</v>
      </c>
      <c r="AO6" s="98">
        <v>18508.8</v>
      </c>
      <c r="AP6" s="98">
        <v>36</v>
      </c>
      <c r="AQ6" s="98">
        <v>20822.399999999998</v>
      </c>
      <c r="AR6" s="98">
        <v>26</v>
      </c>
      <c r="AS6" s="98">
        <v>15038.4</v>
      </c>
      <c r="AT6" s="98">
        <v>26</v>
      </c>
      <c r="AU6" s="98">
        <v>15038.4</v>
      </c>
      <c r="AV6" s="98">
        <v>24</v>
      </c>
      <c r="AW6" s="98">
        <v>13881.599999999999</v>
      </c>
      <c r="AX6" s="98">
        <v>33</v>
      </c>
      <c r="AY6" s="98">
        <v>19087.2</v>
      </c>
      <c r="AZ6" s="98">
        <v>30</v>
      </c>
      <c r="BA6" s="98">
        <v>17352</v>
      </c>
      <c r="BB6" s="98">
        <v>29</v>
      </c>
      <c r="BC6" s="98">
        <v>16773.599999999999</v>
      </c>
      <c r="BD6" s="98">
        <v>19</v>
      </c>
      <c r="BE6" s="98">
        <v>10989.6</v>
      </c>
      <c r="BF6" s="98">
        <v>27</v>
      </c>
      <c r="BG6" s="98">
        <v>15616.8</v>
      </c>
      <c r="BH6" s="98">
        <v>26</v>
      </c>
      <c r="BI6" s="98">
        <v>15038.4</v>
      </c>
      <c r="BJ6" s="98">
        <v>26</v>
      </c>
      <c r="BK6" s="98">
        <v>15038.4</v>
      </c>
      <c r="BL6" s="98">
        <v>24</v>
      </c>
      <c r="BM6" s="98">
        <v>13881.599999999999</v>
      </c>
      <c r="BN6" s="98">
        <v>29</v>
      </c>
      <c r="BO6" s="98">
        <v>16773.599999999999</v>
      </c>
      <c r="BP6" s="98">
        <v>24</v>
      </c>
      <c r="BQ6" s="98">
        <v>13881.599999999999</v>
      </c>
      <c r="BR6" s="98">
        <v>38</v>
      </c>
      <c r="BS6" s="98">
        <v>21979.200000000001</v>
      </c>
      <c r="BT6" s="98">
        <v>31</v>
      </c>
      <c r="BU6" s="98">
        <v>17930.399999999998</v>
      </c>
      <c r="BV6" s="98">
        <v>25</v>
      </c>
      <c r="BW6" s="98">
        <v>14460</v>
      </c>
      <c r="BX6" s="98">
        <v>31</v>
      </c>
      <c r="BY6" s="98">
        <v>17930.399999999998</v>
      </c>
      <c r="BZ6" s="98">
        <v>27</v>
      </c>
      <c r="CA6" s="98">
        <v>15616.8</v>
      </c>
      <c r="CB6" s="98">
        <v>25</v>
      </c>
      <c r="CC6" s="98">
        <v>14460</v>
      </c>
      <c r="CD6" s="98">
        <v>31</v>
      </c>
      <c r="CE6" s="98">
        <v>17930.399999999998</v>
      </c>
      <c r="CF6" s="98">
        <v>20</v>
      </c>
      <c r="CG6" s="98">
        <v>11568</v>
      </c>
      <c r="CH6" s="98">
        <v>34</v>
      </c>
      <c r="CI6" s="98">
        <v>19665.599999999999</v>
      </c>
      <c r="CJ6" s="98">
        <v>31</v>
      </c>
      <c r="CK6" s="98">
        <v>17930.399999999998</v>
      </c>
      <c r="CL6" s="98">
        <v>24.406071028415965</v>
      </c>
      <c r="CM6" s="98">
        <v>14116.471482835794</v>
      </c>
      <c r="CN6" s="98">
        <v>36</v>
      </c>
      <c r="CO6" s="98">
        <v>20822.399999999998</v>
      </c>
      <c r="CP6" s="98">
        <v>33</v>
      </c>
      <c r="CQ6" s="98">
        <v>19087.2</v>
      </c>
      <c r="CR6" s="98">
        <v>21</v>
      </c>
      <c r="CS6" s="98">
        <v>12146.4</v>
      </c>
      <c r="CT6" s="98">
        <v>31</v>
      </c>
      <c r="CU6" s="98">
        <v>17930.399999999998</v>
      </c>
    </row>
    <row r="7" spans="1:99">
      <c r="C7" s="97" t="s">
        <v>174</v>
      </c>
      <c r="D7" s="98">
        <v>19</v>
      </c>
      <c r="E7" s="98">
        <v>14979.6</v>
      </c>
      <c r="F7" s="98">
        <v>26</v>
      </c>
      <c r="G7" s="98">
        <v>20498.399999999998</v>
      </c>
      <c r="H7" s="98">
        <v>23</v>
      </c>
      <c r="I7" s="98">
        <v>18133.2</v>
      </c>
      <c r="J7" s="98">
        <v>31</v>
      </c>
      <c r="K7" s="98">
        <v>24440.399999999998</v>
      </c>
      <c r="L7" s="98">
        <v>23</v>
      </c>
      <c r="M7" s="98">
        <v>18133.2</v>
      </c>
      <c r="N7" s="98">
        <v>28</v>
      </c>
      <c r="O7" s="98">
        <v>22075.200000000001</v>
      </c>
      <c r="P7" s="98">
        <v>25</v>
      </c>
      <c r="Q7" s="98">
        <v>19710</v>
      </c>
      <c r="R7" s="98">
        <v>16</v>
      </c>
      <c r="S7" s="98">
        <v>12614.4</v>
      </c>
      <c r="T7" s="98">
        <v>21</v>
      </c>
      <c r="U7" s="98">
        <v>16556.399999999998</v>
      </c>
      <c r="V7" s="98">
        <v>27</v>
      </c>
      <c r="W7" s="98">
        <v>21286.799999999999</v>
      </c>
      <c r="X7" s="98">
        <v>25</v>
      </c>
      <c r="Y7" s="98">
        <v>19710</v>
      </c>
      <c r="Z7" s="98">
        <v>19</v>
      </c>
      <c r="AA7" s="98">
        <v>14979.6</v>
      </c>
      <c r="AB7" s="98">
        <v>30</v>
      </c>
      <c r="AC7" s="98">
        <v>23652</v>
      </c>
      <c r="AD7" s="98">
        <v>32</v>
      </c>
      <c r="AE7" s="98">
        <v>25228.799999999999</v>
      </c>
      <c r="AF7" s="98">
        <v>22</v>
      </c>
      <c r="AG7" s="98">
        <v>17344.8</v>
      </c>
      <c r="AH7" s="98">
        <v>28</v>
      </c>
      <c r="AI7" s="98">
        <v>22075.200000000001</v>
      </c>
      <c r="AJ7" s="98">
        <v>24</v>
      </c>
      <c r="AK7" s="98">
        <v>18921.599999999999</v>
      </c>
      <c r="AL7" s="98">
        <v>26</v>
      </c>
      <c r="AM7" s="98">
        <v>20498.399999999998</v>
      </c>
      <c r="AN7" s="98">
        <v>29</v>
      </c>
      <c r="AO7" s="98">
        <v>22863.599999999999</v>
      </c>
      <c r="AP7" s="98">
        <v>37</v>
      </c>
      <c r="AQ7" s="98">
        <v>29170.799999999999</v>
      </c>
      <c r="AR7" s="98">
        <v>24</v>
      </c>
      <c r="AS7" s="98">
        <v>18921.599999999999</v>
      </c>
      <c r="AT7" s="98">
        <v>25</v>
      </c>
      <c r="AU7" s="98">
        <v>19710</v>
      </c>
      <c r="AV7" s="98">
        <v>26</v>
      </c>
      <c r="AW7" s="98">
        <v>20498.399999999998</v>
      </c>
      <c r="AX7" s="98">
        <v>36</v>
      </c>
      <c r="AY7" s="98">
        <v>28382.399999999998</v>
      </c>
      <c r="AZ7" s="98">
        <v>32</v>
      </c>
      <c r="BA7" s="98">
        <v>25228.799999999999</v>
      </c>
      <c r="BB7" s="98">
        <v>27</v>
      </c>
      <c r="BC7" s="98">
        <v>21286.799999999999</v>
      </c>
      <c r="BD7" s="98">
        <v>21</v>
      </c>
      <c r="BE7" s="98">
        <v>16556.399999999998</v>
      </c>
      <c r="BF7" s="98">
        <v>27</v>
      </c>
      <c r="BG7" s="98">
        <v>21286.799999999999</v>
      </c>
      <c r="BH7" s="98">
        <v>24</v>
      </c>
      <c r="BI7" s="98">
        <v>18921.599999999999</v>
      </c>
      <c r="BJ7" s="98">
        <v>26</v>
      </c>
      <c r="BK7" s="98">
        <v>20498.399999999998</v>
      </c>
      <c r="BL7" s="98">
        <v>22</v>
      </c>
      <c r="BM7" s="98">
        <v>17344.8</v>
      </c>
      <c r="BN7" s="98">
        <v>29</v>
      </c>
      <c r="BO7" s="98">
        <v>22863.599999999999</v>
      </c>
      <c r="BP7" s="98">
        <v>21</v>
      </c>
      <c r="BQ7" s="98">
        <v>16556.399999999998</v>
      </c>
      <c r="BR7" s="98">
        <v>36</v>
      </c>
      <c r="BS7" s="98">
        <v>28382.399999999998</v>
      </c>
      <c r="BT7" s="98">
        <v>31</v>
      </c>
      <c r="BU7" s="98">
        <v>24440.399999999998</v>
      </c>
      <c r="BV7" s="98">
        <v>28</v>
      </c>
      <c r="BW7" s="98">
        <v>22075.200000000001</v>
      </c>
      <c r="BX7" s="98">
        <v>33</v>
      </c>
      <c r="BY7" s="98">
        <v>26017.200000000001</v>
      </c>
      <c r="BZ7" s="98">
        <v>26</v>
      </c>
      <c r="CA7" s="98">
        <v>20498.399999999998</v>
      </c>
      <c r="CB7" s="98">
        <v>24</v>
      </c>
      <c r="CC7" s="98">
        <v>18921.599999999999</v>
      </c>
      <c r="CD7" s="98">
        <v>31</v>
      </c>
      <c r="CE7" s="98">
        <v>24440.399999999998</v>
      </c>
      <c r="CF7" s="98">
        <v>23</v>
      </c>
      <c r="CG7" s="98">
        <v>18133.2</v>
      </c>
      <c r="CH7" s="98">
        <v>37</v>
      </c>
      <c r="CI7" s="98">
        <v>29170.799999999999</v>
      </c>
      <c r="CJ7" s="98">
        <v>29</v>
      </c>
      <c r="CK7" s="98">
        <v>22863.599999999999</v>
      </c>
      <c r="CL7" s="98">
        <v>21.694285358591969</v>
      </c>
      <c r="CM7" s="98">
        <v>17103.774576713909</v>
      </c>
      <c r="CN7" s="98">
        <v>37</v>
      </c>
      <c r="CO7" s="98">
        <v>29170.799999999999</v>
      </c>
      <c r="CP7" s="98">
        <v>37</v>
      </c>
      <c r="CQ7" s="98">
        <v>29170.799999999999</v>
      </c>
      <c r="CR7" s="98">
        <v>17</v>
      </c>
      <c r="CS7" s="98">
        <v>13402.8</v>
      </c>
      <c r="CT7" s="98">
        <v>31</v>
      </c>
      <c r="CU7" s="98">
        <v>24440.399999999998</v>
      </c>
    </row>
    <row r="8" spans="1:99">
      <c r="C8" s="97" t="s">
        <v>175</v>
      </c>
      <c r="D8" s="98">
        <v>17</v>
      </c>
      <c r="E8" s="98">
        <v>5263.2</v>
      </c>
      <c r="F8" s="98">
        <v>31</v>
      </c>
      <c r="G8" s="98">
        <v>9597.5999999999985</v>
      </c>
      <c r="H8" s="98">
        <v>20</v>
      </c>
      <c r="I8" s="98">
        <v>6191.9999999999991</v>
      </c>
      <c r="J8" s="98">
        <v>29</v>
      </c>
      <c r="K8" s="98">
        <v>8978.4</v>
      </c>
      <c r="L8" s="98">
        <v>28</v>
      </c>
      <c r="M8" s="98">
        <v>8668.7999999999993</v>
      </c>
      <c r="N8" s="98">
        <v>30</v>
      </c>
      <c r="O8" s="98">
        <v>9287.9999999999982</v>
      </c>
      <c r="P8" s="98">
        <v>31</v>
      </c>
      <c r="Q8" s="98">
        <v>9597.5999999999985</v>
      </c>
      <c r="R8" s="98">
        <v>16</v>
      </c>
      <c r="S8" s="98">
        <v>4953.5999999999995</v>
      </c>
      <c r="T8" s="98">
        <v>22</v>
      </c>
      <c r="U8" s="98">
        <v>6811.1999999999989</v>
      </c>
      <c r="V8" s="98">
        <v>26</v>
      </c>
      <c r="W8" s="98">
        <v>8049.5999999999995</v>
      </c>
      <c r="X8" s="98">
        <v>30</v>
      </c>
      <c r="Y8" s="98">
        <v>9287.9999999999982</v>
      </c>
      <c r="Z8" s="98">
        <v>21</v>
      </c>
      <c r="AA8" s="98">
        <v>6501.5999999999995</v>
      </c>
      <c r="AB8" s="98">
        <v>36</v>
      </c>
      <c r="AC8" s="98">
        <v>11145.599999999999</v>
      </c>
      <c r="AD8" s="98">
        <v>31</v>
      </c>
      <c r="AE8" s="98">
        <v>9597.5999999999985</v>
      </c>
      <c r="AF8" s="98">
        <v>22</v>
      </c>
      <c r="AG8" s="98">
        <v>6811.1999999999989</v>
      </c>
      <c r="AH8" s="98">
        <v>31</v>
      </c>
      <c r="AI8" s="98">
        <v>9597.5999999999985</v>
      </c>
      <c r="AJ8" s="98">
        <v>24</v>
      </c>
      <c r="AK8" s="98">
        <v>7430.4</v>
      </c>
      <c r="AL8" s="98">
        <v>28</v>
      </c>
      <c r="AM8" s="98">
        <v>8668.7999999999993</v>
      </c>
      <c r="AN8" s="98">
        <v>31</v>
      </c>
      <c r="AO8" s="98">
        <v>9597.5999999999985</v>
      </c>
      <c r="AP8" s="98">
        <v>35</v>
      </c>
      <c r="AQ8" s="98">
        <v>10835.999999999998</v>
      </c>
      <c r="AR8" s="98">
        <v>24</v>
      </c>
      <c r="AS8" s="98">
        <v>7430.4</v>
      </c>
      <c r="AT8" s="98">
        <v>25</v>
      </c>
      <c r="AU8" s="98">
        <v>7739.9999999999991</v>
      </c>
      <c r="AV8" s="98">
        <v>25</v>
      </c>
      <c r="AW8" s="98">
        <v>7739.9999999999991</v>
      </c>
      <c r="AX8" s="98">
        <v>37</v>
      </c>
      <c r="AY8" s="98">
        <v>11455.199999999999</v>
      </c>
      <c r="AZ8" s="98">
        <v>30</v>
      </c>
      <c r="BA8" s="98">
        <v>9287.9999999999982</v>
      </c>
      <c r="BB8" s="98">
        <v>28</v>
      </c>
      <c r="BC8" s="98">
        <v>8668.7999999999993</v>
      </c>
      <c r="BD8" s="98">
        <v>20</v>
      </c>
      <c r="BE8" s="98">
        <v>6191.9999999999991</v>
      </c>
      <c r="BF8" s="98">
        <v>28</v>
      </c>
      <c r="BG8" s="98">
        <v>8668.7999999999993</v>
      </c>
      <c r="BH8" s="98">
        <v>25</v>
      </c>
      <c r="BI8" s="98">
        <v>7739.9999999999991</v>
      </c>
      <c r="BJ8" s="98">
        <v>26</v>
      </c>
      <c r="BK8" s="98">
        <v>8049.5999999999995</v>
      </c>
      <c r="BL8" s="98">
        <v>26</v>
      </c>
      <c r="BM8" s="98">
        <v>8049.5999999999995</v>
      </c>
      <c r="BN8" s="98">
        <v>32</v>
      </c>
      <c r="BO8" s="98">
        <v>9907.1999999999989</v>
      </c>
      <c r="BP8" s="98">
        <v>22</v>
      </c>
      <c r="BQ8" s="98">
        <v>6811.1999999999989</v>
      </c>
      <c r="BR8" s="98">
        <v>36</v>
      </c>
      <c r="BS8" s="98">
        <v>11145.599999999999</v>
      </c>
      <c r="BT8" s="98">
        <v>37</v>
      </c>
      <c r="BU8" s="98">
        <v>11455.199999999999</v>
      </c>
      <c r="BV8" s="98">
        <v>29</v>
      </c>
      <c r="BW8" s="98">
        <v>8978.4</v>
      </c>
      <c r="BX8" s="98">
        <v>30</v>
      </c>
      <c r="BY8" s="98">
        <v>9287.9999999999982</v>
      </c>
      <c r="BZ8" s="98">
        <v>28</v>
      </c>
      <c r="CA8" s="98">
        <v>8668.7999999999993</v>
      </c>
      <c r="CB8" s="98">
        <v>24</v>
      </c>
      <c r="CC8" s="98">
        <v>7430.4</v>
      </c>
      <c r="CD8" s="98">
        <v>32</v>
      </c>
      <c r="CE8" s="98">
        <v>9907.1999999999989</v>
      </c>
      <c r="CF8" s="98">
        <v>24</v>
      </c>
      <c r="CG8" s="98">
        <v>7430.4</v>
      </c>
      <c r="CH8" s="98">
        <v>38</v>
      </c>
      <c r="CI8" s="98">
        <v>11764.8</v>
      </c>
      <c r="CJ8" s="98">
        <v>31</v>
      </c>
      <c r="CK8" s="98">
        <v>9597.5999999999985</v>
      </c>
      <c r="CL8" s="98">
        <v>21.694285358591969</v>
      </c>
      <c r="CM8" s="98">
        <v>6716.5507470200728</v>
      </c>
      <c r="CN8" s="98">
        <v>37</v>
      </c>
      <c r="CO8" s="98">
        <v>11455.199999999999</v>
      </c>
      <c r="CP8" s="98">
        <v>34</v>
      </c>
      <c r="CQ8" s="98">
        <v>10526.4</v>
      </c>
      <c r="CR8" s="98">
        <v>19</v>
      </c>
      <c r="CS8" s="98">
        <v>5882.4</v>
      </c>
      <c r="CT8" s="98">
        <v>32</v>
      </c>
      <c r="CU8" s="98">
        <v>9907.1999999999989</v>
      </c>
    </row>
    <row r="9" spans="1:99">
      <c r="C9" s="97" t="s">
        <v>176</v>
      </c>
      <c r="D9" s="98">
        <v>18</v>
      </c>
      <c r="E9" s="98">
        <v>12636</v>
      </c>
      <c r="F9" s="98">
        <v>28</v>
      </c>
      <c r="G9" s="98">
        <v>19656</v>
      </c>
      <c r="H9" s="98">
        <v>22</v>
      </c>
      <c r="I9" s="98">
        <v>15444</v>
      </c>
      <c r="J9" s="98">
        <v>31</v>
      </c>
      <c r="K9" s="98">
        <v>21762</v>
      </c>
      <c r="L9" s="98">
        <v>25</v>
      </c>
      <c r="M9" s="98">
        <v>17550</v>
      </c>
      <c r="N9" s="98">
        <v>30</v>
      </c>
      <c r="O9" s="98">
        <v>21060</v>
      </c>
      <c r="P9" s="98">
        <v>29</v>
      </c>
      <c r="Q9" s="98">
        <v>20358</v>
      </c>
      <c r="R9" s="98">
        <v>17</v>
      </c>
      <c r="S9" s="98">
        <v>11934</v>
      </c>
      <c r="T9" s="98">
        <v>23</v>
      </c>
      <c r="U9" s="98">
        <v>16146</v>
      </c>
      <c r="V9" s="98">
        <v>26</v>
      </c>
      <c r="W9" s="98">
        <v>18252</v>
      </c>
      <c r="X9" s="98">
        <v>26</v>
      </c>
      <c r="Y9" s="98">
        <v>18252</v>
      </c>
      <c r="Z9" s="98">
        <v>18</v>
      </c>
      <c r="AA9" s="98">
        <v>12636</v>
      </c>
      <c r="AB9" s="98">
        <v>32</v>
      </c>
      <c r="AC9" s="98">
        <v>22464</v>
      </c>
      <c r="AD9" s="98">
        <v>29</v>
      </c>
      <c r="AE9" s="98">
        <v>20358</v>
      </c>
      <c r="AF9" s="98">
        <v>23</v>
      </c>
      <c r="AG9" s="98">
        <v>16146</v>
      </c>
      <c r="AH9" s="98">
        <v>29</v>
      </c>
      <c r="AI9" s="98">
        <v>20358</v>
      </c>
      <c r="AJ9" s="98">
        <v>23</v>
      </c>
      <c r="AK9" s="98">
        <v>16146</v>
      </c>
      <c r="AL9" s="98">
        <v>27</v>
      </c>
      <c r="AM9" s="98">
        <v>18954</v>
      </c>
      <c r="AN9" s="98">
        <v>31</v>
      </c>
      <c r="AO9" s="98">
        <v>21762</v>
      </c>
      <c r="AP9" s="98">
        <v>36</v>
      </c>
      <c r="AQ9" s="98">
        <v>25272</v>
      </c>
      <c r="AR9" s="98">
        <v>23</v>
      </c>
      <c r="AS9" s="98">
        <v>16146</v>
      </c>
      <c r="AT9" s="98">
        <v>24</v>
      </c>
      <c r="AU9" s="98">
        <v>16848</v>
      </c>
      <c r="AV9" s="98">
        <v>28</v>
      </c>
      <c r="AW9" s="98">
        <v>19656</v>
      </c>
      <c r="AX9" s="98">
        <v>36</v>
      </c>
      <c r="AY9" s="98">
        <v>25272</v>
      </c>
      <c r="AZ9" s="98">
        <v>29</v>
      </c>
      <c r="BA9" s="98">
        <v>20358</v>
      </c>
      <c r="BB9" s="98">
        <v>25</v>
      </c>
      <c r="BC9" s="98">
        <v>17550</v>
      </c>
      <c r="BD9" s="98">
        <v>21</v>
      </c>
      <c r="BE9" s="98">
        <v>14742</v>
      </c>
      <c r="BF9" s="98">
        <v>29</v>
      </c>
      <c r="BG9" s="98">
        <v>20358</v>
      </c>
      <c r="BH9" s="98">
        <v>22</v>
      </c>
      <c r="BI9" s="98">
        <v>15444</v>
      </c>
      <c r="BJ9" s="98">
        <v>25</v>
      </c>
      <c r="BK9" s="98">
        <v>17550</v>
      </c>
      <c r="BL9" s="98">
        <v>22</v>
      </c>
      <c r="BM9" s="98">
        <v>15444</v>
      </c>
      <c r="BN9" s="98">
        <v>33</v>
      </c>
      <c r="BO9" s="98">
        <v>23166</v>
      </c>
      <c r="BP9" s="98">
        <v>22</v>
      </c>
      <c r="BQ9" s="98">
        <v>15444</v>
      </c>
      <c r="BR9" s="98">
        <v>34</v>
      </c>
      <c r="BS9" s="98">
        <v>23868</v>
      </c>
      <c r="BT9" s="98">
        <v>32</v>
      </c>
      <c r="BU9" s="98">
        <v>22464</v>
      </c>
      <c r="BV9" s="98">
        <v>28</v>
      </c>
      <c r="BW9" s="98">
        <v>19656</v>
      </c>
      <c r="BX9" s="98">
        <v>28</v>
      </c>
      <c r="BY9" s="98">
        <v>19656</v>
      </c>
      <c r="BZ9" s="98">
        <v>27</v>
      </c>
      <c r="CA9" s="98">
        <v>18954</v>
      </c>
      <c r="CB9" s="98">
        <v>25</v>
      </c>
      <c r="CC9" s="98">
        <v>17550</v>
      </c>
      <c r="CD9" s="98">
        <v>28</v>
      </c>
      <c r="CE9" s="98">
        <v>19656</v>
      </c>
      <c r="CF9" s="98">
        <v>20</v>
      </c>
      <c r="CG9" s="98">
        <v>14040</v>
      </c>
      <c r="CH9" s="98">
        <v>35</v>
      </c>
      <c r="CI9" s="98">
        <v>24570</v>
      </c>
      <c r="CJ9" s="98">
        <v>31</v>
      </c>
      <c r="CK9" s="98">
        <v>21762</v>
      </c>
      <c r="CL9" s="98">
        <v>22.598213915199967</v>
      </c>
      <c r="CM9" s="98">
        <v>15863.946168470377</v>
      </c>
      <c r="CN9" s="98">
        <v>36</v>
      </c>
      <c r="CO9" s="98">
        <v>25272</v>
      </c>
      <c r="CP9" s="98">
        <v>35</v>
      </c>
      <c r="CQ9" s="98">
        <v>24570</v>
      </c>
      <c r="CR9" s="98">
        <v>19</v>
      </c>
      <c r="CS9" s="98">
        <v>13338</v>
      </c>
      <c r="CT9" s="98">
        <v>32</v>
      </c>
      <c r="CU9" s="98">
        <v>22464</v>
      </c>
    </row>
    <row r="10" spans="1:99">
      <c r="C10" s="97" t="s">
        <v>177</v>
      </c>
      <c r="D10" s="98">
        <v>17</v>
      </c>
      <c r="E10" s="98">
        <v>9261.5999999999985</v>
      </c>
      <c r="F10" s="98">
        <v>27</v>
      </c>
      <c r="G10" s="98">
        <v>14709.599999999999</v>
      </c>
      <c r="H10" s="98">
        <v>21</v>
      </c>
      <c r="I10" s="98">
        <v>11440.8</v>
      </c>
      <c r="J10" s="98">
        <v>28</v>
      </c>
      <c r="K10" s="98">
        <v>15254.399999999998</v>
      </c>
      <c r="L10" s="98">
        <v>24</v>
      </c>
      <c r="M10" s="98">
        <v>13075.199999999999</v>
      </c>
      <c r="N10" s="98">
        <v>32</v>
      </c>
      <c r="O10" s="98">
        <v>17433.599999999999</v>
      </c>
      <c r="P10" s="98">
        <v>26</v>
      </c>
      <c r="Q10" s="98">
        <v>14164.8</v>
      </c>
      <c r="R10" s="98">
        <v>18</v>
      </c>
      <c r="S10" s="98">
        <v>9806.4</v>
      </c>
      <c r="T10" s="98">
        <v>24</v>
      </c>
      <c r="U10" s="98">
        <v>13075.199999999999</v>
      </c>
      <c r="V10" s="98">
        <v>30</v>
      </c>
      <c r="W10" s="98">
        <v>16343.999999999998</v>
      </c>
      <c r="X10" s="98">
        <v>27</v>
      </c>
      <c r="Y10" s="98">
        <v>14709.599999999999</v>
      </c>
      <c r="Z10" s="98">
        <v>19</v>
      </c>
      <c r="AA10" s="98">
        <v>10351.199999999999</v>
      </c>
      <c r="AB10" s="98">
        <v>35</v>
      </c>
      <c r="AC10" s="98">
        <v>19068</v>
      </c>
      <c r="AD10" s="98">
        <v>30</v>
      </c>
      <c r="AE10" s="98">
        <v>16343.999999999998</v>
      </c>
      <c r="AF10" s="98">
        <v>24</v>
      </c>
      <c r="AG10" s="98">
        <v>13075.199999999999</v>
      </c>
      <c r="AH10" s="98">
        <v>31</v>
      </c>
      <c r="AI10" s="98">
        <v>16888.8</v>
      </c>
      <c r="AJ10" s="98">
        <v>22</v>
      </c>
      <c r="AK10" s="98">
        <v>11985.599999999999</v>
      </c>
      <c r="AL10" s="98">
        <v>24</v>
      </c>
      <c r="AM10" s="98">
        <v>13075.199999999999</v>
      </c>
      <c r="AN10" s="98">
        <v>32</v>
      </c>
      <c r="AO10" s="98">
        <v>17433.599999999999</v>
      </c>
      <c r="AP10" s="98">
        <v>37</v>
      </c>
      <c r="AQ10" s="98">
        <v>20157.599999999999</v>
      </c>
      <c r="AR10" s="98">
        <v>24</v>
      </c>
      <c r="AS10" s="98">
        <v>13075.199999999999</v>
      </c>
      <c r="AT10" s="98">
        <v>24</v>
      </c>
      <c r="AU10" s="98">
        <v>13075.199999999999</v>
      </c>
      <c r="AV10" s="98">
        <v>25</v>
      </c>
      <c r="AW10" s="98">
        <v>13619.999999999998</v>
      </c>
      <c r="AX10" s="98">
        <v>34</v>
      </c>
      <c r="AY10" s="98">
        <v>18523.199999999997</v>
      </c>
      <c r="AZ10" s="98">
        <v>29</v>
      </c>
      <c r="BA10" s="98">
        <v>15799.199999999999</v>
      </c>
      <c r="BB10" s="98">
        <v>30</v>
      </c>
      <c r="BC10" s="98">
        <v>16343.999999999998</v>
      </c>
      <c r="BD10" s="98">
        <v>19</v>
      </c>
      <c r="BE10" s="98">
        <v>10351.199999999999</v>
      </c>
      <c r="BF10" s="98">
        <v>30</v>
      </c>
      <c r="BG10" s="98">
        <v>16343.999999999998</v>
      </c>
      <c r="BH10" s="98">
        <v>22</v>
      </c>
      <c r="BI10" s="98">
        <v>11985.599999999999</v>
      </c>
      <c r="BJ10" s="98">
        <v>24</v>
      </c>
      <c r="BK10" s="98">
        <v>13075.199999999999</v>
      </c>
      <c r="BL10" s="98">
        <v>25</v>
      </c>
      <c r="BM10" s="98">
        <v>13619.999999999998</v>
      </c>
      <c r="BN10" s="98">
        <v>34</v>
      </c>
      <c r="BO10" s="98">
        <v>18523.199999999997</v>
      </c>
      <c r="BP10" s="98">
        <v>20</v>
      </c>
      <c r="BQ10" s="98">
        <v>10896</v>
      </c>
      <c r="BR10" s="98">
        <v>36</v>
      </c>
      <c r="BS10" s="98">
        <v>19612.8</v>
      </c>
      <c r="BT10" s="98">
        <v>31</v>
      </c>
      <c r="BU10" s="98">
        <v>16888.8</v>
      </c>
      <c r="BV10" s="98">
        <v>27</v>
      </c>
      <c r="BW10" s="98">
        <v>14709.599999999999</v>
      </c>
      <c r="BX10" s="98">
        <v>29</v>
      </c>
      <c r="BY10" s="98">
        <v>15799.199999999999</v>
      </c>
      <c r="BZ10" s="98">
        <v>26</v>
      </c>
      <c r="CA10" s="98">
        <v>14164.8</v>
      </c>
      <c r="CB10" s="98">
        <v>26</v>
      </c>
      <c r="CC10" s="98">
        <v>14164.8</v>
      </c>
      <c r="CD10" s="98">
        <v>28</v>
      </c>
      <c r="CE10" s="98">
        <v>15254.399999999998</v>
      </c>
      <c r="CF10" s="98">
        <v>23</v>
      </c>
      <c r="CG10" s="98">
        <v>12530.4</v>
      </c>
      <c r="CH10" s="98">
        <v>38</v>
      </c>
      <c r="CI10" s="98">
        <v>20702.399999999998</v>
      </c>
      <c r="CJ10" s="98">
        <v>32</v>
      </c>
      <c r="CK10" s="98">
        <v>17433.599999999999</v>
      </c>
      <c r="CL10" s="98">
        <v>21.694285358591969</v>
      </c>
      <c r="CM10" s="98">
        <v>11819.046663360903</v>
      </c>
      <c r="CN10" s="98">
        <v>40</v>
      </c>
      <c r="CO10" s="98">
        <v>21792</v>
      </c>
      <c r="CP10" s="98">
        <v>37</v>
      </c>
      <c r="CQ10" s="98">
        <v>20157.599999999999</v>
      </c>
      <c r="CR10" s="98">
        <v>19</v>
      </c>
      <c r="CS10" s="98">
        <v>10351.199999999999</v>
      </c>
      <c r="CT10" s="98">
        <v>35</v>
      </c>
      <c r="CU10" s="98">
        <v>19068</v>
      </c>
    </row>
    <row r="11" spans="1:99">
      <c r="C11" s="97" t="s">
        <v>178</v>
      </c>
      <c r="D11" s="98">
        <v>19</v>
      </c>
      <c r="E11" s="98">
        <v>10123.199999999999</v>
      </c>
      <c r="F11" s="98">
        <v>30</v>
      </c>
      <c r="G11" s="98">
        <v>15983.999999999998</v>
      </c>
      <c r="H11" s="98">
        <v>19</v>
      </c>
      <c r="I11" s="98">
        <v>10123.199999999999</v>
      </c>
      <c r="J11" s="98">
        <v>30</v>
      </c>
      <c r="K11" s="98">
        <v>15983.999999999998</v>
      </c>
      <c r="L11" s="98">
        <v>27</v>
      </c>
      <c r="M11" s="98">
        <v>14385.599999999999</v>
      </c>
      <c r="N11" s="98">
        <v>28</v>
      </c>
      <c r="O11" s="98">
        <v>14918.399999999998</v>
      </c>
      <c r="P11" s="98">
        <v>29</v>
      </c>
      <c r="Q11" s="98">
        <v>15451.199999999999</v>
      </c>
      <c r="R11" s="98">
        <v>17</v>
      </c>
      <c r="S11" s="98">
        <v>9057.5999999999985</v>
      </c>
      <c r="T11" s="98">
        <v>21</v>
      </c>
      <c r="U11" s="98">
        <v>11188.8</v>
      </c>
      <c r="V11" s="98">
        <v>28</v>
      </c>
      <c r="W11" s="98">
        <v>14918.399999999998</v>
      </c>
      <c r="X11" s="98">
        <v>29</v>
      </c>
      <c r="Y11" s="98">
        <v>15451.199999999999</v>
      </c>
      <c r="Z11" s="98">
        <v>19</v>
      </c>
      <c r="AA11" s="98">
        <v>10123.199999999999</v>
      </c>
      <c r="AB11" s="98">
        <v>31</v>
      </c>
      <c r="AC11" s="98">
        <v>16516.8</v>
      </c>
      <c r="AD11" s="98">
        <v>30</v>
      </c>
      <c r="AE11" s="98">
        <v>15983.999999999998</v>
      </c>
      <c r="AF11" s="98">
        <v>24</v>
      </c>
      <c r="AG11" s="98">
        <v>12787.199999999999</v>
      </c>
      <c r="AH11" s="98">
        <v>29</v>
      </c>
      <c r="AI11" s="98">
        <v>15451.199999999999</v>
      </c>
      <c r="AJ11" s="98">
        <v>27</v>
      </c>
      <c r="AK11" s="98">
        <v>14385.599999999999</v>
      </c>
      <c r="AL11" s="98">
        <v>25</v>
      </c>
      <c r="AM11" s="98">
        <v>13319.999999999998</v>
      </c>
      <c r="AN11" s="98">
        <v>28</v>
      </c>
      <c r="AO11" s="98">
        <v>14918.399999999998</v>
      </c>
      <c r="AP11" s="98">
        <v>38</v>
      </c>
      <c r="AQ11" s="98">
        <v>20246.399999999998</v>
      </c>
      <c r="AR11" s="98">
        <v>26</v>
      </c>
      <c r="AS11" s="98">
        <v>13852.8</v>
      </c>
      <c r="AT11" s="98">
        <v>26</v>
      </c>
      <c r="AU11" s="98">
        <v>13852.8</v>
      </c>
      <c r="AV11" s="98">
        <v>25</v>
      </c>
      <c r="AW11" s="98">
        <v>13319.999999999998</v>
      </c>
      <c r="AX11" s="98">
        <v>36</v>
      </c>
      <c r="AY11" s="98">
        <v>19180.8</v>
      </c>
      <c r="AZ11" s="98">
        <v>30</v>
      </c>
      <c r="BA11" s="98">
        <v>15983.999999999998</v>
      </c>
      <c r="BB11" s="98">
        <v>28</v>
      </c>
      <c r="BC11" s="98">
        <v>14918.399999999998</v>
      </c>
      <c r="BD11" s="98">
        <v>22</v>
      </c>
      <c r="BE11" s="98">
        <v>11721.599999999999</v>
      </c>
      <c r="BF11" s="98">
        <v>26</v>
      </c>
      <c r="BG11" s="98">
        <v>13852.8</v>
      </c>
      <c r="BH11" s="98">
        <v>25</v>
      </c>
      <c r="BI11" s="98">
        <v>13319.999999999998</v>
      </c>
      <c r="BJ11" s="98">
        <v>24</v>
      </c>
      <c r="BK11" s="98">
        <v>12787.199999999999</v>
      </c>
      <c r="BL11" s="98">
        <v>26</v>
      </c>
      <c r="BM11" s="98">
        <v>13852.8</v>
      </c>
      <c r="BN11" s="98">
        <v>30</v>
      </c>
      <c r="BO11" s="98">
        <v>15983.999999999998</v>
      </c>
      <c r="BP11" s="98">
        <v>21</v>
      </c>
      <c r="BQ11" s="98">
        <v>11188.8</v>
      </c>
      <c r="BR11" s="98">
        <v>34</v>
      </c>
      <c r="BS11" s="98">
        <v>18115.199999999997</v>
      </c>
      <c r="BT11" s="98">
        <v>32</v>
      </c>
      <c r="BU11" s="98">
        <v>17049.599999999999</v>
      </c>
      <c r="BV11" s="98">
        <v>26</v>
      </c>
      <c r="BW11" s="98">
        <v>13852.8</v>
      </c>
      <c r="BX11" s="98">
        <v>31</v>
      </c>
      <c r="BY11" s="98">
        <v>16516.8</v>
      </c>
      <c r="BZ11" s="98">
        <v>26</v>
      </c>
      <c r="CA11" s="98">
        <v>13852.8</v>
      </c>
      <c r="CB11" s="98">
        <v>26</v>
      </c>
      <c r="CC11" s="98">
        <v>13852.8</v>
      </c>
      <c r="CD11" s="98">
        <v>31</v>
      </c>
      <c r="CE11" s="98">
        <v>16516.8</v>
      </c>
      <c r="CF11" s="98">
        <v>23</v>
      </c>
      <c r="CG11" s="98">
        <v>12254.4</v>
      </c>
      <c r="CH11" s="98">
        <v>39</v>
      </c>
      <c r="CI11" s="98">
        <v>20779.199999999997</v>
      </c>
      <c r="CJ11" s="98">
        <v>35</v>
      </c>
      <c r="CK11" s="98">
        <v>18648</v>
      </c>
      <c r="CL11" s="98">
        <v>24.406071028415965</v>
      </c>
      <c r="CM11" s="98">
        <v>13003.554643940026</v>
      </c>
      <c r="CN11" s="98">
        <v>40</v>
      </c>
      <c r="CO11" s="98">
        <v>21312</v>
      </c>
      <c r="CP11" s="98">
        <v>34</v>
      </c>
      <c r="CQ11" s="98">
        <v>18115.199999999997</v>
      </c>
      <c r="CR11" s="98">
        <v>21</v>
      </c>
      <c r="CS11" s="98">
        <v>11188.8</v>
      </c>
      <c r="CT11" s="98">
        <v>32</v>
      </c>
      <c r="CU11" s="98">
        <v>17049.599999999999</v>
      </c>
    </row>
    <row r="12" spans="1:99">
      <c r="C12" s="97" t="s">
        <v>179</v>
      </c>
      <c r="D12" s="98">
        <v>19</v>
      </c>
      <c r="E12" s="98">
        <v>10693.199999999999</v>
      </c>
      <c r="F12" s="98">
        <v>31</v>
      </c>
      <c r="G12" s="98">
        <v>17446.8</v>
      </c>
      <c r="H12" s="98">
        <v>23</v>
      </c>
      <c r="I12" s="98">
        <v>12944.4</v>
      </c>
      <c r="J12" s="98">
        <v>31</v>
      </c>
      <c r="K12" s="98">
        <v>17446.8</v>
      </c>
      <c r="L12" s="98">
        <v>25</v>
      </c>
      <c r="M12" s="98">
        <v>14069.999999999998</v>
      </c>
      <c r="N12" s="98">
        <v>28</v>
      </c>
      <c r="O12" s="98">
        <v>15758.399999999998</v>
      </c>
      <c r="P12" s="98">
        <v>26</v>
      </c>
      <c r="Q12" s="98">
        <v>14632.8</v>
      </c>
      <c r="R12" s="98">
        <v>17</v>
      </c>
      <c r="S12" s="98">
        <v>9567.5999999999985</v>
      </c>
      <c r="T12" s="98">
        <v>21</v>
      </c>
      <c r="U12" s="98">
        <v>11818.8</v>
      </c>
      <c r="V12" s="98">
        <v>30</v>
      </c>
      <c r="W12" s="98">
        <v>16884</v>
      </c>
      <c r="X12" s="98">
        <v>24</v>
      </c>
      <c r="Y12" s="98">
        <v>13507.199999999999</v>
      </c>
      <c r="Z12" s="98">
        <v>19</v>
      </c>
      <c r="AA12" s="98">
        <v>10693.199999999999</v>
      </c>
      <c r="AB12" s="98">
        <v>35</v>
      </c>
      <c r="AC12" s="98">
        <v>19698</v>
      </c>
      <c r="AD12" s="98">
        <v>28</v>
      </c>
      <c r="AE12" s="98">
        <v>15758.399999999998</v>
      </c>
      <c r="AF12" s="98">
        <v>24</v>
      </c>
      <c r="AG12" s="98">
        <v>13507.199999999999</v>
      </c>
      <c r="AH12" s="98">
        <v>32</v>
      </c>
      <c r="AI12" s="98">
        <v>18009.599999999999</v>
      </c>
      <c r="AJ12" s="98">
        <v>26</v>
      </c>
      <c r="AK12" s="98">
        <v>14632.8</v>
      </c>
      <c r="AL12" s="98">
        <v>27</v>
      </c>
      <c r="AM12" s="98">
        <v>15195.599999999999</v>
      </c>
      <c r="AN12" s="98">
        <v>32</v>
      </c>
      <c r="AO12" s="98">
        <v>18009.599999999999</v>
      </c>
      <c r="AP12" s="98">
        <v>33</v>
      </c>
      <c r="AQ12" s="98">
        <v>18572.399999999998</v>
      </c>
      <c r="AR12" s="98">
        <v>25</v>
      </c>
      <c r="AS12" s="98">
        <v>14069.999999999998</v>
      </c>
      <c r="AT12" s="98">
        <v>24</v>
      </c>
      <c r="AU12" s="98">
        <v>13507.199999999999</v>
      </c>
      <c r="AV12" s="98">
        <v>26</v>
      </c>
      <c r="AW12" s="98">
        <v>14632.8</v>
      </c>
      <c r="AX12" s="98">
        <v>36</v>
      </c>
      <c r="AY12" s="98">
        <v>20260.8</v>
      </c>
      <c r="AZ12" s="98">
        <v>31</v>
      </c>
      <c r="BA12" s="98">
        <v>17446.8</v>
      </c>
      <c r="BB12" s="98">
        <v>30</v>
      </c>
      <c r="BC12" s="98">
        <v>16884</v>
      </c>
      <c r="BD12" s="98">
        <v>19</v>
      </c>
      <c r="BE12" s="98">
        <v>10693.199999999999</v>
      </c>
      <c r="BF12" s="98">
        <v>26</v>
      </c>
      <c r="BG12" s="98">
        <v>14632.8</v>
      </c>
      <c r="BH12" s="98">
        <v>23</v>
      </c>
      <c r="BI12" s="98">
        <v>12944.4</v>
      </c>
      <c r="BJ12" s="98">
        <v>25</v>
      </c>
      <c r="BK12" s="98">
        <v>14069.999999999998</v>
      </c>
      <c r="BL12" s="98">
        <v>24</v>
      </c>
      <c r="BM12" s="98">
        <v>13507.199999999999</v>
      </c>
      <c r="BN12" s="98">
        <v>32</v>
      </c>
      <c r="BO12" s="98">
        <v>18009.599999999999</v>
      </c>
      <c r="BP12" s="98">
        <v>23</v>
      </c>
      <c r="BQ12" s="98">
        <v>12944.4</v>
      </c>
      <c r="BR12" s="98">
        <v>38</v>
      </c>
      <c r="BS12" s="98">
        <v>21386.399999999998</v>
      </c>
      <c r="BT12" s="98">
        <v>36</v>
      </c>
      <c r="BU12" s="98">
        <v>20260.8</v>
      </c>
      <c r="BV12" s="98">
        <v>24</v>
      </c>
      <c r="BW12" s="98">
        <v>13507.199999999999</v>
      </c>
      <c r="BX12" s="98">
        <v>30</v>
      </c>
      <c r="BY12" s="98">
        <v>16884</v>
      </c>
      <c r="BZ12" s="98">
        <v>29</v>
      </c>
      <c r="CA12" s="98">
        <v>16321.199999999999</v>
      </c>
      <c r="CB12" s="98">
        <v>25</v>
      </c>
      <c r="CC12" s="98">
        <v>14069.999999999998</v>
      </c>
      <c r="CD12" s="98">
        <v>27</v>
      </c>
      <c r="CE12" s="98">
        <v>15195.599999999999</v>
      </c>
      <c r="CF12" s="98">
        <v>20</v>
      </c>
      <c r="CG12" s="98">
        <v>11256</v>
      </c>
      <c r="CH12" s="98">
        <v>38</v>
      </c>
      <c r="CI12" s="98">
        <v>21386.399999999998</v>
      </c>
      <c r="CJ12" s="98">
        <v>34</v>
      </c>
      <c r="CK12" s="98">
        <v>19135.199999999997</v>
      </c>
      <c r="CL12" s="98">
        <v>22.598213915199967</v>
      </c>
      <c r="CM12" s="98">
        <v>12718.27479147454</v>
      </c>
      <c r="CN12" s="98">
        <v>39</v>
      </c>
      <c r="CO12" s="98">
        <v>21949.199999999997</v>
      </c>
      <c r="CP12" s="98">
        <v>34</v>
      </c>
      <c r="CQ12" s="98">
        <v>19135.199999999997</v>
      </c>
      <c r="CR12" s="98">
        <v>18</v>
      </c>
      <c r="CS12" s="98">
        <v>10130.4</v>
      </c>
      <c r="CT12" s="98">
        <v>36</v>
      </c>
      <c r="CU12" s="98">
        <v>20260.8</v>
      </c>
    </row>
    <row r="13" spans="1:99">
      <c r="C13" s="97" t="s">
        <v>180</v>
      </c>
      <c r="D13" s="98">
        <v>18</v>
      </c>
      <c r="E13" s="98">
        <v>1533.6000000000001</v>
      </c>
      <c r="F13" s="98">
        <v>31</v>
      </c>
      <c r="G13" s="98">
        <v>2641.2000000000003</v>
      </c>
      <c r="H13" s="98">
        <v>23</v>
      </c>
      <c r="I13" s="98">
        <v>1959.6000000000001</v>
      </c>
      <c r="J13" s="98">
        <v>34</v>
      </c>
      <c r="K13" s="98">
        <v>2896.8</v>
      </c>
      <c r="L13" s="98">
        <v>29</v>
      </c>
      <c r="M13" s="98">
        <v>2470.8000000000002</v>
      </c>
      <c r="N13" s="98">
        <v>33</v>
      </c>
      <c r="O13" s="98">
        <v>2811.6</v>
      </c>
      <c r="P13" s="98">
        <v>28</v>
      </c>
      <c r="Q13" s="98">
        <v>2385.6</v>
      </c>
      <c r="R13" s="98">
        <v>17</v>
      </c>
      <c r="S13" s="98">
        <v>1448.4</v>
      </c>
      <c r="T13" s="98">
        <v>25</v>
      </c>
      <c r="U13" s="98">
        <v>2130</v>
      </c>
      <c r="V13" s="98">
        <v>32</v>
      </c>
      <c r="W13" s="98">
        <v>2726.4</v>
      </c>
      <c r="X13" s="98">
        <v>26</v>
      </c>
      <c r="Y13" s="98">
        <v>2215.2000000000003</v>
      </c>
      <c r="Z13" s="98">
        <v>19</v>
      </c>
      <c r="AA13" s="98">
        <v>1618.8</v>
      </c>
      <c r="AB13" s="98">
        <v>32</v>
      </c>
      <c r="AC13" s="98">
        <v>2726.4</v>
      </c>
      <c r="AD13" s="98">
        <v>33</v>
      </c>
      <c r="AE13" s="98">
        <v>2811.6</v>
      </c>
      <c r="AF13" s="98">
        <v>25</v>
      </c>
      <c r="AG13" s="98">
        <v>2130</v>
      </c>
      <c r="AH13" s="98">
        <v>33</v>
      </c>
      <c r="AI13" s="98">
        <v>2811.6</v>
      </c>
      <c r="AJ13" s="98">
        <v>26</v>
      </c>
      <c r="AK13" s="98">
        <v>2215.2000000000003</v>
      </c>
      <c r="AL13" s="98">
        <v>28</v>
      </c>
      <c r="AM13" s="98">
        <v>2385.6</v>
      </c>
      <c r="AN13" s="98">
        <v>30</v>
      </c>
      <c r="AO13" s="98">
        <v>2556</v>
      </c>
      <c r="AP13" s="98">
        <v>33</v>
      </c>
      <c r="AQ13" s="98">
        <v>2811.6</v>
      </c>
      <c r="AR13" s="98">
        <v>24</v>
      </c>
      <c r="AS13" s="98">
        <v>2044.8000000000002</v>
      </c>
      <c r="AT13" s="98">
        <v>26</v>
      </c>
      <c r="AU13" s="98">
        <v>2215.2000000000003</v>
      </c>
      <c r="AV13" s="98">
        <v>29</v>
      </c>
      <c r="AW13" s="98">
        <v>2470.8000000000002</v>
      </c>
      <c r="AX13" s="98">
        <v>36</v>
      </c>
      <c r="AY13" s="98">
        <v>3067.2000000000003</v>
      </c>
      <c r="AZ13" s="98">
        <v>35</v>
      </c>
      <c r="BA13" s="98">
        <v>2982</v>
      </c>
      <c r="BB13" s="98">
        <v>28</v>
      </c>
      <c r="BC13" s="98">
        <v>2385.6</v>
      </c>
      <c r="BD13" s="98">
        <v>22</v>
      </c>
      <c r="BE13" s="98">
        <v>1874.4</v>
      </c>
      <c r="BF13" s="98">
        <v>29</v>
      </c>
      <c r="BG13" s="98">
        <v>2470.8000000000002</v>
      </c>
      <c r="BH13" s="98">
        <v>23</v>
      </c>
      <c r="BI13" s="98">
        <v>1959.6000000000001</v>
      </c>
      <c r="BJ13" s="98">
        <v>24</v>
      </c>
      <c r="BK13" s="98">
        <v>2044.8000000000002</v>
      </c>
      <c r="BL13" s="98">
        <v>27</v>
      </c>
      <c r="BM13" s="98">
        <v>2300.4</v>
      </c>
      <c r="BN13" s="98">
        <v>29</v>
      </c>
      <c r="BO13" s="98">
        <v>2470.8000000000002</v>
      </c>
      <c r="BP13" s="98">
        <v>23</v>
      </c>
      <c r="BQ13" s="98">
        <v>1959.6000000000001</v>
      </c>
      <c r="BR13" s="98">
        <v>39</v>
      </c>
      <c r="BS13" s="98">
        <v>3322.8</v>
      </c>
      <c r="BT13" s="98">
        <v>36</v>
      </c>
      <c r="BU13" s="98">
        <v>3067.2000000000003</v>
      </c>
      <c r="BV13" s="98">
        <v>30</v>
      </c>
      <c r="BW13" s="98">
        <v>2556</v>
      </c>
      <c r="BX13" s="98">
        <v>30</v>
      </c>
      <c r="BY13" s="98">
        <v>2556</v>
      </c>
      <c r="BZ13" s="98">
        <v>30</v>
      </c>
      <c r="CA13" s="98">
        <v>2556</v>
      </c>
      <c r="CB13" s="98">
        <v>27</v>
      </c>
      <c r="CC13" s="98">
        <v>2300.4</v>
      </c>
      <c r="CD13" s="98">
        <v>32</v>
      </c>
      <c r="CE13" s="98">
        <v>2726.4</v>
      </c>
      <c r="CF13" s="98">
        <v>24</v>
      </c>
      <c r="CG13" s="98">
        <v>2044.8000000000002</v>
      </c>
      <c r="CH13" s="98">
        <v>42</v>
      </c>
      <c r="CI13" s="98">
        <v>3578.4</v>
      </c>
      <c r="CJ13" s="98">
        <v>32</v>
      </c>
      <c r="CK13" s="98">
        <v>2726.4</v>
      </c>
      <c r="CL13" s="98">
        <v>22.598213915199967</v>
      </c>
      <c r="CM13" s="98">
        <v>1925.3678255750372</v>
      </c>
      <c r="CN13" s="98">
        <v>43</v>
      </c>
      <c r="CO13" s="98">
        <v>3663.6</v>
      </c>
      <c r="CP13" s="98">
        <v>34</v>
      </c>
      <c r="CQ13" s="98">
        <v>2896.8</v>
      </c>
      <c r="CR13" s="98">
        <v>19</v>
      </c>
      <c r="CS13" s="98">
        <v>1618.8</v>
      </c>
      <c r="CT13" s="98">
        <v>36</v>
      </c>
      <c r="CU13" s="98">
        <v>3067.2000000000003</v>
      </c>
    </row>
    <row r="14" spans="1:99">
      <c r="C14" s="97" t="s">
        <v>181</v>
      </c>
      <c r="D14" s="98">
        <v>20</v>
      </c>
      <c r="E14" s="98">
        <v>9768</v>
      </c>
      <c r="F14" s="98">
        <v>31</v>
      </c>
      <c r="G14" s="98">
        <v>15140.4</v>
      </c>
      <c r="H14" s="98">
        <v>23</v>
      </c>
      <c r="I14" s="98">
        <v>11233.199999999999</v>
      </c>
      <c r="J14" s="98">
        <v>30</v>
      </c>
      <c r="K14" s="98">
        <v>14652</v>
      </c>
      <c r="L14" s="98">
        <v>25</v>
      </c>
      <c r="M14" s="98">
        <v>12210</v>
      </c>
      <c r="N14" s="98">
        <v>28</v>
      </c>
      <c r="O14" s="98">
        <v>13675.199999999999</v>
      </c>
      <c r="P14" s="98">
        <v>26</v>
      </c>
      <c r="Q14" s="98">
        <v>12698.4</v>
      </c>
      <c r="R14" s="98">
        <v>17</v>
      </c>
      <c r="S14" s="98">
        <v>8302.7999999999993</v>
      </c>
      <c r="T14" s="98">
        <v>25</v>
      </c>
      <c r="U14" s="98">
        <v>12210</v>
      </c>
      <c r="V14" s="98">
        <v>29</v>
      </c>
      <c r="W14" s="98">
        <v>14163.599999999999</v>
      </c>
      <c r="X14" s="98">
        <v>27</v>
      </c>
      <c r="Y14" s="98">
        <v>13186.8</v>
      </c>
      <c r="Z14" s="98">
        <v>19</v>
      </c>
      <c r="AA14" s="98">
        <v>9279.6</v>
      </c>
      <c r="AB14" s="98">
        <v>32</v>
      </c>
      <c r="AC14" s="98">
        <v>15628.8</v>
      </c>
      <c r="AD14" s="98">
        <v>32</v>
      </c>
      <c r="AE14" s="98">
        <v>15628.8</v>
      </c>
      <c r="AF14" s="98">
        <v>23</v>
      </c>
      <c r="AG14" s="98">
        <v>11233.199999999999</v>
      </c>
      <c r="AH14" s="98">
        <v>29</v>
      </c>
      <c r="AI14" s="98">
        <v>14163.599999999999</v>
      </c>
      <c r="AJ14" s="98">
        <v>26</v>
      </c>
      <c r="AK14" s="98">
        <v>12698.4</v>
      </c>
      <c r="AL14" s="98">
        <v>25</v>
      </c>
      <c r="AM14" s="98">
        <v>12210</v>
      </c>
      <c r="AN14" s="98">
        <v>31</v>
      </c>
      <c r="AO14" s="98">
        <v>15140.4</v>
      </c>
      <c r="AP14" s="98">
        <v>33</v>
      </c>
      <c r="AQ14" s="98">
        <v>16117.199999999999</v>
      </c>
      <c r="AR14" s="98">
        <v>24</v>
      </c>
      <c r="AS14" s="98">
        <v>11721.599999999999</v>
      </c>
      <c r="AT14" s="98">
        <v>27</v>
      </c>
      <c r="AU14" s="98">
        <v>13186.8</v>
      </c>
      <c r="AV14" s="98">
        <v>27</v>
      </c>
      <c r="AW14" s="98">
        <v>13186.8</v>
      </c>
      <c r="AX14" s="98">
        <v>31</v>
      </c>
      <c r="AY14" s="98">
        <v>15140.4</v>
      </c>
      <c r="AZ14" s="98">
        <v>29</v>
      </c>
      <c r="BA14" s="98">
        <v>14163.599999999999</v>
      </c>
      <c r="BB14" s="98">
        <v>26</v>
      </c>
      <c r="BC14" s="98">
        <v>12698.4</v>
      </c>
      <c r="BD14" s="98">
        <v>21</v>
      </c>
      <c r="BE14" s="98">
        <v>10256.4</v>
      </c>
      <c r="BF14" s="98">
        <v>29</v>
      </c>
      <c r="BG14" s="98">
        <v>14163.599999999999</v>
      </c>
      <c r="BH14" s="98">
        <v>23</v>
      </c>
      <c r="BI14" s="98">
        <v>11233.199999999999</v>
      </c>
      <c r="BJ14" s="98">
        <v>24</v>
      </c>
      <c r="BK14" s="98">
        <v>11721.599999999999</v>
      </c>
      <c r="BL14" s="98">
        <v>25</v>
      </c>
      <c r="BM14" s="98">
        <v>12210</v>
      </c>
      <c r="BN14" s="98">
        <v>31</v>
      </c>
      <c r="BO14" s="98">
        <v>15140.4</v>
      </c>
      <c r="BP14" s="98">
        <v>23</v>
      </c>
      <c r="BQ14" s="98">
        <v>11233.199999999999</v>
      </c>
      <c r="BR14" s="98">
        <v>36</v>
      </c>
      <c r="BS14" s="98">
        <v>17582.399999999998</v>
      </c>
      <c r="BT14" s="98">
        <v>32</v>
      </c>
      <c r="BU14" s="98">
        <v>15628.8</v>
      </c>
      <c r="BV14" s="98">
        <v>28</v>
      </c>
      <c r="BW14" s="98">
        <v>13675.199999999999</v>
      </c>
      <c r="BX14" s="98">
        <v>31</v>
      </c>
      <c r="BY14" s="98">
        <v>15140.4</v>
      </c>
      <c r="BZ14" s="98">
        <v>32</v>
      </c>
      <c r="CA14" s="98">
        <v>15628.8</v>
      </c>
      <c r="CB14" s="98">
        <v>24</v>
      </c>
      <c r="CC14" s="98">
        <v>11721.599999999999</v>
      </c>
      <c r="CD14" s="98">
        <v>30</v>
      </c>
      <c r="CE14" s="98">
        <v>14652</v>
      </c>
      <c r="CF14" s="98">
        <v>22</v>
      </c>
      <c r="CG14" s="98">
        <v>10744.8</v>
      </c>
      <c r="CH14" s="98">
        <v>40</v>
      </c>
      <c r="CI14" s="98">
        <v>19536</v>
      </c>
      <c r="CJ14" s="98">
        <v>29</v>
      </c>
      <c r="CK14" s="98">
        <v>14163.599999999999</v>
      </c>
      <c r="CL14" s="98">
        <v>23.502142471807968</v>
      </c>
      <c r="CM14" s="98">
        <v>11478.44638323101</v>
      </c>
      <c r="CN14" s="98">
        <v>39</v>
      </c>
      <c r="CO14" s="98">
        <v>19047.599999999999</v>
      </c>
      <c r="CP14" s="98">
        <v>39</v>
      </c>
      <c r="CQ14" s="98">
        <v>19047.599999999999</v>
      </c>
      <c r="CR14" s="98">
        <v>19</v>
      </c>
      <c r="CS14" s="98">
        <v>9279.6</v>
      </c>
      <c r="CT14" s="98">
        <v>35</v>
      </c>
      <c r="CU14" s="98">
        <v>17094</v>
      </c>
    </row>
    <row r="15" spans="1:99">
      <c r="C15" s="97" t="s">
        <v>182</v>
      </c>
      <c r="D15" s="98">
        <v>19</v>
      </c>
      <c r="E15" s="98">
        <v>14500.8</v>
      </c>
      <c r="F15" s="98">
        <v>29</v>
      </c>
      <c r="G15" s="98">
        <v>22132.799999999999</v>
      </c>
      <c r="H15" s="98">
        <v>21</v>
      </c>
      <c r="I15" s="98">
        <v>16027.199999999999</v>
      </c>
      <c r="J15" s="98">
        <v>31</v>
      </c>
      <c r="K15" s="98">
        <v>23659.199999999997</v>
      </c>
      <c r="L15" s="98">
        <v>23</v>
      </c>
      <c r="M15" s="98">
        <v>17553.599999999999</v>
      </c>
      <c r="N15" s="98">
        <v>31</v>
      </c>
      <c r="O15" s="98">
        <v>23659.199999999997</v>
      </c>
      <c r="P15" s="98">
        <v>26</v>
      </c>
      <c r="Q15" s="98">
        <v>19843.199999999997</v>
      </c>
      <c r="R15" s="98">
        <v>17</v>
      </c>
      <c r="S15" s="98">
        <v>12974.4</v>
      </c>
      <c r="T15" s="98">
        <v>23</v>
      </c>
      <c r="U15" s="98">
        <v>17553.599999999999</v>
      </c>
      <c r="V15" s="98">
        <v>30</v>
      </c>
      <c r="W15" s="98">
        <v>22895.999999999996</v>
      </c>
      <c r="X15" s="98">
        <v>28</v>
      </c>
      <c r="Y15" s="98">
        <v>21369.599999999999</v>
      </c>
      <c r="Z15" s="98">
        <v>18</v>
      </c>
      <c r="AA15" s="98">
        <v>13737.599999999999</v>
      </c>
      <c r="AB15" s="98">
        <v>30</v>
      </c>
      <c r="AC15" s="98">
        <v>22895.999999999996</v>
      </c>
      <c r="AD15" s="98">
        <v>30</v>
      </c>
      <c r="AE15" s="98">
        <v>22895.999999999996</v>
      </c>
      <c r="AF15" s="98">
        <v>21</v>
      </c>
      <c r="AG15" s="98">
        <v>16027.199999999999</v>
      </c>
      <c r="AH15" s="98">
        <v>31</v>
      </c>
      <c r="AI15" s="98">
        <v>23659.199999999997</v>
      </c>
      <c r="AJ15" s="98">
        <v>22</v>
      </c>
      <c r="AK15" s="98">
        <v>16790.399999999998</v>
      </c>
      <c r="AL15" s="98">
        <v>27</v>
      </c>
      <c r="AM15" s="98">
        <v>20606.399999999998</v>
      </c>
      <c r="AN15" s="98">
        <v>30</v>
      </c>
      <c r="AO15" s="98">
        <v>22895.999999999996</v>
      </c>
      <c r="AP15" s="98">
        <v>33</v>
      </c>
      <c r="AQ15" s="98">
        <v>25185.599999999999</v>
      </c>
      <c r="AR15" s="98">
        <v>26</v>
      </c>
      <c r="AS15" s="98">
        <v>19843.199999999997</v>
      </c>
      <c r="AT15" s="98">
        <v>28</v>
      </c>
      <c r="AU15" s="98">
        <v>21369.599999999999</v>
      </c>
      <c r="AV15" s="98">
        <v>27</v>
      </c>
      <c r="AW15" s="98">
        <v>20606.399999999998</v>
      </c>
      <c r="AX15" s="98">
        <v>34</v>
      </c>
      <c r="AY15" s="98">
        <v>25948.799999999999</v>
      </c>
      <c r="AZ15" s="98">
        <v>31</v>
      </c>
      <c r="BA15" s="98">
        <v>23659.199999999997</v>
      </c>
      <c r="BB15" s="98">
        <v>27</v>
      </c>
      <c r="BC15" s="98">
        <v>20606.399999999998</v>
      </c>
      <c r="BD15" s="98">
        <v>19</v>
      </c>
      <c r="BE15" s="98">
        <v>14500.8</v>
      </c>
      <c r="BF15" s="98">
        <v>25</v>
      </c>
      <c r="BG15" s="98">
        <v>19080</v>
      </c>
      <c r="BH15" s="98">
        <v>21</v>
      </c>
      <c r="BI15" s="98">
        <v>16027.199999999999</v>
      </c>
      <c r="BJ15" s="98">
        <v>26</v>
      </c>
      <c r="BK15" s="98">
        <v>19843.199999999997</v>
      </c>
      <c r="BL15" s="98">
        <v>21</v>
      </c>
      <c r="BM15" s="98">
        <v>16027.199999999999</v>
      </c>
      <c r="BN15" s="98">
        <v>29</v>
      </c>
      <c r="BO15" s="98">
        <v>22132.799999999999</v>
      </c>
      <c r="BP15" s="98">
        <v>21</v>
      </c>
      <c r="BQ15" s="98">
        <v>16027.199999999999</v>
      </c>
      <c r="BR15" s="98">
        <v>32</v>
      </c>
      <c r="BS15" s="98">
        <v>24422.399999999998</v>
      </c>
      <c r="BT15" s="98">
        <v>33</v>
      </c>
      <c r="BU15" s="98">
        <v>25185.599999999999</v>
      </c>
      <c r="BV15" s="98">
        <v>26</v>
      </c>
      <c r="BW15" s="98">
        <v>19843.199999999997</v>
      </c>
      <c r="BX15" s="98">
        <v>28</v>
      </c>
      <c r="BY15" s="98">
        <v>21369.599999999999</v>
      </c>
      <c r="BZ15" s="98">
        <v>25</v>
      </c>
      <c r="CA15" s="98">
        <v>19080</v>
      </c>
      <c r="CB15" s="98">
        <v>28</v>
      </c>
      <c r="CC15" s="98">
        <v>21369.599999999999</v>
      </c>
      <c r="CD15" s="98">
        <v>30</v>
      </c>
      <c r="CE15" s="98">
        <v>22895.999999999996</v>
      </c>
      <c r="CF15" s="98">
        <v>21</v>
      </c>
      <c r="CG15" s="98">
        <v>16027.199999999999</v>
      </c>
      <c r="CH15" s="98">
        <v>33</v>
      </c>
      <c r="CI15" s="98">
        <v>25185.599999999999</v>
      </c>
      <c r="CJ15" s="98">
        <v>32</v>
      </c>
      <c r="CK15" s="98">
        <v>24422.399999999998</v>
      </c>
      <c r="CL15" s="98">
        <v>20.790356801983968</v>
      </c>
      <c r="CM15" s="98">
        <v>15867.200311274162</v>
      </c>
      <c r="CN15" s="98">
        <v>36</v>
      </c>
      <c r="CO15" s="98">
        <v>27475.199999999997</v>
      </c>
      <c r="CP15" s="98">
        <v>32</v>
      </c>
      <c r="CQ15" s="98">
        <v>24422.399999999998</v>
      </c>
      <c r="CR15" s="98">
        <v>20</v>
      </c>
      <c r="CS15" s="98">
        <v>15263.999999999998</v>
      </c>
      <c r="CT15" s="98">
        <v>32</v>
      </c>
      <c r="CU15" s="98">
        <v>24422.399999999998</v>
      </c>
    </row>
    <row r="16" spans="1:99">
      <c r="C16" s="97" t="s">
        <v>183</v>
      </c>
      <c r="D16" s="98">
        <v>20</v>
      </c>
      <c r="E16" s="98">
        <v>6816</v>
      </c>
      <c r="F16" s="98">
        <v>31</v>
      </c>
      <c r="G16" s="98">
        <v>10564.800000000001</v>
      </c>
      <c r="H16" s="98">
        <v>21</v>
      </c>
      <c r="I16" s="98">
        <v>7156.8</v>
      </c>
      <c r="J16" s="98">
        <v>32</v>
      </c>
      <c r="K16" s="98">
        <v>10905.6</v>
      </c>
      <c r="L16" s="98">
        <v>28</v>
      </c>
      <c r="M16" s="98">
        <v>9542.4</v>
      </c>
      <c r="N16" s="98">
        <v>31</v>
      </c>
      <c r="O16" s="98">
        <v>10564.800000000001</v>
      </c>
      <c r="P16" s="98">
        <v>29</v>
      </c>
      <c r="Q16" s="98">
        <v>9883.2000000000007</v>
      </c>
      <c r="R16" s="98">
        <v>16</v>
      </c>
      <c r="S16" s="98">
        <v>5452.8</v>
      </c>
      <c r="T16" s="98">
        <v>23</v>
      </c>
      <c r="U16" s="98">
        <v>7838.4000000000005</v>
      </c>
      <c r="V16" s="98">
        <v>28</v>
      </c>
      <c r="W16" s="98">
        <v>9542.4</v>
      </c>
      <c r="X16" s="98">
        <v>30</v>
      </c>
      <c r="Y16" s="98">
        <v>10224</v>
      </c>
      <c r="Z16" s="98">
        <v>20</v>
      </c>
      <c r="AA16" s="98">
        <v>6816</v>
      </c>
      <c r="AB16" s="98">
        <v>31</v>
      </c>
      <c r="AC16" s="98">
        <v>10564.800000000001</v>
      </c>
      <c r="AD16" s="98">
        <v>34</v>
      </c>
      <c r="AE16" s="98">
        <v>11587.2</v>
      </c>
      <c r="AF16" s="98">
        <v>23</v>
      </c>
      <c r="AG16" s="98">
        <v>7838.4000000000005</v>
      </c>
      <c r="AH16" s="98">
        <v>28</v>
      </c>
      <c r="AI16" s="98">
        <v>9542.4</v>
      </c>
      <c r="AJ16" s="98">
        <v>23</v>
      </c>
      <c r="AK16" s="98">
        <v>7838.4000000000005</v>
      </c>
      <c r="AL16" s="98">
        <v>26</v>
      </c>
      <c r="AM16" s="98">
        <v>8860.8000000000011</v>
      </c>
      <c r="AN16" s="98">
        <v>34</v>
      </c>
      <c r="AO16" s="98">
        <v>11587.2</v>
      </c>
      <c r="AP16" s="98">
        <v>36</v>
      </c>
      <c r="AQ16" s="98">
        <v>12268.800000000001</v>
      </c>
      <c r="AR16" s="98">
        <v>24</v>
      </c>
      <c r="AS16" s="98">
        <v>8179.2000000000007</v>
      </c>
      <c r="AT16" s="98">
        <v>26</v>
      </c>
      <c r="AU16" s="98">
        <v>8860.8000000000011</v>
      </c>
      <c r="AV16" s="98">
        <v>25</v>
      </c>
      <c r="AW16" s="98">
        <v>8520</v>
      </c>
      <c r="AX16" s="98">
        <v>32</v>
      </c>
      <c r="AY16" s="98">
        <v>10905.6</v>
      </c>
      <c r="AZ16" s="98">
        <v>32</v>
      </c>
      <c r="BA16" s="98">
        <v>10905.6</v>
      </c>
      <c r="BB16" s="98">
        <v>25</v>
      </c>
      <c r="BC16" s="98">
        <v>8520</v>
      </c>
      <c r="BD16" s="98">
        <v>21</v>
      </c>
      <c r="BE16" s="98">
        <v>7156.8</v>
      </c>
      <c r="BF16" s="98">
        <v>29</v>
      </c>
      <c r="BG16" s="98">
        <v>9883.2000000000007</v>
      </c>
      <c r="BH16" s="98">
        <v>23</v>
      </c>
      <c r="BI16" s="98">
        <v>7838.4000000000005</v>
      </c>
      <c r="BJ16" s="98">
        <v>28</v>
      </c>
      <c r="BK16" s="98">
        <v>9542.4</v>
      </c>
      <c r="BL16" s="98">
        <v>23</v>
      </c>
      <c r="BM16" s="98">
        <v>7838.4000000000005</v>
      </c>
      <c r="BN16" s="98">
        <v>30</v>
      </c>
      <c r="BO16" s="98">
        <v>10224</v>
      </c>
      <c r="BP16" s="98">
        <v>21</v>
      </c>
      <c r="BQ16" s="98">
        <v>7156.8</v>
      </c>
      <c r="BR16" s="98">
        <v>36</v>
      </c>
      <c r="BS16" s="98">
        <v>12268.800000000001</v>
      </c>
      <c r="BT16" s="98">
        <v>32</v>
      </c>
      <c r="BU16" s="98">
        <v>10905.6</v>
      </c>
      <c r="BV16" s="98">
        <v>27</v>
      </c>
      <c r="BW16" s="98">
        <v>9201.6</v>
      </c>
      <c r="BX16" s="98">
        <v>29</v>
      </c>
      <c r="BY16" s="98">
        <v>9883.2000000000007</v>
      </c>
      <c r="BZ16" s="98">
        <v>27</v>
      </c>
      <c r="CA16" s="98">
        <v>9201.6</v>
      </c>
      <c r="CB16" s="98">
        <v>24</v>
      </c>
      <c r="CC16" s="98">
        <v>8179.2000000000007</v>
      </c>
      <c r="CD16" s="98">
        <v>30</v>
      </c>
      <c r="CE16" s="98">
        <v>10224</v>
      </c>
      <c r="CF16" s="98">
        <v>21</v>
      </c>
      <c r="CG16" s="98">
        <v>7156.8</v>
      </c>
      <c r="CH16" s="98">
        <v>35</v>
      </c>
      <c r="CI16" s="98">
        <v>11928</v>
      </c>
      <c r="CJ16" s="98">
        <v>30</v>
      </c>
      <c r="CK16" s="98">
        <v>10224</v>
      </c>
      <c r="CL16" s="98">
        <v>20.790356801983968</v>
      </c>
      <c r="CM16" s="98">
        <v>7085.3535981161367</v>
      </c>
      <c r="CN16" s="98">
        <v>40</v>
      </c>
      <c r="CO16" s="98">
        <v>13632</v>
      </c>
      <c r="CP16" s="98">
        <v>33</v>
      </c>
      <c r="CQ16" s="98">
        <v>11246.4</v>
      </c>
      <c r="CR16" s="98">
        <v>19</v>
      </c>
      <c r="CS16" s="98">
        <v>6475.2</v>
      </c>
      <c r="CT16" s="98">
        <v>35</v>
      </c>
      <c r="CU16" s="98">
        <v>11928</v>
      </c>
    </row>
    <row r="17" spans="2:99">
      <c r="C17" s="97" t="s">
        <v>184</v>
      </c>
      <c r="D17" s="98">
        <v>18</v>
      </c>
      <c r="E17" s="98">
        <v>7603.2</v>
      </c>
      <c r="F17" s="98">
        <v>27</v>
      </c>
      <c r="G17" s="98">
        <v>11404.8</v>
      </c>
      <c r="H17" s="98">
        <v>22</v>
      </c>
      <c r="I17" s="98">
        <v>9292.7999999999993</v>
      </c>
      <c r="J17" s="98">
        <v>33</v>
      </c>
      <c r="K17" s="98">
        <v>13939.199999999999</v>
      </c>
      <c r="L17" s="98">
        <v>28</v>
      </c>
      <c r="M17" s="98">
        <v>11827.199999999999</v>
      </c>
      <c r="N17" s="98">
        <v>31</v>
      </c>
      <c r="O17" s="98">
        <v>13094.4</v>
      </c>
      <c r="P17" s="98">
        <v>30</v>
      </c>
      <c r="Q17" s="98">
        <v>12672</v>
      </c>
      <c r="R17" s="98">
        <v>18</v>
      </c>
      <c r="S17" s="98">
        <v>7603.2</v>
      </c>
      <c r="T17" s="98">
        <v>23</v>
      </c>
      <c r="U17" s="98">
        <v>9715.1999999999989</v>
      </c>
      <c r="V17" s="98">
        <v>30</v>
      </c>
      <c r="W17" s="98">
        <v>12672</v>
      </c>
      <c r="X17" s="98">
        <v>28</v>
      </c>
      <c r="Y17" s="98">
        <v>11827.199999999999</v>
      </c>
      <c r="Z17" s="98">
        <v>19</v>
      </c>
      <c r="AA17" s="98">
        <v>8025.5999999999995</v>
      </c>
      <c r="AB17" s="98">
        <v>31</v>
      </c>
      <c r="AC17" s="98">
        <v>13094.4</v>
      </c>
      <c r="AD17" s="98">
        <v>31</v>
      </c>
      <c r="AE17" s="98">
        <v>13094.4</v>
      </c>
      <c r="AF17" s="98">
        <v>25</v>
      </c>
      <c r="AG17" s="98">
        <v>10560</v>
      </c>
      <c r="AH17" s="98">
        <v>31</v>
      </c>
      <c r="AI17" s="98">
        <v>13094.4</v>
      </c>
      <c r="AJ17" s="98">
        <v>24</v>
      </c>
      <c r="AK17" s="98">
        <v>10137.599999999999</v>
      </c>
      <c r="AL17" s="98">
        <v>27</v>
      </c>
      <c r="AM17" s="98">
        <v>11404.8</v>
      </c>
      <c r="AN17" s="98">
        <v>29</v>
      </c>
      <c r="AO17" s="98">
        <v>12249.599999999999</v>
      </c>
      <c r="AP17" s="98">
        <v>34</v>
      </c>
      <c r="AQ17" s="98">
        <v>14361.599999999999</v>
      </c>
      <c r="AR17" s="98">
        <v>27</v>
      </c>
      <c r="AS17" s="98">
        <v>11404.8</v>
      </c>
      <c r="AT17" s="98">
        <v>28</v>
      </c>
      <c r="AU17" s="98">
        <v>11827.199999999999</v>
      </c>
      <c r="AV17" s="98">
        <v>24</v>
      </c>
      <c r="AW17" s="98">
        <v>10137.599999999999</v>
      </c>
      <c r="AX17" s="98">
        <v>32</v>
      </c>
      <c r="AY17" s="98">
        <v>13516.8</v>
      </c>
      <c r="AZ17" s="98">
        <v>33</v>
      </c>
      <c r="BA17" s="98">
        <v>13939.199999999999</v>
      </c>
      <c r="BB17" s="98">
        <v>25</v>
      </c>
      <c r="BC17" s="98">
        <v>10560</v>
      </c>
      <c r="BD17" s="98">
        <v>20</v>
      </c>
      <c r="BE17" s="98">
        <v>8448</v>
      </c>
      <c r="BF17" s="98">
        <v>28</v>
      </c>
      <c r="BG17" s="98">
        <v>11827.199999999999</v>
      </c>
      <c r="BH17" s="98">
        <v>25</v>
      </c>
      <c r="BI17" s="98">
        <v>10560</v>
      </c>
      <c r="BJ17" s="98">
        <v>27</v>
      </c>
      <c r="BK17" s="98">
        <v>11404.8</v>
      </c>
      <c r="BL17" s="98">
        <v>24</v>
      </c>
      <c r="BM17" s="98">
        <v>10137.599999999999</v>
      </c>
      <c r="BN17" s="98">
        <v>33</v>
      </c>
      <c r="BO17" s="98">
        <v>13939.199999999999</v>
      </c>
      <c r="BP17" s="98">
        <v>23</v>
      </c>
      <c r="BQ17" s="98">
        <v>9715.1999999999989</v>
      </c>
      <c r="BR17" s="98">
        <v>32</v>
      </c>
      <c r="BS17" s="98">
        <v>13516.8</v>
      </c>
      <c r="BT17" s="98">
        <v>35</v>
      </c>
      <c r="BU17" s="98">
        <v>14784</v>
      </c>
      <c r="BV17" s="98">
        <v>24</v>
      </c>
      <c r="BW17" s="98">
        <v>10137.599999999999</v>
      </c>
      <c r="BX17" s="98">
        <v>32</v>
      </c>
      <c r="BY17" s="98">
        <v>13516.8</v>
      </c>
      <c r="BZ17" s="98">
        <v>28</v>
      </c>
      <c r="CA17" s="98">
        <v>11827.199999999999</v>
      </c>
      <c r="CB17" s="98">
        <v>25</v>
      </c>
      <c r="CC17" s="98">
        <v>10560</v>
      </c>
      <c r="CD17" s="98">
        <v>32</v>
      </c>
      <c r="CE17" s="98">
        <v>13516.8</v>
      </c>
      <c r="CF17" s="98">
        <v>22</v>
      </c>
      <c r="CG17" s="98">
        <v>9292.7999999999993</v>
      </c>
      <c r="CH17" s="98">
        <v>39</v>
      </c>
      <c r="CI17" s="98">
        <v>16473.599999999999</v>
      </c>
      <c r="CJ17" s="98">
        <v>32</v>
      </c>
      <c r="CK17" s="98">
        <v>13516.8</v>
      </c>
      <c r="CL17" s="98">
        <v>21.694285358591969</v>
      </c>
      <c r="CM17" s="98">
        <v>9163.6661354692478</v>
      </c>
      <c r="CN17" s="98">
        <v>42</v>
      </c>
      <c r="CO17" s="98">
        <v>17740.8</v>
      </c>
      <c r="CP17" s="98">
        <v>36</v>
      </c>
      <c r="CQ17" s="98">
        <v>15206.4</v>
      </c>
      <c r="CR17" s="98">
        <v>21</v>
      </c>
      <c r="CS17" s="98">
        <v>8870.4</v>
      </c>
      <c r="CT17" s="98">
        <v>35</v>
      </c>
      <c r="CU17" s="98">
        <v>14784</v>
      </c>
    </row>
    <row r="18" spans="2:99">
      <c r="C18" s="97" t="s">
        <v>185</v>
      </c>
      <c r="D18" s="98">
        <v>18</v>
      </c>
      <c r="E18" s="98">
        <v>11750.4</v>
      </c>
      <c r="F18" s="98">
        <v>29</v>
      </c>
      <c r="G18" s="98">
        <v>18931.199999999997</v>
      </c>
      <c r="H18" s="98">
        <v>22</v>
      </c>
      <c r="I18" s="98">
        <v>14361.599999999999</v>
      </c>
      <c r="J18" s="98">
        <v>29</v>
      </c>
      <c r="K18" s="98">
        <v>18931.199999999997</v>
      </c>
      <c r="L18" s="98">
        <v>28</v>
      </c>
      <c r="M18" s="98">
        <v>18278.399999999998</v>
      </c>
      <c r="N18" s="98">
        <v>27</v>
      </c>
      <c r="O18" s="98">
        <v>17625.599999999999</v>
      </c>
      <c r="P18" s="98">
        <v>30</v>
      </c>
      <c r="Q18" s="98">
        <v>19584</v>
      </c>
      <c r="R18" s="98">
        <v>18</v>
      </c>
      <c r="S18" s="98">
        <v>11750.4</v>
      </c>
      <c r="T18" s="98">
        <v>24</v>
      </c>
      <c r="U18" s="98">
        <v>15667.199999999999</v>
      </c>
      <c r="V18" s="98">
        <v>27</v>
      </c>
      <c r="W18" s="98">
        <v>17625.599999999999</v>
      </c>
      <c r="X18" s="98">
        <v>27</v>
      </c>
      <c r="Y18" s="98">
        <v>17625.599999999999</v>
      </c>
      <c r="Z18" s="98">
        <v>19</v>
      </c>
      <c r="AA18" s="98">
        <v>12403.199999999999</v>
      </c>
      <c r="AB18" s="98">
        <v>30</v>
      </c>
      <c r="AC18" s="98">
        <v>19584</v>
      </c>
      <c r="AD18" s="98">
        <v>32</v>
      </c>
      <c r="AE18" s="98">
        <v>20889.599999999999</v>
      </c>
      <c r="AF18" s="98">
        <v>22</v>
      </c>
      <c r="AG18" s="98">
        <v>14361.599999999999</v>
      </c>
      <c r="AH18" s="98">
        <v>30</v>
      </c>
      <c r="AI18" s="98">
        <v>19584</v>
      </c>
      <c r="AJ18" s="98">
        <v>25</v>
      </c>
      <c r="AK18" s="98">
        <v>16319.999999999998</v>
      </c>
      <c r="AL18" s="98">
        <v>27</v>
      </c>
      <c r="AM18" s="98">
        <v>17625.599999999999</v>
      </c>
      <c r="AN18" s="98">
        <v>31</v>
      </c>
      <c r="AO18" s="98">
        <v>20236.8</v>
      </c>
      <c r="AP18" s="98">
        <v>32</v>
      </c>
      <c r="AQ18" s="98">
        <v>20889.599999999999</v>
      </c>
      <c r="AR18" s="98">
        <v>27</v>
      </c>
      <c r="AS18" s="98">
        <v>17625.599999999999</v>
      </c>
      <c r="AT18" s="98">
        <v>25</v>
      </c>
      <c r="AU18" s="98">
        <v>16319.999999999998</v>
      </c>
      <c r="AV18" s="98">
        <v>25</v>
      </c>
      <c r="AW18" s="98">
        <v>16319.999999999998</v>
      </c>
      <c r="AX18" s="98">
        <v>31</v>
      </c>
      <c r="AY18" s="98">
        <v>20236.8</v>
      </c>
      <c r="AZ18" s="98">
        <v>32</v>
      </c>
      <c r="BA18" s="98">
        <v>20889.599999999999</v>
      </c>
      <c r="BB18" s="98">
        <v>25</v>
      </c>
      <c r="BC18" s="98">
        <v>16319.999999999998</v>
      </c>
      <c r="BD18" s="98">
        <v>19</v>
      </c>
      <c r="BE18" s="98">
        <v>12403.199999999999</v>
      </c>
      <c r="BF18" s="98">
        <v>30</v>
      </c>
      <c r="BG18" s="98">
        <v>19584</v>
      </c>
      <c r="BH18" s="98">
        <v>24</v>
      </c>
      <c r="BI18" s="98">
        <v>15667.199999999999</v>
      </c>
      <c r="BJ18" s="98">
        <v>26</v>
      </c>
      <c r="BK18" s="98">
        <v>16972.8</v>
      </c>
      <c r="BL18" s="98">
        <v>25</v>
      </c>
      <c r="BM18" s="98">
        <v>16319.999999999998</v>
      </c>
      <c r="BN18" s="98">
        <v>32</v>
      </c>
      <c r="BO18" s="98">
        <v>20889.599999999999</v>
      </c>
      <c r="BP18" s="98">
        <v>23</v>
      </c>
      <c r="BQ18" s="98">
        <v>15014.4</v>
      </c>
      <c r="BR18" s="98">
        <v>36</v>
      </c>
      <c r="BS18" s="98">
        <v>23500.799999999999</v>
      </c>
      <c r="BT18" s="98">
        <v>32</v>
      </c>
      <c r="BU18" s="98">
        <v>20889.599999999999</v>
      </c>
      <c r="BV18" s="98">
        <v>25</v>
      </c>
      <c r="BW18" s="98">
        <v>16319.999999999998</v>
      </c>
      <c r="BX18" s="98">
        <v>29</v>
      </c>
      <c r="BY18" s="98">
        <v>18931.199999999997</v>
      </c>
      <c r="BZ18" s="98">
        <v>30</v>
      </c>
      <c r="CA18" s="98">
        <v>19584</v>
      </c>
      <c r="CB18" s="98">
        <v>27</v>
      </c>
      <c r="CC18" s="98">
        <v>17625.599999999999</v>
      </c>
      <c r="CD18" s="98">
        <v>28</v>
      </c>
      <c r="CE18" s="98">
        <v>18278.399999999998</v>
      </c>
      <c r="CF18" s="98">
        <v>22</v>
      </c>
      <c r="CG18" s="98">
        <v>14361.599999999999</v>
      </c>
      <c r="CH18" s="98">
        <v>34</v>
      </c>
      <c r="CI18" s="98">
        <v>22195.199999999997</v>
      </c>
      <c r="CJ18" s="98">
        <v>33</v>
      </c>
      <c r="CK18" s="98">
        <v>21542.399999999998</v>
      </c>
      <c r="CL18" s="98">
        <v>21.694285358591969</v>
      </c>
      <c r="CM18" s="98">
        <v>14162.029482088836</v>
      </c>
      <c r="CN18" s="98">
        <v>40</v>
      </c>
      <c r="CO18" s="98">
        <v>26112</v>
      </c>
      <c r="CP18" s="98">
        <v>33</v>
      </c>
      <c r="CQ18" s="98">
        <v>21542.399999999998</v>
      </c>
      <c r="CR18" s="98">
        <v>19</v>
      </c>
      <c r="CS18" s="98">
        <v>12403.199999999999</v>
      </c>
      <c r="CT18" s="98">
        <v>33</v>
      </c>
      <c r="CU18" s="98">
        <v>21542.399999999998</v>
      </c>
    </row>
    <row r="19" spans="2:99">
      <c r="C19" s="97" t="s">
        <v>186</v>
      </c>
      <c r="D19" s="98">
        <v>18</v>
      </c>
      <c r="E19" s="98">
        <v>5940</v>
      </c>
      <c r="F19" s="98">
        <v>27</v>
      </c>
      <c r="G19" s="98">
        <v>8910</v>
      </c>
      <c r="H19" s="98">
        <v>22</v>
      </c>
      <c r="I19" s="98">
        <v>7260</v>
      </c>
      <c r="J19" s="98">
        <v>29</v>
      </c>
      <c r="K19" s="98">
        <v>9570</v>
      </c>
      <c r="L19" s="98">
        <v>27</v>
      </c>
      <c r="M19" s="98">
        <v>8910</v>
      </c>
      <c r="N19" s="98">
        <v>27</v>
      </c>
      <c r="O19" s="98">
        <v>8910</v>
      </c>
      <c r="P19" s="98">
        <v>29</v>
      </c>
      <c r="Q19" s="98">
        <v>9570</v>
      </c>
      <c r="R19" s="98">
        <v>18</v>
      </c>
      <c r="S19" s="98">
        <v>5940</v>
      </c>
      <c r="T19" s="98">
        <v>24</v>
      </c>
      <c r="U19" s="98">
        <v>7920</v>
      </c>
      <c r="V19" s="98">
        <v>30</v>
      </c>
      <c r="W19" s="98">
        <v>9900</v>
      </c>
      <c r="X19" s="98">
        <v>29</v>
      </c>
      <c r="Y19" s="98">
        <v>9570</v>
      </c>
      <c r="Z19" s="98">
        <v>20</v>
      </c>
      <c r="AA19" s="98">
        <v>6600</v>
      </c>
      <c r="AB19" s="98">
        <v>32</v>
      </c>
      <c r="AC19" s="98">
        <v>10560</v>
      </c>
      <c r="AD19" s="98">
        <v>32</v>
      </c>
      <c r="AE19" s="98">
        <v>10560</v>
      </c>
      <c r="AF19" s="98">
        <v>22</v>
      </c>
      <c r="AG19" s="98">
        <v>7260</v>
      </c>
      <c r="AH19" s="98">
        <v>33</v>
      </c>
      <c r="AI19" s="98">
        <v>10890</v>
      </c>
      <c r="AJ19" s="98">
        <v>27</v>
      </c>
      <c r="AK19" s="98">
        <v>8910</v>
      </c>
      <c r="AL19" s="98">
        <v>25</v>
      </c>
      <c r="AM19" s="98">
        <v>8250</v>
      </c>
      <c r="AN19" s="98">
        <v>28</v>
      </c>
      <c r="AO19" s="98">
        <v>9240</v>
      </c>
      <c r="AP19" s="98">
        <v>32</v>
      </c>
      <c r="AQ19" s="98">
        <v>10560</v>
      </c>
      <c r="AR19" s="98">
        <v>24</v>
      </c>
      <c r="AS19" s="98">
        <v>7920</v>
      </c>
      <c r="AT19" s="98">
        <v>27</v>
      </c>
      <c r="AU19" s="98">
        <v>8910</v>
      </c>
      <c r="AV19" s="98">
        <v>28</v>
      </c>
      <c r="AW19" s="98">
        <v>9240</v>
      </c>
      <c r="AX19" s="98">
        <v>38</v>
      </c>
      <c r="AY19" s="98">
        <v>12540</v>
      </c>
      <c r="AZ19" s="98">
        <v>31</v>
      </c>
      <c r="BA19" s="98">
        <v>10230</v>
      </c>
      <c r="BB19" s="98">
        <v>28</v>
      </c>
      <c r="BC19" s="98">
        <v>9240</v>
      </c>
      <c r="BD19" s="98">
        <v>23</v>
      </c>
      <c r="BE19" s="98">
        <v>7590</v>
      </c>
      <c r="BF19" s="98">
        <v>30</v>
      </c>
      <c r="BG19" s="98">
        <v>9900</v>
      </c>
      <c r="BH19" s="98">
        <v>26</v>
      </c>
      <c r="BI19" s="98">
        <v>8580</v>
      </c>
      <c r="BJ19" s="98">
        <v>23</v>
      </c>
      <c r="BK19" s="98">
        <v>7590</v>
      </c>
      <c r="BL19" s="98">
        <v>23</v>
      </c>
      <c r="BM19" s="98">
        <v>7590</v>
      </c>
      <c r="BN19" s="98">
        <v>33</v>
      </c>
      <c r="BO19" s="98">
        <v>10890</v>
      </c>
      <c r="BP19" s="98">
        <v>24</v>
      </c>
      <c r="BQ19" s="98">
        <v>7920</v>
      </c>
      <c r="BR19" s="98">
        <v>34</v>
      </c>
      <c r="BS19" s="98">
        <v>11220</v>
      </c>
      <c r="BT19" s="98">
        <v>36</v>
      </c>
      <c r="BU19" s="98">
        <v>11880</v>
      </c>
      <c r="BV19" s="98">
        <v>25</v>
      </c>
      <c r="BW19" s="98">
        <v>8250</v>
      </c>
      <c r="BX19" s="98">
        <v>31</v>
      </c>
      <c r="BY19" s="98">
        <v>10230</v>
      </c>
      <c r="BZ19" s="98">
        <v>30</v>
      </c>
      <c r="CA19" s="98">
        <v>9900</v>
      </c>
      <c r="CB19" s="98">
        <v>27</v>
      </c>
      <c r="CC19" s="98">
        <v>8910</v>
      </c>
      <c r="CD19" s="98">
        <v>30</v>
      </c>
      <c r="CE19" s="98">
        <v>9900</v>
      </c>
      <c r="CF19" s="98">
        <v>20</v>
      </c>
      <c r="CG19" s="98">
        <v>6600</v>
      </c>
      <c r="CH19" s="98">
        <v>38</v>
      </c>
      <c r="CI19" s="98">
        <v>12540</v>
      </c>
      <c r="CJ19" s="98">
        <v>34</v>
      </c>
      <c r="CK19" s="98">
        <v>11220</v>
      </c>
      <c r="CL19" s="98">
        <v>22.598213915199967</v>
      </c>
      <c r="CM19" s="98">
        <v>7457.4105920159891</v>
      </c>
      <c r="CN19" s="98">
        <v>37</v>
      </c>
      <c r="CO19" s="98">
        <v>12210</v>
      </c>
      <c r="CP19" s="98">
        <v>39</v>
      </c>
      <c r="CQ19" s="98">
        <v>12870</v>
      </c>
      <c r="CR19" s="98">
        <v>22</v>
      </c>
      <c r="CS19" s="98">
        <v>7260</v>
      </c>
      <c r="CT19" s="98">
        <v>35</v>
      </c>
      <c r="CU19" s="98">
        <v>11550</v>
      </c>
    </row>
    <row r="20" spans="2:99">
      <c r="B20" s="97" t="s">
        <v>127</v>
      </c>
      <c r="C20" s="97" t="s">
        <v>187</v>
      </c>
      <c r="D20" s="98">
        <v>30</v>
      </c>
      <c r="E20" s="98">
        <v>8604</v>
      </c>
      <c r="F20" s="98">
        <v>42</v>
      </c>
      <c r="G20" s="98">
        <v>12045.6</v>
      </c>
      <c r="H20" s="98">
        <v>37</v>
      </c>
      <c r="I20" s="98">
        <v>10611.6</v>
      </c>
      <c r="J20" s="98">
        <v>54</v>
      </c>
      <c r="K20" s="98">
        <v>15487.2</v>
      </c>
      <c r="L20" s="98">
        <v>57</v>
      </c>
      <c r="M20" s="98">
        <v>16347.6</v>
      </c>
      <c r="N20" s="98">
        <v>43</v>
      </c>
      <c r="O20" s="98">
        <v>12332.4</v>
      </c>
      <c r="P20" s="98">
        <v>43</v>
      </c>
      <c r="Q20" s="98">
        <v>12332.4</v>
      </c>
      <c r="R20" s="98">
        <v>62</v>
      </c>
      <c r="S20" s="98">
        <v>17781.600000000002</v>
      </c>
      <c r="T20" s="98">
        <v>44</v>
      </c>
      <c r="U20" s="98">
        <v>12619.2</v>
      </c>
      <c r="V20" s="98">
        <v>58</v>
      </c>
      <c r="W20" s="98">
        <v>16634.400000000001</v>
      </c>
      <c r="X20" s="98">
        <v>43</v>
      </c>
      <c r="Y20" s="98">
        <v>12332.4</v>
      </c>
      <c r="Z20" s="98">
        <v>48</v>
      </c>
      <c r="AA20" s="98">
        <v>13766.400000000001</v>
      </c>
      <c r="AB20" s="98">
        <v>38</v>
      </c>
      <c r="AC20" s="98">
        <v>10898.4</v>
      </c>
      <c r="AD20" s="98">
        <v>31</v>
      </c>
      <c r="AE20" s="98">
        <v>8890.8000000000011</v>
      </c>
      <c r="AF20" s="98">
        <v>32</v>
      </c>
      <c r="AG20" s="98">
        <v>9177.6</v>
      </c>
      <c r="AH20" s="98">
        <v>57</v>
      </c>
      <c r="AI20" s="98">
        <v>16347.6</v>
      </c>
      <c r="AJ20" s="98">
        <v>57</v>
      </c>
      <c r="AK20" s="98">
        <v>16347.6</v>
      </c>
      <c r="AL20" s="98">
        <v>46</v>
      </c>
      <c r="AM20" s="98">
        <v>13192.800000000001</v>
      </c>
      <c r="AN20" s="98">
        <v>64</v>
      </c>
      <c r="AO20" s="98">
        <v>18355.2</v>
      </c>
      <c r="AP20" s="98">
        <v>53</v>
      </c>
      <c r="AQ20" s="98">
        <v>15200.400000000001</v>
      </c>
      <c r="AR20" s="98">
        <v>66</v>
      </c>
      <c r="AS20" s="98">
        <v>18928.8</v>
      </c>
      <c r="AT20" s="98">
        <v>62</v>
      </c>
      <c r="AU20" s="98">
        <v>17781.600000000002</v>
      </c>
      <c r="AV20" s="98">
        <v>35</v>
      </c>
      <c r="AW20" s="98">
        <v>10038</v>
      </c>
      <c r="AX20" s="98">
        <v>47</v>
      </c>
      <c r="AY20" s="98">
        <v>13479.6</v>
      </c>
      <c r="AZ20" s="98">
        <v>38</v>
      </c>
      <c r="BA20" s="98">
        <v>10898.4</v>
      </c>
      <c r="BB20" s="98">
        <v>36</v>
      </c>
      <c r="BC20" s="98">
        <v>10324.800000000001</v>
      </c>
      <c r="BD20" s="98">
        <v>53</v>
      </c>
      <c r="BE20" s="98">
        <v>15200.400000000001</v>
      </c>
      <c r="BF20" s="98">
        <v>49</v>
      </c>
      <c r="BG20" s="98">
        <v>14053.2</v>
      </c>
      <c r="BH20" s="98">
        <v>49</v>
      </c>
      <c r="BI20" s="98">
        <v>14053.2</v>
      </c>
      <c r="BJ20" s="98">
        <v>48</v>
      </c>
      <c r="BK20" s="98">
        <v>13766.400000000001</v>
      </c>
      <c r="BL20" s="98">
        <v>36</v>
      </c>
      <c r="BM20" s="98">
        <v>10324.800000000001</v>
      </c>
      <c r="BN20" s="98">
        <v>38</v>
      </c>
      <c r="BO20" s="98">
        <v>10898.4</v>
      </c>
      <c r="BP20" s="98">
        <v>62</v>
      </c>
      <c r="BQ20" s="98">
        <v>17781.600000000002</v>
      </c>
      <c r="BR20" s="98">
        <v>51</v>
      </c>
      <c r="BS20" s="98">
        <v>14626.800000000001</v>
      </c>
      <c r="BT20" s="98">
        <v>60</v>
      </c>
      <c r="BU20" s="98">
        <v>17208</v>
      </c>
      <c r="BV20" s="98">
        <v>46</v>
      </c>
      <c r="BW20" s="98">
        <v>13192.800000000001</v>
      </c>
      <c r="BX20" s="98">
        <v>73</v>
      </c>
      <c r="BY20" s="98">
        <v>20936.400000000001</v>
      </c>
      <c r="BZ20" s="98">
        <v>60</v>
      </c>
      <c r="CA20" s="98">
        <v>17208</v>
      </c>
      <c r="CB20" s="98">
        <v>63</v>
      </c>
      <c r="CC20" s="98">
        <v>18068.400000000001</v>
      </c>
      <c r="CD20" s="98">
        <v>48</v>
      </c>
      <c r="CE20" s="98">
        <v>13766.400000000001</v>
      </c>
      <c r="CF20" s="98">
        <v>42</v>
      </c>
      <c r="CG20" s="98">
        <v>12045.6</v>
      </c>
      <c r="CH20" s="98">
        <v>34</v>
      </c>
      <c r="CI20" s="98">
        <v>9751.2000000000007</v>
      </c>
      <c r="CJ20" s="98">
        <v>45</v>
      </c>
      <c r="CK20" s="98">
        <v>12906</v>
      </c>
      <c r="CL20" s="98">
        <v>41.580713603967936</v>
      </c>
      <c r="CM20" s="98">
        <v>11925.348661618005</v>
      </c>
      <c r="CN20" s="98">
        <v>60</v>
      </c>
      <c r="CO20" s="98">
        <v>17208</v>
      </c>
      <c r="CP20" s="98">
        <v>57</v>
      </c>
      <c r="CQ20" s="98">
        <v>16347.6</v>
      </c>
      <c r="CR20" s="98">
        <v>54</v>
      </c>
      <c r="CS20" s="98">
        <v>15487.2</v>
      </c>
      <c r="CT20" s="98">
        <v>60</v>
      </c>
      <c r="CU20" s="98">
        <v>17208</v>
      </c>
    </row>
    <row r="21" spans="2:99">
      <c r="C21" s="97" t="s">
        <v>188</v>
      </c>
      <c r="D21" s="98">
        <v>31</v>
      </c>
      <c r="E21" s="98">
        <v>1934.3999999999999</v>
      </c>
      <c r="F21" s="98">
        <v>43</v>
      </c>
      <c r="G21" s="98">
        <v>2683.2</v>
      </c>
      <c r="H21" s="98">
        <v>33</v>
      </c>
      <c r="I21" s="98">
        <v>2059.1999999999998</v>
      </c>
      <c r="J21" s="98">
        <v>49</v>
      </c>
      <c r="K21" s="98">
        <v>3057.6</v>
      </c>
      <c r="L21" s="98">
        <v>66</v>
      </c>
      <c r="M21" s="98">
        <v>4118.3999999999996</v>
      </c>
      <c r="N21" s="98">
        <v>47</v>
      </c>
      <c r="O21" s="98">
        <v>2932.7999999999997</v>
      </c>
      <c r="P21" s="98">
        <v>44</v>
      </c>
      <c r="Q21" s="98">
        <v>2745.6</v>
      </c>
      <c r="R21" s="98">
        <v>63</v>
      </c>
      <c r="S21" s="98">
        <v>3931.2</v>
      </c>
      <c r="T21" s="98">
        <v>51</v>
      </c>
      <c r="U21" s="98">
        <v>3182.4</v>
      </c>
      <c r="V21" s="98">
        <v>65</v>
      </c>
      <c r="W21" s="98">
        <v>4056</v>
      </c>
      <c r="X21" s="98">
        <v>43</v>
      </c>
      <c r="Y21" s="98">
        <v>2683.2</v>
      </c>
      <c r="Z21" s="98">
        <v>45</v>
      </c>
      <c r="AA21" s="98">
        <v>2808</v>
      </c>
      <c r="AB21" s="98">
        <v>46</v>
      </c>
      <c r="AC21" s="98">
        <v>2870.4</v>
      </c>
      <c r="AD21" s="98">
        <v>36</v>
      </c>
      <c r="AE21" s="98">
        <v>2246.4</v>
      </c>
      <c r="AF21" s="98">
        <v>35</v>
      </c>
      <c r="AG21" s="98">
        <v>2184</v>
      </c>
      <c r="AH21" s="98">
        <v>54</v>
      </c>
      <c r="AI21" s="98">
        <v>3369.6</v>
      </c>
      <c r="AJ21" s="98">
        <v>61</v>
      </c>
      <c r="AK21" s="98">
        <v>3806.4</v>
      </c>
      <c r="AL21" s="98">
        <v>47</v>
      </c>
      <c r="AM21" s="98">
        <v>2932.7999999999997</v>
      </c>
      <c r="AN21" s="98">
        <v>67</v>
      </c>
      <c r="AO21" s="98">
        <v>4180.8</v>
      </c>
      <c r="AP21" s="98">
        <v>56</v>
      </c>
      <c r="AQ21" s="98">
        <v>3494.4</v>
      </c>
      <c r="AR21" s="98">
        <v>69</v>
      </c>
      <c r="AS21" s="98">
        <v>4305.5999999999995</v>
      </c>
      <c r="AT21" s="98">
        <v>59</v>
      </c>
      <c r="AU21" s="98">
        <v>3681.6</v>
      </c>
      <c r="AV21" s="98">
        <v>42</v>
      </c>
      <c r="AW21" s="98">
        <v>2620.7999999999997</v>
      </c>
      <c r="AX21" s="98">
        <v>47</v>
      </c>
      <c r="AY21" s="98">
        <v>2932.7999999999997</v>
      </c>
      <c r="AZ21" s="98">
        <v>37</v>
      </c>
      <c r="BA21" s="98">
        <v>2308.7999999999997</v>
      </c>
      <c r="BB21" s="98">
        <v>41</v>
      </c>
      <c r="BC21" s="98">
        <v>2558.4</v>
      </c>
      <c r="BD21" s="98">
        <v>57</v>
      </c>
      <c r="BE21" s="98">
        <v>3556.7999999999997</v>
      </c>
      <c r="BF21" s="98">
        <v>47</v>
      </c>
      <c r="BG21" s="98">
        <v>2932.7999999999997</v>
      </c>
      <c r="BH21" s="98">
        <v>47</v>
      </c>
      <c r="BI21" s="98">
        <v>2932.7999999999997</v>
      </c>
      <c r="BJ21" s="98">
        <v>55</v>
      </c>
      <c r="BK21" s="98">
        <v>3432</v>
      </c>
      <c r="BL21" s="98">
        <v>40</v>
      </c>
      <c r="BM21" s="98">
        <v>2496</v>
      </c>
      <c r="BN21" s="98">
        <v>36</v>
      </c>
      <c r="BO21" s="98">
        <v>2246.4</v>
      </c>
      <c r="BP21" s="98">
        <v>64</v>
      </c>
      <c r="BQ21" s="98">
        <v>3993.6</v>
      </c>
      <c r="BR21" s="98">
        <v>59</v>
      </c>
      <c r="BS21" s="98">
        <v>3681.6</v>
      </c>
      <c r="BT21" s="98">
        <v>57</v>
      </c>
      <c r="BU21" s="98">
        <v>3556.7999999999997</v>
      </c>
      <c r="BV21" s="98">
        <v>47</v>
      </c>
      <c r="BW21" s="98">
        <v>2932.7999999999997</v>
      </c>
      <c r="BX21" s="98">
        <v>76</v>
      </c>
      <c r="BY21" s="98">
        <v>4742.3999999999996</v>
      </c>
      <c r="BZ21" s="98">
        <v>63</v>
      </c>
      <c r="CA21" s="98">
        <v>3931.2</v>
      </c>
      <c r="CB21" s="98">
        <v>68</v>
      </c>
      <c r="CC21" s="98">
        <v>4243.2</v>
      </c>
      <c r="CD21" s="98">
        <v>47</v>
      </c>
      <c r="CE21" s="98">
        <v>2932.7999999999997</v>
      </c>
      <c r="CF21" s="98">
        <v>41</v>
      </c>
      <c r="CG21" s="98">
        <v>2558.4</v>
      </c>
      <c r="CH21" s="98">
        <v>38</v>
      </c>
      <c r="CI21" s="98">
        <v>2371.1999999999998</v>
      </c>
      <c r="CJ21" s="98">
        <v>49</v>
      </c>
      <c r="CK21" s="98">
        <v>3057.6</v>
      </c>
      <c r="CL21" s="98">
        <v>45.196427830399934</v>
      </c>
      <c r="CM21" s="98">
        <v>2820.257096616956</v>
      </c>
      <c r="CN21" s="98">
        <v>66</v>
      </c>
      <c r="CO21" s="98">
        <v>4118.3999999999996</v>
      </c>
      <c r="CP21" s="98">
        <v>60</v>
      </c>
      <c r="CQ21" s="98">
        <v>3744</v>
      </c>
      <c r="CR21" s="98">
        <v>47</v>
      </c>
      <c r="CS21" s="98">
        <v>2932.7999999999997</v>
      </c>
      <c r="CT21" s="98">
        <v>69</v>
      </c>
      <c r="CU21" s="98">
        <v>4305.5999999999995</v>
      </c>
    </row>
    <row r="22" spans="2:99">
      <c r="C22" s="97" t="s">
        <v>189</v>
      </c>
      <c r="D22" s="98">
        <v>34</v>
      </c>
      <c r="E22" s="98">
        <v>6364.7999999999993</v>
      </c>
      <c r="F22" s="98">
        <v>41</v>
      </c>
      <c r="G22" s="98">
        <v>7675.2</v>
      </c>
      <c r="H22" s="98">
        <v>32</v>
      </c>
      <c r="I22" s="98">
        <v>5990.4</v>
      </c>
      <c r="J22" s="98">
        <v>50</v>
      </c>
      <c r="K22" s="98">
        <v>9360</v>
      </c>
      <c r="L22" s="98">
        <v>60</v>
      </c>
      <c r="M22" s="98">
        <v>11232</v>
      </c>
      <c r="N22" s="98">
        <v>44</v>
      </c>
      <c r="O22" s="98">
        <v>8236.7999999999993</v>
      </c>
      <c r="P22" s="98">
        <v>49</v>
      </c>
      <c r="Q22" s="98">
        <v>9172.7999999999993</v>
      </c>
      <c r="R22" s="98">
        <v>62</v>
      </c>
      <c r="S22" s="98">
        <v>11606.4</v>
      </c>
      <c r="T22" s="98">
        <v>45</v>
      </c>
      <c r="U22" s="98">
        <v>8424</v>
      </c>
      <c r="V22" s="98">
        <v>55</v>
      </c>
      <c r="W22" s="98">
        <v>10296</v>
      </c>
      <c r="X22" s="98">
        <v>48</v>
      </c>
      <c r="Y22" s="98">
        <v>8985.5999999999985</v>
      </c>
      <c r="Z22" s="98">
        <v>45</v>
      </c>
      <c r="AA22" s="98">
        <v>8424</v>
      </c>
      <c r="AB22" s="98">
        <v>42</v>
      </c>
      <c r="AC22" s="98">
        <v>7862.4</v>
      </c>
      <c r="AD22" s="98">
        <v>30</v>
      </c>
      <c r="AE22" s="98">
        <v>5616</v>
      </c>
      <c r="AF22" s="98">
        <v>31</v>
      </c>
      <c r="AG22" s="98">
        <v>5803.2</v>
      </c>
      <c r="AH22" s="98">
        <v>59</v>
      </c>
      <c r="AI22" s="98">
        <v>11044.8</v>
      </c>
      <c r="AJ22" s="98">
        <v>54</v>
      </c>
      <c r="AK22" s="98">
        <v>10108.799999999999</v>
      </c>
      <c r="AL22" s="98">
        <v>45</v>
      </c>
      <c r="AM22" s="98">
        <v>8424</v>
      </c>
      <c r="AN22" s="98">
        <v>59</v>
      </c>
      <c r="AO22" s="98">
        <v>11044.8</v>
      </c>
      <c r="AP22" s="98">
        <v>61</v>
      </c>
      <c r="AQ22" s="98">
        <v>11419.199999999999</v>
      </c>
      <c r="AR22" s="98">
        <v>65</v>
      </c>
      <c r="AS22" s="98">
        <v>12168</v>
      </c>
      <c r="AT22" s="98">
        <v>63</v>
      </c>
      <c r="AU22" s="98">
        <v>11793.599999999999</v>
      </c>
      <c r="AV22" s="98">
        <v>41</v>
      </c>
      <c r="AW22" s="98">
        <v>7675.2</v>
      </c>
      <c r="AX22" s="98">
        <v>49</v>
      </c>
      <c r="AY22" s="98">
        <v>9172.7999999999993</v>
      </c>
      <c r="AZ22" s="98">
        <v>42</v>
      </c>
      <c r="BA22" s="98">
        <v>7862.4</v>
      </c>
      <c r="BB22" s="98">
        <v>36</v>
      </c>
      <c r="BC22" s="98">
        <v>6739.2</v>
      </c>
      <c r="BD22" s="98">
        <v>50</v>
      </c>
      <c r="BE22" s="98">
        <v>9360</v>
      </c>
      <c r="BF22" s="98">
        <v>47</v>
      </c>
      <c r="BG22" s="98">
        <v>8798.4</v>
      </c>
      <c r="BH22" s="98">
        <v>52</v>
      </c>
      <c r="BI22" s="98">
        <v>9734.4</v>
      </c>
      <c r="BJ22" s="98">
        <v>52</v>
      </c>
      <c r="BK22" s="98">
        <v>9734.4</v>
      </c>
      <c r="BL22" s="98">
        <v>37</v>
      </c>
      <c r="BM22" s="98">
        <v>6926.4</v>
      </c>
      <c r="BN22" s="98">
        <v>35</v>
      </c>
      <c r="BO22" s="98">
        <v>6552</v>
      </c>
      <c r="BP22" s="98">
        <v>59</v>
      </c>
      <c r="BQ22" s="98">
        <v>11044.8</v>
      </c>
      <c r="BR22" s="98">
        <v>57</v>
      </c>
      <c r="BS22" s="98">
        <v>10670.4</v>
      </c>
      <c r="BT22" s="98">
        <v>54</v>
      </c>
      <c r="BU22" s="98">
        <v>10108.799999999999</v>
      </c>
      <c r="BV22" s="98">
        <v>52</v>
      </c>
      <c r="BW22" s="98">
        <v>9734.4</v>
      </c>
      <c r="BX22" s="98">
        <v>65</v>
      </c>
      <c r="BY22" s="98">
        <v>12168</v>
      </c>
      <c r="BZ22" s="98">
        <v>56</v>
      </c>
      <c r="CA22" s="98">
        <v>10483.199999999999</v>
      </c>
      <c r="CB22" s="98">
        <v>64</v>
      </c>
      <c r="CC22" s="98">
        <v>11980.8</v>
      </c>
      <c r="CD22" s="98">
        <v>50</v>
      </c>
      <c r="CE22" s="98">
        <v>9360</v>
      </c>
      <c r="CF22" s="98">
        <v>39</v>
      </c>
      <c r="CG22" s="98">
        <v>7300.7999999999993</v>
      </c>
      <c r="CH22" s="98">
        <v>37</v>
      </c>
      <c r="CI22" s="98">
        <v>6926.4</v>
      </c>
      <c r="CJ22" s="98">
        <v>46</v>
      </c>
      <c r="CK22" s="98">
        <v>8611.1999999999989</v>
      </c>
      <c r="CL22" s="98">
        <v>45.196427830399934</v>
      </c>
      <c r="CM22" s="98">
        <v>8460.7712898508671</v>
      </c>
      <c r="CN22" s="98">
        <v>62</v>
      </c>
      <c r="CO22" s="98">
        <v>11606.4</v>
      </c>
      <c r="CP22" s="98">
        <v>59</v>
      </c>
      <c r="CQ22" s="98">
        <v>11044.8</v>
      </c>
      <c r="CR22" s="98">
        <v>50</v>
      </c>
      <c r="CS22" s="98">
        <v>9360</v>
      </c>
      <c r="CT22" s="98">
        <v>57</v>
      </c>
      <c r="CU22" s="98">
        <v>10670.4</v>
      </c>
    </row>
    <row r="23" spans="2:99">
      <c r="C23" s="97" t="s">
        <v>190</v>
      </c>
      <c r="D23" s="98">
        <v>35</v>
      </c>
      <c r="E23" s="98">
        <v>10290</v>
      </c>
      <c r="F23" s="98">
        <v>38</v>
      </c>
      <c r="G23" s="98">
        <v>11172</v>
      </c>
      <c r="H23" s="98">
        <v>32</v>
      </c>
      <c r="I23" s="98">
        <v>9408</v>
      </c>
      <c r="J23" s="98">
        <v>53</v>
      </c>
      <c r="K23" s="98">
        <v>15582</v>
      </c>
      <c r="L23" s="98">
        <v>64</v>
      </c>
      <c r="M23" s="98">
        <v>18816</v>
      </c>
      <c r="N23" s="98">
        <v>49</v>
      </c>
      <c r="O23" s="98">
        <v>14406</v>
      </c>
      <c r="P23" s="98">
        <v>48</v>
      </c>
      <c r="Q23" s="98">
        <v>14112</v>
      </c>
      <c r="R23" s="98">
        <v>65</v>
      </c>
      <c r="S23" s="98">
        <v>19110</v>
      </c>
      <c r="T23" s="98">
        <v>50</v>
      </c>
      <c r="U23" s="98">
        <v>14700</v>
      </c>
      <c r="V23" s="98">
        <v>64</v>
      </c>
      <c r="W23" s="98">
        <v>18816</v>
      </c>
      <c r="X23" s="98">
        <v>43</v>
      </c>
      <c r="Y23" s="98">
        <v>12642</v>
      </c>
      <c r="Z23" s="98">
        <v>46</v>
      </c>
      <c r="AA23" s="98">
        <v>13524</v>
      </c>
      <c r="AB23" s="98">
        <v>45</v>
      </c>
      <c r="AC23" s="98">
        <v>13230</v>
      </c>
      <c r="AD23" s="98">
        <v>35</v>
      </c>
      <c r="AE23" s="98">
        <v>10290</v>
      </c>
      <c r="AF23" s="98">
        <v>38</v>
      </c>
      <c r="AG23" s="98">
        <v>11172</v>
      </c>
      <c r="AH23" s="98">
        <v>55</v>
      </c>
      <c r="AI23" s="98">
        <v>16170</v>
      </c>
      <c r="AJ23" s="98">
        <v>56</v>
      </c>
      <c r="AK23" s="98">
        <v>16464</v>
      </c>
      <c r="AL23" s="98">
        <v>40</v>
      </c>
      <c r="AM23" s="98">
        <v>11760</v>
      </c>
      <c r="AN23" s="98">
        <v>64</v>
      </c>
      <c r="AO23" s="98">
        <v>18816</v>
      </c>
      <c r="AP23" s="98">
        <v>50</v>
      </c>
      <c r="AQ23" s="98">
        <v>14700</v>
      </c>
      <c r="AR23" s="98">
        <v>63</v>
      </c>
      <c r="AS23" s="98">
        <v>18522</v>
      </c>
      <c r="AT23" s="98">
        <v>54</v>
      </c>
      <c r="AU23" s="98">
        <v>15876</v>
      </c>
      <c r="AV23" s="98">
        <v>37</v>
      </c>
      <c r="AW23" s="98">
        <v>10878</v>
      </c>
      <c r="AX23" s="98">
        <v>53</v>
      </c>
      <c r="AY23" s="98">
        <v>15582</v>
      </c>
      <c r="AZ23" s="98">
        <v>42</v>
      </c>
      <c r="BA23" s="98">
        <v>12348</v>
      </c>
      <c r="BB23" s="98">
        <v>34</v>
      </c>
      <c r="BC23" s="98">
        <v>9996</v>
      </c>
      <c r="BD23" s="98">
        <v>51</v>
      </c>
      <c r="BE23" s="98">
        <v>14994</v>
      </c>
      <c r="BF23" s="98">
        <v>49</v>
      </c>
      <c r="BG23" s="98">
        <v>14406</v>
      </c>
      <c r="BH23" s="98">
        <v>52</v>
      </c>
      <c r="BI23" s="98">
        <v>15288</v>
      </c>
      <c r="BJ23" s="98">
        <v>47</v>
      </c>
      <c r="BK23" s="98">
        <v>13818</v>
      </c>
      <c r="BL23" s="98">
        <v>39</v>
      </c>
      <c r="BM23" s="98">
        <v>11466</v>
      </c>
      <c r="BN23" s="98">
        <v>36</v>
      </c>
      <c r="BO23" s="98">
        <v>10584</v>
      </c>
      <c r="BP23" s="98">
        <v>60</v>
      </c>
      <c r="BQ23" s="98">
        <v>17640</v>
      </c>
      <c r="BR23" s="98">
        <v>54</v>
      </c>
      <c r="BS23" s="98">
        <v>15876</v>
      </c>
      <c r="BT23" s="98">
        <v>52</v>
      </c>
      <c r="BU23" s="98">
        <v>15288</v>
      </c>
      <c r="BV23" s="98">
        <v>53</v>
      </c>
      <c r="BW23" s="98">
        <v>15582</v>
      </c>
      <c r="BX23" s="98">
        <v>67</v>
      </c>
      <c r="BY23" s="98">
        <v>19698</v>
      </c>
      <c r="BZ23" s="98">
        <v>59</v>
      </c>
      <c r="CA23" s="98">
        <v>17346</v>
      </c>
      <c r="CB23" s="98">
        <v>65</v>
      </c>
      <c r="CC23" s="98">
        <v>19110</v>
      </c>
      <c r="CD23" s="98">
        <v>48</v>
      </c>
      <c r="CE23" s="98">
        <v>14112</v>
      </c>
      <c r="CF23" s="98">
        <v>42</v>
      </c>
      <c r="CG23" s="98">
        <v>12348</v>
      </c>
      <c r="CH23" s="98">
        <v>34</v>
      </c>
      <c r="CI23" s="98">
        <v>9996</v>
      </c>
      <c r="CJ23" s="98">
        <v>45</v>
      </c>
      <c r="CK23" s="98">
        <v>13230</v>
      </c>
      <c r="CL23" s="98">
        <v>40.676785047359942</v>
      </c>
      <c r="CM23" s="98">
        <v>11958.974803923824</v>
      </c>
      <c r="CN23" s="98">
        <v>67</v>
      </c>
      <c r="CO23" s="98">
        <v>19698</v>
      </c>
      <c r="CP23" s="98">
        <v>60</v>
      </c>
      <c r="CQ23" s="98">
        <v>17640</v>
      </c>
      <c r="CR23" s="98">
        <v>46</v>
      </c>
      <c r="CS23" s="98">
        <v>13524</v>
      </c>
      <c r="CT23" s="98">
        <v>61</v>
      </c>
      <c r="CU23" s="98">
        <v>17934</v>
      </c>
    </row>
    <row r="24" spans="2:99">
      <c r="C24" s="97" t="s">
        <v>191</v>
      </c>
      <c r="D24" s="98">
        <v>33</v>
      </c>
      <c r="E24" s="98">
        <v>12117.6</v>
      </c>
      <c r="F24" s="98">
        <v>40</v>
      </c>
      <c r="G24" s="98">
        <v>14688</v>
      </c>
      <c r="H24" s="98">
        <v>33</v>
      </c>
      <c r="I24" s="98">
        <v>12117.6</v>
      </c>
      <c r="J24" s="98">
        <v>52</v>
      </c>
      <c r="K24" s="98">
        <v>19094.399999999998</v>
      </c>
      <c r="L24" s="98">
        <v>64</v>
      </c>
      <c r="M24" s="98">
        <v>23500.799999999999</v>
      </c>
      <c r="N24" s="98">
        <v>41</v>
      </c>
      <c r="O24" s="98">
        <v>15055.199999999999</v>
      </c>
      <c r="P24" s="98">
        <v>48</v>
      </c>
      <c r="Q24" s="98">
        <v>17625.599999999999</v>
      </c>
      <c r="R24" s="98">
        <v>67</v>
      </c>
      <c r="S24" s="98">
        <v>24602.399999999998</v>
      </c>
      <c r="T24" s="98">
        <v>42</v>
      </c>
      <c r="U24" s="98">
        <v>15422.4</v>
      </c>
      <c r="V24" s="98">
        <v>61</v>
      </c>
      <c r="W24" s="98">
        <v>22399.200000000001</v>
      </c>
      <c r="X24" s="98">
        <v>42</v>
      </c>
      <c r="Y24" s="98">
        <v>15422.4</v>
      </c>
      <c r="Z24" s="98">
        <v>42</v>
      </c>
      <c r="AA24" s="98">
        <v>15422.4</v>
      </c>
      <c r="AB24" s="98">
        <v>41</v>
      </c>
      <c r="AC24" s="98">
        <v>15055.199999999999</v>
      </c>
      <c r="AD24" s="98">
        <v>35</v>
      </c>
      <c r="AE24" s="98">
        <v>12852</v>
      </c>
      <c r="AF24" s="98">
        <v>37</v>
      </c>
      <c r="AG24" s="98">
        <v>13586.4</v>
      </c>
      <c r="AH24" s="98">
        <v>56</v>
      </c>
      <c r="AI24" s="98">
        <v>20563.2</v>
      </c>
      <c r="AJ24" s="98">
        <v>56</v>
      </c>
      <c r="AK24" s="98">
        <v>20563.2</v>
      </c>
      <c r="AL24" s="98">
        <v>40</v>
      </c>
      <c r="AM24" s="98">
        <v>14688</v>
      </c>
      <c r="AN24" s="98">
        <v>59</v>
      </c>
      <c r="AO24" s="98">
        <v>21664.799999999999</v>
      </c>
      <c r="AP24" s="98">
        <v>53</v>
      </c>
      <c r="AQ24" s="98">
        <v>19461.599999999999</v>
      </c>
      <c r="AR24" s="98">
        <v>70</v>
      </c>
      <c r="AS24" s="98">
        <v>25704</v>
      </c>
      <c r="AT24" s="98">
        <v>56</v>
      </c>
      <c r="AU24" s="98">
        <v>20563.2</v>
      </c>
      <c r="AV24" s="98">
        <v>42</v>
      </c>
      <c r="AW24" s="98">
        <v>15422.4</v>
      </c>
      <c r="AX24" s="98">
        <v>53</v>
      </c>
      <c r="AY24" s="98">
        <v>19461.599999999999</v>
      </c>
      <c r="AZ24" s="98">
        <v>35</v>
      </c>
      <c r="BA24" s="98">
        <v>12852</v>
      </c>
      <c r="BB24" s="98">
        <v>41</v>
      </c>
      <c r="BC24" s="98">
        <v>15055.199999999999</v>
      </c>
      <c r="BD24" s="98">
        <v>58</v>
      </c>
      <c r="BE24" s="98">
        <v>21297.599999999999</v>
      </c>
      <c r="BF24" s="98">
        <v>43</v>
      </c>
      <c r="BG24" s="98">
        <v>15789.6</v>
      </c>
      <c r="BH24" s="98">
        <v>46</v>
      </c>
      <c r="BI24" s="98">
        <v>16891.2</v>
      </c>
      <c r="BJ24" s="98">
        <v>48</v>
      </c>
      <c r="BK24" s="98">
        <v>17625.599999999999</v>
      </c>
      <c r="BL24" s="98">
        <v>41</v>
      </c>
      <c r="BM24" s="98">
        <v>15055.199999999999</v>
      </c>
      <c r="BN24" s="98">
        <v>36</v>
      </c>
      <c r="BO24" s="98">
        <v>13219.199999999999</v>
      </c>
      <c r="BP24" s="98">
        <v>55</v>
      </c>
      <c r="BQ24" s="98">
        <v>20196</v>
      </c>
      <c r="BR24" s="98">
        <v>52</v>
      </c>
      <c r="BS24" s="98">
        <v>19094.399999999998</v>
      </c>
      <c r="BT24" s="98">
        <v>59</v>
      </c>
      <c r="BU24" s="98">
        <v>21664.799999999999</v>
      </c>
      <c r="BV24" s="98">
        <v>45</v>
      </c>
      <c r="BW24" s="98">
        <v>16524</v>
      </c>
      <c r="BX24" s="98">
        <v>70</v>
      </c>
      <c r="BY24" s="98">
        <v>25704</v>
      </c>
      <c r="BZ24" s="98">
        <v>60</v>
      </c>
      <c r="CA24" s="98">
        <v>22032</v>
      </c>
      <c r="CB24" s="98">
        <v>66</v>
      </c>
      <c r="CC24" s="98">
        <v>24235.200000000001</v>
      </c>
      <c r="CD24" s="98">
        <v>44</v>
      </c>
      <c r="CE24" s="98">
        <v>16156.8</v>
      </c>
      <c r="CF24" s="98">
        <v>45</v>
      </c>
      <c r="CG24" s="98">
        <v>16524</v>
      </c>
      <c r="CH24" s="98">
        <v>32</v>
      </c>
      <c r="CI24" s="98">
        <v>11750.4</v>
      </c>
      <c r="CJ24" s="98">
        <v>40</v>
      </c>
      <c r="CK24" s="98">
        <v>14688</v>
      </c>
      <c r="CL24" s="98">
        <v>47.90821350022393</v>
      </c>
      <c r="CM24" s="98">
        <v>17591.895997282227</v>
      </c>
      <c r="CN24" s="98">
        <v>64</v>
      </c>
      <c r="CO24" s="98">
        <v>23500.799999999999</v>
      </c>
      <c r="CP24" s="98">
        <v>69</v>
      </c>
      <c r="CQ24" s="98">
        <v>25336.799999999999</v>
      </c>
      <c r="CR24" s="98">
        <v>51</v>
      </c>
      <c r="CS24" s="98">
        <v>18727.2</v>
      </c>
      <c r="CT24" s="98">
        <v>59</v>
      </c>
      <c r="CU24" s="98">
        <v>21664.799999999999</v>
      </c>
    </row>
    <row r="25" spans="2:99">
      <c r="C25" s="97" t="s">
        <v>192</v>
      </c>
      <c r="D25" s="98">
        <v>33</v>
      </c>
      <c r="E25" s="98">
        <v>17503.2</v>
      </c>
      <c r="F25" s="98">
        <v>36</v>
      </c>
      <c r="G25" s="98">
        <v>19094.399999999998</v>
      </c>
      <c r="H25" s="98">
        <v>30</v>
      </c>
      <c r="I25" s="98">
        <v>15912</v>
      </c>
      <c r="J25" s="98">
        <v>47</v>
      </c>
      <c r="K25" s="98">
        <v>24928.799999999999</v>
      </c>
      <c r="L25" s="98">
        <v>65</v>
      </c>
      <c r="M25" s="98">
        <v>34476</v>
      </c>
      <c r="N25" s="98">
        <v>42</v>
      </c>
      <c r="O25" s="98">
        <v>22276.799999999999</v>
      </c>
      <c r="P25" s="98">
        <v>45</v>
      </c>
      <c r="Q25" s="98">
        <v>23868</v>
      </c>
      <c r="R25" s="98">
        <v>56</v>
      </c>
      <c r="S25" s="98">
        <v>29702.399999999998</v>
      </c>
      <c r="T25" s="98">
        <v>45</v>
      </c>
      <c r="U25" s="98">
        <v>23868</v>
      </c>
      <c r="V25" s="98">
        <v>58</v>
      </c>
      <c r="W25" s="98">
        <v>30763.199999999997</v>
      </c>
      <c r="X25" s="98">
        <v>41</v>
      </c>
      <c r="Y25" s="98">
        <v>21746.399999999998</v>
      </c>
      <c r="Z25" s="98">
        <v>43</v>
      </c>
      <c r="AA25" s="98">
        <v>22807.200000000001</v>
      </c>
      <c r="AB25" s="98">
        <v>41</v>
      </c>
      <c r="AC25" s="98">
        <v>21746.399999999998</v>
      </c>
      <c r="AD25" s="98">
        <v>33</v>
      </c>
      <c r="AE25" s="98">
        <v>17503.2</v>
      </c>
      <c r="AF25" s="98">
        <v>36</v>
      </c>
      <c r="AG25" s="98">
        <v>19094.399999999998</v>
      </c>
      <c r="AH25" s="98">
        <v>60</v>
      </c>
      <c r="AI25" s="98">
        <v>31824</v>
      </c>
      <c r="AJ25" s="98">
        <v>51</v>
      </c>
      <c r="AK25" s="98">
        <v>27050.399999999998</v>
      </c>
      <c r="AL25" s="98">
        <v>39</v>
      </c>
      <c r="AM25" s="98">
        <v>20685.599999999999</v>
      </c>
      <c r="AN25" s="98">
        <v>64</v>
      </c>
      <c r="AO25" s="98">
        <v>33945.599999999999</v>
      </c>
      <c r="AP25" s="98">
        <v>50</v>
      </c>
      <c r="AQ25" s="98">
        <v>26520</v>
      </c>
      <c r="AR25" s="98">
        <v>63</v>
      </c>
      <c r="AS25" s="98">
        <v>33415.199999999997</v>
      </c>
      <c r="AT25" s="98">
        <v>51</v>
      </c>
      <c r="AU25" s="98">
        <v>27050.399999999998</v>
      </c>
      <c r="AV25" s="98">
        <v>37</v>
      </c>
      <c r="AW25" s="98">
        <v>19624.8</v>
      </c>
      <c r="AX25" s="98">
        <v>52</v>
      </c>
      <c r="AY25" s="98">
        <v>27580.799999999999</v>
      </c>
      <c r="AZ25" s="98">
        <v>36</v>
      </c>
      <c r="BA25" s="98">
        <v>19094.399999999998</v>
      </c>
      <c r="BB25" s="98">
        <v>35</v>
      </c>
      <c r="BC25" s="98">
        <v>18564</v>
      </c>
      <c r="BD25" s="98">
        <v>50</v>
      </c>
      <c r="BE25" s="98">
        <v>26520</v>
      </c>
      <c r="BF25" s="98">
        <v>42</v>
      </c>
      <c r="BG25" s="98">
        <v>22276.799999999999</v>
      </c>
      <c r="BH25" s="98">
        <v>45</v>
      </c>
      <c r="BI25" s="98">
        <v>23868</v>
      </c>
      <c r="BJ25" s="98">
        <v>48</v>
      </c>
      <c r="BK25" s="98">
        <v>25459.199999999997</v>
      </c>
      <c r="BL25" s="98">
        <v>37</v>
      </c>
      <c r="BM25" s="98">
        <v>19624.8</v>
      </c>
      <c r="BN25" s="98">
        <v>34</v>
      </c>
      <c r="BO25" s="98">
        <v>18033.599999999999</v>
      </c>
      <c r="BP25" s="98">
        <v>55</v>
      </c>
      <c r="BQ25" s="98">
        <v>29172</v>
      </c>
      <c r="BR25" s="98">
        <v>53</v>
      </c>
      <c r="BS25" s="98">
        <v>28111.199999999997</v>
      </c>
      <c r="BT25" s="98">
        <v>61</v>
      </c>
      <c r="BU25" s="98">
        <v>32354.399999999998</v>
      </c>
      <c r="BV25" s="98">
        <v>47</v>
      </c>
      <c r="BW25" s="98">
        <v>24928.799999999999</v>
      </c>
      <c r="BX25" s="98">
        <v>60</v>
      </c>
      <c r="BY25" s="98">
        <v>31824</v>
      </c>
      <c r="BZ25" s="98">
        <v>59</v>
      </c>
      <c r="CA25" s="98">
        <v>31293.599999999999</v>
      </c>
      <c r="CB25" s="98">
        <v>68</v>
      </c>
      <c r="CC25" s="98">
        <v>36067.199999999997</v>
      </c>
      <c r="CD25" s="98">
        <v>46</v>
      </c>
      <c r="CE25" s="98">
        <v>24398.399999999998</v>
      </c>
      <c r="CF25" s="98">
        <v>44</v>
      </c>
      <c r="CG25" s="98">
        <v>23337.599999999999</v>
      </c>
      <c r="CH25" s="98">
        <v>33</v>
      </c>
      <c r="CI25" s="98">
        <v>17503.2</v>
      </c>
      <c r="CJ25" s="98">
        <v>42</v>
      </c>
      <c r="CK25" s="98">
        <v>22276.799999999999</v>
      </c>
      <c r="CL25" s="98">
        <v>45.196427830399934</v>
      </c>
      <c r="CM25" s="98">
        <v>23972.185321244124</v>
      </c>
      <c r="CN25" s="98">
        <v>64</v>
      </c>
      <c r="CO25" s="98">
        <v>33945.599999999999</v>
      </c>
      <c r="CP25" s="98">
        <v>57</v>
      </c>
      <c r="CQ25" s="98">
        <v>30232.799999999999</v>
      </c>
      <c r="CR25" s="98">
        <v>46</v>
      </c>
      <c r="CS25" s="98">
        <v>24398.399999999998</v>
      </c>
      <c r="CT25" s="98">
        <v>66</v>
      </c>
      <c r="CU25" s="98">
        <v>35006.400000000001</v>
      </c>
    </row>
    <row r="26" spans="2:99">
      <c r="C26" s="97" t="s">
        <v>193</v>
      </c>
      <c r="D26" s="98">
        <v>35</v>
      </c>
      <c r="E26" s="98">
        <v>17010</v>
      </c>
      <c r="F26" s="98">
        <v>40</v>
      </c>
      <c r="G26" s="98">
        <v>19440</v>
      </c>
      <c r="H26" s="98">
        <v>34</v>
      </c>
      <c r="I26" s="98">
        <v>16524</v>
      </c>
      <c r="J26" s="98">
        <v>48</v>
      </c>
      <c r="K26" s="98">
        <v>23328</v>
      </c>
      <c r="L26" s="98">
        <v>57</v>
      </c>
      <c r="M26" s="98">
        <v>27702</v>
      </c>
      <c r="N26" s="98">
        <v>41</v>
      </c>
      <c r="O26" s="98">
        <v>19926</v>
      </c>
      <c r="P26" s="98">
        <v>42</v>
      </c>
      <c r="Q26" s="98">
        <v>20412</v>
      </c>
      <c r="R26" s="98">
        <v>67</v>
      </c>
      <c r="S26" s="98">
        <v>32562</v>
      </c>
      <c r="T26" s="98">
        <v>48</v>
      </c>
      <c r="U26" s="98">
        <v>23328</v>
      </c>
      <c r="V26" s="98">
        <v>54</v>
      </c>
      <c r="W26" s="98">
        <v>26244</v>
      </c>
      <c r="X26" s="98">
        <v>45</v>
      </c>
      <c r="Y26" s="98">
        <v>21870</v>
      </c>
      <c r="Z26" s="98">
        <v>39</v>
      </c>
      <c r="AA26" s="98">
        <v>18954</v>
      </c>
      <c r="AB26" s="98">
        <v>41</v>
      </c>
      <c r="AC26" s="98">
        <v>19926</v>
      </c>
      <c r="AD26" s="98">
        <v>30</v>
      </c>
      <c r="AE26" s="98">
        <v>14580</v>
      </c>
      <c r="AF26" s="98">
        <v>32</v>
      </c>
      <c r="AG26" s="98">
        <v>15552</v>
      </c>
      <c r="AH26" s="98">
        <v>60</v>
      </c>
      <c r="AI26" s="98">
        <v>29160</v>
      </c>
      <c r="AJ26" s="98">
        <v>55</v>
      </c>
      <c r="AK26" s="98">
        <v>26730</v>
      </c>
      <c r="AL26" s="98">
        <v>44</v>
      </c>
      <c r="AM26" s="98">
        <v>21384</v>
      </c>
      <c r="AN26" s="98">
        <v>58</v>
      </c>
      <c r="AO26" s="98">
        <v>28188</v>
      </c>
      <c r="AP26" s="98">
        <v>59</v>
      </c>
      <c r="AQ26" s="98">
        <v>28674</v>
      </c>
      <c r="AR26" s="98">
        <v>59</v>
      </c>
      <c r="AS26" s="98">
        <v>28674</v>
      </c>
      <c r="AT26" s="98">
        <v>57</v>
      </c>
      <c r="AU26" s="98">
        <v>27702</v>
      </c>
      <c r="AV26" s="98">
        <v>38</v>
      </c>
      <c r="AW26" s="98">
        <v>18468</v>
      </c>
      <c r="AX26" s="98">
        <v>51</v>
      </c>
      <c r="AY26" s="98">
        <v>24786</v>
      </c>
      <c r="AZ26" s="98">
        <v>41</v>
      </c>
      <c r="BA26" s="98">
        <v>19926</v>
      </c>
      <c r="BB26" s="98">
        <v>40</v>
      </c>
      <c r="BC26" s="98">
        <v>19440</v>
      </c>
      <c r="BD26" s="98">
        <v>58</v>
      </c>
      <c r="BE26" s="98">
        <v>28188</v>
      </c>
      <c r="BF26" s="98">
        <v>42</v>
      </c>
      <c r="BG26" s="98">
        <v>20412</v>
      </c>
      <c r="BH26" s="98">
        <v>53</v>
      </c>
      <c r="BI26" s="98">
        <v>25758</v>
      </c>
      <c r="BJ26" s="98">
        <v>46</v>
      </c>
      <c r="BK26" s="98">
        <v>22356</v>
      </c>
      <c r="BL26" s="98">
        <v>40</v>
      </c>
      <c r="BM26" s="98">
        <v>19440</v>
      </c>
      <c r="BN26" s="98">
        <v>34</v>
      </c>
      <c r="BO26" s="98">
        <v>16524</v>
      </c>
      <c r="BP26" s="98">
        <v>57</v>
      </c>
      <c r="BQ26" s="98">
        <v>27702</v>
      </c>
      <c r="BR26" s="98">
        <v>51</v>
      </c>
      <c r="BS26" s="98">
        <v>24786</v>
      </c>
      <c r="BT26" s="98">
        <v>53</v>
      </c>
      <c r="BU26" s="98">
        <v>25758</v>
      </c>
      <c r="BV26" s="98">
        <v>43</v>
      </c>
      <c r="BW26" s="98">
        <v>20898</v>
      </c>
      <c r="BX26" s="98">
        <v>68</v>
      </c>
      <c r="BY26" s="98">
        <v>33048</v>
      </c>
      <c r="BZ26" s="98">
        <v>59</v>
      </c>
      <c r="CA26" s="98">
        <v>28674</v>
      </c>
      <c r="CB26" s="98">
        <v>63</v>
      </c>
      <c r="CC26" s="98">
        <v>30618</v>
      </c>
      <c r="CD26" s="98">
        <v>51</v>
      </c>
      <c r="CE26" s="98">
        <v>24786</v>
      </c>
      <c r="CF26" s="98">
        <v>39</v>
      </c>
      <c r="CG26" s="98">
        <v>18954</v>
      </c>
      <c r="CH26" s="98">
        <v>35</v>
      </c>
      <c r="CI26" s="98">
        <v>17010</v>
      </c>
      <c r="CJ26" s="98">
        <v>47</v>
      </c>
      <c r="CK26" s="98">
        <v>22842</v>
      </c>
      <c r="CL26" s="98">
        <v>47.004284943615936</v>
      </c>
      <c r="CM26" s="98">
        <v>22844.082482597343</v>
      </c>
      <c r="CN26" s="98">
        <v>58</v>
      </c>
      <c r="CO26" s="98">
        <v>28188</v>
      </c>
      <c r="CP26" s="98">
        <v>65</v>
      </c>
      <c r="CQ26" s="98">
        <v>31590</v>
      </c>
      <c r="CR26" s="98">
        <v>52</v>
      </c>
      <c r="CS26" s="98">
        <v>25272</v>
      </c>
      <c r="CT26" s="98">
        <v>67</v>
      </c>
      <c r="CU26" s="98">
        <v>32562</v>
      </c>
    </row>
    <row r="27" spans="2:99">
      <c r="C27" s="97" t="s">
        <v>194</v>
      </c>
      <c r="D27" s="98">
        <v>35</v>
      </c>
      <c r="E27" s="98">
        <v>14952</v>
      </c>
      <c r="F27" s="98">
        <v>36</v>
      </c>
      <c r="G27" s="98">
        <v>15379.199999999999</v>
      </c>
      <c r="H27" s="98">
        <v>31</v>
      </c>
      <c r="I27" s="98">
        <v>13243.199999999999</v>
      </c>
      <c r="J27" s="98">
        <v>48</v>
      </c>
      <c r="K27" s="98">
        <v>20505.599999999999</v>
      </c>
      <c r="L27" s="98">
        <v>56</v>
      </c>
      <c r="M27" s="98">
        <v>23923.200000000001</v>
      </c>
      <c r="N27" s="98">
        <v>43</v>
      </c>
      <c r="O27" s="98">
        <v>18369.599999999999</v>
      </c>
      <c r="P27" s="98">
        <v>48</v>
      </c>
      <c r="Q27" s="98">
        <v>20505.599999999999</v>
      </c>
      <c r="R27" s="98">
        <v>66</v>
      </c>
      <c r="S27" s="98">
        <v>28195.200000000001</v>
      </c>
      <c r="T27" s="98">
        <v>45</v>
      </c>
      <c r="U27" s="98">
        <v>19224</v>
      </c>
      <c r="V27" s="98">
        <v>55</v>
      </c>
      <c r="W27" s="98">
        <v>23496</v>
      </c>
      <c r="X27" s="98">
        <v>43</v>
      </c>
      <c r="Y27" s="98">
        <v>18369.599999999999</v>
      </c>
      <c r="Z27" s="98">
        <v>46</v>
      </c>
      <c r="AA27" s="98">
        <v>19651.2</v>
      </c>
      <c r="AB27" s="98">
        <v>38</v>
      </c>
      <c r="AC27" s="98">
        <v>16233.6</v>
      </c>
      <c r="AD27" s="98">
        <v>32</v>
      </c>
      <c r="AE27" s="98">
        <v>13670.4</v>
      </c>
      <c r="AF27" s="98">
        <v>34</v>
      </c>
      <c r="AG27" s="98">
        <v>14524.8</v>
      </c>
      <c r="AH27" s="98">
        <v>58</v>
      </c>
      <c r="AI27" s="98">
        <v>24777.599999999999</v>
      </c>
      <c r="AJ27" s="98">
        <v>55</v>
      </c>
      <c r="AK27" s="98">
        <v>23496</v>
      </c>
      <c r="AL27" s="98">
        <v>40</v>
      </c>
      <c r="AM27" s="98">
        <v>17088</v>
      </c>
      <c r="AN27" s="98">
        <v>66</v>
      </c>
      <c r="AO27" s="98">
        <v>28195.200000000001</v>
      </c>
      <c r="AP27" s="98">
        <v>55</v>
      </c>
      <c r="AQ27" s="98">
        <v>23496</v>
      </c>
      <c r="AR27" s="98">
        <v>67</v>
      </c>
      <c r="AS27" s="98">
        <v>28622.399999999998</v>
      </c>
      <c r="AT27" s="98">
        <v>62</v>
      </c>
      <c r="AU27" s="98">
        <v>26486.399999999998</v>
      </c>
      <c r="AV27" s="98">
        <v>37</v>
      </c>
      <c r="AW27" s="98">
        <v>15806.4</v>
      </c>
      <c r="AX27" s="98">
        <v>45</v>
      </c>
      <c r="AY27" s="98">
        <v>19224</v>
      </c>
      <c r="AZ27" s="98">
        <v>36</v>
      </c>
      <c r="BA27" s="98">
        <v>15379.199999999999</v>
      </c>
      <c r="BB27" s="98">
        <v>38</v>
      </c>
      <c r="BC27" s="98">
        <v>16233.6</v>
      </c>
      <c r="BD27" s="98">
        <v>49</v>
      </c>
      <c r="BE27" s="98">
        <v>20932.8</v>
      </c>
      <c r="BF27" s="98">
        <v>42</v>
      </c>
      <c r="BG27" s="98">
        <v>17942.399999999998</v>
      </c>
      <c r="BH27" s="98">
        <v>52</v>
      </c>
      <c r="BI27" s="98">
        <v>22214.399999999998</v>
      </c>
      <c r="BJ27" s="98">
        <v>52</v>
      </c>
      <c r="BK27" s="98">
        <v>22214.399999999998</v>
      </c>
      <c r="BL27" s="98">
        <v>40</v>
      </c>
      <c r="BM27" s="98">
        <v>17088</v>
      </c>
      <c r="BN27" s="98">
        <v>36</v>
      </c>
      <c r="BO27" s="98">
        <v>15379.199999999999</v>
      </c>
      <c r="BP27" s="98">
        <v>56</v>
      </c>
      <c r="BQ27" s="98">
        <v>23923.200000000001</v>
      </c>
      <c r="BR27" s="98">
        <v>54</v>
      </c>
      <c r="BS27" s="98">
        <v>23068.799999999999</v>
      </c>
      <c r="BT27" s="98">
        <v>52</v>
      </c>
      <c r="BU27" s="98">
        <v>22214.399999999998</v>
      </c>
      <c r="BV27" s="98">
        <v>44</v>
      </c>
      <c r="BW27" s="98">
        <v>18796.8</v>
      </c>
      <c r="BX27" s="98">
        <v>72</v>
      </c>
      <c r="BY27" s="98">
        <v>30758.399999999998</v>
      </c>
      <c r="BZ27" s="98">
        <v>62</v>
      </c>
      <c r="CA27" s="98">
        <v>26486.399999999998</v>
      </c>
      <c r="CB27" s="98">
        <v>57</v>
      </c>
      <c r="CC27" s="98">
        <v>24350.399999999998</v>
      </c>
      <c r="CD27" s="98">
        <v>44</v>
      </c>
      <c r="CE27" s="98">
        <v>18796.8</v>
      </c>
      <c r="CF27" s="98">
        <v>46</v>
      </c>
      <c r="CG27" s="98">
        <v>19651.2</v>
      </c>
      <c r="CH27" s="98">
        <v>32</v>
      </c>
      <c r="CI27" s="98">
        <v>13670.4</v>
      </c>
      <c r="CJ27" s="98">
        <v>45</v>
      </c>
      <c r="CK27" s="98">
        <v>19224</v>
      </c>
      <c r="CL27" s="98">
        <v>47.90821350022393</v>
      </c>
      <c r="CM27" s="98">
        <v>20466.388807295662</v>
      </c>
      <c r="CN27" s="98">
        <v>66</v>
      </c>
      <c r="CO27" s="98">
        <v>28195.200000000001</v>
      </c>
      <c r="CP27" s="98">
        <v>66</v>
      </c>
      <c r="CQ27" s="98">
        <v>28195.200000000001</v>
      </c>
      <c r="CR27" s="98">
        <v>52</v>
      </c>
      <c r="CS27" s="98">
        <v>22214.399999999998</v>
      </c>
      <c r="CT27" s="98">
        <v>61</v>
      </c>
      <c r="CU27" s="98">
        <v>26059.200000000001</v>
      </c>
    </row>
    <row r="28" spans="2:99">
      <c r="C28" s="97" t="s">
        <v>195</v>
      </c>
      <c r="D28" s="98">
        <v>33</v>
      </c>
      <c r="E28" s="98">
        <v>24354</v>
      </c>
      <c r="F28" s="98">
        <v>35</v>
      </c>
      <c r="G28" s="98">
        <v>25830</v>
      </c>
      <c r="H28" s="98">
        <v>29</v>
      </c>
      <c r="I28" s="98">
        <v>21402</v>
      </c>
      <c r="J28" s="98">
        <v>47</v>
      </c>
      <c r="K28" s="98">
        <v>34686</v>
      </c>
      <c r="L28" s="98">
        <v>56</v>
      </c>
      <c r="M28" s="98">
        <v>41328</v>
      </c>
      <c r="N28" s="98">
        <v>44</v>
      </c>
      <c r="O28" s="98">
        <v>32472</v>
      </c>
      <c r="P28" s="98">
        <v>44</v>
      </c>
      <c r="Q28" s="98">
        <v>32472</v>
      </c>
      <c r="R28" s="98">
        <v>59</v>
      </c>
      <c r="S28" s="98">
        <v>43542</v>
      </c>
      <c r="T28" s="98">
        <v>48</v>
      </c>
      <c r="U28" s="98">
        <v>35424</v>
      </c>
      <c r="V28" s="98">
        <v>58</v>
      </c>
      <c r="W28" s="98">
        <v>42804</v>
      </c>
      <c r="X28" s="98">
        <v>40</v>
      </c>
      <c r="Y28" s="98">
        <v>29520</v>
      </c>
      <c r="Z28" s="98">
        <v>42</v>
      </c>
      <c r="AA28" s="98">
        <v>30996</v>
      </c>
      <c r="AB28" s="98">
        <v>42</v>
      </c>
      <c r="AC28" s="98">
        <v>30996</v>
      </c>
      <c r="AD28" s="98">
        <v>30</v>
      </c>
      <c r="AE28" s="98">
        <v>22140</v>
      </c>
      <c r="AF28" s="98">
        <v>30</v>
      </c>
      <c r="AG28" s="98">
        <v>22140</v>
      </c>
      <c r="AH28" s="98">
        <v>60</v>
      </c>
      <c r="AI28" s="98">
        <v>44280</v>
      </c>
      <c r="AJ28" s="98">
        <v>51</v>
      </c>
      <c r="AK28" s="98">
        <v>37638</v>
      </c>
      <c r="AL28" s="98">
        <v>37</v>
      </c>
      <c r="AM28" s="98">
        <v>27306</v>
      </c>
      <c r="AN28" s="98">
        <v>65</v>
      </c>
      <c r="AO28" s="98">
        <v>47970</v>
      </c>
      <c r="AP28" s="98">
        <v>52</v>
      </c>
      <c r="AQ28" s="98">
        <v>38376</v>
      </c>
      <c r="AR28" s="98">
        <v>67</v>
      </c>
      <c r="AS28" s="98">
        <v>49446</v>
      </c>
      <c r="AT28" s="98">
        <v>55</v>
      </c>
      <c r="AU28" s="98">
        <v>40590</v>
      </c>
      <c r="AV28" s="98">
        <v>39</v>
      </c>
      <c r="AW28" s="98">
        <v>28782</v>
      </c>
      <c r="AX28" s="98">
        <v>47</v>
      </c>
      <c r="AY28" s="98">
        <v>34686</v>
      </c>
      <c r="AZ28" s="98">
        <v>35</v>
      </c>
      <c r="BA28" s="98">
        <v>25830</v>
      </c>
      <c r="BB28" s="98">
        <v>39</v>
      </c>
      <c r="BC28" s="98">
        <v>28782</v>
      </c>
      <c r="BD28" s="98">
        <v>55</v>
      </c>
      <c r="BE28" s="98">
        <v>40590</v>
      </c>
      <c r="BF28" s="98">
        <v>43</v>
      </c>
      <c r="BG28" s="98">
        <v>31734</v>
      </c>
      <c r="BH28" s="98">
        <v>50</v>
      </c>
      <c r="BI28" s="98">
        <v>36900</v>
      </c>
      <c r="BJ28" s="98">
        <v>53</v>
      </c>
      <c r="BK28" s="98">
        <v>39114</v>
      </c>
      <c r="BL28" s="98">
        <v>36</v>
      </c>
      <c r="BM28" s="98">
        <v>26568</v>
      </c>
      <c r="BN28" s="98">
        <v>32</v>
      </c>
      <c r="BO28" s="98">
        <v>23616</v>
      </c>
      <c r="BP28" s="98">
        <v>60</v>
      </c>
      <c r="BQ28" s="98">
        <v>44280</v>
      </c>
      <c r="BR28" s="98">
        <v>48</v>
      </c>
      <c r="BS28" s="98">
        <v>35424</v>
      </c>
      <c r="BT28" s="98">
        <v>55</v>
      </c>
      <c r="BU28" s="98">
        <v>40590</v>
      </c>
      <c r="BV28" s="98">
        <v>48</v>
      </c>
      <c r="BW28" s="98">
        <v>35424</v>
      </c>
      <c r="BX28" s="98">
        <v>60</v>
      </c>
      <c r="BY28" s="98">
        <v>44280</v>
      </c>
      <c r="BZ28" s="98">
        <v>54</v>
      </c>
      <c r="CA28" s="98">
        <v>39852</v>
      </c>
      <c r="CB28" s="98">
        <v>62</v>
      </c>
      <c r="CC28" s="98">
        <v>45756</v>
      </c>
      <c r="CD28" s="98">
        <v>50</v>
      </c>
      <c r="CE28" s="98">
        <v>36900</v>
      </c>
      <c r="CF28" s="98">
        <v>38</v>
      </c>
      <c r="CG28" s="98">
        <v>28044</v>
      </c>
      <c r="CH28" s="98">
        <v>36</v>
      </c>
      <c r="CI28" s="98">
        <v>26568</v>
      </c>
      <c r="CJ28" s="98">
        <v>45</v>
      </c>
      <c r="CK28" s="98">
        <v>33210</v>
      </c>
      <c r="CL28" s="98">
        <v>42.484642160575937</v>
      </c>
      <c r="CM28" s="98">
        <v>31353.665914505043</v>
      </c>
      <c r="CN28" s="98">
        <v>62</v>
      </c>
      <c r="CO28" s="98">
        <v>45756</v>
      </c>
      <c r="CP28" s="98">
        <v>61</v>
      </c>
      <c r="CQ28" s="98">
        <v>45018</v>
      </c>
      <c r="CR28" s="98">
        <v>50</v>
      </c>
      <c r="CS28" s="98">
        <v>36900</v>
      </c>
      <c r="CT28" s="98">
        <v>63</v>
      </c>
      <c r="CU28" s="98">
        <v>46494</v>
      </c>
    </row>
    <row r="29" spans="2:99">
      <c r="C29" s="97" t="s">
        <v>196</v>
      </c>
      <c r="D29" s="98">
        <v>34</v>
      </c>
      <c r="E29" s="98">
        <v>11505.599999999999</v>
      </c>
      <c r="F29" s="98">
        <v>38</v>
      </c>
      <c r="G29" s="98">
        <v>12859.199999999999</v>
      </c>
      <c r="H29" s="98">
        <v>35</v>
      </c>
      <c r="I29" s="98">
        <v>11844</v>
      </c>
      <c r="J29" s="98">
        <v>49</v>
      </c>
      <c r="K29" s="98">
        <v>16581.599999999999</v>
      </c>
      <c r="L29" s="98">
        <v>58</v>
      </c>
      <c r="M29" s="98">
        <v>19627.199999999997</v>
      </c>
      <c r="N29" s="98">
        <v>40</v>
      </c>
      <c r="O29" s="98">
        <v>13536</v>
      </c>
      <c r="P29" s="98">
        <v>41</v>
      </c>
      <c r="Q29" s="98">
        <v>13874.4</v>
      </c>
      <c r="R29" s="98">
        <v>56</v>
      </c>
      <c r="S29" s="98">
        <v>18950.399999999998</v>
      </c>
      <c r="T29" s="98">
        <v>46</v>
      </c>
      <c r="U29" s="98">
        <v>15566.4</v>
      </c>
      <c r="V29" s="98">
        <v>59</v>
      </c>
      <c r="W29" s="98">
        <v>19965.599999999999</v>
      </c>
      <c r="X29" s="98">
        <v>45</v>
      </c>
      <c r="Y29" s="98">
        <v>15227.999999999998</v>
      </c>
      <c r="Z29" s="98">
        <v>41</v>
      </c>
      <c r="AA29" s="98">
        <v>13874.4</v>
      </c>
      <c r="AB29" s="98">
        <v>41</v>
      </c>
      <c r="AC29" s="98">
        <v>13874.4</v>
      </c>
      <c r="AD29" s="98">
        <v>30</v>
      </c>
      <c r="AE29" s="98">
        <v>10152</v>
      </c>
      <c r="AF29" s="98">
        <v>33</v>
      </c>
      <c r="AG29" s="98">
        <v>11167.199999999999</v>
      </c>
      <c r="AH29" s="98">
        <v>61</v>
      </c>
      <c r="AI29" s="98">
        <v>20642.399999999998</v>
      </c>
      <c r="AJ29" s="98">
        <v>60</v>
      </c>
      <c r="AK29" s="98">
        <v>20304</v>
      </c>
      <c r="AL29" s="98">
        <v>47</v>
      </c>
      <c r="AM29" s="98">
        <v>15904.8</v>
      </c>
      <c r="AN29" s="98">
        <v>63</v>
      </c>
      <c r="AO29" s="98">
        <v>21319.199999999997</v>
      </c>
      <c r="AP29" s="98">
        <v>54</v>
      </c>
      <c r="AQ29" s="98">
        <v>18273.599999999999</v>
      </c>
      <c r="AR29" s="98">
        <v>61</v>
      </c>
      <c r="AS29" s="98">
        <v>20642.399999999998</v>
      </c>
      <c r="AT29" s="98">
        <v>61</v>
      </c>
      <c r="AU29" s="98">
        <v>20642.399999999998</v>
      </c>
      <c r="AV29" s="98">
        <v>35</v>
      </c>
      <c r="AW29" s="98">
        <v>11844</v>
      </c>
      <c r="AX29" s="98">
        <v>54</v>
      </c>
      <c r="AY29" s="98">
        <v>18273.599999999999</v>
      </c>
      <c r="AZ29" s="98">
        <v>38</v>
      </c>
      <c r="BA29" s="98">
        <v>12859.199999999999</v>
      </c>
      <c r="BB29" s="98">
        <v>35</v>
      </c>
      <c r="BC29" s="98">
        <v>11844</v>
      </c>
      <c r="BD29" s="98">
        <v>53</v>
      </c>
      <c r="BE29" s="98">
        <v>17935.199999999997</v>
      </c>
      <c r="BF29" s="98">
        <v>47</v>
      </c>
      <c r="BG29" s="98">
        <v>15904.8</v>
      </c>
      <c r="BH29" s="98">
        <v>46</v>
      </c>
      <c r="BI29" s="98">
        <v>15566.4</v>
      </c>
      <c r="BJ29" s="98">
        <v>54</v>
      </c>
      <c r="BK29" s="98">
        <v>18273.599999999999</v>
      </c>
      <c r="BL29" s="98">
        <v>40</v>
      </c>
      <c r="BM29" s="98">
        <v>13536</v>
      </c>
      <c r="BN29" s="98">
        <v>40</v>
      </c>
      <c r="BO29" s="98">
        <v>13536</v>
      </c>
      <c r="BP29" s="98">
        <v>60</v>
      </c>
      <c r="BQ29" s="98">
        <v>20304</v>
      </c>
      <c r="BR29" s="98">
        <v>57</v>
      </c>
      <c r="BS29" s="98">
        <v>19288.8</v>
      </c>
      <c r="BT29" s="98">
        <v>61</v>
      </c>
      <c r="BU29" s="98">
        <v>20642.399999999998</v>
      </c>
      <c r="BV29" s="98">
        <v>48</v>
      </c>
      <c r="BW29" s="98">
        <v>16243.199999999999</v>
      </c>
      <c r="BX29" s="98">
        <v>74</v>
      </c>
      <c r="BY29" s="98">
        <v>25041.599999999999</v>
      </c>
      <c r="BZ29" s="98">
        <v>55</v>
      </c>
      <c r="CA29" s="98">
        <v>18612</v>
      </c>
      <c r="CB29" s="98">
        <v>59</v>
      </c>
      <c r="CC29" s="98">
        <v>19965.599999999999</v>
      </c>
      <c r="CD29" s="98">
        <v>46</v>
      </c>
      <c r="CE29" s="98">
        <v>15566.4</v>
      </c>
      <c r="CF29" s="98">
        <v>40</v>
      </c>
      <c r="CG29" s="98">
        <v>13536</v>
      </c>
      <c r="CH29" s="98">
        <v>38</v>
      </c>
      <c r="CI29" s="98">
        <v>12859.199999999999</v>
      </c>
      <c r="CJ29" s="98">
        <v>47</v>
      </c>
      <c r="CK29" s="98">
        <v>15904.8</v>
      </c>
      <c r="CL29" s="98">
        <v>47.004284943615936</v>
      </c>
      <c r="CM29" s="98">
        <v>15906.250024919631</v>
      </c>
      <c r="CN29" s="98">
        <v>64</v>
      </c>
      <c r="CO29" s="98">
        <v>21657.599999999999</v>
      </c>
      <c r="CP29" s="98">
        <v>59</v>
      </c>
      <c r="CQ29" s="98">
        <v>19965.599999999999</v>
      </c>
      <c r="CR29" s="98">
        <v>46</v>
      </c>
      <c r="CS29" s="98">
        <v>15566.4</v>
      </c>
      <c r="CT29" s="98">
        <v>64</v>
      </c>
      <c r="CU29" s="98">
        <v>21657.599999999999</v>
      </c>
    </row>
    <row r="30" spans="2:99">
      <c r="C30" s="97" t="s">
        <v>197</v>
      </c>
      <c r="D30" s="98">
        <v>34</v>
      </c>
      <c r="E30" s="98">
        <v>4732.7999999999993</v>
      </c>
      <c r="F30" s="98">
        <v>38</v>
      </c>
      <c r="G30" s="98">
        <v>5289.5999999999995</v>
      </c>
      <c r="H30" s="98">
        <v>37</v>
      </c>
      <c r="I30" s="98">
        <v>5150.3999999999996</v>
      </c>
      <c r="J30" s="98">
        <v>47</v>
      </c>
      <c r="K30" s="98">
        <v>6542.4</v>
      </c>
      <c r="L30" s="98">
        <v>57</v>
      </c>
      <c r="M30" s="98">
        <v>7934.4</v>
      </c>
      <c r="N30" s="98">
        <v>41</v>
      </c>
      <c r="O30" s="98">
        <v>5707.2</v>
      </c>
      <c r="P30" s="98">
        <v>47</v>
      </c>
      <c r="Q30" s="98">
        <v>6542.4</v>
      </c>
      <c r="R30" s="98">
        <v>66</v>
      </c>
      <c r="S30" s="98">
        <v>9187.1999999999989</v>
      </c>
      <c r="T30" s="98">
        <v>49</v>
      </c>
      <c r="U30" s="98">
        <v>6820.7999999999993</v>
      </c>
      <c r="V30" s="98">
        <v>56</v>
      </c>
      <c r="W30" s="98">
        <v>7795.1999999999989</v>
      </c>
      <c r="X30" s="98">
        <v>41</v>
      </c>
      <c r="Y30" s="98">
        <v>5707.2</v>
      </c>
      <c r="Z30" s="98">
        <v>42</v>
      </c>
      <c r="AA30" s="98">
        <v>5846.4</v>
      </c>
      <c r="AB30" s="98">
        <v>39</v>
      </c>
      <c r="AC30" s="98">
        <v>5428.7999999999993</v>
      </c>
      <c r="AD30" s="98">
        <v>30</v>
      </c>
      <c r="AE30" s="98">
        <v>4176</v>
      </c>
      <c r="AF30" s="98">
        <v>32</v>
      </c>
      <c r="AG30" s="98">
        <v>4454.3999999999996</v>
      </c>
      <c r="AH30" s="98">
        <v>57</v>
      </c>
      <c r="AI30" s="98">
        <v>7934.4</v>
      </c>
      <c r="AJ30" s="98">
        <v>54</v>
      </c>
      <c r="AK30" s="98">
        <v>7516.7999999999993</v>
      </c>
      <c r="AL30" s="98">
        <v>39</v>
      </c>
      <c r="AM30" s="98">
        <v>5428.7999999999993</v>
      </c>
      <c r="AN30" s="98">
        <v>65</v>
      </c>
      <c r="AO30" s="98">
        <v>9048</v>
      </c>
      <c r="AP30" s="98">
        <v>50</v>
      </c>
      <c r="AQ30" s="98">
        <v>6959.9999999999991</v>
      </c>
      <c r="AR30" s="98">
        <v>63</v>
      </c>
      <c r="AS30" s="98">
        <v>8769.5999999999985</v>
      </c>
      <c r="AT30" s="98">
        <v>62</v>
      </c>
      <c r="AU30" s="98">
        <v>8630.4</v>
      </c>
      <c r="AV30" s="98">
        <v>38</v>
      </c>
      <c r="AW30" s="98">
        <v>5289.5999999999995</v>
      </c>
      <c r="AX30" s="98">
        <v>55</v>
      </c>
      <c r="AY30" s="98">
        <v>7655.9999999999991</v>
      </c>
      <c r="AZ30" s="98">
        <v>42</v>
      </c>
      <c r="BA30" s="98">
        <v>5846.4</v>
      </c>
      <c r="BB30" s="98">
        <v>36</v>
      </c>
      <c r="BC30" s="98">
        <v>5011.2</v>
      </c>
      <c r="BD30" s="98">
        <v>59</v>
      </c>
      <c r="BE30" s="98">
        <v>8212.7999999999993</v>
      </c>
      <c r="BF30" s="98">
        <v>46</v>
      </c>
      <c r="BG30" s="98">
        <v>6403.2</v>
      </c>
      <c r="BH30" s="98">
        <v>52</v>
      </c>
      <c r="BI30" s="98">
        <v>7238.4</v>
      </c>
      <c r="BJ30" s="98">
        <v>54</v>
      </c>
      <c r="BK30" s="98">
        <v>7516.7999999999993</v>
      </c>
      <c r="BL30" s="98">
        <v>36</v>
      </c>
      <c r="BM30" s="98">
        <v>5011.2</v>
      </c>
      <c r="BN30" s="98">
        <v>36</v>
      </c>
      <c r="BO30" s="98">
        <v>5011.2</v>
      </c>
      <c r="BP30" s="98">
        <v>61</v>
      </c>
      <c r="BQ30" s="98">
        <v>8491.1999999999989</v>
      </c>
      <c r="BR30" s="98">
        <v>58</v>
      </c>
      <c r="BS30" s="98">
        <v>8073.5999999999995</v>
      </c>
      <c r="BT30" s="98">
        <v>54</v>
      </c>
      <c r="BU30" s="98">
        <v>7516.7999999999993</v>
      </c>
      <c r="BV30" s="98">
        <v>49</v>
      </c>
      <c r="BW30" s="98">
        <v>6820.7999999999993</v>
      </c>
      <c r="BX30" s="98">
        <v>68</v>
      </c>
      <c r="BY30" s="98">
        <v>9465.5999999999985</v>
      </c>
      <c r="BZ30" s="98">
        <v>55</v>
      </c>
      <c r="CA30" s="98">
        <v>7655.9999999999991</v>
      </c>
      <c r="CB30" s="98">
        <v>65</v>
      </c>
      <c r="CC30" s="98">
        <v>9048</v>
      </c>
      <c r="CD30" s="98">
        <v>51</v>
      </c>
      <c r="CE30" s="98">
        <v>7099.2</v>
      </c>
      <c r="CF30" s="98">
        <v>46</v>
      </c>
      <c r="CG30" s="98">
        <v>6403.2</v>
      </c>
      <c r="CH30" s="98">
        <v>37</v>
      </c>
      <c r="CI30" s="98">
        <v>5150.3999999999996</v>
      </c>
      <c r="CJ30" s="98">
        <v>45</v>
      </c>
      <c r="CK30" s="98">
        <v>6263.9999999999991</v>
      </c>
      <c r="CL30" s="98">
        <v>43.388570717183939</v>
      </c>
      <c r="CM30" s="98">
        <v>6039.6890438320033</v>
      </c>
      <c r="CN30" s="98">
        <v>62</v>
      </c>
      <c r="CO30" s="98">
        <v>8630.4</v>
      </c>
      <c r="CP30" s="98">
        <v>59</v>
      </c>
      <c r="CQ30" s="98">
        <v>8212.7999999999993</v>
      </c>
      <c r="CR30" s="98">
        <v>49</v>
      </c>
      <c r="CS30" s="98">
        <v>6820.7999999999993</v>
      </c>
      <c r="CT30" s="98">
        <v>59</v>
      </c>
      <c r="CU30" s="98">
        <v>8212.7999999999993</v>
      </c>
    </row>
    <row r="31" spans="2:99">
      <c r="C31" s="97" t="s">
        <v>198</v>
      </c>
      <c r="D31" s="98">
        <v>34</v>
      </c>
      <c r="E31" s="98">
        <v>11587.2</v>
      </c>
      <c r="F31" s="98">
        <v>41</v>
      </c>
      <c r="G31" s="98">
        <v>13972.800000000001</v>
      </c>
      <c r="H31" s="98">
        <v>30</v>
      </c>
      <c r="I31" s="98">
        <v>10224</v>
      </c>
      <c r="J31" s="98">
        <v>53</v>
      </c>
      <c r="K31" s="98">
        <v>18062.400000000001</v>
      </c>
      <c r="L31" s="98">
        <v>66</v>
      </c>
      <c r="M31" s="98">
        <v>22492.799999999999</v>
      </c>
      <c r="N31" s="98">
        <v>49</v>
      </c>
      <c r="O31" s="98">
        <v>16699.2</v>
      </c>
      <c r="P31" s="98">
        <v>48</v>
      </c>
      <c r="Q31" s="98">
        <v>16358.400000000001</v>
      </c>
      <c r="R31" s="98">
        <v>66</v>
      </c>
      <c r="S31" s="98">
        <v>22492.799999999999</v>
      </c>
      <c r="T31" s="98">
        <v>49</v>
      </c>
      <c r="U31" s="98">
        <v>16699.2</v>
      </c>
      <c r="V31" s="98">
        <v>62</v>
      </c>
      <c r="W31" s="98">
        <v>21129.600000000002</v>
      </c>
      <c r="X31" s="98">
        <v>43</v>
      </c>
      <c r="Y31" s="98">
        <v>14654.4</v>
      </c>
      <c r="Z31" s="98">
        <v>40</v>
      </c>
      <c r="AA31" s="98">
        <v>13632</v>
      </c>
      <c r="AB31" s="98">
        <v>42</v>
      </c>
      <c r="AC31" s="98">
        <v>14313.6</v>
      </c>
      <c r="AD31" s="98">
        <v>35</v>
      </c>
      <c r="AE31" s="98">
        <v>11928</v>
      </c>
      <c r="AF31" s="98">
        <v>36</v>
      </c>
      <c r="AG31" s="98">
        <v>12268.800000000001</v>
      </c>
      <c r="AH31" s="98">
        <v>59</v>
      </c>
      <c r="AI31" s="98">
        <v>20107.2</v>
      </c>
      <c r="AJ31" s="98">
        <v>58</v>
      </c>
      <c r="AK31" s="98">
        <v>19766.400000000001</v>
      </c>
      <c r="AL31" s="98">
        <v>40</v>
      </c>
      <c r="AM31" s="98">
        <v>13632</v>
      </c>
      <c r="AN31" s="98">
        <v>60</v>
      </c>
      <c r="AO31" s="98">
        <v>20448</v>
      </c>
      <c r="AP31" s="98">
        <v>50</v>
      </c>
      <c r="AQ31" s="98">
        <v>17040</v>
      </c>
      <c r="AR31" s="98">
        <v>65</v>
      </c>
      <c r="AS31" s="98">
        <v>22152</v>
      </c>
      <c r="AT31" s="98">
        <v>62</v>
      </c>
      <c r="AU31" s="98">
        <v>21129.600000000002</v>
      </c>
      <c r="AV31" s="98">
        <v>42</v>
      </c>
      <c r="AW31" s="98">
        <v>14313.6</v>
      </c>
      <c r="AX31" s="98">
        <v>53</v>
      </c>
      <c r="AY31" s="98">
        <v>18062.400000000001</v>
      </c>
      <c r="AZ31" s="98">
        <v>40</v>
      </c>
      <c r="BA31" s="98">
        <v>13632</v>
      </c>
      <c r="BB31" s="98">
        <v>40</v>
      </c>
      <c r="BC31" s="98">
        <v>13632</v>
      </c>
      <c r="BD31" s="98">
        <v>56</v>
      </c>
      <c r="BE31" s="98">
        <v>19084.8</v>
      </c>
      <c r="BF31" s="98">
        <v>48</v>
      </c>
      <c r="BG31" s="98">
        <v>16358.400000000001</v>
      </c>
      <c r="BH31" s="98">
        <v>46</v>
      </c>
      <c r="BI31" s="98">
        <v>15676.800000000001</v>
      </c>
      <c r="BJ31" s="98">
        <v>47</v>
      </c>
      <c r="BK31" s="98">
        <v>16017.6</v>
      </c>
      <c r="BL31" s="98">
        <v>37</v>
      </c>
      <c r="BM31" s="98">
        <v>12609.6</v>
      </c>
      <c r="BN31" s="98">
        <v>37</v>
      </c>
      <c r="BO31" s="98">
        <v>12609.6</v>
      </c>
      <c r="BP31" s="98">
        <v>63</v>
      </c>
      <c r="BQ31" s="98">
        <v>21470.400000000001</v>
      </c>
      <c r="BR31" s="98">
        <v>51</v>
      </c>
      <c r="BS31" s="98">
        <v>17380.8</v>
      </c>
      <c r="BT31" s="98">
        <v>61</v>
      </c>
      <c r="BU31" s="98">
        <v>20788.8</v>
      </c>
      <c r="BV31" s="98">
        <v>45</v>
      </c>
      <c r="BW31" s="98">
        <v>15336</v>
      </c>
      <c r="BX31" s="98">
        <v>68</v>
      </c>
      <c r="BY31" s="98">
        <v>23174.400000000001</v>
      </c>
      <c r="BZ31" s="98">
        <v>60</v>
      </c>
      <c r="CA31" s="98">
        <v>20448</v>
      </c>
      <c r="CB31" s="98">
        <v>61</v>
      </c>
      <c r="CC31" s="98">
        <v>20788.8</v>
      </c>
      <c r="CD31" s="98">
        <v>49</v>
      </c>
      <c r="CE31" s="98">
        <v>16699.2</v>
      </c>
      <c r="CF31" s="98">
        <v>41</v>
      </c>
      <c r="CG31" s="98">
        <v>13972.800000000001</v>
      </c>
      <c r="CH31" s="98">
        <v>39</v>
      </c>
      <c r="CI31" s="98">
        <v>13291.2</v>
      </c>
      <c r="CJ31" s="98">
        <v>47</v>
      </c>
      <c r="CK31" s="98">
        <v>16017.6</v>
      </c>
      <c r="CL31" s="98">
        <v>44.29249927379194</v>
      </c>
      <c r="CM31" s="98">
        <v>15094.883752508293</v>
      </c>
      <c r="CN31" s="98">
        <v>61</v>
      </c>
      <c r="CO31" s="98">
        <v>20788.8</v>
      </c>
      <c r="CP31" s="98">
        <v>59</v>
      </c>
      <c r="CQ31" s="98">
        <v>20107.2</v>
      </c>
      <c r="CR31" s="98">
        <v>48</v>
      </c>
      <c r="CS31" s="98">
        <v>16358.400000000001</v>
      </c>
      <c r="CT31" s="98">
        <v>59</v>
      </c>
      <c r="CU31" s="98">
        <v>20107.2</v>
      </c>
    </row>
    <row r="32" spans="2:99">
      <c r="C32" s="97" t="s">
        <v>199</v>
      </c>
      <c r="D32" s="98">
        <v>34</v>
      </c>
      <c r="E32" s="98">
        <v>28560</v>
      </c>
      <c r="F32" s="98">
        <v>36</v>
      </c>
      <c r="G32" s="98">
        <v>30240</v>
      </c>
      <c r="H32" s="98">
        <v>35</v>
      </c>
      <c r="I32" s="98">
        <v>29400</v>
      </c>
      <c r="J32" s="98">
        <v>47</v>
      </c>
      <c r="K32" s="98">
        <v>39480</v>
      </c>
      <c r="L32" s="98">
        <v>55</v>
      </c>
      <c r="M32" s="98">
        <v>46200</v>
      </c>
      <c r="N32" s="98">
        <v>42</v>
      </c>
      <c r="O32" s="98">
        <v>35280</v>
      </c>
      <c r="P32" s="98">
        <v>42</v>
      </c>
      <c r="Q32" s="98">
        <v>35280</v>
      </c>
      <c r="R32" s="98">
        <v>64</v>
      </c>
      <c r="S32" s="98">
        <v>53760</v>
      </c>
      <c r="T32" s="98">
        <v>45</v>
      </c>
      <c r="U32" s="98">
        <v>37800</v>
      </c>
      <c r="V32" s="98">
        <v>60</v>
      </c>
      <c r="W32" s="98">
        <v>50400</v>
      </c>
      <c r="X32" s="98">
        <v>39</v>
      </c>
      <c r="Y32" s="98">
        <v>32760</v>
      </c>
      <c r="Z32" s="98">
        <v>45</v>
      </c>
      <c r="AA32" s="98">
        <v>37800</v>
      </c>
      <c r="AB32" s="98">
        <v>38</v>
      </c>
      <c r="AC32" s="98">
        <v>31920</v>
      </c>
      <c r="AD32" s="98">
        <v>30</v>
      </c>
      <c r="AE32" s="98">
        <v>25200</v>
      </c>
      <c r="AF32" s="98">
        <v>34</v>
      </c>
      <c r="AG32" s="98">
        <v>28560</v>
      </c>
      <c r="AH32" s="98">
        <v>58</v>
      </c>
      <c r="AI32" s="98">
        <v>48720</v>
      </c>
      <c r="AJ32" s="98">
        <v>50</v>
      </c>
      <c r="AK32" s="98">
        <v>42000</v>
      </c>
      <c r="AL32" s="98">
        <v>44</v>
      </c>
      <c r="AM32" s="98">
        <v>36960</v>
      </c>
      <c r="AN32" s="98">
        <v>60</v>
      </c>
      <c r="AO32" s="98">
        <v>50400</v>
      </c>
      <c r="AP32" s="98">
        <v>48</v>
      </c>
      <c r="AQ32" s="98">
        <v>40320</v>
      </c>
      <c r="AR32" s="98">
        <v>67</v>
      </c>
      <c r="AS32" s="98">
        <v>56280</v>
      </c>
      <c r="AT32" s="98">
        <v>53</v>
      </c>
      <c r="AU32" s="98">
        <v>44520</v>
      </c>
      <c r="AV32" s="98">
        <v>39</v>
      </c>
      <c r="AW32" s="98">
        <v>32760</v>
      </c>
      <c r="AX32" s="98">
        <v>50</v>
      </c>
      <c r="AY32" s="98">
        <v>42000</v>
      </c>
      <c r="AZ32" s="98">
        <v>35</v>
      </c>
      <c r="BA32" s="98">
        <v>29400</v>
      </c>
      <c r="BB32" s="98">
        <v>36</v>
      </c>
      <c r="BC32" s="98">
        <v>30240</v>
      </c>
      <c r="BD32" s="98">
        <v>53</v>
      </c>
      <c r="BE32" s="98">
        <v>44520</v>
      </c>
      <c r="BF32" s="98">
        <v>40</v>
      </c>
      <c r="BG32" s="98">
        <v>33600</v>
      </c>
      <c r="BH32" s="98">
        <v>44</v>
      </c>
      <c r="BI32" s="98">
        <v>36960</v>
      </c>
      <c r="BJ32" s="98">
        <v>46</v>
      </c>
      <c r="BK32" s="98">
        <v>38640</v>
      </c>
      <c r="BL32" s="98">
        <v>37</v>
      </c>
      <c r="BM32" s="98">
        <v>31080</v>
      </c>
      <c r="BN32" s="98">
        <v>33</v>
      </c>
      <c r="BO32" s="98">
        <v>27720</v>
      </c>
      <c r="BP32" s="98">
        <v>57</v>
      </c>
      <c r="BQ32" s="98">
        <v>47880</v>
      </c>
      <c r="BR32" s="98">
        <v>48</v>
      </c>
      <c r="BS32" s="98">
        <v>40320</v>
      </c>
      <c r="BT32" s="98">
        <v>50</v>
      </c>
      <c r="BU32" s="98">
        <v>42000</v>
      </c>
      <c r="BV32" s="98">
        <v>50</v>
      </c>
      <c r="BW32" s="98">
        <v>42000</v>
      </c>
      <c r="BX32" s="98">
        <v>69</v>
      </c>
      <c r="BY32" s="98">
        <v>57960</v>
      </c>
      <c r="BZ32" s="98">
        <v>60</v>
      </c>
      <c r="CA32" s="98">
        <v>50400</v>
      </c>
      <c r="CB32" s="98">
        <v>61</v>
      </c>
      <c r="CC32" s="98">
        <v>51240</v>
      </c>
      <c r="CD32" s="98">
        <v>48</v>
      </c>
      <c r="CE32" s="98">
        <v>40320</v>
      </c>
      <c r="CF32" s="98">
        <v>43</v>
      </c>
      <c r="CG32" s="98">
        <v>36120</v>
      </c>
      <c r="CH32" s="98">
        <v>36</v>
      </c>
      <c r="CI32" s="98">
        <v>30240</v>
      </c>
      <c r="CJ32" s="98">
        <v>39</v>
      </c>
      <c r="CK32" s="98">
        <v>32760</v>
      </c>
      <c r="CL32" s="98">
        <v>38.86892793414394</v>
      </c>
      <c r="CM32" s="98">
        <v>32649.899464680911</v>
      </c>
      <c r="CN32" s="98">
        <v>67</v>
      </c>
      <c r="CO32" s="98">
        <v>56280</v>
      </c>
      <c r="CP32" s="98">
        <v>64</v>
      </c>
      <c r="CQ32" s="98">
        <v>53760</v>
      </c>
      <c r="CR32" s="98">
        <v>43</v>
      </c>
      <c r="CS32" s="98">
        <v>36120</v>
      </c>
      <c r="CT32" s="98">
        <v>64</v>
      </c>
      <c r="CU32" s="98">
        <v>53760</v>
      </c>
    </row>
    <row r="33" spans="2:99">
      <c r="C33" s="97" t="s">
        <v>200</v>
      </c>
      <c r="D33" s="98">
        <v>32</v>
      </c>
      <c r="E33" s="98">
        <v>15168</v>
      </c>
      <c r="F33" s="98">
        <v>41</v>
      </c>
      <c r="G33" s="98">
        <v>19434</v>
      </c>
      <c r="H33" s="98">
        <v>31</v>
      </c>
      <c r="I33" s="98">
        <v>14694</v>
      </c>
      <c r="J33" s="98">
        <v>53</v>
      </c>
      <c r="K33" s="98">
        <v>25122</v>
      </c>
      <c r="L33" s="98">
        <v>66</v>
      </c>
      <c r="M33" s="98">
        <v>31284</v>
      </c>
      <c r="N33" s="98">
        <v>43</v>
      </c>
      <c r="O33" s="98">
        <v>20382</v>
      </c>
      <c r="P33" s="98">
        <v>41</v>
      </c>
      <c r="Q33" s="98">
        <v>19434</v>
      </c>
      <c r="R33" s="98">
        <v>65</v>
      </c>
      <c r="S33" s="98">
        <v>30810</v>
      </c>
      <c r="T33" s="98">
        <v>46</v>
      </c>
      <c r="U33" s="98">
        <v>21804</v>
      </c>
      <c r="V33" s="98">
        <v>59</v>
      </c>
      <c r="W33" s="98">
        <v>27966</v>
      </c>
      <c r="X33" s="98">
        <v>43</v>
      </c>
      <c r="Y33" s="98">
        <v>20382</v>
      </c>
      <c r="Z33" s="98">
        <v>43</v>
      </c>
      <c r="AA33" s="98">
        <v>20382</v>
      </c>
      <c r="AB33" s="98">
        <v>44</v>
      </c>
      <c r="AC33" s="98">
        <v>20856</v>
      </c>
      <c r="AD33" s="98">
        <v>29</v>
      </c>
      <c r="AE33" s="98">
        <v>13746</v>
      </c>
      <c r="AF33" s="98">
        <v>35</v>
      </c>
      <c r="AG33" s="98">
        <v>16590</v>
      </c>
      <c r="AH33" s="98">
        <v>59</v>
      </c>
      <c r="AI33" s="98">
        <v>27966</v>
      </c>
      <c r="AJ33" s="98">
        <v>55</v>
      </c>
      <c r="AK33" s="98">
        <v>26070</v>
      </c>
      <c r="AL33" s="98">
        <v>44</v>
      </c>
      <c r="AM33" s="98">
        <v>20856</v>
      </c>
      <c r="AN33" s="98">
        <v>56</v>
      </c>
      <c r="AO33" s="98">
        <v>26544</v>
      </c>
      <c r="AP33" s="98">
        <v>55</v>
      </c>
      <c r="AQ33" s="98">
        <v>26070</v>
      </c>
      <c r="AR33" s="98">
        <v>68</v>
      </c>
      <c r="AS33" s="98">
        <v>32232</v>
      </c>
      <c r="AT33" s="98">
        <v>58</v>
      </c>
      <c r="AU33" s="98">
        <v>27492</v>
      </c>
      <c r="AV33" s="98">
        <v>41</v>
      </c>
      <c r="AW33" s="98">
        <v>19434</v>
      </c>
      <c r="AX33" s="98">
        <v>47</v>
      </c>
      <c r="AY33" s="98">
        <v>22278</v>
      </c>
      <c r="AZ33" s="98">
        <v>41</v>
      </c>
      <c r="BA33" s="98">
        <v>19434</v>
      </c>
      <c r="BB33" s="98">
        <v>39</v>
      </c>
      <c r="BC33" s="98">
        <v>18486</v>
      </c>
      <c r="BD33" s="98">
        <v>52</v>
      </c>
      <c r="BE33" s="98">
        <v>24648</v>
      </c>
      <c r="BF33" s="98">
        <v>43</v>
      </c>
      <c r="BG33" s="98">
        <v>20382</v>
      </c>
      <c r="BH33" s="98">
        <v>51</v>
      </c>
      <c r="BI33" s="98">
        <v>24174</v>
      </c>
      <c r="BJ33" s="98">
        <v>47</v>
      </c>
      <c r="BK33" s="98">
        <v>22278</v>
      </c>
      <c r="BL33" s="98">
        <v>39</v>
      </c>
      <c r="BM33" s="98">
        <v>18486</v>
      </c>
      <c r="BN33" s="98">
        <v>39</v>
      </c>
      <c r="BO33" s="98">
        <v>18486</v>
      </c>
      <c r="BP33" s="98">
        <v>60</v>
      </c>
      <c r="BQ33" s="98">
        <v>28440</v>
      </c>
      <c r="BR33" s="98">
        <v>51</v>
      </c>
      <c r="BS33" s="98">
        <v>24174</v>
      </c>
      <c r="BT33" s="98">
        <v>60</v>
      </c>
      <c r="BU33" s="98">
        <v>28440</v>
      </c>
      <c r="BV33" s="98">
        <v>51</v>
      </c>
      <c r="BW33" s="98">
        <v>24174</v>
      </c>
      <c r="BX33" s="98">
        <v>72</v>
      </c>
      <c r="BY33" s="98">
        <v>34128</v>
      </c>
      <c r="BZ33" s="98">
        <v>57</v>
      </c>
      <c r="CA33" s="98">
        <v>27018</v>
      </c>
      <c r="CB33" s="98">
        <v>64</v>
      </c>
      <c r="CC33" s="98">
        <v>30336</v>
      </c>
      <c r="CD33" s="98">
        <v>47</v>
      </c>
      <c r="CE33" s="98">
        <v>22278</v>
      </c>
      <c r="CF33" s="98">
        <v>41</v>
      </c>
      <c r="CG33" s="98">
        <v>19434</v>
      </c>
      <c r="CH33" s="98">
        <v>38</v>
      </c>
      <c r="CI33" s="98">
        <v>18012</v>
      </c>
      <c r="CJ33" s="98">
        <v>42</v>
      </c>
      <c r="CK33" s="98">
        <v>19908</v>
      </c>
      <c r="CL33" s="98">
        <v>40.676785047359942</v>
      </c>
      <c r="CM33" s="98">
        <v>19280.796112448614</v>
      </c>
      <c r="CN33" s="98">
        <v>67</v>
      </c>
      <c r="CO33" s="98">
        <v>31758</v>
      </c>
      <c r="CP33" s="98">
        <v>66</v>
      </c>
      <c r="CQ33" s="98">
        <v>31284</v>
      </c>
      <c r="CR33" s="98">
        <v>51</v>
      </c>
      <c r="CS33" s="98">
        <v>24174</v>
      </c>
      <c r="CT33" s="98">
        <v>57</v>
      </c>
      <c r="CU33" s="98">
        <v>27018</v>
      </c>
    </row>
    <row r="34" spans="2:99">
      <c r="C34" s="97" t="s">
        <v>201</v>
      </c>
      <c r="D34" s="98">
        <v>35</v>
      </c>
      <c r="E34" s="98">
        <v>19194</v>
      </c>
      <c r="F34" s="98">
        <v>41</v>
      </c>
      <c r="G34" s="98">
        <v>22484.399999999998</v>
      </c>
      <c r="H34" s="98">
        <v>32</v>
      </c>
      <c r="I34" s="98">
        <v>17548.8</v>
      </c>
      <c r="J34" s="98">
        <v>44</v>
      </c>
      <c r="K34" s="98">
        <v>24129.599999999999</v>
      </c>
      <c r="L34" s="98">
        <v>62</v>
      </c>
      <c r="M34" s="98">
        <v>34000.799999999996</v>
      </c>
      <c r="N34" s="98">
        <v>41</v>
      </c>
      <c r="O34" s="98">
        <v>22484.399999999998</v>
      </c>
      <c r="P34" s="98">
        <v>40</v>
      </c>
      <c r="Q34" s="98">
        <v>21936</v>
      </c>
      <c r="R34" s="98">
        <v>56</v>
      </c>
      <c r="S34" s="98">
        <v>30710.399999999998</v>
      </c>
      <c r="T34" s="98">
        <v>44</v>
      </c>
      <c r="U34" s="98">
        <v>24129.599999999999</v>
      </c>
      <c r="V34" s="98">
        <v>55</v>
      </c>
      <c r="W34" s="98">
        <v>30162</v>
      </c>
      <c r="X34" s="98">
        <v>47</v>
      </c>
      <c r="Y34" s="98">
        <v>25774.799999999999</v>
      </c>
      <c r="Z34" s="98">
        <v>45</v>
      </c>
      <c r="AA34" s="98">
        <v>24678</v>
      </c>
      <c r="AB34" s="98">
        <v>44</v>
      </c>
      <c r="AC34" s="98">
        <v>24129.599999999999</v>
      </c>
      <c r="AD34" s="98">
        <v>33</v>
      </c>
      <c r="AE34" s="98">
        <v>18097.2</v>
      </c>
      <c r="AF34" s="98">
        <v>31</v>
      </c>
      <c r="AG34" s="98">
        <v>17000.399999999998</v>
      </c>
      <c r="AH34" s="98">
        <v>60</v>
      </c>
      <c r="AI34" s="98">
        <v>32904</v>
      </c>
      <c r="AJ34" s="98">
        <v>59</v>
      </c>
      <c r="AK34" s="98">
        <v>32355.599999999999</v>
      </c>
      <c r="AL34" s="98">
        <v>43</v>
      </c>
      <c r="AM34" s="98">
        <v>23581.200000000001</v>
      </c>
      <c r="AN34" s="98">
        <v>59</v>
      </c>
      <c r="AO34" s="98">
        <v>32355.599999999999</v>
      </c>
      <c r="AP34" s="98">
        <v>50</v>
      </c>
      <c r="AQ34" s="98">
        <v>27420</v>
      </c>
      <c r="AR34" s="98">
        <v>58</v>
      </c>
      <c r="AS34" s="98">
        <v>31807.199999999997</v>
      </c>
      <c r="AT34" s="98">
        <v>56</v>
      </c>
      <c r="AU34" s="98">
        <v>30710.399999999998</v>
      </c>
      <c r="AV34" s="98">
        <v>35</v>
      </c>
      <c r="AW34" s="98">
        <v>19194</v>
      </c>
      <c r="AX34" s="98">
        <v>46</v>
      </c>
      <c r="AY34" s="98">
        <v>25226.399999999998</v>
      </c>
      <c r="AZ34" s="98">
        <v>39</v>
      </c>
      <c r="BA34" s="98">
        <v>21387.599999999999</v>
      </c>
      <c r="BB34" s="98">
        <v>37</v>
      </c>
      <c r="BC34" s="98">
        <v>20290.8</v>
      </c>
      <c r="BD34" s="98">
        <v>51</v>
      </c>
      <c r="BE34" s="98">
        <v>27968.399999999998</v>
      </c>
      <c r="BF34" s="98">
        <v>47</v>
      </c>
      <c r="BG34" s="98">
        <v>25774.799999999999</v>
      </c>
      <c r="BH34" s="98">
        <v>49</v>
      </c>
      <c r="BI34" s="98">
        <v>26871.599999999999</v>
      </c>
      <c r="BJ34" s="98">
        <v>51</v>
      </c>
      <c r="BK34" s="98">
        <v>27968.399999999998</v>
      </c>
      <c r="BL34" s="98">
        <v>33</v>
      </c>
      <c r="BM34" s="98">
        <v>18097.2</v>
      </c>
      <c r="BN34" s="98">
        <v>39</v>
      </c>
      <c r="BO34" s="98">
        <v>21387.599999999999</v>
      </c>
      <c r="BP34" s="98">
        <v>60</v>
      </c>
      <c r="BQ34" s="98">
        <v>32904</v>
      </c>
      <c r="BR34" s="98">
        <v>53</v>
      </c>
      <c r="BS34" s="98">
        <v>29065.199999999997</v>
      </c>
      <c r="BT34" s="98">
        <v>50</v>
      </c>
      <c r="BU34" s="98">
        <v>27420</v>
      </c>
      <c r="BV34" s="98">
        <v>47</v>
      </c>
      <c r="BW34" s="98">
        <v>25774.799999999999</v>
      </c>
      <c r="BX34" s="98">
        <v>67</v>
      </c>
      <c r="BY34" s="98">
        <v>36742.799999999996</v>
      </c>
      <c r="BZ34" s="98">
        <v>54</v>
      </c>
      <c r="CA34" s="98">
        <v>29613.599999999999</v>
      </c>
      <c r="CB34" s="98">
        <v>58</v>
      </c>
      <c r="CC34" s="98">
        <v>31807.199999999997</v>
      </c>
      <c r="CD34" s="98">
        <v>44</v>
      </c>
      <c r="CE34" s="98">
        <v>24129.599999999999</v>
      </c>
      <c r="CF34" s="98">
        <v>38</v>
      </c>
      <c r="CG34" s="98">
        <v>20839.2</v>
      </c>
      <c r="CH34" s="98">
        <v>34</v>
      </c>
      <c r="CI34" s="98">
        <v>18645.599999999999</v>
      </c>
      <c r="CJ34" s="98">
        <v>42</v>
      </c>
      <c r="CK34" s="98">
        <v>23032.799999999999</v>
      </c>
      <c r="CL34" s="98">
        <v>43.388570717183939</v>
      </c>
      <c r="CM34" s="98">
        <v>23794.29218130367</v>
      </c>
      <c r="CN34" s="98">
        <v>64</v>
      </c>
      <c r="CO34" s="98">
        <v>35097.599999999999</v>
      </c>
      <c r="CP34" s="98">
        <v>58</v>
      </c>
      <c r="CQ34" s="98">
        <v>31807.199999999997</v>
      </c>
      <c r="CR34" s="98">
        <v>46</v>
      </c>
      <c r="CS34" s="98">
        <v>25226.399999999998</v>
      </c>
      <c r="CT34" s="98">
        <v>57</v>
      </c>
      <c r="CU34" s="98">
        <v>31258.799999999999</v>
      </c>
    </row>
    <row r="35" spans="2:99">
      <c r="C35" s="97" t="s">
        <v>202</v>
      </c>
      <c r="D35" s="98">
        <v>32</v>
      </c>
      <c r="E35" s="98">
        <v>16089.599999999997</v>
      </c>
      <c r="F35" s="98">
        <v>37</v>
      </c>
      <c r="G35" s="98">
        <v>18603.599999999995</v>
      </c>
      <c r="H35" s="98">
        <v>35</v>
      </c>
      <c r="I35" s="98">
        <v>17597.999999999996</v>
      </c>
      <c r="J35" s="98">
        <v>51</v>
      </c>
      <c r="K35" s="98">
        <v>25642.799999999996</v>
      </c>
      <c r="L35" s="98">
        <v>60</v>
      </c>
      <c r="M35" s="98">
        <v>30167.999999999993</v>
      </c>
      <c r="N35" s="98">
        <v>46</v>
      </c>
      <c r="O35" s="98">
        <v>23128.799999999996</v>
      </c>
      <c r="P35" s="98">
        <v>47</v>
      </c>
      <c r="Q35" s="98">
        <v>23631.599999999995</v>
      </c>
      <c r="R35" s="98">
        <v>57</v>
      </c>
      <c r="S35" s="98">
        <v>28659.599999999995</v>
      </c>
      <c r="T35" s="98">
        <v>49</v>
      </c>
      <c r="U35" s="98">
        <v>24637.199999999993</v>
      </c>
      <c r="V35" s="98">
        <v>63</v>
      </c>
      <c r="W35" s="98">
        <v>31676.399999999994</v>
      </c>
      <c r="X35" s="98">
        <v>45</v>
      </c>
      <c r="Y35" s="98">
        <v>22625.999999999996</v>
      </c>
      <c r="Z35" s="98">
        <v>45</v>
      </c>
      <c r="AA35" s="98">
        <v>22625.999999999996</v>
      </c>
      <c r="AB35" s="98">
        <v>39</v>
      </c>
      <c r="AC35" s="98">
        <v>19609.199999999997</v>
      </c>
      <c r="AD35" s="98">
        <v>30</v>
      </c>
      <c r="AE35" s="98">
        <v>15083.999999999996</v>
      </c>
      <c r="AF35" s="98">
        <v>36</v>
      </c>
      <c r="AG35" s="98">
        <v>18100.799999999996</v>
      </c>
      <c r="AH35" s="98">
        <v>56</v>
      </c>
      <c r="AI35" s="98">
        <v>28156.799999999996</v>
      </c>
      <c r="AJ35" s="98">
        <v>62</v>
      </c>
      <c r="AK35" s="98">
        <v>31173.599999999995</v>
      </c>
      <c r="AL35" s="98">
        <v>43</v>
      </c>
      <c r="AM35" s="98">
        <v>21620.399999999994</v>
      </c>
      <c r="AN35" s="98">
        <v>61</v>
      </c>
      <c r="AO35" s="98">
        <v>30670.799999999992</v>
      </c>
      <c r="AP35" s="98">
        <v>58</v>
      </c>
      <c r="AQ35" s="98">
        <v>29162.399999999994</v>
      </c>
      <c r="AR35" s="98">
        <v>57</v>
      </c>
      <c r="AS35" s="98">
        <v>28659.599999999995</v>
      </c>
      <c r="AT35" s="98">
        <v>61</v>
      </c>
      <c r="AU35" s="98">
        <v>30670.799999999992</v>
      </c>
      <c r="AV35" s="98">
        <v>42</v>
      </c>
      <c r="AW35" s="98">
        <v>21117.599999999995</v>
      </c>
      <c r="AX35" s="98">
        <v>45</v>
      </c>
      <c r="AY35" s="98">
        <v>22625.999999999996</v>
      </c>
      <c r="AZ35" s="98">
        <v>41</v>
      </c>
      <c r="BA35" s="98">
        <v>20614.799999999996</v>
      </c>
      <c r="BB35" s="98">
        <v>34</v>
      </c>
      <c r="BC35" s="98">
        <v>17095.199999999997</v>
      </c>
      <c r="BD35" s="98">
        <v>51</v>
      </c>
      <c r="BE35" s="98">
        <v>25642.799999999996</v>
      </c>
      <c r="BF35" s="98">
        <v>43</v>
      </c>
      <c r="BG35" s="98">
        <v>21620.399999999994</v>
      </c>
      <c r="BH35" s="98">
        <v>52</v>
      </c>
      <c r="BI35" s="98">
        <v>26145.599999999995</v>
      </c>
      <c r="BJ35" s="98">
        <v>48</v>
      </c>
      <c r="BK35" s="98">
        <v>24134.399999999994</v>
      </c>
      <c r="BL35" s="98">
        <v>37</v>
      </c>
      <c r="BM35" s="98">
        <v>18603.599999999995</v>
      </c>
      <c r="BN35" s="98">
        <v>34</v>
      </c>
      <c r="BO35" s="98">
        <v>17095.199999999997</v>
      </c>
      <c r="BP35" s="98">
        <v>56</v>
      </c>
      <c r="BQ35" s="98">
        <v>28156.799999999996</v>
      </c>
      <c r="BR35" s="98">
        <v>52</v>
      </c>
      <c r="BS35" s="98">
        <v>26145.599999999995</v>
      </c>
      <c r="BT35" s="98">
        <v>53</v>
      </c>
      <c r="BU35" s="98">
        <v>26648.399999999994</v>
      </c>
      <c r="BV35" s="98">
        <v>45</v>
      </c>
      <c r="BW35" s="98">
        <v>22625.999999999996</v>
      </c>
      <c r="BX35" s="98">
        <v>70</v>
      </c>
      <c r="BY35" s="98">
        <v>35195.999999999993</v>
      </c>
      <c r="BZ35" s="98">
        <v>59</v>
      </c>
      <c r="CA35" s="98">
        <v>29665.199999999993</v>
      </c>
      <c r="CB35" s="98">
        <v>62</v>
      </c>
      <c r="CC35" s="98">
        <v>31173.599999999995</v>
      </c>
      <c r="CD35" s="98">
        <v>47</v>
      </c>
      <c r="CE35" s="98">
        <v>23631.599999999995</v>
      </c>
      <c r="CF35" s="98">
        <v>41</v>
      </c>
      <c r="CG35" s="98">
        <v>20614.799999999996</v>
      </c>
      <c r="CH35" s="98">
        <v>35</v>
      </c>
      <c r="CI35" s="98">
        <v>17597.999999999996</v>
      </c>
      <c r="CJ35" s="98">
        <v>41</v>
      </c>
      <c r="CK35" s="98">
        <v>20614.799999999996</v>
      </c>
      <c r="CL35" s="98">
        <v>46.100356387007935</v>
      </c>
      <c r="CM35" s="98">
        <v>23179.259191387584</v>
      </c>
      <c r="CN35" s="98">
        <v>66</v>
      </c>
      <c r="CO35" s="98">
        <v>33184.799999999996</v>
      </c>
      <c r="CP35" s="98">
        <v>65</v>
      </c>
      <c r="CQ35" s="98">
        <v>32681.999999999993</v>
      </c>
      <c r="CR35" s="98">
        <v>51</v>
      </c>
      <c r="CS35" s="98">
        <v>25642.799999999996</v>
      </c>
      <c r="CT35" s="98">
        <v>60</v>
      </c>
      <c r="CU35" s="98">
        <v>30167.999999999993</v>
      </c>
    </row>
    <row r="36" spans="2:99">
      <c r="C36" s="97" t="s">
        <v>203</v>
      </c>
      <c r="D36" s="98">
        <v>30</v>
      </c>
      <c r="E36" s="98">
        <v>22824</v>
      </c>
      <c r="F36" s="98">
        <v>34</v>
      </c>
      <c r="G36" s="98">
        <v>25867.199999999997</v>
      </c>
      <c r="H36" s="98">
        <v>34</v>
      </c>
      <c r="I36" s="98">
        <v>25867.199999999997</v>
      </c>
      <c r="J36" s="98">
        <v>46</v>
      </c>
      <c r="K36" s="98">
        <v>34996.799999999996</v>
      </c>
      <c r="L36" s="98">
        <v>62</v>
      </c>
      <c r="M36" s="98">
        <v>47169.599999999999</v>
      </c>
      <c r="N36" s="98">
        <v>45</v>
      </c>
      <c r="O36" s="98">
        <v>34236</v>
      </c>
      <c r="P36" s="98">
        <v>44</v>
      </c>
      <c r="Q36" s="98">
        <v>33475.199999999997</v>
      </c>
      <c r="R36" s="98">
        <v>64</v>
      </c>
      <c r="S36" s="98">
        <v>48691.199999999997</v>
      </c>
      <c r="T36" s="98">
        <v>44</v>
      </c>
      <c r="U36" s="98">
        <v>33475.199999999997</v>
      </c>
      <c r="V36" s="98">
        <v>51</v>
      </c>
      <c r="W36" s="98">
        <v>38800.799999999996</v>
      </c>
      <c r="X36" s="98">
        <v>44</v>
      </c>
      <c r="Y36" s="98">
        <v>33475.199999999997</v>
      </c>
      <c r="Z36" s="98">
        <v>41</v>
      </c>
      <c r="AA36" s="98">
        <v>31192.799999999999</v>
      </c>
      <c r="AB36" s="98">
        <v>39</v>
      </c>
      <c r="AC36" s="98">
        <v>29671.199999999997</v>
      </c>
      <c r="AD36" s="98">
        <v>29</v>
      </c>
      <c r="AE36" s="98">
        <v>22063.199999999997</v>
      </c>
      <c r="AF36" s="98">
        <v>35</v>
      </c>
      <c r="AG36" s="98">
        <v>26628</v>
      </c>
      <c r="AH36" s="98">
        <v>59</v>
      </c>
      <c r="AI36" s="98">
        <v>44887.199999999997</v>
      </c>
      <c r="AJ36" s="98">
        <v>60</v>
      </c>
      <c r="AK36" s="98">
        <v>45648</v>
      </c>
      <c r="AL36" s="98">
        <v>39</v>
      </c>
      <c r="AM36" s="98">
        <v>29671.199999999997</v>
      </c>
      <c r="AN36" s="98">
        <v>60</v>
      </c>
      <c r="AO36" s="98">
        <v>45648</v>
      </c>
      <c r="AP36" s="98">
        <v>48</v>
      </c>
      <c r="AQ36" s="98">
        <v>36518.399999999994</v>
      </c>
      <c r="AR36" s="98">
        <v>66</v>
      </c>
      <c r="AS36" s="98">
        <v>50212.799999999996</v>
      </c>
      <c r="AT36" s="98">
        <v>50</v>
      </c>
      <c r="AU36" s="98">
        <v>38040</v>
      </c>
      <c r="AV36" s="98">
        <v>35</v>
      </c>
      <c r="AW36" s="98">
        <v>26628</v>
      </c>
      <c r="AX36" s="98">
        <v>52</v>
      </c>
      <c r="AY36" s="98">
        <v>39561.599999999999</v>
      </c>
      <c r="AZ36" s="98">
        <v>40</v>
      </c>
      <c r="BA36" s="98">
        <v>30432</v>
      </c>
      <c r="BB36" s="98">
        <v>35</v>
      </c>
      <c r="BC36" s="98">
        <v>26628</v>
      </c>
      <c r="BD36" s="98">
        <v>49</v>
      </c>
      <c r="BE36" s="98">
        <v>37279.199999999997</v>
      </c>
      <c r="BF36" s="98">
        <v>43</v>
      </c>
      <c r="BG36" s="98">
        <v>32714.399999999998</v>
      </c>
      <c r="BH36" s="98">
        <v>51</v>
      </c>
      <c r="BI36" s="98">
        <v>38800.799999999996</v>
      </c>
      <c r="BJ36" s="98">
        <v>47</v>
      </c>
      <c r="BK36" s="98">
        <v>35757.599999999999</v>
      </c>
      <c r="BL36" s="98">
        <v>32</v>
      </c>
      <c r="BM36" s="98">
        <v>24345.599999999999</v>
      </c>
      <c r="BN36" s="98">
        <v>34</v>
      </c>
      <c r="BO36" s="98">
        <v>25867.199999999997</v>
      </c>
      <c r="BP36" s="98">
        <v>53</v>
      </c>
      <c r="BQ36" s="98">
        <v>40322.399999999994</v>
      </c>
      <c r="BR36" s="98">
        <v>46</v>
      </c>
      <c r="BS36" s="98">
        <v>34996.799999999996</v>
      </c>
      <c r="BT36" s="98">
        <v>56</v>
      </c>
      <c r="BU36" s="98">
        <v>42604.799999999996</v>
      </c>
      <c r="BV36" s="98">
        <v>49</v>
      </c>
      <c r="BW36" s="98">
        <v>37279.199999999997</v>
      </c>
      <c r="BX36" s="98">
        <v>64</v>
      </c>
      <c r="BY36" s="98">
        <v>48691.199999999997</v>
      </c>
      <c r="BZ36" s="98">
        <v>56</v>
      </c>
      <c r="CA36" s="98">
        <v>42604.799999999996</v>
      </c>
      <c r="CB36" s="98">
        <v>56</v>
      </c>
      <c r="CC36" s="98">
        <v>42604.799999999996</v>
      </c>
      <c r="CD36" s="98">
        <v>45</v>
      </c>
      <c r="CE36" s="98">
        <v>34236</v>
      </c>
      <c r="CF36" s="98">
        <v>38</v>
      </c>
      <c r="CG36" s="98">
        <v>28910.399999999998</v>
      </c>
      <c r="CH36" s="98">
        <v>31</v>
      </c>
      <c r="CI36" s="98">
        <v>23584.799999999999</v>
      </c>
      <c r="CJ36" s="98">
        <v>39</v>
      </c>
      <c r="CK36" s="98">
        <v>29671.199999999997</v>
      </c>
      <c r="CL36" s="98">
        <v>39.772856490751941</v>
      </c>
      <c r="CM36" s="98">
        <v>30259.189218164076</v>
      </c>
      <c r="CN36" s="98">
        <v>63</v>
      </c>
      <c r="CO36" s="98">
        <v>47930.399999999994</v>
      </c>
      <c r="CP36" s="98">
        <v>66</v>
      </c>
      <c r="CQ36" s="98">
        <v>50212.799999999996</v>
      </c>
      <c r="CR36" s="98">
        <v>50</v>
      </c>
      <c r="CS36" s="98">
        <v>38040</v>
      </c>
      <c r="CT36" s="98">
        <v>53</v>
      </c>
      <c r="CU36" s="98">
        <v>40322.399999999994</v>
      </c>
    </row>
    <row r="37" spans="2:99">
      <c r="B37" s="97" t="s">
        <v>128</v>
      </c>
      <c r="C37" s="97" t="s">
        <v>204</v>
      </c>
      <c r="D37" s="98">
        <v>12</v>
      </c>
      <c r="E37" s="98">
        <v>10324.799999999999</v>
      </c>
      <c r="F37" s="98">
        <v>12</v>
      </c>
      <c r="G37" s="98">
        <v>10324.799999999999</v>
      </c>
      <c r="H37" s="98">
        <v>9</v>
      </c>
      <c r="I37" s="98">
        <v>7743.5999999999995</v>
      </c>
      <c r="J37" s="98">
        <v>14</v>
      </c>
      <c r="K37" s="98">
        <v>12045.6</v>
      </c>
      <c r="L37" s="98">
        <v>11</v>
      </c>
      <c r="M37" s="98">
        <v>9464.4</v>
      </c>
      <c r="N37" s="98">
        <v>13</v>
      </c>
      <c r="O37" s="98">
        <v>11185.199999999999</v>
      </c>
      <c r="P37" s="98">
        <v>8</v>
      </c>
      <c r="Q37" s="98">
        <v>6883.2</v>
      </c>
      <c r="R37" s="98">
        <v>15</v>
      </c>
      <c r="S37" s="98">
        <v>12906</v>
      </c>
      <c r="T37" s="98">
        <v>14</v>
      </c>
      <c r="U37" s="98">
        <v>12045.6</v>
      </c>
      <c r="V37" s="98">
        <v>10</v>
      </c>
      <c r="W37" s="98">
        <v>8604</v>
      </c>
      <c r="X37" s="98">
        <v>12</v>
      </c>
      <c r="Y37" s="98">
        <v>10324.799999999999</v>
      </c>
      <c r="Z37" s="98">
        <v>11</v>
      </c>
      <c r="AA37" s="98">
        <v>9464.4</v>
      </c>
      <c r="AB37" s="98">
        <v>9</v>
      </c>
      <c r="AC37" s="98">
        <v>7743.5999999999995</v>
      </c>
      <c r="AD37" s="98">
        <v>17</v>
      </c>
      <c r="AE37" s="98">
        <v>14626.8</v>
      </c>
      <c r="AF37" s="98">
        <v>14</v>
      </c>
      <c r="AG37" s="98">
        <v>12045.6</v>
      </c>
      <c r="AH37" s="98">
        <v>10</v>
      </c>
      <c r="AI37" s="98">
        <v>8604</v>
      </c>
      <c r="AJ37" s="98">
        <v>11</v>
      </c>
      <c r="AK37" s="98">
        <v>9464.4</v>
      </c>
      <c r="AL37" s="98">
        <v>17</v>
      </c>
      <c r="AM37" s="98">
        <v>14626.8</v>
      </c>
      <c r="AN37" s="98">
        <v>16</v>
      </c>
      <c r="AO37" s="98">
        <v>13766.4</v>
      </c>
      <c r="AP37" s="98">
        <v>13</v>
      </c>
      <c r="AQ37" s="98">
        <v>11185.199999999999</v>
      </c>
      <c r="AR37" s="98">
        <v>12</v>
      </c>
      <c r="AS37" s="98">
        <v>10324.799999999999</v>
      </c>
      <c r="AT37" s="98">
        <v>16</v>
      </c>
      <c r="AU37" s="98">
        <v>13766.4</v>
      </c>
      <c r="AV37" s="98">
        <v>11</v>
      </c>
      <c r="AW37" s="98">
        <v>9464.4</v>
      </c>
      <c r="AX37" s="98">
        <v>13</v>
      </c>
      <c r="AY37" s="98">
        <v>11185.199999999999</v>
      </c>
      <c r="AZ37" s="98">
        <v>16</v>
      </c>
      <c r="BA37" s="98">
        <v>13766.4</v>
      </c>
      <c r="BB37" s="98">
        <v>13</v>
      </c>
      <c r="BC37" s="98">
        <v>11185.199999999999</v>
      </c>
      <c r="BD37" s="98">
        <v>16</v>
      </c>
      <c r="BE37" s="98">
        <v>13766.4</v>
      </c>
      <c r="BF37" s="98">
        <v>16</v>
      </c>
      <c r="BG37" s="98">
        <v>13766.4</v>
      </c>
      <c r="BH37" s="98">
        <v>17</v>
      </c>
      <c r="BI37" s="98">
        <v>14626.8</v>
      </c>
      <c r="BJ37" s="98">
        <v>10</v>
      </c>
      <c r="BK37" s="98">
        <v>8604</v>
      </c>
      <c r="BL37" s="98">
        <v>15</v>
      </c>
      <c r="BM37" s="98">
        <v>12906</v>
      </c>
      <c r="BN37" s="98">
        <v>13</v>
      </c>
      <c r="BO37" s="98">
        <v>11185.199999999999</v>
      </c>
      <c r="BP37" s="98">
        <v>10</v>
      </c>
      <c r="BQ37" s="98">
        <v>8604</v>
      </c>
      <c r="BR37" s="98">
        <v>12</v>
      </c>
      <c r="BS37" s="98">
        <v>10324.799999999999</v>
      </c>
      <c r="BT37" s="98">
        <v>13</v>
      </c>
      <c r="BU37" s="98">
        <v>11185.199999999999</v>
      </c>
      <c r="BV37" s="98">
        <v>14</v>
      </c>
      <c r="BW37" s="98">
        <v>12045.6</v>
      </c>
      <c r="BX37" s="98">
        <v>14</v>
      </c>
      <c r="BY37" s="98">
        <v>12045.6</v>
      </c>
      <c r="BZ37" s="98">
        <v>10</v>
      </c>
      <c r="CA37" s="98">
        <v>8604</v>
      </c>
      <c r="CB37" s="98">
        <v>16</v>
      </c>
      <c r="CC37" s="98">
        <v>13766.4</v>
      </c>
      <c r="CD37" s="98">
        <v>8</v>
      </c>
      <c r="CE37" s="98">
        <v>6883.2</v>
      </c>
      <c r="CF37" s="98">
        <v>16</v>
      </c>
      <c r="CG37" s="98">
        <v>13766.4</v>
      </c>
      <c r="CH37" s="98">
        <v>11</v>
      </c>
      <c r="CI37" s="98">
        <v>9464.4</v>
      </c>
      <c r="CJ37" s="98">
        <v>16</v>
      </c>
      <c r="CK37" s="98">
        <v>13766.4</v>
      </c>
      <c r="CL37" s="98">
        <v>9.9432141226879853</v>
      </c>
      <c r="CM37" s="98">
        <v>8555.1414311607423</v>
      </c>
      <c r="CN37" s="98">
        <v>12</v>
      </c>
      <c r="CO37" s="98">
        <v>10324.799999999999</v>
      </c>
      <c r="CP37" s="98">
        <v>9</v>
      </c>
      <c r="CQ37" s="98">
        <v>7743.5999999999995</v>
      </c>
      <c r="CR37" s="98">
        <v>10</v>
      </c>
      <c r="CS37" s="98">
        <v>8604</v>
      </c>
      <c r="CT37" s="98">
        <v>12</v>
      </c>
      <c r="CU37" s="98">
        <v>10324.799999999999</v>
      </c>
    </row>
    <row r="38" spans="2:99">
      <c r="C38" s="97" t="s">
        <v>205</v>
      </c>
      <c r="D38" s="98">
        <v>11</v>
      </c>
      <c r="E38" s="98">
        <v>13662</v>
      </c>
      <c r="F38" s="98">
        <v>10</v>
      </c>
      <c r="G38" s="98">
        <v>12420</v>
      </c>
      <c r="H38" s="98">
        <v>9</v>
      </c>
      <c r="I38" s="98">
        <v>11178</v>
      </c>
      <c r="J38" s="98">
        <v>14</v>
      </c>
      <c r="K38" s="98">
        <v>17388</v>
      </c>
      <c r="L38" s="98">
        <v>11</v>
      </c>
      <c r="M38" s="98">
        <v>13662</v>
      </c>
      <c r="N38" s="98">
        <v>14</v>
      </c>
      <c r="O38" s="98">
        <v>17388</v>
      </c>
      <c r="P38" s="98">
        <v>9</v>
      </c>
      <c r="Q38" s="98">
        <v>11178</v>
      </c>
      <c r="R38" s="98">
        <v>15</v>
      </c>
      <c r="S38" s="98">
        <v>18630</v>
      </c>
      <c r="T38" s="98">
        <v>15</v>
      </c>
      <c r="U38" s="98">
        <v>18630</v>
      </c>
      <c r="V38" s="98">
        <v>10</v>
      </c>
      <c r="W38" s="98">
        <v>12420</v>
      </c>
      <c r="X38" s="98">
        <v>11</v>
      </c>
      <c r="Y38" s="98">
        <v>13662</v>
      </c>
      <c r="Z38" s="98">
        <v>12</v>
      </c>
      <c r="AA38" s="98">
        <v>14904</v>
      </c>
      <c r="AB38" s="98">
        <v>9</v>
      </c>
      <c r="AC38" s="98">
        <v>11178</v>
      </c>
      <c r="AD38" s="98">
        <v>15</v>
      </c>
      <c r="AE38" s="98">
        <v>18630</v>
      </c>
      <c r="AF38" s="98">
        <v>13</v>
      </c>
      <c r="AG38" s="98">
        <v>16146</v>
      </c>
      <c r="AH38" s="98">
        <v>10</v>
      </c>
      <c r="AI38" s="98">
        <v>12420</v>
      </c>
      <c r="AJ38" s="98">
        <v>11</v>
      </c>
      <c r="AK38" s="98">
        <v>13662</v>
      </c>
      <c r="AL38" s="98">
        <v>16</v>
      </c>
      <c r="AM38" s="98">
        <v>19872</v>
      </c>
      <c r="AN38" s="98">
        <v>15</v>
      </c>
      <c r="AO38" s="98">
        <v>18630</v>
      </c>
      <c r="AP38" s="98">
        <v>14</v>
      </c>
      <c r="AQ38" s="98">
        <v>17388</v>
      </c>
      <c r="AR38" s="98">
        <v>12</v>
      </c>
      <c r="AS38" s="98">
        <v>14904</v>
      </c>
      <c r="AT38" s="98">
        <v>14</v>
      </c>
      <c r="AU38" s="98">
        <v>17388</v>
      </c>
      <c r="AV38" s="98">
        <v>11</v>
      </c>
      <c r="AW38" s="98">
        <v>13662</v>
      </c>
      <c r="AX38" s="98">
        <v>14</v>
      </c>
      <c r="AY38" s="98">
        <v>17388</v>
      </c>
      <c r="AZ38" s="98">
        <v>16</v>
      </c>
      <c r="BA38" s="98">
        <v>19872</v>
      </c>
      <c r="BB38" s="98">
        <v>13</v>
      </c>
      <c r="BC38" s="98">
        <v>16146</v>
      </c>
      <c r="BD38" s="98">
        <v>16</v>
      </c>
      <c r="BE38" s="98">
        <v>19872</v>
      </c>
      <c r="BF38" s="98">
        <v>14</v>
      </c>
      <c r="BG38" s="98">
        <v>17388</v>
      </c>
      <c r="BH38" s="98">
        <v>15</v>
      </c>
      <c r="BI38" s="98">
        <v>18630</v>
      </c>
      <c r="BJ38" s="98">
        <v>9</v>
      </c>
      <c r="BK38" s="98">
        <v>11178</v>
      </c>
      <c r="BL38" s="98">
        <v>15</v>
      </c>
      <c r="BM38" s="98">
        <v>18630</v>
      </c>
      <c r="BN38" s="98">
        <v>13</v>
      </c>
      <c r="BO38" s="98">
        <v>16146</v>
      </c>
      <c r="BP38" s="98">
        <v>9</v>
      </c>
      <c r="BQ38" s="98">
        <v>11178</v>
      </c>
      <c r="BR38" s="98">
        <v>12</v>
      </c>
      <c r="BS38" s="98">
        <v>14904</v>
      </c>
      <c r="BT38" s="98">
        <v>12</v>
      </c>
      <c r="BU38" s="98">
        <v>14904</v>
      </c>
      <c r="BV38" s="98">
        <v>16</v>
      </c>
      <c r="BW38" s="98">
        <v>19872</v>
      </c>
      <c r="BX38" s="98">
        <v>13</v>
      </c>
      <c r="BY38" s="98">
        <v>16146</v>
      </c>
      <c r="BZ38" s="98">
        <v>10</v>
      </c>
      <c r="CA38" s="98">
        <v>12420</v>
      </c>
      <c r="CB38" s="98">
        <v>16</v>
      </c>
      <c r="CC38" s="98">
        <v>19872</v>
      </c>
      <c r="CD38" s="98">
        <v>9</v>
      </c>
      <c r="CE38" s="98">
        <v>11178</v>
      </c>
      <c r="CF38" s="98">
        <v>15</v>
      </c>
      <c r="CG38" s="98">
        <v>18630</v>
      </c>
      <c r="CH38" s="98">
        <v>12</v>
      </c>
      <c r="CI38" s="98">
        <v>14904</v>
      </c>
      <c r="CJ38" s="98">
        <v>16</v>
      </c>
      <c r="CK38" s="98">
        <v>19872</v>
      </c>
      <c r="CL38" s="98">
        <v>9.9432141226879853</v>
      </c>
      <c r="CM38" s="98">
        <v>12349.471940378478</v>
      </c>
      <c r="CN38" s="98">
        <v>13</v>
      </c>
      <c r="CO38" s="98">
        <v>16146</v>
      </c>
      <c r="CP38" s="98">
        <v>9</v>
      </c>
      <c r="CQ38" s="98">
        <v>11178</v>
      </c>
      <c r="CR38" s="98">
        <v>11</v>
      </c>
      <c r="CS38" s="98">
        <v>13662</v>
      </c>
      <c r="CT38" s="98">
        <v>12</v>
      </c>
      <c r="CU38" s="98">
        <v>14904</v>
      </c>
    </row>
    <row r="39" spans="2:99">
      <c r="C39" s="97" t="s">
        <v>206</v>
      </c>
      <c r="D39" s="98">
        <v>11</v>
      </c>
      <c r="E39" s="98">
        <v>15655.2</v>
      </c>
      <c r="F39" s="98">
        <v>10</v>
      </c>
      <c r="G39" s="98">
        <v>14232</v>
      </c>
      <c r="H39" s="98">
        <v>8</v>
      </c>
      <c r="I39" s="98">
        <v>11385.6</v>
      </c>
      <c r="J39" s="98">
        <v>14</v>
      </c>
      <c r="K39" s="98">
        <v>19924.8</v>
      </c>
      <c r="L39" s="98">
        <v>11</v>
      </c>
      <c r="M39" s="98">
        <v>15655.2</v>
      </c>
      <c r="N39" s="98">
        <v>14</v>
      </c>
      <c r="O39" s="98">
        <v>19924.8</v>
      </c>
      <c r="P39" s="98">
        <v>8</v>
      </c>
      <c r="Q39" s="98">
        <v>11385.6</v>
      </c>
      <c r="R39" s="98">
        <v>13</v>
      </c>
      <c r="S39" s="98">
        <v>18501.600000000002</v>
      </c>
      <c r="T39" s="98">
        <v>15</v>
      </c>
      <c r="U39" s="98">
        <v>21348</v>
      </c>
      <c r="V39" s="98">
        <v>10</v>
      </c>
      <c r="W39" s="98">
        <v>14232</v>
      </c>
      <c r="X39" s="98">
        <v>10</v>
      </c>
      <c r="Y39" s="98">
        <v>14232</v>
      </c>
      <c r="Z39" s="98">
        <v>12</v>
      </c>
      <c r="AA39" s="98">
        <v>17078.400000000001</v>
      </c>
      <c r="AB39" s="98">
        <v>9</v>
      </c>
      <c r="AC39" s="98">
        <v>12808.800000000001</v>
      </c>
      <c r="AD39" s="98">
        <v>16</v>
      </c>
      <c r="AE39" s="98">
        <v>22771.200000000001</v>
      </c>
      <c r="AF39" s="98">
        <v>13</v>
      </c>
      <c r="AG39" s="98">
        <v>18501.600000000002</v>
      </c>
      <c r="AH39" s="98">
        <v>11</v>
      </c>
      <c r="AI39" s="98">
        <v>15655.2</v>
      </c>
      <c r="AJ39" s="98">
        <v>12</v>
      </c>
      <c r="AK39" s="98">
        <v>17078.400000000001</v>
      </c>
      <c r="AL39" s="98">
        <v>15</v>
      </c>
      <c r="AM39" s="98">
        <v>21348</v>
      </c>
      <c r="AN39" s="98">
        <v>14</v>
      </c>
      <c r="AO39" s="98">
        <v>19924.8</v>
      </c>
      <c r="AP39" s="98">
        <v>14</v>
      </c>
      <c r="AQ39" s="98">
        <v>19924.8</v>
      </c>
      <c r="AR39" s="98">
        <v>13</v>
      </c>
      <c r="AS39" s="98">
        <v>18501.600000000002</v>
      </c>
      <c r="AT39" s="98">
        <v>15</v>
      </c>
      <c r="AU39" s="98">
        <v>21348</v>
      </c>
      <c r="AV39" s="98">
        <v>10</v>
      </c>
      <c r="AW39" s="98">
        <v>14232</v>
      </c>
      <c r="AX39" s="98">
        <v>14</v>
      </c>
      <c r="AY39" s="98">
        <v>19924.8</v>
      </c>
      <c r="AZ39" s="98">
        <v>14</v>
      </c>
      <c r="BA39" s="98">
        <v>19924.8</v>
      </c>
      <c r="BB39" s="98">
        <v>13</v>
      </c>
      <c r="BC39" s="98">
        <v>18501.600000000002</v>
      </c>
      <c r="BD39" s="98">
        <v>13</v>
      </c>
      <c r="BE39" s="98">
        <v>18501.600000000002</v>
      </c>
      <c r="BF39" s="98">
        <v>16</v>
      </c>
      <c r="BG39" s="98">
        <v>22771.200000000001</v>
      </c>
      <c r="BH39" s="98">
        <v>16</v>
      </c>
      <c r="BI39" s="98">
        <v>22771.200000000001</v>
      </c>
      <c r="BJ39" s="98">
        <v>9</v>
      </c>
      <c r="BK39" s="98">
        <v>12808.800000000001</v>
      </c>
      <c r="BL39" s="98">
        <v>17</v>
      </c>
      <c r="BM39" s="98">
        <v>24194.400000000001</v>
      </c>
      <c r="BN39" s="98">
        <v>14</v>
      </c>
      <c r="BO39" s="98">
        <v>19924.8</v>
      </c>
      <c r="BP39" s="98">
        <v>11</v>
      </c>
      <c r="BQ39" s="98">
        <v>15655.2</v>
      </c>
      <c r="BR39" s="98">
        <v>11</v>
      </c>
      <c r="BS39" s="98">
        <v>15655.2</v>
      </c>
      <c r="BT39" s="98">
        <v>13</v>
      </c>
      <c r="BU39" s="98">
        <v>18501.600000000002</v>
      </c>
      <c r="BV39" s="98">
        <v>16</v>
      </c>
      <c r="BW39" s="98">
        <v>22771.200000000001</v>
      </c>
      <c r="BX39" s="98">
        <v>13</v>
      </c>
      <c r="BY39" s="98">
        <v>18501.600000000002</v>
      </c>
      <c r="BZ39" s="98">
        <v>10</v>
      </c>
      <c r="CA39" s="98">
        <v>14232</v>
      </c>
      <c r="CB39" s="98">
        <v>15</v>
      </c>
      <c r="CC39" s="98">
        <v>21348</v>
      </c>
      <c r="CD39" s="98">
        <v>8</v>
      </c>
      <c r="CE39" s="98">
        <v>11385.6</v>
      </c>
      <c r="CF39" s="98">
        <v>13</v>
      </c>
      <c r="CG39" s="98">
        <v>18501.600000000002</v>
      </c>
      <c r="CH39" s="98">
        <v>11</v>
      </c>
      <c r="CI39" s="98">
        <v>15655.2</v>
      </c>
      <c r="CJ39" s="98">
        <v>18</v>
      </c>
      <c r="CK39" s="98">
        <v>25617.600000000002</v>
      </c>
      <c r="CL39" s="98">
        <v>9.9432141226879853</v>
      </c>
      <c r="CM39" s="98">
        <v>14151.182339409541</v>
      </c>
      <c r="CN39" s="98">
        <v>13</v>
      </c>
      <c r="CO39" s="98">
        <v>18501.600000000002</v>
      </c>
      <c r="CP39" s="98">
        <v>9</v>
      </c>
      <c r="CQ39" s="98">
        <v>12808.800000000001</v>
      </c>
      <c r="CR39" s="98">
        <v>10</v>
      </c>
      <c r="CS39" s="98">
        <v>14232</v>
      </c>
      <c r="CT39" s="98">
        <v>12</v>
      </c>
      <c r="CU39" s="98">
        <v>17078.400000000001</v>
      </c>
    </row>
    <row r="40" spans="2:99">
      <c r="C40" s="97" t="s">
        <v>207</v>
      </c>
      <c r="D40" s="98">
        <v>12</v>
      </c>
      <c r="E40" s="98">
        <v>8697.5999999999985</v>
      </c>
      <c r="F40" s="98">
        <v>12</v>
      </c>
      <c r="G40" s="98">
        <v>8697.5999999999985</v>
      </c>
      <c r="H40" s="98">
        <v>9</v>
      </c>
      <c r="I40" s="98">
        <v>6523.2</v>
      </c>
      <c r="J40" s="98">
        <v>13</v>
      </c>
      <c r="K40" s="98">
        <v>9422.4</v>
      </c>
      <c r="L40" s="98">
        <v>11</v>
      </c>
      <c r="M40" s="98">
        <v>7972.7999999999993</v>
      </c>
      <c r="N40" s="98">
        <v>13</v>
      </c>
      <c r="O40" s="98">
        <v>9422.4</v>
      </c>
      <c r="P40" s="98">
        <v>9</v>
      </c>
      <c r="Q40" s="98">
        <v>6523.2</v>
      </c>
      <c r="R40" s="98">
        <v>14</v>
      </c>
      <c r="S40" s="98">
        <v>10147.199999999999</v>
      </c>
      <c r="T40" s="98">
        <v>14</v>
      </c>
      <c r="U40" s="98">
        <v>10147.199999999999</v>
      </c>
      <c r="V40" s="98">
        <v>10</v>
      </c>
      <c r="W40" s="98">
        <v>7248</v>
      </c>
      <c r="X40" s="98">
        <v>12</v>
      </c>
      <c r="Y40" s="98">
        <v>8697.5999999999985</v>
      </c>
      <c r="Z40" s="98">
        <v>12</v>
      </c>
      <c r="AA40" s="98">
        <v>8697.5999999999985</v>
      </c>
      <c r="AB40" s="98">
        <v>10</v>
      </c>
      <c r="AC40" s="98">
        <v>7248</v>
      </c>
      <c r="AD40" s="98">
        <v>17</v>
      </c>
      <c r="AE40" s="98">
        <v>12321.599999999999</v>
      </c>
      <c r="AF40" s="98">
        <v>14</v>
      </c>
      <c r="AG40" s="98">
        <v>10147.199999999999</v>
      </c>
      <c r="AH40" s="98">
        <v>11</v>
      </c>
      <c r="AI40" s="98">
        <v>7972.7999999999993</v>
      </c>
      <c r="AJ40" s="98">
        <v>13</v>
      </c>
      <c r="AK40" s="98">
        <v>9422.4</v>
      </c>
      <c r="AL40" s="98">
        <v>15</v>
      </c>
      <c r="AM40" s="98">
        <v>10872</v>
      </c>
      <c r="AN40" s="98">
        <v>15</v>
      </c>
      <c r="AO40" s="98">
        <v>10872</v>
      </c>
      <c r="AP40" s="98">
        <v>13</v>
      </c>
      <c r="AQ40" s="98">
        <v>9422.4</v>
      </c>
      <c r="AR40" s="98">
        <v>13</v>
      </c>
      <c r="AS40" s="98">
        <v>9422.4</v>
      </c>
      <c r="AT40" s="98">
        <v>16</v>
      </c>
      <c r="AU40" s="98">
        <v>11596.8</v>
      </c>
      <c r="AV40" s="98">
        <v>10</v>
      </c>
      <c r="AW40" s="98">
        <v>7248</v>
      </c>
      <c r="AX40" s="98">
        <v>13</v>
      </c>
      <c r="AY40" s="98">
        <v>9422.4</v>
      </c>
      <c r="AZ40" s="98">
        <v>14</v>
      </c>
      <c r="BA40" s="98">
        <v>10147.199999999999</v>
      </c>
      <c r="BB40" s="98">
        <v>15</v>
      </c>
      <c r="BC40" s="98">
        <v>10872</v>
      </c>
      <c r="BD40" s="98">
        <v>16</v>
      </c>
      <c r="BE40" s="98">
        <v>11596.8</v>
      </c>
      <c r="BF40" s="98">
        <v>16</v>
      </c>
      <c r="BG40" s="98">
        <v>11596.8</v>
      </c>
      <c r="BH40" s="98">
        <v>18</v>
      </c>
      <c r="BI40" s="98">
        <v>13046.4</v>
      </c>
      <c r="BJ40" s="98">
        <v>11</v>
      </c>
      <c r="BK40" s="98">
        <v>7972.7999999999993</v>
      </c>
      <c r="BL40" s="98">
        <v>16</v>
      </c>
      <c r="BM40" s="98">
        <v>11596.8</v>
      </c>
      <c r="BN40" s="98">
        <v>14</v>
      </c>
      <c r="BO40" s="98">
        <v>10147.199999999999</v>
      </c>
      <c r="BP40" s="98">
        <v>10</v>
      </c>
      <c r="BQ40" s="98">
        <v>7248</v>
      </c>
      <c r="BR40" s="98">
        <v>12</v>
      </c>
      <c r="BS40" s="98">
        <v>8697.5999999999985</v>
      </c>
      <c r="BT40" s="98">
        <v>13</v>
      </c>
      <c r="BU40" s="98">
        <v>9422.4</v>
      </c>
      <c r="BV40" s="98">
        <v>15</v>
      </c>
      <c r="BW40" s="98">
        <v>10872</v>
      </c>
      <c r="BX40" s="98">
        <v>14</v>
      </c>
      <c r="BY40" s="98">
        <v>10147.199999999999</v>
      </c>
      <c r="BZ40" s="98">
        <v>9</v>
      </c>
      <c r="CA40" s="98">
        <v>6523.2</v>
      </c>
      <c r="CB40" s="98">
        <v>15</v>
      </c>
      <c r="CC40" s="98">
        <v>10872</v>
      </c>
      <c r="CD40" s="98">
        <v>9</v>
      </c>
      <c r="CE40" s="98">
        <v>6523.2</v>
      </c>
      <c r="CF40" s="98">
        <v>14</v>
      </c>
      <c r="CG40" s="98">
        <v>10147.199999999999</v>
      </c>
      <c r="CH40" s="98">
        <v>12</v>
      </c>
      <c r="CI40" s="98">
        <v>8697.5999999999985</v>
      </c>
      <c r="CJ40" s="98">
        <v>15</v>
      </c>
      <c r="CK40" s="98">
        <v>10872</v>
      </c>
      <c r="CL40" s="98">
        <v>10.847142679295985</v>
      </c>
      <c r="CM40" s="98">
        <v>7862.0090139537288</v>
      </c>
      <c r="CN40" s="98">
        <v>13</v>
      </c>
      <c r="CO40" s="98">
        <v>9422.4</v>
      </c>
      <c r="CP40" s="98">
        <v>8</v>
      </c>
      <c r="CQ40" s="98">
        <v>5798.4</v>
      </c>
      <c r="CR40" s="98">
        <v>10</v>
      </c>
      <c r="CS40" s="98">
        <v>7248</v>
      </c>
      <c r="CT40" s="98">
        <v>11</v>
      </c>
      <c r="CU40" s="98">
        <v>7972.7999999999993</v>
      </c>
    </row>
    <row r="41" spans="2:99">
      <c r="C41" s="97" t="s">
        <v>208</v>
      </c>
      <c r="D41" s="98">
        <v>11</v>
      </c>
      <c r="E41" s="98">
        <v>7260</v>
      </c>
      <c r="F41" s="98">
        <v>11</v>
      </c>
      <c r="G41" s="98">
        <v>7260</v>
      </c>
      <c r="H41" s="98">
        <v>9</v>
      </c>
      <c r="I41" s="98">
        <v>5940</v>
      </c>
      <c r="J41" s="98">
        <v>12</v>
      </c>
      <c r="K41" s="98">
        <v>7920</v>
      </c>
      <c r="L41" s="98">
        <v>11</v>
      </c>
      <c r="M41" s="98">
        <v>7260</v>
      </c>
      <c r="N41" s="98">
        <v>14</v>
      </c>
      <c r="O41" s="98">
        <v>9240</v>
      </c>
      <c r="P41" s="98">
        <v>9</v>
      </c>
      <c r="Q41" s="98">
        <v>5940</v>
      </c>
      <c r="R41" s="98">
        <v>14</v>
      </c>
      <c r="S41" s="98">
        <v>9240</v>
      </c>
      <c r="T41" s="98">
        <v>16</v>
      </c>
      <c r="U41" s="98">
        <v>10560</v>
      </c>
      <c r="V41" s="98">
        <v>10</v>
      </c>
      <c r="W41" s="98">
        <v>6600</v>
      </c>
      <c r="X41" s="98">
        <v>13</v>
      </c>
      <c r="Y41" s="98">
        <v>8580</v>
      </c>
      <c r="Z41" s="98">
        <v>12</v>
      </c>
      <c r="AA41" s="98">
        <v>7920</v>
      </c>
      <c r="AB41" s="98">
        <v>11</v>
      </c>
      <c r="AC41" s="98">
        <v>7260</v>
      </c>
      <c r="AD41" s="98">
        <v>15</v>
      </c>
      <c r="AE41" s="98">
        <v>9900</v>
      </c>
      <c r="AF41" s="98">
        <v>15</v>
      </c>
      <c r="AG41" s="98">
        <v>9900</v>
      </c>
      <c r="AH41" s="98">
        <v>12</v>
      </c>
      <c r="AI41" s="98">
        <v>7920</v>
      </c>
      <c r="AJ41" s="98">
        <v>12</v>
      </c>
      <c r="AK41" s="98">
        <v>7920</v>
      </c>
      <c r="AL41" s="98">
        <v>16</v>
      </c>
      <c r="AM41" s="98">
        <v>10560</v>
      </c>
      <c r="AN41" s="98">
        <v>14</v>
      </c>
      <c r="AO41" s="98">
        <v>9240</v>
      </c>
      <c r="AP41" s="98">
        <v>14</v>
      </c>
      <c r="AQ41" s="98">
        <v>9240</v>
      </c>
      <c r="AR41" s="98">
        <v>12</v>
      </c>
      <c r="AS41" s="98">
        <v>7920</v>
      </c>
      <c r="AT41" s="98">
        <v>16</v>
      </c>
      <c r="AU41" s="98">
        <v>10560</v>
      </c>
      <c r="AV41" s="98">
        <v>10</v>
      </c>
      <c r="AW41" s="98">
        <v>6600</v>
      </c>
      <c r="AX41" s="98">
        <v>13</v>
      </c>
      <c r="AY41" s="98">
        <v>8580</v>
      </c>
      <c r="AZ41" s="98">
        <v>17</v>
      </c>
      <c r="BA41" s="98">
        <v>11220</v>
      </c>
      <c r="BB41" s="98">
        <v>15</v>
      </c>
      <c r="BC41" s="98">
        <v>9900</v>
      </c>
      <c r="BD41" s="98">
        <v>16</v>
      </c>
      <c r="BE41" s="98">
        <v>10560</v>
      </c>
      <c r="BF41" s="98">
        <v>14</v>
      </c>
      <c r="BG41" s="98">
        <v>9240</v>
      </c>
      <c r="BH41" s="98">
        <v>15</v>
      </c>
      <c r="BI41" s="98">
        <v>9900</v>
      </c>
      <c r="BJ41" s="98">
        <v>11</v>
      </c>
      <c r="BK41" s="98">
        <v>7260</v>
      </c>
      <c r="BL41" s="98">
        <v>16</v>
      </c>
      <c r="BM41" s="98">
        <v>10560</v>
      </c>
      <c r="BN41" s="98">
        <v>14</v>
      </c>
      <c r="BO41" s="98">
        <v>9240</v>
      </c>
      <c r="BP41" s="98">
        <v>9</v>
      </c>
      <c r="BQ41" s="98">
        <v>5940</v>
      </c>
      <c r="BR41" s="98">
        <v>11</v>
      </c>
      <c r="BS41" s="98">
        <v>7260</v>
      </c>
      <c r="BT41" s="98">
        <v>13</v>
      </c>
      <c r="BU41" s="98">
        <v>8580</v>
      </c>
      <c r="BV41" s="98">
        <v>17</v>
      </c>
      <c r="BW41" s="98">
        <v>11220</v>
      </c>
      <c r="BX41" s="98">
        <v>14</v>
      </c>
      <c r="BY41" s="98">
        <v>9240</v>
      </c>
      <c r="BZ41" s="98">
        <v>11</v>
      </c>
      <c r="CA41" s="98">
        <v>7260</v>
      </c>
      <c r="CB41" s="98">
        <v>17</v>
      </c>
      <c r="CC41" s="98">
        <v>11220</v>
      </c>
      <c r="CD41" s="98">
        <v>10</v>
      </c>
      <c r="CE41" s="98">
        <v>6600</v>
      </c>
      <c r="CF41" s="98">
        <v>15</v>
      </c>
      <c r="CG41" s="98">
        <v>9900</v>
      </c>
      <c r="CH41" s="98">
        <v>13</v>
      </c>
      <c r="CI41" s="98">
        <v>8580</v>
      </c>
      <c r="CJ41" s="98">
        <v>16</v>
      </c>
      <c r="CK41" s="98">
        <v>10560</v>
      </c>
      <c r="CL41" s="98">
        <v>10.847142679295985</v>
      </c>
      <c r="CM41" s="98">
        <v>7159.1141683353499</v>
      </c>
      <c r="CN41" s="98">
        <v>14</v>
      </c>
      <c r="CO41" s="98">
        <v>9240</v>
      </c>
      <c r="CP41" s="98">
        <v>9</v>
      </c>
      <c r="CQ41" s="98">
        <v>5940</v>
      </c>
      <c r="CR41" s="98">
        <v>11</v>
      </c>
      <c r="CS41" s="98">
        <v>7260</v>
      </c>
      <c r="CT41" s="98">
        <v>13</v>
      </c>
      <c r="CU41" s="98">
        <v>8580</v>
      </c>
    </row>
    <row r="42" spans="2:99">
      <c r="C42" s="97" t="s">
        <v>209</v>
      </c>
      <c r="D42" s="98">
        <v>12</v>
      </c>
      <c r="E42" s="98">
        <v>10152</v>
      </c>
      <c r="F42" s="98">
        <v>11</v>
      </c>
      <c r="G42" s="98">
        <v>9306</v>
      </c>
      <c r="H42" s="98">
        <v>9</v>
      </c>
      <c r="I42" s="98">
        <v>7614</v>
      </c>
      <c r="J42" s="98">
        <v>13</v>
      </c>
      <c r="K42" s="98">
        <v>10998</v>
      </c>
      <c r="L42" s="98">
        <v>11</v>
      </c>
      <c r="M42" s="98">
        <v>9306</v>
      </c>
      <c r="N42" s="98">
        <v>16</v>
      </c>
      <c r="O42" s="98">
        <v>13536</v>
      </c>
      <c r="P42" s="98">
        <v>9</v>
      </c>
      <c r="Q42" s="98">
        <v>7614</v>
      </c>
      <c r="R42" s="98">
        <v>15</v>
      </c>
      <c r="S42" s="98">
        <v>12690</v>
      </c>
      <c r="T42" s="98">
        <v>15</v>
      </c>
      <c r="U42" s="98">
        <v>12690</v>
      </c>
      <c r="V42" s="98">
        <v>9</v>
      </c>
      <c r="W42" s="98">
        <v>7614</v>
      </c>
      <c r="X42" s="98">
        <v>13</v>
      </c>
      <c r="Y42" s="98">
        <v>10998</v>
      </c>
      <c r="Z42" s="98">
        <v>11</v>
      </c>
      <c r="AA42" s="98">
        <v>9306</v>
      </c>
      <c r="AB42" s="98">
        <v>9</v>
      </c>
      <c r="AC42" s="98">
        <v>7614</v>
      </c>
      <c r="AD42" s="98">
        <v>17</v>
      </c>
      <c r="AE42" s="98">
        <v>14382</v>
      </c>
      <c r="AF42" s="98">
        <v>14</v>
      </c>
      <c r="AG42" s="98">
        <v>11844</v>
      </c>
      <c r="AH42" s="98">
        <v>11</v>
      </c>
      <c r="AI42" s="98">
        <v>9306</v>
      </c>
      <c r="AJ42" s="98">
        <v>13</v>
      </c>
      <c r="AK42" s="98">
        <v>10998</v>
      </c>
      <c r="AL42" s="98">
        <v>16</v>
      </c>
      <c r="AM42" s="98">
        <v>13536</v>
      </c>
      <c r="AN42" s="98">
        <v>14</v>
      </c>
      <c r="AO42" s="98">
        <v>11844</v>
      </c>
      <c r="AP42" s="98">
        <v>14</v>
      </c>
      <c r="AQ42" s="98">
        <v>11844</v>
      </c>
      <c r="AR42" s="98">
        <v>12</v>
      </c>
      <c r="AS42" s="98">
        <v>10152</v>
      </c>
      <c r="AT42" s="98">
        <v>15</v>
      </c>
      <c r="AU42" s="98">
        <v>12690</v>
      </c>
      <c r="AV42" s="98">
        <v>10</v>
      </c>
      <c r="AW42" s="98">
        <v>8460</v>
      </c>
      <c r="AX42" s="98">
        <v>14</v>
      </c>
      <c r="AY42" s="98">
        <v>11844</v>
      </c>
      <c r="AZ42" s="98">
        <v>16</v>
      </c>
      <c r="BA42" s="98">
        <v>13536</v>
      </c>
      <c r="BB42" s="98">
        <v>15</v>
      </c>
      <c r="BC42" s="98">
        <v>12690</v>
      </c>
      <c r="BD42" s="98">
        <v>15</v>
      </c>
      <c r="BE42" s="98">
        <v>12690</v>
      </c>
      <c r="BF42" s="98">
        <v>16</v>
      </c>
      <c r="BG42" s="98">
        <v>13536</v>
      </c>
      <c r="BH42" s="98">
        <v>17</v>
      </c>
      <c r="BI42" s="98">
        <v>14382</v>
      </c>
      <c r="BJ42" s="98">
        <v>10</v>
      </c>
      <c r="BK42" s="98">
        <v>8460</v>
      </c>
      <c r="BL42" s="98">
        <v>15</v>
      </c>
      <c r="BM42" s="98">
        <v>12690</v>
      </c>
      <c r="BN42" s="98">
        <v>14</v>
      </c>
      <c r="BO42" s="98">
        <v>11844</v>
      </c>
      <c r="BP42" s="98">
        <v>11</v>
      </c>
      <c r="BQ42" s="98">
        <v>9306</v>
      </c>
      <c r="BR42" s="98">
        <v>12</v>
      </c>
      <c r="BS42" s="98">
        <v>10152</v>
      </c>
      <c r="BT42" s="98">
        <v>13</v>
      </c>
      <c r="BU42" s="98">
        <v>10998</v>
      </c>
      <c r="BV42" s="98">
        <v>17</v>
      </c>
      <c r="BW42" s="98">
        <v>14382</v>
      </c>
      <c r="BX42" s="98">
        <v>15</v>
      </c>
      <c r="BY42" s="98">
        <v>12690</v>
      </c>
      <c r="BZ42" s="98">
        <v>11</v>
      </c>
      <c r="CA42" s="98">
        <v>9306</v>
      </c>
      <c r="CB42" s="98">
        <v>17</v>
      </c>
      <c r="CC42" s="98">
        <v>14382</v>
      </c>
      <c r="CD42" s="98">
        <v>10</v>
      </c>
      <c r="CE42" s="98">
        <v>8460</v>
      </c>
      <c r="CF42" s="98">
        <v>14</v>
      </c>
      <c r="CG42" s="98">
        <v>11844</v>
      </c>
      <c r="CH42" s="98">
        <v>11</v>
      </c>
      <c r="CI42" s="98">
        <v>9306</v>
      </c>
      <c r="CJ42" s="98">
        <v>17</v>
      </c>
      <c r="CK42" s="98">
        <v>14382</v>
      </c>
      <c r="CL42" s="98">
        <v>9.9432141226879853</v>
      </c>
      <c r="CM42" s="98">
        <v>8411.9591477940357</v>
      </c>
      <c r="CN42" s="98">
        <v>13</v>
      </c>
      <c r="CO42" s="98">
        <v>10998</v>
      </c>
      <c r="CP42" s="98">
        <v>8</v>
      </c>
      <c r="CQ42" s="98">
        <v>6768</v>
      </c>
      <c r="CR42" s="98">
        <v>9</v>
      </c>
      <c r="CS42" s="98">
        <v>7614</v>
      </c>
      <c r="CT42" s="98">
        <v>13</v>
      </c>
      <c r="CU42" s="98">
        <v>10998</v>
      </c>
    </row>
    <row r="43" spans="2:99">
      <c r="C43" s="97" t="s">
        <v>210</v>
      </c>
      <c r="D43" s="98">
        <v>12</v>
      </c>
      <c r="E43" s="98">
        <v>12268.8</v>
      </c>
      <c r="F43" s="98">
        <v>11</v>
      </c>
      <c r="G43" s="98">
        <v>11246.4</v>
      </c>
      <c r="H43" s="98">
        <v>9</v>
      </c>
      <c r="I43" s="98">
        <v>9201.6</v>
      </c>
      <c r="J43" s="98">
        <v>14</v>
      </c>
      <c r="K43" s="98">
        <v>14313.6</v>
      </c>
      <c r="L43" s="98">
        <v>12</v>
      </c>
      <c r="M43" s="98">
        <v>12268.8</v>
      </c>
      <c r="N43" s="98">
        <v>15</v>
      </c>
      <c r="O43" s="98">
        <v>15336</v>
      </c>
      <c r="P43" s="98">
        <v>9</v>
      </c>
      <c r="Q43" s="98">
        <v>9201.6</v>
      </c>
      <c r="R43" s="98">
        <v>15</v>
      </c>
      <c r="S43" s="98">
        <v>15336</v>
      </c>
      <c r="T43" s="98">
        <v>14</v>
      </c>
      <c r="U43" s="98">
        <v>14313.6</v>
      </c>
      <c r="V43" s="98">
        <v>9</v>
      </c>
      <c r="W43" s="98">
        <v>9201.6</v>
      </c>
      <c r="X43" s="98">
        <v>12</v>
      </c>
      <c r="Y43" s="98">
        <v>12268.8</v>
      </c>
      <c r="Z43" s="98">
        <v>12</v>
      </c>
      <c r="AA43" s="98">
        <v>12268.8</v>
      </c>
      <c r="AB43" s="98">
        <v>10</v>
      </c>
      <c r="AC43" s="98">
        <v>10224</v>
      </c>
      <c r="AD43" s="98">
        <v>17</v>
      </c>
      <c r="AE43" s="98">
        <v>17380.8</v>
      </c>
      <c r="AF43" s="98">
        <v>15</v>
      </c>
      <c r="AG43" s="98">
        <v>15336</v>
      </c>
      <c r="AH43" s="98">
        <v>11</v>
      </c>
      <c r="AI43" s="98">
        <v>11246.4</v>
      </c>
      <c r="AJ43" s="98">
        <v>11</v>
      </c>
      <c r="AK43" s="98">
        <v>11246.4</v>
      </c>
      <c r="AL43" s="98">
        <v>15</v>
      </c>
      <c r="AM43" s="98">
        <v>15336</v>
      </c>
      <c r="AN43" s="98">
        <v>14</v>
      </c>
      <c r="AO43" s="98">
        <v>14313.6</v>
      </c>
      <c r="AP43" s="98">
        <v>13</v>
      </c>
      <c r="AQ43" s="98">
        <v>13291.199999999999</v>
      </c>
      <c r="AR43" s="98">
        <v>11</v>
      </c>
      <c r="AS43" s="98">
        <v>11246.4</v>
      </c>
      <c r="AT43" s="98">
        <v>16</v>
      </c>
      <c r="AU43" s="98">
        <v>16358.4</v>
      </c>
      <c r="AV43" s="98">
        <v>11</v>
      </c>
      <c r="AW43" s="98">
        <v>11246.4</v>
      </c>
      <c r="AX43" s="98">
        <v>14</v>
      </c>
      <c r="AY43" s="98">
        <v>14313.6</v>
      </c>
      <c r="AZ43" s="98">
        <v>15</v>
      </c>
      <c r="BA43" s="98">
        <v>15336</v>
      </c>
      <c r="BB43" s="98">
        <v>15</v>
      </c>
      <c r="BC43" s="98">
        <v>15336</v>
      </c>
      <c r="BD43" s="98">
        <v>16</v>
      </c>
      <c r="BE43" s="98">
        <v>16358.4</v>
      </c>
      <c r="BF43" s="98">
        <v>16</v>
      </c>
      <c r="BG43" s="98">
        <v>16358.4</v>
      </c>
      <c r="BH43" s="98">
        <v>18</v>
      </c>
      <c r="BI43" s="98">
        <v>18403.2</v>
      </c>
      <c r="BJ43" s="98">
        <v>10</v>
      </c>
      <c r="BK43" s="98">
        <v>10224</v>
      </c>
      <c r="BL43" s="98">
        <v>17</v>
      </c>
      <c r="BM43" s="98">
        <v>17380.8</v>
      </c>
      <c r="BN43" s="98">
        <v>14</v>
      </c>
      <c r="BO43" s="98">
        <v>14313.6</v>
      </c>
      <c r="BP43" s="98">
        <v>9</v>
      </c>
      <c r="BQ43" s="98">
        <v>9201.6</v>
      </c>
      <c r="BR43" s="98">
        <v>12</v>
      </c>
      <c r="BS43" s="98">
        <v>12268.8</v>
      </c>
      <c r="BT43" s="98">
        <v>12</v>
      </c>
      <c r="BU43" s="98">
        <v>12268.8</v>
      </c>
      <c r="BV43" s="98">
        <v>15</v>
      </c>
      <c r="BW43" s="98">
        <v>15336</v>
      </c>
      <c r="BX43" s="98">
        <v>15</v>
      </c>
      <c r="BY43" s="98">
        <v>15336</v>
      </c>
      <c r="BZ43" s="98">
        <v>10</v>
      </c>
      <c r="CA43" s="98">
        <v>10224</v>
      </c>
      <c r="CB43" s="98">
        <v>17</v>
      </c>
      <c r="CC43" s="98">
        <v>17380.8</v>
      </c>
      <c r="CD43" s="98">
        <v>9</v>
      </c>
      <c r="CE43" s="98">
        <v>9201.6</v>
      </c>
      <c r="CF43" s="98">
        <v>14</v>
      </c>
      <c r="CG43" s="98">
        <v>14313.6</v>
      </c>
      <c r="CH43" s="98">
        <v>11</v>
      </c>
      <c r="CI43" s="98">
        <v>11246.4</v>
      </c>
      <c r="CJ43" s="98">
        <v>18</v>
      </c>
      <c r="CK43" s="98">
        <v>18403.2</v>
      </c>
      <c r="CL43" s="98">
        <v>9.0392855660799878</v>
      </c>
      <c r="CM43" s="98">
        <v>9241.7655627601798</v>
      </c>
      <c r="CN43" s="98">
        <v>12</v>
      </c>
      <c r="CO43" s="98">
        <v>12268.8</v>
      </c>
      <c r="CP43" s="98">
        <v>8</v>
      </c>
      <c r="CQ43" s="98">
        <v>8179.2</v>
      </c>
      <c r="CR43" s="98">
        <v>11</v>
      </c>
      <c r="CS43" s="98">
        <v>11246.4</v>
      </c>
      <c r="CT43" s="98">
        <v>12</v>
      </c>
      <c r="CU43" s="98">
        <v>12268.8</v>
      </c>
    </row>
    <row r="44" spans="2:99">
      <c r="C44" s="97" t="s">
        <v>211</v>
      </c>
      <c r="D44" s="98">
        <v>11</v>
      </c>
      <c r="E44" s="98">
        <v>11246.4</v>
      </c>
      <c r="F44" s="98">
        <v>12</v>
      </c>
      <c r="G44" s="98">
        <v>12268.8</v>
      </c>
      <c r="H44" s="98">
        <v>9</v>
      </c>
      <c r="I44" s="98">
        <v>9201.6</v>
      </c>
      <c r="J44" s="98">
        <v>13</v>
      </c>
      <c r="K44" s="98">
        <v>13291.199999999999</v>
      </c>
      <c r="L44" s="98">
        <v>13</v>
      </c>
      <c r="M44" s="98">
        <v>13291.199999999999</v>
      </c>
      <c r="N44" s="98">
        <v>15</v>
      </c>
      <c r="O44" s="98">
        <v>15336</v>
      </c>
      <c r="P44" s="98">
        <v>9</v>
      </c>
      <c r="Q44" s="98">
        <v>9201.6</v>
      </c>
      <c r="R44" s="98">
        <v>16</v>
      </c>
      <c r="S44" s="98">
        <v>16358.4</v>
      </c>
      <c r="T44" s="98">
        <v>14</v>
      </c>
      <c r="U44" s="98">
        <v>14313.6</v>
      </c>
      <c r="V44" s="98">
        <v>10</v>
      </c>
      <c r="W44" s="98">
        <v>10224</v>
      </c>
      <c r="X44" s="98">
        <v>12</v>
      </c>
      <c r="Y44" s="98">
        <v>12268.8</v>
      </c>
      <c r="Z44" s="98">
        <v>11</v>
      </c>
      <c r="AA44" s="98">
        <v>11246.4</v>
      </c>
      <c r="AB44" s="98">
        <v>9</v>
      </c>
      <c r="AC44" s="98">
        <v>9201.6</v>
      </c>
      <c r="AD44" s="98">
        <v>15</v>
      </c>
      <c r="AE44" s="98">
        <v>15336</v>
      </c>
      <c r="AF44" s="98">
        <v>14</v>
      </c>
      <c r="AG44" s="98">
        <v>14313.6</v>
      </c>
      <c r="AH44" s="98">
        <v>12</v>
      </c>
      <c r="AI44" s="98">
        <v>12268.8</v>
      </c>
      <c r="AJ44" s="98">
        <v>12</v>
      </c>
      <c r="AK44" s="98">
        <v>12268.8</v>
      </c>
      <c r="AL44" s="98">
        <v>17</v>
      </c>
      <c r="AM44" s="98">
        <v>17380.8</v>
      </c>
      <c r="AN44" s="98">
        <v>15</v>
      </c>
      <c r="AO44" s="98">
        <v>15336</v>
      </c>
      <c r="AP44" s="98">
        <v>14</v>
      </c>
      <c r="AQ44" s="98">
        <v>14313.6</v>
      </c>
      <c r="AR44" s="98">
        <v>12</v>
      </c>
      <c r="AS44" s="98">
        <v>12268.8</v>
      </c>
      <c r="AT44" s="98">
        <v>16</v>
      </c>
      <c r="AU44" s="98">
        <v>16358.4</v>
      </c>
      <c r="AV44" s="98">
        <v>11</v>
      </c>
      <c r="AW44" s="98">
        <v>11246.4</v>
      </c>
      <c r="AX44" s="98">
        <v>13</v>
      </c>
      <c r="AY44" s="98">
        <v>13291.199999999999</v>
      </c>
      <c r="AZ44" s="98">
        <v>15</v>
      </c>
      <c r="BA44" s="98">
        <v>15336</v>
      </c>
      <c r="BB44" s="98">
        <v>15</v>
      </c>
      <c r="BC44" s="98">
        <v>15336</v>
      </c>
      <c r="BD44" s="98">
        <v>16</v>
      </c>
      <c r="BE44" s="98">
        <v>16358.4</v>
      </c>
      <c r="BF44" s="98">
        <v>14</v>
      </c>
      <c r="BG44" s="98">
        <v>14313.6</v>
      </c>
      <c r="BH44" s="98">
        <v>17</v>
      </c>
      <c r="BI44" s="98">
        <v>17380.8</v>
      </c>
      <c r="BJ44" s="98">
        <v>10</v>
      </c>
      <c r="BK44" s="98">
        <v>10224</v>
      </c>
      <c r="BL44" s="98">
        <v>16</v>
      </c>
      <c r="BM44" s="98">
        <v>16358.4</v>
      </c>
      <c r="BN44" s="98">
        <v>14</v>
      </c>
      <c r="BO44" s="98">
        <v>14313.6</v>
      </c>
      <c r="BP44" s="98">
        <v>10</v>
      </c>
      <c r="BQ44" s="98">
        <v>10224</v>
      </c>
      <c r="BR44" s="98">
        <v>13</v>
      </c>
      <c r="BS44" s="98">
        <v>13291.199999999999</v>
      </c>
      <c r="BT44" s="98">
        <v>13</v>
      </c>
      <c r="BU44" s="98">
        <v>13291.199999999999</v>
      </c>
      <c r="BV44" s="98">
        <v>16</v>
      </c>
      <c r="BW44" s="98">
        <v>16358.4</v>
      </c>
      <c r="BX44" s="98">
        <v>13</v>
      </c>
      <c r="BY44" s="98">
        <v>13291.199999999999</v>
      </c>
      <c r="BZ44" s="98">
        <v>9</v>
      </c>
      <c r="CA44" s="98">
        <v>9201.6</v>
      </c>
      <c r="CB44" s="98">
        <v>15</v>
      </c>
      <c r="CC44" s="98">
        <v>15336</v>
      </c>
      <c r="CD44" s="98">
        <v>9</v>
      </c>
      <c r="CE44" s="98">
        <v>9201.6</v>
      </c>
      <c r="CF44" s="98">
        <v>15</v>
      </c>
      <c r="CG44" s="98">
        <v>15336</v>
      </c>
      <c r="CH44" s="98">
        <v>11</v>
      </c>
      <c r="CI44" s="98">
        <v>11246.4</v>
      </c>
      <c r="CJ44" s="98">
        <v>15</v>
      </c>
      <c r="CK44" s="98">
        <v>15336</v>
      </c>
      <c r="CL44" s="98">
        <v>9.0392855660799878</v>
      </c>
      <c r="CM44" s="98">
        <v>9241.7655627601798</v>
      </c>
      <c r="CN44" s="98">
        <v>13</v>
      </c>
      <c r="CO44" s="98">
        <v>13291.199999999999</v>
      </c>
      <c r="CP44" s="98">
        <v>8</v>
      </c>
      <c r="CQ44" s="98">
        <v>8179.2</v>
      </c>
      <c r="CR44" s="98">
        <v>11</v>
      </c>
      <c r="CS44" s="98">
        <v>11246.4</v>
      </c>
      <c r="CT44" s="98">
        <v>11</v>
      </c>
      <c r="CU44" s="98">
        <v>11246.4</v>
      </c>
    </row>
    <row r="45" spans="2:99">
      <c r="C45" s="97" t="s">
        <v>212</v>
      </c>
      <c r="D45" s="98">
        <v>11</v>
      </c>
      <c r="E45" s="98">
        <v>13741.2</v>
      </c>
      <c r="F45" s="98">
        <v>12</v>
      </c>
      <c r="G45" s="98">
        <v>14990.400000000001</v>
      </c>
      <c r="H45" s="98">
        <v>8</v>
      </c>
      <c r="I45" s="98">
        <v>9993.6</v>
      </c>
      <c r="J45" s="98">
        <v>12</v>
      </c>
      <c r="K45" s="98">
        <v>14990.400000000001</v>
      </c>
      <c r="L45" s="98">
        <v>12</v>
      </c>
      <c r="M45" s="98">
        <v>14990.400000000001</v>
      </c>
      <c r="N45" s="98">
        <v>14</v>
      </c>
      <c r="O45" s="98">
        <v>17488.8</v>
      </c>
      <c r="P45" s="98">
        <v>9</v>
      </c>
      <c r="Q45" s="98">
        <v>11242.800000000001</v>
      </c>
      <c r="R45" s="98">
        <v>14</v>
      </c>
      <c r="S45" s="98">
        <v>17488.8</v>
      </c>
      <c r="T45" s="98">
        <v>13</v>
      </c>
      <c r="U45" s="98">
        <v>16239.6</v>
      </c>
      <c r="V45" s="98">
        <v>10</v>
      </c>
      <c r="W45" s="98">
        <v>12492</v>
      </c>
      <c r="X45" s="98">
        <v>12</v>
      </c>
      <c r="Y45" s="98">
        <v>14990.400000000001</v>
      </c>
      <c r="Z45" s="98">
        <v>12</v>
      </c>
      <c r="AA45" s="98">
        <v>14990.400000000001</v>
      </c>
      <c r="AB45" s="98">
        <v>9</v>
      </c>
      <c r="AC45" s="98">
        <v>11242.800000000001</v>
      </c>
      <c r="AD45" s="98">
        <v>15</v>
      </c>
      <c r="AE45" s="98">
        <v>18738</v>
      </c>
      <c r="AF45" s="98">
        <v>15</v>
      </c>
      <c r="AG45" s="98">
        <v>18738</v>
      </c>
      <c r="AH45" s="98">
        <v>11</v>
      </c>
      <c r="AI45" s="98">
        <v>13741.2</v>
      </c>
      <c r="AJ45" s="98">
        <v>12</v>
      </c>
      <c r="AK45" s="98">
        <v>14990.400000000001</v>
      </c>
      <c r="AL45" s="98">
        <v>15</v>
      </c>
      <c r="AM45" s="98">
        <v>18738</v>
      </c>
      <c r="AN45" s="98">
        <v>15</v>
      </c>
      <c r="AO45" s="98">
        <v>18738</v>
      </c>
      <c r="AP45" s="98">
        <v>13</v>
      </c>
      <c r="AQ45" s="98">
        <v>16239.6</v>
      </c>
      <c r="AR45" s="98">
        <v>13</v>
      </c>
      <c r="AS45" s="98">
        <v>16239.6</v>
      </c>
      <c r="AT45" s="98">
        <v>15</v>
      </c>
      <c r="AU45" s="98">
        <v>18738</v>
      </c>
      <c r="AV45" s="98">
        <v>12</v>
      </c>
      <c r="AW45" s="98">
        <v>14990.400000000001</v>
      </c>
      <c r="AX45" s="98">
        <v>12</v>
      </c>
      <c r="AY45" s="98">
        <v>14990.400000000001</v>
      </c>
      <c r="AZ45" s="98">
        <v>16</v>
      </c>
      <c r="BA45" s="98">
        <v>19987.2</v>
      </c>
      <c r="BB45" s="98">
        <v>15</v>
      </c>
      <c r="BC45" s="98">
        <v>18738</v>
      </c>
      <c r="BD45" s="98">
        <v>15</v>
      </c>
      <c r="BE45" s="98">
        <v>18738</v>
      </c>
      <c r="BF45" s="98">
        <v>15</v>
      </c>
      <c r="BG45" s="98">
        <v>18738</v>
      </c>
      <c r="BH45" s="98">
        <v>16</v>
      </c>
      <c r="BI45" s="98">
        <v>19987.2</v>
      </c>
      <c r="BJ45" s="98">
        <v>10</v>
      </c>
      <c r="BK45" s="98">
        <v>12492</v>
      </c>
      <c r="BL45" s="98">
        <v>16</v>
      </c>
      <c r="BM45" s="98">
        <v>19987.2</v>
      </c>
      <c r="BN45" s="98">
        <v>15</v>
      </c>
      <c r="BO45" s="98">
        <v>18738</v>
      </c>
      <c r="BP45" s="98">
        <v>10</v>
      </c>
      <c r="BQ45" s="98">
        <v>12492</v>
      </c>
      <c r="BR45" s="98">
        <v>11</v>
      </c>
      <c r="BS45" s="98">
        <v>13741.2</v>
      </c>
      <c r="BT45" s="98">
        <v>13</v>
      </c>
      <c r="BU45" s="98">
        <v>16239.6</v>
      </c>
      <c r="BV45" s="98">
        <v>15</v>
      </c>
      <c r="BW45" s="98">
        <v>18738</v>
      </c>
      <c r="BX45" s="98">
        <v>13</v>
      </c>
      <c r="BY45" s="98">
        <v>16239.6</v>
      </c>
      <c r="BZ45" s="98">
        <v>10</v>
      </c>
      <c r="CA45" s="98">
        <v>12492</v>
      </c>
      <c r="CB45" s="98">
        <v>16</v>
      </c>
      <c r="CC45" s="98">
        <v>19987.2</v>
      </c>
      <c r="CD45" s="98">
        <v>9</v>
      </c>
      <c r="CE45" s="98">
        <v>11242.800000000001</v>
      </c>
      <c r="CF45" s="98">
        <v>14</v>
      </c>
      <c r="CG45" s="98">
        <v>17488.8</v>
      </c>
      <c r="CH45" s="98">
        <v>10</v>
      </c>
      <c r="CI45" s="98">
        <v>12492</v>
      </c>
      <c r="CJ45" s="98">
        <v>17</v>
      </c>
      <c r="CK45" s="98">
        <v>21236.400000000001</v>
      </c>
      <c r="CL45" s="98">
        <v>9.9432141226879853</v>
      </c>
      <c r="CM45" s="98">
        <v>12421.063082061832</v>
      </c>
      <c r="CN45" s="98">
        <v>13</v>
      </c>
      <c r="CO45" s="98">
        <v>16239.6</v>
      </c>
      <c r="CP45" s="98">
        <v>8</v>
      </c>
      <c r="CQ45" s="98">
        <v>9993.6</v>
      </c>
      <c r="CR45" s="98">
        <v>10</v>
      </c>
      <c r="CS45" s="98">
        <v>12492</v>
      </c>
      <c r="CT45" s="98">
        <v>12</v>
      </c>
      <c r="CU45" s="98">
        <v>14990.400000000001</v>
      </c>
    </row>
    <row r="46" spans="2:99">
      <c r="C46" s="97" t="s">
        <v>213</v>
      </c>
      <c r="D46" s="98">
        <v>12</v>
      </c>
      <c r="E46" s="98">
        <v>14544</v>
      </c>
      <c r="F46" s="98">
        <v>11</v>
      </c>
      <c r="G46" s="98">
        <v>13332</v>
      </c>
      <c r="H46" s="98">
        <v>8</v>
      </c>
      <c r="I46" s="98">
        <v>9696</v>
      </c>
      <c r="J46" s="98">
        <v>14</v>
      </c>
      <c r="K46" s="98">
        <v>16968</v>
      </c>
      <c r="L46" s="98">
        <v>11</v>
      </c>
      <c r="M46" s="98">
        <v>13332</v>
      </c>
      <c r="N46" s="98">
        <v>14</v>
      </c>
      <c r="O46" s="98">
        <v>16968</v>
      </c>
      <c r="P46" s="98">
        <v>9</v>
      </c>
      <c r="Q46" s="98">
        <v>10908</v>
      </c>
      <c r="R46" s="98">
        <v>13</v>
      </c>
      <c r="S46" s="98">
        <v>15756</v>
      </c>
      <c r="T46" s="98">
        <v>14</v>
      </c>
      <c r="U46" s="98">
        <v>16968</v>
      </c>
      <c r="V46" s="98">
        <v>9</v>
      </c>
      <c r="W46" s="98">
        <v>10908</v>
      </c>
      <c r="X46" s="98">
        <v>12</v>
      </c>
      <c r="Y46" s="98">
        <v>14544</v>
      </c>
      <c r="Z46" s="98">
        <v>10</v>
      </c>
      <c r="AA46" s="98">
        <v>12120</v>
      </c>
      <c r="AB46" s="98">
        <v>9</v>
      </c>
      <c r="AC46" s="98">
        <v>10908</v>
      </c>
      <c r="AD46" s="98">
        <v>16</v>
      </c>
      <c r="AE46" s="98">
        <v>19392</v>
      </c>
      <c r="AF46" s="98">
        <v>15</v>
      </c>
      <c r="AG46" s="98">
        <v>18180</v>
      </c>
      <c r="AH46" s="98">
        <v>12</v>
      </c>
      <c r="AI46" s="98">
        <v>14544</v>
      </c>
      <c r="AJ46" s="98">
        <v>13</v>
      </c>
      <c r="AK46" s="98">
        <v>15756</v>
      </c>
      <c r="AL46" s="98">
        <v>17</v>
      </c>
      <c r="AM46" s="98">
        <v>20604</v>
      </c>
      <c r="AN46" s="98">
        <v>15</v>
      </c>
      <c r="AO46" s="98">
        <v>18180</v>
      </c>
      <c r="AP46" s="98">
        <v>14</v>
      </c>
      <c r="AQ46" s="98">
        <v>16968</v>
      </c>
      <c r="AR46" s="98">
        <v>11</v>
      </c>
      <c r="AS46" s="98">
        <v>13332</v>
      </c>
      <c r="AT46" s="98">
        <v>16</v>
      </c>
      <c r="AU46" s="98">
        <v>19392</v>
      </c>
      <c r="AV46" s="98">
        <v>11</v>
      </c>
      <c r="AW46" s="98">
        <v>13332</v>
      </c>
      <c r="AX46" s="98">
        <v>12</v>
      </c>
      <c r="AY46" s="98">
        <v>14544</v>
      </c>
      <c r="AZ46" s="98">
        <v>14</v>
      </c>
      <c r="BA46" s="98">
        <v>16968</v>
      </c>
      <c r="BB46" s="98">
        <v>15</v>
      </c>
      <c r="BC46" s="98">
        <v>18180</v>
      </c>
      <c r="BD46" s="98">
        <v>14</v>
      </c>
      <c r="BE46" s="98">
        <v>16968</v>
      </c>
      <c r="BF46" s="98">
        <v>13</v>
      </c>
      <c r="BG46" s="98">
        <v>15756</v>
      </c>
      <c r="BH46" s="98">
        <v>16</v>
      </c>
      <c r="BI46" s="98">
        <v>19392</v>
      </c>
      <c r="BJ46" s="98">
        <v>11</v>
      </c>
      <c r="BK46" s="98">
        <v>13332</v>
      </c>
      <c r="BL46" s="98">
        <v>17</v>
      </c>
      <c r="BM46" s="98">
        <v>20604</v>
      </c>
      <c r="BN46" s="98">
        <v>15</v>
      </c>
      <c r="BO46" s="98">
        <v>18180</v>
      </c>
      <c r="BP46" s="98">
        <v>11</v>
      </c>
      <c r="BQ46" s="98">
        <v>13332</v>
      </c>
      <c r="BR46" s="98">
        <v>11</v>
      </c>
      <c r="BS46" s="98">
        <v>13332</v>
      </c>
      <c r="BT46" s="98">
        <v>12</v>
      </c>
      <c r="BU46" s="98">
        <v>14544</v>
      </c>
      <c r="BV46" s="98">
        <v>15</v>
      </c>
      <c r="BW46" s="98">
        <v>18180</v>
      </c>
      <c r="BX46" s="98">
        <v>14</v>
      </c>
      <c r="BY46" s="98">
        <v>16968</v>
      </c>
      <c r="BZ46" s="98">
        <v>9</v>
      </c>
      <c r="CA46" s="98">
        <v>10908</v>
      </c>
      <c r="CB46" s="98">
        <v>16</v>
      </c>
      <c r="CC46" s="98">
        <v>19392</v>
      </c>
      <c r="CD46" s="98">
        <v>8</v>
      </c>
      <c r="CE46" s="98">
        <v>9696</v>
      </c>
      <c r="CF46" s="98">
        <v>13</v>
      </c>
      <c r="CG46" s="98">
        <v>15756</v>
      </c>
      <c r="CH46" s="98">
        <v>11</v>
      </c>
      <c r="CI46" s="98">
        <v>13332</v>
      </c>
      <c r="CJ46" s="98">
        <v>17</v>
      </c>
      <c r="CK46" s="98">
        <v>20604</v>
      </c>
      <c r="CL46" s="98">
        <v>9.9432141226879853</v>
      </c>
      <c r="CM46" s="98">
        <v>12051.175516697838</v>
      </c>
      <c r="CN46" s="98">
        <v>11</v>
      </c>
      <c r="CO46" s="98">
        <v>13332</v>
      </c>
      <c r="CP46" s="98">
        <v>8</v>
      </c>
      <c r="CQ46" s="98">
        <v>9696</v>
      </c>
      <c r="CR46" s="98">
        <v>10</v>
      </c>
      <c r="CS46" s="98">
        <v>12120</v>
      </c>
      <c r="CT46" s="98">
        <v>11</v>
      </c>
      <c r="CU46" s="98">
        <v>13332</v>
      </c>
    </row>
    <row r="47" spans="2:99">
      <c r="C47" s="97" t="s">
        <v>214</v>
      </c>
      <c r="D47" s="98">
        <v>10</v>
      </c>
      <c r="E47" s="98">
        <v>15276</v>
      </c>
      <c r="F47" s="98">
        <v>11</v>
      </c>
      <c r="G47" s="98">
        <v>16803.599999999999</v>
      </c>
      <c r="H47" s="98">
        <v>8</v>
      </c>
      <c r="I47" s="98">
        <v>12220.8</v>
      </c>
      <c r="J47" s="98">
        <v>13</v>
      </c>
      <c r="K47" s="98">
        <v>19858.8</v>
      </c>
      <c r="L47" s="98">
        <v>12</v>
      </c>
      <c r="M47" s="98">
        <v>18331.199999999997</v>
      </c>
      <c r="N47" s="98">
        <v>14</v>
      </c>
      <c r="O47" s="98">
        <v>21386.399999999998</v>
      </c>
      <c r="P47" s="98">
        <v>8</v>
      </c>
      <c r="Q47" s="98">
        <v>12220.8</v>
      </c>
      <c r="R47" s="98">
        <v>15</v>
      </c>
      <c r="S47" s="98">
        <v>22914</v>
      </c>
      <c r="T47" s="98">
        <v>13</v>
      </c>
      <c r="U47" s="98">
        <v>19858.8</v>
      </c>
      <c r="V47" s="98">
        <v>10</v>
      </c>
      <c r="W47" s="98">
        <v>15276</v>
      </c>
      <c r="X47" s="98">
        <v>12</v>
      </c>
      <c r="Y47" s="98">
        <v>18331.199999999997</v>
      </c>
      <c r="Z47" s="98">
        <v>10</v>
      </c>
      <c r="AA47" s="98">
        <v>15276</v>
      </c>
      <c r="AB47" s="98">
        <v>9</v>
      </c>
      <c r="AC47" s="98">
        <v>13748.4</v>
      </c>
      <c r="AD47" s="98">
        <v>14</v>
      </c>
      <c r="AE47" s="98">
        <v>21386.399999999998</v>
      </c>
      <c r="AF47" s="98">
        <v>13</v>
      </c>
      <c r="AG47" s="98">
        <v>19858.8</v>
      </c>
      <c r="AH47" s="98">
        <v>11</v>
      </c>
      <c r="AI47" s="98">
        <v>16803.599999999999</v>
      </c>
      <c r="AJ47" s="98">
        <v>11</v>
      </c>
      <c r="AK47" s="98">
        <v>16803.599999999999</v>
      </c>
      <c r="AL47" s="98">
        <v>15</v>
      </c>
      <c r="AM47" s="98">
        <v>22914</v>
      </c>
      <c r="AN47" s="98">
        <v>14</v>
      </c>
      <c r="AO47" s="98">
        <v>21386.399999999998</v>
      </c>
      <c r="AP47" s="98">
        <v>12</v>
      </c>
      <c r="AQ47" s="98">
        <v>18331.199999999997</v>
      </c>
      <c r="AR47" s="98">
        <v>11</v>
      </c>
      <c r="AS47" s="98">
        <v>16803.599999999999</v>
      </c>
      <c r="AT47" s="98">
        <v>15</v>
      </c>
      <c r="AU47" s="98">
        <v>22914</v>
      </c>
      <c r="AV47" s="98">
        <v>11</v>
      </c>
      <c r="AW47" s="98">
        <v>16803.599999999999</v>
      </c>
      <c r="AX47" s="98">
        <v>12</v>
      </c>
      <c r="AY47" s="98">
        <v>18331.199999999997</v>
      </c>
      <c r="AZ47" s="98">
        <v>15</v>
      </c>
      <c r="BA47" s="98">
        <v>22914</v>
      </c>
      <c r="BB47" s="98">
        <v>15</v>
      </c>
      <c r="BC47" s="98">
        <v>22914</v>
      </c>
      <c r="BD47" s="98">
        <v>15</v>
      </c>
      <c r="BE47" s="98">
        <v>22914</v>
      </c>
      <c r="BF47" s="98">
        <v>13</v>
      </c>
      <c r="BG47" s="98">
        <v>19858.8</v>
      </c>
      <c r="BH47" s="98">
        <v>15</v>
      </c>
      <c r="BI47" s="98">
        <v>22914</v>
      </c>
      <c r="BJ47" s="98">
        <v>10</v>
      </c>
      <c r="BK47" s="98">
        <v>15276</v>
      </c>
      <c r="BL47" s="98">
        <v>16</v>
      </c>
      <c r="BM47" s="98">
        <v>24441.599999999999</v>
      </c>
      <c r="BN47" s="98">
        <v>14</v>
      </c>
      <c r="BO47" s="98">
        <v>21386.399999999998</v>
      </c>
      <c r="BP47" s="98">
        <v>10</v>
      </c>
      <c r="BQ47" s="98">
        <v>15276</v>
      </c>
      <c r="BR47" s="98">
        <v>11</v>
      </c>
      <c r="BS47" s="98">
        <v>16803.599999999999</v>
      </c>
      <c r="BT47" s="98">
        <v>12</v>
      </c>
      <c r="BU47" s="98">
        <v>18331.199999999997</v>
      </c>
      <c r="BV47" s="98">
        <v>15</v>
      </c>
      <c r="BW47" s="98">
        <v>22914</v>
      </c>
      <c r="BX47" s="98">
        <v>13</v>
      </c>
      <c r="BY47" s="98">
        <v>19858.8</v>
      </c>
      <c r="BZ47" s="98">
        <v>9</v>
      </c>
      <c r="CA47" s="98">
        <v>13748.4</v>
      </c>
      <c r="CB47" s="98">
        <v>16</v>
      </c>
      <c r="CC47" s="98">
        <v>24441.599999999999</v>
      </c>
      <c r="CD47" s="98">
        <v>9</v>
      </c>
      <c r="CE47" s="98">
        <v>13748.4</v>
      </c>
      <c r="CF47" s="98">
        <v>15</v>
      </c>
      <c r="CG47" s="98">
        <v>22914</v>
      </c>
      <c r="CH47" s="98">
        <v>12</v>
      </c>
      <c r="CI47" s="98">
        <v>18331.199999999997</v>
      </c>
      <c r="CJ47" s="98">
        <v>15</v>
      </c>
      <c r="CK47" s="98">
        <v>22914</v>
      </c>
      <c r="CL47" s="98">
        <v>10.847142679295985</v>
      </c>
      <c r="CM47" s="98">
        <v>16570.095156892545</v>
      </c>
      <c r="CN47" s="98">
        <v>13</v>
      </c>
      <c r="CO47" s="98">
        <v>19858.8</v>
      </c>
      <c r="CP47" s="98">
        <v>9</v>
      </c>
      <c r="CQ47" s="98">
        <v>13748.4</v>
      </c>
      <c r="CR47" s="98">
        <v>9</v>
      </c>
      <c r="CS47" s="98">
        <v>13748.4</v>
      </c>
      <c r="CT47" s="98">
        <v>13</v>
      </c>
      <c r="CU47" s="98">
        <v>19858.8</v>
      </c>
    </row>
    <row r="48" spans="2:99">
      <c r="C48" s="97" t="s">
        <v>215</v>
      </c>
      <c r="D48" s="98">
        <v>11</v>
      </c>
      <c r="E48" s="98">
        <v>9543.6</v>
      </c>
      <c r="F48" s="98">
        <v>12</v>
      </c>
      <c r="G48" s="98">
        <v>10411.200000000001</v>
      </c>
      <c r="H48" s="98">
        <v>9</v>
      </c>
      <c r="I48" s="98">
        <v>7808.4000000000005</v>
      </c>
      <c r="J48" s="98">
        <v>14</v>
      </c>
      <c r="K48" s="98">
        <v>12146.4</v>
      </c>
      <c r="L48" s="98">
        <v>11</v>
      </c>
      <c r="M48" s="98">
        <v>9543.6</v>
      </c>
      <c r="N48" s="98">
        <v>15</v>
      </c>
      <c r="O48" s="98">
        <v>13014</v>
      </c>
      <c r="P48" s="98">
        <v>9</v>
      </c>
      <c r="Q48" s="98">
        <v>7808.4000000000005</v>
      </c>
      <c r="R48" s="98">
        <v>14</v>
      </c>
      <c r="S48" s="98">
        <v>12146.4</v>
      </c>
      <c r="T48" s="98">
        <v>16</v>
      </c>
      <c r="U48" s="98">
        <v>13881.6</v>
      </c>
      <c r="V48" s="98">
        <v>10</v>
      </c>
      <c r="W48" s="98">
        <v>8676</v>
      </c>
      <c r="X48" s="98">
        <v>13</v>
      </c>
      <c r="Y48" s="98">
        <v>11278.800000000001</v>
      </c>
      <c r="Z48" s="98">
        <v>12</v>
      </c>
      <c r="AA48" s="98">
        <v>10411.200000000001</v>
      </c>
      <c r="AB48" s="98">
        <v>10</v>
      </c>
      <c r="AC48" s="98">
        <v>8676</v>
      </c>
      <c r="AD48" s="98">
        <v>17</v>
      </c>
      <c r="AE48" s="98">
        <v>14749.2</v>
      </c>
      <c r="AF48" s="98">
        <v>14</v>
      </c>
      <c r="AG48" s="98">
        <v>12146.4</v>
      </c>
      <c r="AH48" s="98">
        <v>12</v>
      </c>
      <c r="AI48" s="98">
        <v>10411.200000000001</v>
      </c>
      <c r="AJ48" s="98">
        <v>13</v>
      </c>
      <c r="AK48" s="98">
        <v>11278.800000000001</v>
      </c>
      <c r="AL48" s="98">
        <v>16</v>
      </c>
      <c r="AM48" s="98">
        <v>13881.6</v>
      </c>
      <c r="AN48" s="98">
        <v>15</v>
      </c>
      <c r="AO48" s="98">
        <v>13014</v>
      </c>
      <c r="AP48" s="98">
        <v>13</v>
      </c>
      <c r="AQ48" s="98">
        <v>11278.800000000001</v>
      </c>
      <c r="AR48" s="98">
        <v>12</v>
      </c>
      <c r="AS48" s="98">
        <v>10411.200000000001</v>
      </c>
      <c r="AT48" s="98">
        <v>15</v>
      </c>
      <c r="AU48" s="98">
        <v>13014</v>
      </c>
      <c r="AV48" s="98">
        <v>12</v>
      </c>
      <c r="AW48" s="98">
        <v>10411.200000000001</v>
      </c>
      <c r="AX48" s="98">
        <v>13</v>
      </c>
      <c r="AY48" s="98">
        <v>11278.800000000001</v>
      </c>
      <c r="AZ48" s="98">
        <v>14</v>
      </c>
      <c r="BA48" s="98">
        <v>12146.4</v>
      </c>
      <c r="BB48" s="98">
        <v>13</v>
      </c>
      <c r="BC48" s="98">
        <v>11278.800000000001</v>
      </c>
      <c r="BD48" s="98">
        <v>14</v>
      </c>
      <c r="BE48" s="98">
        <v>12146.4</v>
      </c>
      <c r="BF48" s="98">
        <v>14</v>
      </c>
      <c r="BG48" s="98">
        <v>12146.4</v>
      </c>
      <c r="BH48" s="98">
        <v>17</v>
      </c>
      <c r="BI48" s="98">
        <v>14749.2</v>
      </c>
      <c r="BJ48" s="98">
        <v>9</v>
      </c>
      <c r="BK48" s="98">
        <v>7808.4000000000005</v>
      </c>
      <c r="BL48" s="98">
        <v>17</v>
      </c>
      <c r="BM48" s="98">
        <v>14749.2</v>
      </c>
      <c r="BN48" s="98">
        <v>14</v>
      </c>
      <c r="BO48" s="98">
        <v>12146.4</v>
      </c>
      <c r="BP48" s="98">
        <v>10</v>
      </c>
      <c r="BQ48" s="98">
        <v>8676</v>
      </c>
      <c r="BR48" s="98">
        <v>11</v>
      </c>
      <c r="BS48" s="98">
        <v>9543.6</v>
      </c>
      <c r="BT48" s="98">
        <v>14</v>
      </c>
      <c r="BU48" s="98">
        <v>12146.4</v>
      </c>
      <c r="BV48" s="98">
        <v>16</v>
      </c>
      <c r="BW48" s="98">
        <v>13881.6</v>
      </c>
      <c r="BX48" s="98">
        <v>14</v>
      </c>
      <c r="BY48" s="98">
        <v>12146.4</v>
      </c>
      <c r="BZ48" s="98">
        <v>9</v>
      </c>
      <c r="CA48" s="98">
        <v>7808.4000000000005</v>
      </c>
      <c r="CB48" s="98">
        <v>15</v>
      </c>
      <c r="CC48" s="98">
        <v>13014</v>
      </c>
      <c r="CD48" s="98">
        <v>10</v>
      </c>
      <c r="CE48" s="98">
        <v>8676</v>
      </c>
      <c r="CF48" s="98">
        <v>16</v>
      </c>
      <c r="CG48" s="98">
        <v>13881.6</v>
      </c>
      <c r="CH48" s="98">
        <v>12</v>
      </c>
      <c r="CI48" s="98">
        <v>10411.200000000001</v>
      </c>
      <c r="CJ48" s="98">
        <v>17</v>
      </c>
      <c r="CK48" s="98">
        <v>14749.2</v>
      </c>
      <c r="CL48" s="98">
        <v>9.0392855660799878</v>
      </c>
      <c r="CM48" s="98">
        <v>7842.484157130998</v>
      </c>
      <c r="CN48" s="98">
        <v>13</v>
      </c>
      <c r="CO48" s="98">
        <v>11278.800000000001</v>
      </c>
      <c r="CP48" s="98">
        <v>9</v>
      </c>
      <c r="CQ48" s="98">
        <v>7808.4000000000005</v>
      </c>
      <c r="CR48" s="98">
        <v>10</v>
      </c>
      <c r="CS48" s="98">
        <v>8676</v>
      </c>
      <c r="CT48" s="98">
        <v>12</v>
      </c>
      <c r="CU48" s="98">
        <v>10411.200000000001</v>
      </c>
    </row>
    <row r="49" spans="2:99">
      <c r="B49" s="97" t="s">
        <v>129</v>
      </c>
      <c r="C49" s="97" t="s">
        <v>216</v>
      </c>
      <c r="D49" s="98">
        <v>25</v>
      </c>
      <c r="E49" s="98">
        <v>24630</v>
      </c>
      <c r="F49" s="98">
        <v>25</v>
      </c>
      <c r="G49" s="98">
        <v>24630</v>
      </c>
      <c r="H49" s="98">
        <v>28</v>
      </c>
      <c r="I49" s="98">
        <v>27585.599999999999</v>
      </c>
      <c r="J49" s="98">
        <v>19</v>
      </c>
      <c r="K49" s="98">
        <v>18718.8</v>
      </c>
      <c r="L49" s="98">
        <v>26</v>
      </c>
      <c r="M49" s="98">
        <v>25615.199999999997</v>
      </c>
      <c r="N49" s="98">
        <v>26</v>
      </c>
      <c r="O49" s="98">
        <v>25615.199999999997</v>
      </c>
      <c r="P49" s="98">
        <v>21</v>
      </c>
      <c r="Q49" s="98">
        <v>20689.199999999997</v>
      </c>
      <c r="R49" s="98">
        <v>18</v>
      </c>
      <c r="S49" s="98">
        <v>17733.599999999999</v>
      </c>
      <c r="T49" s="98">
        <v>25</v>
      </c>
      <c r="U49" s="98">
        <v>24630</v>
      </c>
      <c r="V49" s="98">
        <v>33</v>
      </c>
      <c r="W49" s="98">
        <v>32511.599999999999</v>
      </c>
      <c r="X49" s="98">
        <v>27</v>
      </c>
      <c r="Y49" s="98">
        <v>26600.399999999998</v>
      </c>
      <c r="Z49" s="98">
        <v>18.096756762671507</v>
      </c>
      <c r="AA49" s="98">
        <v>17828.924762583967</v>
      </c>
      <c r="AB49" s="98">
        <v>7.5825893458544948</v>
      </c>
      <c r="AC49" s="98">
        <v>7470.3670235358477</v>
      </c>
      <c r="AD49" s="98">
        <v>6.9639606570112766</v>
      </c>
      <c r="AE49" s="98">
        <v>6860.8940392875093</v>
      </c>
      <c r="AF49" s="98">
        <v>4.7890420393708801</v>
      </c>
      <c r="AG49" s="98">
        <v>4718.1642171881904</v>
      </c>
      <c r="AH49" s="98">
        <v>8.8266868436118155</v>
      </c>
      <c r="AI49" s="98">
        <v>8696.0518783263597</v>
      </c>
      <c r="AJ49" s="98">
        <v>6.9058791088743119</v>
      </c>
      <c r="AK49" s="98">
        <v>6803.6720980629716</v>
      </c>
      <c r="AL49" s="98">
        <v>1.0708149806348981</v>
      </c>
      <c r="AM49" s="98">
        <v>1054.9669189215015</v>
      </c>
      <c r="AN49" s="98">
        <v>8.8817664397554505</v>
      </c>
      <c r="AO49" s="98">
        <v>8750.3162964470685</v>
      </c>
      <c r="AP49" s="98">
        <v>1.4119579165582783</v>
      </c>
      <c r="AQ49" s="98">
        <v>1391.0609393932157</v>
      </c>
      <c r="AR49" s="98">
        <v>7.6600279200011441</v>
      </c>
      <c r="AS49" s="98">
        <v>7546.6595067851267</v>
      </c>
      <c r="AT49" s="98">
        <v>6.6029534803505161</v>
      </c>
      <c r="AU49" s="98">
        <v>6505.2297688413282</v>
      </c>
      <c r="AV49" s="98">
        <v>7.3972277008630307</v>
      </c>
      <c r="AW49" s="98">
        <v>7287.7487308902573</v>
      </c>
      <c r="AX49" s="98">
        <v>8.3537578814288498</v>
      </c>
      <c r="AY49" s="98">
        <v>8230.1222647837021</v>
      </c>
      <c r="AZ49" s="98">
        <v>1.4555451225225091</v>
      </c>
      <c r="BA49" s="98">
        <v>1434.0030547091758</v>
      </c>
      <c r="BB49" s="98">
        <v>8.9261387365821996</v>
      </c>
      <c r="BC49" s="98">
        <v>8794.0318832807825</v>
      </c>
      <c r="BD49" s="98">
        <v>5.4217896498919309</v>
      </c>
      <c r="BE49" s="98">
        <v>5341.5471630735301</v>
      </c>
      <c r="BF49" s="98">
        <v>3.6875319778336566</v>
      </c>
      <c r="BG49" s="98">
        <v>3632.9565045617182</v>
      </c>
      <c r="BH49" s="98">
        <v>1.6136343354268952</v>
      </c>
      <c r="BI49" s="98">
        <v>1589.7525472625771</v>
      </c>
      <c r="BJ49" s="98">
        <v>13.222499965204408</v>
      </c>
      <c r="BK49" s="98">
        <v>13026.806965719381</v>
      </c>
      <c r="BL49" s="98">
        <v>7.7409512141436174</v>
      </c>
      <c r="BM49" s="98">
        <v>7626.3851361742918</v>
      </c>
      <c r="BN49" s="98">
        <v>4.4221442932345258</v>
      </c>
      <c r="BO49" s="98">
        <v>4356.696557694655</v>
      </c>
      <c r="BP49" s="98">
        <v>7.1172483522022114</v>
      </c>
      <c r="BQ49" s="98">
        <v>7011.913076589618</v>
      </c>
      <c r="BR49" s="98">
        <v>4.3861084741635876</v>
      </c>
      <c r="BS49" s="98">
        <v>4321.1940687459664</v>
      </c>
      <c r="BT49" s="98">
        <v>6.1964470428520269</v>
      </c>
      <c r="BU49" s="98">
        <v>6104.7396266178166</v>
      </c>
      <c r="BV49" s="98">
        <v>5.1036564259169728</v>
      </c>
      <c r="BW49" s="98">
        <v>5028.1223108134009</v>
      </c>
      <c r="BX49" s="98">
        <v>5.1448094445033377</v>
      </c>
      <c r="BY49" s="98">
        <v>5068.6662647246876</v>
      </c>
      <c r="BZ49" s="98">
        <v>8.7497816358494998</v>
      </c>
      <c r="CA49" s="98">
        <v>8620.2848676389258</v>
      </c>
      <c r="CB49" s="98">
        <v>8.2015676458377751</v>
      </c>
      <c r="CC49" s="98">
        <v>8080.1844446793757</v>
      </c>
      <c r="CD49" s="98">
        <v>6.4412639264988441</v>
      </c>
      <c r="CE49" s="98">
        <v>6345.9332203866607</v>
      </c>
      <c r="CF49" s="98">
        <v>7.6846450200207039</v>
      </c>
      <c r="CG49" s="98">
        <v>7570.912273724397</v>
      </c>
      <c r="CH49" s="98">
        <v>3.9825523786946704</v>
      </c>
      <c r="CI49" s="98">
        <v>3923.610603489989</v>
      </c>
      <c r="CJ49" s="98">
        <v>5.8651979960641487</v>
      </c>
      <c r="CK49" s="98">
        <v>5778.3930657223991</v>
      </c>
      <c r="CL49" s="98">
        <v>6.122928773110087</v>
      </c>
      <c r="CM49" s="98">
        <v>6032.3094272680573</v>
      </c>
      <c r="CN49" s="98">
        <v>10.912759934373305</v>
      </c>
      <c r="CO49" s="98">
        <v>10751.251087344579</v>
      </c>
      <c r="CP49" s="98">
        <v>6.5821061223343271</v>
      </c>
      <c r="CQ49" s="98">
        <v>6484.6909517237782</v>
      </c>
      <c r="CR49" s="98">
        <v>4.9753496004521569</v>
      </c>
      <c r="CS49" s="98">
        <v>4901.7144263654645</v>
      </c>
      <c r="CT49" s="98">
        <v>6.0275099994386698</v>
      </c>
      <c r="CU49" s="98">
        <v>5938.302851446977</v>
      </c>
    </row>
    <row r="50" spans="2:99">
      <c r="C50" s="97" t="s">
        <v>217</v>
      </c>
      <c r="D50" s="98">
        <v>29</v>
      </c>
      <c r="E50" s="98">
        <v>8178</v>
      </c>
      <c r="F50" s="98">
        <v>27</v>
      </c>
      <c r="G50" s="98">
        <v>7614</v>
      </c>
      <c r="H50" s="98">
        <v>31</v>
      </c>
      <c r="I50" s="98">
        <v>8742</v>
      </c>
      <c r="J50" s="98">
        <v>22</v>
      </c>
      <c r="K50" s="98">
        <v>6204</v>
      </c>
      <c r="L50" s="98">
        <v>30</v>
      </c>
      <c r="M50" s="98">
        <v>8460</v>
      </c>
      <c r="N50" s="98">
        <v>26</v>
      </c>
      <c r="O50" s="98">
        <v>7332</v>
      </c>
      <c r="P50" s="98">
        <v>23</v>
      </c>
      <c r="Q50" s="98">
        <v>6486</v>
      </c>
      <c r="R50" s="98">
        <v>21</v>
      </c>
      <c r="S50" s="98">
        <v>5922</v>
      </c>
      <c r="T50" s="98">
        <v>30</v>
      </c>
      <c r="U50" s="98">
        <v>8460</v>
      </c>
      <c r="V50" s="98">
        <v>36</v>
      </c>
      <c r="W50" s="98">
        <v>10152</v>
      </c>
      <c r="X50" s="98">
        <v>33</v>
      </c>
      <c r="Y50" s="98">
        <v>9306</v>
      </c>
      <c r="Z50" s="98">
        <v>27</v>
      </c>
      <c r="AA50" s="98">
        <v>7614</v>
      </c>
      <c r="AB50" s="98">
        <v>26</v>
      </c>
      <c r="AC50" s="98">
        <v>7332</v>
      </c>
      <c r="AD50" s="98">
        <v>29</v>
      </c>
      <c r="AE50" s="98">
        <v>8178</v>
      </c>
      <c r="AF50" s="98">
        <v>24</v>
      </c>
      <c r="AG50" s="98">
        <v>6768</v>
      </c>
      <c r="AH50" s="98">
        <v>22</v>
      </c>
      <c r="AI50" s="98">
        <v>6204</v>
      </c>
      <c r="AJ50" s="98">
        <v>20</v>
      </c>
      <c r="AK50" s="98">
        <v>5640</v>
      </c>
      <c r="AL50" s="98">
        <v>19</v>
      </c>
      <c r="AM50" s="98">
        <v>5358</v>
      </c>
      <c r="AN50" s="98">
        <v>34</v>
      </c>
      <c r="AO50" s="98">
        <v>9588</v>
      </c>
      <c r="AP50" s="98">
        <v>26</v>
      </c>
      <c r="AQ50" s="98">
        <v>7332</v>
      </c>
      <c r="AR50" s="98">
        <v>22</v>
      </c>
      <c r="AS50" s="98">
        <v>6204</v>
      </c>
      <c r="AT50" s="98">
        <v>20</v>
      </c>
      <c r="AU50" s="98">
        <v>5640</v>
      </c>
      <c r="AV50" s="98">
        <v>19</v>
      </c>
      <c r="AW50" s="98">
        <v>5358</v>
      </c>
      <c r="AX50" s="98">
        <v>19</v>
      </c>
      <c r="AY50" s="98">
        <v>5358</v>
      </c>
      <c r="AZ50" s="98">
        <v>22</v>
      </c>
      <c r="BA50" s="98">
        <v>6204</v>
      </c>
      <c r="BB50" s="98">
        <v>22</v>
      </c>
      <c r="BC50" s="98">
        <v>6204</v>
      </c>
      <c r="BD50" s="98">
        <v>20</v>
      </c>
      <c r="BE50" s="98">
        <v>5640</v>
      </c>
      <c r="BF50" s="98">
        <v>18</v>
      </c>
      <c r="BG50" s="98">
        <v>5076</v>
      </c>
      <c r="BH50" s="98">
        <v>29</v>
      </c>
      <c r="BI50" s="98">
        <v>8178</v>
      </c>
      <c r="BJ50" s="98">
        <v>26</v>
      </c>
      <c r="BK50" s="98">
        <v>7332</v>
      </c>
      <c r="BL50" s="98">
        <v>19</v>
      </c>
      <c r="BM50" s="98">
        <v>5358</v>
      </c>
      <c r="BN50" s="98">
        <v>17</v>
      </c>
      <c r="BO50" s="98">
        <v>4794</v>
      </c>
      <c r="BP50" s="98">
        <v>27</v>
      </c>
      <c r="BQ50" s="98">
        <v>7614</v>
      </c>
      <c r="BR50" s="98">
        <v>25</v>
      </c>
      <c r="BS50" s="98">
        <v>7050</v>
      </c>
      <c r="BT50" s="98">
        <v>20</v>
      </c>
      <c r="BU50" s="98">
        <v>5640</v>
      </c>
      <c r="BV50" s="98">
        <v>22</v>
      </c>
      <c r="BW50" s="98">
        <v>6204</v>
      </c>
      <c r="BX50" s="98">
        <v>30</v>
      </c>
      <c r="BY50" s="98">
        <v>8460</v>
      </c>
      <c r="BZ50" s="98">
        <v>25</v>
      </c>
      <c r="CA50" s="98">
        <v>7050</v>
      </c>
      <c r="CB50" s="98">
        <v>31</v>
      </c>
      <c r="CC50" s="98">
        <v>8742</v>
      </c>
      <c r="CD50" s="98">
        <v>17</v>
      </c>
      <c r="CE50" s="98">
        <v>4794</v>
      </c>
      <c r="CF50" s="98">
        <v>32</v>
      </c>
      <c r="CG50" s="98">
        <v>9024</v>
      </c>
      <c r="CH50" s="98">
        <v>17</v>
      </c>
      <c r="CI50" s="98">
        <v>4794</v>
      </c>
      <c r="CJ50" s="98">
        <v>24</v>
      </c>
      <c r="CK50" s="98">
        <v>6768</v>
      </c>
      <c r="CL50" s="98">
        <v>22.598213915199967</v>
      </c>
      <c r="CM50" s="98">
        <v>6372.6963240863906</v>
      </c>
      <c r="CN50" s="98">
        <v>33</v>
      </c>
      <c r="CO50" s="98">
        <v>9306</v>
      </c>
      <c r="CP50" s="98">
        <v>17</v>
      </c>
      <c r="CQ50" s="98">
        <v>4794</v>
      </c>
      <c r="CR50" s="98">
        <v>22</v>
      </c>
      <c r="CS50" s="98">
        <v>6204</v>
      </c>
      <c r="CT50" s="98">
        <v>23</v>
      </c>
      <c r="CU50" s="98">
        <v>6486</v>
      </c>
    </row>
    <row r="51" spans="2:99">
      <c r="C51" s="97" t="s">
        <v>218</v>
      </c>
      <c r="D51" s="98">
        <v>28</v>
      </c>
      <c r="E51" s="98">
        <v>23923.200000000001</v>
      </c>
      <c r="F51" s="98">
        <v>24</v>
      </c>
      <c r="G51" s="98">
        <v>20505.599999999999</v>
      </c>
      <c r="H51" s="98">
        <v>32</v>
      </c>
      <c r="I51" s="98">
        <v>27340.799999999999</v>
      </c>
      <c r="J51" s="98">
        <v>19</v>
      </c>
      <c r="K51" s="98">
        <v>16233.6</v>
      </c>
      <c r="L51" s="98">
        <v>25</v>
      </c>
      <c r="M51" s="98">
        <v>21360</v>
      </c>
      <c r="N51" s="98">
        <v>28</v>
      </c>
      <c r="O51" s="98">
        <v>23923.200000000001</v>
      </c>
      <c r="P51" s="98">
        <v>22</v>
      </c>
      <c r="Q51" s="98">
        <v>18796.8</v>
      </c>
      <c r="R51" s="98">
        <v>17</v>
      </c>
      <c r="S51" s="98">
        <v>14524.8</v>
      </c>
      <c r="T51" s="98">
        <v>27</v>
      </c>
      <c r="U51" s="98">
        <v>23068.799999999999</v>
      </c>
      <c r="V51" s="98">
        <v>34</v>
      </c>
      <c r="W51" s="98">
        <v>29049.599999999999</v>
      </c>
      <c r="X51" s="98">
        <v>32</v>
      </c>
      <c r="Y51" s="98">
        <v>27340.799999999999</v>
      </c>
      <c r="Z51" s="98">
        <v>25</v>
      </c>
      <c r="AA51" s="98">
        <v>21360</v>
      </c>
      <c r="AB51" s="98">
        <v>25</v>
      </c>
      <c r="AC51" s="98">
        <v>21360</v>
      </c>
      <c r="AD51" s="98">
        <v>27</v>
      </c>
      <c r="AE51" s="98">
        <v>23068.799999999999</v>
      </c>
      <c r="AF51" s="98">
        <v>21</v>
      </c>
      <c r="AG51" s="98">
        <v>17942.399999999998</v>
      </c>
      <c r="AH51" s="98">
        <v>21</v>
      </c>
      <c r="AI51" s="98">
        <v>17942.399999999998</v>
      </c>
      <c r="AJ51" s="98">
        <v>19</v>
      </c>
      <c r="AK51" s="98">
        <v>16233.6</v>
      </c>
      <c r="AL51" s="98">
        <v>16</v>
      </c>
      <c r="AM51" s="98">
        <v>13670.4</v>
      </c>
      <c r="AN51" s="98">
        <v>31</v>
      </c>
      <c r="AO51" s="98">
        <v>26486.399999999998</v>
      </c>
      <c r="AP51" s="98">
        <v>24</v>
      </c>
      <c r="AQ51" s="98">
        <v>20505.599999999999</v>
      </c>
      <c r="AR51" s="98">
        <v>22</v>
      </c>
      <c r="AS51" s="98">
        <v>18796.8</v>
      </c>
      <c r="AT51" s="98">
        <v>16</v>
      </c>
      <c r="AU51" s="98">
        <v>13670.4</v>
      </c>
      <c r="AV51" s="98">
        <v>20</v>
      </c>
      <c r="AW51" s="98">
        <v>17088</v>
      </c>
      <c r="AX51" s="98">
        <v>19</v>
      </c>
      <c r="AY51" s="98">
        <v>16233.6</v>
      </c>
      <c r="AZ51" s="98">
        <v>20</v>
      </c>
      <c r="BA51" s="98">
        <v>17088</v>
      </c>
      <c r="BB51" s="98">
        <v>22</v>
      </c>
      <c r="BC51" s="98">
        <v>18796.8</v>
      </c>
      <c r="BD51" s="98">
        <v>20</v>
      </c>
      <c r="BE51" s="98">
        <v>17088</v>
      </c>
      <c r="BF51" s="98">
        <v>16</v>
      </c>
      <c r="BG51" s="98">
        <v>13670.4</v>
      </c>
      <c r="BH51" s="98">
        <v>27</v>
      </c>
      <c r="BI51" s="98">
        <v>23068.799999999999</v>
      </c>
      <c r="BJ51" s="98">
        <v>26</v>
      </c>
      <c r="BK51" s="98">
        <v>22214.399999999998</v>
      </c>
      <c r="BL51" s="98">
        <v>17</v>
      </c>
      <c r="BM51" s="98">
        <v>14524.8</v>
      </c>
      <c r="BN51" s="98">
        <v>19</v>
      </c>
      <c r="BO51" s="98">
        <v>16233.6</v>
      </c>
      <c r="BP51" s="98">
        <v>28</v>
      </c>
      <c r="BQ51" s="98">
        <v>23923.200000000001</v>
      </c>
      <c r="BR51" s="98">
        <v>28</v>
      </c>
      <c r="BS51" s="98">
        <v>23923.200000000001</v>
      </c>
      <c r="BT51" s="98">
        <v>18</v>
      </c>
      <c r="BU51" s="98">
        <v>15379.199999999999</v>
      </c>
      <c r="BV51" s="98">
        <v>19</v>
      </c>
      <c r="BW51" s="98">
        <v>16233.6</v>
      </c>
      <c r="BX51" s="98">
        <v>28</v>
      </c>
      <c r="BY51" s="98">
        <v>23923.200000000001</v>
      </c>
      <c r="BZ51" s="98">
        <v>24</v>
      </c>
      <c r="CA51" s="98">
        <v>20505.599999999999</v>
      </c>
      <c r="CB51" s="98">
        <v>30</v>
      </c>
      <c r="CC51" s="98">
        <v>25632</v>
      </c>
      <c r="CD51" s="98">
        <v>17</v>
      </c>
      <c r="CE51" s="98">
        <v>14524.8</v>
      </c>
      <c r="CF51" s="98">
        <v>28</v>
      </c>
      <c r="CG51" s="98">
        <v>23923.200000000001</v>
      </c>
      <c r="CH51" s="98">
        <v>16</v>
      </c>
      <c r="CI51" s="98">
        <v>13670.4</v>
      </c>
      <c r="CJ51" s="98">
        <v>23</v>
      </c>
      <c r="CK51" s="98">
        <v>19651.2</v>
      </c>
      <c r="CL51" s="98">
        <v>20.790356801983968</v>
      </c>
      <c r="CM51" s="98">
        <v>17763.280851615102</v>
      </c>
      <c r="CN51" s="98">
        <v>30</v>
      </c>
      <c r="CO51" s="98">
        <v>25632</v>
      </c>
      <c r="CP51" s="98">
        <v>17</v>
      </c>
      <c r="CQ51" s="98">
        <v>14524.8</v>
      </c>
      <c r="CR51" s="98">
        <v>23</v>
      </c>
      <c r="CS51" s="98">
        <v>19651.2</v>
      </c>
      <c r="CT51" s="98">
        <v>20</v>
      </c>
      <c r="CU51" s="98">
        <v>17088</v>
      </c>
    </row>
    <row r="52" spans="2:99">
      <c r="C52" s="97" t="s">
        <v>219</v>
      </c>
      <c r="D52" s="98">
        <v>25</v>
      </c>
      <c r="E52" s="98">
        <v>13500</v>
      </c>
      <c r="F52" s="98">
        <v>24</v>
      </c>
      <c r="G52" s="98">
        <v>12960</v>
      </c>
      <c r="H52" s="98">
        <v>29</v>
      </c>
      <c r="I52" s="98">
        <v>15660</v>
      </c>
      <c r="J52" s="98">
        <v>20</v>
      </c>
      <c r="K52" s="98">
        <v>10800</v>
      </c>
      <c r="L52" s="98">
        <v>28</v>
      </c>
      <c r="M52" s="98">
        <v>15120</v>
      </c>
      <c r="N52" s="98">
        <v>30</v>
      </c>
      <c r="O52" s="98">
        <v>16200</v>
      </c>
      <c r="P52" s="98">
        <v>21</v>
      </c>
      <c r="Q52" s="98">
        <v>11340</v>
      </c>
      <c r="R52" s="98">
        <v>19</v>
      </c>
      <c r="S52" s="98">
        <v>10260</v>
      </c>
      <c r="T52" s="98">
        <v>28</v>
      </c>
      <c r="U52" s="98">
        <v>15120</v>
      </c>
      <c r="V52" s="98">
        <v>31</v>
      </c>
      <c r="W52" s="98">
        <v>16740</v>
      </c>
      <c r="X52" s="98">
        <v>29</v>
      </c>
      <c r="Y52" s="98">
        <v>15660</v>
      </c>
      <c r="Z52" s="98">
        <v>23</v>
      </c>
      <c r="AA52" s="98">
        <v>12420</v>
      </c>
      <c r="AB52" s="98">
        <v>24</v>
      </c>
      <c r="AC52" s="98">
        <v>12960</v>
      </c>
      <c r="AD52" s="98">
        <v>29</v>
      </c>
      <c r="AE52" s="98">
        <v>15660</v>
      </c>
      <c r="AF52" s="98">
        <v>20</v>
      </c>
      <c r="AG52" s="98">
        <v>10800</v>
      </c>
      <c r="AH52" s="98">
        <v>20</v>
      </c>
      <c r="AI52" s="98">
        <v>10800</v>
      </c>
      <c r="AJ52" s="98">
        <v>22</v>
      </c>
      <c r="AK52" s="98">
        <v>11880</v>
      </c>
      <c r="AL52" s="98">
        <v>18</v>
      </c>
      <c r="AM52" s="98">
        <v>9720</v>
      </c>
      <c r="AN52" s="98">
        <v>32</v>
      </c>
      <c r="AO52" s="98">
        <v>17280</v>
      </c>
      <c r="AP52" s="98">
        <v>23</v>
      </c>
      <c r="AQ52" s="98">
        <v>12420</v>
      </c>
      <c r="AR52" s="98">
        <v>25</v>
      </c>
      <c r="AS52" s="98">
        <v>13500</v>
      </c>
      <c r="AT52" s="98">
        <v>18</v>
      </c>
      <c r="AU52" s="98">
        <v>9720</v>
      </c>
      <c r="AV52" s="98">
        <v>17</v>
      </c>
      <c r="AW52" s="98">
        <v>9180</v>
      </c>
      <c r="AX52" s="98">
        <v>19</v>
      </c>
      <c r="AY52" s="98">
        <v>10260</v>
      </c>
      <c r="AZ52" s="98">
        <v>21</v>
      </c>
      <c r="BA52" s="98">
        <v>11340</v>
      </c>
      <c r="BB52" s="98">
        <v>23</v>
      </c>
      <c r="BC52" s="98">
        <v>12420</v>
      </c>
      <c r="BD52" s="98">
        <v>19</v>
      </c>
      <c r="BE52" s="98">
        <v>10260</v>
      </c>
      <c r="BF52" s="98">
        <v>17</v>
      </c>
      <c r="BG52" s="98">
        <v>9180</v>
      </c>
      <c r="BH52" s="98">
        <v>29</v>
      </c>
      <c r="BI52" s="98">
        <v>15660</v>
      </c>
      <c r="BJ52" s="98">
        <v>25</v>
      </c>
      <c r="BK52" s="98">
        <v>13500</v>
      </c>
      <c r="BL52" s="98">
        <v>17</v>
      </c>
      <c r="BM52" s="98">
        <v>9180</v>
      </c>
      <c r="BN52" s="98">
        <v>19</v>
      </c>
      <c r="BO52" s="98">
        <v>10260</v>
      </c>
      <c r="BP52" s="98">
        <v>26</v>
      </c>
      <c r="BQ52" s="98">
        <v>14040</v>
      </c>
      <c r="BR52" s="98">
        <v>28</v>
      </c>
      <c r="BS52" s="98">
        <v>15120</v>
      </c>
      <c r="BT52" s="98">
        <v>21</v>
      </c>
      <c r="BU52" s="98">
        <v>11340</v>
      </c>
      <c r="BV52" s="98">
        <v>21</v>
      </c>
      <c r="BW52" s="98">
        <v>11340</v>
      </c>
      <c r="BX52" s="98">
        <v>29</v>
      </c>
      <c r="BY52" s="98">
        <v>15660</v>
      </c>
      <c r="BZ52" s="98">
        <v>22</v>
      </c>
      <c r="CA52" s="98">
        <v>11880</v>
      </c>
      <c r="CB52" s="98">
        <v>29</v>
      </c>
      <c r="CC52" s="98">
        <v>15660</v>
      </c>
      <c r="CD52" s="98">
        <v>18</v>
      </c>
      <c r="CE52" s="98">
        <v>9720</v>
      </c>
      <c r="CF52" s="98">
        <v>33</v>
      </c>
      <c r="CG52" s="98">
        <v>17820</v>
      </c>
      <c r="CH52" s="98">
        <v>17</v>
      </c>
      <c r="CI52" s="98">
        <v>9180</v>
      </c>
      <c r="CJ52" s="98">
        <v>20</v>
      </c>
      <c r="CK52" s="98">
        <v>10800</v>
      </c>
      <c r="CL52" s="98">
        <v>23.502142471807968</v>
      </c>
      <c r="CM52" s="98">
        <v>12691.156934776303</v>
      </c>
      <c r="CN52" s="98">
        <v>33</v>
      </c>
      <c r="CO52" s="98">
        <v>17820</v>
      </c>
      <c r="CP52" s="98">
        <v>16</v>
      </c>
      <c r="CQ52" s="98">
        <v>8640</v>
      </c>
      <c r="CR52" s="98">
        <v>20</v>
      </c>
      <c r="CS52" s="98">
        <v>10800</v>
      </c>
      <c r="CT52" s="98">
        <v>21</v>
      </c>
      <c r="CU52" s="98">
        <v>11340</v>
      </c>
    </row>
    <row r="53" spans="2:99">
      <c r="C53" s="97" t="s">
        <v>220</v>
      </c>
      <c r="D53" s="98">
        <v>29</v>
      </c>
      <c r="E53" s="98">
        <v>11797.2</v>
      </c>
      <c r="F53" s="98">
        <v>23</v>
      </c>
      <c r="G53" s="98">
        <v>9356.4</v>
      </c>
      <c r="H53" s="98">
        <v>32</v>
      </c>
      <c r="I53" s="98">
        <v>13017.6</v>
      </c>
      <c r="J53" s="98">
        <v>22</v>
      </c>
      <c r="K53" s="98">
        <v>8949.6</v>
      </c>
      <c r="L53" s="98">
        <v>27</v>
      </c>
      <c r="M53" s="98">
        <v>10983.6</v>
      </c>
      <c r="N53" s="98">
        <v>26</v>
      </c>
      <c r="O53" s="98">
        <v>10576.800000000001</v>
      </c>
      <c r="P53" s="98">
        <v>24</v>
      </c>
      <c r="Q53" s="98">
        <v>9763.2000000000007</v>
      </c>
      <c r="R53" s="98">
        <v>20</v>
      </c>
      <c r="S53" s="98">
        <v>8136</v>
      </c>
      <c r="T53" s="98">
        <v>27</v>
      </c>
      <c r="U53" s="98">
        <v>10983.6</v>
      </c>
      <c r="V53" s="98">
        <v>31</v>
      </c>
      <c r="W53" s="98">
        <v>12610.800000000001</v>
      </c>
      <c r="X53" s="98">
        <v>29</v>
      </c>
      <c r="Y53" s="98">
        <v>11797.2</v>
      </c>
      <c r="Z53" s="98">
        <v>23</v>
      </c>
      <c r="AA53" s="98">
        <v>9356.4</v>
      </c>
      <c r="AB53" s="98">
        <v>28</v>
      </c>
      <c r="AC53" s="98">
        <v>11390.4</v>
      </c>
      <c r="AD53" s="98">
        <v>27</v>
      </c>
      <c r="AE53" s="98">
        <v>10983.6</v>
      </c>
      <c r="AF53" s="98">
        <v>25</v>
      </c>
      <c r="AG53" s="98">
        <v>10170</v>
      </c>
      <c r="AH53" s="98">
        <v>19</v>
      </c>
      <c r="AI53" s="98">
        <v>7729.2</v>
      </c>
      <c r="AJ53" s="98">
        <v>23</v>
      </c>
      <c r="AK53" s="98">
        <v>9356.4</v>
      </c>
      <c r="AL53" s="98">
        <v>16</v>
      </c>
      <c r="AM53" s="98">
        <v>6508.8</v>
      </c>
      <c r="AN53" s="98">
        <v>30</v>
      </c>
      <c r="AO53" s="98">
        <v>12204</v>
      </c>
      <c r="AP53" s="98">
        <v>24</v>
      </c>
      <c r="AQ53" s="98">
        <v>9763.2000000000007</v>
      </c>
      <c r="AR53" s="98">
        <v>24</v>
      </c>
      <c r="AS53" s="98">
        <v>9763.2000000000007</v>
      </c>
      <c r="AT53" s="98">
        <v>20</v>
      </c>
      <c r="AU53" s="98">
        <v>8136</v>
      </c>
      <c r="AV53" s="98">
        <v>17</v>
      </c>
      <c r="AW53" s="98">
        <v>6915.6</v>
      </c>
      <c r="AX53" s="98">
        <v>21</v>
      </c>
      <c r="AY53" s="98">
        <v>8542.8000000000011</v>
      </c>
      <c r="AZ53" s="98">
        <v>22</v>
      </c>
      <c r="BA53" s="98">
        <v>8949.6</v>
      </c>
      <c r="BB53" s="98">
        <v>21</v>
      </c>
      <c r="BC53" s="98">
        <v>8542.8000000000011</v>
      </c>
      <c r="BD53" s="98">
        <v>22</v>
      </c>
      <c r="BE53" s="98">
        <v>8949.6</v>
      </c>
      <c r="BF53" s="98">
        <v>20</v>
      </c>
      <c r="BG53" s="98">
        <v>8136</v>
      </c>
      <c r="BH53" s="98">
        <v>27</v>
      </c>
      <c r="BI53" s="98">
        <v>10983.6</v>
      </c>
      <c r="BJ53" s="98">
        <v>26</v>
      </c>
      <c r="BK53" s="98">
        <v>10576.800000000001</v>
      </c>
      <c r="BL53" s="98">
        <v>20</v>
      </c>
      <c r="BM53" s="98">
        <v>8136</v>
      </c>
      <c r="BN53" s="98">
        <v>17</v>
      </c>
      <c r="BO53" s="98">
        <v>6915.6</v>
      </c>
      <c r="BP53" s="98">
        <v>28</v>
      </c>
      <c r="BQ53" s="98">
        <v>11390.4</v>
      </c>
      <c r="BR53" s="98">
        <v>26</v>
      </c>
      <c r="BS53" s="98">
        <v>10576.800000000001</v>
      </c>
      <c r="BT53" s="98">
        <v>19</v>
      </c>
      <c r="BU53" s="98">
        <v>7729.2</v>
      </c>
      <c r="BV53" s="98">
        <v>20</v>
      </c>
      <c r="BW53" s="98">
        <v>8136</v>
      </c>
      <c r="BX53" s="98">
        <v>28</v>
      </c>
      <c r="BY53" s="98">
        <v>11390.4</v>
      </c>
      <c r="BZ53" s="98">
        <v>21</v>
      </c>
      <c r="CA53" s="98">
        <v>8542.8000000000011</v>
      </c>
      <c r="CB53" s="98">
        <v>32</v>
      </c>
      <c r="CC53" s="98">
        <v>13017.6</v>
      </c>
      <c r="CD53" s="98">
        <v>17</v>
      </c>
      <c r="CE53" s="98">
        <v>6915.6</v>
      </c>
      <c r="CF53" s="98">
        <v>34</v>
      </c>
      <c r="CG53" s="98">
        <v>13831.2</v>
      </c>
      <c r="CH53" s="98">
        <v>17</v>
      </c>
      <c r="CI53" s="98">
        <v>6915.6</v>
      </c>
      <c r="CJ53" s="98">
        <v>23</v>
      </c>
      <c r="CK53" s="98">
        <v>9356.4</v>
      </c>
      <c r="CL53" s="98">
        <v>21.694285358591969</v>
      </c>
      <c r="CM53" s="98">
        <v>8825.235283875214</v>
      </c>
      <c r="CN53" s="98">
        <v>35</v>
      </c>
      <c r="CO53" s="98">
        <v>14238</v>
      </c>
      <c r="CP53" s="98">
        <v>20</v>
      </c>
      <c r="CQ53" s="98">
        <v>8136</v>
      </c>
      <c r="CR53" s="98">
        <v>21</v>
      </c>
      <c r="CS53" s="98">
        <v>8542.8000000000011</v>
      </c>
      <c r="CT53" s="98">
        <v>21</v>
      </c>
      <c r="CU53" s="98">
        <v>8542.8000000000011</v>
      </c>
    </row>
    <row r="54" spans="2:99">
      <c r="C54" s="97" t="s">
        <v>221</v>
      </c>
      <c r="D54" s="98">
        <v>25</v>
      </c>
      <c r="E54" s="98">
        <v>8370</v>
      </c>
      <c r="F54" s="98">
        <v>28</v>
      </c>
      <c r="G54" s="98">
        <v>9374.4</v>
      </c>
      <c r="H54" s="98">
        <v>33</v>
      </c>
      <c r="I54" s="98">
        <v>11048.4</v>
      </c>
      <c r="J54" s="98">
        <v>20</v>
      </c>
      <c r="K54" s="98">
        <v>6696</v>
      </c>
      <c r="L54" s="98">
        <v>28</v>
      </c>
      <c r="M54" s="98">
        <v>9374.4</v>
      </c>
      <c r="N54" s="98">
        <v>29</v>
      </c>
      <c r="O54" s="98">
        <v>9709.2000000000007</v>
      </c>
      <c r="P54" s="98">
        <v>23</v>
      </c>
      <c r="Q54" s="98">
        <v>7700.4000000000005</v>
      </c>
      <c r="R54" s="98">
        <v>19</v>
      </c>
      <c r="S54" s="98">
        <v>6361.2</v>
      </c>
      <c r="T54" s="98">
        <v>27</v>
      </c>
      <c r="U54" s="98">
        <v>9039.6</v>
      </c>
      <c r="V54" s="98">
        <v>35</v>
      </c>
      <c r="W54" s="98">
        <v>11718</v>
      </c>
      <c r="X54" s="98">
        <v>31</v>
      </c>
      <c r="Y54" s="98">
        <v>10378.800000000001</v>
      </c>
      <c r="Z54" s="98">
        <v>23</v>
      </c>
      <c r="AA54" s="98">
        <v>7700.4000000000005</v>
      </c>
      <c r="AB54" s="98">
        <v>25</v>
      </c>
      <c r="AC54" s="98">
        <v>8370</v>
      </c>
      <c r="AD54" s="98">
        <v>30</v>
      </c>
      <c r="AE54" s="98">
        <v>10044</v>
      </c>
      <c r="AF54" s="98">
        <v>22</v>
      </c>
      <c r="AG54" s="98">
        <v>7365.6</v>
      </c>
      <c r="AH54" s="98">
        <v>23</v>
      </c>
      <c r="AI54" s="98">
        <v>7700.4000000000005</v>
      </c>
      <c r="AJ54" s="98">
        <v>21</v>
      </c>
      <c r="AK54" s="98">
        <v>7030.8</v>
      </c>
      <c r="AL54" s="98">
        <v>19</v>
      </c>
      <c r="AM54" s="98">
        <v>6361.2</v>
      </c>
      <c r="AN54" s="98">
        <v>31</v>
      </c>
      <c r="AO54" s="98">
        <v>10378.800000000001</v>
      </c>
      <c r="AP54" s="98">
        <v>24</v>
      </c>
      <c r="AQ54" s="98">
        <v>8035.2000000000007</v>
      </c>
      <c r="AR54" s="98">
        <v>24</v>
      </c>
      <c r="AS54" s="98">
        <v>8035.2000000000007</v>
      </c>
      <c r="AT54" s="98">
        <v>20</v>
      </c>
      <c r="AU54" s="98">
        <v>6696</v>
      </c>
      <c r="AV54" s="98">
        <v>21</v>
      </c>
      <c r="AW54" s="98">
        <v>7030.8</v>
      </c>
      <c r="AX54" s="98">
        <v>18</v>
      </c>
      <c r="AY54" s="98">
        <v>6026.4000000000005</v>
      </c>
      <c r="AZ54" s="98">
        <v>20</v>
      </c>
      <c r="BA54" s="98">
        <v>6696</v>
      </c>
      <c r="BB54" s="98">
        <v>23</v>
      </c>
      <c r="BC54" s="98">
        <v>7700.4000000000005</v>
      </c>
      <c r="BD54" s="98">
        <v>21</v>
      </c>
      <c r="BE54" s="98">
        <v>7030.8</v>
      </c>
      <c r="BF54" s="98">
        <v>19</v>
      </c>
      <c r="BG54" s="98">
        <v>6361.2</v>
      </c>
      <c r="BH54" s="98">
        <v>28</v>
      </c>
      <c r="BI54" s="98">
        <v>9374.4</v>
      </c>
      <c r="BJ54" s="98">
        <v>25</v>
      </c>
      <c r="BK54" s="98">
        <v>8370</v>
      </c>
      <c r="BL54" s="98">
        <v>19</v>
      </c>
      <c r="BM54" s="98">
        <v>6361.2</v>
      </c>
      <c r="BN54" s="98">
        <v>19</v>
      </c>
      <c r="BO54" s="98">
        <v>6361.2</v>
      </c>
      <c r="BP54" s="98">
        <v>24</v>
      </c>
      <c r="BQ54" s="98">
        <v>8035.2000000000007</v>
      </c>
      <c r="BR54" s="98">
        <v>28</v>
      </c>
      <c r="BS54" s="98">
        <v>9374.4</v>
      </c>
      <c r="BT54" s="98">
        <v>20</v>
      </c>
      <c r="BU54" s="98">
        <v>6696</v>
      </c>
      <c r="BV54" s="98">
        <v>22</v>
      </c>
      <c r="BW54" s="98">
        <v>7365.6</v>
      </c>
      <c r="BX54" s="98">
        <v>25</v>
      </c>
      <c r="BY54" s="98">
        <v>8370</v>
      </c>
      <c r="BZ54" s="98">
        <v>25</v>
      </c>
      <c r="CA54" s="98">
        <v>8370</v>
      </c>
      <c r="CB54" s="98">
        <v>32</v>
      </c>
      <c r="CC54" s="98">
        <v>10713.6</v>
      </c>
      <c r="CD54" s="98">
        <v>19</v>
      </c>
      <c r="CE54" s="98">
        <v>6361.2</v>
      </c>
      <c r="CF54" s="98">
        <v>30</v>
      </c>
      <c r="CG54" s="98">
        <v>10044</v>
      </c>
      <c r="CH54" s="98">
        <v>16</v>
      </c>
      <c r="CI54" s="98">
        <v>5356.8</v>
      </c>
      <c r="CJ54" s="98">
        <v>21</v>
      </c>
      <c r="CK54" s="98">
        <v>7030.8</v>
      </c>
      <c r="CL54" s="98">
        <v>25.309999585023967</v>
      </c>
      <c r="CM54" s="98">
        <v>8473.7878610660246</v>
      </c>
      <c r="CN54" s="98">
        <v>35</v>
      </c>
      <c r="CO54" s="98">
        <v>11718</v>
      </c>
      <c r="CP54" s="98">
        <v>18</v>
      </c>
      <c r="CQ54" s="98">
        <v>6026.4000000000005</v>
      </c>
      <c r="CR54" s="98">
        <v>23</v>
      </c>
      <c r="CS54" s="98">
        <v>7700.4000000000005</v>
      </c>
      <c r="CT54" s="98">
        <v>22</v>
      </c>
      <c r="CU54" s="98">
        <v>7365.6</v>
      </c>
    </row>
    <row r="55" spans="2:99">
      <c r="C55" s="97" t="s">
        <v>222</v>
      </c>
      <c r="D55" s="98">
        <v>25</v>
      </c>
      <c r="E55" s="98">
        <v>16590</v>
      </c>
      <c r="F55" s="98">
        <v>26</v>
      </c>
      <c r="G55" s="98">
        <v>17253.600000000002</v>
      </c>
      <c r="H55" s="98">
        <v>30</v>
      </c>
      <c r="I55" s="98">
        <v>19908</v>
      </c>
      <c r="J55" s="98">
        <v>22</v>
      </c>
      <c r="K55" s="98">
        <v>14599.2</v>
      </c>
      <c r="L55" s="98">
        <v>28</v>
      </c>
      <c r="M55" s="98">
        <v>18580.8</v>
      </c>
      <c r="N55" s="98">
        <v>30</v>
      </c>
      <c r="O55" s="98">
        <v>19908</v>
      </c>
      <c r="P55" s="98">
        <v>20</v>
      </c>
      <c r="Q55" s="98">
        <v>13272</v>
      </c>
      <c r="R55" s="98">
        <v>19</v>
      </c>
      <c r="S55" s="98">
        <v>12608.4</v>
      </c>
      <c r="T55" s="98">
        <v>26</v>
      </c>
      <c r="U55" s="98">
        <v>17253.600000000002</v>
      </c>
      <c r="V55" s="98">
        <v>29</v>
      </c>
      <c r="W55" s="98">
        <v>19244.400000000001</v>
      </c>
      <c r="X55" s="98">
        <v>31</v>
      </c>
      <c r="Y55" s="98">
        <v>20571.600000000002</v>
      </c>
      <c r="Z55" s="98">
        <v>22</v>
      </c>
      <c r="AA55" s="98">
        <v>14599.2</v>
      </c>
      <c r="AB55" s="98">
        <v>26</v>
      </c>
      <c r="AC55" s="98">
        <v>17253.600000000002</v>
      </c>
      <c r="AD55" s="98">
        <v>25</v>
      </c>
      <c r="AE55" s="98">
        <v>16590</v>
      </c>
      <c r="AF55" s="98">
        <v>21</v>
      </c>
      <c r="AG55" s="98">
        <v>13935.6</v>
      </c>
      <c r="AH55" s="98">
        <v>22</v>
      </c>
      <c r="AI55" s="98">
        <v>14599.2</v>
      </c>
      <c r="AJ55" s="98">
        <v>21</v>
      </c>
      <c r="AK55" s="98">
        <v>13935.6</v>
      </c>
      <c r="AL55" s="98">
        <v>15</v>
      </c>
      <c r="AM55" s="98">
        <v>9954</v>
      </c>
      <c r="AN55" s="98">
        <v>32</v>
      </c>
      <c r="AO55" s="98">
        <v>21235.200000000001</v>
      </c>
      <c r="AP55" s="98">
        <v>24</v>
      </c>
      <c r="AQ55" s="98">
        <v>15926.400000000001</v>
      </c>
      <c r="AR55" s="98">
        <v>22</v>
      </c>
      <c r="AS55" s="98">
        <v>14599.2</v>
      </c>
      <c r="AT55" s="98">
        <v>20</v>
      </c>
      <c r="AU55" s="98">
        <v>13272</v>
      </c>
      <c r="AV55" s="98">
        <v>18</v>
      </c>
      <c r="AW55" s="98">
        <v>11944.800000000001</v>
      </c>
      <c r="AX55" s="98">
        <v>20</v>
      </c>
      <c r="AY55" s="98">
        <v>13272</v>
      </c>
      <c r="AZ55" s="98">
        <v>20</v>
      </c>
      <c r="BA55" s="98">
        <v>13272</v>
      </c>
      <c r="BB55" s="98">
        <v>19</v>
      </c>
      <c r="BC55" s="98">
        <v>12608.4</v>
      </c>
      <c r="BD55" s="98">
        <v>21</v>
      </c>
      <c r="BE55" s="98">
        <v>13935.6</v>
      </c>
      <c r="BF55" s="98">
        <v>16</v>
      </c>
      <c r="BG55" s="98">
        <v>10617.6</v>
      </c>
      <c r="BH55" s="98">
        <v>28</v>
      </c>
      <c r="BI55" s="98">
        <v>18580.8</v>
      </c>
      <c r="BJ55" s="98">
        <v>28</v>
      </c>
      <c r="BK55" s="98">
        <v>18580.8</v>
      </c>
      <c r="BL55" s="98">
        <v>16</v>
      </c>
      <c r="BM55" s="98">
        <v>10617.6</v>
      </c>
      <c r="BN55" s="98">
        <v>19</v>
      </c>
      <c r="BO55" s="98">
        <v>12608.4</v>
      </c>
      <c r="BP55" s="98">
        <v>26</v>
      </c>
      <c r="BQ55" s="98">
        <v>17253.600000000002</v>
      </c>
      <c r="BR55" s="98">
        <v>28</v>
      </c>
      <c r="BS55" s="98">
        <v>18580.8</v>
      </c>
      <c r="BT55" s="98">
        <v>21</v>
      </c>
      <c r="BU55" s="98">
        <v>13935.6</v>
      </c>
      <c r="BV55" s="98">
        <v>21</v>
      </c>
      <c r="BW55" s="98">
        <v>13935.6</v>
      </c>
      <c r="BX55" s="98">
        <v>26</v>
      </c>
      <c r="BY55" s="98">
        <v>17253.600000000002</v>
      </c>
      <c r="BZ55" s="98">
        <v>24</v>
      </c>
      <c r="CA55" s="98">
        <v>15926.400000000001</v>
      </c>
      <c r="CB55" s="98">
        <v>31</v>
      </c>
      <c r="CC55" s="98">
        <v>20571.600000000002</v>
      </c>
      <c r="CD55" s="98">
        <v>18</v>
      </c>
      <c r="CE55" s="98">
        <v>11944.800000000001</v>
      </c>
      <c r="CF55" s="98">
        <v>33</v>
      </c>
      <c r="CG55" s="98">
        <v>21898.799999999999</v>
      </c>
      <c r="CH55" s="98">
        <v>18</v>
      </c>
      <c r="CI55" s="98">
        <v>11944.800000000001</v>
      </c>
      <c r="CJ55" s="98">
        <v>19</v>
      </c>
      <c r="CK55" s="98">
        <v>12608.4</v>
      </c>
      <c r="CL55" s="98">
        <v>22.598213915199967</v>
      </c>
      <c r="CM55" s="98">
        <v>14996.174754126698</v>
      </c>
      <c r="CN55" s="98">
        <v>31</v>
      </c>
      <c r="CO55" s="98">
        <v>20571.600000000002</v>
      </c>
      <c r="CP55" s="98">
        <v>18</v>
      </c>
      <c r="CQ55" s="98">
        <v>11944.800000000001</v>
      </c>
      <c r="CR55" s="98">
        <v>23</v>
      </c>
      <c r="CS55" s="98">
        <v>15262.800000000001</v>
      </c>
      <c r="CT55" s="98">
        <v>19</v>
      </c>
      <c r="CU55" s="98">
        <v>12608.4</v>
      </c>
    </row>
    <row r="56" spans="2:99">
      <c r="C56" s="97" t="s">
        <v>223</v>
      </c>
      <c r="D56" s="98">
        <v>0</v>
      </c>
      <c r="E56" s="98">
        <v>0</v>
      </c>
      <c r="F56" s="98">
        <v>7.8347906558863967</v>
      </c>
      <c r="G56" s="98">
        <v>7690.6305078180867</v>
      </c>
      <c r="H56" s="98">
        <v>10.007936925701781</v>
      </c>
      <c r="I56" s="98">
        <v>9823.7908862688673</v>
      </c>
      <c r="J56" s="98">
        <v>3.8745532150600415</v>
      </c>
      <c r="K56" s="98">
        <v>3803.2614359029362</v>
      </c>
      <c r="L56" s="98">
        <v>4.5152551490018578</v>
      </c>
      <c r="M56" s="98">
        <v>4432.1744542602228</v>
      </c>
      <c r="N56" s="98">
        <v>4.4411297466685191</v>
      </c>
      <c r="O56" s="98">
        <v>4359.4129593298176</v>
      </c>
      <c r="P56" s="98">
        <v>3.464457389437138</v>
      </c>
      <c r="Q56" s="98">
        <v>3400.7113734714944</v>
      </c>
      <c r="R56" s="98">
        <v>1.3416996047589802</v>
      </c>
      <c r="S56" s="98">
        <v>1317.0123320314149</v>
      </c>
      <c r="T56" s="98">
        <v>4.1721056701512405</v>
      </c>
      <c r="U56" s="98">
        <v>4095.3389258204575</v>
      </c>
      <c r="V56" s="98">
        <v>5.6156517174238392</v>
      </c>
      <c r="W56" s="98">
        <v>5512.3237258232402</v>
      </c>
      <c r="X56" s="98">
        <v>7.9290142781593209</v>
      </c>
      <c r="Y56" s="98">
        <v>7783.1204154411889</v>
      </c>
      <c r="Z56" s="98">
        <v>5.6193233277283525</v>
      </c>
      <c r="AA56" s="98">
        <v>5515.9277784981505</v>
      </c>
      <c r="AB56" s="98">
        <v>1.9503227333124002</v>
      </c>
      <c r="AC56" s="98">
        <v>1914.4367950194519</v>
      </c>
      <c r="AD56" s="98">
        <v>5.3391783739830343</v>
      </c>
      <c r="AE56" s="98">
        <v>5240.9374919017464</v>
      </c>
      <c r="AF56" s="98">
        <v>2.8710975055746206</v>
      </c>
      <c r="AG56" s="98">
        <v>2818.2693114720473</v>
      </c>
      <c r="AH56" s="98">
        <v>4.0642444480928273</v>
      </c>
      <c r="AI56" s="98">
        <v>3989.4623502479189</v>
      </c>
      <c r="AJ56" s="98">
        <v>2.5820374252334597</v>
      </c>
      <c r="AK56" s="98">
        <v>2534.5279366091636</v>
      </c>
      <c r="AL56" s="98">
        <v>1.2933616477716539</v>
      </c>
      <c r="AM56" s="98">
        <v>1269.5637934526553</v>
      </c>
      <c r="AN56" s="98">
        <v>6.5813134043817039</v>
      </c>
      <c r="AO56" s="98">
        <v>6460.2172377410798</v>
      </c>
      <c r="AP56" s="98">
        <v>1.5634900547270434</v>
      </c>
      <c r="AQ56" s="98">
        <v>1534.7218377200657</v>
      </c>
      <c r="AR56" s="98">
        <v>4.763140495660739</v>
      </c>
      <c r="AS56" s="98">
        <v>4675.4987105405808</v>
      </c>
      <c r="AT56" s="98">
        <v>2.8272654831664283</v>
      </c>
      <c r="AU56" s="98">
        <v>2775.2437982761658</v>
      </c>
      <c r="AV56" s="98">
        <v>2.8203349181184514</v>
      </c>
      <c r="AW56" s="98">
        <v>2768.4407556250717</v>
      </c>
      <c r="AX56" s="98">
        <v>4.5017703974320096</v>
      </c>
      <c r="AY56" s="98">
        <v>4418.9378221192601</v>
      </c>
      <c r="AZ56" s="98">
        <v>2.2941424714297405</v>
      </c>
      <c r="BA56" s="98">
        <v>2251.9302499554328</v>
      </c>
      <c r="BB56" s="98">
        <v>4.8213309933556321</v>
      </c>
      <c r="BC56" s="98">
        <v>4732.6185030778879</v>
      </c>
      <c r="BD56" s="98">
        <v>2.1481250720267053</v>
      </c>
      <c r="BE56" s="98">
        <v>2108.5995707014135</v>
      </c>
      <c r="BF56" s="98">
        <v>4.6133496979056599</v>
      </c>
      <c r="BG56" s="98">
        <v>4528.4640634641955</v>
      </c>
      <c r="BH56" s="98">
        <v>3.975445909937589</v>
      </c>
      <c r="BI56" s="98">
        <v>3902.2977051947369</v>
      </c>
      <c r="BJ56" s="98">
        <v>4.5123553486896339</v>
      </c>
      <c r="BK56" s="98">
        <v>4429.3280102737444</v>
      </c>
      <c r="BL56" s="98">
        <v>1.5685702684141662</v>
      </c>
      <c r="BM56" s="98">
        <v>1539.7085754753455</v>
      </c>
      <c r="BN56" s="98">
        <v>4.0106266314111467</v>
      </c>
      <c r="BO56" s="98">
        <v>3936.8311013931811</v>
      </c>
      <c r="BP56" s="98">
        <v>8.0253404721864143</v>
      </c>
      <c r="BQ56" s="98">
        <v>7877.6742074981839</v>
      </c>
      <c r="BR56" s="98">
        <v>4.5379091243082348</v>
      </c>
      <c r="BS56" s="98">
        <v>4454.4115964209632</v>
      </c>
      <c r="BT56" s="98">
        <v>3.9448530558723278</v>
      </c>
      <c r="BU56" s="98">
        <v>3872.2677596442768</v>
      </c>
      <c r="BV56" s="98">
        <v>1.3061949911823105</v>
      </c>
      <c r="BW56" s="98">
        <v>1282.1610033445559</v>
      </c>
      <c r="BX56" s="98">
        <v>5.4754377525850764</v>
      </c>
      <c r="BY56" s="98">
        <v>5374.6896979375106</v>
      </c>
      <c r="BZ56" s="98">
        <v>0.93904427900226672</v>
      </c>
      <c r="CA56" s="98">
        <v>921.76586426862491</v>
      </c>
      <c r="CB56" s="98">
        <v>3.9920148047905659</v>
      </c>
      <c r="CC56" s="98">
        <v>3918.561732382419</v>
      </c>
      <c r="CD56" s="98">
        <v>7.9261114641832728</v>
      </c>
      <c r="CE56" s="98">
        <v>7780.2710132422999</v>
      </c>
      <c r="CF56" s="98">
        <v>2.0405319254175063</v>
      </c>
      <c r="CG56" s="98">
        <v>2002.9861379898239</v>
      </c>
      <c r="CH56" s="98">
        <v>3.1075876759330283</v>
      </c>
      <c r="CI56" s="98">
        <v>3050.4080626958603</v>
      </c>
      <c r="CJ56" s="98">
        <v>3.6862926816088328</v>
      </c>
      <c r="CK56" s="98">
        <v>3618.46489626723</v>
      </c>
      <c r="CL56" s="98">
        <v>6.7621078094621589</v>
      </c>
      <c r="CM56" s="98">
        <v>6637.6850257680544</v>
      </c>
      <c r="CN56" s="98">
        <v>5.0317568318987869</v>
      </c>
      <c r="CO56" s="98">
        <v>4939.1725061918487</v>
      </c>
      <c r="CP56" s="98">
        <v>3.6510871948759633</v>
      </c>
      <c r="CQ56" s="98">
        <v>3583.9071904902453</v>
      </c>
      <c r="CR56" s="98">
        <v>2.2482661283634084</v>
      </c>
      <c r="CS56" s="98">
        <v>2206.8980316015213</v>
      </c>
      <c r="CT56" s="98">
        <v>1.5077960990922064</v>
      </c>
      <c r="CU56" s="98">
        <v>1480.0526508689097</v>
      </c>
    </row>
    <row r="57" spans="2:99">
      <c r="C57" s="97" t="s">
        <v>224</v>
      </c>
      <c r="D57" s="98">
        <v>24</v>
      </c>
      <c r="E57" s="98">
        <v>33868.800000000003</v>
      </c>
      <c r="F57" s="98">
        <v>22</v>
      </c>
      <c r="G57" s="98">
        <v>31046.400000000001</v>
      </c>
      <c r="H57" s="98">
        <v>26</v>
      </c>
      <c r="I57" s="98">
        <v>36691.200000000004</v>
      </c>
      <c r="J57" s="98">
        <v>17</v>
      </c>
      <c r="K57" s="98">
        <v>23990.400000000001</v>
      </c>
      <c r="L57" s="98">
        <v>28</v>
      </c>
      <c r="M57" s="98">
        <v>39513.599999999999</v>
      </c>
      <c r="N57" s="98">
        <v>26</v>
      </c>
      <c r="O57" s="98">
        <v>36691.200000000004</v>
      </c>
      <c r="P57" s="98">
        <v>21</v>
      </c>
      <c r="Q57" s="98">
        <v>29635.200000000001</v>
      </c>
      <c r="R57" s="98">
        <v>18</v>
      </c>
      <c r="S57" s="98">
        <v>25401.600000000002</v>
      </c>
      <c r="T57" s="98">
        <v>24</v>
      </c>
      <c r="U57" s="98">
        <v>33868.800000000003</v>
      </c>
      <c r="V57" s="98">
        <v>27</v>
      </c>
      <c r="W57" s="98">
        <v>38102.400000000001</v>
      </c>
      <c r="X57" s="98">
        <v>27</v>
      </c>
      <c r="Y57" s="98">
        <v>38102.400000000001</v>
      </c>
      <c r="Z57" s="98">
        <v>22</v>
      </c>
      <c r="AA57" s="98">
        <v>31046.400000000001</v>
      </c>
      <c r="AB57" s="98">
        <v>22</v>
      </c>
      <c r="AC57" s="98">
        <v>31046.400000000001</v>
      </c>
      <c r="AD57" s="98">
        <v>25</v>
      </c>
      <c r="AE57" s="98">
        <v>35280</v>
      </c>
      <c r="AF57" s="98">
        <v>22</v>
      </c>
      <c r="AG57" s="98">
        <v>31046.400000000001</v>
      </c>
      <c r="AH57" s="98">
        <v>19</v>
      </c>
      <c r="AI57" s="98">
        <v>26812.799999999999</v>
      </c>
      <c r="AJ57" s="98">
        <v>20</v>
      </c>
      <c r="AK57" s="98">
        <v>28224</v>
      </c>
      <c r="AL57" s="98">
        <v>15</v>
      </c>
      <c r="AM57" s="98">
        <v>21168</v>
      </c>
      <c r="AN57" s="98">
        <v>29</v>
      </c>
      <c r="AO57" s="98">
        <v>40924.800000000003</v>
      </c>
      <c r="AP57" s="98">
        <v>23</v>
      </c>
      <c r="AQ57" s="98">
        <v>32457.600000000002</v>
      </c>
      <c r="AR57" s="98">
        <v>21</v>
      </c>
      <c r="AS57" s="98">
        <v>29635.200000000001</v>
      </c>
      <c r="AT57" s="98">
        <v>17</v>
      </c>
      <c r="AU57" s="98">
        <v>23990.400000000001</v>
      </c>
      <c r="AV57" s="98">
        <v>16</v>
      </c>
      <c r="AW57" s="98">
        <v>22579.200000000001</v>
      </c>
      <c r="AX57" s="98">
        <v>17</v>
      </c>
      <c r="AY57" s="98">
        <v>23990.400000000001</v>
      </c>
      <c r="AZ57" s="98">
        <v>20</v>
      </c>
      <c r="BA57" s="98">
        <v>28224</v>
      </c>
      <c r="BB57" s="98">
        <v>21</v>
      </c>
      <c r="BC57" s="98">
        <v>29635.200000000001</v>
      </c>
      <c r="BD57" s="98">
        <v>19</v>
      </c>
      <c r="BE57" s="98">
        <v>26812.799999999999</v>
      </c>
      <c r="BF57" s="98">
        <v>15</v>
      </c>
      <c r="BG57" s="98">
        <v>21168</v>
      </c>
      <c r="BH57" s="98">
        <v>25</v>
      </c>
      <c r="BI57" s="98">
        <v>35280</v>
      </c>
      <c r="BJ57" s="98">
        <v>23</v>
      </c>
      <c r="BK57" s="98">
        <v>32457.600000000002</v>
      </c>
      <c r="BL57" s="98">
        <v>18</v>
      </c>
      <c r="BM57" s="98">
        <v>25401.600000000002</v>
      </c>
      <c r="BN57" s="98">
        <v>18</v>
      </c>
      <c r="BO57" s="98">
        <v>25401.600000000002</v>
      </c>
      <c r="BP57" s="98">
        <v>24</v>
      </c>
      <c r="BQ57" s="98">
        <v>33868.800000000003</v>
      </c>
      <c r="BR57" s="98">
        <v>22</v>
      </c>
      <c r="BS57" s="98">
        <v>31046.400000000001</v>
      </c>
      <c r="BT57" s="98">
        <v>19</v>
      </c>
      <c r="BU57" s="98">
        <v>26812.799999999999</v>
      </c>
      <c r="BV57" s="98">
        <v>19</v>
      </c>
      <c r="BW57" s="98">
        <v>26812.799999999999</v>
      </c>
      <c r="BX57" s="98">
        <v>28</v>
      </c>
      <c r="BY57" s="98">
        <v>39513.599999999999</v>
      </c>
      <c r="BZ57" s="98">
        <v>19</v>
      </c>
      <c r="CA57" s="98">
        <v>26812.799999999999</v>
      </c>
      <c r="CB57" s="98">
        <v>29</v>
      </c>
      <c r="CC57" s="98">
        <v>40924.800000000003</v>
      </c>
      <c r="CD57" s="98">
        <v>16</v>
      </c>
      <c r="CE57" s="98">
        <v>22579.200000000001</v>
      </c>
      <c r="CF57" s="98">
        <v>31</v>
      </c>
      <c r="CG57" s="98">
        <v>43747.200000000004</v>
      </c>
      <c r="CH57" s="98">
        <v>17</v>
      </c>
      <c r="CI57" s="98">
        <v>23990.400000000001</v>
      </c>
      <c r="CJ57" s="98">
        <v>19</v>
      </c>
      <c r="CK57" s="98">
        <v>26812.799999999999</v>
      </c>
      <c r="CL57" s="98">
        <v>22.598213915199967</v>
      </c>
      <c r="CM57" s="98">
        <v>31890.599477130196</v>
      </c>
      <c r="CN57" s="98">
        <v>29</v>
      </c>
      <c r="CO57" s="98">
        <v>40924.800000000003</v>
      </c>
      <c r="CP57" s="98">
        <v>17</v>
      </c>
      <c r="CQ57" s="98">
        <v>23990.400000000001</v>
      </c>
      <c r="CR57" s="98">
        <v>20</v>
      </c>
      <c r="CS57" s="98">
        <v>28224</v>
      </c>
      <c r="CT57" s="98">
        <v>19</v>
      </c>
      <c r="CU57" s="98">
        <v>26812.799999999999</v>
      </c>
    </row>
    <row r="58" spans="2:99">
      <c r="C58" s="97" t="s">
        <v>225</v>
      </c>
      <c r="D58" s="98">
        <v>27</v>
      </c>
      <c r="E58" s="98">
        <v>31784.400000000001</v>
      </c>
      <c r="F58" s="98">
        <v>21</v>
      </c>
      <c r="G58" s="98">
        <v>24721.200000000001</v>
      </c>
      <c r="H58" s="98">
        <v>26</v>
      </c>
      <c r="I58" s="98">
        <v>30607.200000000001</v>
      </c>
      <c r="J58" s="98">
        <v>21</v>
      </c>
      <c r="K58" s="98">
        <v>24721.200000000001</v>
      </c>
      <c r="L58" s="98">
        <v>25</v>
      </c>
      <c r="M58" s="98">
        <v>29430</v>
      </c>
      <c r="N58" s="98">
        <v>25</v>
      </c>
      <c r="O58" s="98">
        <v>29430</v>
      </c>
      <c r="P58" s="98">
        <v>20</v>
      </c>
      <c r="Q58" s="98">
        <v>23544</v>
      </c>
      <c r="R58" s="98">
        <v>17</v>
      </c>
      <c r="S58" s="98">
        <v>20012.400000000001</v>
      </c>
      <c r="T58" s="98">
        <v>26</v>
      </c>
      <c r="U58" s="98">
        <v>30607.200000000001</v>
      </c>
      <c r="V58" s="98">
        <v>30</v>
      </c>
      <c r="W58" s="98">
        <v>35316</v>
      </c>
      <c r="X58" s="98">
        <v>29</v>
      </c>
      <c r="Y58" s="98">
        <v>34138.800000000003</v>
      </c>
      <c r="Z58" s="98">
        <v>17.372886492164646</v>
      </c>
      <c r="AA58" s="98">
        <v>20451.361978576224</v>
      </c>
      <c r="AB58" s="98">
        <v>7.5825893458544948</v>
      </c>
      <c r="AC58" s="98">
        <v>8926.2241779399119</v>
      </c>
      <c r="AD58" s="98">
        <v>7.2541256843867465</v>
      </c>
      <c r="AE58" s="98">
        <v>8539.5567556600781</v>
      </c>
      <c r="AF58" s="98">
        <v>4.5609924184484578</v>
      </c>
      <c r="AG58" s="98">
        <v>5369.2002749975245</v>
      </c>
      <c r="AH58" s="98">
        <v>9.3170583349235834</v>
      </c>
      <c r="AI58" s="98">
        <v>10968.041071872043</v>
      </c>
      <c r="AJ58" s="98">
        <v>7.6731990098603458</v>
      </c>
      <c r="AK58" s="98">
        <v>9032.8898744075996</v>
      </c>
      <c r="AL58" s="98">
        <v>1.0708149806348981</v>
      </c>
      <c r="AM58" s="98">
        <v>1260.563395203402</v>
      </c>
      <c r="AN58" s="98">
        <v>8.6042112385130949</v>
      </c>
      <c r="AO58" s="98">
        <v>10128.877469977615</v>
      </c>
      <c r="AP58" s="98">
        <v>1.3554795998959472</v>
      </c>
      <c r="AQ58" s="98">
        <v>1595.6705849975092</v>
      </c>
      <c r="AR58" s="98">
        <v>7.3118448327283652</v>
      </c>
      <c r="AS58" s="98">
        <v>8607.5037370878326</v>
      </c>
      <c r="AT58" s="98">
        <v>6.2554296129636473</v>
      </c>
      <c r="AU58" s="98">
        <v>7363.8917403808055</v>
      </c>
      <c r="AV58" s="98">
        <v>7.3972277008630307</v>
      </c>
      <c r="AW58" s="98">
        <v>8708.0164494559594</v>
      </c>
      <c r="AX58" s="98">
        <v>7.9140864139852276</v>
      </c>
      <c r="AY58" s="98">
        <v>9316.4625265434097</v>
      </c>
      <c r="AZ58" s="98">
        <v>1.3746815046045919</v>
      </c>
      <c r="BA58" s="98">
        <v>1618.2750672205257</v>
      </c>
      <c r="BB58" s="98">
        <v>9.372445673411308</v>
      </c>
      <c r="BC58" s="98">
        <v>11033.243046739792</v>
      </c>
      <c r="BD58" s="98">
        <v>5.7071469998862421</v>
      </c>
      <c r="BE58" s="98">
        <v>6718.4534482660847</v>
      </c>
      <c r="BF58" s="98">
        <v>3.9333674430225671</v>
      </c>
      <c r="BG58" s="98">
        <v>4630.3601539261663</v>
      </c>
      <c r="BH58" s="98">
        <v>1.6733985700723359</v>
      </c>
      <c r="BI58" s="98">
        <v>1969.9247966891539</v>
      </c>
      <c r="BJ58" s="98">
        <v>13.222499965204408</v>
      </c>
      <c r="BK58" s="98">
        <v>15565.526959038629</v>
      </c>
      <c r="BL58" s="98">
        <v>8.7085701159115683</v>
      </c>
      <c r="BM58" s="98">
        <v>10251.728740451099</v>
      </c>
      <c r="BN58" s="98">
        <v>5.2512963482159991</v>
      </c>
      <c r="BO58" s="98">
        <v>6181.8260611198748</v>
      </c>
      <c r="BP58" s="98">
        <v>7.3909886734407584</v>
      </c>
      <c r="BQ58" s="98">
        <v>8700.6718663744614</v>
      </c>
      <c r="BR58" s="98">
        <v>4.3861084741635876</v>
      </c>
      <c r="BS58" s="98">
        <v>5163.3268957853752</v>
      </c>
      <c r="BT58" s="98">
        <v>6.1964470428520269</v>
      </c>
      <c r="BU58" s="98">
        <v>7294.4574588454061</v>
      </c>
      <c r="BV58" s="98">
        <v>5.3722699220178667</v>
      </c>
      <c r="BW58" s="98">
        <v>6324.2361521994326</v>
      </c>
      <c r="BX58" s="98">
        <v>5.1448094445033377</v>
      </c>
      <c r="BY58" s="98">
        <v>6056.4696780693293</v>
      </c>
      <c r="BZ58" s="98">
        <v>10.062248881226925</v>
      </c>
      <c r="CA58" s="98">
        <v>11845.279382980336</v>
      </c>
      <c r="CB58" s="98">
        <v>9.1479023742036727</v>
      </c>
      <c r="CC58" s="98">
        <v>10768.910674912564</v>
      </c>
      <c r="CD58" s="98">
        <v>5.725567934665639</v>
      </c>
      <c r="CE58" s="98">
        <v>6740.13857268839</v>
      </c>
      <c r="CF58" s="98">
        <v>6.9642095493937637</v>
      </c>
      <c r="CG58" s="98">
        <v>8198.2674815463397</v>
      </c>
      <c r="CH58" s="98">
        <v>4.4803714260315042</v>
      </c>
      <c r="CI58" s="98">
        <v>5274.2932427242868</v>
      </c>
      <c r="CJ58" s="98">
        <v>6.7912818901795404</v>
      </c>
      <c r="CK58" s="98">
        <v>7994.6970411193552</v>
      </c>
      <c r="CL58" s="98">
        <v>6.6331728375359278</v>
      </c>
      <c r="CM58" s="98">
        <v>7808.5710643472949</v>
      </c>
      <c r="CN58" s="98">
        <v>9.8566863923371795</v>
      </c>
      <c r="CO58" s="98">
        <v>11603.291221059328</v>
      </c>
      <c r="CP58" s="98">
        <v>6.5821061223343271</v>
      </c>
      <c r="CQ58" s="98">
        <v>7748.4553272119701</v>
      </c>
      <c r="CR58" s="98">
        <v>4.7590300526064109</v>
      </c>
      <c r="CS58" s="98">
        <v>5602.3301779282674</v>
      </c>
      <c r="CT58" s="98">
        <v>4.9315990904498204</v>
      </c>
      <c r="CU58" s="98">
        <v>5805.4784492775289</v>
      </c>
    </row>
    <row r="59" spans="2:99">
      <c r="C59" s="97" t="s">
        <v>226</v>
      </c>
      <c r="D59" s="98">
        <v>29</v>
      </c>
      <c r="E59" s="98">
        <v>8804.4</v>
      </c>
      <c r="F59" s="98">
        <v>25</v>
      </c>
      <c r="G59" s="98">
        <v>7589.9999999999991</v>
      </c>
      <c r="H59" s="98">
        <v>29</v>
      </c>
      <c r="I59" s="98">
        <v>8804.4</v>
      </c>
      <c r="J59" s="98">
        <v>21</v>
      </c>
      <c r="K59" s="98">
        <v>6375.5999999999995</v>
      </c>
      <c r="L59" s="98">
        <v>25</v>
      </c>
      <c r="M59" s="98">
        <v>7589.9999999999991</v>
      </c>
      <c r="N59" s="98">
        <v>28</v>
      </c>
      <c r="O59" s="98">
        <v>8500.7999999999993</v>
      </c>
      <c r="P59" s="98">
        <v>24</v>
      </c>
      <c r="Q59" s="98">
        <v>7286.4</v>
      </c>
      <c r="R59" s="98">
        <v>19</v>
      </c>
      <c r="S59" s="98">
        <v>5768.4</v>
      </c>
      <c r="T59" s="98">
        <v>30</v>
      </c>
      <c r="U59" s="98">
        <v>9107.9999999999982</v>
      </c>
      <c r="V59" s="98">
        <v>30</v>
      </c>
      <c r="W59" s="98">
        <v>9107.9999999999982</v>
      </c>
      <c r="X59" s="98">
        <v>30</v>
      </c>
      <c r="Y59" s="98">
        <v>9107.9999999999982</v>
      </c>
      <c r="Z59" s="98">
        <v>24</v>
      </c>
      <c r="AA59" s="98">
        <v>7286.4</v>
      </c>
      <c r="AB59" s="98">
        <v>28</v>
      </c>
      <c r="AC59" s="98">
        <v>8500.7999999999993</v>
      </c>
      <c r="AD59" s="98">
        <v>27</v>
      </c>
      <c r="AE59" s="98">
        <v>8197.1999999999989</v>
      </c>
      <c r="AF59" s="98">
        <v>23</v>
      </c>
      <c r="AG59" s="98">
        <v>6982.7999999999993</v>
      </c>
      <c r="AH59" s="98">
        <v>21</v>
      </c>
      <c r="AI59" s="98">
        <v>6375.5999999999995</v>
      </c>
      <c r="AJ59" s="98">
        <v>23</v>
      </c>
      <c r="AK59" s="98">
        <v>6982.7999999999993</v>
      </c>
      <c r="AL59" s="98">
        <v>17</v>
      </c>
      <c r="AM59" s="98">
        <v>5161.2</v>
      </c>
      <c r="AN59" s="98">
        <v>34</v>
      </c>
      <c r="AO59" s="98">
        <v>10322.4</v>
      </c>
      <c r="AP59" s="98">
        <v>26</v>
      </c>
      <c r="AQ59" s="98">
        <v>7893.5999999999995</v>
      </c>
      <c r="AR59" s="98">
        <v>25</v>
      </c>
      <c r="AS59" s="98">
        <v>7589.9999999999991</v>
      </c>
      <c r="AT59" s="98">
        <v>17</v>
      </c>
      <c r="AU59" s="98">
        <v>5161.2</v>
      </c>
      <c r="AV59" s="98">
        <v>21</v>
      </c>
      <c r="AW59" s="98">
        <v>6375.5999999999995</v>
      </c>
      <c r="AX59" s="98">
        <v>19</v>
      </c>
      <c r="AY59" s="98">
        <v>5768.4</v>
      </c>
      <c r="AZ59" s="98">
        <v>20</v>
      </c>
      <c r="BA59" s="98">
        <v>6071.9999999999991</v>
      </c>
      <c r="BB59" s="98">
        <v>23</v>
      </c>
      <c r="BC59" s="98">
        <v>6982.7999999999993</v>
      </c>
      <c r="BD59" s="98">
        <v>20</v>
      </c>
      <c r="BE59" s="98">
        <v>6071.9999999999991</v>
      </c>
      <c r="BF59" s="98">
        <v>18</v>
      </c>
      <c r="BG59" s="98">
        <v>5464.7999999999993</v>
      </c>
      <c r="BH59" s="98">
        <v>28</v>
      </c>
      <c r="BI59" s="98">
        <v>8500.7999999999993</v>
      </c>
      <c r="BJ59" s="98">
        <v>28</v>
      </c>
      <c r="BK59" s="98">
        <v>8500.7999999999993</v>
      </c>
      <c r="BL59" s="98">
        <v>17</v>
      </c>
      <c r="BM59" s="98">
        <v>5161.2</v>
      </c>
      <c r="BN59" s="98">
        <v>20</v>
      </c>
      <c r="BO59" s="98">
        <v>6071.9999999999991</v>
      </c>
      <c r="BP59" s="98">
        <v>29</v>
      </c>
      <c r="BQ59" s="98">
        <v>8804.4</v>
      </c>
      <c r="BR59" s="98">
        <v>24</v>
      </c>
      <c r="BS59" s="98">
        <v>7286.4</v>
      </c>
      <c r="BT59" s="98">
        <v>22</v>
      </c>
      <c r="BU59" s="98">
        <v>6679.1999999999989</v>
      </c>
      <c r="BV59" s="98">
        <v>20</v>
      </c>
      <c r="BW59" s="98">
        <v>6071.9999999999991</v>
      </c>
      <c r="BX59" s="98">
        <v>29</v>
      </c>
      <c r="BY59" s="98">
        <v>8804.4</v>
      </c>
      <c r="BZ59" s="98">
        <v>24</v>
      </c>
      <c r="CA59" s="98">
        <v>7286.4</v>
      </c>
      <c r="CB59" s="98">
        <v>31</v>
      </c>
      <c r="CC59" s="98">
        <v>9411.5999999999985</v>
      </c>
      <c r="CD59" s="98">
        <v>20</v>
      </c>
      <c r="CE59" s="98">
        <v>6071.9999999999991</v>
      </c>
      <c r="CF59" s="98">
        <v>35</v>
      </c>
      <c r="CG59" s="98">
        <v>10625.999999999998</v>
      </c>
      <c r="CH59" s="98">
        <v>20</v>
      </c>
      <c r="CI59" s="98">
        <v>6071.9999999999991</v>
      </c>
      <c r="CJ59" s="98">
        <v>22</v>
      </c>
      <c r="CK59" s="98">
        <v>6679.1999999999989</v>
      </c>
      <c r="CL59" s="98">
        <v>22.598213915199967</v>
      </c>
      <c r="CM59" s="98">
        <v>6860.8177446547088</v>
      </c>
      <c r="CN59" s="98">
        <v>35</v>
      </c>
      <c r="CO59" s="98">
        <v>10625.999999999998</v>
      </c>
      <c r="CP59" s="98">
        <v>17</v>
      </c>
      <c r="CQ59" s="98">
        <v>5161.2</v>
      </c>
      <c r="CR59" s="98">
        <v>23</v>
      </c>
      <c r="CS59" s="98">
        <v>6982.7999999999993</v>
      </c>
      <c r="CT59" s="98">
        <v>20</v>
      </c>
      <c r="CU59" s="98">
        <v>6071.9999999999991</v>
      </c>
    </row>
    <row r="60" spans="2:99">
      <c r="C60" s="97" t="s">
        <v>227</v>
      </c>
      <c r="D60" s="98">
        <v>28</v>
      </c>
      <c r="E60" s="98">
        <v>18244.8</v>
      </c>
      <c r="F60" s="98">
        <v>24</v>
      </c>
      <c r="G60" s="98">
        <v>15638.400000000001</v>
      </c>
      <c r="H60" s="98">
        <v>31</v>
      </c>
      <c r="I60" s="98">
        <v>20199.600000000002</v>
      </c>
      <c r="J60" s="98">
        <v>21</v>
      </c>
      <c r="K60" s="98">
        <v>13683.6</v>
      </c>
      <c r="L60" s="98">
        <v>29</v>
      </c>
      <c r="M60" s="98">
        <v>18896.400000000001</v>
      </c>
      <c r="N60" s="98">
        <v>28</v>
      </c>
      <c r="O60" s="98">
        <v>18244.8</v>
      </c>
      <c r="P60" s="98">
        <v>24</v>
      </c>
      <c r="Q60" s="98">
        <v>15638.400000000001</v>
      </c>
      <c r="R60" s="98">
        <v>18</v>
      </c>
      <c r="S60" s="98">
        <v>11728.800000000001</v>
      </c>
      <c r="T60" s="98">
        <v>30</v>
      </c>
      <c r="U60" s="98">
        <v>19548</v>
      </c>
      <c r="V60" s="98">
        <v>33</v>
      </c>
      <c r="W60" s="98">
        <v>21502.799999999999</v>
      </c>
      <c r="X60" s="98">
        <v>32</v>
      </c>
      <c r="Y60" s="98">
        <v>20851.2</v>
      </c>
      <c r="Z60" s="98">
        <v>26</v>
      </c>
      <c r="AA60" s="98">
        <v>16941.600000000002</v>
      </c>
      <c r="AB60" s="98">
        <v>24</v>
      </c>
      <c r="AC60" s="98">
        <v>15638.400000000001</v>
      </c>
      <c r="AD60" s="98">
        <v>25</v>
      </c>
      <c r="AE60" s="98">
        <v>16290</v>
      </c>
      <c r="AF60" s="98">
        <v>21</v>
      </c>
      <c r="AG60" s="98">
        <v>13683.6</v>
      </c>
      <c r="AH60" s="98">
        <v>20</v>
      </c>
      <c r="AI60" s="98">
        <v>13032</v>
      </c>
      <c r="AJ60" s="98">
        <v>21</v>
      </c>
      <c r="AK60" s="98">
        <v>13683.6</v>
      </c>
      <c r="AL60" s="98">
        <v>16</v>
      </c>
      <c r="AM60" s="98">
        <v>10425.6</v>
      </c>
      <c r="AN60" s="98">
        <v>35</v>
      </c>
      <c r="AO60" s="98">
        <v>22806</v>
      </c>
      <c r="AP60" s="98">
        <v>22</v>
      </c>
      <c r="AQ60" s="98">
        <v>14335.2</v>
      </c>
      <c r="AR60" s="98">
        <v>23</v>
      </c>
      <c r="AS60" s="98">
        <v>14986.800000000001</v>
      </c>
      <c r="AT60" s="98">
        <v>20</v>
      </c>
      <c r="AU60" s="98">
        <v>13032</v>
      </c>
      <c r="AV60" s="98">
        <v>19</v>
      </c>
      <c r="AW60" s="98">
        <v>12380.4</v>
      </c>
      <c r="AX60" s="98">
        <v>19</v>
      </c>
      <c r="AY60" s="98">
        <v>12380.4</v>
      </c>
      <c r="AZ60" s="98">
        <v>18</v>
      </c>
      <c r="BA60" s="98">
        <v>11728.800000000001</v>
      </c>
      <c r="BB60" s="98">
        <v>21</v>
      </c>
      <c r="BC60" s="98">
        <v>13683.6</v>
      </c>
      <c r="BD60" s="98">
        <v>20</v>
      </c>
      <c r="BE60" s="98">
        <v>13032</v>
      </c>
      <c r="BF60" s="98">
        <v>17</v>
      </c>
      <c r="BG60" s="98">
        <v>11077.2</v>
      </c>
      <c r="BH60" s="98">
        <v>28</v>
      </c>
      <c r="BI60" s="98">
        <v>18244.8</v>
      </c>
      <c r="BJ60" s="98">
        <v>25</v>
      </c>
      <c r="BK60" s="98">
        <v>16290</v>
      </c>
      <c r="BL60" s="98">
        <v>16</v>
      </c>
      <c r="BM60" s="98">
        <v>10425.6</v>
      </c>
      <c r="BN60" s="98">
        <v>16</v>
      </c>
      <c r="BO60" s="98">
        <v>10425.6</v>
      </c>
      <c r="BP60" s="98">
        <v>28</v>
      </c>
      <c r="BQ60" s="98">
        <v>18244.8</v>
      </c>
      <c r="BR60" s="98">
        <v>27</v>
      </c>
      <c r="BS60" s="98">
        <v>17593.2</v>
      </c>
      <c r="BT60" s="98">
        <v>19</v>
      </c>
      <c r="BU60" s="98">
        <v>12380.4</v>
      </c>
      <c r="BV60" s="98">
        <v>22</v>
      </c>
      <c r="BW60" s="98">
        <v>14335.2</v>
      </c>
      <c r="BX60" s="98">
        <v>27</v>
      </c>
      <c r="BY60" s="98">
        <v>17593.2</v>
      </c>
      <c r="BZ60" s="98">
        <v>21</v>
      </c>
      <c r="CA60" s="98">
        <v>13683.6</v>
      </c>
      <c r="CB60" s="98">
        <v>30</v>
      </c>
      <c r="CC60" s="98">
        <v>19548</v>
      </c>
      <c r="CD60" s="98">
        <v>18</v>
      </c>
      <c r="CE60" s="98">
        <v>11728.800000000001</v>
      </c>
      <c r="CF60" s="98">
        <v>31</v>
      </c>
      <c r="CG60" s="98">
        <v>20199.600000000002</v>
      </c>
      <c r="CH60" s="98">
        <v>17</v>
      </c>
      <c r="CI60" s="98">
        <v>11077.2</v>
      </c>
      <c r="CJ60" s="98">
        <v>21</v>
      </c>
      <c r="CK60" s="98">
        <v>13683.6</v>
      </c>
      <c r="CL60" s="98">
        <v>23.502142471807968</v>
      </c>
      <c r="CM60" s="98">
        <v>15313.996034630072</v>
      </c>
      <c r="CN60" s="98">
        <v>29</v>
      </c>
      <c r="CO60" s="98">
        <v>18896.400000000001</v>
      </c>
      <c r="CP60" s="98">
        <v>19</v>
      </c>
      <c r="CQ60" s="98">
        <v>12380.4</v>
      </c>
      <c r="CR60" s="98">
        <v>21</v>
      </c>
      <c r="CS60" s="98">
        <v>13683.6</v>
      </c>
      <c r="CT60" s="98">
        <v>22</v>
      </c>
      <c r="CU60" s="98">
        <v>14335.2</v>
      </c>
    </row>
    <row r="61" spans="2:99">
      <c r="C61" s="97" t="s">
        <v>228</v>
      </c>
      <c r="D61" s="98">
        <v>25</v>
      </c>
      <c r="E61" s="98">
        <v>23789.999999999996</v>
      </c>
      <c r="F61" s="98">
        <v>26</v>
      </c>
      <c r="G61" s="98">
        <v>24741.599999999999</v>
      </c>
      <c r="H61" s="98">
        <v>31</v>
      </c>
      <c r="I61" s="98">
        <v>29499.599999999999</v>
      </c>
      <c r="J61" s="98">
        <v>19</v>
      </c>
      <c r="K61" s="98">
        <v>18080.399999999998</v>
      </c>
      <c r="L61" s="98">
        <v>25</v>
      </c>
      <c r="M61" s="98">
        <v>23789.999999999996</v>
      </c>
      <c r="N61" s="98">
        <v>25</v>
      </c>
      <c r="O61" s="98">
        <v>23789.999999999996</v>
      </c>
      <c r="P61" s="98">
        <v>22</v>
      </c>
      <c r="Q61" s="98">
        <v>20935.199999999997</v>
      </c>
      <c r="R61" s="98">
        <v>19</v>
      </c>
      <c r="S61" s="98">
        <v>18080.399999999998</v>
      </c>
      <c r="T61" s="98">
        <v>29</v>
      </c>
      <c r="U61" s="98">
        <v>27596.399999999998</v>
      </c>
      <c r="V61" s="98">
        <v>33</v>
      </c>
      <c r="W61" s="98">
        <v>31402.799999999996</v>
      </c>
      <c r="X61" s="98">
        <v>29</v>
      </c>
      <c r="Y61" s="98">
        <v>27596.399999999998</v>
      </c>
      <c r="Z61" s="98">
        <v>23</v>
      </c>
      <c r="AA61" s="98">
        <v>21886.799999999999</v>
      </c>
      <c r="AB61" s="98">
        <v>26</v>
      </c>
      <c r="AC61" s="98">
        <v>24741.599999999999</v>
      </c>
      <c r="AD61" s="98">
        <v>28</v>
      </c>
      <c r="AE61" s="98">
        <v>26644.799999999996</v>
      </c>
      <c r="AF61" s="98">
        <v>23</v>
      </c>
      <c r="AG61" s="98">
        <v>21886.799999999999</v>
      </c>
      <c r="AH61" s="98">
        <v>20</v>
      </c>
      <c r="AI61" s="98">
        <v>19032</v>
      </c>
      <c r="AJ61" s="98">
        <v>19</v>
      </c>
      <c r="AK61" s="98">
        <v>18080.399999999998</v>
      </c>
      <c r="AL61" s="98">
        <v>15</v>
      </c>
      <c r="AM61" s="98">
        <v>14273.999999999998</v>
      </c>
      <c r="AN61" s="98">
        <v>33</v>
      </c>
      <c r="AO61" s="98">
        <v>31402.799999999996</v>
      </c>
      <c r="AP61" s="98">
        <v>25</v>
      </c>
      <c r="AQ61" s="98">
        <v>23789.999999999996</v>
      </c>
      <c r="AR61" s="98">
        <v>24</v>
      </c>
      <c r="AS61" s="98">
        <v>22838.399999999998</v>
      </c>
      <c r="AT61" s="98">
        <v>20</v>
      </c>
      <c r="AU61" s="98">
        <v>19032</v>
      </c>
      <c r="AV61" s="98">
        <v>19</v>
      </c>
      <c r="AW61" s="98">
        <v>18080.399999999998</v>
      </c>
      <c r="AX61" s="98">
        <v>18</v>
      </c>
      <c r="AY61" s="98">
        <v>17128.8</v>
      </c>
      <c r="AZ61" s="98">
        <v>19</v>
      </c>
      <c r="BA61" s="98">
        <v>18080.399999999998</v>
      </c>
      <c r="BB61" s="98">
        <v>20</v>
      </c>
      <c r="BC61" s="98">
        <v>19032</v>
      </c>
      <c r="BD61" s="98">
        <v>18</v>
      </c>
      <c r="BE61" s="98">
        <v>17128.8</v>
      </c>
      <c r="BF61" s="98">
        <v>19</v>
      </c>
      <c r="BG61" s="98">
        <v>18080.399999999998</v>
      </c>
      <c r="BH61" s="98">
        <v>28</v>
      </c>
      <c r="BI61" s="98">
        <v>26644.799999999996</v>
      </c>
      <c r="BJ61" s="98">
        <v>24</v>
      </c>
      <c r="BK61" s="98">
        <v>22838.399999999998</v>
      </c>
      <c r="BL61" s="98">
        <v>18</v>
      </c>
      <c r="BM61" s="98">
        <v>17128.8</v>
      </c>
      <c r="BN61" s="98">
        <v>16</v>
      </c>
      <c r="BO61" s="98">
        <v>15225.599999999999</v>
      </c>
      <c r="BP61" s="98">
        <v>26</v>
      </c>
      <c r="BQ61" s="98">
        <v>24741.599999999999</v>
      </c>
      <c r="BR61" s="98">
        <v>24</v>
      </c>
      <c r="BS61" s="98">
        <v>22838.399999999998</v>
      </c>
      <c r="BT61" s="98">
        <v>18</v>
      </c>
      <c r="BU61" s="98">
        <v>17128.8</v>
      </c>
      <c r="BV61" s="98">
        <v>23</v>
      </c>
      <c r="BW61" s="98">
        <v>21886.799999999999</v>
      </c>
      <c r="BX61" s="98">
        <v>24</v>
      </c>
      <c r="BY61" s="98">
        <v>22838.399999999998</v>
      </c>
      <c r="BZ61" s="98">
        <v>20</v>
      </c>
      <c r="CA61" s="98">
        <v>19032</v>
      </c>
      <c r="CB61" s="98">
        <v>26</v>
      </c>
      <c r="CC61" s="98">
        <v>24741.599999999999</v>
      </c>
      <c r="CD61" s="98">
        <v>18</v>
      </c>
      <c r="CE61" s="98">
        <v>17128.8</v>
      </c>
      <c r="CF61" s="98">
        <v>32</v>
      </c>
      <c r="CG61" s="98">
        <v>30451.199999999997</v>
      </c>
      <c r="CH61" s="98">
        <v>18</v>
      </c>
      <c r="CI61" s="98">
        <v>17128.8</v>
      </c>
      <c r="CJ61" s="98">
        <v>21</v>
      </c>
      <c r="CK61" s="98">
        <v>19983.599999999999</v>
      </c>
      <c r="CL61" s="98">
        <v>24.406071028415965</v>
      </c>
      <c r="CM61" s="98">
        <v>23224.817190640631</v>
      </c>
      <c r="CN61" s="98">
        <v>31</v>
      </c>
      <c r="CO61" s="98">
        <v>29499.599999999999</v>
      </c>
      <c r="CP61" s="98">
        <v>17</v>
      </c>
      <c r="CQ61" s="98">
        <v>16177.199999999999</v>
      </c>
      <c r="CR61" s="98">
        <v>21</v>
      </c>
      <c r="CS61" s="98">
        <v>19983.599999999999</v>
      </c>
      <c r="CT61" s="98">
        <v>18</v>
      </c>
      <c r="CU61" s="98">
        <v>17128.8</v>
      </c>
    </row>
    <row r="62" spans="2:99">
      <c r="C62" s="97" t="s">
        <v>229</v>
      </c>
      <c r="D62" s="98">
        <v>0</v>
      </c>
      <c r="E62" s="98">
        <v>0</v>
      </c>
      <c r="F62" s="98">
        <v>6.8128614399012148</v>
      </c>
      <c r="G62" s="98">
        <v>11372.028315483109</v>
      </c>
      <c r="H62" s="98">
        <v>10.007936925701781</v>
      </c>
      <c r="I62" s="98">
        <v>16705.248316381414</v>
      </c>
      <c r="J62" s="98">
        <v>3.8745532150600415</v>
      </c>
      <c r="K62" s="98">
        <v>6467.4042265782218</v>
      </c>
      <c r="L62" s="98">
        <v>4.3480234768166044</v>
      </c>
      <c r="M62" s="98">
        <v>7257.7207875022759</v>
      </c>
      <c r="N62" s="98">
        <v>4.2634845568017781</v>
      </c>
      <c r="O62" s="98">
        <v>7116.6084222135278</v>
      </c>
      <c r="P62" s="98">
        <v>3.2912345199652808</v>
      </c>
      <c r="Q62" s="98">
        <v>5493.7286607260467</v>
      </c>
      <c r="R62" s="98">
        <v>1.3416996047589802</v>
      </c>
      <c r="S62" s="98">
        <v>2239.5649802636899</v>
      </c>
      <c r="T62" s="98">
        <v>3.8740981222832946</v>
      </c>
      <c r="U62" s="98">
        <v>6466.6445857152758</v>
      </c>
      <c r="V62" s="98">
        <v>4.8910514958207632</v>
      </c>
      <c r="W62" s="98">
        <v>8164.1431568240178</v>
      </c>
      <c r="X62" s="98">
        <v>6.6901057971969271</v>
      </c>
      <c r="Y62" s="98">
        <v>11167.124596681111</v>
      </c>
      <c r="Z62" s="98">
        <v>5.1870676871338635</v>
      </c>
      <c r="AA62" s="98">
        <v>8658.2533833638445</v>
      </c>
      <c r="AB62" s="98">
        <v>2.0351193738912001</v>
      </c>
      <c r="AC62" s="98">
        <v>3397.0212588991913</v>
      </c>
      <c r="AD62" s="98">
        <v>5.3391783739830343</v>
      </c>
      <c r="AE62" s="98">
        <v>8912.1565418524806</v>
      </c>
      <c r="AF62" s="98">
        <v>3.0146523808533519</v>
      </c>
      <c r="AG62" s="98">
        <v>5032.0577541204148</v>
      </c>
      <c r="AH62" s="98">
        <v>4.515827164547586</v>
      </c>
      <c r="AI62" s="98">
        <v>7537.8187030628305</v>
      </c>
      <c r="AJ62" s="98">
        <v>2.0902207728080389</v>
      </c>
      <c r="AK62" s="98">
        <v>3488.9965139711785</v>
      </c>
      <c r="AL62" s="98">
        <v>1.2071375379202103</v>
      </c>
      <c r="AM62" s="98">
        <v>2014.953978296415</v>
      </c>
      <c r="AN62" s="98">
        <v>5.9231820639435337</v>
      </c>
      <c r="AO62" s="98">
        <v>9886.975501134546</v>
      </c>
      <c r="AP62" s="98">
        <v>1.7123938694629521</v>
      </c>
      <c r="AQ62" s="98">
        <v>2858.3278469075599</v>
      </c>
      <c r="AR62" s="98">
        <v>4.5560474306320105</v>
      </c>
      <c r="AS62" s="98">
        <v>7604.9543712109516</v>
      </c>
      <c r="AT62" s="98">
        <v>2.4946460145586133</v>
      </c>
      <c r="AU62" s="98">
        <v>4164.0631275012374</v>
      </c>
      <c r="AV62" s="98">
        <v>2.8203349181184514</v>
      </c>
      <c r="AW62" s="98">
        <v>4707.7030453233192</v>
      </c>
      <c r="AX62" s="98">
        <v>4.2516720420191199</v>
      </c>
      <c r="AY62" s="98">
        <v>7096.8909725383155</v>
      </c>
      <c r="AZ62" s="98">
        <v>2.0647282242867666</v>
      </c>
      <c r="BA62" s="98">
        <v>3446.4443519794709</v>
      </c>
      <c r="BB62" s="98">
        <v>3.7732155600174511</v>
      </c>
      <c r="BC62" s="98">
        <v>6298.2514127811291</v>
      </c>
      <c r="BD62" s="98">
        <v>2.1481250720267053</v>
      </c>
      <c r="BE62" s="98">
        <v>3585.6503702269765</v>
      </c>
      <c r="BF62" s="98">
        <v>4.9016840540247637</v>
      </c>
      <c r="BG62" s="98">
        <v>8181.8910229781359</v>
      </c>
      <c r="BH62" s="98">
        <v>4.1410894895183219</v>
      </c>
      <c r="BI62" s="98">
        <v>6912.3065759039828</v>
      </c>
      <c r="BJ62" s="98">
        <v>3.8181468335066135</v>
      </c>
      <c r="BK62" s="98">
        <v>6373.2506944892393</v>
      </c>
      <c r="BL62" s="98">
        <v>1.3942846830348143</v>
      </c>
      <c r="BM62" s="98">
        <v>2327.3399929217121</v>
      </c>
      <c r="BN62" s="98">
        <v>3.3421888595092888</v>
      </c>
      <c r="BO62" s="98">
        <v>5578.7816442929052</v>
      </c>
      <c r="BP62" s="98">
        <v>7.4080065897105367</v>
      </c>
      <c r="BQ62" s="98">
        <v>12365.444599544828</v>
      </c>
      <c r="BR62" s="98">
        <v>4.1748763943635758</v>
      </c>
      <c r="BS62" s="98">
        <v>6968.7036774716807</v>
      </c>
      <c r="BT62" s="98">
        <v>3.7476104030787116</v>
      </c>
      <c r="BU62" s="98">
        <v>6255.5112848189856</v>
      </c>
      <c r="BV62" s="98">
        <v>1.3061949911823105</v>
      </c>
      <c r="BW62" s="98">
        <v>2180.3006792815127</v>
      </c>
      <c r="BX62" s="98">
        <v>4.6642617892391387</v>
      </c>
      <c r="BY62" s="98">
        <v>7785.5857785979706</v>
      </c>
      <c r="BZ62" s="98">
        <v>0.85738825474120006</v>
      </c>
      <c r="CA62" s="98">
        <v>1431.1524748140112</v>
      </c>
      <c r="CB62" s="98">
        <v>3.9920148047905659</v>
      </c>
      <c r="CC62" s="98">
        <v>6663.4711121564133</v>
      </c>
      <c r="CD62" s="98">
        <v>7.4598696133489639</v>
      </c>
      <c r="CE62" s="98">
        <v>12452.014358602091</v>
      </c>
      <c r="CF62" s="98">
        <v>1.9701687555755236</v>
      </c>
      <c r="CG62" s="98">
        <v>3288.6056868066639</v>
      </c>
      <c r="CH62" s="98">
        <v>2.9349439161589714</v>
      </c>
      <c r="CI62" s="98">
        <v>4899.0083848525555</v>
      </c>
      <c r="CJ62" s="98">
        <v>3.3352171881222774</v>
      </c>
      <c r="CK62" s="98">
        <v>5567.144530413706</v>
      </c>
      <c r="CL62" s="98">
        <v>5.9168443332793901</v>
      </c>
      <c r="CM62" s="98">
        <v>9876.3965611099575</v>
      </c>
      <c r="CN62" s="98">
        <v>4.4027872279114382</v>
      </c>
      <c r="CO62" s="98">
        <v>7349.1324408297723</v>
      </c>
      <c r="CP62" s="98">
        <v>3.042572662396636</v>
      </c>
      <c r="CQ62" s="98">
        <v>5078.6622880724653</v>
      </c>
      <c r="CR62" s="98">
        <v>2.052764725897025</v>
      </c>
      <c r="CS62" s="98">
        <v>3426.4748804673141</v>
      </c>
      <c r="CT62" s="98">
        <v>1.3570164891829857</v>
      </c>
      <c r="CU62" s="98">
        <v>2265.1319237442399</v>
      </c>
    </row>
    <row r="63" spans="2:99">
      <c r="C63" s="97" t="s">
        <v>230</v>
      </c>
      <c r="D63" s="98">
        <v>24</v>
      </c>
      <c r="E63" s="98">
        <v>19094.400000000001</v>
      </c>
      <c r="F63" s="98">
        <v>26</v>
      </c>
      <c r="G63" s="98">
        <v>20685.600000000002</v>
      </c>
      <c r="H63" s="98">
        <v>31</v>
      </c>
      <c r="I63" s="98">
        <v>24663.600000000002</v>
      </c>
      <c r="J63" s="98">
        <v>18</v>
      </c>
      <c r="K63" s="98">
        <v>14320.800000000001</v>
      </c>
      <c r="L63" s="98">
        <v>27</v>
      </c>
      <c r="M63" s="98">
        <v>21481.200000000001</v>
      </c>
      <c r="N63" s="98">
        <v>25</v>
      </c>
      <c r="O63" s="98">
        <v>19890</v>
      </c>
      <c r="P63" s="98">
        <v>23</v>
      </c>
      <c r="Q63" s="98">
        <v>18298.8</v>
      </c>
      <c r="R63" s="98">
        <v>17</v>
      </c>
      <c r="S63" s="98">
        <v>13525.2</v>
      </c>
      <c r="T63" s="98">
        <v>28</v>
      </c>
      <c r="U63" s="98">
        <v>22276.799999999999</v>
      </c>
      <c r="V63" s="98">
        <v>33</v>
      </c>
      <c r="W63" s="98">
        <v>26254.799999999999</v>
      </c>
      <c r="X63" s="98">
        <v>28</v>
      </c>
      <c r="Y63" s="98">
        <v>22276.799999999999</v>
      </c>
      <c r="Z63" s="98">
        <v>24</v>
      </c>
      <c r="AA63" s="98">
        <v>19094.400000000001</v>
      </c>
      <c r="AB63" s="98">
        <v>25</v>
      </c>
      <c r="AC63" s="98">
        <v>19890</v>
      </c>
      <c r="AD63" s="98">
        <v>29</v>
      </c>
      <c r="AE63" s="98">
        <v>23072.400000000001</v>
      </c>
      <c r="AF63" s="98">
        <v>23</v>
      </c>
      <c r="AG63" s="98">
        <v>18298.8</v>
      </c>
      <c r="AH63" s="98">
        <v>20</v>
      </c>
      <c r="AI63" s="98">
        <v>15912</v>
      </c>
      <c r="AJ63" s="98">
        <v>19</v>
      </c>
      <c r="AK63" s="98">
        <v>15116.4</v>
      </c>
      <c r="AL63" s="98">
        <v>17</v>
      </c>
      <c r="AM63" s="98">
        <v>13525.2</v>
      </c>
      <c r="AN63" s="98">
        <v>34</v>
      </c>
      <c r="AO63" s="98">
        <v>27050.400000000001</v>
      </c>
      <c r="AP63" s="98">
        <v>25</v>
      </c>
      <c r="AQ63" s="98">
        <v>19890</v>
      </c>
      <c r="AR63" s="98">
        <v>25</v>
      </c>
      <c r="AS63" s="98">
        <v>19890</v>
      </c>
      <c r="AT63" s="98">
        <v>18</v>
      </c>
      <c r="AU63" s="98">
        <v>14320.800000000001</v>
      </c>
      <c r="AV63" s="98">
        <v>19</v>
      </c>
      <c r="AW63" s="98">
        <v>15116.4</v>
      </c>
      <c r="AX63" s="98">
        <v>18</v>
      </c>
      <c r="AY63" s="98">
        <v>14320.800000000001</v>
      </c>
      <c r="AZ63" s="98">
        <v>18</v>
      </c>
      <c r="BA63" s="98">
        <v>14320.800000000001</v>
      </c>
      <c r="BB63" s="98">
        <v>23</v>
      </c>
      <c r="BC63" s="98">
        <v>18298.8</v>
      </c>
      <c r="BD63" s="98">
        <v>18</v>
      </c>
      <c r="BE63" s="98">
        <v>14320.800000000001</v>
      </c>
      <c r="BF63" s="98">
        <v>16</v>
      </c>
      <c r="BG63" s="98">
        <v>12729.6</v>
      </c>
      <c r="BH63" s="98">
        <v>25</v>
      </c>
      <c r="BI63" s="98">
        <v>19890</v>
      </c>
      <c r="BJ63" s="98">
        <v>25</v>
      </c>
      <c r="BK63" s="98">
        <v>19890</v>
      </c>
      <c r="BL63" s="98">
        <v>18</v>
      </c>
      <c r="BM63" s="98">
        <v>14320.800000000001</v>
      </c>
      <c r="BN63" s="98">
        <v>18</v>
      </c>
      <c r="BO63" s="98">
        <v>14320.800000000001</v>
      </c>
      <c r="BP63" s="98">
        <v>26</v>
      </c>
      <c r="BQ63" s="98">
        <v>20685.600000000002</v>
      </c>
      <c r="BR63" s="98">
        <v>25</v>
      </c>
      <c r="BS63" s="98">
        <v>19890</v>
      </c>
      <c r="BT63" s="98">
        <v>18</v>
      </c>
      <c r="BU63" s="98">
        <v>14320.800000000001</v>
      </c>
      <c r="BV63" s="98">
        <v>20</v>
      </c>
      <c r="BW63" s="98">
        <v>15912</v>
      </c>
      <c r="BX63" s="98">
        <v>26</v>
      </c>
      <c r="BY63" s="98">
        <v>20685.600000000002</v>
      </c>
      <c r="BZ63" s="98">
        <v>24</v>
      </c>
      <c r="CA63" s="98">
        <v>19094.400000000001</v>
      </c>
      <c r="CB63" s="98">
        <v>29</v>
      </c>
      <c r="CC63" s="98">
        <v>23072.400000000001</v>
      </c>
      <c r="CD63" s="98">
        <v>17</v>
      </c>
      <c r="CE63" s="98">
        <v>13525.2</v>
      </c>
      <c r="CF63" s="98">
        <v>30</v>
      </c>
      <c r="CG63" s="98">
        <v>23868</v>
      </c>
      <c r="CH63" s="98">
        <v>17</v>
      </c>
      <c r="CI63" s="98">
        <v>13525.2</v>
      </c>
      <c r="CJ63" s="98">
        <v>23</v>
      </c>
      <c r="CK63" s="98">
        <v>18298.8</v>
      </c>
      <c r="CL63" s="98">
        <v>23.502142471807968</v>
      </c>
      <c r="CM63" s="98">
        <v>18698.304550570421</v>
      </c>
      <c r="CN63" s="98">
        <v>33</v>
      </c>
      <c r="CO63" s="98">
        <v>26254.799999999999</v>
      </c>
      <c r="CP63" s="98">
        <v>17</v>
      </c>
      <c r="CQ63" s="98">
        <v>13525.2</v>
      </c>
      <c r="CR63" s="98">
        <v>20</v>
      </c>
      <c r="CS63" s="98">
        <v>15912</v>
      </c>
      <c r="CT63" s="98">
        <v>20</v>
      </c>
      <c r="CU63" s="98">
        <v>15912</v>
      </c>
    </row>
    <row r="64" spans="2:99">
      <c r="C64" s="97" t="s">
        <v>231</v>
      </c>
      <c r="D64" s="98">
        <v>23</v>
      </c>
      <c r="E64" s="98">
        <v>23211.599999999995</v>
      </c>
      <c r="F64" s="98">
        <v>22</v>
      </c>
      <c r="G64" s="98">
        <v>22202.399999999994</v>
      </c>
      <c r="H64" s="98">
        <v>31</v>
      </c>
      <c r="I64" s="98">
        <v>31285.199999999993</v>
      </c>
      <c r="J64" s="98">
        <v>18</v>
      </c>
      <c r="K64" s="98">
        <v>18165.599999999999</v>
      </c>
      <c r="L64" s="98">
        <v>26</v>
      </c>
      <c r="M64" s="98">
        <v>26239.199999999997</v>
      </c>
      <c r="N64" s="98">
        <v>26</v>
      </c>
      <c r="O64" s="98">
        <v>26239.199999999997</v>
      </c>
      <c r="P64" s="98">
        <v>23</v>
      </c>
      <c r="Q64" s="98">
        <v>23211.599999999995</v>
      </c>
      <c r="R64" s="98">
        <v>19</v>
      </c>
      <c r="S64" s="98">
        <v>19174.799999999996</v>
      </c>
      <c r="T64" s="98">
        <v>27</v>
      </c>
      <c r="U64" s="98">
        <v>27248.399999999994</v>
      </c>
      <c r="V64" s="98">
        <v>31</v>
      </c>
      <c r="W64" s="98">
        <v>31285.199999999993</v>
      </c>
      <c r="X64" s="98">
        <v>27</v>
      </c>
      <c r="Y64" s="98">
        <v>27248.399999999994</v>
      </c>
      <c r="Z64" s="98">
        <v>21</v>
      </c>
      <c r="AA64" s="98">
        <v>21193.199999999997</v>
      </c>
      <c r="AB64" s="98">
        <v>23</v>
      </c>
      <c r="AC64" s="98">
        <v>23211.599999999995</v>
      </c>
      <c r="AD64" s="98">
        <v>27</v>
      </c>
      <c r="AE64" s="98">
        <v>27248.399999999994</v>
      </c>
      <c r="AF64" s="98">
        <v>22</v>
      </c>
      <c r="AG64" s="98">
        <v>22202.399999999994</v>
      </c>
      <c r="AH64" s="98">
        <v>22</v>
      </c>
      <c r="AI64" s="98">
        <v>22202.399999999994</v>
      </c>
      <c r="AJ64" s="98">
        <v>20</v>
      </c>
      <c r="AK64" s="98">
        <v>20183.999999999996</v>
      </c>
      <c r="AL64" s="98">
        <v>15</v>
      </c>
      <c r="AM64" s="98">
        <v>15137.999999999996</v>
      </c>
      <c r="AN64" s="98">
        <v>30</v>
      </c>
      <c r="AO64" s="98">
        <v>30275.999999999993</v>
      </c>
      <c r="AP64" s="98">
        <v>21</v>
      </c>
      <c r="AQ64" s="98">
        <v>21193.199999999997</v>
      </c>
      <c r="AR64" s="98">
        <v>22</v>
      </c>
      <c r="AS64" s="98">
        <v>22202.399999999994</v>
      </c>
      <c r="AT64" s="98">
        <v>17</v>
      </c>
      <c r="AU64" s="98">
        <v>17156.399999999998</v>
      </c>
      <c r="AV64" s="98">
        <v>17</v>
      </c>
      <c r="AW64" s="98">
        <v>17156.399999999998</v>
      </c>
      <c r="AX64" s="98">
        <v>17</v>
      </c>
      <c r="AY64" s="98">
        <v>17156.399999999998</v>
      </c>
      <c r="AZ64" s="98">
        <v>19</v>
      </c>
      <c r="BA64" s="98">
        <v>19174.799999999996</v>
      </c>
      <c r="BB64" s="98">
        <v>22</v>
      </c>
      <c r="BC64" s="98">
        <v>22202.399999999994</v>
      </c>
      <c r="BD64" s="98">
        <v>21</v>
      </c>
      <c r="BE64" s="98">
        <v>21193.199999999997</v>
      </c>
      <c r="BF64" s="98">
        <v>17</v>
      </c>
      <c r="BG64" s="98">
        <v>17156.399999999998</v>
      </c>
      <c r="BH64" s="98">
        <v>29</v>
      </c>
      <c r="BI64" s="98">
        <v>29266.799999999996</v>
      </c>
      <c r="BJ64" s="98">
        <v>25</v>
      </c>
      <c r="BK64" s="98">
        <v>25229.999999999996</v>
      </c>
      <c r="BL64" s="98">
        <v>17</v>
      </c>
      <c r="BM64" s="98">
        <v>17156.399999999998</v>
      </c>
      <c r="BN64" s="98">
        <v>18</v>
      </c>
      <c r="BO64" s="98">
        <v>18165.599999999999</v>
      </c>
      <c r="BP64" s="98">
        <v>27</v>
      </c>
      <c r="BQ64" s="98">
        <v>27248.399999999994</v>
      </c>
      <c r="BR64" s="98">
        <v>25</v>
      </c>
      <c r="BS64" s="98">
        <v>25229.999999999996</v>
      </c>
      <c r="BT64" s="98">
        <v>20</v>
      </c>
      <c r="BU64" s="98">
        <v>20183.999999999996</v>
      </c>
      <c r="BV64" s="98">
        <v>20</v>
      </c>
      <c r="BW64" s="98">
        <v>20183.999999999996</v>
      </c>
      <c r="BX64" s="98">
        <v>29</v>
      </c>
      <c r="BY64" s="98">
        <v>29266.799999999996</v>
      </c>
      <c r="BZ64" s="98">
        <v>22</v>
      </c>
      <c r="CA64" s="98">
        <v>22202.399999999994</v>
      </c>
      <c r="CB64" s="98">
        <v>28</v>
      </c>
      <c r="CC64" s="98">
        <v>28257.599999999995</v>
      </c>
      <c r="CD64" s="98">
        <v>19</v>
      </c>
      <c r="CE64" s="98">
        <v>19174.799999999996</v>
      </c>
      <c r="CF64" s="98">
        <v>32</v>
      </c>
      <c r="CG64" s="98">
        <v>32294.399999999994</v>
      </c>
      <c r="CH64" s="98">
        <v>16</v>
      </c>
      <c r="CI64" s="98">
        <v>16147.199999999997</v>
      </c>
      <c r="CJ64" s="98">
        <v>21</v>
      </c>
      <c r="CK64" s="98">
        <v>21193.199999999997</v>
      </c>
      <c r="CL64" s="98">
        <v>21.694285358591969</v>
      </c>
      <c r="CM64" s="98">
        <v>21893.872783891013</v>
      </c>
      <c r="CN64" s="98">
        <v>29</v>
      </c>
      <c r="CO64" s="98">
        <v>29266.799999999996</v>
      </c>
      <c r="CP64" s="98">
        <v>19</v>
      </c>
      <c r="CQ64" s="98">
        <v>19174.799999999996</v>
      </c>
      <c r="CR64" s="98">
        <v>22</v>
      </c>
      <c r="CS64" s="98">
        <v>22202.399999999994</v>
      </c>
      <c r="CT64" s="98">
        <v>19</v>
      </c>
      <c r="CU64" s="98">
        <v>19174.799999999996</v>
      </c>
    </row>
    <row r="65" spans="2:99">
      <c r="C65" s="97" t="s">
        <v>232</v>
      </c>
      <c r="D65" s="98">
        <v>28</v>
      </c>
      <c r="E65" s="98">
        <v>28728</v>
      </c>
      <c r="F65" s="98">
        <v>23</v>
      </c>
      <c r="G65" s="98">
        <v>23598</v>
      </c>
      <c r="H65" s="98">
        <v>27</v>
      </c>
      <c r="I65" s="98">
        <v>27702</v>
      </c>
      <c r="J65" s="98">
        <v>20</v>
      </c>
      <c r="K65" s="98">
        <v>20520</v>
      </c>
      <c r="L65" s="98">
        <v>24</v>
      </c>
      <c r="M65" s="98">
        <v>24624</v>
      </c>
      <c r="N65" s="98">
        <v>25</v>
      </c>
      <c r="O65" s="98">
        <v>25650</v>
      </c>
      <c r="P65" s="98">
        <v>23</v>
      </c>
      <c r="Q65" s="98">
        <v>23598</v>
      </c>
      <c r="R65" s="98">
        <v>18</v>
      </c>
      <c r="S65" s="98">
        <v>18468</v>
      </c>
      <c r="T65" s="98">
        <v>26</v>
      </c>
      <c r="U65" s="98">
        <v>26676</v>
      </c>
      <c r="V65" s="98">
        <v>31</v>
      </c>
      <c r="W65" s="98">
        <v>31806</v>
      </c>
      <c r="X65" s="98">
        <v>31</v>
      </c>
      <c r="Y65" s="98">
        <v>31806</v>
      </c>
      <c r="Z65" s="98">
        <v>24</v>
      </c>
      <c r="AA65" s="98">
        <v>24624</v>
      </c>
      <c r="AB65" s="98">
        <v>25</v>
      </c>
      <c r="AC65" s="98">
        <v>25650</v>
      </c>
      <c r="AD65" s="98">
        <v>28</v>
      </c>
      <c r="AE65" s="98">
        <v>28728</v>
      </c>
      <c r="AF65" s="98">
        <v>20</v>
      </c>
      <c r="AG65" s="98">
        <v>20520</v>
      </c>
      <c r="AH65" s="98">
        <v>19</v>
      </c>
      <c r="AI65" s="98">
        <v>19494</v>
      </c>
      <c r="AJ65" s="98">
        <v>19</v>
      </c>
      <c r="AK65" s="98">
        <v>19494</v>
      </c>
      <c r="AL65" s="98">
        <v>15</v>
      </c>
      <c r="AM65" s="98">
        <v>15390</v>
      </c>
      <c r="AN65" s="98">
        <v>29</v>
      </c>
      <c r="AO65" s="98">
        <v>29754</v>
      </c>
      <c r="AP65" s="98">
        <v>25</v>
      </c>
      <c r="AQ65" s="98">
        <v>25650</v>
      </c>
      <c r="AR65" s="98">
        <v>20</v>
      </c>
      <c r="AS65" s="98">
        <v>20520</v>
      </c>
      <c r="AT65" s="98">
        <v>16</v>
      </c>
      <c r="AU65" s="98">
        <v>16416</v>
      </c>
      <c r="AV65" s="98">
        <v>16</v>
      </c>
      <c r="AW65" s="98">
        <v>16416</v>
      </c>
      <c r="AX65" s="98">
        <v>20</v>
      </c>
      <c r="AY65" s="98">
        <v>20520</v>
      </c>
      <c r="AZ65" s="98">
        <v>20</v>
      </c>
      <c r="BA65" s="98">
        <v>20520</v>
      </c>
      <c r="BB65" s="98">
        <v>22</v>
      </c>
      <c r="BC65" s="98">
        <v>22572</v>
      </c>
      <c r="BD65" s="98">
        <v>20</v>
      </c>
      <c r="BE65" s="98">
        <v>20520</v>
      </c>
      <c r="BF65" s="98">
        <v>17</v>
      </c>
      <c r="BG65" s="98">
        <v>17442</v>
      </c>
      <c r="BH65" s="98">
        <v>24</v>
      </c>
      <c r="BI65" s="98">
        <v>24624</v>
      </c>
      <c r="BJ65" s="98">
        <v>23</v>
      </c>
      <c r="BK65" s="98">
        <v>23598</v>
      </c>
      <c r="BL65" s="98">
        <v>16</v>
      </c>
      <c r="BM65" s="98">
        <v>16416</v>
      </c>
      <c r="BN65" s="98">
        <v>16</v>
      </c>
      <c r="BO65" s="98">
        <v>16416</v>
      </c>
      <c r="BP65" s="98">
        <v>24</v>
      </c>
      <c r="BQ65" s="98">
        <v>24624</v>
      </c>
      <c r="BR65" s="98">
        <v>27</v>
      </c>
      <c r="BS65" s="98">
        <v>27702</v>
      </c>
      <c r="BT65" s="98">
        <v>20</v>
      </c>
      <c r="BU65" s="98">
        <v>20520</v>
      </c>
      <c r="BV65" s="98">
        <v>19</v>
      </c>
      <c r="BW65" s="98">
        <v>19494</v>
      </c>
      <c r="BX65" s="98">
        <v>24</v>
      </c>
      <c r="BY65" s="98">
        <v>24624</v>
      </c>
      <c r="BZ65" s="98">
        <v>21</v>
      </c>
      <c r="CA65" s="98">
        <v>21546</v>
      </c>
      <c r="CB65" s="98">
        <v>26</v>
      </c>
      <c r="CC65" s="98">
        <v>26676</v>
      </c>
      <c r="CD65" s="98">
        <v>18</v>
      </c>
      <c r="CE65" s="98">
        <v>18468</v>
      </c>
      <c r="CF65" s="98">
        <v>28</v>
      </c>
      <c r="CG65" s="98">
        <v>28728</v>
      </c>
      <c r="CH65" s="98">
        <v>16</v>
      </c>
      <c r="CI65" s="98">
        <v>16416</v>
      </c>
      <c r="CJ65" s="98">
        <v>20</v>
      </c>
      <c r="CK65" s="98">
        <v>20520</v>
      </c>
      <c r="CL65" s="98">
        <v>23.502142471807968</v>
      </c>
      <c r="CM65" s="98">
        <v>24113.198176074977</v>
      </c>
      <c r="CN65" s="98">
        <v>31</v>
      </c>
      <c r="CO65" s="98">
        <v>31806</v>
      </c>
      <c r="CP65" s="98">
        <v>18</v>
      </c>
      <c r="CQ65" s="98">
        <v>18468</v>
      </c>
      <c r="CR65" s="98">
        <v>19</v>
      </c>
      <c r="CS65" s="98">
        <v>19494</v>
      </c>
      <c r="CT65" s="98">
        <v>19</v>
      </c>
      <c r="CU65" s="98">
        <v>19494</v>
      </c>
    </row>
    <row r="66" spans="2:99">
      <c r="C66" s="97" t="s">
        <v>233</v>
      </c>
      <c r="D66" s="98">
        <v>27</v>
      </c>
      <c r="E66" s="98">
        <v>32140.799999999996</v>
      </c>
      <c r="F66" s="98">
        <v>25</v>
      </c>
      <c r="G66" s="98">
        <v>29759.999999999996</v>
      </c>
      <c r="H66" s="98">
        <v>30</v>
      </c>
      <c r="I66" s="98">
        <v>35711.999999999993</v>
      </c>
      <c r="J66" s="98">
        <v>19</v>
      </c>
      <c r="K66" s="98">
        <v>22617.599999999999</v>
      </c>
      <c r="L66" s="98">
        <v>27</v>
      </c>
      <c r="M66" s="98">
        <v>32140.799999999996</v>
      </c>
      <c r="N66" s="98">
        <v>26</v>
      </c>
      <c r="O66" s="98">
        <v>30950.399999999998</v>
      </c>
      <c r="P66" s="98">
        <v>20</v>
      </c>
      <c r="Q66" s="98">
        <v>23807.999999999996</v>
      </c>
      <c r="R66" s="98">
        <v>18</v>
      </c>
      <c r="S66" s="98">
        <v>21427.199999999997</v>
      </c>
      <c r="T66" s="98">
        <v>24</v>
      </c>
      <c r="U66" s="98">
        <v>28569.599999999999</v>
      </c>
      <c r="V66" s="98">
        <v>33</v>
      </c>
      <c r="W66" s="98">
        <v>39283.199999999997</v>
      </c>
      <c r="X66" s="98">
        <v>26</v>
      </c>
      <c r="Y66" s="98">
        <v>30950.399999999998</v>
      </c>
      <c r="Z66" s="98">
        <v>23</v>
      </c>
      <c r="AA66" s="98">
        <v>27379.199999999997</v>
      </c>
      <c r="AB66" s="98">
        <v>26</v>
      </c>
      <c r="AC66" s="98">
        <v>30950.399999999998</v>
      </c>
      <c r="AD66" s="98">
        <v>28</v>
      </c>
      <c r="AE66" s="98">
        <v>33331.199999999997</v>
      </c>
      <c r="AF66" s="98">
        <v>19</v>
      </c>
      <c r="AG66" s="98">
        <v>22617.599999999999</v>
      </c>
      <c r="AH66" s="98">
        <v>19</v>
      </c>
      <c r="AI66" s="98">
        <v>22617.599999999999</v>
      </c>
      <c r="AJ66" s="98">
        <v>19</v>
      </c>
      <c r="AK66" s="98">
        <v>22617.599999999999</v>
      </c>
      <c r="AL66" s="98">
        <v>16</v>
      </c>
      <c r="AM66" s="98">
        <v>19046.399999999998</v>
      </c>
      <c r="AN66" s="98">
        <v>32</v>
      </c>
      <c r="AO66" s="98">
        <v>38092.799999999996</v>
      </c>
      <c r="AP66" s="98">
        <v>21</v>
      </c>
      <c r="AQ66" s="98">
        <v>24998.399999999998</v>
      </c>
      <c r="AR66" s="98">
        <v>21</v>
      </c>
      <c r="AS66" s="98">
        <v>24998.399999999998</v>
      </c>
      <c r="AT66" s="98">
        <v>19</v>
      </c>
      <c r="AU66" s="98">
        <v>22617.599999999999</v>
      </c>
      <c r="AV66" s="98">
        <v>19</v>
      </c>
      <c r="AW66" s="98">
        <v>22617.599999999999</v>
      </c>
      <c r="AX66" s="98">
        <v>17</v>
      </c>
      <c r="AY66" s="98">
        <v>20236.8</v>
      </c>
      <c r="AZ66" s="98">
        <v>20</v>
      </c>
      <c r="BA66" s="98">
        <v>23807.999999999996</v>
      </c>
      <c r="BB66" s="98">
        <v>20</v>
      </c>
      <c r="BC66" s="98">
        <v>23807.999999999996</v>
      </c>
      <c r="BD66" s="98">
        <v>20</v>
      </c>
      <c r="BE66" s="98">
        <v>23807.999999999996</v>
      </c>
      <c r="BF66" s="98">
        <v>17</v>
      </c>
      <c r="BG66" s="98">
        <v>20236.8</v>
      </c>
      <c r="BH66" s="98">
        <v>25</v>
      </c>
      <c r="BI66" s="98">
        <v>29759.999999999996</v>
      </c>
      <c r="BJ66" s="98">
        <v>26</v>
      </c>
      <c r="BK66" s="98">
        <v>30950.399999999998</v>
      </c>
      <c r="BL66" s="98">
        <v>15</v>
      </c>
      <c r="BM66" s="98">
        <v>17855.999999999996</v>
      </c>
      <c r="BN66" s="98">
        <v>16</v>
      </c>
      <c r="BO66" s="98">
        <v>19046.399999999998</v>
      </c>
      <c r="BP66" s="98">
        <v>23</v>
      </c>
      <c r="BQ66" s="98">
        <v>27379.199999999997</v>
      </c>
      <c r="BR66" s="98">
        <v>23</v>
      </c>
      <c r="BS66" s="98">
        <v>27379.199999999997</v>
      </c>
      <c r="BT66" s="98">
        <v>20</v>
      </c>
      <c r="BU66" s="98">
        <v>23807.999999999996</v>
      </c>
      <c r="BV66" s="98">
        <v>20</v>
      </c>
      <c r="BW66" s="98">
        <v>23807.999999999996</v>
      </c>
      <c r="BX66" s="98">
        <v>28</v>
      </c>
      <c r="BY66" s="98">
        <v>33331.199999999997</v>
      </c>
      <c r="BZ66" s="98">
        <v>21</v>
      </c>
      <c r="CA66" s="98">
        <v>24998.399999999998</v>
      </c>
      <c r="CB66" s="98">
        <v>28</v>
      </c>
      <c r="CC66" s="98">
        <v>33331.199999999997</v>
      </c>
      <c r="CD66" s="98">
        <v>18</v>
      </c>
      <c r="CE66" s="98">
        <v>21427.199999999997</v>
      </c>
      <c r="CF66" s="98">
        <v>28</v>
      </c>
      <c r="CG66" s="98">
        <v>33331.199999999997</v>
      </c>
      <c r="CH66" s="98">
        <v>18</v>
      </c>
      <c r="CI66" s="98">
        <v>21427.199999999997</v>
      </c>
      <c r="CJ66" s="98">
        <v>21</v>
      </c>
      <c r="CK66" s="98">
        <v>24998.399999999998</v>
      </c>
      <c r="CL66" s="98">
        <v>20.790356801983968</v>
      </c>
      <c r="CM66" s="98">
        <v>24748.840737081711</v>
      </c>
      <c r="CN66" s="98">
        <v>28</v>
      </c>
      <c r="CO66" s="98">
        <v>33331.199999999997</v>
      </c>
      <c r="CP66" s="98">
        <v>17</v>
      </c>
      <c r="CQ66" s="98">
        <v>20236.8</v>
      </c>
      <c r="CR66" s="98">
        <v>20</v>
      </c>
      <c r="CS66" s="98">
        <v>23807.999999999996</v>
      </c>
      <c r="CT66" s="98">
        <v>21</v>
      </c>
      <c r="CU66" s="98">
        <v>24998.399999999998</v>
      </c>
    </row>
    <row r="67" spans="2:99">
      <c r="C67" s="97" t="s">
        <v>234</v>
      </c>
      <c r="D67" s="98">
        <v>25</v>
      </c>
      <c r="E67" s="98">
        <v>28080</v>
      </c>
      <c r="F67" s="98">
        <v>24</v>
      </c>
      <c r="G67" s="98">
        <v>26956.800000000003</v>
      </c>
      <c r="H67" s="98">
        <v>27</v>
      </c>
      <c r="I67" s="98">
        <v>30326.400000000001</v>
      </c>
      <c r="J67" s="98">
        <v>20</v>
      </c>
      <c r="K67" s="98">
        <v>22464</v>
      </c>
      <c r="L67" s="98">
        <v>27</v>
      </c>
      <c r="M67" s="98">
        <v>30326.400000000001</v>
      </c>
      <c r="N67" s="98">
        <v>24</v>
      </c>
      <c r="O67" s="98">
        <v>26956.800000000003</v>
      </c>
      <c r="P67" s="98">
        <v>21</v>
      </c>
      <c r="Q67" s="98">
        <v>23587.200000000001</v>
      </c>
      <c r="R67" s="98">
        <v>18</v>
      </c>
      <c r="S67" s="98">
        <v>20217.600000000002</v>
      </c>
      <c r="T67" s="98">
        <v>27</v>
      </c>
      <c r="U67" s="98">
        <v>30326.400000000001</v>
      </c>
      <c r="V67" s="98">
        <v>31</v>
      </c>
      <c r="W67" s="98">
        <v>34819.200000000004</v>
      </c>
      <c r="X67" s="98">
        <v>31</v>
      </c>
      <c r="Y67" s="98">
        <v>34819.200000000004</v>
      </c>
      <c r="Z67" s="98">
        <v>25</v>
      </c>
      <c r="AA67" s="98">
        <v>28080</v>
      </c>
      <c r="AB67" s="98">
        <v>26</v>
      </c>
      <c r="AC67" s="98">
        <v>29203.200000000001</v>
      </c>
      <c r="AD67" s="98">
        <v>26</v>
      </c>
      <c r="AE67" s="98">
        <v>29203.200000000001</v>
      </c>
      <c r="AF67" s="98">
        <v>22</v>
      </c>
      <c r="AG67" s="98">
        <v>24710.400000000001</v>
      </c>
      <c r="AH67" s="98">
        <v>19</v>
      </c>
      <c r="AI67" s="98">
        <v>21340.799999999999</v>
      </c>
      <c r="AJ67" s="98">
        <v>20</v>
      </c>
      <c r="AK67" s="98">
        <v>22464</v>
      </c>
      <c r="AL67" s="98">
        <v>14</v>
      </c>
      <c r="AM67" s="98">
        <v>15724.800000000001</v>
      </c>
      <c r="AN67" s="98">
        <v>33</v>
      </c>
      <c r="AO67" s="98">
        <v>37065.599999999999</v>
      </c>
      <c r="AP67" s="98">
        <v>23</v>
      </c>
      <c r="AQ67" s="98">
        <v>25833.600000000002</v>
      </c>
      <c r="AR67" s="98">
        <v>24</v>
      </c>
      <c r="AS67" s="98">
        <v>26956.800000000003</v>
      </c>
      <c r="AT67" s="98">
        <v>19</v>
      </c>
      <c r="AU67" s="98">
        <v>21340.799999999999</v>
      </c>
      <c r="AV67" s="98">
        <v>17</v>
      </c>
      <c r="AW67" s="98">
        <v>19094.400000000001</v>
      </c>
      <c r="AX67" s="98">
        <v>20</v>
      </c>
      <c r="AY67" s="98">
        <v>22464</v>
      </c>
      <c r="AZ67" s="98">
        <v>18</v>
      </c>
      <c r="BA67" s="98">
        <v>20217.600000000002</v>
      </c>
      <c r="BB67" s="98">
        <v>20</v>
      </c>
      <c r="BC67" s="98">
        <v>22464</v>
      </c>
      <c r="BD67" s="98">
        <v>19</v>
      </c>
      <c r="BE67" s="98">
        <v>21340.799999999999</v>
      </c>
      <c r="BF67" s="98">
        <v>18</v>
      </c>
      <c r="BG67" s="98">
        <v>20217.600000000002</v>
      </c>
      <c r="BH67" s="98">
        <v>26</v>
      </c>
      <c r="BI67" s="98">
        <v>29203.200000000001</v>
      </c>
      <c r="BJ67" s="98">
        <v>23</v>
      </c>
      <c r="BK67" s="98">
        <v>25833.600000000002</v>
      </c>
      <c r="BL67" s="98">
        <v>18</v>
      </c>
      <c r="BM67" s="98">
        <v>20217.600000000002</v>
      </c>
      <c r="BN67" s="98">
        <v>19</v>
      </c>
      <c r="BO67" s="98">
        <v>21340.799999999999</v>
      </c>
      <c r="BP67" s="98">
        <v>23</v>
      </c>
      <c r="BQ67" s="98">
        <v>25833.600000000002</v>
      </c>
      <c r="BR67" s="98">
        <v>25</v>
      </c>
      <c r="BS67" s="98">
        <v>28080</v>
      </c>
      <c r="BT67" s="98">
        <v>18</v>
      </c>
      <c r="BU67" s="98">
        <v>20217.600000000002</v>
      </c>
      <c r="BV67" s="98">
        <v>22</v>
      </c>
      <c r="BW67" s="98">
        <v>24710.400000000001</v>
      </c>
      <c r="BX67" s="98">
        <v>28</v>
      </c>
      <c r="BY67" s="98">
        <v>31449.600000000002</v>
      </c>
      <c r="BZ67" s="98">
        <v>20</v>
      </c>
      <c r="CA67" s="98">
        <v>22464</v>
      </c>
      <c r="CB67" s="98">
        <v>30</v>
      </c>
      <c r="CC67" s="98">
        <v>33696</v>
      </c>
      <c r="CD67" s="98">
        <v>17</v>
      </c>
      <c r="CE67" s="98">
        <v>19094.400000000001</v>
      </c>
      <c r="CF67" s="98">
        <v>31</v>
      </c>
      <c r="CG67" s="98">
        <v>34819.200000000004</v>
      </c>
      <c r="CH67" s="98">
        <v>16</v>
      </c>
      <c r="CI67" s="98">
        <v>17971.2</v>
      </c>
      <c r="CJ67" s="98">
        <v>21</v>
      </c>
      <c r="CK67" s="98">
        <v>23587.200000000001</v>
      </c>
      <c r="CL67" s="98">
        <v>19.886428245375971</v>
      </c>
      <c r="CM67" s="98">
        <v>22336.43620520629</v>
      </c>
      <c r="CN67" s="98">
        <v>30</v>
      </c>
      <c r="CO67" s="98">
        <v>33696</v>
      </c>
      <c r="CP67" s="98">
        <v>16</v>
      </c>
      <c r="CQ67" s="98">
        <v>17971.2</v>
      </c>
      <c r="CR67" s="98">
        <v>20</v>
      </c>
      <c r="CS67" s="98">
        <v>22464</v>
      </c>
      <c r="CT67" s="98">
        <v>19</v>
      </c>
      <c r="CU67" s="98">
        <v>21340.799999999999</v>
      </c>
    </row>
    <row r="68" spans="2:99">
      <c r="C68" s="97" t="s">
        <v>235</v>
      </c>
      <c r="D68" s="98">
        <v>24</v>
      </c>
      <c r="E68" s="98">
        <v>24796.800000000003</v>
      </c>
      <c r="F68" s="98">
        <v>25</v>
      </c>
      <c r="G68" s="98">
        <v>25830</v>
      </c>
      <c r="H68" s="98">
        <v>26</v>
      </c>
      <c r="I68" s="98">
        <v>26863.200000000001</v>
      </c>
      <c r="J68" s="98">
        <v>18</v>
      </c>
      <c r="K68" s="98">
        <v>18597.600000000002</v>
      </c>
      <c r="L68" s="98">
        <v>28</v>
      </c>
      <c r="M68" s="98">
        <v>28929.600000000002</v>
      </c>
      <c r="N68" s="98">
        <v>29</v>
      </c>
      <c r="O68" s="98">
        <v>29962.800000000003</v>
      </c>
      <c r="P68" s="98">
        <v>22</v>
      </c>
      <c r="Q68" s="98">
        <v>22730.400000000001</v>
      </c>
      <c r="R68" s="98">
        <v>19</v>
      </c>
      <c r="S68" s="98">
        <v>19630.8</v>
      </c>
      <c r="T68" s="98">
        <v>26</v>
      </c>
      <c r="U68" s="98">
        <v>26863.200000000001</v>
      </c>
      <c r="V68" s="98">
        <v>28</v>
      </c>
      <c r="W68" s="98">
        <v>28929.600000000002</v>
      </c>
      <c r="X68" s="98">
        <v>32</v>
      </c>
      <c r="Y68" s="98">
        <v>33062.400000000001</v>
      </c>
      <c r="Z68" s="98">
        <v>25</v>
      </c>
      <c r="AA68" s="98">
        <v>25830</v>
      </c>
      <c r="AB68" s="98">
        <v>24</v>
      </c>
      <c r="AC68" s="98">
        <v>24796.800000000003</v>
      </c>
      <c r="AD68" s="98">
        <v>25</v>
      </c>
      <c r="AE68" s="98">
        <v>25830</v>
      </c>
      <c r="AF68" s="98">
        <v>21</v>
      </c>
      <c r="AG68" s="98">
        <v>21697.200000000001</v>
      </c>
      <c r="AH68" s="98">
        <v>20</v>
      </c>
      <c r="AI68" s="98">
        <v>20664</v>
      </c>
      <c r="AJ68" s="98">
        <v>19</v>
      </c>
      <c r="AK68" s="98">
        <v>19630.8</v>
      </c>
      <c r="AL68" s="98">
        <v>15</v>
      </c>
      <c r="AM68" s="98">
        <v>15498</v>
      </c>
      <c r="AN68" s="98">
        <v>30</v>
      </c>
      <c r="AO68" s="98">
        <v>30996</v>
      </c>
      <c r="AP68" s="98">
        <v>22</v>
      </c>
      <c r="AQ68" s="98">
        <v>22730.400000000001</v>
      </c>
      <c r="AR68" s="98">
        <v>20</v>
      </c>
      <c r="AS68" s="98">
        <v>20664</v>
      </c>
      <c r="AT68" s="98">
        <v>16</v>
      </c>
      <c r="AU68" s="98">
        <v>16531.2</v>
      </c>
      <c r="AV68" s="98">
        <v>16</v>
      </c>
      <c r="AW68" s="98">
        <v>16531.2</v>
      </c>
      <c r="AX68" s="98">
        <v>18</v>
      </c>
      <c r="AY68" s="98">
        <v>18597.600000000002</v>
      </c>
      <c r="AZ68" s="98">
        <v>20</v>
      </c>
      <c r="BA68" s="98">
        <v>20664</v>
      </c>
      <c r="BB68" s="98">
        <v>21</v>
      </c>
      <c r="BC68" s="98">
        <v>21697.200000000001</v>
      </c>
      <c r="BD68" s="98">
        <v>20</v>
      </c>
      <c r="BE68" s="98">
        <v>20664</v>
      </c>
      <c r="BF68" s="98">
        <v>17</v>
      </c>
      <c r="BG68" s="98">
        <v>17564.400000000001</v>
      </c>
      <c r="BH68" s="98">
        <v>27</v>
      </c>
      <c r="BI68" s="98">
        <v>27896.400000000001</v>
      </c>
      <c r="BJ68" s="98">
        <v>25</v>
      </c>
      <c r="BK68" s="98">
        <v>25830</v>
      </c>
      <c r="BL68" s="98">
        <v>17</v>
      </c>
      <c r="BM68" s="98">
        <v>17564.400000000001</v>
      </c>
      <c r="BN68" s="98">
        <v>16</v>
      </c>
      <c r="BO68" s="98">
        <v>16531.2</v>
      </c>
      <c r="BP68" s="98">
        <v>26</v>
      </c>
      <c r="BQ68" s="98">
        <v>26863.200000000001</v>
      </c>
      <c r="BR68" s="98">
        <v>24</v>
      </c>
      <c r="BS68" s="98">
        <v>24796.800000000003</v>
      </c>
      <c r="BT68" s="98">
        <v>17</v>
      </c>
      <c r="BU68" s="98">
        <v>17564.400000000001</v>
      </c>
      <c r="BV68" s="98">
        <v>20</v>
      </c>
      <c r="BW68" s="98">
        <v>20664</v>
      </c>
      <c r="BX68" s="98">
        <v>27</v>
      </c>
      <c r="BY68" s="98">
        <v>27896.400000000001</v>
      </c>
      <c r="BZ68" s="98">
        <v>22</v>
      </c>
      <c r="CA68" s="98">
        <v>22730.400000000001</v>
      </c>
      <c r="CB68" s="98">
        <v>27</v>
      </c>
      <c r="CC68" s="98">
        <v>27896.400000000001</v>
      </c>
      <c r="CD68" s="98">
        <v>15</v>
      </c>
      <c r="CE68" s="98">
        <v>15498</v>
      </c>
      <c r="CF68" s="98">
        <v>28</v>
      </c>
      <c r="CG68" s="98">
        <v>28929.600000000002</v>
      </c>
      <c r="CH68" s="98">
        <v>16</v>
      </c>
      <c r="CI68" s="98">
        <v>16531.2</v>
      </c>
      <c r="CJ68" s="98">
        <v>20</v>
      </c>
      <c r="CK68" s="98">
        <v>20664</v>
      </c>
      <c r="CL68" s="98">
        <v>22.598213915199967</v>
      </c>
      <c r="CM68" s="98">
        <v>23348.474617184605</v>
      </c>
      <c r="CN68" s="98">
        <v>29</v>
      </c>
      <c r="CO68" s="98">
        <v>29962.800000000003</v>
      </c>
      <c r="CP68" s="98">
        <v>18</v>
      </c>
      <c r="CQ68" s="98">
        <v>18597.600000000002</v>
      </c>
      <c r="CR68" s="98">
        <v>20</v>
      </c>
      <c r="CS68" s="98">
        <v>20664</v>
      </c>
      <c r="CT68" s="98">
        <v>18</v>
      </c>
      <c r="CU68" s="98">
        <v>18597.600000000002</v>
      </c>
    </row>
    <row r="69" spans="2:99">
      <c r="C69" s="97" t="s">
        <v>236</v>
      </c>
      <c r="D69" s="98">
        <v>26</v>
      </c>
      <c r="E69" s="98">
        <v>19718.399999999998</v>
      </c>
      <c r="F69" s="98">
        <v>23</v>
      </c>
      <c r="G69" s="98">
        <v>17443.2</v>
      </c>
      <c r="H69" s="98">
        <v>30</v>
      </c>
      <c r="I69" s="98">
        <v>22752</v>
      </c>
      <c r="J69" s="98">
        <v>20</v>
      </c>
      <c r="K69" s="98">
        <v>15168</v>
      </c>
      <c r="L69" s="98">
        <v>25</v>
      </c>
      <c r="M69" s="98">
        <v>18960</v>
      </c>
      <c r="N69" s="98">
        <v>27</v>
      </c>
      <c r="O69" s="98">
        <v>20476.8</v>
      </c>
      <c r="P69" s="98">
        <v>20</v>
      </c>
      <c r="Q69" s="98">
        <v>15168</v>
      </c>
      <c r="R69" s="98">
        <v>19</v>
      </c>
      <c r="S69" s="98">
        <v>14409.6</v>
      </c>
      <c r="T69" s="98">
        <v>29</v>
      </c>
      <c r="U69" s="98">
        <v>21993.599999999999</v>
      </c>
      <c r="V69" s="98">
        <v>33</v>
      </c>
      <c r="W69" s="98">
        <v>25027.200000000001</v>
      </c>
      <c r="X69" s="98">
        <v>27</v>
      </c>
      <c r="Y69" s="98">
        <v>20476.8</v>
      </c>
      <c r="Z69" s="98">
        <v>24</v>
      </c>
      <c r="AA69" s="98">
        <v>18201.599999999999</v>
      </c>
      <c r="AB69" s="98">
        <v>24</v>
      </c>
      <c r="AC69" s="98">
        <v>18201.599999999999</v>
      </c>
      <c r="AD69" s="98">
        <v>25</v>
      </c>
      <c r="AE69" s="98">
        <v>18960</v>
      </c>
      <c r="AF69" s="98">
        <v>20</v>
      </c>
      <c r="AG69" s="98">
        <v>15168</v>
      </c>
      <c r="AH69" s="98">
        <v>20</v>
      </c>
      <c r="AI69" s="98">
        <v>15168</v>
      </c>
      <c r="AJ69" s="98">
        <v>19</v>
      </c>
      <c r="AK69" s="98">
        <v>14409.6</v>
      </c>
      <c r="AL69" s="98">
        <v>18</v>
      </c>
      <c r="AM69" s="98">
        <v>13651.199999999999</v>
      </c>
      <c r="AN69" s="98">
        <v>30</v>
      </c>
      <c r="AO69" s="98">
        <v>22752</v>
      </c>
      <c r="AP69" s="98">
        <v>21</v>
      </c>
      <c r="AQ69" s="98">
        <v>15926.4</v>
      </c>
      <c r="AR69" s="98">
        <v>22</v>
      </c>
      <c r="AS69" s="98">
        <v>16684.8</v>
      </c>
      <c r="AT69" s="98">
        <v>19</v>
      </c>
      <c r="AU69" s="98">
        <v>14409.6</v>
      </c>
      <c r="AV69" s="98">
        <v>19</v>
      </c>
      <c r="AW69" s="98">
        <v>14409.6</v>
      </c>
      <c r="AX69" s="98">
        <v>17</v>
      </c>
      <c r="AY69" s="98">
        <v>12892.8</v>
      </c>
      <c r="AZ69" s="98">
        <v>20</v>
      </c>
      <c r="BA69" s="98">
        <v>15168</v>
      </c>
      <c r="BB69" s="98">
        <v>22</v>
      </c>
      <c r="BC69" s="98">
        <v>16684.8</v>
      </c>
      <c r="BD69" s="98">
        <v>20</v>
      </c>
      <c r="BE69" s="98">
        <v>15168</v>
      </c>
      <c r="BF69" s="98">
        <v>16</v>
      </c>
      <c r="BG69" s="98">
        <v>12134.4</v>
      </c>
      <c r="BH69" s="98">
        <v>26</v>
      </c>
      <c r="BI69" s="98">
        <v>19718.399999999998</v>
      </c>
      <c r="BJ69" s="98">
        <v>28</v>
      </c>
      <c r="BK69" s="98">
        <v>21235.200000000001</v>
      </c>
      <c r="BL69" s="98">
        <v>16</v>
      </c>
      <c r="BM69" s="98">
        <v>12134.4</v>
      </c>
      <c r="BN69" s="98">
        <v>18</v>
      </c>
      <c r="BO69" s="98">
        <v>13651.199999999999</v>
      </c>
      <c r="BP69" s="98">
        <v>28</v>
      </c>
      <c r="BQ69" s="98">
        <v>21235.200000000001</v>
      </c>
      <c r="BR69" s="98">
        <v>25</v>
      </c>
      <c r="BS69" s="98">
        <v>18960</v>
      </c>
      <c r="BT69" s="98">
        <v>19</v>
      </c>
      <c r="BU69" s="98">
        <v>14409.6</v>
      </c>
      <c r="BV69" s="98">
        <v>20</v>
      </c>
      <c r="BW69" s="98">
        <v>15168</v>
      </c>
      <c r="BX69" s="98">
        <v>27</v>
      </c>
      <c r="BY69" s="98">
        <v>20476.8</v>
      </c>
      <c r="BZ69" s="98">
        <v>24</v>
      </c>
      <c r="CA69" s="98">
        <v>18201.599999999999</v>
      </c>
      <c r="CB69" s="98">
        <v>27</v>
      </c>
      <c r="CC69" s="98">
        <v>20476.8</v>
      </c>
      <c r="CD69" s="98">
        <v>18</v>
      </c>
      <c r="CE69" s="98">
        <v>13651.199999999999</v>
      </c>
      <c r="CF69" s="98">
        <v>28</v>
      </c>
      <c r="CG69" s="98">
        <v>21235.200000000001</v>
      </c>
      <c r="CH69" s="98">
        <v>17</v>
      </c>
      <c r="CI69" s="98">
        <v>12892.8</v>
      </c>
      <c r="CJ69" s="98">
        <v>23</v>
      </c>
      <c r="CK69" s="98">
        <v>17443.2</v>
      </c>
      <c r="CL69" s="98">
        <v>22.598213915199967</v>
      </c>
      <c r="CM69" s="98">
        <v>17138.485433287653</v>
      </c>
      <c r="CN69" s="98">
        <v>32</v>
      </c>
      <c r="CO69" s="98">
        <v>24268.799999999999</v>
      </c>
      <c r="CP69" s="98">
        <v>19</v>
      </c>
      <c r="CQ69" s="98">
        <v>14409.6</v>
      </c>
      <c r="CR69" s="98">
        <v>21</v>
      </c>
      <c r="CS69" s="98">
        <v>15926.4</v>
      </c>
      <c r="CT69" s="98">
        <v>21</v>
      </c>
      <c r="CU69" s="98">
        <v>15926.4</v>
      </c>
    </row>
    <row r="70" spans="2:99">
      <c r="C70" s="97" t="s">
        <v>237</v>
      </c>
      <c r="D70" s="98">
        <v>29</v>
      </c>
      <c r="E70" s="98">
        <v>15520.799999999997</v>
      </c>
      <c r="F70" s="98">
        <v>24</v>
      </c>
      <c r="G70" s="98">
        <v>12844.8</v>
      </c>
      <c r="H70" s="98">
        <v>30</v>
      </c>
      <c r="I70" s="98">
        <v>16055.999999999998</v>
      </c>
      <c r="J70" s="98">
        <v>20</v>
      </c>
      <c r="K70" s="98">
        <v>10703.999999999998</v>
      </c>
      <c r="L70" s="98">
        <v>30</v>
      </c>
      <c r="M70" s="98">
        <v>16055.999999999998</v>
      </c>
      <c r="N70" s="98">
        <v>28</v>
      </c>
      <c r="O70" s="98">
        <v>14985.599999999999</v>
      </c>
      <c r="P70" s="98">
        <v>21</v>
      </c>
      <c r="Q70" s="98">
        <v>11239.199999999999</v>
      </c>
      <c r="R70" s="98">
        <v>18</v>
      </c>
      <c r="S70" s="98">
        <v>9633.5999999999985</v>
      </c>
      <c r="T70" s="98">
        <v>29</v>
      </c>
      <c r="U70" s="98">
        <v>15520.799999999997</v>
      </c>
      <c r="V70" s="98">
        <v>30</v>
      </c>
      <c r="W70" s="98">
        <v>16055.999999999998</v>
      </c>
      <c r="X70" s="98">
        <v>30</v>
      </c>
      <c r="Y70" s="98">
        <v>16055.999999999998</v>
      </c>
      <c r="Z70" s="98">
        <v>23</v>
      </c>
      <c r="AA70" s="98">
        <v>12309.599999999999</v>
      </c>
      <c r="AB70" s="98">
        <v>25</v>
      </c>
      <c r="AC70" s="98">
        <v>13379.999999999998</v>
      </c>
      <c r="AD70" s="98">
        <v>29</v>
      </c>
      <c r="AE70" s="98">
        <v>15520.799999999997</v>
      </c>
      <c r="AF70" s="98">
        <v>22</v>
      </c>
      <c r="AG70" s="98">
        <v>11774.399999999998</v>
      </c>
      <c r="AH70" s="98">
        <v>21</v>
      </c>
      <c r="AI70" s="98">
        <v>11239.199999999999</v>
      </c>
      <c r="AJ70" s="98">
        <v>19</v>
      </c>
      <c r="AK70" s="98">
        <v>10168.799999999999</v>
      </c>
      <c r="AL70" s="98">
        <v>18</v>
      </c>
      <c r="AM70" s="98">
        <v>9633.5999999999985</v>
      </c>
      <c r="AN70" s="98">
        <v>34</v>
      </c>
      <c r="AO70" s="98">
        <v>18196.8</v>
      </c>
      <c r="AP70" s="98">
        <v>26</v>
      </c>
      <c r="AQ70" s="98">
        <v>13915.199999999999</v>
      </c>
      <c r="AR70" s="98">
        <v>23</v>
      </c>
      <c r="AS70" s="98">
        <v>12309.599999999999</v>
      </c>
      <c r="AT70" s="98">
        <v>18</v>
      </c>
      <c r="AU70" s="98">
        <v>9633.5999999999985</v>
      </c>
      <c r="AV70" s="98">
        <v>19</v>
      </c>
      <c r="AW70" s="98">
        <v>10168.799999999999</v>
      </c>
      <c r="AX70" s="98">
        <v>21</v>
      </c>
      <c r="AY70" s="98">
        <v>11239.199999999999</v>
      </c>
      <c r="AZ70" s="98">
        <v>22</v>
      </c>
      <c r="BA70" s="98">
        <v>11774.399999999998</v>
      </c>
      <c r="BB70" s="98">
        <v>23</v>
      </c>
      <c r="BC70" s="98">
        <v>12309.599999999999</v>
      </c>
      <c r="BD70" s="98">
        <v>18</v>
      </c>
      <c r="BE70" s="98">
        <v>9633.5999999999985</v>
      </c>
      <c r="BF70" s="98">
        <v>18</v>
      </c>
      <c r="BG70" s="98">
        <v>9633.5999999999985</v>
      </c>
      <c r="BH70" s="98">
        <v>29</v>
      </c>
      <c r="BI70" s="98">
        <v>15520.799999999997</v>
      </c>
      <c r="BJ70" s="98">
        <v>27</v>
      </c>
      <c r="BK70" s="98">
        <v>14450.399999999998</v>
      </c>
      <c r="BL70" s="98">
        <v>18</v>
      </c>
      <c r="BM70" s="98">
        <v>9633.5999999999985</v>
      </c>
      <c r="BN70" s="98">
        <v>20</v>
      </c>
      <c r="BO70" s="98">
        <v>10703.999999999998</v>
      </c>
      <c r="BP70" s="98">
        <v>28</v>
      </c>
      <c r="BQ70" s="98">
        <v>14985.599999999999</v>
      </c>
      <c r="BR70" s="98">
        <v>24</v>
      </c>
      <c r="BS70" s="98">
        <v>12844.8</v>
      </c>
      <c r="BT70" s="98">
        <v>19</v>
      </c>
      <c r="BU70" s="98">
        <v>10168.799999999999</v>
      </c>
      <c r="BV70" s="98">
        <v>23</v>
      </c>
      <c r="BW70" s="98">
        <v>12309.599999999999</v>
      </c>
      <c r="BX70" s="98">
        <v>27</v>
      </c>
      <c r="BY70" s="98">
        <v>14450.399999999998</v>
      </c>
      <c r="BZ70" s="98">
        <v>23</v>
      </c>
      <c r="CA70" s="98">
        <v>12309.599999999999</v>
      </c>
      <c r="CB70" s="98">
        <v>30</v>
      </c>
      <c r="CC70" s="98">
        <v>16055.999999999998</v>
      </c>
      <c r="CD70" s="98">
        <v>16</v>
      </c>
      <c r="CE70" s="98">
        <v>8563.1999999999989</v>
      </c>
      <c r="CF70" s="98">
        <v>33</v>
      </c>
      <c r="CG70" s="98">
        <v>17661.599999999999</v>
      </c>
      <c r="CH70" s="98">
        <v>17</v>
      </c>
      <c r="CI70" s="98">
        <v>9098.4</v>
      </c>
      <c r="CJ70" s="98">
        <v>21</v>
      </c>
      <c r="CK70" s="98">
        <v>11239.199999999999</v>
      </c>
      <c r="CL70" s="98">
        <v>23.502142471807968</v>
      </c>
      <c r="CM70" s="98">
        <v>12578.346650911622</v>
      </c>
      <c r="CN70" s="98">
        <v>32</v>
      </c>
      <c r="CO70" s="98">
        <v>17126.399999999998</v>
      </c>
      <c r="CP70" s="98">
        <v>17</v>
      </c>
      <c r="CQ70" s="98">
        <v>9098.4</v>
      </c>
      <c r="CR70" s="98">
        <v>21</v>
      </c>
      <c r="CS70" s="98">
        <v>11239.199999999999</v>
      </c>
      <c r="CT70" s="98">
        <v>19</v>
      </c>
      <c r="CU70" s="98">
        <v>10168.799999999999</v>
      </c>
    </row>
    <row r="71" spans="2:99">
      <c r="B71" s="97" t="s">
        <v>130</v>
      </c>
      <c r="C71" s="97" t="s">
        <v>238</v>
      </c>
      <c r="D71" s="98">
        <v>14</v>
      </c>
      <c r="E71" s="98">
        <v>7896</v>
      </c>
      <c r="F71" s="98">
        <v>13</v>
      </c>
      <c r="G71" s="98">
        <v>7332</v>
      </c>
      <c r="H71" s="98">
        <v>11</v>
      </c>
      <c r="I71" s="98">
        <v>6204</v>
      </c>
      <c r="J71" s="98">
        <v>11</v>
      </c>
      <c r="K71" s="98">
        <v>6204</v>
      </c>
      <c r="L71" s="98">
        <v>8</v>
      </c>
      <c r="M71" s="98">
        <v>4512</v>
      </c>
      <c r="N71" s="98">
        <v>8</v>
      </c>
      <c r="O71" s="98">
        <v>4512</v>
      </c>
      <c r="P71" s="98">
        <v>15</v>
      </c>
      <c r="Q71" s="98">
        <v>8460</v>
      </c>
      <c r="R71" s="98">
        <v>11</v>
      </c>
      <c r="S71" s="98">
        <v>6204</v>
      </c>
      <c r="T71" s="98">
        <v>10</v>
      </c>
      <c r="U71" s="98">
        <v>5640</v>
      </c>
      <c r="V71" s="98">
        <v>8</v>
      </c>
      <c r="W71" s="98">
        <v>4512</v>
      </c>
      <c r="X71" s="98">
        <v>8</v>
      </c>
      <c r="Y71" s="98">
        <v>4512</v>
      </c>
      <c r="Z71" s="98">
        <v>5.7909621640548821</v>
      </c>
      <c r="AA71" s="98">
        <v>3266.1026605269535</v>
      </c>
      <c r="AB71" s="98">
        <v>3.6264557741043233</v>
      </c>
      <c r="AC71" s="98">
        <v>2045.3210565948384</v>
      </c>
      <c r="AD71" s="98">
        <v>4.3524754106320476</v>
      </c>
      <c r="AE71" s="98">
        <v>2454.7961315964749</v>
      </c>
      <c r="AF71" s="98">
        <v>3.4207443138363431</v>
      </c>
      <c r="AG71" s="98">
        <v>1929.2997930036975</v>
      </c>
      <c r="AH71" s="98">
        <v>6.8652008783647451</v>
      </c>
      <c r="AI71" s="98">
        <v>3871.9732953977164</v>
      </c>
      <c r="AJ71" s="98">
        <v>3.0692796039441386</v>
      </c>
      <c r="AK71" s="98">
        <v>1731.0736966244942</v>
      </c>
      <c r="AL71" s="98">
        <v>0.62989116507935183</v>
      </c>
      <c r="AM71" s="98">
        <v>355.25861710475442</v>
      </c>
      <c r="AN71" s="98">
        <v>3.8857728173930099</v>
      </c>
      <c r="AO71" s="98">
        <v>2191.5758690096577</v>
      </c>
      <c r="AP71" s="98">
        <v>0.56478316662331129</v>
      </c>
      <c r="AQ71" s="98">
        <v>318.53770597554757</v>
      </c>
      <c r="AR71" s="98">
        <v>4.1781970472733514</v>
      </c>
      <c r="AS71" s="98">
        <v>2356.5031346621704</v>
      </c>
      <c r="AT71" s="98">
        <v>3.1277148064818237</v>
      </c>
      <c r="AU71" s="98">
        <v>1764.0311508557486</v>
      </c>
      <c r="AV71" s="98">
        <v>3.8932777372963323</v>
      </c>
      <c r="AW71" s="98">
        <v>2195.8086438351315</v>
      </c>
      <c r="AX71" s="98">
        <v>3.5173717395489899</v>
      </c>
      <c r="AY71" s="98">
        <v>1983.7976611056304</v>
      </c>
      <c r="AZ71" s="98">
        <v>1.1320906508508404</v>
      </c>
      <c r="BA71" s="98">
        <v>638.49912707987392</v>
      </c>
      <c r="BB71" s="98">
        <v>4.0167624314619896</v>
      </c>
      <c r="BC71" s="98">
        <v>2265.4540113445623</v>
      </c>
      <c r="BD71" s="98">
        <v>3.4242881999317456</v>
      </c>
      <c r="BE71" s="98">
        <v>1931.2985447615044</v>
      </c>
      <c r="BF71" s="98">
        <v>3.6875319778336566</v>
      </c>
      <c r="BG71" s="98">
        <v>2079.7680354981821</v>
      </c>
      <c r="BH71" s="98">
        <v>0.9562277543270491</v>
      </c>
      <c r="BI71" s="98">
        <v>539.31245344045567</v>
      </c>
      <c r="BJ71" s="98">
        <v>5.594134600663403</v>
      </c>
      <c r="BK71" s="98">
        <v>3155.0919147741592</v>
      </c>
      <c r="BL71" s="98">
        <v>3.8704756070718087</v>
      </c>
      <c r="BM71" s="98">
        <v>2182.9482423885001</v>
      </c>
      <c r="BN71" s="98">
        <v>4.1457602749073681</v>
      </c>
      <c r="BO71" s="98">
        <v>2338.2087950477558</v>
      </c>
      <c r="BP71" s="98">
        <v>4.6535854610552922</v>
      </c>
      <c r="BQ71" s="98">
        <v>2624.622200035185</v>
      </c>
      <c r="BR71" s="98">
        <v>2.2742784680848236</v>
      </c>
      <c r="BS71" s="98">
        <v>1282.6930559998405</v>
      </c>
      <c r="BT71" s="98">
        <v>4.8194588111071326</v>
      </c>
      <c r="BU71" s="98">
        <v>2718.1747694644228</v>
      </c>
      <c r="BV71" s="98">
        <v>3.2233619532107198</v>
      </c>
      <c r="BW71" s="98">
        <v>1817.9761416108461</v>
      </c>
      <c r="BX71" s="98">
        <v>1.7149364815011126</v>
      </c>
      <c r="BY71" s="98">
        <v>967.22417556662754</v>
      </c>
      <c r="BZ71" s="98">
        <v>3.9374017361322751</v>
      </c>
      <c r="CA71" s="98">
        <v>2220.6945791786034</v>
      </c>
      <c r="CB71" s="98">
        <v>3.7853389134635886</v>
      </c>
      <c r="CC71" s="98">
        <v>2134.9311471934639</v>
      </c>
      <c r="CD71" s="98">
        <v>3.9363279550826267</v>
      </c>
      <c r="CE71" s="98">
        <v>2220.0889666666017</v>
      </c>
      <c r="CF71" s="98">
        <v>4.0824676668859992</v>
      </c>
      <c r="CG71" s="98">
        <v>2302.5117641237034</v>
      </c>
      <c r="CH71" s="98">
        <v>3.7336428550262535</v>
      </c>
      <c r="CI71" s="98">
        <v>2105.774570234807</v>
      </c>
      <c r="CJ71" s="98">
        <v>4.0130302078333653</v>
      </c>
      <c r="CK71" s="98">
        <v>2263.3490372180181</v>
      </c>
      <c r="CL71" s="98">
        <v>3.5717084509808843</v>
      </c>
      <c r="CM71" s="98">
        <v>2014.4435663532188</v>
      </c>
      <c r="CN71" s="98">
        <v>3.1682206261083792</v>
      </c>
      <c r="CO71" s="98">
        <v>1786.8764331251259</v>
      </c>
      <c r="CP71" s="98">
        <v>3.6567256235190704</v>
      </c>
      <c r="CQ71" s="98">
        <v>2062.3932516647556</v>
      </c>
      <c r="CR71" s="98">
        <v>3.0284736698404435</v>
      </c>
      <c r="CS71" s="98">
        <v>1708.0591497900102</v>
      </c>
      <c r="CT71" s="98">
        <v>2.7397772724721228</v>
      </c>
      <c r="CU71" s="98">
        <v>1545.2343816742773</v>
      </c>
    </row>
    <row r="72" spans="2:99">
      <c r="C72" s="97" t="s">
        <v>239</v>
      </c>
      <c r="D72" s="98">
        <v>16</v>
      </c>
      <c r="E72" s="98">
        <v>1190.3999999999999</v>
      </c>
      <c r="F72" s="98">
        <v>14</v>
      </c>
      <c r="G72" s="98">
        <v>1041.5999999999999</v>
      </c>
      <c r="H72" s="98">
        <v>11</v>
      </c>
      <c r="I72" s="98">
        <v>818.39999999999986</v>
      </c>
      <c r="J72" s="98">
        <v>11</v>
      </c>
      <c r="K72" s="98">
        <v>818.39999999999986</v>
      </c>
      <c r="L72" s="98">
        <v>10</v>
      </c>
      <c r="M72" s="98">
        <v>743.99999999999989</v>
      </c>
      <c r="N72" s="98">
        <v>9</v>
      </c>
      <c r="O72" s="98">
        <v>669.59999999999991</v>
      </c>
      <c r="P72" s="98">
        <v>16</v>
      </c>
      <c r="Q72" s="98">
        <v>1190.3999999999999</v>
      </c>
      <c r="R72" s="98">
        <v>12</v>
      </c>
      <c r="S72" s="98">
        <v>892.8</v>
      </c>
      <c r="T72" s="98">
        <v>9</v>
      </c>
      <c r="U72" s="98">
        <v>669.59999999999991</v>
      </c>
      <c r="V72" s="98">
        <v>10</v>
      </c>
      <c r="W72" s="98">
        <v>743.99999999999989</v>
      </c>
      <c r="X72" s="98">
        <v>9</v>
      </c>
      <c r="Y72" s="98">
        <v>669.59999999999991</v>
      </c>
      <c r="Z72" s="98">
        <v>6.5148324345617423</v>
      </c>
      <c r="AA72" s="98">
        <v>484.70353313139356</v>
      </c>
      <c r="AB72" s="98">
        <v>3.6264557741043233</v>
      </c>
      <c r="AC72" s="98">
        <v>269.80830959336163</v>
      </c>
      <c r="AD72" s="98">
        <v>4.6426404380075175</v>
      </c>
      <c r="AE72" s="98">
        <v>345.41244858775929</v>
      </c>
      <c r="AF72" s="98">
        <v>3.8768435556811891</v>
      </c>
      <c r="AG72" s="98">
        <v>288.43716054268043</v>
      </c>
      <c r="AH72" s="98">
        <v>6.3748293870529782</v>
      </c>
      <c r="AI72" s="98">
        <v>474.28730639674154</v>
      </c>
      <c r="AJ72" s="98">
        <v>3.0692796039441386</v>
      </c>
      <c r="AK72" s="98">
        <v>228.35440253344387</v>
      </c>
      <c r="AL72" s="98">
        <v>0.62989116507935183</v>
      </c>
      <c r="AM72" s="98">
        <v>46.863902681903774</v>
      </c>
      <c r="AN72" s="98">
        <v>3.8857728173930099</v>
      </c>
      <c r="AO72" s="98">
        <v>289.10149761403989</v>
      </c>
      <c r="AP72" s="98">
        <v>0.62126148328564246</v>
      </c>
      <c r="AQ72" s="98">
        <v>46.221854356451793</v>
      </c>
      <c r="AR72" s="98">
        <v>3.830013960000572</v>
      </c>
      <c r="AS72" s="98">
        <v>284.95303862404251</v>
      </c>
      <c r="AT72" s="98">
        <v>3.1277148064818237</v>
      </c>
      <c r="AU72" s="98">
        <v>232.70198160224766</v>
      </c>
      <c r="AV72" s="98">
        <v>3.8932777372963323</v>
      </c>
      <c r="AW72" s="98">
        <v>289.65986365484707</v>
      </c>
      <c r="AX72" s="98">
        <v>3.9570432069926138</v>
      </c>
      <c r="AY72" s="98">
        <v>294.40401460025043</v>
      </c>
      <c r="AZ72" s="98">
        <v>1.2938178866866747</v>
      </c>
      <c r="BA72" s="98">
        <v>96.260050769488586</v>
      </c>
      <c r="BB72" s="98">
        <v>4.0167624314619896</v>
      </c>
      <c r="BC72" s="98">
        <v>298.84712490077197</v>
      </c>
      <c r="BD72" s="98">
        <v>3.9950028999203702</v>
      </c>
      <c r="BE72" s="98">
        <v>297.22821575407551</v>
      </c>
      <c r="BF72" s="98">
        <v>3.9333674430225671</v>
      </c>
      <c r="BG72" s="98">
        <v>292.64253776087895</v>
      </c>
      <c r="BH72" s="98">
        <v>0.9562277543270491</v>
      </c>
      <c r="BI72" s="98">
        <v>71.143344921932439</v>
      </c>
      <c r="BJ72" s="98">
        <v>5.594134600663403</v>
      </c>
      <c r="BK72" s="98">
        <v>416.20361428935712</v>
      </c>
      <c r="BL72" s="98">
        <v>3.8704756070718087</v>
      </c>
      <c r="BM72" s="98">
        <v>287.96338516614253</v>
      </c>
      <c r="BN72" s="98">
        <v>4.4221442932345258</v>
      </c>
      <c r="BO72" s="98">
        <v>329.00753541664869</v>
      </c>
      <c r="BP72" s="98">
        <v>4.1061048185781992</v>
      </c>
      <c r="BQ72" s="98">
        <v>305.49419850221801</v>
      </c>
      <c r="BR72" s="98">
        <v>2.1118300060787645</v>
      </c>
      <c r="BS72" s="98">
        <v>157.12015245226007</v>
      </c>
      <c r="BT72" s="98">
        <v>5.5079529269795797</v>
      </c>
      <c r="BU72" s="98">
        <v>409.79169776728071</v>
      </c>
      <c r="BV72" s="98">
        <v>3.2233619532107198</v>
      </c>
      <c r="BW72" s="98">
        <v>239.81812931887754</v>
      </c>
      <c r="BX72" s="98">
        <v>1.9293035416887516</v>
      </c>
      <c r="BY72" s="98">
        <v>143.5401835016431</v>
      </c>
      <c r="BZ72" s="98">
        <v>4.3748908179247499</v>
      </c>
      <c r="CA72" s="98">
        <v>325.49187685360135</v>
      </c>
      <c r="CB72" s="98">
        <v>3.4698940040082893</v>
      </c>
      <c r="CC72" s="98">
        <v>258.16011389821671</v>
      </c>
      <c r="CD72" s="98">
        <v>4.6520239469158309</v>
      </c>
      <c r="CE72" s="98">
        <v>346.11058165053777</v>
      </c>
      <c r="CF72" s="98">
        <v>4.0824676668859992</v>
      </c>
      <c r="CG72" s="98">
        <v>303.73559441631829</v>
      </c>
      <c r="CH72" s="98">
        <v>3.7336428550262535</v>
      </c>
      <c r="CI72" s="98">
        <v>277.78302841395322</v>
      </c>
      <c r="CJ72" s="98">
        <v>3.3956409450897702</v>
      </c>
      <c r="CK72" s="98">
        <v>252.63568631467888</v>
      </c>
      <c r="CL72" s="98">
        <v>3.3165864187679639</v>
      </c>
      <c r="CM72" s="98">
        <v>246.75402955633649</v>
      </c>
      <c r="CN72" s="98">
        <v>3.8722696541324635</v>
      </c>
      <c r="CO72" s="98">
        <v>288.09686226745526</v>
      </c>
      <c r="CP72" s="98">
        <v>4.0223981858709772</v>
      </c>
      <c r="CQ72" s="98">
        <v>299.26642502880065</v>
      </c>
      <c r="CR72" s="98">
        <v>3.2447932176861896</v>
      </c>
      <c r="CS72" s="98">
        <v>241.41261539585247</v>
      </c>
      <c r="CT72" s="98">
        <v>2.4657995452249102</v>
      </c>
      <c r="CU72" s="98">
        <v>183.45548616473329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13</v>
      </c>
      <c r="G73" s="98">
        <v>7269.5999999999995</v>
      </c>
      <c r="H73" s="98">
        <v>11</v>
      </c>
      <c r="I73" s="98">
        <v>6151.1999999999989</v>
      </c>
      <c r="J73" s="98">
        <v>12</v>
      </c>
      <c r="K73" s="98">
        <v>6710.4</v>
      </c>
      <c r="L73" s="98">
        <v>9</v>
      </c>
      <c r="M73" s="98">
        <v>5032.7999999999993</v>
      </c>
      <c r="N73" s="98">
        <v>9</v>
      </c>
      <c r="O73" s="98">
        <v>5032.7999999999993</v>
      </c>
      <c r="P73" s="98">
        <v>16</v>
      </c>
      <c r="Q73" s="98">
        <v>8947.1999999999989</v>
      </c>
      <c r="R73" s="98">
        <v>12</v>
      </c>
      <c r="S73" s="98">
        <v>6710.4</v>
      </c>
      <c r="T73" s="98">
        <v>10</v>
      </c>
      <c r="U73" s="98">
        <v>5591.9999999999991</v>
      </c>
      <c r="V73" s="98">
        <v>10</v>
      </c>
      <c r="W73" s="98">
        <v>5591.9999999999991</v>
      </c>
      <c r="X73" s="98">
        <v>8</v>
      </c>
      <c r="Y73" s="98">
        <v>4473.5999999999995</v>
      </c>
      <c r="Z73" s="98">
        <v>5.7909621640548821</v>
      </c>
      <c r="AA73" s="98">
        <v>3238.3060421394898</v>
      </c>
      <c r="AB73" s="98">
        <v>3.6264557741043233</v>
      </c>
      <c r="AC73" s="98">
        <v>2027.9140688791374</v>
      </c>
      <c r="AD73" s="98">
        <v>4.0623103832565786</v>
      </c>
      <c r="AE73" s="98">
        <v>2271.6439663170786</v>
      </c>
      <c r="AF73" s="98">
        <v>3.1926946929139204</v>
      </c>
      <c r="AG73" s="98">
        <v>1785.354872277464</v>
      </c>
      <c r="AH73" s="98">
        <v>6.3748293870529782</v>
      </c>
      <c r="AI73" s="98">
        <v>3564.804593240025</v>
      </c>
      <c r="AJ73" s="98">
        <v>3.0692796039441386</v>
      </c>
      <c r="AK73" s="98">
        <v>1716.3411545255622</v>
      </c>
      <c r="AL73" s="98">
        <v>0.62989116507935183</v>
      </c>
      <c r="AM73" s="98">
        <v>352.23513951237351</v>
      </c>
      <c r="AN73" s="98">
        <v>4.1633280186353678</v>
      </c>
      <c r="AO73" s="98">
        <v>2328.1330280208972</v>
      </c>
      <c r="AP73" s="98">
        <v>0.50830484996098013</v>
      </c>
      <c r="AQ73" s="98">
        <v>284.24407209818003</v>
      </c>
      <c r="AR73" s="98">
        <v>3.830013960000572</v>
      </c>
      <c r="AS73" s="98">
        <v>2141.7438064323196</v>
      </c>
      <c r="AT73" s="98">
        <v>2.7801909390949544</v>
      </c>
      <c r="AU73" s="98">
        <v>1554.6827731418982</v>
      </c>
      <c r="AV73" s="98">
        <v>3.8932777372963323</v>
      </c>
      <c r="AW73" s="98">
        <v>2177.1209106961087</v>
      </c>
      <c r="AX73" s="98">
        <v>3.5173717395489899</v>
      </c>
      <c r="AY73" s="98">
        <v>1966.9142767557948</v>
      </c>
      <c r="AZ73" s="98">
        <v>1.2938178866866747</v>
      </c>
      <c r="BA73" s="98">
        <v>723.50296223518842</v>
      </c>
      <c r="BB73" s="98">
        <v>4.4630693682910998</v>
      </c>
      <c r="BC73" s="98">
        <v>2495.7483907483829</v>
      </c>
      <c r="BD73" s="98">
        <v>3.9950028999203702</v>
      </c>
      <c r="BE73" s="98">
        <v>2234.0056216354706</v>
      </c>
      <c r="BF73" s="98">
        <v>3.6875319778336566</v>
      </c>
      <c r="BG73" s="98">
        <v>2062.0678820045805</v>
      </c>
      <c r="BH73" s="98">
        <v>0.89646351968160853</v>
      </c>
      <c r="BI73" s="98">
        <v>501.30240020595545</v>
      </c>
      <c r="BJ73" s="98">
        <v>5.594134600663403</v>
      </c>
      <c r="BK73" s="98">
        <v>3128.2400686909746</v>
      </c>
      <c r="BL73" s="98">
        <v>3.386666156187832</v>
      </c>
      <c r="BM73" s="98">
        <v>1893.8237145402354</v>
      </c>
      <c r="BN73" s="98">
        <v>4.1457602749073681</v>
      </c>
      <c r="BO73" s="98">
        <v>2318.3091457281998</v>
      </c>
      <c r="BP73" s="98">
        <v>4.1061048185781992</v>
      </c>
      <c r="BQ73" s="98">
        <v>2296.1338145489285</v>
      </c>
      <c r="BR73" s="98">
        <v>2.2742784680848236</v>
      </c>
      <c r="BS73" s="98">
        <v>1271.7765193530331</v>
      </c>
      <c r="BT73" s="98">
        <v>4.4752117531709086</v>
      </c>
      <c r="BU73" s="98">
        <v>2502.5384123731719</v>
      </c>
      <c r="BV73" s="98">
        <v>2.9547484571098268</v>
      </c>
      <c r="BW73" s="98">
        <v>1652.2953372158149</v>
      </c>
      <c r="BX73" s="98">
        <v>1.9293035416887516</v>
      </c>
      <c r="BY73" s="98">
        <v>1078.8665405123497</v>
      </c>
      <c r="BZ73" s="98">
        <v>3.9374017361322751</v>
      </c>
      <c r="CA73" s="98">
        <v>2201.7950508451681</v>
      </c>
      <c r="CB73" s="98">
        <v>3.4698940040082893</v>
      </c>
      <c r="CC73" s="98">
        <v>1940.3647270414351</v>
      </c>
      <c r="CD73" s="98">
        <v>4.2941759509992297</v>
      </c>
      <c r="CE73" s="98">
        <v>2401.3031917987691</v>
      </c>
      <c r="CF73" s="98">
        <v>3.842322510010352</v>
      </c>
      <c r="CG73" s="98">
        <v>2148.6267475977884</v>
      </c>
      <c r="CH73" s="98">
        <v>4.2314619023630868</v>
      </c>
      <c r="CI73" s="98">
        <v>2366.233495801438</v>
      </c>
      <c r="CJ73" s="98">
        <v>4.0130302078333653</v>
      </c>
      <c r="CK73" s="98">
        <v>2244.0864922204178</v>
      </c>
      <c r="CL73" s="98">
        <v>3.3165864187679639</v>
      </c>
      <c r="CM73" s="98">
        <v>1854.6351253750452</v>
      </c>
      <c r="CN73" s="98">
        <v>3.5202451401204211</v>
      </c>
      <c r="CO73" s="98">
        <v>1968.5210823553393</v>
      </c>
      <c r="CP73" s="98">
        <v>3.6567256235190704</v>
      </c>
      <c r="CQ73" s="98">
        <v>2044.8409686718639</v>
      </c>
      <c r="CR73" s="98">
        <v>3.0284736698404435</v>
      </c>
      <c r="CS73" s="98">
        <v>1693.5224761747759</v>
      </c>
      <c r="CT73" s="98">
        <v>2.7397772724721228</v>
      </c>
      <c r="CU73" s="98">
        <v>1532.0834507664108</v>
      </c>
    </row>
    <row r="74" spans="2:99">
      <c r="C74" s="97" t="s">
        <v>241</v>
      </c>
      <c r="D74" s="98">
        <v>14</v>
      </c>
      <c r="E74" s="98">
        <v>5644.8</v>
      </c>
      <c r="F74" s="98">
        <v>13</v>
      </c>
      <c r="G74" s="98">
        <v>5241.5999999999995</v>
      </c>
      <c r="H74" s="98">
        <v>12</v>
      </c>
      <c r="I74" s="98">
        <v>4838.3999999999996</v>
      </c>
      <c r="J74" s="98">
        <v>12</v>
      </c>
      <c r="K74" s="98">
        <v>4838.3999999999996</v>
      </c>
      <c r="L74" s="98">
        <v>9</v>
      </c>
      <c r="M74" s="98">
        <v>3628.7999999999997</v>
      </c>
      <c r="N74" s="98">
        <v>10</v>
      </c>
      <c r="O74" s="98">
        <v>4032</v>
      </c>
      <c r="P74" s="98">
        <v>16</v>
      </c>
      <c r="Q74" s="98">
        <v>6451.2</v>
      </c>
      <c r="R74" s="98">
        <v>11</v>
      </c>
      <c r="S74" s="98">
        <v>4435.2</v>
      </c>
      <c r="T74" s="98">
        <v>10</v>
      </c>
      <c r="U74" s="98">
        <v>4032</v>
      </c>
      <c r="V74" s="98">
        <v>9</v>
      </c>
      <c r="W74" s="98">
        <v>3628.7999999999997</v>
      </c>
      <c r="X74" s="98">
        <v>8</v>
      </c>
      <c r="Y74" s="98">
        <v>3225.6</v>
      </c>
      <c r="Z74" s="98">
        <v>5.7909621640548821</v>
      </c>
      <c r="AA74" s="98">
        <v>2334.9159445469286</v>
      </c>
      <c r="AB74" s="98">
        <v>3.9561335717501711</v>
      </c>
      <c r="AC74" s="98">
        <v>1595.1130561296688</v>
      </c>
      <c r="AD74" s="98">
        <v>4.0623103832565786</v>
      </c>
      <c r="AE74" s="98">
        <v>1637.9235465290524</v>
      </c>
      <c r="AF74" s="98">
        <v>3.1926946929139204</v>
      </c>
      <c r="AG74" s="98">
        <v>1287.2945001828928</v>
      </c>
      <c r="AH74" s="98">
        <v>6.8652008783647451</v>
      </c>
      <c r="AI74" s="98">
        <v>2768.0489941566652</v>
      </c>
      <c r="AJ74" s="98">
        <v>3.4529395544371559</v>
      </c>
      <c r="AK74" s="98">
        <v>1392.2252283490611</v>
      </c>
      <c r="AL74" s="98">
        <v>0.56690204857141657</v>
      </c>
      <c r="AM74" s="98">
        <v>228.57490598399517</v>
      </c>
      <c r="AN74" s="98">
        <v>4.1633280186353678</v>
      </c>
      <c r="AO74" s="98">
        <v>1678.6538571137803</v>
      </c>
      <c r="AP74" s="98">
        <v>0.62126148328564246</v>
      </c>
      <c r="AQ74" s="98">
        <v>250.49263006077103</v>
      </c>
      <c r="AR74" s="98">
        <v>4.1781970472733514</v>
      </c>
      <c r="AS74" s="98">
        <v>1684.6490494606153</v>
      </c>
      <c r="AT74" s="98">
        <v>3.1277148064818237</v>
      </c>
      <c r="AU74" s="98">
        <v>1261.0946099734713</v>
      </c>
      <c r="AV74" s="98">
        <v>3.8932777372963323</v>
      </c>
      <c r="AW74" s="98">
        <v>1569.7695836778812</v>
      </c>
      <c r="AX74" s="98">
        <v>4.3967146744362369</v>
      </c>
      <c r="AY74" s="98">
        <v>1772.7553567326906</v>
      </c>
      <c r="AZ74" s="98">
        <v>1.1320906508508404</v>
      </c>
      <c r="BA74" s="98">
        <v>456.45895042305881</v>
      </c>
      <c r="BB74" s="98">
        <v>4.0167624314619896</v>
      </c>
      <c r="BC74" s="98">
        <v>1619.5586123654741</v>
      </c>
      <c r="BD74" s="98">
        <v>3.7096455499260577</v>
      </c>
      <c r="BE74" s="98">
        <v>1495.7290857301864</v>
      </c>
      <c r="BF74" s="98">
        <v>3.9333674430225671</v>
      </c>
      <c r="BG74" s="98">
        <v>1585.9337530266989</v>
      </c>
      <c r="BH74" s="98">
        <v>0.83669928503616797</v>
      </c>
      <c r="BI74" s="98">
        <v>337.35715172658291</v>
      </c>
      <c r="BJ74" s="98">
        <v>6.1026922916328035</v>
      </c>
      <c r="BK74" s="98">
        <v>2460.6055319863463</v>
      </c>
      <c r="BL74" s="98">
        <v>4.3542850579557841</v>
      </c>
      <c r="BM74" s="98">
        <v>1755.6477353677722</v>
      </c>
      <c r="BN74" s="98">
        <v>3.8693762565802103</v>
      </c>
      <c r="BO74" s="98">
        <v>1560.1325066531408</v>
      </c>
      <c r="BP74" s="98">
        <v>4.1061048185781992</v>
      </c>
      <c r="BQ74" s="98">
        <v>1655.5814628507298</v>
      </c>
      <c r="BR74" s="98">
        <v>2.2742784680848236</v>
      </c>
      <c r="BS74" s="98">
        <v>916.9890783318009</v>
      </c>
      <c r="BT74" s="98">
        <v>4.4752117531709086</v>
      </c>
      <c r="BU74" s="98">
        <v>1804.4053788785102</v>
      </c>
      <c r="BV74" s="98">
        <v>2.9547484571098268</v>
      </c>
      <c r="BW74" s="98">
        <v>1191.3545779066822</v>
      </c>
      <c r="BX74" s="98">
        <v>1.9293035416887516</v>
      </c>
      <c r="BY74" s="98">
        <v>777.8951880089046</v>
      </c>
      <c r="BZ74" s="98">
        <v>4.3748908179247499</v>
      </c>
      <c r="CA74" s="98">
        <v>1763.9559777872591</v>
      </c>
      <c r="CB74" s="98">
        <v>3.7853389134635886</v>
      </c>
      <c r="CC74" s="98">
        <v>1526.2486499085189</v>
      </c>
      <c r="CD74" s="98">
        <v>4.2941759509992297</v>
      </c>
      <c r="CE74" s="98">
        <v>1731.4117434428892</v>
      </c>
      <c r="CF74" s="98">
        <v>3.842322510010352</v>
      </c>
      <c r="CG74" s="98">
        <v>1549.2244360361738</v>
      </c>
      <c r="CH74" s="98">
        <v>3.9825523786946704</v>
      </c>
      <c r="CI74" s="98">
        <v>1605.7651190896911</v>
      </c>
      <c r="CJ74" s="98">
        <v>3.7043355764615677</v>
      </c>
      <c r="CK74" s="98">
        <v>1493.5881044293042</v>
      </c>
      <c r="CL74" s="98">
        <v>3.5717084509808843</v>
      </c>
      <c r="CM74" s="98">
        <v>1440.1128474354925</v>
      </c>
      <c r="CN74" s="98">
        <v>3.8722696541324635</v>
      </c>
      <c r="CO74" s="98">
        <v>1561.2991245462092</v>
      </c>
      <c r="CP74" s="98">
        <v>4.0223981858709772</v>
      </c>
      <c r="CQ74" s="98">
        <v>1621.830948543178</v>
      </c>
      <c r="CR74" s="98">
        <v>3.4611127655319356</v>
      </c>
      <c r="CS74" s="98">
        <v>1395.5206670624764</v>
      </c>
      <c r="CT74" s="98">
        <v>2.4657995452249102</v>
      </c>
      <c r="CU74" s="98">
        <v>994.21037663468371</v>
      </c>
    </row>
    <row r="75" spans="2:99">
      <c r="C75" s="97" t="s">
        <v>242</v>
      </c>
      <c r="D75" s="98">
        <v>14</v>
      </c>
      <c r="E75" s="98">
        <v>9004.7999999999993</v>
      </c>
      <c r="F75" s="98">
        <v>14</v>
      </c>
      <c r="G75" s="98">
        <v>9004.7999999999993</v>
      </c>
      <c r="H75" s="98">
        <v>10</v>
      </c>
      <c r="I75" s="98">
        <v>6431.9999999999991</v>
      </c>
      <c r="J75" s="98">
        <v>11</v>
      </c>
      <c r="K75" s="98">
        <v>7075.1999999999989</v>
      </c>
      <c r="L75" s="98">
        <v>8</v>
      </c>
      <c r="M75" s="98">
        <v>5145.5999999999995</v>
      </c>
      <c r="N75" s="98">
        <v>8</v>
      </c>
      <c r="O75" s="98">
        <v>5145.5999999999995</v>
      </c>
      <c r="P75" s="98">
        <v>14</v>
      </c>
      <c r="Q75" s="98">
        <v>9004.7999999999993</v>
      </c>
      <c r="R75" s="98">
        <v>10</v>
      </c>
      <c r="S75" s="98">
        <v>6431.9999999999991</v>
      </c>
      <c r="T75" s="98">
        <v>10</v>
      </c>
      <c r="U75" s="98">
        <v>6431.9999999999991</v>
      </c>
      <c r="V75" s="98">
        <v>10</v>
      </c>
      <c r="W75" s="98">
        <v>6431.9999999999991</v>
      </c>
      <c r="X75" s="98">
        <v>8</v>
      </c>
      <c r="Y75" s="98">
        <v>5145.5999999999995</v>
      </c>
      <c r="Z75" s="98">
        <v>6.5148324345617423</v>
      </c>
      <c r="AA75" s="98">
        <v>4190.3402219101126</v>
      </c>
      <c r="AB75" s="98">
        <v>3.6264557741043233</v>
      </c>
      <c r="AC75" s="98">
        <v>2332.5363539039004</v>
      </c>
      <c r="AD75" s="98">
        <v>4.0623103832565786</v>
      </c>
      <c r="AE75" s="98">
        <v>2612.8780385106311</v>
      </c>
      <c r="AF75" s="98">
        <v>3.4207443138363431</v>
      </c>
      <c r="AG75" s="98">
        <v>2200.2227426595355</v>
      </c>
      <c r="AH75" s="98">
        <v>5.8844578957412104</v>
      </c>
      <c r="AI75" s="98">
        <v>3784.8833185407461</v>
      </c>
      <c r="AJ75" s="98">
        <v>3.0692796039441386</v>
      </c>
      <c r="AK75" s="98">
        <v>1974.1606412568697</v>
      </c>
      <c r="AL75" s="98">
        <v>0.62989116507935183</v>
      </c>
      <c r="AM75" s="98">
        <v>405.14599737903904</v>
      </c>
      <c r="AN75" s="98">
        <v>3.8857728173930099</v>
      </c>
      <c r="AO75" s="98">
        <v>2499.3290761471835</v>
      </c>
      <c r="AP75" s="98">
        <v>0.56478316662331129</v>
      </c>
      <c r="AQ75" s="98">
        <v>363.26853277211376</v>
      </c>
      <c r="AR75" s="98">
        <v>4.1781970472733514</v>
      </c>
      <c r="AS75" s="98">
        <v>2687.4163408062195</v>
      </c>
      <c r="AT75" s="98">
        <v>3.1277148064818237</v>
      </c>
      <c r="AU75" s="98">
        <v>2011.7461635291088</v>
      </c>
      <c r="AV75" s="98">
        <v>3.8932777372963323</v>
      </c>
      <c r="AW75" s="98">
        <v>2504.1562406290009</v>
      </c>
      <c r="AX75" s="98">
        <v>3.9570432069926138</v>
      </c>
      <c r="AY75" s="98">
        <v>2545.1701907376491</v>
      </c>
      <c r="AZ75" s="98">
        <v>1.1320906508508404</v>
      </c>
      <c r="BA75" s="98">
        <v>728.16070662726042</v>
      </c>
      <c r="BB75" s="98">
        <v>4.0167624314619896</v>
      </c>
      <c r="BC75" s="98">
        <v>2583.5815959163515</v>
      </c>
      <c r="BD75" s="98">
        <v>3.4242881999317456</v>
      </c>
      <c r="BE75" s="98">
        <v>2202.5021701960986</v>
      </c>
      <c r="BF75" s="98">
        <v>3.6875319778336566</v>
      </c>
      <c r="BG75" s="98">
        <v>2371.8205681426075</v>
      </c>
      <c r="BH75" s="98">
        <v>0.9562277543270491</v>
      </c>
      <c r="BI75" s="98">
        <v>615.04569158315792</v>
      </c>
      <c r="BJ75" s="98">
        <v>5.594134600663403</v>
      </c>
      <c r="BK75" s="98">
        <v>3598.1473751467006</v>
      </c>
      <c r="BL75" s="98">
        <v>3.8704756070718087</v>
      </c>
      <c r="BM75" s="98">
        <v>2489.4899104685869</v>
      </c>
      <c r="BN75" s="98">
        <v>3.8693762565802103</v>
      </c>
      <c r="BO75" s="98">
        <v>2488.7828082323908</v>
      </c>
      <c r="BP75" s="98">
        <v>4.1061048185781992</v>
      </c>
      <c r="BQ75" s="98">
        <v>2641.0466193094976</v>
      </c>
      <c r="BR75" s="98">
        <v>2.2742784680848236</v>
      </c>
      <c r="BS75" s="98">
        <v>1462.8159106721585</v>
      </c>
      <c r="BT75" s="98">
        <v>5.5079529269795797</v>
      </c>
      <c r="BU75" s="98">
        <v>3542.7153226332653</v>
      </c>
      <c r="BV75" s="98">
        <v>3.2233619532107198</v>
      </c>
      <c r="BW75" s="98">
        <v>2073.266408305135</v>
      </c>
      <c r="BX75" s="98">
        <v>1.9293035416887516</v>
      </c>
      <c r="BY75" s="98">
        <v>1240.928038014205</v>
      </c>
      <c r="BZ75" s="98">
        <v>4.3748908179247499</v>
      </c>
      <c r="CA75" s="98">
        <v>2813.9297740891989</v>
      </c>
      <c r="CB75" s="98">
        <v>3.7853389134635886</v>
      </c>
      <c r="CC75" s="98">
        <v>2434.7299891397802</v>
      </c>
      <c r="CD75" s="98">
        <v>3.9363279550826267</v>
      </c>
      <c r="CE75" s="98">
        <v>2531.8461407091454</v>
      </c>
      <c r="CF75" s="98">
        <v>3.842322510010352</v>
      </c>
      <c r="CG75" s="98">
        <v>2471.3818384386582</v>
      </c>
      <c r="CH75" s="98">
        <v>4.2314619023630868</v>
      </c>
      <c r="CI75" s="98">
        <v>2721.676295599937</v>
      </c>
      <c r="CJ75" s="98">
        <v>3.3956409450897702</v>
      </c>
      <c r="CK75" s="98">
        <v>2184.0762558817401</v>
      </c>
      <c r="CL75" s="98">
        <v>3.3165864187679639</v>
      </c>
      <c r="CM75" s="98">
        <v>2133.228384551554</v>
      </c>
      <c r="CN75" s="98">
        <v>3.5202451401204211</v>
      </c>
      <c r="CO75" s="98">
        <v>2264.2216741254547</v>
      </c>
      <c r="CP75" s="98">
        <v>3.6567256235190704</v>
      </c>
      <c r="CQ75" s="98">
        <v>2352.005921047466</v>
      </c>
      <c r="CR75" s="98">
        <v>3.6774323133776816</v>
      </c>
      <c r="CS75" s="98">
        <v>2365.3244639645245</v>
      </c>
      <c r="CT75" s="98">
        <v>3.0137549997193349</v>
      </c>
      <c r="CU75" s="98">
        <v>1938.447215819476</v>
      </c>
    </row>
    <row r="76" spans="2:99">
      <c r="C76" s="97" t="s">
        <v>243</v>
      </c>
      <c r="D76" s="98">
        <v>13</v>
      </c>
      <c r="E76" s="98">
        <v>10124.4</v>
      </c>
      <c r="F76" s="98">
        <v>13</v>
      </c>
      <c r="G76" s="98">
        <v>10124.4</v>
      </c>
      <c r="H76" s="98">
        <v>11</v>
      </c>
      <c r="I76" s="98">
        <v>8566.7999999999993</v>
      </c>
      <c r="J76" s="98">
        <v>11</v>
      </c>
      <c r="K76" s="98">
        <v>8566.7999999999993</v>
      </c>
      <c r="L76" s="98">
        <v>8</v>
      </c>
      <c r="M76" s="98">
        <v>6230.4</v>
      </c>
      <c r="N76" s="98">
        <v>9</v>
      </c>
      <c r="O76" s="98">
        <v>7009.2</v>
      </c>
      <c r="P76" s="98">
        <v>15</v>
      </c>
      <c r="Q76" s="98">
        <v>11682</v>
      </c>
      <c r="R76" s="98">
        <v>12</v>
      </c>
      <c r="S76" s="98">
        <v>9345.5999999999985</v>
      </c>
      <c r="T76" s="98">
        <v>10</v>
      </c>
      <c r="U76" s="98">
        <v>7788</v>
      </c>
      <c r="V76" s="98">
        <v>10</v>
      </c>
      <c r="W76" s="98">
        <v>7788</v>
      </c>
      <c r="X76" s="98">
        <v>9</v>
      </c>
      <c r="Y76" s="98">
        <v>7009.2</v>
      </c>
      <c r="Z76" s="98">
        <v>5.7909621640548821</v>
      </c>
      <c r="AA76" s="98">
        <v>4510.0013333659417</v>
      </c>
      <c r="AB76" s="98">
        <v>3.6264557741043233</v>
      </c>
      <c r="AC76" s="98">
        <v>2824.2837568724467</v>
      </c>
      <c r="AD76" s="98">
        <v>4.3524754106320476</v>
      </c>
      <c r="AE76" s="98">
        <v>3389.7078498002384</v>
      </c>
      <c r="AF76" s="98">
        <v>3.6487939347587659</v>
      </c>
      <c r="AG76" s="98">
        <v>2841.6807163901267</v>
      </c>
      <c r="AH76" s="98">
        <v>6.8652008783647451</v>
      </c>
      <c r="AI76" s="98">
        <v>5346.6184440704628</v>
      </c>
      <c r="AJ76" s="98">
        <v>3.0692796039441386</v>
      </c>
      <c r="AK76" s="98">
        <v>2390.3549555516952</v>
      </c>
      <c r="AL76" s="98">
        <v>0.56690204857141657</v>
      </c>
      <c r="AM76" s="98">
        <v>441.50331542741918</v>
      </c>
      <c r="AN76" s="98">
        <v>3.3306624149082946</v>
      </c>
      <c r="AO76" s="98">
        <v>2593.9198887305797</v>
      </c>
      <c r="AP76" s="98">
        <v>0.56478316662331129</v>
      </c>
      <c r="AQ76" s="98">
        <v>439.85313016623479</v>
      </c>
      <c r="AR76" s="98">
        <v>4.1781970472733514</v>
      </c>
      <c r="AS76" s="98">
        <v>3253.9798604164857</v>
      </c>
      <c r="AT76" s="98">
        <v>3.1277148064818237</v>
      </c>
      <c r="AU76" s="98">
        <v>2435.8642912880441</v>
      </c>
      <c r="AV76" s="98">
        <v>4.2826055110259658</v>
      </c>
      <c r="AW76" s="98">
        <v>3335.2931719870221</v>
      </c>
      <c r="AX76" s="98">
        <v>3.9570432069926138</v>
      </c>
      <c r="AY76" s="98">
        <v>3081.7452496058477</v>
      </c>
      <c r="AZ76" s="98">
        <v>1.2129542687687576</v>
      </c>
      <c r="BA76" s="98">
        <v>944.64878451710831</v>
      </c>
      <c r="BB76" s="98">
        <v>4.4630693682910998</v>
      </c>
      <c r="BC76" s="98">
        <v>3475.8384240251085</v>
      </c>
      <c r="BD76" s="98">
        <v>3.7096455499260577</v>
      </c>
      <c r="BE76" s="98">
        <v>2889.0719542824136</v>
      </c>
      <c r="BF76" s="98">
        <v>3.6875319778336566</v>
      </c>
      <c r="BG76" s="98">
        <v>2871.8499043368515</v>
      </c>
      <c r="BH76" s="98">
        <v>0.83669928503616797</v>
      </c>
      <c r="BI76" s="98">
        <v>651.62140318616753</v>
      </c>
      <c r="BJ76" s="98">
        <v>5.0855769096940033</v>
      </c>
      <c r="BK76" s="98">
        <v>3960.6472972696897</v>
      </c>
      <c r="BL76" s="98">
        <v>3.8704756070718087</v>
      </c>
      <c r="BM76" s="98">
        <v>3014.3264027875243</v>
      </c>
      <c r="BN76" s="98">
        <v>3.5929922382530521</v>
      </c>
      <c r="BO76" s="98">
        <v>2798.2223551514767</v>
      </c>
      <c r="BP76" s="98">
        <v>4.1061048185781992</v>
      </c>
      <c r="BQ76" s="98">
        <v>3197.8344327087016</v>
      </c>
      <c r="BR76" s="98">
        <v>1.949381544072706</v>
      </c>
      <c r="BS76" s="98">
        <v>1518.1783465238234</v>
      </c>
      <c r="BT76" s="98">
        <v>5.1637058690433557</v>
      </c>
      <c r="BU76" s="98">
        <v>4021.4941308109651</v>
      </c>
      <c r="BV76" s="98">
        <v>3.4919754493116133</v>
      </c>
      <c r="BW76" s="98">
        <v>2719.5504799238843</v>
      </c>
      <c r="BX76" s="98">
        <v>1.9293035416887516</v>
      </c>
      <c r="BY76" s="98">
        <v>1502.5415982671998</v>
      </c>
      <c r="BZ76" s="98">
        <v>4.3748908179247499</v>
      </c>
      <c r="CA76" s="98">
        <v>3407.1649689997948</v>
      </c>
      <c r="CB76" s="98">
        <v>3.4698940040082893</v>
      </c>
      <c r="CC76" s="98">
        <v>2702.3534503216556</v>
      </c>
      <c r="CD76" s="98">
        <v>4.2941759509992297</v>
      </c>
      <c r="CE76" s="98">
        <v>3344.3042306381999</v>
      </c>
      <c r="CF76" s="98">
        <v>3.6021773531347052</v>
      </c>
      <c r="CG76" s="98">
        <v>2805.3757226213083</v>
      </c>
      <c r="CH76" s="98">
        <v>3.7336428550262535</v>
      </c>
      <c r="CI76" s="98">
        <v>2907.7610554944458</v>
      </c>
      <c r="CJ76" s="98">
        <v>3.3956409450897702</v>
      </c>
      <c r="CK76" s="98">
        <v>2644.5251680359129</v>
      </c>
      <c r="CL76" s="98">
        <v>3.3165864187679639</v>
      </c>
      <c r="CM76" s="98">
        <v>2582.9575029364901</v>
      </c>
      <c r="CN76" s="98">
        <v>3.5202451401204211</v>
      </c>
      <c r="CO76" s="98">
        <v>2741.5669151257839</v>
      </c>
      <c r="CP76" s="98">
        <v>3.6567256235190704</v>
      </c>
      <c r="CQ76" s="98">
        <v>2847.8579155966518</v>
      </c>
      <c r="CR76" s="98">
        <v>3.4611127655319356</v>
      </c>
      <c r="CS76" s="98">
        <v>2695.5146217962711</v>
      </c>
      <c r="CT76" s="98">
        <v>2.7397772724721228</v>
      </c>
      <c r="CU76" s="98">
        <v>2133.7385398012889</v>
      </c>
    </row>
    <row r="77" spans="2:99">
      <c r="C77" s="97" t="s">
        <v>244</v>
      </c>
      <c r="D77" s="98">
        <v>13</v>
      </c>
      <c r="E77" s="98">
        <v>3619.2</v>
      </c>
      <c r="F77" s="98">
        <v>15</v>
      </c>
      <c r="G77" s="98">
        <v>4176</v>
      </c>
      <c r="H77" s="98">
        <v>12</v>
      </c>
      <c r="I77" s="98">
        <v>3340.7999999999997</v>
      </c>
      <c r="J77" s="98">
        <v>12</v>
      </c>
      <c r="K77" s="98">
        <v>3340.7999999999997</v>
      </c>
      <c r="L77" s="98">
        <v>8</v>
      </c>
      <c r="M77" s="98">
        <v>2227.1999999999998</v>
      </c>
      <c r="N77" s="98">
        <v>9</v>
      </c>
      <c r="O77" s="98">
        <v>2505.6</v>
      </c>
      <c r="P77" s="98">
        <v>16</v>
      </c>
      <c r="Q77" s="98">
        <v>4454.3999999999996</v>
      </c>
      <c r="R77" s="98">
        <v>10</v>
      </c>
      <c r="S77" s="98">
        <v>2784</v>
      </c>
      <c r="T77" s="98">
        <v>10</v>
      </c>
      <c r="U77" s="98">
        <v>2784</v>
      </c>
      <c r="V77" s="98">
        <v>9</v>
      </c>
      <c r="W77" s="98">
        <v>2505.6</v>
      </c>
      <c r="X77" s="98">
        <v>8</v>
      </c>
      <c r="Y77" s="98">
        <v>2227.1999999999998</v>
      </c>
      <c r="Z77" s="98">
        <v>6.5148324345617423</v>
      </c>
      <c r="AA77" s="98">
        <v>1813.729349781989</v>
      </c>
      <c r="AB77" s="98">
        <v>3.6264557741043233</v>
      </c>
      <c r="AC77" s="98">
        <v>1009.6052875106435</v>
      </c>
      <c r="AD77" s="98">
        <v>3.7721453558811087</v>
      </c>
      <c r="AE77" s="98">
        <v>1050.1652670773005</v>
      </c>
      <c r="AF77" s="98">
        <v>3.8768435556811891</v>
      </c>
      <c r="AG77" s="98">
        <v>1079.3132459016429</v>
      </c>
      <c r="AH77" s="98">
        <v>7.355572369676513</v>
      </c>
      <c r="AI77" s="98">
        <v>2047.7913477179411</v>
      </c>
      <c r="AJ77" s="98">
        <v>3.0692796039441386</v>
      </c>
      <c r="AK77" s="98">
        <v>854.48744173804812</v>
      </c>
      <c r="AL77" s="98">
        <v>0.50391293206348142</v>
      </c>
      <c r="AM77" s="98">
        <v>140.28936028647323</v>
      </c>
      <c r="AN77" s="98">
        <v>3.8857728173930099</v>
      </c>
      <c r="AO77" s="98">
        <v>1081.7991523622138</v>
      </c>
      <c r="AP77" s="98">
        <v>0.62126148328564246</v>
      </c>
      <c r="AQ77" s="98">
        <v>172.95919694672284</v>
      </c>
      <c r="AR77" s="98">
        <v>3.830013960000572</v>
      </c>
      <c r="AS77" s="98">
        <v>1066.2758864641592</v>
      </c>
      <c r="AT77" s="98">
        <v>3.4752386738686925</v>
      </c>
      <c r="AU77" s="98">
        <v>967.50644680504388</v>
      </c>
      <c r="AV77" s="98">
        <v>3.8932777372963323</v>
      </c>
      <c r="AW77" s="98">
        <v>1083.8885220632988</v>
      </c>
      <c r="AX77" s="98">
        <v>3.9570432069926138</v>
      </c>
      <c r="AY77" s="98">
        <v>1101.6408288267437</v>
      </c>
      <c r="AZ77" s="98">
        <v>1.2938178866866747</v>
      </c>
      <c r="BA77" s="98">
        <v>360.19889965357021</v>
      </c>
      <c r="BB77" s="98">
        <v>3.5704554946328795</v>
      </c>
      <c r="BC77" s="98">
        <v>994.0148097057936</v>
      </c>
      <c r="BD77" s="98">
        <v>3.9950028999203702</v>
      </c>
      <c r="BE77" s="98">
        <v>1112.2088073378309</v>
      </c>
      <c r="BF77" s="98">
        <v>3.6875319778336566</v>
      </c>
      <c r="BG77" s="98">
        <v>1026.6089026288898</v>
      </c>
      <c r="BH77" s="98">
        <v>0.9562277543270491</v>
      </c>
      <c r="BI77" s="98">
        <v>266.21380680465046</v>
      </c>
      <c r="BJ77" s="98">
        <v>6.1026922916328035</v>
      </c>
      <c r="BK77" s="98">
        <v>1698.9895339905725</v>
      </c>
      <c r="BL77" s="98">
        <v>3.8704756070718087</v>
      </c>
      <c r="BM77" s="98">
        <v>1077.5404090087914</v>
      </c>
      <c r="BN77" s="98">
        <v>3.8693762565802103</v>
      </c>
      <c r="BO77" s="98">
        <v>1077.2343498319306</v>
      </c>
      <c r="BP77" s="98">
        <v>4.1061048185781992</v>
      </c>
      <c r="BQ77" s="98">
        <v>1143.1395814921705</v>
      </c>
      <c r="BR77" s="98">
        <v>2.2742784680848236</v>
      </c>
      <c r="BS77" s="98">
        <v>633.15912551481483</v>
      </c>
      <c r="BT77" s="98">
        <v>4.8194588111071326</v>
      </c>
      <c r="BU77" s="98">
        <v>1341.7373330122257</v>
      </c>
      <c r="BV77" s="98">
        <v>3.2233619532107198</v>
      </c>
      <c r="BW77" s="98">
        <v>897.38396777386436</v>
      </c>
      <c r="BX77" s="98">
        <v>1.7149364815011126</v>
      </c>
      <c r="BY77" s="98">
        <v>477.43831644990968</v>
      </c>
      <c r="BZ77" s="98">
        <v>3.9374017361322751</v>
      </c>
      <c r="CA77" s="98">
        <v>1096.1726433392253</v>
      </c>
      <c r="CB77" s="98">
        <v>3.4698940040082893</v>
      </c>
      <c r="CC77" s="98">
        <v>966.01849071590766</v>
      </c>
      <c r="CD77" s="98">
        <v>3.9363279550826267</v>
      </c>
      <c r="CE77" s="98">
        <v>1095.8737026950032</v>
      </c>
      <c r="CF77" s="98">
        <v>4.0824676668859992</v>
      </c>
      <c r="CG77" s="98">
        <v>1136.5589984610622</v>
      </c>
      <c r="CH77" s="98">
        <v>3.7336428550262535</v>
      </c>
      <c r="CI77" s="98">
        <v>1039.4461708393089</v>
      </c>
      <c r="CJ77" s="98">
        <v>4.0130302078333653</v>
      </c>
      <c r="CK77" s="98">
        <v>1117.2276098608088</v>
      </c>
      <c r="CL77" s="98">
        <v>3.5717084509808843</v>
      </c>
      <c r="CM77" s="98">
        <v>994.36363275307815</v>
      </c>
      <c r="CN77" s="98">
        <v>3.5202451401204211</v>
      </c>
      <c r="CO77" s="98">
        <v>980.03624700952514</v>
      </c>
      <c r="CP77" s="98">
        <v>3.2910530611671636</v>
      </c>
      <c r="CQ77" s="98">
        <v>916.2291722289383</v>
      </c>
      <c r="CR77" s="98">
        <v>3.4611127655319356</v>
      </c>
      <c r="CS77" s="98">
        <v>963.57379392409075</v>
      </c>
      <c r="CT77" s="98">
        <v>2.7397772724721228</v>
      </c>
      <c r="CU77" s="98">
        <v>762.75399265623889</v>
      </c>
    </row>
    <row r="78" spans="2:99">
      <c r="C78" s="97" t="s">
        <v>245</v>
      </c>
      <c r="D78" s="98">
        <v>14</v>
      </c>
      <c r="E78" s="98">
        <v>7728</v>
      </c>
      <c r="F78" s="98">
        <v>14</v>
      </c>
      <c r="G78" s="98">
        <v>7728</v>
      </c>
      <c r="H78" s="98">
        <v>10</v>
      </c>
      <c r="I78" s="98">
        <v>5520</v>
      </c>
      <c r="J78" s="98">
        <v>12</v>
      </c>
      <c r="K78" s="98">
        <v>6624</v>
      </c>
      <c r="L78" s="98">
        <v>9</v>
      </c>
      <c r="M78" s="98">
        <v>4968</v>
      </c>
      <c r="N78" s="98">
        <v>9</v>
      </c>
      <c r="O78" s="98">
        <v>4968</v>
      </c>
      <c r="P78" s="98">
        <v>14</v>
      </c>
      <c r="Q78" s="98">
        <v>7728</v>
      </c>
      <c r="R78" s="98">
        <v>10</v>
      </c>
      <c r="S78" s="98">
        <v>5520</v>
      </c>
      <c r="T78" s="98">
        <v>10</v>
      </c>
      <c r="U78" s="98">
        <v>5520</v>
      </c>
      <c r="V78" s="98">
        <v>9</v>
      </c>
      <c r="W78" s="98">
        <v>4968</v>
      </c>
      <c r="X78" s="98">
        <v>8</v>
      </c>
      <c r="Y78" s="98">
        <v>4416</v>
      </c>
      <c r="Z78" s="98">
        <v>5.7909621640548821</v>
      </c>
      <c r="AA78" s="98">
        <v>3196.611114558295</v>
      </c>
      <c r="AB78" s="98">
        <v>3.6264557741043233</v>
      </c>
      <c r="AC78" s="98">
        <v>2001.8035873055865</v>
      </c>
      <c r="AD78" s="98">
        <v>4.0623103832565786</v>
      </c>
      <c r="AE78" s="98">
        <v>2242.3953315576314</v>
      </c>
      <c r="AF78" s="98">
        <v>3.4207443138363431</v>
      </c>
      <c r="AG78" s="98">
        <v>1888.2508612376614</v>
      </c>
      <c r="AH78" s="98">
        <v>6.3748293870529782</v>
      </c>
      <c r="AI78" s="98">
        <v>3518.9058216532439</v>
      </c>
      <c r="AJ78" s="98">
        <v>3.0692796039441386</v>
      </c>
      <c r="AK78" s="98">
        <v>1694.2423413771644</v>
      </c>
      <c r="AL78" s="98">
        <v>0.56690204857141657</v>
      </c>
      <c r="AM78" s="98">
        <v>312.92993081142197</v>
      </c>
      <c r="AN78" s="98">
        <v>3.3306624149082946</v>
      </c>
      <c r="AO78" s="98">
        <v>1838.5256530293786</v>
      </c>
      <c r="AP78" s="98">
        <v>0.56478316662331129</v>
      </c>
      <c r="AQ78" s="98">
        <v>311.76030797606785</v>
      </c>
      <c r="AR78" s="98">
        <v>3.830013960000572</v>
      </c>
      <c r="AS78" s="98">
        <v>2114.1677059203157</v>
      </c>
      <c r="AT78" s="98">
        <v>3.1277148064818237</v>
      </c>
      <c r="AU78" s="98">
        <v>1726.4985731779666</v>
      </c>
      <c r="AV78" s="98">
        <v>3.8932777372963323</v>
      </c>
      <c r="AW78" s="98">
        <v>2149.0893109875756</v>
      </c>
      <c r="AX78" s="98">
        <v>3.5173717395489899</v>
      </c>
      <c r="AY78" s="98">
        <v>1941.5892002310425</v>
      </c>
      <c r="AZ78" s="98">
        <v>1.2129542687687576</v>
      </c>
      <c r="BA78" s="98">
        <v>669.55075636035417</v>
      </c>
      <c r="BB78" s="98">
        <v>4.0167624314619896</v>
      </c>
      <c r="BC78" s="98">
        <v>2217.2528621670181</v>
      </c>
      <c r="BD78" s="98">
        <v>3.4242881999317456</v>
      </c>
      <c r="BE78" s="98">
        <v>1890.2070863623235</v>
      </c>
      <c r="BF78" s="98">
        <v>3.4416965126447461</v>
      </c>
      <c r="BG78" s="98">
        <v>1899.8164749798998</v>
      </c>
      <c r="BH78" s="98">
        <v>0.89646351968160853</v>
      </c>
      <c r="BI78" s="98">
        <v>494.84786286424793</v>
      </c>
      <c r="BJ78" s="98">
        <v>5.594134600663403</v>
      </c>
      <c r="BK78" s="98">
        <v>3087.9622995661985</v>
      </c>
      <c r="BL78" s="98">
        <v>3.386666156187832</v>
      </c>
      <c r="BM78" s="98">
        <v>1869.4397182156833</v>
      </c>
      <c r="BN78" s="98">
        <v>3.8693762565802103</v>
      </c>
      <c r="BO78" s="98">
        <v>2135.8956936322761</v>
      </c>
      <c r="BP78" s="98">
        <v>3.8323644973396522</v>
      </c>
      <c r="BQ78" s="98">
        <v>2115.4652025314881</v>
      </c>
      <c r="BR78" s="98">
        <v>2.2742784680848236</v>
      </c>
      <c r="BS78" s="98">
        <v>1255.4017143828225</v>
      </c>
      <c r="BT78" s="98">
        <v>5.5079529269795797</v>
      </c>
      <c r="BU78" s="98">
        <v>3040.390015692728</v>
      </c>
      <c r="BV78" s="98">
        <v>3.2233619532107198</v>
      </c>
      <c r="BW78" s="98">
        <v>1779.2957981723173</v>
      </c>
      <c r="BX78" s="98">
        <v>1.9293035416887516</v>
      </c>
      <c r="BY78" s="98">
        <v>1064.9755550121909</v>
      </c>
      <c r="BZ78" s="98">
        <v>4.3748908179247499</v>
      </c>
      <c r="CA78" s="98">
        <v>2414.9397314944617</v>
      </c>
      <c r="CB78" s="98">
        <v>3.7853389134635886</v>
      </c>
      <c r="CC78" s="98">
        <v>2089.507080231901</v>
      </c>
      <c r="CD78" s="98">
        <v>3.9363279550826267</v>
      </c>
      <c r="CE78" s="98">
        <v>2172.85303120561</v>
      </c>
      <c r="CF78" s="98">
        <v>3.362032196259058</v>
      </c>
      <c r="CG78" s="98">
        <v>1855.8417723350001</v>
      </c>
      <c r="CH78" s="98">
        <v>3.7336428550262535</v>
      </c>
      <c r="CI78" s="98">
        <v>2060.9708559744918</v>
      </c>
      <c r="CJ78" s="98">
        <v>4.0130302078333653</v>
      </c>
      <c r="CK78" s="98">
        <v>2215.1926747240177</v>
      </c>
      <c r="CL78" s="98">
        <v>3.3165864187679639</v>
      </c>
      <c r="CM78" s="98">
        <v>1830.755703159916</v>
      </c>
      <c r="CN78" s="98">
        <v>3.1682206261083792</v>
      </c>
      <c r="CO78" s="98">
        <v>1748.8577856118254</v>
      </c>
      <c r="CP78" s="98">
        <v>3.2910530611671636</v>
      </c>
      <c r="CQ78" s="98">
        <v>1816.6612897642742</v>
      </c>
      <c r="CR78" s="98">
        <v>3.6774323133776816</v>
      </c>
      <c r="CS78" s="98">
        <v>2029.9426369844803</v>
      </c>
      <c r="CT78" s="98">
        <v>2.4657995452249102</v>
      </c>
      <c r="CU78" s="98">
        <v>1361.1213489641505</v>
      </c>
    </row>
    <row r="79" spans="2:99">
      <c r="C79" s="97" t="s">
        <v>246</v>
      </c>
      <c r="D79" s="98">
        <v>13</v>
      </c>
      <c r="E79" s="98">
        <v>9843.5999999999985</v>
      </c>
      <c r="F79" s="98">
        <v>15</v>
      </c>
      <c r="G79" s="98">
        <v>11357.999999999998</v>
      </c>
      <c r="H79" s="98">
        <v>10</v>
      </c>
      <c r="I79" s="98">
        <v>7571.9999999999991</v>
      </c>
      <c r="J79" s="98">
        <v>11</v>
      </c>
      <c r="K79" s="98">
        <v>8329.1999999999989</v>
      </c>
      <c r="L79" s="98">
        <v>9</v>
      </c>
      <c r="M79" s="98">
        <v>6814.7999999999993</v>
      </c>
      <c r="N79" s="98">
        <v>9</v>
      </c>
      <c r="O79" s="98">
        <v>6814.7999999999993</v>
      </c>
      <c r="P79" s="98">
        <v>15</v>
      </c>
      <c r="Q79" s="98">
        <v>11357.999999999998</v>
      </c>
      <c r="R79" s="98">
        <v>10</v>
      </c>
      <c r="S79" s="98">
        <v>7571.9999999999991</v>
      </c>
      <c r="T79" s="98">
        <v>9</v>
      </c>
      <c r="U79" s="98">
        <v>6814.7999999999993</v>
      </c>
      <c r="V79" s="98">
        <v>9</v>
      </c>
      <c r="W79" s="98">
        <v>6814.7999999999993</v>
      </c>
      <c r="X79" s="98">
        <v>8</v>
      </c>
      <c r="Y79" s="98">
        <v>6057.5999999999995</v>
      </c>
      <c r="Z79" s="98">
        <v>5.7909621640548821</v>
      </c>
      <c r="AA79" s="98">
        <v>4384.9165506223562</v>
      </c>
      <c r="AB79" s="98">
        <v>3.2967779764584755</v>
      </c>
      <c r="AC79" s="98">
        <v>2496.3202837743574</v>
      </c>
      <c r="AD79" s="98">
        <v>4.3524754106320476</v>
      </c>
      <c r="AE79" s="98">
        <v>3295.6943809305862</v>
      </c>
      <c r="AF79" s="98">
        <v>3.4207443138363431</v>
      </c>
      <c r="AG79" s="98">
        <v>2590.187594436879</v>
      </c>
      <c r="AH79" s="98">
        <v>6.8652008783647451</v>
      </c>
      <c r="AI79" s="98">
        <v>5198.3301050977843</v>
      </c>
      <c r="AJ79" s="98">
        <v>3.0692796039441386</v>
      </c>
      <c r="AK79" s="98">
        <v>2324.0585161065014</v>
      </c>
      <c r="AL79" s="98">
        <v>0.56690204857141657</v>
      </c>
      <c r="AM79" s="98">
        <v>429.25823117827662</v>
      </c>
      <c r="AN79" s="98">
        <v>3.8857728173930099</v>
      </c>
      <c r="AO79" s="98">
        <v>2942.3071773299866</v>
      </c>
      <c r="AP79" s="98">
        <v>0.56478316662331129</v>
      </c>
      <c r="AQ79" s="98">
        <v>427.6538137671713</v>
      </c>
      <c r="AR79" s="98">
        <v>3.830013960000572</v>
      </c>
      <c r="AS79" s="98">
        <v>2900.0865705124329</v>
      </c>
      <c r="AT79" s="98">
        <v>3.1277148064818237</v>
      </c>
      <c r="AU79" s="98">
        <v>2368.3056514680366</v>
      </c>
      <c r="AV79" s="98">
        <v>3.8932777372963323</v>
      </c>
      <c r="AW79" s="98">
        <v>2947.9899026807825</v>
      </c>
      <c r="AX79" s="98">
        <v>3.5173717395489899</v>
      </c>
      <c r="AY79" s="98">
        <v>2663.3538811864951</v>
      </c>
      <c r="AZ79" s="98">
        <v>1.1320906508508404</v>
      </c>
      <c r="BA79" s="98">
        <v>857.21904082425624</v>
      </c>
      <c r="BB79" s="98">
        <v>4.0167624314619896</v>
      </c>
      <c r="BC79" s="98">
        <v>3041.4925131030182</v>
      </c>
      <c r="BD79" s="98">
        <v>3.7096455499260577</v>
      </c>
      <c r="BE79" s="98">
        <v>2808.9436104040105</v>
      </c>
      <c r="BF79" s="98">
        <v>3.6875319778336566</v>
      </c>
      <c r="BG79" s="98">
        <v>2792.1992136156446</v>
      </c>
      <c r="BH79" s="98">
        <v>0.9562277543270491</v>
      </c>
      <c r="BI79" s="98">
        <v>724.0556555764415</v>
      </c>
      <c r="BJ79" s="98">
        <v>6.1026922916328035</v>
      </c>
      <c r="BK79" s="98">
        <v>4620.9586032243587</v>
      </c>
      <c r="BL79" s="98">
        <v>3.8704756070718087</v>
      </c>
      <c r="BM79" s="98">
        <v>2930.7241296747734</v>
      </c>
      <c r="BN79" s="98">
        <v>3.8693762565802103</v>
      </c>
      <c r="BO79" s="98">
        <v>2929.8917014825352</v>
      </c>
      <c r="BP79" s="98">
        <v>4.1061048185781992</v>
      </c>
      <c r="BQ79" s="98">
        <v>3109.1425686274119</v>
      </c>
      <c r="BR79" s="98">
        <v>2.1118300060787645</v>
      </c>
      <c r="BS79" s="98">
        <v>1599.0776806028402</v>
      </c>
      <c r="BT79" s="98">
        <v>5.1637058690433557</v>
      </c>
      <c r="BU79" s="98">
        <v>3909.9580840396284</v>
      </c>
      <c r="BV79" s="98">
        <v>2.9547484571098268</v>
      </c>
      <c r="BW79" s="98">
        <v>2237.3355317235605</v>
      </c>
      <c r="BX79" s="98">
        <v>1.7149364815011126</v>
      </c>
      <c r="BY79" s="98">
        <v>1298.5499037926422</v>
      </c>
      <c r="BZ79" s="98">
        <v>3.9374017361322751</v>
      </c>
      <c r="CA79" s="98">
        <v>2981.4005945993586</v>
      </c>
      <c r="CB79" s="98">
        <v>3.1544490945529904</v>
      </c>
      <c r="CC79" s="98">
        <v>2388.5488543955239</v>
      </c>
      <c r="CD79" s="98">
        <v>3.9363279550826267</v>
      </c>
      <c r="CE79" s="98">
        <v>2980.5875275885646</v>
      </c>
      <c r="CF79" s="98">
        <v>3.842322510010352</v>
      </c>
      <c r="CG79" s="98">
        <v>2909.4066045798381</v>
      </c>
      <c r="CH79" s="98">
        <v>3.7336428550262535</v>
      </c>
      <c r="CI79" s="98">
        <v>2827.1143698258788</v>
      </c>
      <c r="CJ79" s="98">
        <v>3.3956409450897702</v>
      </c>
      <c r="CK79" s="98">
        <v>2571.1793236219737</v>
      </c>
      <c r="CL79" s="98">
        <v>3.3165864187679639</v>
      </c>
      <c r="CM79" s="98">
        <v>2511.3192362911022</v>
      </c>
      <c r="CN79" s="98">
        <v>3.1682206261083792</v>
      </c>
      <c r="CO79" s="98">
        <v>2398.9766580892647</v>
      </c>
      <c r="CP79" s="98">
        <v>3.6567256235190704</v>
      </c>
      <c r="CQ79" s="98">
        <v>2768.8726421286397</v>
      </c>
      <c r="CR79" s="98">
        <v>3.2447932176861896</v>
      </c>
      <c r="CS79" s="98">
        <v>2456.9574244319824</v>
      </c>
      <c r="CT79" s="98">
        <v>2.4657995452249102</v>
      </c>
      <c r="CU79" s="98">
        <v>1867.1034156443018</v>
      </c>
    </row>
    <row r="80" spans="2:99">
      <c r="C80" s="97" t="s">
        <v>247</v>
      </c>
      <c r="D80" s="98">
        <v>14</v>
      </c>
      <c r="E80" s="98">
        <v>11272.8</v>
      </c>
      <c r="F80" s="98">
        <v>15</v>
      </c>
      <c r="G80" s="98">
        <v>12077.999999999998</v>
      </c>
      <c r="H80" s="98">
        <v>10</v>
      </c>
      <c r="I80" s="98">
        <v>8051.9999999999991</v>
      </c>
      <c r="J80" s="98">
        <v>10</v>
      </c>
      <c r="K80" s="98">
        <v>8051.9999999999991</v>
      </c>
      <c r="L80" s="98">
        <v>8</v>
      </c>
      <c r="M80" s="98">
        <v>6441.5999999999995</v>
      </c>
      <c r="N80" s="98">
        <v>8</v>
      </c>
      <c r="O80" s="98">
        <v>6441.5999999999995</v>
      </c>
      <c r="P80" s="98">
        <v>16</v>
      </c>
      <c r="Q80" s="98">
        <v>12883.199999999999</v>
      </c>
      <c r="R80" s="98">
        <v>11</v>
      </c>
      <c r="S80" s="98">
        <v>8857.1999999999989</v>
      </c>
      <c r="T80" s="98">
        <v>9</v>
      </c>
      <c r="U80" s="98">
        <v>7246.7999999999993</v>
      </c>
      <c r="V80" s="98">
        <v>9</v>
      </c>
      <c r="W80" s="98">
        <v>7246.7999999999993</v>
      </c>
      <c r="X80" s="98">
        <v>9</v>
      </c>
      <c r="Y80" s="98">
        <v>7246.7999999999993</v>
      </c>
      <c r="Z80" s="98">
        <v>5.7909621640548821</v>
      </c>
      <c r="AA80" s="98">
        <v>4662.8827344969905</v>
      </c>
      <c r="AB80" s="98">
        <v>3.9561335717501711</v>
      </c>
      <c r="AC80" s="98">
        <v>3185.4787519732376</v>
      </c>
      <c r="AD80" s="98">
        <v>4.0623103832565786</v>
      </c>
      <c r="AE80" s="98">
        <v>3270.9723205981968</v>
      </c>
      <c r="AF80" s="98">
        <v>3.4207443138363431</v>
      </c>
      <c r="AG80" s="98">
        <v>2754.3833215010231</v>
      </c>
      <c r="AH80" s="98">
        <v>6.3748293870529782</v>
      </c>
      <c r="AI80" s="98">
        <v>5133.0126224550577</v>
      </c>
      <c r="AJ80" s="98">
        <v>3.4529395544371559</v>
      </c>
      <c r="AK80" s="98">
        <v>2780.3069292327978</v>
      </c>
      <c r="AL80" s="98">
        <v>0.56690204857141657</v>
      </c>
      <c r="AM80" s="98">
        <v>456.46952950970456</v>
      </c>
      <c r="AN80" s="98">
        <v>3.8857728173930099</v>
      </c>
      <c r="AO80" s="98">
        <v>3128.8242725648515</v>
      </c>
      <c r="AP80" s="98">
        <v>0.56478316662331129</v>
      </c>
      <c r="AQ80" s="98">
        <v>454.76340576509023</v>
      </c>
      <c r="AR80" s="98">
        <v>4.1781970472733514</v>
      </c>
      <c r="AS80" s="98">
        <v>3364.2842624645023</v>
      </c>
      <c r="AT80" s="98">
        <v>3.1277148064818237</v>
      </c>
      <c r="AU80" s="98">
        <v>2518.4359621791641</v>
      </c>
      <c r="AV80" s="98">
        <v>3.5039499635666989</v>
      </c>
      <c r="AW80" s="98">
        <v>2821.3805106639056</v>
      </c>
      <c r="AX80" s="98">
        <v>3.9570432069926138</v>
      </c>
      <c r="AY80" s="98">
        <v>3186.2111902704523</v>
      </c>
      <c r="AZ80" s="98">
        <v>1.2938178866866747</v>
      </c>
      <c r="BA80" s="98">
        <v>1041.7821623601103</v>
      </c>
      <c r="BB80" s="98">
        <v>4.0167624314619896</v>
      </c>
      <c r="BC80" s="98">
        <v>3234.2971098131939</v>
      </c>
      <c r="BD80" s="98">
        <v>3.4242881999317456</v>
      </c>
      <c r="BE80" s="98">
        <v>2757.2368585850413</v>
      </c>
      <c r="BF80" s="98">
        <v>3.6875319778336566</v>
      </c>
      <c r="BG80" s="98">
        <v>2969.2007485516601</v>
      </c>
      <c r="BH80" s="98">
        <v>0.83669928503616797</v>
      </c>
      <c r="BI80" s="98">
        <v>673.71026431112239</v>
      </c>
      <c r="BJ80" s="98">
        <v>5.0855769096940033</v>
      </c>
      <c r="BK80" s="98">
        <v>4094.9065276856113</v>
      </c>
      <c r="BL80" s="98">
        <v>3.8704756070718087</v>
      </c>
      <c r="BM80" s="98">
        <v>3116.5069588142201</v>
      </c>
      <c r="BN80" s="98">
        <v>4.1457602749073681</v>
      </c>
      <c r="BO80" s="98">
        <v>3338.1661733554124</v>
      </c>
      <c r="BP80" s="98">
        <v>3.8323644973396522</v>
      </c>
      <c r="BQ80" s="98">
        <v>3085.8198932578875</v>
      </c>
      <c r="BR80" s="98">
        <v>2.4367269300908823</v>
      </c>
      <c r="BS80" s="98">
        <v>1962.0525241091782</v>
      </c>
      <c r="BT80" s="98">
        <v>4.8194588111071326</v>
      </c>
      <c r="BU80" s="98">
        <v>3880.628234703463</v>
      </c>
      <c r="BV80" s="98">
        <v>3.4919754493116133</v>
      </c>
      <c r="BW80" s="98">
        <v>2811.7386317857108</v>
      </c>
      <c r="BX80" s="98">
        <v>1.9293035416887516</v>
      </c>
      <c r="BY80" s="98">
        <v>1553.4752117677826</v>
      </c>
      <c r="BZ80" s="98">
        <v>4.3748908179247499</v>
      </c>
      <c r="CA80" s="98">
        <v>3522.6620865930081</v>
      </c>
      <c r="CB80" s="98">
        <v>3.4698940040082893</v>
      </c>
      <c r="CC80" s="98">
        <v>2793.9586520274743</v>
      </c>
      <c r="CD80" s="98">
        <v>3.9363279550826267</v>
      </c>
      <c r="CE80" s="98">
        <v>3169.5312694325307</v>
      </c>
      <c r="CF80" s="98">
        <v>3.842322510010352</v>
      </c>
      <c r="CG80" s="98">
        <v>3093.8380850603353</v>
      </c>
      <c r="CH80" s="98">
        <v>3.4847333313578366</v>
      </c>
      <c r="CI80" s="98">
        <v>2805.9072784093296</v>
      </c>
      <c r="CJ80" s="98">
        <v>3.7043355764615677</v>
      </c>
      <c r="CK80" s="98">
        <v>2982.7310061668541</v>
      </c>
      <c r="CL80" s="98">
        <v>3.5717084509808843</v>
      </c>
      <c r="CM80" s="98">
        <v>2875.9396447298077</v>
      </c>
      <c r="CN80" s="98">
        <v>3.5202451401204211</v>
      </c>
      <c r="CO80" s="98">
        <v>2834.501386824963</v>
      </c>
      <c r="CP80" s="98">
        <v>3.6567256235190704</v>
      </c>
      <c r="CQ80" s="98">
        <v>2944.3954720575553</v>
      </c>
      <c r="CR80" s="98">
        <v>3.6774323133776816</v>
      </c>
      <c r="CS80" s="98">
        <v>2961.068498731709</v>
      </c>
      <c r="CT80" s="98">
        <v>2.7397772724721228</v>
      </c>
      <c r="CU80" s="98">
        <v>2206.0686597945532</v>
      </c>
    </row>
    <row r="81" spans="2:99">
      <c r="C81" s="97" t="s">
        <v>248</v>
      </c>
      <c r="D81" s="98">
        <v>13</v>
      </c>
      <c r="E81" s="98">
        <v>9796.8000000000011</v>
      </c>
      <c r="F81" s="98">
        <v>14</v>
      </c>
      <c r="G81" s="98">
        <v>10550.4</v>
      </c>
      <c r="H81" s="98">
        <v>10</v>
      </c>
      <c r="I81" s="98">
        <v>7536</v>
      </c>
      <c r="J81" s="98">
        <v>11</v>
      </c>
      <c r="K81" s="98">
        <v>8289.6</v>
      </c>
      <c r="L81" s="98">
        <v>9</v>
      </c>
      <c r="M81" s="98">
        <v>6782.4000000000005</v>
      </c>
      <c r="N81" s="98">
        <v>9</v>
      </c>
      <c r="O81" s="98">
        <v>6782.4000000000005</v>
      </c>
      <c r="P81" s="98">
        <v>16</v>
      </c>
      <c r="Q81" s="98">
        <v>12057.6</v>
      </c>
      <c r="R81" s="98">
        <v>12</v>
      </c>
      <c r="S81" s="98">
        <v>9043.2000000000007</v>
      </c>
      <c r="T81" s="98">
        <v>8</v>
      </c>
      <c r="U81" s="98">
        <v>6028.8</v>
      </c>
      <c r="V81" s="98">
        <v>10</v>
      </c>
      <c r="W81" s="98">
        <v>7536</v>
      </c>
      <c r="X81" s="98">
        <v>9</v>
      </c>
      <c r="Y81" s="98">
        <v>6782.4000000000005</v>
      </c>
      <c r="Z81" s="98">
        <v>6.5148324345617423</v>
      </c>
      <c r="AA81" s="98">
        <v>4909.577722685729</v>
      </c>
      <c r="AB81" s="98">
        <v>3.6264557741043233</v>
      </c>
      <c r="AC81" s="98">
        <v>2732.8970713650183</v>
      </c>
      <c r="AD81" s="98">
        <v>4.0623103832565786</v>
      </c>
      <c r="AE81" s="98">
        <v>3061.3571048221579</v>
      </c>
      <c r="AF81" s="98">
        <v>3.4207443138363431</v>
      </c>
      <c r="AG81" s="98">
        <v>2577.8729149070682</v>
      </c>
      <c r="AH81" s="98">
        <v>6.3748293870529782</v>
      </c>
      <c r="AI81" s="98">
        <v>4804.0714260831246</v>
      </c>
      <c r="AJ81" s="98">
        <v>3.0692796039441386</v>
      </c>
      <c r="AK81" s="98">
        <v>2313.0091095323028</v>
      </c>
      <c r="AL81" s="98">
        <v>0.56690204857141657</v>
      </c>
      <c r="AM81" s="98">
        <v>427.21738380341952</v>
      </c>
      <c r="AN81" s="98">
        <v>3.8857728173930099</v>
      </c>
      <c r="AO81" s="98">
        <v>2928.3183951873725</v>
      </c>
      <c r="AP81" s="98">
        <v>0.50830484996098013</v>
      </c>
      <c r="AQ81" s="98">
        <v>383.05853493059465</v>
      </c>
      <c r="AR81" s="98">
        <v>3.830013960000572</v>
      </c>
      <c r="AS81" s="98">
        <v>2886.2985202564309</v>
      </c>
      <c r="AT81" s="98">
        <v>3.1277148064818237</v>
      </c>
      <c r="AU81" s="98">
        <v>2357.0458781647026</v>
      </c>
      <c r="AV81" s="98">
        <v>3.5039499635666989</v>
      </c>
      <c r="AW81" s="98">
        <v>2640.5766925438643</v>
      </c>
      <c r="AX81" s="98">
        <v>3.9570432069926138</v>
      </c>
      <c r="AY81" s="98">
        <v>2982.0277607896337</v>
      </c>
      <c r="AZ81" s="98">
        <v>1.2129542687687576</v>
      </c>
      <c r="BA81" s="98">
        <v>914.0823369441357</v>
      </c>
      <c r="BB81" s="98">
        <v>4.0167624314619896</v>
      </c>
      <c r="BC81" s="98">
        <v>3027.0321683497555</v>
      </c>
      <c r="BD81" s="98">
        <v>3.4242881999317456</v>
      </c>
      <c r="BE81" s="98">
        <v>2580.5435874685636</v>
      </c>
      <c r="BF81" s="98">
        <v>3.195861047455836</v>
      </c>
      <c r="BG81" s="98">
        <v>2408.4008853627179</v>
      </c>
      <c r="BH81" s="98">
        <v>0.9562277543270491</v>
      </c>
      <c r="BI81" s="98">
        <v>720.61323566086423</v>
      </c>
      <c r="BJ81" s="98">
        <v>5.0855769096940033</v>
      </c>
      <c r="BK81" s="98">
        <v>3832.4907591454012</v>
      </c>
      <c r="BL81" s="98">
        <v>3.8704756070718087</v>
      </c>
      <c r="BM81" s="98">
        <v>2916.7904174893151</v>
      </c>
      <c r="BN81" s="98">
        <v>3.5929922382530521</v>
      </c>
      <c r="BO81" s="98">
        <v>2707.6789507475</v>
      </c>
      <c r="BP81" s="98">
        <v>4.1061048185781992</v>
      </c>
      <c r="BQ81" s="98">
        <v>3094.360591280531</v>
      </c>
      <c r="BR81" s="98">
        <v>2.1118300060787645</v>
      </c>
      <c r="BS81" s="98">
        <v>1591.4750925809569</v>
      </c>
      <c r="BT81" s="98">
        <v>4.4752117531709086</v>
      </c>
      <c r="BU81" s="98">
        <v>3372.5195771895969</v>
      </c>
      <c r="BV81" s="98">
        <v>3.4919754493116133</v>
      </c>
      <c r="BW81" s="98">
        <v>2631.5526986012319</v>
      </c>
      <c r="BX81" s="98">
        <v>1.9293035416887516</v>
      </c>
      <c r="BY81" s="98">
        <v>1453.9231490166433</v>
      </c>
      <c r="BZ81" s="98">
        <v>4.3748908179247499</v>
      </c>
      <c r="CA81" s="98">
        <v>3296.9177203880918</v>
      </c>
      <c r="CB81" s="98">
        <v>3.1544490945529904</v>
      </c>
      <c r="CC81" s="98">
        <v>2377.1928376551336</v>
      </c>
      <c r="CD81" s="98">
        <v>3.9363279550826267</v>
      </c>
      <c r="CE81" s="98">
        <v>2966.4167469502677</v>
      </c>
      <c r="CF81" s="98">
        <v>3.362032196259058</v>
      </c>
      <c r="CG81" s="98">
        <v>2533.6274631008264</v>
      </c>
      <c r="CH81" s="98">
        <v>4.2314619023630868</v>
      </c>
      <c r="CI81" s="98">
        <v>3188.8296896208221</v>
      </c>
      <c r="CJ81" s="98">
        <v>3.7043355764615677</v>
      </c>
      <c r="CK81" s="98">
        <v>2791.5872904214375</v>
      </c>
      <c r="CL81" s="98">
        <v>3.3165864187679639</v>
      </c>
      <c r="CM81" s="98">
        <v>2499.3795251835377</v>
      </c>
      <c r="CN81" s="98">
        <v>3.8722696541324635</v>
      </c>
      <c r="CO81" s="98">
        <v>2918.1424113542244</v>
      </c>
      <c r="CP81" s="98">
        <v>3.6567256235190704</v>
      </c>
      <c r="CQ81" s="98">
        <v>2755.7084298839713</v>
      </c>
      <c r="CR81" s="98">
        <v>3.2447932176861896</v>
      </c>
      <c r="CS81" s="98">
        <v>2445.2761688483124</v>
      </c>
      <c r="CT81" s="98">
        <v>2.7397772724721228</v>
      </c>
      <c r="CU81" s="98">
        <v>2064.6961525349916</v>
      </c>
    </row>
    <row r="82" spans="2:99">
      <c r="C82" s="97" t="s">
        <v>249</v>
      </c>
      <c r="D82" s="98">
        <v>14</v>
      </c>
      <c r="E82" s="98">
        <v>7123.1999999999989</v>
      </c>
      <c r="F82" s="98">
        <v>13</v>
      </c>
      <c r="G82" s="98">
        <v>6614.3999999999987</v>
      </c>
      <c r="H82" s="98">
        <v>11</v>
      </c>
      <c r="I82" s="98">
        <v>5596.7999999999993</v>
      </c>
      <c r="J82" s="98">
        <v>10</v>
      </c>
      <c r="K82" s="98">
        <v>5087.9999999999991</v>
      </c>
      <c r="L82" s="98">
        <v>8</v>
      </c>
      <c r="M82" s="98">
        <v>4070.3999999999992</v>
      </c>
      <c r="N82" s="98">
        <v>9</v>
      </c>
      <c r="O82" s="98">
        <v>4579.1999999999989</v>
      </c>
      <c r="P82" s="98">
        <v>16</v>
      </c>
      <c r="Q82" s="98">
        <v>8140.7999999999984</v>
      </c>
      <c r="R82" s="98">
        <v>11</v>
      </c>
      <c r="S82" s="98">
        <v>5596.7999999999993</v>
      </c>
      <c r="T82" s="98">
        <v>9</v>
      </c>
      <c r="U82" s="98">
        <v>4579.1999999999989</v>
      </c>
      <c r="V82" s="98">
        <v>9</v>
      </c>
      <c r="W82" s="98">
        <v>4579.1999999999989</v>
      </c>
      <c r="X82" s="98">
        <v>8</v>
      </c>
      <c r="Y82" s="98">
        <v>4070.3999999999992</v>
      </c>
      <c r="Z82" s="98">
        <v>6.5148324345617423</v>
      </c>
      <c r="AA82" s="98">
        <v>3314.7467427050137</v>
      </c>
      <c r="AB82" s="98">
        <v>3.9561335717501711</v>
      </c>
      <c r="AC82" s="98">
        <v>2012.8807613064866</v>
      </c>
      <c r="AD82" s="98">
        <v>3.7721453558811087</v>
      </c>
      <c r="AE82" s="98">
        <v>1919.2675570723077</v>
      </c>
      <c r="AF82" s="98">
        <v>3.6487939347587659</v>
      </c>
      <c r="AG82" s="98">
        <v>1856.5063540052597</v>
      </c>
      <c r="AH82" s="98">
        <v>6.8652008783647451</v>
      </c>
      <c r="AI82" s="98">
        <v>3493.0142069119815</v>
      </c>
      <c r="AJ82" s="98">
        <v>3.4529395544371559</v>
      </c>
      <c r="AK82" s="98">
        <v>1756.8556452976245</v>
      </c>
      <c r="AL82" s="98">
        <v>0.56690204857141657</v>
      </c>
      <c r="AM82" s="98">
        <v>288.43976231313667</v>
      </c>
      <c r="AN82" s="98">
        <v>3.6082176161506521</v>
      </c>
      <c r="AO82" s="98">
        <v>1835.8611230974514</v>
      </c>
      <c r="AP82" s="98">
        <v>0.56478316662331129</v>
      </c>
      <c r="AQ82" s="98">
        <v>287.36167517794075</v>
      </c>
      <c r="AR82" s="98">
        <v>3.830013960000572</v>
      </c>
      <c r="AS82" s="98">
        <v>1948.7111028482907</v>
      </c>
      <c r="AT82" s="98">
        <v>2.7801909390949544</v>
      </c>
      <c r="AU82" s="98">
        <v>1414.5611498115125</v>
      </c>
      <c r="AV82" s="98">
        <v>4.2826055110259658</v>
      </c>
      <c r="AW82" s="98">
        <v>2178.9896840100109</v>
      </c>
      <c r="AX82" s="98">
        <v>3.5173717395489899</v>
      </c>
      <c r="AY82" s="98">
        <v>1789.6387410825257</v>
      </c>
      <c r="AZ82" s="98">
        <v>1.1320906508508404</v>
      </c>
      <c r="BA82" s="98">
        <v>576.00772315290749</v>
      </c>
      <c r="BB82" s="98">
        <v>4.0167624314619896</v>
      </c>
      <c r="BC82" s="98">
        <v>2043.7287251278599</v>
      </c>
      <c r="BD82" s="98">
        <v>3.4242881999317456</v>
      </c>
      <c r="BE82" s="98">
        <v>1742.2778361252717</v>
      </c>
      <c r="BF82" s="98">
        <v>3.6875319778336566</v>
      </c>
      <c r="BG82" s="98">
        <v>1876.2162703217641</v>
      </c>
      <c r="BH82" s="98">
        <v>0.9562277543270491</v>
      </c>
      <c r="BI82" s="98">
        <v>486.52868140160246</v>
      </c>
      <c r="BJ82" s="98">
        <v>5.0855769096940033</v>
      </c>
      <c r="BK82" s="98">
        <v>2587.5415316523085</v>
      </c>
      <c r="BL82" s="98">
        <v>3.8704756070718087</v>
      </c>
      <c r="BM82" s="98">
        <v>1969.2979888781358</v>
      </c>
      <c r="BN82" s="98">
        <v>4.1457602749073681</v>
      </c>
      <c r="BO82" s="98">
        <v>2109.3628278728684</v>
      </c>
      <c r="BP82" s="98">
        <v>4.3798451398167453</v>
      </c>
      <c r="BQ82" s="98">
        <v>2228.4652071387595</v>
      </c>
      <c r="BR82" s="98">
        <v>2.1118300060787645</v>
      </c>
      <c r="BS82" s="98">
        <v>1074.4991070928752</v>
      </c>
      <c r="BT82" s="98">
        <v>5.1637058690433557</v>
      </c>
      <c r="BU82" s="98">
        <v>2627.2935461692587</v>
      </c>
      <c r="BV82" s="98">
        <v>3.4919754493116133</v>
      </c>
      <c r="BW82" s="98">
        <v>1776.7171086097485</v>
      </c>
      <c r="BX82" s="98">
        <v>1.9293035416887516</v>
      </c>
      <c r="BY82" s="98">
        <v>981.62964201123668</v>
      </c>
      <c r="BZ82" s="98">
        <v>3.9374017361322751</v>
      </c>
      <c r="CA82" s="98">
        <v>2003.3500033441012</v>
      </c>
      <c r="CB82" s="98">
        <v>3.7853389134635886</v>
      </c>
      <c r="CC82" s="98">
        <v>1925.9804391702735</v>
      </c>
      <c r="CD82" s="98">
        <v>3.9363279550826267</v>
      </c>
      <c r="CE82" s="98">
        <v>2002.8036635460401</v>
      </c>
      <c r="CF82" s="98">
        <v>3.362032196259058</v>
      </c>
      <c r="CG82" s="98">
        <v>1710.6019814566084</v>
      </c>
      <c r="CH82" s="98">
        <v>3.7336428550262535</v>
      </c>
      <c r="CI82" s="98">
        <v>1899.6774846373573</v>
      </c>
      <c r="CJ82" s="98">
        <v>3.7043355764615677</v>
      </c>
      <c r="CK82" s="98">
        <v>1884.7659413036454</v>
      </c>
      <c r="CL82" s="98">
        <v>3.0614643865550435</v>
      </c>
      <c r="CM82" s="98">
        <v>1557.6730798792057</v>
      </c>
      <c r="CN82" s="98">
        <v>3.5202451401204211</v>
      </c>
      <c r="CO82" s="98">
        <v>1791.10072729327</v>
      </c>
      <c r="CP82" s="98">
        <v>4.0223981858709772</v>
      </c>
      <c r="CQ82" s="98">
        <v>2046.5961969711527</v>
      </c>
      <c r="CR82" s="98">
        <v>3.6774323133776816</v>
      </c>
      <c r="CS82" s="98">
        <v>1871.0775610465641</v>
      </c>
      <c r="CT82" s="98">
        <v>2.4657995452249102</v>
      </c>
      <c r="CU82" s="98">
        <v>1254.5988086104342</v>
      </c>
    </row>
    <row r="83" spans="2:99">
      <c r="C83" s="97" t="s">
        <v>250</v>
      </c>
      <c r="D83" s="98">
        <v>15</v>
      </c>
      <c r="E83" s="98">
        <v>12906</v>
      </c>
      <c r="F83" s="98">
        <v>14</v>
      </c>
      <c r="G83" s="98">
        <v>12045.6</v>
      </c>
      <c r="H83" s="98">
        <v>10</v>
      </c>
      <c r="I83" s="98">
        <v>8604</v>
      </c>
      <c r="J83" s="98">
        <v>11</v>
      </c>
      <c r="K83" s="98">
        <v>9464.4</v>
      </c>
      <c r="L83" s="98">
        <v>8</v>
      </c>
      <c r="M83" s="98">
        <v>6883.2</v>
      </c>
      <c r="N83" s="98">
        <v>9</v>
      </c>
      <c r="O83" s="98">
        <v>7743.5999999999995</v>
      </c>
      <c r="P83" s="98">
        <v>13</v>
      </c>
      <c r="Q83" s="98">
        <v>11185.199999999999</v>
      </c>
      <c r="R83" s="98">
        <v>10</v>
      </c>
      <c r="S83" s="98">
        <v>8604</v>
      </c>
      <c r="T83" s="98">
        <v>9</v>
      </c>
      <c r="U83" s="98">
        <v>7743.5999999999995</v>
      </c>
      <c r="V83" s="98">
        <v>9</v>
      </c>
      <c r="W83" s="98">
        <v>7743.5999999999995</v>
      </c>
      <c r="X83" s="98">
        <v>8</v>
      </c>
      <c r="Y83" s="98">
        <v>6883.2</v>
      </c>
      <c r="Z83" s="98">
        <v>5.7909621640548821</v>
      </c>
      <c r="AA83" s="98">
        <v>4982.5438459528204</v>
      </c>
      <c r="AB83" s="98">
        <v>3.6264557741043233</v>
      </c>
      <c r="AC83" s="98">
        <v>3120.2025480393595</v>
      </c>
      <c r="AD83" s="98">
        <v>4.3524754106320476</v>
      </c>
      <c r="AE83" s="98">
        <v>3744.8698433078134</v>
      </c>
      <c r="AF83" s="98">
        <v>3.4207443138363431</v>
      </c>
      <c r="AG83" s="98">
        <v>2943.2084076247897</v>
      </c>
      <c r="AH83" s="98">
        <v>6.8652008783647451</v>
      </c>
      <c r="AI83" s="98">
        <v>5906.8188357450263</v>
      </c>
      <c r="AJ83" s="98">
        <v>3.0692796039441386</v>
      </c>
      <c r="AK83" s="98">
        <v>2640.8081712335365</v>
      </c>
      <c r="AL83" s="98">
        <v>0.56690204857141657</v>
      </c>
      <c r="AM83" s="98">
        <v>487.7625225908468</v>
      </c>
      <c r="AN83" s="98">
        <v>3.6082176161506521</v>
      </c>
      <c r="AO83" s="98">
        <v>3104.5104369360211</v>
      </c>
      <c r="AP83" s="98">
        <v>0.50830484996098013</v>
      </c>
      <c r="AQ83" s="98">
        <v>437.3454929064273</v>
      </c>
      <c r="AR83" s="98">
        <v>3.830013960000572</v>
      </c>
      <c r="AS83" s="98">
        <v>3295.344011184492</v>
      </c>
      <c r="AT83" s="98">
        <v>3.1277148064818237</v>
      </c>
      <c r="AU83" s="98">
        <v>2691.085819496961</v>
      </c>
      <c r="AV83" s="98">
        <v>3.5039499635666989</v>
      </c>
      <c r="AW83" s="98">
        <v>3014.7985486527878</v>
      </c>
      <c r="AX83" s="98">
        <v>3.9570432069926138</v>
      </c>
      <c r="AY83" s="98">
        <v>3404.6399752964448</v>
      </c>
      <c r="AZ83" s="98">
        <v>1.2129542687687576</v>
      </c>
      <c r="BA83" s="98">
        <v>1043.6258528486389</v>
      </c>
      <c r="BB83" s="98">
        <v>4.0167624314619896</v>
      </c>
      <c r="BC83" s="98">
        <v>3456.0223960298958</v>
      </c>
      <c r="BD83" s="98">
        <v>3.4242881999317456</v>
      </c>
      <c r="BE83" s="98">
        <v>2946.2575672212738</v>
      </c>
      <c r="BF83" s="98">
        <v>3.195861047455836</v>
      </c>
      <c r="BG83" s="98">
        <v>2749.7188452310011</v>
      </c>
      <c r="BH83" s="98">
        <v>0.9562277543270491</v>
      </c>
      <c r="BI83" s="98">
        <v>822.73835982299306</v>
      </c>
      <c r="BJ83" s="98">
        <v>5.0855769096940033</v>
      </c>
      <c r="BK83" s="98">
        <v>4375.6303731007201</v>
      </c>
      <c r="BL83" s="98">
        <v>3.8704756070718087</v>
      </c>
      <c r="BM83" s="98">
        <v>3330.1572123245842</v>
      </c>
      <c r="BN83" s="98">
        <v>4.1457602749073681</v>
      </c>
      <c r="BO83" s="98">
        <v>3567.0121405302993</v>
      </c>
      <c r="BP83" s="98">
        <v>4.3798451398167453</v>
      </c>
      <c r="BQ83" s="98">
        <v>3768.4187582983277</v>
      </c>
      <c r="BR83" s="98">
        <v>2.2742784680848236</v>
      </c>
      <c r="BS83" s="98">
        <v>1956.7891939401823</v>
      </c>
      <c r="BT83" s="98">
        <v>4.8194588111071326</v>
      </c>
      <c r="BU83" s="98">
        <v>4146.6623610765764</v>
      </c>
      <c r="BV83" s="98">
        <v>3.2233619532107198</v>
      </c>
      <c r="BW83" s="98">
        <v>2773.3806245425035</v>
      </c>
      <c r="BX83" s="98">
        <v>1.9293035416887516</v>
      </c>
      <c r="BY83" s="98">
        <v>1659.9727672690019</v>
      </c>
      <c r="BZ83" s="98">
        <v>3.9374017361322751</v>
      </c>
      <c r="CA83" s="98">
        <v>3387.7404537682096</v>
      </c>
      <c r="CB83" s="98">
        <v>3.1544490945529904</v>
      </c>
      <c r="CC83" s="98">
        <v>2714.088000953393</v>
      </c>
      <c r="CD83" s="98">
        <v>4.2941759509992297</v>
      </c>
      <c r="CE83" s="98">
        <v>3694.7089882397372</v>
      </c>
      <c r="CF83" s="98">
        <v>3.362032196259058</v>
      </c>
      <c r="CG83" s="98">
        <v>2892.6925016612936</v>
      </c>
      <c r="CH83" s="98">
        <v>4.2314619023630868</v>
      </c>
      <c r="CI83" s="98">
        <v>3640.7498207931999</v>
      </c>
      <c r="CJ83" s="98">
        <v>3.7043355764615677</v>
      </c>
      <c r="CK83" s="98">
        <v>3187.210329987533</v>
      </c>
      <c r="CL83" s="98">
        <v>3.5717084509808843</v>
      </c>
      <c r="CM83" s="98">
        <v>3073.0979512239528</v>
      </c>
      <c r="CN83" s="98">
        <v>3.5202451401204211</v>
      </c>
      <c r="CO83" s="98">
        <v>3028.8189185596102</v>
      </c>
      <c r="CP83" s="98">
        <v>3.6567256235190704</v>
      </c>
      <c r="CQ83" s="98">
        <v>3146.2467264758079</v>
      </c>
      <c r="CR83" s="98">
        <v>3.2447932176861896</v>
      </c>
      <c r="CS83" s="98">
        <v>2791.8200844971975</v>
      </c>
      <c r="CT83" s="98">
        <v>2.7397772724721228</v>
      </c>
      <c r="CU83" s="98">
        <v>2357.3043652350143</v>
      </c>
    </row>
    <row r="84" spans="2:99">
      <c r="C84" s="97" t="s">
        <v>251</v>
      </c>
      <c r="D84" s="98">
        <v>14</v>
      </c>
      <c r="E84" s="98">
        <v>10936.8</v>
      </c>
      <c r="F84" s="98">
        <v>14</v>
      </c>
      <c r="G84" s="98">
        <v>10936.8</v>
      </c>
      <c r="H84" s="98">
        <v>10</v>
      </c>
      <c r="I84" s="98">
        <v>7811.9999999999991</v>
      </c>
      <c r="J84" s="98">
        <v>11</v>
      </c>
      <c r="K84" s="98">
        <v>8593.1999999999989</v>
      </c>
      <c r="L84" s="98">
        <v>8</v>
      </c>
      <c r="M84" s="98">
        <v>6249.5999999999995</v>
      </c>
      <c r="N84" s="98">
        <v>9</v>
      </c>
      <c r="O84" s="98">
        <v>7030.7999999999993</v>
      </c>
      <c r="P84" s="98">
        <v>16</v>
      </c>
      <c r="Q84" s="98">
        <v>12499.199999999999</v>
      </c>
      <c r="R84" s="98">
        <v>10</v>
      </c>
      <c r="S84" s="98">
        <v>7811.9999999999991</v>
      </c>
      <c r="T84" s="98">
        <v>10</v>
      </c>
      <c r="U84" s="98">
        <v>7811.9999999999991</v>
      </c>
      <c r="V84" s="98">
        <v>10</v>
      </c>
      <c r="W84" s="98">
        <v>7811.9999999999991</v>
      </c>
      <c r="X84" s="98">
        <v>8</v>
      </c>
      <c r="Y84" s="98">
        <v>6249.5999999999995</v>
      </c>
      <c r="Z84" s="98">
        <v>6.5148324345617423</v>
      </c>
      <c r="AA84" s="98">
        <v>5089.3870978796331</v>
      </c>
      <c r="AB84" s="98">
        <v>3.2967779764584755</v>
      </c>
      <c r="AC84" s="98">
        <v>2575.4429552093607</v>
      </c>
      <c r="AD84" s="98">
        <v>4.0623103832565786</v>
      </c>
      <c r="AE84" s="98">
        <v>3173.4768714000388</v>
      </c>
      <c r="AF84" s="98">
        <v>3.4207443138363431</v>
      </c>
      <c r="AG84" s="98">
        <v>2672.2854579689511</v>
      </c>
      <c r="AH84" s="98">
        <v>6.3748293870529782</v>
      </c>
      <c r="AI84" s="98">
        <v>4980.0167171657858</v>
      </c>
      <c r="AJ84" s="98">
        <v>3.0692796039441386</v>
      </c>
      <c r="AK84" s="98">
        <v>2397.7212266011607</v>
      </c>
      <c r="AL84" s="98">
        <v>0.56690204857141657</v>
      </c>
      <c r="AM84" s="98">
        <v>442.86388034399062</v>
      </c>
      <c r="AN84" s="98">
        <v>4.1633280186353678</v>
      </c>
      <c r="AO84" s="98">
        <v>3252.391848157949</v>
      </c>
      <c r="AP84" s="98">
        <v>0.56478316662331129</v>
      </c>
      <c r="AQ84" s="98">
        <v>441.20860976613073</v>
      </c>
      <c r="AR84" s="98">
        <v>3.830013960000572</v>
      </c>
      <c r="AS84" s="98">
        <v>2992.0069055524468</v>
      </c>
      <c r="AT84" s="98">
        <v>3.1277148064818237</v>
      </c>
      <c r="AU84" s="98">
        <v>2443.3708068236006</v>
      </c>
      <c r="AV84" s="98">
        <v>3.5039499635666989</v>
      </c>
      <c r="AW84" s="98">
        <v>2737.2857115383049</v>
      </c>
      <c r="AX84" s="98">
        <v>3.9570432069926138</v>
      </c>
      <c r="AY84" s="98">
        <v>3091.2421533026295</v>
      </c>
      <c r="AZ84" s="98">
        <v>1.1320906508508404</v>
      </c>
      <c r="BA84" s="98">
        <v>884.38921644467644</v>
      </c>
      <c r="BB84" s="98">
        <v>4.4630693682910998</v>
      </c>
      <c r="BC84" s="98">
        <v>3486.5497905090069</v>
      </c>
      <c r="BD84" s="98">
        <v>3.7096455499260577</v>
      </c>
      <c r="BE84" s="98">
        <v>2897.9751036022358</v>
      </c>
      <c r="BF84" s="98">
        <v>3.4416965126447461</v>
      </c>
      <c r="BG84" s="98">
        <v>2688.6533156780756</v>
      </c>
      <c r="BH84" s="98">
        <v>1.0159919889724895</v>
      </c>
      <c r="BI84" s="98">
        <v>793.69294178530879</v>
      </c>
      <c r="BJ84" s="98">
        <v>5.0855769096940033</v>
      </c>
      <c r="BK84" s="98">
        <v>3972.8526818529549</v>
      </c>
      <c r="BL84" s="98">
        <v>3.386666156187832</v>
      </c>
      <c r="BM84" s="98">
        <v>2645.6636012139343</v>
      </c>
      <c r="BN84" s="98">
        <v>4.1457602749073681</v>
      </c>
      <c r="BO84" s="98">
        <v>3238.6679267576355</v>
      </c>
      <c r="BP84" s="98">
        <v>4.3798451398167453</v>
      </c>
      <c r="BQ84" s="98">
        <v>3421.5350232248411</v>
      </c>
      <c r="BR84" s="98">
        <v>2.2742784680848236</v>
      </c>
      <c r="BS84" s="98">
        <v>1776.666339267864</v>
      </c>
      <c r="BT84" s="98">
        <v>5.1637058690433557</v>
      </c>
      <c r="BU84" s="98">
        <v>4033.8870248966691</v>
      </c>
      <c r="BV84" s="98">
        <v>3.4919754493116133</v>
      </c>
      <c r="BW84" s="98">
        <v>2727.9312210022322</v>
      </c>
      <c r="BX84" s="98">
        <v>1.9293035416887516</v>
      </c>
      <c r="BY84" s="98">
        <v>1507.1719267672527</v>
      </c>
      <c r="BZ84" s="98">
        <v>3.9374017361322751</v>
      </c>
      <c r="CA84" s="98">
        <v>3075.8982362665329</v>
      </c>
      <c r="CB84" s="98">
        <v>3.7853389134635886</v>
      </c>
      <c r="CC84" s="98">
        <v>2957.1067591977553</v>
      </c>
      <c r="CD84" s="98">
        <v>3.9363279550826267</v>
      </c>
      <c r="CE84" s="98">
        <v>3075.0593985105479</v>
      </c>
      <c r="CF84" s="98">
        <v>3.362032196259058</v>
      </c>
      <c r="CG84" s="98">
        <v>2626.4195517175758</v>
      </c>
      <c r="CH84" s="98">
        <v>3.7336428550262535</v>
      </c>
      <c r="CI84" s="98">
        <v>2916.7217983465089</v>
      </c>
      <c r="CJ84" s="98">
        <v>3.3956409450897702</v>
      </c>
      <c r="CK84" s="98">
        <v>2652.6747063041284</v>
      </c>
      <c r="CL84" s="98">
        <v>3.5717084509808843</v>
      </c>
      <c r="CM84" s="98">
        <v>2790.2186419062664</v>
      </c>
      <c r="CN84" s="98">
        <v>3.5202451401204211</v>
      </c>
      <c r="CO84" s="98">
        <v>2750.015503462073</v>
      </c>
      <c r="CP84" s="98">
        <v>3.2910530611671636</v>
      </c>
      <c r="CQ84" s="98">
        <v>2570.9706513837878</v>
      </c>
      <c r="CR84" s="98">
        <v>3.6774323133776816</v>
      </c>
      <c r="CS84" s="98">
        <v>2872.8101232106446</v>
      </c>
      <c r="CT84" s="98">
        <v>2.7397772724721228</v>
      </c>
      <c r="CU84" s="98">
        <v>2140.3140052552221</v>
      </c>
    </row>
    <row r="85" spans="2:99">
      <c r="C85" s="97" t="s">
        <v>252</v>
      </c>
      <c r="D85" s="98">
        <v>14</v>
      </c>
      <c r="E85" s="98">
        <v>2100</v>
      </c>
      <c r="F85" s="98">
        <v>14</v>
      </c>
      <c r="G85" s="98">
        <v>2100</v>
      </c>
      <c r="H85" s="98">
        <v>12</v>
      </c>
      <c r="I85" s="98">
        <v>1800</v>
      </c>
      <c r="J85" s="98">
        <v>12</v>
      </c>
      <c r="K85" s="98">
        <v>1800</v>
      </c>
      <c r="L85" s="98">
        <v>10</v>
      </c>
      <c r="M85" s="98">
        <v>1500</v>
      </c>
      <c r="N85" s="98">
        <v>10</v>
      </c>
      <c r="O85" s="98">
        <v>1500</v>
      </c>
      <c r="P85" s="98">
        <v>14</v>
      </c>
      <c r="Q85" s="98">
        <v>2100</v>
      </c>
      <c r="R85" s="98">
        <v>11</v>
      </c>
      <c r="S85" s="98">
        <v>1650</v>
      </c>
      <c r="T85" s="98">
        <v>10</v>
      </c>
      <c r="U85" s="98">
        <v>1500</v>
      </c>
      <c r="V85" s="98">
        <v>9</v>
      </c>
      <c r="W85" s="98">
        <v>1350</v>
      </c>
      <c r="X85" s="98">
        <v>9</v>
      </c>
      <c r="Y85" s="98">
        <v>1350</v>
      </c>
      <c r="Z85" s="98">
        <v>6.5148324345617423</v>
      </c>
      <c r="AA85" s="98">
        <v>977.22486518426138</v>
      </c>
      <c r="AB85" s="98">
        <v>3.9561335717501711</v>
      </c>
      <c r="AC85" s="98">
        <v>593.42003576252569</v>
      </c>
      <c r="AD85" s="98">
        <v>4.3524754106320476</v>
      </c>
      <c r="AE85" s="98">
        <v>652.87131159480714</v>
      </c>
      <c r="AF85" s="98">
        <v>3.4207443138363431</v>
      </c>
      <c r="AG85" s="98">
        <v>513.11164707545151</v>
      </c>
      <c r="AH85" s="98">
        <v>6.3748293870529782</v>
      </c>
      <c r="AI85" s="98">
        <v>956.22440805794668</v>
      </c>
      <c r="AJ85" s="98">
        <v>3.0692796039441386</v>
      </c>
      <c r="AK85" s="98">
        <v>460.39194059162077</v>
      </c>
      <c r="AL85" s="98">
        <v>0.62989116507935183</v>
      </c>
      <c r="AM85" s="98">
        <v>94.483674761902776</v>
      </c>
      <c r="AN85" s="98">
        <v>3.6082176161506521</v>
      </c>
      <c r="AO85" s="98">
        <v>541.23264242259779</v>
      </c>
      <c r="AP85" s="98">
        <v>0.50830484996098013</v>
      </c>
      <c r="AQ85" s="98">
        <v>76.245727494147019</v>
      </c>
      <c r="AR85" s="98">
        <v>3.830013960000572</v>
      </c>
      <c r="AS85" s="98">
        <v>574.50209400008578</v>
      </c>
      <c r="AT85" s="98">
        <v>2.7801909390949544</v>
      </c>
      <c r="AU85" s="98">
        <v>417.02864086424319</v>
      </c>
      <c r="AV85" s="98">
        <v>4.2826055110259658</v>
      </c>
      <c r="AW85" s="98">
        <v>642.39082665389492</v>
      </c>
      <c r="AX85" s="98">
        <v>3.9570432069926138</v>
      </c>
      <c r="AY85" s="98">
        <v>593.55648104889212</v>
      </c>
      <c r="AZ85" s="98">
        <v>1.2129542687687576</v>
      </c>
      <c r="BA85" s="98">
        <v>181.94314031531363</v>
      </c>
      <c r="BB85" s="98">
        <v>4.4630693682910998</v>
      </c>
      <c r="BC85" s="98">
        <v>669.46040524366492</v>
      </c>
      <c r="BD85" s="98">
        <v>3.7096455499260577</v>
      </c>
      <c r="BE85" s="98">
        <v>556.44683248890863</v>
      </c>
      <c r="BF85" s="98">
        <v>3.9333674430225671</v>
      </c>
      <c r="BG85" s="98">
        <v>590.00511645338509</v>
      </c>
      <c r="BH85" s="98">
        <v>0.83669928503616797</v>
      </c>
      <c r="BI85" s="98">
        <v>125.50489275542519</v>
      </c>
      <c r="BJ85" s="98">
        <v>6.1026922916328035</v>
      </c>
      <c r="BK85" s="98">
        <v>915.40384374492055</v>
      </c>
      <c r="BL85" s="98">
        <v>4.3542850579557841</v>
      </c>
      <c r="BM85" s="98">
        <v>653.14275869336757</v>
      </c>
      <c r="BN85" s="98">
        <v>4.1457602749073681</v>
      </c>
      <c r="BO85" s="98">
        <v>621.86404123610521</v>
      </c>
      <c r="BP85" s="98">
        <v>4.3798451398167453</v>
      </c>
      <c r="BQ85" s="98">
        <v>656.97677097251176</v>
      </c>
      <c r="BR85" s="98">
        <v>2.4367269300908823</v>
      </c>
      <c r="BS85" s="98">
        <v>365.50903951363233</v>
      </c>
      <c r="BT85" s="98">
        <v>5.1637058690433557</v>
      </c>
      <c r="BU85" s="98">
        <v>774.55588035650339</v>
      </c>
      <c r="BV85" s="98">
        <v>3.2233619532107198</v>
      </c>
      <c r="BW85" s="98">
        <v>483.50429298160799</v>
      </c>
      <c r="BX85" s="98">
        <v>1.9293035416887516</v>
      </c>
      <c r="BY85" s="98">
        <v>289.39553125331275</v>
      </c>
      <c r="BZ85" s="98">
        <v>3.9374017361322751</v>
      </c>
      <c r="CA85" s="98">
        <v>590.61026041984121</v>
      </c>
      <c r="CB85" s="98">
        <v>3.7853389134635886</v>
      </c>
      <c r="CC85" s="98">
        <v>567.80083701953833</v>
      </c>
      <c r="CD85" s="98">
        <v>4.2941759509992297</v>
      </c>
      <c r="CE85" s="98">
        <v>644.12639264988445</v>
      </c>
      <c r="CF85" s="98">
        <v>4.0824676668859992</v>
      </c>
      <c r="CG85" s="98">
        <v>612.37015003289991</v>
      </c>
      <c r="CH85" s="98">
        <v>3.7336428550262535</v>
      </c>
      <c r="CI85" s="98">
        <v>560.04642825393807</v>
      </c>
      <c r="CJ85" s="98">
        <v>3.7043355764615677</v>
      </c>
      <c r="CK85" s="98">
        <v>555.65033646923519</v>
      </c>
      <c r="CL85" s="98">
        <v>3.5717084509808843</v>
      </c>
      <c r="CM85" s="98">
        <v>535.75626764713263</v>
      </c>
      <c r="CN85" s="98">
        <v>3.5202451401204211</v>
      </c>
      <c r="CO85" s="98">
        <v>528.03677101806318</v>
      </c>
      <c r="CP85" s="98">
        <v>3.6567256235190704</v>
      </c>
      <c r="CQ85" s="98">
        <v>548.50884352786056</v>
      </c>
      <c r="CR85" s="98">
        <v>3.2447932176861896</v>
      </c>
      <c r="CS85" s="98">
        <v>486.71898265292845</v>
      </c>
      <c r="CT85" s="98">
        <v>2.7397772724721228</v>
      </c>
      <c r="CU85" s="98">
        <v>410.96659087081844</v>
      </c>
    </row>
    <row r="86" spans="2:99">
      <c r="C86" s="97" t="s">
        <v>253</v>
      </c>
      <c r="D86" s="98">
        <v>14</v>
      </c>
      <c r="E86" s="98">
        <v>7560</v>
      </c>
      <c r="F86" s="98">
        <v>15</v>
      </c>
      <c r="G86" s="98">
        <v>8100</v>
      </c>
      <c r="H86" s="98">
        <v>11</v>
      </c>
      <c r="I86" s="98">
        <v>5940</v>
      </c>
      <c r="J86" s="98">
        <v>12</v>
      </c>
      <c r="K86" s="98">
        <v>6480</v>
      </c>
      <c r="L86" s="98">
        <v>9</v>
      </c>
      <c r="M86" s="98">
        <v>4860</v>
      </c>
      <c r="N86" s="98">
        <v>9</v>
      </c>
      <c r="O86" s="98">
        <v>4860</v>
      </c>
      <c r="P86" s="98">
        <v>15</v>
      </c>
      <c r="Q86" s="98">
        <v>8100</v>
      </c>
      <c r="R86" s="98">
        <v>11</v>
      </c>
      <c r="S86" s="98">
        <v>5940</v>
      </c>
      <c r="T86" s="98">
        <v>8</v>
      </c>
      <c r="U86" s="98">
        <v>4320</v>
      </c>
      <c r="V86" s="98">
        <v>10</v>
      </c>
      <c r="W86" s="98">
        <v>5400</v>
      </c>
      <c r="X86" s="98">
        <v>9</v>
      </c>
      <c r="Y86" s="98">
        <v>4860</v>
      </c>
      <c r="Z86" s="98">
        <v>6.5148324345617423</v>
      </c>
      <c r="AA86" s="98">
        <v>3518.0095146633407</v>
      </c>
      <c r="AB86" s="98">
        <v>3.2967779764584755</v>
      </c>
      <c r="AC86" s="98">
        <v>1780.2601072875768</v>
      </c>
      <c r="AD86" s="98">
        <v>4.6426404380075175</v>
      </c>
      <c r="AE86" s="98">
        <v>2507.0258365240593</v>
      </c>
      <c r="AF86" s="98">
        <v>3.6487939347587659</v>
      </c>
      <c r="AG86" s="98">
        <v>1970.3487247697335</v>
      </c>
      <c r="AH86" s="98">
        <v>7.355572369676513</v>
      </c>
      <c r="AI86" s="98">
        <v>3972.0090796253171</v>
      </c>
      <c r="AJ86" s="98">
        <v>3.4529395544371559</v>
      </c>
      <c r="AK86" s="98">
        <v>1864.5873593960641</v>
      </c>
      <c r="AL86" s="98">
        <v>0.62989116507935183</v>
      </c>
      <c r="AM86" s="98">
        <v>340.14122914284997</v>
      </c>
      <c r="AN86" s="98">
        <v>3.3306624149082946</v>
      </c>
      <c r="AO86" s="98">
        <v>1798.5577040504791</v>
      </c>
      <c r="AP86" s="98">
        <v>0.50830484996098013</v>
      </c>
      <c r="AQ86" s="98">
        <v>274.48461897892929</v>
      </c>
      <c r="AR86" s="98">
        <v>3.830013960000572</v>
      </c>
      <c r="AS86" s="98">
        <v>2068.2075384003087</v>
      </c>
      <c r="AT86" s="98">
        <v>3.1277148064818237</v>
      </c>
      <c r="AU86" s="98">
        <v>1688.9659955001848</v>
      </c>
      <c r="AV86" s="98">
        <v>3.8932777372963323</v>
      </c>
      <c r="AW86" s="98">
        <v>2102.3699781400196</v>
      </c>
      <c r="AX86" s="98">
        <v>3.5173717395489899</v>
      </c>
      <c r="AY86" s="98">
        <v>1899.3807393564546</v>
      </c>
      <c r="AZ86" s="98">
        <v>1.0512270329329234</v>
      </c>
      <c r="BA86" s="98">
        <v>567.66259778377866</v>
      </c>
      <c r="BB86" s="98">
        <v>4.4630693682910998</v>
      </c>
      <c r="BC86" s="98">
        <v>2410.0574588771938</v>
      </c>
      <c r="BD86" s="98">
        <v>3.9950028999203702</v>
      </c>
      <c r="BE86" s="98">
        <v>2157.3015659570001</v>
      </c>
      <c r="BF86" s="98">
        <v>3.6875319778336566</v>
      </c>
      <c r="BG86" s="98">
        <v>1991.2672680301746</v>
      </c>
      <c r="BH86" s="98">
        <v>0.83669928503616797</v>
      </c>
      <c r="BI86" s="98">
        <v>451.81761391953069</v>
      </c>
      <c r="BJ86" s="98">
        <v>6.1026922916328035</v>
      </c>
      <c r="BK86" s="98">
        <v>3295.4538374817139</v>
      </c>
      <c r="BL86" s="98">
        <v>3.386666156187832</v>
      </c>
      <c r="BM86" s="98">
        <v>1828.7997243414293</v>
      </c>
      <c r="BN86" s="98">
        <v>3.8693762565802103</v>
      </c>
      <c r="BO86" s="98">
        <v>2089.4631785533138</v>
      </c>
      <c r="BP86" s="98">
        <v>4.1061048185781992</v>
      </c>
      <c r="BQ86" s="98">
        <v>2217.2966020322274</v>
      </c>
      <c r="BR86" s="98">
        <v>1.949381544072706</v>
      </c>
      <c r="BS86" s="98">
        <v>1052.6660337992612</v>
      </c>
      <c r="BT86" s="98">
        <v>5.1637058690433557</v>
      </c>
      <c r="BU86" s="98">
        <v>2788.4011692834119</v>
      </c>
      <c r="BV86" s="98">
        <v>3.2233619532107198</v>
      </c>
      <c r="BW86" s="98">
        <v>1740.6154547337887</v>
      </c>
      <c r="BX86" s="98">
        <v>1.7149364815011126</v>
      </c>
      <c r="BY86" s="98">
        <v>926.06570001060072</v>
      </c>
      <c r="BZ86" s="98">
        <v>3.9374017361322751</v>
      </c>
      <c r="CA86" s="98">
        <v>2126.1969375114286</v>
      </c>
      <c r="CB86" s="98">
        <v>3.7853389134635886</v>
      </c>
      <c r="CC86" s="98">
        <v>2044.0830132703379</v>
      </c>
      <c r="CD86" s="98">
        <v>3.9363279550826267</v>
      </c>
      <c r="CE86" s="98">
        <v>2125.6170957446184</v>
      </c>
      <c r="CF86" s="98">
        <v>3.842322510010352</v>
      </c>
      <c r="CG86" s="98">
        <v>2074.8541554055901</v>
      </c>
      <c r="CH86" s="98">
        <v>4.2314619023630868</v>
      </c>
      <c r="CI86" s="98">
        <v>2284.9894272760671</v>
      </c>
      <c r="CJ86" s="98">
        <v>3.7043355764615677</v>
      </c>
      <c r="CK86" s="98">
        <v>2000.3412112892465</v>
      </c>
      <c r="CL86" s="98">
        <v>3.8268304831938047</v>
      </c>
      <c r="CM86" s="98">
        <v>2066.4884609246546</v>
      </c>
      <c r="CN86" s="98">
        <v>3.5202451401204211</v>
      </c>
      <c r="CO86" s="98">
        <v>1900.9323756650274</v>
      </c>
      <c r="CP86" s="98">
        <v>3.6567256235190704</v>
      </c>
      <c r="CQ86" s="98">
        <v>1974.631836700298</v>
      </c>
      <c r="CR86" s="98">
        <v>3.4611127655319356</v>
      </c>
      <c r="CS86" s="98">
        <v>1869.0008933872452</v>
      </c>
      <c r="CT86" s="98">
        <v>2.7397772724721228</v>
      </c>
      <c r="CU86" s="98">
        <v>1479.4797271349462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4.4283599359357888</v>
      </c>
      <c r="G87" s="98">
        <v>4756.0585711950371</v>
      </c>
      <c r="H87" s="98">
        <v>3.5742631877506352</v>
      </c>
      <c r="I87" s="98">
        <v>3838.7586636441824</v>
      </c>
      <c r="J87" s="98">
        <v>1.4274669739694887</v>
      </c>
      <c r="K87" s="98">
        <v>1533.099530043231</v>
      </c>
      <c r="L87" s="98">
        <v>2.341243410593556</v>
      </c>
      <c r="M87" s="98">
        <v>2514.4954229774789</v>
      </c>
      <c r="N87" s="98">
        <v>1.4211615189339264</v>
      </c>
      <c r="O87" s="98">
        <v>1526.327471335037</v>
      </c>
      <c r="P87" s="98">
        <v>1.5590058252467121</v>
      </c>
      <c r="Q87" s="98">
        <v>1674.3722563149688</v>
      </c>
      <c r="R87" s="98">
        <v>0.86815856778522238</v>
      </c>
      <c r="S87" s="98">
        <v>932.4023018013288</v>
      </c>
      <c r="T87" s="98">
        <v>1.3410339654057559</v>
      </c>
      <c r="U87" s="98">
        <v>1440.2704788457818</v>
      </c>
      <c r="V87" s="98">
        <v>2.5361007756107661</v>
      </c>
      <c r="W87" s="98">
        <v>2723.7722330059628</v>
      </c>
      <c r="X87" s="98">
        <v>2.7255986581172666</v>
      </c>
      <c r="Y87" s="98">
        <v>2927.2929588179445</v>
      </c>
      <c r="Z87" s="98">
        <v>1.5128947420807102</v>
      </c>
      <c r="AA87" s="98">
        <v>1624.8489529946828</v>
      </c>
      <c r="AB87" s="98">
        <v>0.7631697652092001</v>
      </c>
      <c r="AC87" s="98">
        <v>819.64432783468089</v>
      </c>
      <c r="AD87" s="98">
        <v>2.1356713495932134</v>
      </c>
      <c r="AE87" s="98">
        <v>2293.7110294631111</v>
      </c>
      <c r="AF87" s="98">
        <v>1.5791036280660415</v>
      </c>
      <c r="AG87" s="98">
        <v>1695.9572965429286</v>
      </c>
      <c r="AH87" s="98">
        <v>2.7094962987285518</v>
      </c>
      <c r="AI87" s="98">
        <v>2909.9990248344648</v>
      </c>
      <c r="AJ87" s="98">
        <v>1.4754499572762629</v>
      </c>
      <c r="AK87" s="98">
        <v>1584.6332541147065</v>
      </c>
      <c r="AL87" s="98">
        <v>0.68979287881154872</v>
      </c>
      <c r="AM87" s="98">
        <v>740.83755184360336</v>
      </c>
      <c r="AN87" s="98">
        <v>1.9743940213145112</v>
      </c>
      <c r="AO87" s="98">
        <v>2120.499178891785</v>
      </c>
      <c r="AP87" s="98">
        <v>0.67006716631159002</v>
      </c>
      <c r="AQ87" s="98">
        <v>719.65213661864766</v>
      </c>
      <c r="AR87" s="98">
        <v>2.2780237153160052</v>
      </c>
      <c r="AS87" s="98">
        <v>2446.5974702493895</v>
      </c>
      <c r="AT87" s="98">
        <v>1.9957168116468906</v>
      </c>
      <c r="AU87" s="98">
        <v>2143.3998557087607</v>
      </c>
      <c r="AV87" s="98">
        <v>2.4885308101045158</v>
      </c>
      <c r="AW87" s="98">
        <v>2672.6820900522498</v>
      </c>
      <c r="AX87" s="98">
        <v>3.7514753311933413</v>
      </c>
      <c r="AY87" s="98">
        <v>4029.0845057016486</v>
      </c>
      <c r="AZ87" s="98">
        <v>1.1470712357148702</v>
      </c>
      <c r="BA87" s="98">
        <v>1231.9545071577706</v>
      </c>
      <c r="BB87" s="98">
        <v>3.1443463000145426</v>
      </c>
      <c r="BC87" s="98">
        <v>3377.0279262156187</v>
      </c>
      <c r="BD87" s="98">
        <v>1.1305921431719501</v>
      </c>
      <c r="BE87" s="98">
        <v>1214.2559617666743</v>
      </c>
      <c r="BF87" s="98">
        <v>3.171677917310141</v>
      </c>
      <c r="BG87" s="98">
        <v>3406.3820831910916</v>
      </c>
      <c r="BH87" s="98">
        <v>1.8220793753880615</v>
      </c>
      <c r="BI87" s="98">
        <v>1956.9132491667781</v>
      </c>
      <c r="BJ87" s="98">
        <v>2.4297298031405723</v>
      </c>
      <c r="BK87" s="98">
        <v>2609.5298085729746</v>
      </c>
      <c r="BL87" s="98">
        <v>0.87142792689675896</v>
      </c>
      <c r="BM87" s="98">
        <v>935.9135934871191</v>
      </c>
      <c r="BN87" s="98">
        <v>2.0053133157055734</v>
      </c>
      <c r="BO87" s="98">
        <v>2153.7065010677857</v>
      </c>
      <c r="BP87" s="98">
        <v>3.3953363536173291</v>
      </c>
      <c r="BQ87" s="98">
        <v>3646.5912437850116</v>
      </c>
      <c r="BR87" s="98">
        <v>1.6336472847509644</v>
      </c>
      <c r="BS87" s="98">
        <v>1754.5371838225358</v>
      </c>
      <c r="BT87" s="98">
        <v>2.366911833523397</v>
      </c>
      <c r="BU87" s="98">
        <v>2542.0633092041285</v>
      </c>
      <c r="BV87" s="98">
        <v>0.89371236238789664</v>
      </c>
      <c r="BW87" s="98">
        <v>959.84707720460096</v>
      </c>
      <c r="BX87" s="98">
        <v>2.4335278900378117</v>
      </c>
      <c r="BY87" s="98">
        <v>2613.6089539006098</v>
      </c>
      <c r="BZ87" s="98">
        <v>0.40828012130533337</v>
      </c>
      <c r="CA87" s="98">
        <v>438.49285028192804</v>
      </c>
      <c r="CB87" s="98">
        <v>1.7108634877673852</v>
      </c>
      <c r="CC87" s="98">
        <v>1837.4673858621716</v>
      </c>
      <c r="CD87" s="98">
        <v>3.729934806674482</v>
      </c>
      <c r="CE87" s="98">
        <v>4005.9499823683936</v>
      </c>
      <c r="CF87" s="98">
        <v>0.98508437778776181</v>
      </c>
      <c r="CG87" s="98">
        <v>1057.9806217440562</v>
      </c>
      <c r="CH87" s="98">
        <v>2.4170126368367999</v>
      </c>
      <c r="CI87" s="98">
        <v>2595.871571962723</v>
      </c>
      <c r="CJ87" s="98">
        <v>2.106452960919333</v>
      </c>
      <c r="CK87" s="98">
        <v>2262.3304800273636</v>
      </c>
      <c r="CL87" s="98">
        <v>2.8175449206092331</v>
      </c>
      <c r="CM87" s="98">
        <v>3026.0432447343164</v>
      </c>
      <c r="CN87" s="98">
        <v>1.4151816089715337</v>
      </c>
      <c r="CO87" s="98">
        <v>1519.9050480354272</v>
      </c>
      <c r="CP87" s="98">
        <v>2.2312199524241998</v>
      </c>
      <c r="CQ87" s="98">
        <v>2396.3302289035905</v>
      </c>
      <c r="CR87" s="98">
        <v>0.78200560986553325</v>
      </c>
      <c r="CS87" s="98">
        <v>839.87402499558266</v>
      </c>
      <c r="CT87" s="98">
        <v>1.206236879273765</v>
      </c>
      <c r="CU87" s="98">
        <v>1295.4984083400236</v>
      </c>
    </row>
    <row r="88" spans="2:99">
      <c r="C88" s="97" t="s">
        <v>255</v>
      </c>
      <c r="D88" s="98">
        <v>0</v>
      </c>
      <c r="E88" s="98">
        <v>0</v>
      </c>
      <c r="F88" s="98">
        <v>4.4283599359357888</v>
      </c>
      <c r="G88" s="98">
        <v>4394.7044004226764</v>
      </c>
      <c r="H88" s="98">
        <v>3.2168368689755722</v>
      </c>
      <c r="I88" s="98">
        <v>3192.3889087713578</v>
      </c>
      <c r="J88" s="98">
        <v>1.6313908273937014</v>
      </c>
      <c r="K88" s="98">
        <v>1618.9922571055092</v>
      </c>
      <c r="L88" s="98">
        <v>2.341243410593556</v>
      </c>
      <c r="M88" s="98">
        <v>2323.4499606730451</v>
      </c>
      <c r="N88" s="98">
        <v>1.4211615189339264</v>
      </c>
      <c r="O88" s="98">
        <v>1410.3606913900285</v>
      </c>
      <c r="P88" s="98">
        <v>1.5590058252467121</v>
      </c>
      <c r="Q88" s="98">
        <v>1547.157380974837</v>
      </c>
      <c r="R88" s="98">
        <v>0.78923506162292945</v>
      </c>
      <c r="S88" s="98">
        <v>783.23687515459517</v>
      </c>
      <c r="T88" s="98">
        <v>1.3410339654057559</v>
      </c>
      <c r="U88" s="98">
        <v>1330.8421072686722</v>
      </c>
      <c r="V88" s="98">
        <v>2.5361007756107661</v>
      </c>
      <c r="W88" s="98">
        <v>2516.8264097161241</v>
      </c>
      <c r="X88" s="98">
        <v>2.7255986581172666</v>
      </c>
      <c r="Y88" s="98">
        <v>2704.8841083155753</v>
      </c>
      <c r="Z88" s="98">
        <v>1.7290225623779545</v>
      </c>
      <c r="AA88" s="98">
        <v>1715.8819909038821</v>
      </c>
      <c r="AB88" s="98">
        <v>0.7631697652092001</v>
      </c>
      <c r="AC88" s="98">
        <v>757.36967499361015</v>
      </c>
      <c r="AD88" s="98">
        <v>2.1356713495932134</v>
      </c>
      <c r="AE88" s="98">
        <v>2119.4402473363048</v>
      </c>
      <c r="AF88" s="98">
        <v>1.5791036280660415</v>
      </c>
      <c r="AG88" s="98">
        <v>1567.1024404927396</v>
      </c>
      <c r="AH88" s="98">
        <v>3.1610790151833106</v>
      </c>
      <c r="AI88" s="98">
        <v>3137.0548146679175</v>
      </c>
      <c r="AJ88" s="98">
        <v>1.4754499572762629</v>
      </c>
      <c r="AK88" s="98">
        <v>1464.2365376009634</v>
      </c>
      <c r="AL88" s="98">
        <v>0.60356876896010514</v>
      </c>
      <c r="AM88" s="98">
        <v>598.98164631600832</v>
      </c>
      <c r="AN88" s="98">
        <v>1.5356397943557309</v>
      </c>
      <c r="AO88" s="98">
        <v>1523.9689319186273</v>
      </c>
      <c r="AP88" s="98">
        <v>0.67006716631159002</v>
      </c>
      <c r="AQ88" s="98">
        <v>664.97465584762188</v>
      </c>
      <c r="AR88" s="98">
        <v>2.0709306502872775</v>
      </c>
      <c r="AS88" s="98">
        <v>2055.1915773450942</v>
      </c>
      <c r="AT88" s="98">
        <v>2.1620265459507984</v>
      </c>
      <c r="AU88" s="98">
        <v>2145.5951442015721</v>
      </c>
      <c r="AV88" s="98">
        <v>2.1567267020905803</v>
      </c>
      <c r="AW88" s="98">
        <v>2140.3355791546919</v>
      </c>
      <c r="AX88" s="98">
        <v>3.7514753311933413</v>
      </c>
      <c r="AY88" s="98">
        <v>3722.9641186762719</v>
      </c>
      <c r="AZ88" s="98">
        <v>1.2617783592863574</v>
      </c>
      <c r="BA88" s="98">
        <v>1252.1888437557811</v>
      </c>
      <c r="BB88" s="98">
        <v>2.7251001266792705</v>
      </c>
      <c r="BC88" s="98">
        <v>2704.3893657165081</v>
      </c>
      <c r="BD88" s="98">
        <v>1.0175329288547552</v>
      </c>
      <c r="BE88" s="98">
        <v>1009.799678595459</v>
      </c>
      <c r="BF88" s="98">
        <v>2.5950092050719338</v>
      </c>
      <c r="BG88" s="98">
        <v>2575.2871351133872</v>
      </c>
      <c r="BH88" s="98">
        <v>1.8220793753880615</v>
      </c>
      <c r="BI88" s="98">
        <v>1808.2315721351122</v>
      </c>
      <c r="BJ88" s="98">
        <v>2.256177674344817</v>
      </c>
      <c r="BK88" s="98">
        <v>2239.0307240197963</v>
      </c>
      <c r="BL88" s="98">
        <v>0.95857071958643481</v>
      </c>
      <c r="BM88" s="98">
        <v>951.28558211757786</v>
      </c>
      <c r="BN88" s="98">
        <v>2.0053133157055734</v>
      </c>
      <c r="BO88" s="98">
        <v>1990.0729345062109</v>
      </c>
      <c r="BP88" s="98">
        <v>3.0866694123793903</v>
      </c>
      <c r="BQ88" s="98">
        <v>3063.2107248453067</v>
      </c>
      <c r="BR88" s="98">
        <v>1.6336472847509644</v>
      </c>
      <c r="BS88" s="98">
        <v>1621.231565386857</v>
      </c>
      <c r="BT88" s="98">
        <v>2.1696691807297803</v>
      </c>
      <c r="BU88" s="98">
        <v>2153.179694956234</v>
      </c>
      <c r="BV88" s="98">
        <v>0.96245946718696551</v>
      </c>
      <c r="BW88" s="98">
        <v>955.14477523634457</v>
      </c>
      <c r="BX88" s="98">
        <v>2.4335278900378117</v>
      </c>
      <c r="BY88" s="98">
        <v>2415.0330780735244</v>
      </c>
      <c r="BZ88" s="98">
        <v>0.40828012130533337</v>
      </c>
      <c r="CA88" s="98">
        <v>405.17719238341283</v>
      </c>
      <c r="CB88" s="98">
        <v>1.7108634877673852</v>
      </c>
      <c r="CC88" s="98">
        <v>1697.860925260353</v>
      </c>
      <c r="CD88" s="98">
        <v>3.729934806674482</v>
      </c>
      <c r="CE88" s="98">
        <v>3701.587302143756</v>
      </c>
      <c r="CF88" s="98">
        <v>0.98508437778776181</v>
      </c>
      <c r="CG88" s="98">
        <v>977.59773651657486</v>
      </c>
      <c r="CH88" s="98">
        <v>2.244368877062743</v>
      </c>
      <c r="CI88" s="98">
        <v>2227.3116735970661</v>
      </c>
      <c r="CJ88" s="98">
        <v>2.4575284544058889</v>
      </c>
      <c r="CK88" s="98">
        <v>2438.8512381524042</v>
      </c>
      <c r="CL88" s="98">
        <v>3.0992994126701565</v>
      </c>
      <c r="CM88" s="98">
        <v>3075.7447371338631</v>
      </c>
      <c r="CN88" s="98">
        <v>1.2579392079746967</v>
      </c>
      <c r="CO88" s="98">
        <v>1248.378869994089</v>
      </c>
      <c r="CP88" s="98">
        <v>2.4340581299173092</v>
      </c>
      <c r="CQ88" s="98">
        <v>2415.5592881299376</v>
      </c>
      <c r="CR88" s="98">
        <v>0.87975631109872499</v>
      </c>
      <c r="CS88" s="98">
        <v>873.07016313437464</v>
      </c>
      <c r="CT88" s="98">
        <v>1.1308470743191545</v>
      </c>
      <c r="CU88" s="98">
        <v>1122.252636554329</v>
      </c>
    </row>
    <row r="89" spans="2:99">
      <c r="C89" s="97" t="s">
        <v>256</v>
      </c>
      <c r="D89" s="98">
        <v>0</v>
      </c>
      <c r="E89" s="98">
        <v>0</v>
      </c>
      <c r="F89" s="98">
        <v>4.0877168639407291</v>
      </c>
      <c r="G89" s="98">
        <v>4341.155309505054</v>
      </c>
      <c r="H89" s="98">
        <v>3.2168368689755722</v>
      </c>
      <c r="I89" s="98">
        <v>3416.2807548520577</v>
      </c>
      <c r="J89" s="98">
        <v>1.6313908273937014</v>
      </c>
      <c r="K89" s="98">
        <v>1732.537058692111</v>
      </c>
      <c r="L89" s="98">
        <v>2.1740117384083022</v>
      </c>
      <c r="M89" s="98">
        <v>2308.8004661896171</v>
      </c>
      <c r="N89" s="98">
        <v>1.2435163290671853</v>
      </c>
      <c r="O89" s="98">
        <v>1320.6143414693508</v>
      </c>
      <c r="P89" s="98">
        <v>1.5590058252467121</v>
      </c>
      <c r="Q89" s="98">
        <v>1655.6641864120081</v>
      </c>
      <c r="R89" s="98">
        <v>0.78923506162292945</v>
      </c>
      <c r="S89" s="98">
        <v>838.16763544355103</v>
      </c>
      <c r="T89" s="98">
        <v>1.3410339654057559</v>
      </c>
      <c r="U89" s="98">
        <v>1424.1780712609127</v>
      </c>
      <c r="V89" s="98">
        <v>2.1738006648092281</v>
      </c>
      <c r="W89" s="98">
        <v>2308.5763060274003</v>
      </c>
      <c r="X89" s="98">
        <v>2.7255986581172666</v>
      </c>
      <c r="Y89" s="98">
        <v>2894.585774920537</v>
      </c>
      <c r="Z89" s="98">
        <v>1.5128947420807102</v>
      </c>
      <c r="AA89" s="98">
        <v>1606.6942160897142</v>
      </c>
      <c r="AB89" s="98">
        <v>0.84796640578800009</v>
      </c>
      <c r="AC89" s="98">
        <v>900.54032294685612</v>
      </c>
      <c r="AD89" s="98">
        <v>2.1356713495932134</v>
      </c>
      <c r="AE89" s="98">
        <v>2268.0829732679927</v>
      </c>
      <c r="AF89" s="98">
        <v>1.7226585033447726</v>
      </c>
      <c r="AG89" s="98">
        <v>1829.4633305521484</v>
      </c>
      <c r="AH89" s="98">
        <v>3.1610790151833106</v>
      </c>
      <c r="AI89" s="98">
        <v>3357.0659141246761</v>
      </c>
      <c r="AJ89" s="98">
        <v>1.598404120382618</v>
      </c>
      <c r="AK89" s="98">
        <v>1697.5051758463403</v>
      </c>
      <c r="AL89" s="98">
        <v>0.60356876896010514</v>
      </c>
      <c r="AM89" s="98">
        <v>640.99003263563168</v>
      </c>
      <c r="AN89" s="98">
        <v>1.5356397943557309</v>
      </c>
      <c r="AO89" s="98">
        <v>1630.8494616057862</v>
      </c>
      <c r="AP89" s="98">
        <v>0.7445190736795444</v>
      </c>
      <c r="AQ89" s="98">
        <v>790.67925624767611</v>
      </c>
      <c r="AR89" s="98">
        <v>2.2780237153160052</v>
      </c>
      <c r="AS89" s="98">
        <v>2419.2611856655976</v>
      </c>
      <c r="AT89" s="98">
        <v>2.3283362802547058</v>
      </c>
      <c r="AU89" s="98">
        <v>2472.6931296304974</v>
      </c>
      <c r="AV89" s="98">
        <v>2.322628756097548</v>
      </c>
      <c r="AW89" s="98">
        <v>2466.6317389755959</v>
      </c>
      <c r="AX89" s="98">
        <v>3.501376975780452</v>
      </c>
      <c r="AY89" s="98">
        <v>3718.4623482788402</v>
      </c>
      <c r="AZ89" s="98">
        <v>1.1470712357148702</v>
      </c>
      <c r="BA89" s="98">
        <v>1218.1896523291921</v>
      </c>
      <c r="BB89" s="98">
        <v>2.7251001266792705</v>
      </c>
      <c r="BC89" s="98">
        <v>2894.0563345333853</v>
      </c>
      <c r="BD89" s="98">
        <v>1.0175329288547552</v>
      </c>
      <c r="BE89" s="98">
        <v>1080.6199704437499</v>
      </c>
      <c r="BF89" s="98">
        <v>3.171677917310141</v>
      </c>
      <c r="BG89" s="98">
        <v>3368.3219481833698</v>
      </c>
      <c r="BH89" s="98">
        <v>1.9877229549687945</v>
      </c>
      <c r="BI89" s="98">
        <v>2110.9617781768598</v>
      </c>
      <c r="BJ89" s="98">
        <v>2.6032819319363272</v>
      </c>
      <c r="BK89" s="98">
        <v>2764.6854117163793</v>
      </c>
      <c r="BL89" s="98">
        <v>0.78428513420708312</v>
      </c>
      <c r="BM89" s="98">
        <v>832.9108125279223</v>
      </c>
      <c r="BN89" s="98">
        <v>2.0053133157055734</v>
      </c>
      <c r="BO89" s="98">
        <v>2129.6427412793191</v>
      </c>
      <c r="BP89" s="98">
        <v>3.0866694123793903</v>
      </c>
      <c r="BQ89" s="98">
        <v>3278.0429159469127</v>
      </c>
      <c r="BR89" s="98">
        <v>1.4521309197786352</v>
      </c>
      <c r="BS89" s="98">
        <v>1542.1630368049105</v>
      </c>
      <c r="BT89" s="98">
        <v>2.1696691807297803</v>
      </c>
      <c r="BU89" s="98">
        <v>2304.1886699350266</v>
      </c>
      <c r="BV89" s="98">
        <v>0.89371236238789664</v>
      </c>
      <c r="BW89" s="98">
        <v>949.12252885594626</v>
      </c>
      <c r="BX89" s="98">
        <v>2.6363218808742959</v>
      </c>
      <c r="BY89" s="98">
        <v>2799.7738374885021</v>
      </c>
      <c r="BZ89" s="98">
        <v>0.40828012130533337</v>
      </c>
      <c r="CA89" s="98">
        <v>433.59348882626404</v>
      </c>
      <c r="CB89" s="98">
        <v>1.5682915304534366</v>
      </c>
      <c r="CC89" s="98">
        <v>1665.5256053415496</v>
      </c>
      <c r="CD89" s="98">
        <v>3.729934806674482</v>
      </c>
      <c r="CE89" s="98">
        <v>3961.1907646882996</v>
      </c>
      <c r="CF89" s="98">
        <v>0.84435803810379573</v>
      </c>
      <c r="CG89" s="98">
        <v>896.70823646623103</v>
      </c>
      <c r="CH89" s="98">
        <v>2.4170126368367999</v>
      </c>
      <c r="CI89" s="98">
        <v>2566.8674203206815</v>
      </c>
      <c r="CJ89" s="98">
        <v>2.106452960919333</v>
      </c>
      <c r="CK89" s="98">
        <v>2237.0530444963315</v>
      </c>
      <c r="CL89" s="98">
        <v>2.5357904285483102</v>
      </c>
      <c r="CM89" s="98">
        <v>2693.0094351183052</v>
      </c>
      <c r="CN89" s="98">
        <v>1.2579392079746967</v>
      </c>
      <c r="CO89" s="98">
        <v>1335.931438869128</v>
      </c>
      <c r="CP89" s="98">
        <v>2.4340581299173092</v>
      </c>
      <c r="CQ89" s="98">
        <v>2584.9697339721824</v>
      </c>
      <c r="CR89" s="98">
        <v>0.78200560986553325</v>
      </c>
      <c r="CS89" s="98">
        <v>830.48995767719634</v>
      </c>
      <c r="CT89" s="98">
        <v>1.1308470743191545</v>
      </c>
      <c r="CU89" s="98">
        <v>1200.9595929269422</v>
      </c>
    </row>
    <row r="90" spans="2:99">
      <c r="C90" s="97" t="s">
        <v>257</v>
      </c>
      <c r="D90" s="98">
        <v>0</v>
      </c>
      <c r="E90" s="98">
        <v>0</v>
      </c>
      <c r="F90" s="98">
        <v>4.4283599359357888</v>
      </c>
      <c r="G90" s="98">
        <v>4910.1654969656029</v>
      </c>
      <c r="H90" s="98">
        <v>3.5742631877506352</v>
      </c>
      <c r="I90" s="98">
        <v>3963.143022577904</v>
      </c>
      <c r="J90" s="98">
        <v>1.6313908273937014</v>
      </c>
      <c r="K90" s="98">
        <v>1808.8861494141361</v>
      </c>
      <c r="L90" s="98">
        <v>2.5084750827788098</v>
      </c>
      <c r="M90" s="98">
        <v>2781.3971717851441</v>
      </c>
      <c r="N90" s="98">
        <v>1.2435163290671853</v>
      </c>
      <c r="O90" s="98">
        <v>1378.8109056696951</v>
      </c>
      <c r="P90" s="98">
        <v>1.5590058252467121</v>
      </c>
      <c r="Q90" s="98">
        <v>1728.6256590335543</v>
      </c>
      <c r="R90" s="98">
        <v>0.86815856778522238</v>
      </c>
      <c r="S90" s="98">
        <v>962.61421996025456</v>
      </c>
      <c r="T90" s="98">
        <v>1.3410339654057559</v>
      </c>
      <c r="U90" s="98">
        <v>1486.938460841902</v>
      </c>
      <c r="V90" s="98">
        <v>2.3549507202099971</v>
      </c>
      <c r="W90" s="98">
        <v>2611.1693585688445</v>
      </c>
      <c r="X90" s="98">
        <v>2.7255986581172666</v>
      </c>
      <c r="Y90" s="98">
        <v>3022.1437921204251</v>
      </c>
      <c r="Z90" s="98">
        <v>1.5128947420807102</v>
      </c>
      <c r="AA90" s="98">
        <v>1677.4976900190914</v>
      </c>
      <c r="AB90" s="98">
        <v>0.84796640578800009</v>
      </c>
      <c r="AC90" s="98">
        <v>940.22515073773445</v>
      </c>
      <c r="AD90" s="98">
        <v>2.1356713495932134</v>
      </c>
      <c r="AE90" s="98">
        <v>2368.0323924289551</v>
      </c>
      <c r="AF90" s="98">
        <v>1.5791036280660415</v>
      </c>
      <c r="AG90" s="98">
        <v>1750.9101027996269</v>
      </c>
      <c r="AH90" s="98">
        <v>2.7094962987285518</v>
      </c>
      <c r="AI90" s="98">
        <v>3004.2894960302183</v>
      </c>
      <c r="AJ90" s="98">
        <v>1.4754499572762629</v>
      </c>
      <c r="AK90" s="98">
        <v>1635.9789126279202</v>
      </c>
      <c r="AL90" s="98">
        <v>0.60356876896010514</v>
      </c>
      <c r="AM90" s="98">
        <v>669.23705102296458</v>
      </c>
      <c r="AN90" s="98">
        <v>1.9743940213145112</v>
      </c>
      <c r="AO90" s="98">
        <v>2189.2080908335302</v>
      </c>
      <c r="AP90" s="98">
        <v>0.7445190736795444</v>
      </c>
      <c r="AQ90" s="98">
        <v>825.52274889587875</v>
      </c>
      <c r="AR90" s="98">
        <v>1.8638375852585498</v>
      </c>
      <c r="AS90" s="98">
        <v>2066.6231145346801</v>
      </c>
      <c r="AT90" s="98">
        <v>2.1620265459507984</v>
      </c>
      <c r="AU90" s="98">
        <v>2397.2550341502451</v>
      </c>
      <c r="AV90" s="98">
        <v>2.1567267020905803</v>
      </c>
      <c r="AW90" s="98">
        <v>2391.3785672780355</v>
      </c>
      <c r="AX90" s="98">
        <v>3.501376975780452</v>
      </c>
      <c r="AY90" s="98">
        <v>3882.3267907453651</v>
      </c>
      <c r="AZ90" s="98">
        <v>1.2617783592863574</v>
      </c>
      <c r="BA90" s="98">
        <v>1399.0598447767131</v>
      </c>
      <c r="BB90" s="98">
        <v>2.7251001266792705</v>
      </c>
      <c r="BC90" s="98">
        <v>3021.5910204619749</v>
      </c>
      <c r="BD90" s="98">
        <v>1.2436513574891452</v>
      </c>
      <c r="BE90" s="98">
        <v>1378.9606251839641</v>
      </c>
      <c r="BF90" s="98">
        <v>3.171677917310141</v>
      </c>
      <c r="BG90" s="98">
        <v>3516.7564747134843</v>
      </c>
      <c r="BH90" s="98">
        <v>1.8220793753880615</v>
      </c>
      <c r="BI90" s="98">
        <v>2020.3216114302825</v>
      </c>
      <c r="BJ90" s="98">
        <v>2.256177674344817</v>
      </c>
      <c r="BK90" s="98">
        <v>2501.6498053135329</v>
      </c>
      <c r="BL90" s="98">
        <v>0.78428513420708312</v>
      </c>
      <c r="BM90" s="98">
        <v>869.61535680881377</v>
      </c>
      <c r="BN90" s="98">
        <v>2.0053133157055734</v>
      </c>
      <c r="BO90" s="98">
        <v>2223.4914044543398</v>
      </c>
      <c r="BP90" s="98">
        <v>2.778002471141451</v>
      </c>
      <c r="BQ90" s="98">
        <v>3080.2491400016406</v>
      </c>
      <c r="BR90" s="98">
        <v>1.4521309197786352</v>
      </c>
      <c r="BS90" s="98">
        <v>1610.1227638505507</v>
      </c>
      <c r="BT90" s="98">
        <v>2.1696691807297803</v>
      </c>
      <c r="BU90" s="98">
        <v>2405.7291875931805</v>
      </c>
      <c r="BV90" s="98">
        <v>0.89371236238789664</v>
      </c>
      <c r="BW90" s="98">
        <v>990.94826741569977</v>
      </c>
      <c r="BX90" s="98">
        <v>2.4335278900378117</v>
      </c>
      <c r="BY90" s="98">
        <v>2698.2957244739255</v>
      </c>
      <c r="BZ90" s="98">
        <v>0.40828012130533337</v>
      </c>
      <c r="CA90" s="98">
        <v>452.70099850335362</v>
      </c>
      <c r="CB90" s="98">
        <v>1.5682915304534366</v>
      </c>
      <c r="CC90" s="98">
        <v>1738.9216489667704</v>
      </c>
      <c r="CD90" s="98">
        <v>3.729934806674482</v>
      </c>
      <c r="CE90" s="98">
        <v>4135.751713640665</v>
      </c>
      <c r="CF90" s="98">
        <v>0.84435803810379573</v>
      </c>
      <c r="CG90" s="98">
        <v>936.22419264948871</v>
      </c>
      <c r="CH90" s="98">
        <v>2.244368877062743</v>
      </c>
      <c r="CI90" s="98">
        <v>2488.5562108871695</v>
      </c>
      <c r="CJ90" s="98">
        <v>2.2819907076626111</v>
      </c>
      <c r="CK90" s="98">
        <v>2530.2712966563031</v>
      </c>
      <c r="CL90" s="98">
        <v>2.5357904285483102</v>
      </c>
      <c r="CM90" s="98">
        <v>2811.6844271743662</v>
      </c>
      <c r="CN90" s="98">
        <v>1.2579392079746967</v>
      </c>
      <c r="CO90" s="98">
        <v>1394.8029938023437</v>
      </c>
      <c r="CP90" s="98">
        <v>2.2312199524241998</v>
      </c>
      <c r="CQ90" s="98">
        <v>2473.9766832479527</v>
      </c>
      <c r="CR90" s="98">
        <v>0.78200560986553325</v>
      </c>
      <c r="CS90" s="98">
        <v>867.08782021890318</v>
      </c>
      <c r="CT90" s="98">
        <v>1.0554572693645443</v>
      </c>
      <c r="CU90" s="98">
        <v>1170.2910202714068</v>
      </c>
    </row>
    <row r="91" spans="2:99">
      <c r="C91" s="97" t="s">
        <v>258</v>
      </c>
      <c r="D91" s="98">
        <v>0</v>
      </c>
      <c r="E91" s="98">
        <v>0</v>
      </c>
      <c r="F91" s="98">
        <v>4.4283599359357888</v>
      </c>
      <c r="G91" s="98">
        <v>5032.3882311974294</v>
      </c>
      <c r="H91" s="98">
        <v>3.5742631877506352</v>
      </c>
      <c r="I91" s="98">
        <v>4061.7926865598215</v>
      </c>
      <c r="J91" s="98">
        <v>1.4274669739694887</v>
      </c>
      <c r="K91" s="98">
        <v>1622.1734692189268</v>
      </c>
      <c r="L91" s="98">
        <v>2.1740117384083022</v>
      </c>
      <c r="M91" s="98">
        <v>2470.5469395271944</v>
      </c>
      <c r="N91" s="98">
        <v>1.2435163290671853</v>
      </c>
      <c r="O91" s="98">
        <v>1413.1319563519492</v>
      </c>
      <c r="P91" s="98">
        <v>1.3857829557748551</v>
      </c>
      <c r="Q91" s="98">
        <v>1574.8037509425451</v>
      </c>
      <c r="R91" s="98">
        <v>0.78923506162292945</v>
      </c>
      <c r="S91" s="98">
        <v>896.88672402829695</v>
      </c>
      <c r="T91" s="98">
        <v>1.3410339654057559</v>
      </c>
      <c r="U91" s="98">
        <v>1523.9509982871009</v>
      </c>
      <c r="V91" s="98">
        <v>1.9926506094084591</v>
      </c>
      <c r="W91" s="98">
        <v>2264.4481525317724</v>
      </c>
      <c r="X91" s="98">
        <v>2.7255986581172666</v>
      </c>
      <c r="Y91" s="98">
        <v>3097.3703150844613</v>
      </c>
      <c r="Z91" s="98">
        <v>1.7290225623779545</v>
      </c>
      <c r="AA91" s="98">
        <v>1964.8612398863072</v>
      </c>
      <c r="AB91" s="98">
        <v>0.7631697652092001</v>
      </c>
      <c r="AC91" s="98">
        <v>867.26612118373487</v>
      </c>
      <c r="AD91" s="98">
        <v>2.1356713495932134</v>
      </c>
      <c r="AE91" s="98">
        <v>2426.9769216777272</v>
      </c>
      <c r="AF91" s="98">
        <v>1.5791036280660415</v>
      </c>
      <c r="AG91" s="98">
        <v>1794.4933629342495</v>
      </c>
      <c r="AH91" s="98">
        <v>2.7094962987285518</v>
      </c>
      <c r="AI91" s="98">
        <v>3079.0715938751259</v>
      </c>
      <c r="AJ91" s="98">
        <v>1.7213582834889734</v>
      </c>
      <c r="AK91" s="98">
        <v>1956.151553356869</v>
      </c>
      <c r="AL91" s="98">
        <v>0.68979287881154872</v>
      </c>
      <c r="AM91" s="98">
        <v>783.88062748144387</v>
      </c>
      <c r="AN91" s="98">
        <v>1.9743940213145112</v>
      </c>
      <c r="AO91" s="98">
        <v>2243.7013658218102</v>
      </c>
      <c r="AP91" s="98">
        <v>0.7445190736795444</v>
      </c>
      <c r="AQ91" s="98">
        <v>846.07147532943418</v>
      </c>
      <c r="AR91" s="98">
        <v>1.8638375852585498</v>
      </c>
      <c r="AS91" s="98">
        <v>2118.0650318878156</v>
      </c>
      <c r="AT91" s="98">
        <v>1.9957168116468906</v>
      </c>
      <c r="AU91" s="98">
        <v>2267.932584755526</v>
      </c>
      <c r="AV91" s="98">
        <v>2.4885308101045158</v>
      </c>
      <c r="AW91" s="98">
        <v>2827.9664126027715</v>
      </c>
      <c r="AX91" s="98">
        <v>3.501376975780452</v>
      </c>
      <c r="AY91" s="98">
        <v>3978.9647952769051</v>
      </c>
      <c r="AZ91" s="98">
        <v>1.1470712357148702</v>
      </c>
      <c r="BA91" s="98">
        <v>1303.5317522663784</v>
      </c>
      <c r="BB91" s="98">
        <v>2.7251001266792705</v>
      </c>
      <c r="BC91" s="98">
        <v>3096.8037839583226</v>
      </c>
      <c r="BD91" s="98">
        <v>1.0175329288547552</v>
      </c>
      <c r="BE91" s="98">
        <v>1156.3244203505437</v>
      </c>
      <c r="BF91" s="98">
        <v>2.8833435611910372</v>
      </c>
      <c r="BG91" s="98">
        <v>3276.6316229374943</v>
      </c>
      <c r="BH91" s="98">
        <v>1.6564357958073286</v>
      </c>
      <c r="BI91" s="98">
        <v>1882.3736383554481</v>
      </c>
      <c r="BJ91" s="98">
        <v>2.4297298031405723</v>
      </c>
      <c r="BK91" s="98">
        <v>2761.1449482889461</v>
      </c>
      <c r="BL91" s="98">
        <v>0.87142792689675896</v>
      </c>
      <c r="BM91" s="98">
        <v>990.29069612547676</v>
      </c>
      <c r="BN91" s="98">
        <v>1.7825007250716207</v>
      </c>
      <c r="BO91" s="98">
        <v>2025.6338239713896</v>
      </c>
      <c r="BP91" s="98">
        <v>3.3953363536173291</v>
      </c>
      <c r="BQ91" s="98">
        <v>3858.4602322507321</v>
      </c>
      <c r="BR91" s="98">
        <v>1.6336472847509644</v>
      </c>
      <c r="BS91" s="98">
        <v>1856.4767743909958</v>
      </c>
      <c r="BT91" s="98">
        <v>2.366911833523397</v>
      </c>
      <c r="BU91" s="98">
        <v>2689.7586076159878</v>
      </c>
      <c r="BV91" s="98">
        <v>0.82496525758882766</v>
      </c>
      <c r="BW91" s="98">
        <v>937.49051872394364</v>
      </c>
      <c r="BX91" s="98">
        <v>2.6363218808742959</v>
      </c>
      <c r="BY91" s="98">
        <v>2995.9161854255494</v>
      </c>
      <c r="BZ91" s="98">
        <v>0.40828012130533337</v>
      </c>
      <c r="CA91" s="98">
        <v>463.9695298513808</v>
      </c>
      <c r="CB91" s="98">
        <v>1.7108634877673852</v>
      </c>
      <c r="CC91" s="98">
        <v>1944.2252674988563</v>
      </c>
      <c r="CD91" s="98">
        <v>3.729934806674482</v>
      </c>
      <c r="CE91" s="98">
        <v>4238.6979143048811</v>
      </c>
      <c r="CF91" s="98">
        <v>0.84435803810379573</v>
      </c>
      <c r="CG91" s="98">
        <v>959.52847450115337</v>
      </c>
      <c r="CH91" s="98">
        <v>2.244368877062743</v>
      </c>
      <c r="CI91" s="98">
        <v>2550.500791894101</v>
      </c>
      <c r="CJ91" s="98">
        <v>2.4575284544058889</v>
      </c>
      <c r="CK91" s="98">
        <v>2792.7353355868518</v>
      </c>
      <c r="CL91" s="98">
        <v>2.8175449206092331</v>
      </c>
      <c r="CM91" s="98">
        <v>3201.8580477803321</v>
      </c>
      <c r="CN91" s="98">
        <v>1.2579392079746967</v>
      </c>
      <c r="CO91" s="98">
        <v>1429.5221159424452</v>
      </c>
      <c r="CP91" s="98">
        <v>2.2312199524241998</v>
      </c>
      <c r="CQ91" s="98">
        <v>2535.5583539348604</v>
      </c>
      <c r="CR91" s="98">
        <v>0.78200560986553325</v>
      </c>
      <c r="CS91" s="98">
        <v>888.67117505119188</v>
      </c>
      <c r="CT91" s="98">
        <v>1.206236879273765</v>
      </c>
      <c r="CU91" s="98">
        <v>1370.7675896067065</v>
      </c>
    </row>
    <row r="92" spans="2:99">
      <c r="C92" s="97" t="s">
        <v>259</v>
      </c>
      <c r="D92" s="98">
        <v>0</v>
      </c>
      <c r="E92" s="98">
        <v>0</v>
      </c>
      <c r="F92" s="98">
        <v>4.4283599359357888</v>
      </c>
      <c r="G92" s="98">
        <v>3475.3768777224068</v>
      </c>
      <c r="H92" s="98">
        <v>3.5742631877506352</v>
      </c>
      <c r="I92" s="98">
        <v>2805.0817497466983</v>
      </c>
      <c r="J92" s="98">
        <v>1.4274669739694887</v>
      </c>
      <c r="K92" s="98">
        <v>1120.2760811712546</v>
      </c>
      <c r="L92" s="98">
        <v>2.1740117384083022</v>
      </c>
      <c r="M92" s="98">
        <v>1706.1644123028354</v>
      </c>
      <c r="N92" s="98">
        <v>1.2435163290671853</v>
      </c>
      <c r="O92" s="98">
        <v>975.91161505192701</v>
      </c>
      <c r="P92" s="98">
        <v>1.5590058252467121</v>
      </c>
      <c r="Q92" s="98">
        <v>1223.5077716536196</v>
      </c>
      <c r="R92" s="98">
        <v>0.86815856778522238</v>
      </c>
      <c r="S92" s="98">
        <v>681.33084399784252</v>
      </c>
      <c r="T92" s="98">
        <v>1.4900377393397286</v>
      </c>
      <c r="U92" s="98">
        <v>1169.3816178338188</v>
      </c>
      <c r="V92" s="98">
        <v>2.5361007756107661</v>
      </c>
      <c r="W92" s="98">
        <v>1990.3318886993291</v>
      </c>
      <c r="X92" s="98">
        <v>2.9733803543097457</v>
      </c>
      <c r="Y92" s="98">
        <v>2333.5089020622881</v>
      </c>
      <c r="Z92" s="98">
        <v>1.7290225623779545</v>
      </c>
      <c r="AA92" s="98">
        <v>1356.9369069542186</v>
      </c>
      <c r="AB92" s="98">
        <v>0.7631697652092001</v>
      </c>
      <c r="AC92" s="98">
        <v>598.9356317361802</v>
      </c>
      <c r="AD92" s="98">
        <v>2.1356713495932134</v>
      </c>
      <c r="AE92" s="98">
        <v>1676.0748751607537</v>
      </c>
      <c r="AF92" s="98">
        <v>1.7226585033447726</v>
      </c>
      <c r="AG92" s="98">
        <v>1351.9423934249774</v>
      </c>
      <c r="AH92" s="98">
        <v>2.9352876569559312</v>
      </c>
      <c r="AI92" s="98">
        <v>2303.6137531790146</v>
      </c>
      <c r="AJ92" s="98">
        <v>1.4754499572762629</v>
      </c>
      <c r="AK92" s="98">
        <v>1157.933126470411</v>
      </c>
      <c r="AL92" s="98">
        <v>0.68979287881154872</v>
      </c>
      <c r="AM92" s="98">
        <v>541.34945129130335</v>
      </c>
      <c r="AN92" s="98">
        <v>1.755016907835121</v>
      </c>
      <c r="AO92" s="98">
        <v>1377.3372692690029</v>
      </c>
      <c r="AP92" s="98">
        <v>0.7445190736795444</v>
      </c>
      <c r="AQ92" s="98">
        <v>584.29856902370636</v>
      </c>
      <c r="AR92" s="98">
        <v>2.0709306502872775</v>
      </c>
      <c r="AS92" s="98">
        <v>1625.2663743454552</v>
      </c>
      <c r="AT92" s="98">
        <v>2.3283362802547058</v>
      </c>
      <c r="AU92" s="98">
        <v>1827.2783127438931</v>
      </c>
      <c r="AV92" s="98">
        <v>2.4885308101045158</v>
      </c>
      <c r="AW92" s="98">
        <v>1952.9989797700239</v>
      </c>
      <c r="AX92" s="98">
        <v>3.2512786203675623</v>
      </c>
      <c r="AY92" s="98">
        <v>2551.6034612644626</v>
      </c>
      <c r="AZ92" s="98">
        <v>1.2617783592863574</v>
      </c>
      <c r="BA92" s="98">
        <v>990.24365636793323</v>
      </c>
      <c r="BB92" s="98">
        <v>2.7251001266792705</v>
      </c>
      <c r="BC92" s="98">
        <v>2138.6585794178914</v>
      </c>
      <c r="BD92" s="98">
        <v>1.1305921431719501</v>
      </c>
      <c r="BE92" s="98">
        <v>887.28871396134639</v>
      </c>
      <c r="BF92" s="98">
        <v>2.8833435611910372</v>
      </c>
      <c r="BG92" s="98">
        <v>2262.8480268227258</v>
      </c>
      <c r="BH92" s="98">
        <v>1.9877229549687945</v>
      </c>
      <c r="BI92" s="98">
        <v>1559.9649750595099</v>
      </c>
      <c r="BJ92" s="98">
        <v>2.6032819319363272</v>
      </c>
      <c r="BK92" s="98">
        <v>2043.0556601836295</v>
      </c>
      <c r="BL92" s="98">
        <v>0.95857071958643481</v>
      </c>
      <c r="BM92" s="98">
        <v>752.28630073143404</v>
      </c>
      <c r="BN92" s="98">
        <v>2.228125906339526</v>
      </c>
      <c r="BO92" s="98">
        <v>1748.6332112952598</v>
      </c>
      <c r="BP92" s="98">
        <v>2.778002471141451</v>
      </c>
      <c r="BQ92" s="98">
        <v>2180.1763393518108</v>
      </c>
      <c r="BR92" s="98">
        <v>1.6336472847509644</v>
      </c>
      <c r="BS92" s="98">
        <v>1282.0863890725568</v>
      </c>
      <c r="BT92" s="98">
        <v>2.366911833523397</v>
      </c>
      <c r="BU92" s="98">
        <v>1857.5524069491619</v>
      </c>
      <c r="BV92" s="98">
        <v>0.89371236238789664</v>
      </c>
      <c r="BW92" s="98">
        <v>701.3854620020212</v>
      </c>
      <c r="BX92" s="98">
        <v>2.6363218808742959</v>
      </c>
      <c r="BY92" s="98">
        <v>2068.9854121101471</v>
      </c>
      <c r="BZ92" s="98">
        <v>0.40828012130533337</v>
      </c>
      <c r="CA92" s="98">
        <v>320.4182392004256</v>
      </c>
      <c r="CB92" s="98">
        <v>1.5682915304534366</v>
      </c>
      <c r="CC92" s="98">
        <v>1230.795193099857</v>
      </c>
      <c r="CD92" s="98">
        <v>3.729934806674482</v>
      </c>
      <c r="CE92" s="98">
        <v>2927.2528362781331</v>
      </c>
      <c r="CF92" s="98">
        <v>0.84435803810379573</v>
      </c>
      <c r="CG92" s="98">
        <v>662.65218830385879</v>
      </c>
      <c r="CH92" s="98">
        <v>2.244368877062743</v>
      </c>
      <c r="CI92" s="98">
        <v>1761.3806947188407</v>
      </c>
      <c r="CJ92" s="98">
        <v>2.106452960919333</v>
      </c>
      <c r="CK92" s="98">
        <v>1653.1442837294924</v>
      </c>
      <c r="CL92" s="98">
        <v>2.5357904285483102</v>
      </c>
      <c r="CM92" s="98">
        <v>1990.0883283247138</v>
      </c>
      <c r="CN92" s="98">
        <v>1.4151816089715337</v>
      </c>
      <c r="CO92" s="98">
        <v>1110.6345267208596</v>
      </c>
      <c r="CP92" s="98">
        <v>2.2312199524241998</v>
      </c>
      <c r="CQ92" s="98">
        <v>1751.0614186625119</v>
      </c>
      <c r="CR92" s="98">
        <v>0.87975631109872499</v>
      </c>
      <c r="CS92" s="98">
        <v>690.43275295027934</v>
      </c>
      <c r="CT92" s="98">
        <v>1.2816266842283752</v>
      </c>
      <c r="CU92" s="98">
        <v>1005.8206217824288</v>
      </c>
    </row>
    <row r="93" spans="2:99">
      <c r="C93" s="97" t="s">
        <v>260</v>
      </c>
      <c r="D93" s="98">
        <v>0</v>
      </c>
      <c r="E93" s="98">
        <v>0</v>
      </c>
      <c r="F93" s="98">
        <v>4.4283599359357888</v>
      </c>
      <c r="G93" s="98">
        <v>3071.5104515650632</v>
      </c>
      <c r="H93" s="98">
        <v>3.2168368689755722</v>
      </c>
      <c r="I93" s="98">
        <v>2231.198052321457</v>
      </c>
      <c r="J93" s="98">
        <v>1.4274669739694887</v>
      </c>
      <c r="K93" s="98">
        <v>990.09109314523744</v>
      </c>
      <c r="L93" s="98">
        <v>2.341243410593556</v>
      </c>
      <c r="M93" s="98">
        <v>1623.8864295876906</v>
      </c>
      <c r="N93" s="98">
        <v>1.4211615189339264</v>
      </c>
      <c r="O93" s="98">
        <v>985.71762953257132</v>
      </c>
      <c r="P93" s="98">
        <v>1.5590058252467121</v>
      </c>
      <c r="Q93" s="98">
        <v>1081.3264403911196</v>
      </c>
      <c r="R93" s="98">
        <v>0.86815856778522238</v>
      </c>
      <c r="S93" s="98">
        <v>602.1547826158303</v>
      </c>
      <c r="T93" s="98">
        <v>1.3410339654057559</v>
      </c>
      <c r="U93" s="98">
        <v>930.14115840543229</v>
      </c>
      <c r="V93" s="98">
        <v>2.3549507202099971</v>
      </c>
      <c r="W93" s="98">
        <v>1633.3938195376541</v>
      </c>
      <c r="X93" s="98">
        <v>2.9733803543097457</v>
      </c>
      <c r="Y93" s="98">
        <v>2062.3366137492399</v>
      </c>
      <c r="Z93" s="98">
        <v>1.7290225623779545</v>
      </c>
      <c r="AA93" s="98">
        <v>1199.2500492653492</v>
      </c>
      <c r="AB93" s="98">
        <v>0.93276304636680019</v>
      </c>
      <c r="AC93" s="98">
        <v>646.96444896001265</v>
      </c>
      <c r="AD93" s="98">
        <v>2.1356713495932134</v>
      </c>
      <c r="AE93" s="98">
        <v>1481.3016480778529</v>
      </c>
      <c r="AF93" s="98">
        <v>1.5791036280660415</v>
      </c>
      <c r="AG93" s="98">
        <v>1095.2662764266065</v>
      </c>
      <c r="AH93" s="98">
        <v>3.1610790151833106</v>
      </c>
      <c r="AI93" s="98">
        <v>2192.5244049311441</v>
      </c>
      <c r="AJ93" s="98">
        <v>1.7213582834889734</v>
      </c>
      <c r="AK93" s="98">
        <v>1193.9341054279519</v>
      </c>
      <c r="AL93" s="98">
        <v>0.60356876896010514</v>
      </c>
      <c r="AM93" s="98">
        <v>418.63529815072894</v>
      </c>
      <c r="AN93" s="98">
        <v>1.755016907835121</v>
      </c>
      <c r="AO93" s="98">
        <v>1217.2797272744399</v>
      </c>
      <c r="AP93" s="98">
        <v>0.7445190736795444</v>
      </c>
      <c r="AQ93" s="98">
        <v>516.39842950413197</v>
      </c>
      <c r="AR93" s="98">
        <v>1.8638375852585498</v>
      </c>
      <c r="AS93" s="98">
        <v>1292.7577491353302</v>
      </c>
      <c r="AT93" s="98">
        <v>2.1620265459507984</v>
      </c>
      <c r="AU93" s="98">
        <v>1499.5816122714739</v>
      </c>
      <c r="AV93" s="98">
        <v>2.322628756097548</v>
      </c>
      <c r="AW93" s="98">
        <v>1610.9753052292594</v>
      </c>
      <c r="AX93" s="98">
        <v>3.501376975780452</v>
      </c>
      <c r="AY93" s="98">
        <v>2428.5550704013217</v>
      </c>
      <c r="AZ93" s="98">
        <v>1.2617783592863574</v>
      </c>
      <c r="BA93" s="98">
        <v>875.16947000101754</v>
      </c>
      <c r="BB93" s="98">
        <v>2.9347232133469063</v>
      </c>
      <c r="BC93" s="98">
        <v>2035.5240207774143</v>
      </c>
      <c r="BD93" s="98">
        <v>1.1305921431719501</v>
      </c>
      <c r="BE93" s="98">
        <v>784.17871050406461</v>
      </c>
      <c r="BF93" s="98">
        <v>2.8833435611910372</v>
      </c>
      <c r="BG93" s="98">
        <v>1999.8870940421034</v>
      </c>
      <c r="BH93" s="98">
        <v>2.1533665345495274</v>
      </c>
      <c r="BI93" s="98">
        <v>1493.5750283635523</v>
      </c>
      <c r="BJ93" s="98">
        <v>2.6032819319363272</v>
      </c>
      <c r="BK93" s="98">
        <v>1805.6363479910367</v>
      </c>
      <c r="BL93" s="98">
        <v>0.87142792689675896</v>
      </c>
      <c r="BM93" s="98">
        <v>604.422410095592</v>
      </c>
      <c r="BN93" s="98">
        <v>2.0053133157055734</v>
      </c>
      <c r="BO93" s="98">
        <v>1390.8853157733856</v>
      </c>
      <c r="BP93" s="98">
        <v>3.0866694123793903</v>
      </c>
      <c r="BQ93" s="98">
        <v>2140.9139044263452</v>
      </c>
      <c r="BR93" s="98">
        <v>1.6336472847509644</v>
      </c>
      <c r="BS93" s="98">
        <v>1133.0977567032689</v>
      </c>
      <c r="BT93" s="98">
        <v>2.366911833523397</v>
      </c>
      <c r="BU93" s="98">
        <v>1641.6900477318281</v>
      </c>
      <c r="BV93" s="98">
        <v>0.89371236238789664</v>
      </c>
      <c r="BW93" s="98">
        <v>619.87889455224513</v>
      </c>
      <c r="BX93" s="98">
        <v>2.4335278900378117</v>
      </c>
      <c r="BY93" s="98">
        <v>1687.8949445302262</v>
      </c>
      <c r="BZ93" s="98">
        <v>0.36745210917480003</v>
      </c>
      <c r="CA93" s="98">
        <v>254.86478292364131</v>
      </c>
      <c r="CB93" s="98">
        <v>1.5682915304534366</v>
      </c>
      <c r="CC93" s="98">
        <v>1087.7670055225037</v>
      </c>
      <c r="CD93" s="98">
        <v>3.729934806674482</v>
      </c>
      <c r="CE93" s="98">
        <v>2587.0827819094206</v>
      </c>
      <c r="CF93" s="98">
        <v>0.98508437778776181</v>
      </c>
      <c r="CG93" s="98">
        <v>683.25452443359165</v>
      </c>
      <c r="CH93" s="98">
        <v>2.5896563966108572</v>
      </c>
      <c r="CI93" s="98">
        <v>1796.1856766892906</v>
      </c>
      <c r="CJ93" s="98">
        <v>2.2819907076626111</v>
      </c>
      <c r="CK93" s="98">
        <v>1582.7887548347871</v>
      </c>
      <c r="CL93" s="98">
        <v>2.8175449206092331</v>
      </c>
      <c r="CM93" s="98">
        <v>1954.2491569345641</v>
      </c>
      <c r="CN93" s="98">
        <v>1.2579392079746967</v>
      </c>
      <c r="CO93" s="98">
        <v>872.50663465124967</v>
      </c>
      <c r="CP93" s="98">
        <v>2.2312199524241998</v>
      </c>
      <c r="CQ93" s="98">
        <v>1547.574159001425</v>
      </c>
      <c r="CR93" s="98">
        <v>0.87975631109872499</v>
      </c>
      <c r="CS93" s="98">
        <v>610.19897737807571</v>
      </c>
      <c r="CT93" s="98">
        <v>1.206236879273765</v>
      </c>
      <c r="CU93" s="98">
        <v>836.64589946428339</v>
      </c>
    </row>
    <row r="94" spans="2:99">
      <c r="C94" s="97" t="s">
        <v>261</v>
      </c>
      <c r="D94" s="98">
        <v>0</v>
      </c>
      <c r="E94" s="98">
        <v>0</v>
      </c>
      <c r="F94" s="98">
        <v>4.4283599359357888</v>
      </c>
      <c r="G94" s="98">
        <v>5282.1477315842085</v>
      </c>
      <c r="H94" s="98">
        <v>3.2168368689755722</v>
      </c>
      <c r="I94" s="98">
        <v>3837.0430173140626</v>
      </c>
      <c r="J94" s="98">
        <v>1.6313908273937014</v>
      </c>
      <c r="K94" s="98">
        <v>1945.9229789152071</v>
      </c>
      <c r="L94" s="98">
        <v>2.341243410593556</v>
      </c>
      <c r="M94" s="98">
        <v>2792.6351401559937</v>
      </c>
      <c r="N94" s="98">
        <v>1.4211615189339264</v>
      </c>
      <c r="O94" s="98">
        <v>1695.1614597843873</v>
      </c>
      <c r="P94" s="98">
        <v>1.5590058252467121</v>
      </c>
      <c r="Q94" s="98">
        <v>1859.5821483542782</v>
      </c>
      <c r="R94" s="98">
        <v>0.86815856778522238</v>
      </c>
      <c r="S94" s="98">
        <v>1035.5395396542133</v>
      </c>
      <c r="T94" s="98">
        <v>1.3410339654057559</v>
      </c>
      <c r="U94" s="98">
        <v>1599.5853139359856</v>
      </c>
      <c r="V94" s="98">
        <v>2.5361007756107661</v>
      </c>
      <c r="W94" s="98">
        <v>3025.0610051485219</v>
      </c>
      <c r="X94" s="98">
        <v>2.4778169619247881</v>
      </c>
      <c r="Y94" s="98">
        <v>2955.5400721838869</v>
      </c>
      <c r="Z94" s="98">
        <v>1.5128947420807102</v>
      </c>
      <c r="AA94" s="98">
        <v>1804.580848353871</v>
      </c>
      <c r="AB94" s="98">
        <v>0.84796640578800009</v>
      </c>
      <c r="AC94" s="98">
        <v>1011.4543288239265</v>
      </c>
      <c r="AD94" s="98">
        <v>1.922104214633892</v>
      </c>
      <c r="AE94" s="98">
        <v>2292.6859072153065</v>
      </c>
      <c r="AF94" s="98">
        <v>1.5791036280660415</v>
      </c>
      <c r="AG94" s="98">
        <v>1883.5548075571742</v>
      </c>
      <c r="AH94" s="98">
        <v>2.7094962987285518</v>
      </c>
      <c r="AI94" s="98">
        <v>3231.8871851234167</v>
      </c>
      <c r="AJ94" s="98">
        <v>1.7213582834889734</v>
      </c>
      <c r="AK94" s="98">
        <v>2053.2361605456472</v>
      </c>
      <c r="AL94" s="98">
        <v>0.60356876896010514</v>
      </c>
      <c r="AM94" s="98">
        <v>719.93682761561342</v>
      </c>
      <c r="AN94" s="98">
        <v>1.755016907835121</v>
      </c>
      <c r="AO94" s="98">
        <v>2093.3841676657321</v>
      </c>
      <c r="AP94" s="98">
        <v>0.7445190736795444</v>
      </c>
      <c r="AQ94" s="98">
        <v>888.06235108496048</v>
      </c>
      <c r="AR94" s="98">
        <v>2.0709306502872775</v>
      </c>
      <c r="AS94" s="98">
        <v>2470.2060796626647</v>
      </c>
      <c r="AT94" s="98">
        <v>2.1620265459507984</v>
      </c>
      <c r="AU94" s="98">
        <v>2578.8652640101122</v>
      </c>
      <c r="AV94" s="98">
        <v>2.1567267020905803</v>
      </c>
      <c r="AW94" s="98">
        <v>2572.5436102536441</v>
      </c>
      <c r="AX94" s="98">
        <v>3.501376975780452</v>
      </c>
      <c r="AY94" s="98">
        <v>4176.4424567109227</v>
      </c>
      <c r="AZ94" s="98">
        <v>1.2617783592863574</v>
      </c>
      <c r="BA94" s="98">
        <v>1505.0492269567671</v>
      </c>
      <c r="BB94" s="98">
        <v>2.7251001266792705</v>
      </c>
      <c r="BC94" s="98">
        <v>3250.4994311030337</v>
      </c>
      <c r="BD94" s="98">
        <v>1.1305921431719501</v>
      </c>
      <c r="BE94" s="98">
        <v>1348.570308375502</v>
      </c>
      <c r="BF94" s="98">
        <v>3.171677917310141</v>
      </c>
      <c r="BG94" s="98">
        <v>3783.1774197675359</v>
      </c>
      <c r="BH94" s="98">
        <v>1.9877229549687945</v>
      </c>
      <c r="BI94" s="98">
        <v>2370.9559406867779</v>
      </c>
      <c r="BJ94" s="98">
        <v>2.256177674344817</v>
      </c>
      <c r="BK94" s="98">
        <v>2691.1687299584978</v>
      </c>
      <c r="BL94" s="98">
        <v>0.87142792689675896</v>
      </c>
      <c r="BM94" s="98">
        <v>1039.439231202454</v>
      </c>
      <c r="BN94" s="98">
        <v>1.7825007250716207</v>
      </c>
      <c r="BO94" s="98">
        <v>2126.166864865429</v>
      </c>
      <c r="BP94" s="98">
        <v>2.778002471141451</v>
      </c>
      <c r="BQ94" s="98">
        <v>3313.6013475775226</v>
      </c>
      <c r="BR94" s="98">
        <v>1.4521309197786352</v>
      </c>
      <c r="BS94" s="98">
        <v>1732.101761111956</v>
      </c>
      <c r="BT94" s="98">
        <v>2.366911833523397</v>
      </c>
      <c r="BU94" s="98">
        <v>2823.2524350267076</v>
      </c>
      <c r="BV94" s="98">
        <v>0.96245946718696551</v>
      </c>
      <c r="BW94" s="98">
        <v>1148.0216524606124</v>
      </c>
      <c r="BX94" s="98">
        <v>2.4335278900378117</v>
      </c>
      <c r="BY94" s="98">
        <v>2902.7120672371016</v>
      </c>
      <c r="BZ94" s="98">
        <v>0.36745210917480003</v>
      </c>
      <c r="CA94" s="98">
        <v>438.29687582370144</v>
      </c>
      <c r="CB94" s="98">
        <v>1.7108634877673852</v>
      </c>
      <c r="CC94" s="98">
        <v>2040.717968208937</v>
      </c>
      <c r="CD94" s="98">
        <v>3.729934806674482</v>
      </c>
      <c r="CE94" s="98">
        <v>4449.0662374013218</v>
      </c>
      <c r="CF94" s="98">
        <v>0.84435803810379573</v>
      </c>
      <c r="CG94" s="98">
        <v>1007.1502678502075</v>
      </c>
      <c r="CH94" s="98">
        <v>2.4170126368367999</v>
      </c>
      <c r="CI94" s="98">
        <v>2883.0126732189347</v>
      </c>
      <c r="CJ94" s="98">
        <v>2.2819907076626111</v>
      </c>
      <c r="CK94" s="98">
        <v>2721.9585160999623</v>
      </c>
      <c r="CL94" s="98">
        <v>2.8175449206092331</v>
      </c>
      <c r="CM94" s="98">
        <v>3360.7675813026931</v>
      </c>
      <c r="CN94" s="98">
        <v>1.2579392079746967</v>
      </c>
      <c r="CO94" s="98">
        <v>1500.4698872722181</v>
      </c>
      <c r="CP94" s="98">
        <v>2.2312199524241998</v>
      </c>
      <c r="CQ94" s="98">
        <v>2661.3991592515854</v>
      </c>
      <c r="CR94" s="98">
        <v>0.87975631109872499</v>
      </c>
      <c r="CS94" s="98">
        <v>1049.3733278785592</v>
      </c>
      <c r="CT94" s="98">
        <v>1.206236879273765</v>
      </c>
      <c r="CU94" s="98">
        <v>1438.7993495977469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3.0657876479555464</v>
      </c>
      <c r="G95" s="98">
        <v>1008.0309786477836</v>
      </c>
      <c r="H95" s="98">
        <v>2.5019842314254452</v>
      </c>
      <c r="I95" s="98">
        <v>822.65241529268644</v>
      </c>
      <c r="J95" s="98">
        <v>2.8549339479389775</v>
      </c>
      <c r="K95" s="98">
        <v>938.70228208233584</v>
      </c>
      <c r="L95" s="98">
        <v>1.8395483940377941</v>
      </c>
      <c r="M95" s="98">
        <v>604.84351195962677</v>
      </c>
      <c r="N95" s="98">
        <v>2.3093874682676301</v>
      </c>
      <c r="O95" s="98">
        <v>759.32659956639679</v>
      </c>
      <c r="P95" s="98">
        <v>1.5590058252467121</v>
      </c>
      <c r="Q95" s="98">
        <v>512.60111534111888</v>
      </c>
      <c r="R95" s="98">
        <v>0.78923506162292945</v>
      </c>
      <c r="S95" s="98">
        <v>259.50048826161924</v>
      </c>
      <c r="T95" s="98">
        <v>1.3410339654057559</v>
      </c>
      <c r="U95" s="98">
        <v>440.93196782541258</v>
      </c>
      <c r="V95" s="98">
        <v>1.268050387805383</v>
      </c>
      <c r="W95" s="98">
        <v>416.93496751040993</v>
      </c>
      <c r="X95" s="98">
        <v>3.7167254428871819</v>
      </c>
      <c r="Y95" s="98">
        <v>1222.0593256213053</v>
      </c>
      <c r="Z95" s="98">
        <v>2.8096616638641763</v>
      </c>
      <c r="AA95" s="98">
        <v>923.81675507854118</v>
      </c>
      <c r="AB95" s="98">
        <v>1.1871529681032003</v>
      </c>
      <c r="AC95" s="98">
        <v>390.33589591233226</v>
      </c>
      <c r="AD95" s="98">
        <v>2.7763727544711774</v>
      </c>
      <c r="AE95" s="98">
        <v>912.87136167012318</v>
      </c>
      <c r="AF95" s="98">
        <v>1.7226585033447726</v>
      </c>
      <c r="AG95" s="98">
        <v>566.41011589976119</v>
      </c>
      <c r="AH95" s="98">
        <v>3.3868703734106895</v>
      </c>
      <c r="AI95" s="98">
        <v>1113.6029787774348</v>
      </c>
      <c r="AJ95" s="98">
        <v>1.598404120382618</v>
      </c>
      <c r="AK95" s="98">
        <v>525.55527478180488</v>
      </c>
      <c r="AL95" s="98">
        <v>0.94846520836587944</v>
      </c>
      <c r="AM95" s="98">
        <v>311.85536051070119</v>
      </c>
      <c r="AN95" s="98">
        <v>2.1937711347939013</v>
      </c>
      <c r="AO95" s="98">
        <v>721.31194912023477</v>
      </c>
      <c r="AP95" s="98">
        <v>0.7445190736795444</v>
      </c>
      <c r="AQ95" s="98">
        <v>244.79787142583422</v>
      </c>
      <c r="AR95" s="98">
        <v>1.6567445202298221</v>
      </c>
      <c r="AS95" s="98">
        <v>544.73759825156549</v>
      </c>
      <c r="AT95" s="98">
        <v>1.6630973430390756</v>
      </c>
      <c r="AU95" s="98">
        <v>546.82640639124804</v>
      </c>
      <c r="AV95" s="98">
        <v>2.1567267020905803</v>
      </c>
      <c r="AW95" s="98">
        <v>709.1317396473828</v>
      </c>
      <c r="AX95" s="98">
        <v>1.750688487890226</v>
      </c>
      <c r="AY95" s="98">
        <v>575.62637481830632</v>
      </c>
      <c r="AZ95" s="98">
        <v>1.1470712357148702</v>
      </c>
      <c r="BA95" s="98">
        <v>377.15702230304936</v>
      </c>
      <c r="BB95" s="98">
        <v>2.3058539533439979</v>
      </c>
      <c r="BC95" s="98">
        <v>758.16477985950655</v>
      </c>
      <c r="BD95" s="98">
        <v>1.2436513574891452</v>
      </c>
      <c r="BE95" s="98">
        <v>408.91256634243098</v>
      </c>
      <c r="BF95" s="98">
        <v>3.4600122734292449</v>
      </c>
      <c r="BG95" s="98">
        <v>1137.6520355035357</v>
      </c>
      <c r="BH95" s="98">
        <v>2.3190101141302599</v>
      </c>
      <c r="BI95" s="98">
        <v>762.4905255260295</v>
      </c>
      <c r="BJ95" s="98">
        <v>1.7355212879575515</v>
      </c>
      <c r="BK95" s="98">
        <v>570.63939948044299</v>
      </c>
      <c r="BL95" s="98">
        <v>1.2199990976554627</v>
      </c>
      <c r="BM95" s="98">
        <v>401.13570330911614</v>
      </c>
      <c r="BN95" s="98">
        <v>2.4509384969734782</v>
      </c>
      <c r="BO95" s="98">
        <v>805.86857780487969</v>
      </c>
      <c r="BP95" s="98">
        <v>3.7040032948552684</v>
      </c>
      <c r="BQ95" s="98">
        <v>1217.8762833484122</v>
      </c>
      <c r="BR95" s="98">
        <v>2.1781963796679524</v>
      </c>
      <c r="BS95" s="98">
        <v>716.19096963482275</v>
      </c>
      <c r="BT95" s="98">
        <v>1.5779412223489313</v>
      </c>
      <c r="BU95" s="98">
        <v>518.82707390832866</v>
      </c>
      <c r="BV95" s="98">
        <v>0.89371236238789664</v>
      </c>
      <c r="BW95" s="98">
        <v>293.85262475314045</v>
      </c>
      <c r="BX95" s="98">
        <v>2.4335278900378117</v>
      </c>
      <c r="BY95" s="98">
        <v>800.14397024443247</v>
      </c>
      <c r="BZ95" s="98">
        <v>0.53076415769693341</v>
      </c>
      <c r="CA95" s="98">
        <v>174.5152550507517</v>
      </c>
      <c r="CB95" s="98">
        <v>1.996007402395283</v>
      </c>
      <c r="CC95" s="98">
        <v>656.28723390756909</v>
      </c>
      <c r="CD95" s="98">
        <v>3.729934806674482</v>
      </c>
      <c r="CE95" s="98">
        <v>1226.4025644345697</v>
      </c>
      <c r="CF95" s="98">
        <v>0.77399486826181285</v>
      </c>
      <c r="CG95" s="98">
        <v>254.48951268448408</v>
      </c>
      <c r="CH95" s="98">
        <v>1.7264375977405715</v>
      </c>
      <c r="CI95" s="98">
        <v>567.65268213709987</v>
      </c>
      <c r="CJ95" s="98">
        <v>1.9309152141760553</v>
      </c>
      <c r="CK95" s="98">
        <v>634.88492242108703</v>
      </c>
      <c r="CL95" s="98">
        <v>3.0992994126701565</v>
      </c>
      <c r="CM95" s="98">
        <v>1019.0496468859475</v>
      </c>
      <c r="CN95" s="98">
        <v>1.8869088119620447</v>
      </c>
      <c r="CO95" s="98">
        <v>620.41561737312031</v>
      </c>
      <c r="CP95" s="98">
        <v>2.8397344849035271</v>
      </c>
      <c r="CQ95" s="98">
        <v>933.70469863627977</v>
      </c>
      <c r="CR95" s="98">
        <v>0.97750701233191661</v>
      </c>
      <c r="CS95" s="98">
        <v>321.40430565473417</v>
      </c>
      <c r="CT95" s="98">
        <v>0.90467765945532375</v>
      </c>
      <c r="CU95" s="98">
        <v>297.45801442891047</v>
      </c>
    </row>
    <row r="96" spans="2:99">
      <c r="C96" s="97" t="s">
        <v>263</v>
      </c>
      <c r="D96" s="98">
        <v>0</v>
      </c>
      <c r="E96" s="98">
        <v>0</v>
      </c>
      <c r="F96" s="98">
        <v>3.0657876479555464</v>
      </c>
      <c r="G96" s="98">
        <v>2130.1092577995137</v>
      </c>
      <c r="H96" s="98">
        <v>2.5019842314254452</v>
      </c>
      <c r="I96" s="98">
        <v>1738.3786439943992</v>
      </c>
      <c r="J96" s="98">
        <v>2.6510100945147652</v>
      </c>
      <c r="K96" s="98">
        <v>1841.9218136688587</v>
      </c>
      <c r="L96" s="98">
        <v>1.8395483940377941</v>
      </c>
      <c r="M96" s="98">
        <v>1278.1182241774593</v>
      </c>
      <c r="N96" s="98">
        <v>2.131742278400889</v>
      </c>
      <c r="O96" s="98">
        <v>1481.1345350329375</v>
      </c>
      <c r="P96" s="98">
        <v>1.5590058252467121</v>
      </c>
      <c r="Q96" s="98">
        <v>1083.1972473814155</v>
      </c>
      <c r="R96" s="98">
        <v>0.71031155546063651</v>
      </c>
      <c r="S96" s="98">
        <v>493.52446873405023</v>
      </c>
      <c r="T96" s="98">
        <v>1.3410339654057559</v>
      </c>
      <c r="U96" s="98">
        <v>931.75039916391916</v>
      </c>
      <c r="V96" s="98">
        <v>1.4492004432061523</v>
      </c>
      <c r="W96" s="98">
        <v>1006.9044679396345</v>
      </c>
      <c r="X96" s="98">
        <v>3.4689437466947033</v>
      </c>
      <c r="Y96" s="98">
        <v>2410.2221152034795</v>
      </c>
      <c r="Z96" s="98">
        <v>2.3774060232696876</v>
      </c>
      <c r="AA96" s="98">
        <v>1651.8217049677789</v>
      </c>
      <c r="AB96" s="98">
        <v>1.0175596869456001</v>
      </c>
      <c r="AC96" s="98">
        <v>707.00047048980286</v>
      </c>
      <c r="AD96" s="98">
        <v>2.7763727544711774</v>
      </c>
      <c r="AE96" s="98">
        <v>1929.0237898065739</v>
      </c>
      <c r="AF96" s="98">
        <v>1.5791036280660415</v>
      </c>
      <c r="AG96" s="98">
        <v>1097.1612007802855</v>
      </c>
      <c r="AH96" s="98">
        <v>2.9352876569559312</v>
      </c>
      <c r="AI96" s="98">
        <v>2039.4378640529808</v>
      </c>
      <c r="AJ96" s="98">
        <v>1.7213582834889734</v>
      </c>
      <c r="AK96" s="98">
        <v>1195.9997353681385</v>
      </c>
      <c r="AL96" s="98">
        <v>0.86224109851443598</v>
      </c>
      <c r="AM96" s="98">
        <v>599.08511524783012</v>
      </c>
      <c r="AN96" s="98">
        <v>1.9743940213145112</v>
      </c>
      <c r="AO96" s="98">
        <v>1371.8089660093224</v>
      </c>
      <c r="AP96" s="98">
        <v>0.81897098104749888</v>
      </c>
      <c r="AQ96" s="98">
        <v>569.02103763180219</v>
      </c>
      <c r="AR96" s="98">
        <v>1.6567445202298221</v>
      </c>
      <c r="AS96" s="98">
        <v>1151.1060926556804</v>
      </c>
      <c r="AT96" s="98">
        <v>1.4967876087351679</v>
      </c>
      <c r="AU96" s="98">
        <v>1039.9680305491945</v>
      </c>
      <c r="AV96" s="98">
        <v>1.8249225940766447</v>
      </c>
      <c r="AW96" s="98">
        <v>1267.9562183644528</v>
      </c>
      <c r="AX96" s="98">
        <v>1.750688487890226</v>
      </c>
      <c r="AY96" s="98">
        <v>1216.378361386129</v>
      </c>
      <c r="AZ96" s="98">
        <v>1.2617783592863574</v>
      </c>
      <c r="BA96" s="98">
        <v>876.68360403216104</v>
      </c>
      <c r="BB96" s="98">
        <v>2.3058539533439979</v>
      </c>
      <c r="BC96" s="98">
        <v>1602.1073267834097</v>
      </c>
      <c r="BD96" s="98">
        <v>1.3567105718063401</v>
      </c>
      <c r="BE96" s="98">
        <v>942.64250529104504</v>
      </c>
      <c r="BF96" s="98">
        <v>3.171677917310141</v>
      </c>
      <c r="BG96" s="98">
        <v>2203.6818169470857</v>
      </c>
      <c r="BH96" s="98">
        <v>2.1533665345495274</v>
      </c>
      <c r="BI96" s="98">
        <v>1496.1590682050116</v>
      </c>
      <c r="BJ96" s="98">
        <v>1.5619691591617963</v>
      </c>
      <c r="BK96" s="98">
        <v>1085.2561717856161</v>
      </c>
      <c r="BL96" s="98">
        <v>1.0457135122761108</v>
      </c>
      <c r="BM96" s="98">
        <v>726.56174832944168</v>
      </c>
      <c r="BN96" s="98">
        <v>2.4509384969734782</v>
      </c>
      <c r="BO96" s="98">
        <v>1702.9120676971725</v>
      </c>
      <c r="BP96" s="98">
        <v>3.0866694123793903</v>
      </c>
      <c r="BQ96" s="98">
        <v>2144.6179077212</v>
      </c>
      <c r="BR96" s="98">
        <v>2.1781963796679524</v>
      </c>
      <c r="BS96" s="98">
        <v>1513.4108445932932</v>
      </c>
      <c r="BT96" s="98">
        <v>1.7751838751425477</v>
      </c>
      <c r="BU96" s="98">
        <v>1233.3977564490422</v>
      </c>
      <c r="BV96" s="98">
        <v>0.96245946718696551</v>
      </c>
      <c r="BW96" s="98">
        <v>668.71683780150363</v>
      </c>
      <c r="BX96" s="98">
        <v>2.6363218808742959</v>
      </c>
      <c r="BY96" s="98">
        <v>1831.7164428314607</v>
      </c>
      <c r="BZ96" s="98">
        <v>0.61242018195800008</v>
      </c>
      <c r="CA96" s="98">
        <v>425.50954242441844</v>
      </c>
      <c r="CB96" s="98">
        <v>1.8534354450813342</v>
      </c>
      <c r="CC96" s="98">
        <v>1287.7669472425109</v>
      </c>
      <c r="CD96" s="98">
        <v>3.2636929558401713</v>
      </c>
      <c r="CE96" s="98">
        <v>2267.6138657177507</v>
      </c>
      <c r="CF96" s="98">
        <v>0.77399486826181285</v>
      </c>
      <c r="CG96" s="98">
        <v>537.77163446830752</v>
      </c>
      <c r="CH96" s="98">
        <v>1.7264375977405715</v>
      </c>
      <c r="CI96" s="98">
        <v>1199.528842910149</v>
      </c>
      <c r="CJ96" s="98">
        <v>1.9309152141760553</v>
      </c>
      <c r="CK96" s="98">
        <v>1341.599890809523</v>
      </c>
      <c r="CL96" s="98">
        <v>3.3810539047310795</v>
      </c>
      <c r="CM96" s="98">
        <v>2349.1562530071537</v>
      </c>
      <c r="CN96" s="98">
        <v>1.8869088119620447</v>
      </c>
      <c r="CO96" s="98">
        <v>1311.0242425512286</v>
      </c>
      <c r="CP96" s="98">
        <v>2.6368963074104181</v>
      </c>
      <c r="CQ96" s="98">
        <v>1832.1155543887585</v>
      </c>
      <c r="CR96" s="98">
        <v>0.87975631109872499</v>
      </c>
      <c r="CS96" s="98">
        <v>611.2546849513941</v>
      </c>
      <c r="CT96" s="98">
        <v>0.90467765945532375</v>
      </c>
      <c r="CU96" s="98">
        <v>628.57003778955891</v>
      </c>
    </row>
    <row r="97" spans="2:99">
      <c r="C97" s="97" t="s">
        <v>264</v>
      </c>
      <c r="D97" s="98">
        <v>0</v>
      </c>
      <c r="E97" s="98">
        <v>0</v>
      </c>
      <c r="F97" s="98">
        <v>3.0657876479555464</v>
      </c>
      <c r="G97" s="98">
        <v>1203.0150730577564</v>
      </c>
      <c r="H97" s="98">
        <v>2.5019842314254452</v>
      </c>
      <c r="I97" s="98">
        <v>981.77861241134462</v>
      </c>
      <c r="J97" s="98">
        <v>2.4470862410905521</v>
      </c>
      <c r="K97" s="98">
        <v>960.23664100393262</v>
      </c>
      <c r="L97" s="98">
        <v>2.0067800662230479</v>
      </c>
      <c r="M97" s="98">
        <v>787.46049798592401</v>
      </c>
      <c r="N97" s="98">
        <v>2.3093874682676301</v>
      </c>
      <c r="O97" s="98">
        <v>906.203642548218</v>
      </c>
      <c r="P97" s="98">
        <v>1.732228694718569</v>
      </c>
      <c r="Q97" s="98">
        <v>679.72653980756638</v>
      </c>
      <c r="R97" s="98">
        <v>0.71031155546063651</v>
      </c>
      <c r="S97" s="98">
        <v>278.72625436275376</v>
      </c>
      <c r="T97" s="98">
        <v>1.6390415132737015</v>
      </c>
      <c r="U97" s="98">
        <v>643.15988980860038</v>
      </c>
      <c r="V97" s="98">
        <v>1.268050387805383</v>
      </c>
      <c r="W97" s="98">
        <v>497.58297217483226</v>
      </c>
      <c r="X97" s="98">
        <v>3.4689437466947033</v>
      </c>
      <c r="Y97" s="98">
        <v>1361.2135262030015</v>
      </c>
      <c r="Z97" s="98">
        <v>2.5935338435669317</v>
      </c>
      <c r="AA97" s="98">
        <v>1017.7026802156639</v>
      </c>
      <c r="AB97" s="98">
        <v>1.0175596869456001</v>
      </c>
      <c r="AC97" s="98">
        <v>399.29042115745347</v>
      </c>
      <c r="AD97" s="98">
        <v>2.9899398894304992</v>
      </c>
      <c r="AE97" s="98">
        <v>1173.2524126125279</v>
      </c>
      <c r="AF97" s="98">
        <v>1.7226585033447726</v>
      </c>
      <c r="AG97" s="98">
        <v>675.97119671248868</v>
      </c>
      <c r="AH97" s="98">
        <v>2.9352876569559312</v>
      </c>
      <c r="AI97" s="98">
        <v>1151.8068765895073</v>
      </c>
      <c r="AJ97" s="98">
        <v>1.7213582834889734</v>
      </c>
      <c r="AK97" s="98">
        <v>675.46099044107314</v>
      </c>
      <c r="AL97" s="98">
        <v>0.94846520836587944</v>
      </c>
      <c r="AM97" s="98">
        <v>372.17774776277105</v>
      </c>
      <c r="AN97" s="98">
        <v>2.1937711347939013</v>
      </c>
      <c r="AO97" s="98">
        <v>860.83579329312681</v>
      </c>
      <c r="AP97" s="98">
        <v>0.81897098104749888</v>
      </c>
      <c r="AQ97" s="98">
        <v>321.36421296303854</v>
      </c>
      <c r="AR97" s="98">
        <v>1.8638375852585498</v>
      </c>
      <c r="AS97" s="98">
        <v>731.36986845545493</v>
      </c>
      <c r="AT97" s="98">
        <v>1.6630973430390756</v>
      </c>
      <c r="AU97" s="98">
        <v>652.59939740853326</v>
      </c>
      <c r="AV97" s="98">
        <v>1.9908246480836127</v>
      </c>
      <c r="AW97" s="98">
        <v>781.19959190800955</v>
      </c>
      <c r="AX97" s="98">
        <v>2.0007868433031155</v>
      </c>
      <c r="AY97" s="98">
        <v>785.10875731214253</v>
      </c>
      <c r="AZ97" s="98">
        <v>1.1470712357148702</v>
      </c>
      <c r="BA97" s="98">
        <v>450.11075289451503</v>
      </c>
      <c r="BB97" s="98">
        <v>2.0962308666763616</v>
      </c>
      <c r="BC97" s="98">
        <v>822.56099208380419</v>
      </c>
      <c r="BD97" s="98">
        <v>1.2436513574891452</v>
      </c>
      <c r="BE97" s="98">
        <v>488.00879267874058</v>
      </c>
      <c r="BF97" s="98">
        <v>3.4600122734292449</v>
      </c>
      <c r="BG97" s="98">
        <v>1357.7088160936355</v>
      </c>
      <c r="BH97" s="98">
        <v>2.4846536937109929</v>
      </c>
      <c r="BI97" s="98">
        <v>974.97810941219359</v>
      </c>
      <c r="BJ97" s="98">
        <v>1.3884170303660412</v>
      </c>
      <c r="BK97" s="98">
        <v>544.81484271563454</v>
      </c>
      <c r="BL97" s="98">
        <v>1.0457135122761108</v>
      </c>
      <c r="BM97" s="98">
        <v>410.33798221714585</v>
      </c>
      <c r="BN97" s="98">
        <v>2.6737510876074309</v>
      </c>
      <c r="BO97" s="98">
        <v>1049.1799267771557</v>
      </c>
      <c r="BP97" s="98">
        <v>3.0866694123793903</v>
      </c>
      <c r="BQ97" s="98">
        <v>1211.2090774176727</v>
      </c>
      <c r="BR97" s="98">
        <v>2.5412291096126114</v>
      </c>
      <c r="BS97" s="98">
        <v>997.17830261198867</v>
      </c>
      <c r="BT97" s="98">
        <v>1.3806985695553149</v>
      </c>
      <c r="BU97" s="98">
        <v>541.7861186935055</v>
      </c>
      <c r="BV97" s="98">
        <v>1.0312065719860346</v>
      </c>
      <c r="BW97" s="98">
        <v>404.64545884731996</v>
      </c>
      <c r="BX97" s="98">
        <v>2.4335278900378117</v>
      </c>
      <c r="BY97" s="98">
        <v>954.91634405083721</v>
      </c>
      <c r="BZ97" s="98">
        <v>0.53076415769693341</v>
      </c>
      <c r="CA97" s="98">
        <v>208.27185548027666</v>
      </c>
      <c r="CB97" s="98">
        <v>1.996007402395283</v>
      </c>
      <c r="CC97" s="98">
        <v>783.23330469990901</v>
      </c>
      <c r="CD97" s="98">
        <v>3.2636929558401713</v>
      </c>
      <c r="CE97" s="98">
        <v>1280.6731158716832</v>
      </c>
      <c r="CF97" s="98">
        <v>0.77399486826181285</v>
      </c>
      <c r="CG97" s="98">
        <v>303.71558630593535</v>
      </c>
      <c r="CH97" s="98">
        <v>1.7264375977405715</v>
      </c>
      <c r="CI97" s="98">
        <v>677.4541133534002</v>
      </c>
      <c r="CJ97" s="98">
        <v>1.9309152141760553</v>
      </c>
      <c r="CK97" s="98">
        <v>757.69113004268399</v>
      </c>
      <c r="CL97" s="98">
        <v>3.0992994126701565</v>
      </c>
      <c r="CM97" s="98">
        <v>1216.1650895317694</v>
      </c>
      <c r="CN97" s="98">
        <v>1.8869088119620447</v>
      </c>
      <c r="CO97" s="98">
        <v>740.42301781390631</v>
      </c>
      <c r="CP97" s="98">
        <v>2.6368963074104181</v>
      </c>
      <c r="CQ97" s="98">
        <v>1034.718111027848</v>
      </c>
      <c r="CR97" s="98">
        <v>0.97750701233191661</v>
      </c>
      <c r="CS97" s="98">
        <v>383.57375163904408</v>
      </c>
      <c r="CT97" s="98">
        <v>0.90467765945532375</v>
      </c>
      <c r="CU97" s="98">
        <v>354.995513570269</v>
      </c>
    </row>
    <row r="98" spans="2:99">
      <c r="C98" s="97" t="s">
        <v>265</v>
      </c>
      <c r="D98" s="98">
        <v>0</v>
      </c>
      <c r="E98" s="98">
        <v>0</v>
      </c>
      <c r="F98" s="98">
        <v>3.0657876479555464</v>
      </c>
      <c r="G98" s="98">
        <v>1611.3779877654351</v>
      </c>
      <c r="H98" s="98">
        <v>2.5019842314254452</v>
      </c>
      <c r="I98" s="98">
        <v>1315.0429120372141</v>
      </c>
      <c r="J98" s="98">
        <v>2.6510100945147652</v>
      </c>
      <c r="K98" s="98">
        <v>1393.3709056769605</v>
      </c>
      <c r="L98" s="98">
        <v>1.8395483940377941</v>
      </c>
      <c r="M98" s="98">
        <v>966.86663590626461</v>
      </c>
      <c r="N98" s="98">
        <v>2.3093874682676301</v>
      </c>
      <c r="O98" s="98">
        <v>1213.8140533214664</v>
      </c>
      <c r="P98" s="98">
        <v>1.732228694718569</v>
      </c>
      <c r="Q98" s="98">
        <v>910.4594019440799</v>
      </c>
      <c r="R98" s="98">
        <v>0.78923506162292945</v>
      </c>
      <c r="S98" s="98">
        <v>414.82194838901171</v>
      </c>
      <c r="T98" s="98">
        <v>1.6390415132737015</v>
      </c>
      <c r="U98" s="98">
        <v>861.4802193766576</v>
      </c>
      <c r="V98" s="98">
        <v>1.4492004432061523</v>
      </c>
      <c r="W98" s="98">
        <v>761.69975294915366</v>
      </c>
      <c r="X98" s="98">
        <v>3.2211620505022243</v>
      </c>
      <c r="Y98" s="98">
        <v>1693.0427737439691</v>
      </c>
      <c r="Z98" s="98">
        <v>2.3774060232696876</v>
      </c>
      <c r="AA98" s="98">
        <v>1249.5646058305479</v>
      </c>
      <c r="AB98" s="98">
        <v>1.0175596869456001</v>
      </c>
      <c r="AC98" s="98">
        <v>534.8293714586074</v>
      </c>
      <c r="AD98" s="98">
        <v>2.9899398894304992</v>
      </c>
      <c r="AE98" s="98">
        <v>1571.5124058846704</v>
      </c>
      <c r="AF98" s="98">
        <v>1.5791036280660415</v>
      </c>
      <c r="AG98" s="98">
        <v>829.97686691151148</v>
      </c>
      <c r="AH98" s="98">
        <v>2.9352876569559312</v>
      </c>
      <c r="AI98" s="98">
        <v>1542.7871924960375</v>
      </c>
      <c r="AJ98" s="98">
        <v>1.598404120382618</v>
      </c>
      <c r="AK98" s="98">
        <v>840.1212056731041</v>
      </c>
      <c r="AL98" s="98">
        <v>0.94846520836587944</v>
      </c>
      <c r="AM98" s="98">
        <v>498.51331351710627</v>
      </c>
      <c r="AN98" s="98">
        <v>1.9743940213145112</v>
      </c>
      <c r="AO98" s="98">
        <v>1037.7414976029072</v>
      </c>
      <c r="AP98" s="98">
        <v>0.81897098104749888</v>
      </c>
      <c r="AQ98" s="98">
        <v>430.45114763856543</v>
      </c>
      <c r="AR98" s="98">
        <v>1.6567445202298221</v>
      </c>
      <c r="AS98" s="98">
        <v>870.78491983279457</v>
      </c>
      <c r="AT98" s="98">
        <v>1.4967876087351679</v>
      </c>
      <c r="AU98" s="98">
        <v>786.71156715120424</v>
      </c>
      <c r="AV98" s="98">
        <v>1.9908246480836127</v>
      </c>
      <c r="AW98" s="98">
        <v>1046.3774350327469</v>
      </c>
      <c r="AX98" s="98">
        <v>1.750688487890226</v>
      </c>
      <c r="AY98" s="98">
        <v>920.16186923510281</v>
      </c>
      <c r="AZ98" s="98">
        <v>1.1470712357148702</v>
      </c>
      <c r="BA98" s="98">
        <v>602.90064149173577</v>
      </c>
      <c r="BB98" s="98">
        <v>2.3058539533439979</v>
      </c>
      <c r="BC98" s="98">
        <v>1211.9568378776053</v>
      </c>
      <c r="BD98" s="98">
        <v>1.3567105718063401</v>
      </c>
      <c r="BE98" s="98">
        <v>713.08707654141244</v>
      </c>
      <c r="BF98" s="98">
        <v>3.4600122734292449</v>
      </c>
      <c r="BG98" s="98">
        <v>1818.5824509144111</v>
      </c>
      <c r="BH98" s="98">
        <v>2.4846536937109929</v>
      </c>
      <c r="BI98" s="98">
        <v>1305.933981414498</v>
      </c>
      <c r="BJ98" s="98">
        <v>1.5619691591617963</v>
      </c>
      <c r="BK98" s="98">
        <v>820.97099005544021</v>
      </c>
      <c r="BL98" s="98">
        <v>1.1328563049657867</v>
      </c>
      <c r="BM98" s="98">
        <v>595.4292738900175</v>
      </c>
      <c r="BN98" s="98">
        <v>2.6737510876074309</v>
      </c>
      <c r="BO98" s="98">
        <v>1405.3235716464658</v>
      </c>
      <c r="BP98" s="98">
        <v>3.3953363536173291</v>
      </c>
      <c r="BQ98" s="98">
        <v>1784.5887874612683</v>
      </c>
      <c r="BR98" s="98">
        <v>2.3597127446402819</v>
      </c>
      <c r="BS98" s="98">
        <v>1240.2650185829323</v>
      </c>
      <c r="BT98" s="98">
        <v>1.5779412223489313</v>
      </c>
      <c r="BU98" s="98">
        <v>829.36590646659829</v>
      </c>
      <c r="BV98" s="98">
        <v>0.96245946718696551</v>
      </c>
      <c r="BW98" s="98">
        <v>505.86869595346911</v>
      </c>
      <c r="BX98" s="98">
        <v>2.8391158717107801</v>
      </c>
      <c r="BY98" s="98">
        <v>1492.239302171186</v>
      </c>
      <c r="BZ98" s="98">
        <v>0.57159216982746675</v>
      </c>
      <c r="CA98" s="98">
        <v>300.42884446131654</v>
      </c>
      <c r="CB98" s="98">
        <v>1.7108634877673852</v>
      </c>
      <c r="CC98" s="98">
        <v>899.2298491705377</v>
      </c>
      <c r="CD98" s="98">
        <v>3.2636929558401713</v>
      </c>
      <c r="CE98" s="98">
        <v>1715.397017589594</v>
      </c>
      <c r="CF98" s="98">
        <v>0.84435803810379573</v>
      </c>
      <c r="CG98" s="98">
        <v>443.79458482735504</v>
      </c>
      <c r="CH98" s="98">
        <v>1.7264375977405715</v>
      </c>
      <c r="CI98" s="98">
        <v>907.41560137244437</v>
      </c>
      <c r="CJ98" s="98">
        <v>1.9309152141760553</v>
      </c>
      <c r="CK98" s="98">
        <v>1014.8890365709346</v>
      </c>
      <c r="CL98" s="98">
        <v>3.0992994126701565</v>
      </c>
      <c r="CM98" s="98">
        <v>1628.9917712994343</v>
      </c>
      <c r="CN98" s="98">
        <v>2.0441512129588819</v>
      </c>
      <c r="CO98" s="98">
        <v>1074.4058775311885</v>
      </c>
      <c r="CP98" s="98">
        <v>2.4340581299173092</v>
      </c>
      <c r="CQ98" s="98">
        <v>1279.3409530845377</v>
      </c>
      <c r="CR98" s="98">
        <v>0.87975631109872499</v>
      </c>
      <c r="CS98" s="98">
        <v>462.39991711348989</v>
      </c>
      <c r="CT98" s="98">
        <v>0.98006746440993409</v>
      </c>
      <c r="CU98" s="98">
        <v>515.1234592938614</v>
      </c>
    </row>
    <row r="99" spans="2:99">
      <c r="C99" s="97" t="s">
        <v>266</v>
      </c>
      <c r="D99" s="98">
        <v>0</v>
      </c>
      <c r="E99" s="98">
        <v>0</v>
      </c>
      <c r="F99" s="98">
        <v>2.7251445759604858</v>
      </c>
      <c r="G99" s="98">
        <v>11468.498433472107</v>
      </c>
      <c r="H99" s="98">
        <v>2.1445579126503813</v>
      </c>
      <c r="I99" s="98">
        <v>9025.1575195978639</v>
      </c>
      <c r="J99" s="98">
        <v>2.0392385342421266</v>
      </c>
      <c r="K99" s="98">
        <v>8581.9314475045649</v>
      </c>
      <c r="L99" s="98">
        <v>1.6723167218525401</v>
      </c>
      <c r="M99" s="98">
        <v>7037.777692244229</v>
      </c>
      <c r="N99" s="98">
        <v>1.5988067088006668</v>
      </c>
      <c r="O99" s="98">
        <v>6728.4181533167257</v>
      </c>
      <c r="P99" s="98">
        <v>1.3857829557748551</v>
      </c>
      <c r="Q99" s="98">
        <v>5831.9289910828993</v>
      </c>
      <c r="R99" s="98">
        <v>0.63138804929834358</v>
      </c>
      <c r="S99" s="98">
        <v>2657.1334666671487</v>
      </c>
      <c r="T99" s="98">
        <v>1.192030191471783</v>
      </c>
      <c r="U99" s="98">
        <v>5016.5398577898513</v>
      </c>
      <c r="V99" s="98">
        <v>1.086900332404614</v>
      </c>
      <c r="W99" s="98">
        <v>4574.1113588915769</v>
      </c>
      <c r="X99" s="98">
        <v>2.9733803543097457</v>
      </c>
      <c r="Y99" s="98">
        <v>12513.173883077132</v>
      </c>
      <c r="Z99" s="98">
        <v>2.3774060232696876</v>
      </c>
      <c r="AA99" s="98">
        <v>10005.075508328153</v>
      </c>
      <c r="AB99" s="98">
        <v>0.84796640578800009</v>
      </c>
      <c r="AC99" s="98">
        <v>3568.5818221182194</v>
      </c>
      <c r="AD99" s="98">
        <v>2.1356713495932134</v>
      </c>
      <c r="AE99" s="98">
        <v>8987.7593076280791</v>
      </c>
      <c r="AF99" s="98">
        <v>1.2919938775085793</v>
      </c>
      <c r="AG99" s="98">
        <v>5437.2270341071044</v>
      </c>
      <c r="AH99" s="98">
        <v>2.4837049405011724</v>
      </c>
      <c r="AI99" s="98">
        <v>10452.423871605133</v>
      </c>
      <c r="AJ99" s="98">
        <v>1.3524957941699076</v>
      </c>
      <c r="AK99" s="98">
        <v>5691.8433001846388</v>
      </c>
      <c r="AL99" s="98">
        <v>0.68979287881154872</v>
      </c>
      <c r="AM99" s="98">
        <v>2902.9243511905215</v>
      </c>
      <c r="AN99" s="98">
        <v>1.755016907835121</v>
      </c>
      <c r="AO99" s="98">
        <v>7385.8131549333229</v>
      </c>
      <c r="AP99" s="98">
        <v>0.67006716631159002</v>
      </c>
      <c r="AQ99" s="98">
        <v>2819.9106627056954</v>
      </c>
      <c r="AR99" s="98">
        <v>1.4496514552010944</v>
      </c>
      <c r="AS99" s="98">
        <v>6100.713184068285</v>
      </c>
      <c r="AT99" s="98">
        <v>1.3304778744312604</v>
      </c>
      <c r="AU99" s="98">
        <v>5599.1830867565159</v>
      </c>
      <c r="AV99" s="98">
        <v>1.4931184860627094</v>
      </c>
      <c r="AW99" s="98">
        <v>6283.6398367463053</v>
      </c>
      <c r="AX99" s="98">
        <v>1.5005901324773365</v>
      </c>
      <c r="AY99" s="98">
        <v>6315.0835135176221</v>
      </c>
      <c r="AZ99" s="98">
        <v>1.0323641121433833</v>
      </c>
      <c r="BA99" s="98">
        <v>4344.601129544214</v>
      </c>
      <c r="BB99" s="98">
        <v>1.6769846933410895</v>
      </c>
      <c r="BC99" s="98">
        <v>7057.4223834566401</v>
      </c>
      <c r="BD99" s="98">
        <v>1.0175329288547552</v>
      </c>
      <c r="BE99" s="98">
        <v>4282.1855777923511</v>
      </c>
      <c r="BF99" s="98">
        <v>2.5950092050719338</v>
      </c>
      <c r="BG99" s="98">
        <v>10920.836738624725</v>
      </c>
      <c r="BH99" s="98">
        <v>1.8220793753880615</v>
      </c>
      <c r="BI99" s="98">
        <v>7668.0388433831176</v>
      </c>
      <c r="BJ99" s="98">
        <v>1.2148649015702861</v>
      </c>
      <c r="BK99" s="98">
        <v>5112.6374517683917</v>
      </c>
      <c r="BL99" s="98">
        <v>0.87142792689675896</v>
      </c>
      <c r="BM99" s="98">
        <v>3667.3172875523201</v>
      </c>
      <c r="BN99" s="98">
        <v>2.0053133157055734</v>
      </c>
      <c r="BO99" s="98">
        <v>8439.160557815334</v>
      </c>
      <c r="BP99" s="98">
        <v>2.4693355299035122</v>
      </c>
      <c r="BQ99" s="98">
        <v>10391.951644045939</v>
      </c>
      <c r="BR99" s="98">
        <v>1.8151636497232939</v>
      </c>
      <c r="BS99" s="98">
        <v>7638.9347034955099</v>
      </c>
      <c r="BT99" s="98">
        <v>1.1834559167616985</v>
      </c>
      <c r="BU99" s="98">
        <v>4980.4558800999312</v>
      </c>
      <c r="BV99" s="98">
        <v>0.75621815278975868</v>
      </c>
      <c r="BW99" s="98">
        <v>3182.4684742004201</v>
      </c>
      <c r="BX99" s="98">
        <v>2.0279399083648428</v>
      </c>
      <c r="BY99" s="98">
        <v>8534.3823103626037</v>
      </c>
      <c r="BZ99" s="98">
        <v>0.44910813343586675</v>
      </c>
      <c r="CA99" s="98">
        <v>1890.0266687515016</v>
      </c>
      <c r="CB99" s="98">
        <v>1.5682915304534366</v>
      </c>
      <c r="CC99" s="98">
        <v>6599.9980767602419</v>
      </c>
      <c r="CD99" s="98">
        <v>2.797451105005861</v>
      </c>
      <c r="CE99" s="98">
        <v>11772.793230306665</v>
      </c>
      <c r="CF99" s="98">
        <v>0.63326852857784677</v>
      </c>
      <c r="CG99" s="98">
        <v>2665.0472756670101</v>
      </c>
      <c r="CH99" s="98">
        <v>1.3811500781924571</v>
      </c>
      <c r="CI99" s="98">
        <v>5812.4319890651359</v>
      </c>
      <c r="CJ99" s="98">
        <v>1.7553774674327776</v>
      </c>
      <c r="CK99" s="98">
        <v>7387.3305339441004</v>
      </c>
      <c r="CL99" s="98">
        <v>2.5357904285483102</v>
      </c>
      <c r="CM99" s="98">
        <v>10671.620439502707</v>
      </c>
      <c r="CN99" s="98">
        <v>1.4151816089715337</v>
      </c>
      <c r="CO99" s="98">
        <v>5955.6502831958014</v>
      </c>
      <c r="CP99" s="98">
        <v>2.0283817749310908</v>
      </c>
      <c r="CQ99" s="98">
        <v>8536.2418616200011</v>
      </c>
      <c r="CR99" s="98">
        <v>0.78200560986553325</v>
      </c>
      <c r="CS99" s="98">
        <v>3290.9924085581097</v>
      </c>
      <c r="CT99" s="98">
        <v>0.67850824459149284</v>
      </c>
      <c r="CU99" s="98">
        <v>2855.4340965388383</v>
      </c>
    </row>
    <row r="100" spans="2:99">
      <c r="C100" s="97" t="s">
        <v>267</v>
      </c>
      <c r="D100" s="98">
        <v>0</v>
      </c>
      <c r="E100" s="98">
        <v>0</v>
      </c>
      <c r="F100" s="98">
        <v>3.0657876479555464</v>
      </c>
      <c r="G100" s="98">
        <v>993.31519793759708</v>
      </c>
      <c r="H100" s="98">
        <v>2.8594105502005087</v>
      </c>
      <c r="I100" s="98">
        <v>926.44901826496482</v>
      </c>
      <c r="J100" s="98">
        <v>2.4470862410905521</v>
      </c>
      <c r="K100" s="98">
        <v>792.85594211333887</v>
      </c>
      <c r="L100" s="98">
        <v>2.0067800662230479</v>
      </c>
      <c r="M100" s="98">
        <v>650.19674145626755</v>
      </c>
      <c r="N100" s="98">
        <v>1.9540970885341487</v>
      </c>
      <c r="O100" s="98">
        <v>633.1274566850642</v>
      </c>
      <c r="P100" s="98">
        <v>1.732228694718569</v>
      </c>
      <c r="Q100" s="98">
        <v>561.24209708881631</v>
      </c>
      <c r="R100" s="98">
        <v>0.78923506162292945</v>
      </c>
      <c r="S100" s="98">
        <v>255.71215996582913</v>
      </c>
      <c r="T100" s="98">
        <v>1.6390415132737015</v>
      </c>
      <c r="U100" s="98">
        <v>531.04945030067927</v>
      </c>
      <c r="V100" s="98">
        <v>1.4492004432061523</v>
      </c>
      <c r="W100" s="98">
        <v>469.54094359879332</v>
      </c>
      <c r="X100" s="98">
        <v>3.4689437466947033</v>
      </c>
      <c r="Y100" s="98">
        <v>1123.937773929084</v>
      </c>
      <c r="Z100" s="98">
        <v>2.5935338435669317</v>
      </c>
      <c r="AA100" s="98">
        <v>840.30496531568588</v>
      </c>
      <c r="AB100" s="98">
        <v>1.1023563275244002</v>
      </c>
      <c r="AC100" s="98">
        <v>357.16345011790565</v>
      </c>
      <c r="AD100" s="98">
        <v>2.562805619511856</v>
      </c>
      <c r="AE100" s="98">
        <v>830.34902072184138</v>
      </c>
      <c r="AF100" s="98">
        <v>1.8662133786235033</v>
      </c>
      <c r="AG100" s="98">
        <v>604.65313467401506</v>
      </c>
      <c r="AH100" s="98">
        <v>2.9352876569559312</v>
      </c>
      <c r="AI100" s="98">
        <v>951.03320085372172</v>
      </c>
      <c r="AJ100" s="98">
        <v>1.4754499572762629</v>
      </c>
      <c r="AK100" s="98">
        <v>478.04578615750921</v>
      </c>
      <c r="AL100" s="98">
        <v>0.94846520836587944</v>
      </c>
      <c r="AM100" s="98">
        <v>307.30272751054491</v>
      </c>
      <c r="AN100" s="98">
        <v>1.9743940213145112</v>
      </c>
      <c r="AO100" s="98">
        <v>639.70366290590164</v>
      </c>
      <c r="AP100" s="98">
        <v>0.81897098104749888</v>
      </c>
      <c r="AQ100" s="98">
        <v>265.34659785938965</v>
      </c>
      <c r="AR100" s="98">
        <v>1.6567445202298221</v>
      </c>
      <c r="AS100" s="98">
        <v>536.78522455446239</v>
      </c>
      <c r="AT100" s="98">
        <v>1.4967876087351679</v>
      </c>
      <c r="AU100" s="98">
        <v>484.95918523019441</v>
      </c>
      <c r="AV100" s="98">
        <v>1.8249225940766447</v>
      </c>
      <c r="AW100" s="98">
        <v>591.27492048083286</v>
      </c>
      <c r="AX100" s="98">
        <v>2.0007868433031155</v>
      </c>
      <c r="AY100" s="98">
        <v>648.25493723020941</v>
      </c>
      <c r="AZ100" s="98">
        <v>1.2617783592863574</v>
      </c>
      <c r="BA100" s="98">
        <v>408.81618840877979</v>
      </c>
      <c r="BB100" s="98">
        <v>2.0962308666763616</v>
      </c>
      <c r="BC100" s="98">
        <v>679.17880080314114</v>
      </c>
      <c r="BD100" s="98">
        <v>1.3567105718063401</v>
      </c>
      <c r="BE100" s="98">
        <v>439.5742252652542</v>
      </c>
      <c r="BF100" s="98">
        <v>3.4600122734292449</v>
      </c>
      <c r="BG100" s="98">
        <v>1121.0439765910753</v>
      </c>
      <c r="BH100" s="98">
        <v>2.4846536937109929</v>
      </c>
      <c r="BI100" s="98">
        <v>805.02779676236173</v>
      </c>
      <c r="BJ100" s="98">
        <v>1.5619691591617963</v>
      </c>
      <c r="BK100" s="98">
        <v>506.07800756842204</v>
      </c>
      <c r="BL100" s="98">
        <v>1.2199990976554627</v>
      </c>
      <c r="BM100" s="98">
        <v>395.27970764036991</v>
      </c>
      <c r="BN100" s="98">
        <v>2.8965636782413835</v>
      </c>
      <c r="BO100" s="98">
        <v>938.48663175020829</v>
      </c>
      <c r="BP100" s="98">
        <v>3.3953363536173291</v>
      </c>
      <c r="BQ100" s="98">
        <v>1100.0889785720146</v>
      </c>
      <c r="BR100" s="98">
        <v>2.3597127446402819</v>
      </c>
      <c r="BS100" s="98">
        <v>764.54692926345137</v>
      </c>
      <c r="BT100" s="98">
        <v>1.7751838751425477</v>
      </c>
      <c r="BU100" s="98">
        <v>575.15957554618547</v>
      </c>
      <c r="BV100" s="98">
        <v>0.89371236238789664</v>
      </c>
      <c r="BW100" s="98">
        <v>289.56280541367852</v>
      </c>
      <c r="BX100" s="98">
        <v>2.4335278900378117</v>
      </c>
      <c r="BY100" s="98">
        <v>788.46303637225094</v>
      </c>
      <c r="BZ100" s="98">
        <v>0.53076415769693341</v>
      </c>
      <c r="CA100" s="98">
        <v>171.96758709380643</v>
      </c>
      <c r="CB100" s="98">
        <v>1.8534354450813342</v>
      </c>
      <c r="CC100" s="98">
        <v>600.51308420635223</v>
      </c>
      <c r="CD100" s="98">
        <v>3.2636929558401713</v>
      </c>
      <c r="CE100" s="98">
        <v>1057.4365176922156</v>
      </c>
      <c r="CF100" s="98">
        <v>0.77399486826181285</v>
      </c>
      <c r="CG100" s="98">
        <v>250.77433731682737</v>
      </c>
      <c r="CH100" s="98">
        <v>1.7264375977405715</v>
      </c>
      <c r="CI100" s="98">
        <v>559.36578166794516</v>
      </c>
      <c r="CJ100" s="98">
        <v>2.106452960919333</v>
      </c>
      <c r="CK100" s="98">
        <v>682.49075933786389</v>
      </c>
      <c r="CL100" s="98">
        <v>3.0992994126701565</v>
      </c>
      <c r="CM100" s="98">
        <v>1004.1730097051308</v>
      </c>
      <c r="CN100" s="98">
        <v>2.0441512129588819</v>
      </c>
      <c r="CO100" s="98">
        <v>662.30499299867779</v>
      </c>
      <c r="CP100" s="98">
        <v>2.8397344849035271</v>
      </c>
      <c r="CQ100" s="98">
        <v>920.07397310874273</v>
      </c>
      <c r="CR100" s="98">
        <v>0.97750701233191661</v>
      </c>
      <c r="CS100" s="98">
        <v>316.71227199554096</v>
      </c>
      <c r="CT100" s="98">
        <v>0.90467765945532375</v>
      </c>
      <c r="CU100" s="98">
        <v>293.11556166352489</v>
      </c>
    </row>
    <row r="101" spans="2:99">
      <c r="C101" s="97" t="s">
        <v>268</v>
      </c>
      <c r="D101" s="98">
        <v>0</v>
      </c>
      <c r="E101" s="98">
        <v>0</v>
      </c>
      <c r="F101" s="98">
        <v>3.4064307199506074</v>
      </c>
      <c r="G101" s="98">
        <v>2464.8932689562598</v>
      </c>
      <c r="H101" s="98">
        <v>2.8594105502005087</v>
      </c>
      <c r="I101" s="98">
        <v>2069.0694741250882</v>
      </c>
      <c r="J101" s="98">
        <v>2.4470862410905521</v>
      </c>
      <c r="K101" s="98">
        <v>1770.7116040531234</v>
      </c>
      <c r="L101" s="98">
        <v>1.8395483940377941</v>
      </c>
      <c r="M101" s="98">
        <v>1331.0972179257478</v>
      </c>
      <c r="N101" s="98">
        <v>2.131742278400889</v>
      </c>
      <c r="O101" s="98">
        <v>1542.5287126508833</v>
      </c>
      <c r="P101" s="98">
        <v>1.5590058252467121</v>
      </c>
      <c r="Q101" s="98">
        <v>1128.0966151485209</v>
      </c>
      <c r="R101" s="98">
        <v>0.86815856778522238</v>
      </c>
      <c r="S101" s="98">
        <v>628.19953964938691</v>
      </c>
      <c r="T101" s="98">
        <v>1.4900377393397286</v>
      </c>
      <c r="U101" s="98">
        <v>1078.1913081862276</v>
      </c>
      <c r="V101" s="98">
        <v>1.268050387805383</v>
      </c>
      <c r="W101" s="98">
        <v>917.56126061597524</v>
      </c>
      <c r="X101" s="98">
        <v>2.9733803543097457</v>
      </c>
      <c r="Y101" s="98">
        <v>2151.5380243785321</v>
      </c>
      <c r="Z101" s="98">
        <v>2.5935338435669317</v>
      </c>
      <c r="AA101" s="98">
        <v>1876.6810892050319</v>
      </c>
      <c r="AB101" s="98">
        <v>1.1023563275244002</v>
      </c>
      <c r="AC101" s="98">
        <v>797.66503859665602</v>
      </c>
      <c r="AD101" s="98">
        <v>2.562805619511856</v>
      </c>
      <c r="AE101" s="98">
        <v>1854.446146278779</v>
      </c>
      <c r="AF101" s="98">
        <v>1.7226585033447726</v>
      </c>
      <c r="AG101" s="98">
        <v>1246.5156930202775</v>
      </c>
      <c r="AH101" s="98">
        <v>3.3868703734106895</v>
      </c>
      <c r="AI101" s="98">
        <v>2450.7394021999748</v>
      </c>
      <c r="AJ101" s="98">
        <v>1.7213582834889734</v>
      </c>
      <c r="AK101" s="98">
        <v>1245.5748539326212</v>
      </c>
      <c r="AL101" s="98">
        <v>0.94846520836587944</v>
      </c>
      <c r="AM101" s="98">
        <v>686.3094247735504</v>
      </c>
      <c r="AN101" s="98">
        <v>1.9743940213145112</v>
      </c>
      <c r="AO101" s="98">
        <v>1428.6715138231805</v>
      </c>
      <c r="AP101" s="98">
        <v>0.81897098104749888</v>
      </c>
      <c r="AQ101" s="98">
        <v>592.60740188597026</v>
      </c>
      <c r="AR101" s="98">
        <v>1.8638375852585498</v>
      </c>
      <c r="AS101" s="98">
        <v>1348.6728766930867</v>
      </c>
      <c r="AT101" s="98">
        <v>1.6630973430390756</v>
      </c>
      <c r="AU101" s="98">
        <v>1203.4172374230752</v>
      </c>
      <c r="AV101" s="98">
        <v>1.9908246480836127</v>
      </c>
      <c r="AW101" s="98">
        <v>1440.5607153533022</v>
      </c>
      <c r="AX101" s="98">
        <v>2.0007868433031155</v>
      </c>
      <c r="AY101" s="98">
        <v>1447.7693598141345</v>
      </c>
      <c r="AZ101" s="98">
        <v>1.1470712357148702</v>
      </c>
      <c r="BA101" s="98">
        <v>830.02074616328014</v>
      </c>
      <c r="BB101" s="98">
        <v>2.3058539533439979</v>
      </c>
      <c r="BC101" s="98">
        <v>1668.515920639717</v>
      </c>
      <c r="BD101" s="98">
        <v>1.3567105718063401</v>
      </c>
      <c r="BE101" s="98">
        <v>981.71576975906771</v>
      </c>
      <c r="BF101" s="98">
        <v>3.4600122734292449</v>
      </c>
      <c r="BG101" s="98">
        <v>2503.6648810534016</v>
      </c>
      <c r="BH101" s="98">
        <v>2.3190101141302599</v>
      </c>
      <c r="BI101" s="98">
        <v>1678.035718584656</v>
      </c>
      <c r="BJ101" s="98">
        <v>1.5619691591617963</v>
      </c>
      <c r="BK101" s="98">
        <v>1130.240883569476</v>
      </c>
      <c r="BL101" s="98">
        <v>1.1328563049657867</v>
      </c>
      <c r="BM101" s="98">
        <v>819.73482227324325</v>
      </c>
      <c r="BN101" s="98">
        <v>2.4509384969734782</v>
      </c>
      <c r="BO101" s="98">
        <v>1773.4990964100089</v>
      </c>
      <c r="BP101" s="98">
        <v>3.3953363536173291</v>
      </c>
      <c r="BQ101" s="98">
        <v>2456.8653854774993</v>
      </c>
      <c r="BR101" s="98">
        <v>2.3597127446402819</v>
      </c>
      <c r="BS101" s="98">
        <v>1707.488142021708</v>
      </c>
      <c r="BT101" s="98">
        <v>1.5779412223489313</v>
      </c>
      <c r="BU101" s="98">
        <v>1141.7982684916867</v>
      </c>
      <c r="BV101" s="98">
        <v>0.96245946718696551</v>
      </c>
      <c r="BW101" s="98">
        <v>696.43567045648831</v>
      </c>
      <c r="BX101" s="98">
        <v>2.8391158717107801</v>
      </c>
      <c r="BY101" s="98">
        <v>2054.3842447699203</v>
      </c>
      <c r="BZ101" s="98">
        <v>0.57159216982746675</v>
      </c>
      <c r="CA101" s="98">
        <v>413.60409408715498</v>
      </c>
      <c r="CB101" s="98">
        <v>1.996007402395283</v>
      </c>
      <c r="CC101" s="98">
        <v>1444.3109563732269</v>
      </c>
      <c r="CD101" s="98">
        <v>3.2636929558401713</v>
      </c>
      <c r="CE101" s="98">
        <v>2361.6082228459481</v>
      </c>
      <c r="CF101" s="98">
        <v>0.84435803810379573</v>
      </c>
      <c r="CG101" s="98">
        <v>610.97747637190662</v>
      </c>
      <c r="CH101" s="98">
        <v>1.7264375977405715</v>
      </c>
      <c r="CI101" s="98">
        <v>1249.2502457250775</v>
      </c>
      <c r="CJ101" s="98">
        <v>1.7553774674327776</v>
      </c>
      <c r="CK101" s="98">
        <v>1270.1911354343579</v>
      </c>
      <c r="CL101" s="98">
        <v>3.3810539047310795</v>
      </c>
      <c r="CM101" s="98">
        <v>2446.5306054634093</v>
      </c>
      <c r="CN101" s="98">
        <v>2.0441512129588819</v>
      </c>
      <c r="CO101" s="98">
        <v>1479.147817697047</v>
      </c>
      <c r="CP101" s="98">
        <v>2.8397344849035271</v>
      </c>
      <c r="CQ101" s="98">
        <v>2054.8318732761923</v>
      </c>
      <c r="CR101" s="98">
        <v>0.87975631109872499</v>
      </c>
      <c r="CS101" s="98">
        <v>636.59166671103742</v>
      </c>
      <c r="CT101" s="98">
        <v>0.8292878545007133</v>
      </c>
      <c r="CU101" s="98">
        <v>600.07269151671619</v>
      </c>
    </row>
    <row r="102" spans="2:99">
      <c r="C102" s="97" t="s">
        <v>269</v>
      </c>
      <c r="D102" s="98">
        <v>0</v>
      </c>
      <c r="E102" s="98">
        <v>0</v>
      </c>
      <c r="F102" s="98">
        <v>3.0657876479555464</v>
      </c>
      <c r="G102" s="98">
        <v>1629.7727136531685</v>
      </c>
      <c r="H102" s="98">
        <v>2.8594105502005087</v>
      </c>
      <c r="I102" s="98">
        <v>1520.0626484865904</v>
      </c>
      <c r="J102" s="98">
        <v>2.6510100945147652</v>
      </c>
      <c r="K102" s="98">
        <v>1409.2769662440492</v>
      </c>
      <c r="L102" s="98">
        <v>2.0067800662230479</v>
      </c>
      <c r="M102" s="98">
        <v>1066.8042832041724</v>
      </c>
      <c r="N102" s="98">
        <v>2.3093874682676301</v>
      </c>
      <c r="O102" s="98">
        <v>1227.6703781310723</v>
      </c>
      <c r="P102" s="98">
        <v>1.732228694718569</v>
      </c>
      <c r="Q102" s="98">
        <v>920.85277411239133</v>
      </c>
      <c r="R102" s="98">
        <v>0.78923506162292945</v>
      </c>
      <c r="S102" s="98">
        <v>419.55735875874933</v>
      </c>
      <c r="T102" s="98">
        <v>1.4900377393397286</v>
      </c>
      <c r="U102" s="98">
        <v>792.10406223299981</v>
      </c>
      <c r="V102" s="98">
        <v>1.268050387805383</v>
      </c>
      <c r="W102" s="98">
        <v>674.0955861573417</v>
      </c>
      <c r="X102" s="98">
        <v>3.4689437466947033</v>
      </c>
      <c r="Y102" s="98">
        <v>1844.0904957429043</v>
      </c>
      <c r="Z102" s="98">
        <v>2.3774060232696876</v>
      </c>
      <c r="AA102" s="98">
        <v>1263.8290419701659</v>
      </c>
      <c r="AB102" s="98">
        <v>1.1871529681032003</v>
      </c>
      <c r="AC102" s="98">
        <v>631.09051784366125</v>
      </c>
      <c r="AD102" s="98">
        <v>2.7763727544711774</v>
      </c>
      <c r="AE102" s="98">
        <v>1475.9197562768779</v>
      </c>
      <c r="AF102" s="98">
        <v>1.8662133786235033</v>
      </c>
      <c r="AG102" s="98">
        <v>992.07903207625441</v>
      </c>
      <c r="AH102" s="98">
        <v>2.9352876569559312</v>
      </c>
      <c r="AI102" s="98">
        <v>1560.3989184377731</v>
      </c>
      <c r="AJ102" s="98">
        <v>1.7213582834889734</v>
      </c>
      <c r="AK102" s="98">
        <v>915.07406350273823</v>
      </c>
      <c r="AL102" s="98">
        <v>0.86224109851443598</v>
      </c>
      <c r="AM102" s="98">
        <v>458.36736797027419</v>
      </c>
      <c r="AN102" s="98">
        <v>1.9743940213145112</v>
      </c>
      <c r="AO102" s="98">
        <v>1049.5878617307942</v>
      </c>
      <c r="AP102" s="98">
        <v>0.67006716631159002</v>
      </c>
      <c r="AQ102" s="98">
        <v>356.20770561124129</v>
      </c>
      <c r="AR102" s="98">
        <v>1.6567445202298221</v>
      </c>
      <c r="AS102" s="98">
        <v>880.72538695417347</v>
      </c>
      <c r="AT102" s="98">
        <v>1.6630973430390756</v>
      </c>
      <c r="AU102" s="98">
        <v>884.1025475595726</v>
      </c>
      <c r="AV102" s="98">
        <v>2.322628756097548</v>
      </c>
      <c r="AW102" s="98">
        <v>1234.7094467414565</v>
      </c>
      <c r="AX102" s="98">
        <v>1.750688487890226</v>
      </c>
      <c r="AY102" s="98">
        <v>930.66600016244422</v>
      </c>
      <c r="AZ102" s="98">
        <v>1.2617783592863574</v>
      </c>
      <c r="BA102" s="98">
        <v>670.76137579662759</v>
      </c>
      <c r="BB102" s="98">
        <v>2.0962308666763616</v>
      </c>
      <c r="BC102" s="98">
        <v>1114.3563287251538</v>
      </c>
      <c r="BD102" s="98">
        <v>1.2436513574891452</v>
      </c>
      <c r="BE102" s="98">
        <v>661.12506164122965</v>
      </c>
      <c r="BF102" s="98">
        <v>3.171677917310141</v>
      </c>
      <c r="BG102" s="98">
        <v>1686.063980842071</v>
      </c>
      <c r="BH102" s="98">
        <v>2.3190101141302599</v>
      </c>
      <c r="BI102" s="98">
        <v>1232.7857766716463</v>
      </c>
      <c r="BJ102" s="98">
        <v>1.5619691591617963</v>
      </c>
      <c r="BK102" s="98">
        <v>830.34280501041098</v>
      </c>
      <c r="BL102" s="98">
        <v>1.1328563049657867</v>
      </c>
      <c r="BM102" s="98">
        <v>602.22641171981229</v>
      </c>
      <c r="BN102" s="98">
        <v>2.8965636782413835</v>
      </c>
      <c r="BO102" s="98">
        <v>1539.8132513531195</v>
      </c>
      <c r="BP102" s="98">
        <v>3.3953363536173291</v>
      </c>
      <c r="BQ102" s="98">
        <v>1804.9608055829722</v>
      </c>
      <c r="BR102" s="98">
        <v>2.1781963796679524</v>
      </c>
      <c r="BS102" s="98">
        <v>1157.9291954314835</v>
      </c>
      <c r="BT102" s="98">
        <v>1.5779412223489313</v>
      </c>
      <c r="BU102" s="98">
        <v>838.8335538006919</v>
      </c>
      <c r="BV102" s="98">
        <v>0.89371236238789664</v>
      </c>
      <c r="BW102" s="98">
        <v>475.0974918454059</v>
      </c>
      <c r="BX102" s="98">
        <v>2.6363218808742959</v>
      </c>
      <c r="BY102" s="98">
        <v>1401.4687118727757</v>
      </c>
      <c r="BZ102" s="98">
        <v>0.53076415769693341</v>
      </c>
      <c r="CA102" s="98">
        <v>282.15422623168979</v>
      </c>
      <c r="CB102" s="98">
        <v>1.7108634877673852</v>
      </c>
      <c r="CC102" s="98">
        <v>909.49503009714203</v>
      </c>
      <c r="CD102" s="98">
        <v>3.2636929558401713</v>
      </c>
      <c r="CE102" s="98">
        <v>1734.9791753246352</v>
      </c>
      <c r="CF102" s="98">
        <v>0.77399486826181285</v>
      </c>
      <c r="CG102" s="98">
        <v>411.45567196797975</v>
      </c>
      <c r="CH102" s="98">
        <v>1.5537938379665142</v>
      </c>
      <c r="CI102" s="98">
        <v>825.99680426299892</v>
      </c>
      <c r="CJ102" s="98">
        <v>2.106452960919333</v>
      </c>
      <c r="CK102" s="98">
        <v>1119.7903940247174</v>
      </c>
      <c r="CL102" s="98">
        <v>2.8175449206092331</v>
      </c>
      <c r="CM102" s="98">
        <v>1497.8068797958683</v>
      </c>
      <c r="CN102" s="98">
        <v>2.0441512129588819</v>
      </c>
      <c r="CO102" s="98">
        <v>1086.6707848089416</v>
      </c>
      <c r="CP102" s="98">
        <v>2.8397344849035271</v>
      </c>
      <c r="CQ102" s="98">
        <v>1509.6028521747151</v>
      </c>
      <c r="CR102" s="98">
        <v>0.87975631109872499</v>
      </c>
      <c r="CS102" s="98">
        <v>467.67845498008222</v>
      </c>
      <c r="CT102" s="98">
        <v>0.8292878545007133</v>
      </c>
      <c r="CU102" s="98">
        <v>440.84942345257923</v>
      </c>
    </row>
    <row r="103" spans="2:99">
      <c r="C103" s="97" t="s">
        <v>270</v>
      </c>
      <c r="D103" s="98">
        <v>0</v>
      </c>
      <c r="E103" s="98">
        <v>0</v>
      </c>
      <c r="F103" s="98">
        <v>3.0657876479555464</v>
      </c>
      <c r="G103" s="98">
        <v>1806.3620821754077</v>
      </c>
      <c r="H103" s="98">
        <v>2.5019842314254452</v>
      </c>
      <c r="I103" s="98">
        <v>1474.1691091558721</v>
      </c>
      <c r="J103" s="98">
        <v>2.6510100945147652</v>
      </c>
      <c r="K103" s="98">
        <v>1561.9751476880995</v>
      </c>
      <c r="L103" s="98">
        <v>2.1740117384083022</v>
      </c>
      <c r="M103" s="98">
        <v>1280.9277162701715</v>
      </c>
      <c r="N103" s="98">
        <v>2.4870326581343707</v>
      </c>
      <c r="O103" s="98">
        <v>1465.3596421727711</v>
      </c>
      <c r="P103" s="98">
        <v>1.5590058252467121</v>
      </c>
      <c r="Q103" s="98">
        <v>918.56623223536269</v>
      </c>
      <c r="R103" s="98">
        <v>0.78923506162292945</v>
      </c>
      <c r="S103" s="98">
        <v>465.01729830822995</v>
      </c>
      <c r="T103" s="98">
        <v>1.4900377393397286</v>
      </c>
      <c r="U103" s="98">
        <v>877.930236018968</v>
      </c>
      <c r="V103" s="98">
        <v>1.4492004432061523</v>
      </c>
      <c r="W103" s="98">
        <v>853.86890113706477</v>
      </c>
      <c r="X103" s="98">
        <v>3.7167254428871819</v>
      </c>
      <c r="Y103" s="98">
        <v>2189.8946309491275</v>
      </c>
      <c r="Z103" s="98">
        <v>2.5935338435669317</v>
      </c>
      <c r="AA103" s="98">
        <v>1528.1101406296359</v>
      </c>
      <c r="AB103" s="98">
        <v>1.0175596869456001</v>
      </c>
      <c r="AC103" s="98">
        <v>599.54616754834751</v>
      </c>
      <c r="AD103" s="98">
        <v>2.562805619511856</v>
      </c>
      <c r="AE103" s="98">
        <v>1510.0050710163855</v>
      </c>
      <c r="AF103" s="98">
        <v>1.7226585033447726</v>
      </c>
      <c r="AG103" s="98">
        <v>1014.9903901707398</v>
      </c>
      <c r="AH103" s="98">
        <v>3.3868703734106895</v>
      </c>
      <c r="AI103" s="98">
        <v>1995.5440240135781</v>
      </c>
      <c r="AJ103" s="98">
        <v>1.7213582834889734</v>
      </c>
      <c r="AK103" s="98">
        <v>1014.2243006317029</v>
      </c>
      <c r="AL103" s="98">
        <v>0.94846520836587944</v>
      </c>
      <c r="AM103" s="98">
        <v>558.83570076917613</v>
      </c>
      <c r="AN103" s="98">
        <v>1.9743940213145112</v>
      </c>
      <c r="AO103" s="98">
        <v>1163.3129573585099</v>
      </c>
      <c r="AP103" s="98">
        <v>0.81897098104749888</v>
      </c>
      <c r="AQ103" s="98">
        <v>482.53770203318629</v>
      </c>
      <c r="AR103" s="98">
        <v>1.8638375852585498</v>
      </c>
      <c r="AS103" s="98">
        <v>1098.1731052343375</v>
      </c>
      <c r="AT103" s="98">
        <v>1.4967876087351679</v>
      </c>
      <c r="AU103" s="98">
        <v>881.90725906676084</v>
      </c>
      <c r="AV103" s="98">
        <v>2.1567267020905803</v>
      </c>
      <c r="AW103" s="98">
        <v>1270.7433728717697</v>
      </c>
      <c r="AX103" s="98">
        <v>1.750688487890226</v>
      </c>
      <c r="AY103" s="98">
        <v>1031.505657064921</v>
      </c>
      <c r="AZ103" s="98">
        <v>1.3764854828578443</v>
      </c>
      <c r="BA103" s="98">
        <v>811.02524649984184</v>
      </c>
      <c r="BB103" s="98">
        <v>2.0962308666763616</v>
      </c>
      <c r="BC103" s="98">
        <v>1235.0992266457122</v>
      </c>
      <c r="BD103" s="98">
        <v>1.2436513574891452</v>
      </c>
      <c r="BE103" s="98">
        <v>732.75937983260428</v>
      </c>
      <c r="BF103" s="98">
        <v>3.4600122734292449</v>
      </c>
      <c r="BG103" s="98">
        <v>2038.6392315045109</v>
      </c>
      <c r="BH103" s="98">
        <v>2.3190101141302599</v>
      </c>
      <c r="BI103" s="98">
        <v>1366.3607592455489</v>
      </c>
      <c r="BJ103" s="98">
        <v>1.3884170303660412</v>
      </c>
      <c r="BK103" s="98">
        <v>818.05531429167138</v>
      </c>
      <c r="BL103" s="98">
        <v>1.1328563049657867</v>
      </c>
      <c r="BM103" s="98">
        <v>667.47893488584145</v>
      </c>
      <c r="BN103" s="98">
        <v>2.6737510876074309</v>
      </c>
      <c r="BO103" s="98">
        <v>1575.374140818298</v>
      </c>
      <c r="BP103" s="98">
        <v>3.0866694123793903</v>
      </c>
      <c r="BQ103" s="98">
        <v>1818.6656177739364</v>
      </c>
      <c r="BR103" s="98">
        <v>2.3597127446402819</v>
      </c>
      <c r="BS103" s="98">
        <v>1390.3427491420539</v>
      </c>
      <c r="BT103" s="98">
        <v>1.5779412223489313</v>
      </c>
      <c r="BU103" s="98">
        <v>929.72296820799022</v>
      </c>
      <c r="BV103" s="98">
        <v>0.89371236238789664</v>
      </c>
      <c r="BW103" s="98">
        <v>526.57532391894858</v>
      </c>
      <c r="BX103" s="98">
        <v>2.4335278900378117</v>
      </c>
      <c r="BY103" s="98">
        <v>1433.8346328102784</v>
      </c>
      <c r="BZ103" s="98">
        <v>0.61242018195800008</v>
      </c>
      <c r="CA103" s="98">
        <v>360.83797120965363</v>
      </c>
      <c r="CB103" s="98">
        <v>1.7108634877673852</v>
      </c>
      <c r="CC103" s="98">
        <v>1008.0407669925432</v>
      </c>
      <c r="CD103" s="98">
        <v>3.2636929558401713</v>
      </c>
      <c r="CE103" s="98">
        <v>1922.9678895810287</v>
      </c>
      <c r="CF103" s="98">
        <v>0.84435803810379573</v>
      </c>
      <c r="CG103" s="98">
        <v>497.49575605075637</v>
      </c>
      <c r="CH103" s="98">
        <v>1.7264375977405715</v>
      </c>
      <c r="CI103" s="98">
        <v>1017.2170325887446</v>
      </c>
      <c r="CJ103" s="98">
        <v>1.9309152141760553</v>
      </c>
      <c r="CK103" s="98">
        <v>1137.6952441925316</v>
      </c>
      <c r="CL103" s="98">
        <v>3.0992994126701565</v>
      </c>
      <c r="CM103" s="98">
        <v>1826.107213945256</v>
      </c>
      <c r="CN103" s="98">
        <v>1.7296664109652078</v>
      </c>
      <c r="CO103" s="98">
        <v>1019.1194493407003</v>
      </c>
      <c r="CP103" s="98">
        <v>2.4340581299173092</v>
      </c>
      <c r="CQ103" s="98">
        <v>1434.1470501472784</v>
      </c>
      <c r="CR103" s="98">
        <v>0.97750701233191661</v>
      </c>
      <c r="CS103" s="98">
        <v>575.94713166596523</v>
      </c>
      <c r="CT103" s="98">
        <v>0.98006746440993409</v>
      </c>
      <c r="CU103" s="98">
        <v>577.45575003033309</v>
      </c>
    </row>
    <row r="104" spans="2:99">
      <c r="C104" s="97" t="s">
        <v>271</v>
      </c>
      <c r="D104" s="98">
        <v>0</v>
      </c>
      <c r="E104" s="98">
        <v>0</v>
      </c>
      <c r="F104" s="98">
        <v>3.4064307199506074</v>
      </c>
      <c r="G104" s="98">
        <v>2154.2267872967641</v>
      </c>
      <c r="H104" s="98">
        <v>2.5019842314254452</v>
      </c>
      <c r="I104" s="98">
        <v>1582.2548279534515</v>
      </c>
      <c r="J104" s="98">
        <v>2.8549339479389775</v>
      </c>
      <c r="K104" s="98">
        <v>1805.4602286766094</v>
      </c>
      <c r="L104" s="98">
        <v>1.8395483940377941</v>
      </c>
      <c r="M104" s="98">
        <v>1163.3304043895009</v>
      </c>
      <c r="N104" s="98">
        <v>2.131742278400889</v>
      </c>
      <c r="O104" s="98">
        <v>1348.1138168607222</v>
      </c>
      <c r="P104" s="98">
        <v>1.732228694718569</v>
      </c>
      <c r="Q104" s="98">
        <v>1095.461426540023</v>
      </c>
      <c r="R104" s="98">
        <v>0.78923506162292945</v>
      </c>
      <c r="S104" s="98">
        <v>499.11225297034059</v>
      </c>
      <c r="T104" s="98">
        <v>1.4900377393397286</v>
      </c>
      <c r="U104" s="98">
        <v>942.29986635844432</v>
      </c>
      <c r="V104" s="98">
        <v>1.4492004432061523</v>
      </c>
      <c r="W104" s="98">
        <v>916.4743602835706</v>
      </c>
      <c r="X104" s="98">
        <v>2.9733803543097457</v>
      </c>
      <c r="Y104" s="98">
        <v>1880.3657360654831</v>
      </c>
      <c r="Z104" s="98">
        <v>2.5935338435669317</v>
      </c>
      <c r="AA104" s="98">
        <v>1640.1508026717277</v>
      </c>
      <c r="AB104" s="98">
        <v>1.0175596869456001</v>
      </c>
      <c r="AC104" s="98">
        <v>643.50474602439749</v>
      </c>
      <c r="AD104" s="98">
        <v>2.7763727544711774</v>
      </c>
      <c r="AE104" s="98">
        <v>1755.7781299275725</v>
      </c>
      <c r="AF104" s="98">
        <v>1.8662133786235033</v>
      </c>
      <c r="AG104" s="98">
        <v>1180.1933406415035</v>
      </c>
      <c r="AH104" s="98">
        <v>3.1610790151833106</v>
      </c>
      <c r="AI104" s="98">
        <v>1999.0663692019255</v>
      </c>
      <c r="AJ104" s="98">
        <v>1.598404120382618</v>
      </c>
      <c r="AK104" s="98">
        <v>1010.8307657299677</v>
      </c>
      <c r="AL104" s="98">
        <v>0.86224109851443598</v>
      </c>
      <c r="AM104" s="98">
        <v>545.28127070052926</v>
      </c>
      <c r="AN104" s="98">
        <v>1.9743940213145112</v>
      </c>
      <c r="AO104" s="98">
        <v>1248.6067790792968</v>
      </c>
      <c r="AP104" s="98">
        <v>0.7445190736795444</v>
      </c>
      <c r="AQ104" s="98">
        <v>470.83386219494383</v>
      </c>
      <c r="AR104" s="98">
        <v>1.8638375852585498</v>
      </c>
      <c r="AS104" s="98">
        <v>1178.6908889175068</v>
      </c>
      <c r="AT104" s="98">
        <v>1.3304778744312604</v>
      </c>
      <c r="AU104" s="98">
        <v>841.39420779032901</v>
      </c>
      <c r="AV104" s="98">
        <v>2.1567267020905803</v>
      </c>
      <c r="AW104" s="98">
        <v>1363.9139664020829</v>
      </c>
      <c r="AX104" s="98">
        <v>1.750688487890226</v>
      </c>
      <c r="AY104" s="98">
        <v>1107.1353997417789</v>
      </c>
      <c r="AZ104" s="98">
        <v>1.2617783592863574</v>
      </c>
      <c r="BA104" s="98">
        <v>797.9486344126924</v>
      </c>
      <c r="BB104" s="98">
        <v>2.3058539533439979</v>
      </c>
      <c r="BC104" s="98">
        <v>1458.2220400947442</v>
      </c>
      <c r="BD104" s="98">
        <v>1.3567105718063401</v>
      </c>
      <c r="BE104" s="98">
        <v>857.98376561032944</v>
      </c>
      <c r="BF104" s="98">
        <v>3.171677917310141</v>
      </c>
      <c r="BG104" s="98">
        <v>2005.7691149069331</v>
      </c>
      <c r="BH104" s="98">
        <v>2.1533665345495274</v>
      </c>
      <c r="BI104" s="98">
        <v>1361.788996449121</v>
      </c>
      <c r="BJ104" s="98">
        <v>1.5619691591617963</v>
      </c>
      <c r="BK104" s="98">
        <v>987.78929625391993</v>
      </c>
      <c r="BL104" s="98">
        <v>1.0457135122761108</v>
      </c>
      <c r="BM104" s="98">
        <v>661.30922516341241</v>
      </c>
      <c r="BN104" s="98">
        <v>2.4509384969734782</v>
      </c>
      <c r="BO104" s="98">
        <v>1549.9735054860275</v>
      </c>
      <c r="BP104" s="98">
        <v>3.3953363536173291</v>
      </c>
      <c r="BQ104" s="98">
        <v>2147.2107100275989</v>
      </c>
      <c r="BR104" s="98">
        <v>2.1781963796679524</v>
      </c>
      <c r="BS104" s="98">
        <v>1377.491390502013</v>
      </c>
      <c r="BT104" s="98">
        <v>1.5779412223489313</v>
      </c>
      <c r="BU104" s="98">
        <v>997.89002901346407</v>
      </c>
      <c r="BV104" s="98">
        <v>0.89371236238789664</v>
      </c>
      <c r="BW104" s="98">
        <v>565.18369797410583</v>
      </c>
      <c r="BX104" s="98">
        <v>2.4335278900378117</v>
      </c>
      <c r="BY104" s="98">
        <v>1538.9630376599121</v>
      </c>
      <c r="BZ104" s="98">
        <v>0.48993614556640008</v>
      </c>
      <c r="CA104" s="98">
        <v>309.83561845619141</v>
      </c>
      <c r="CB104" s="98">
        <v>1.8534354450813342</v>
      </c>
      <c r="CC104" s="98">
        <v>1172.1125754694358</v>
      </c>
      <c r="CD104" s="98">
        <v>3.729934806674482</v>
      </c>
      <c r="CE104" s="98">
        <v>2358.8107717409425</v>
      </c>
      <c r="CF104" s="98">
        <v>0.84435803810379573</v>
      </c>
      <c r="CG104" s="98">
        <v>533.97202329684035</v>
      </c>
      <c r="CH104" s="98">
        <v>1.8990813575146286</v>
      </c>
      <c r="CI104" s="98">
        <v>1200.979050492251</v>
      </c>
      <c r="CJ104" s="98">
        <v>1.9309152141760553</v>
      </c>
      <c r="CK104" s="98">
        <v>1221.1107814449374</v>
      </c>
      <c r="CL104" s="98">
        <v>3.3810539047310795</v>
      </c>
      <c r="CM104" s="98">
        <v>2138.1784893519348</v>
      </c>
      <c r="CN104" s="98">
        <v>2.0441512129588819</v>
      </c>
      <c r="CO104" s="98">
        <v>1292.7212270751968</v>
      </c>
      <c r="CP104" s="98">
        <v>2.4340581299173092</v>
      </c>
      <c r="CQ104" s="98">
        <v>1539.2983613597062</v>
      </c>
      <c r="CR104" s="98">
        <v>0.97750701233191661</v>
      </c>
      <c r="CS104" s="98">
        <v>618.1754345987041</v>
      </c>
      <c r="CT104" s="98">
        <v>0.8292878545007133</v>
      </c>
      <c r="CU104" s="98">
        <v>524.44163918625111</v>
      </c>
    </row>
    <row r="105" spans="2:99">
      <c r="C105" s="97" t="s">
        <v>272</v>
      </c>
      <c r="D105" s="98">
        <v>0</v>
      </c>
      <c r="E105" s="98">
        <v>0</v>
      </c>
      <c r="F105" s="98">
        <v>3.4064307199506074</v>
      </c>
      <c r="G105" s="98">
        <v>1896.7006248684982</v>
      </c>
      <c r="H105" s="98">
        <v>2.5019842314254452</v>
      </c>
      <c r="I105" s="98">
        <v>1393.1048200576879</v>
      </c>
      <c r="J105" s="98">
        <v>2.6510100945147652</v>
      </c>
      <c r="K105" s="98">
        <v>1476.0824206258212</v>
      </c>
      <c r="L105" s="98">
        <v>2.0067800662230479</v>
      </c>
      <c r="M105" s="98">
        <v>1117.3751408729929</v>
      </c>
      <c r="N105" s="98">
        <v>2.131742278400889</v>
      </c>
      <c r="O105" s="98">
        <v>1186.9541006136149</v>
      </c>
      <c r="P105" s="98">
        <v>1.732228694718569</v>
      </c>
      <c r="Q105" s="98">
        <v>964.50493721929911</v>
      </c>
      <c r="R105" s="98">
        <v>0.78923506162292945</v>
      </c>
      <c r="S105" s="98">
        <v>439.4460823116471</v>
      </c>
      <c r="T105" s="98">
        <v>1.4900377393397286</v>
      </c>
      <c r="U105" s="98">
        <v>829.65301326436077</v>
      </c>
      <c r="V105" s="98">
        <v>1.4492004432061523</v>
      </c>
      <c r="W105" s="98">
        <v>806.9148067771855</v>
      </c>
      <c r="X105" s="98">
        <v>3.4689437466947033</v>
      </c>
      <c r="Y105" s="98">
        <v>1931.5078781596105</v>
      </c>
      <c r="Z105" s="98">
        <v>2.5935338435669317</v>
      </c>
      <c r="AA105" s="98">
        <v>1444.0796440980675</v>
      </c>
      <c r="AB105" s="98">
        <v>1.0175596869456001</v>
      </c>
      <c r="AC105" s="98">
        <v>566.57723369131008</v>
      </c>
      <c r="AD105" s="98">
        <v>2.562805619511856</v>
      </c>
      <c r="AE105" s="98">
        <v>1426.9701689442013</v>
      </c>
      <c r="AF105" s="98">
        <v>1.7226585033447726</v>
      </c>
      <c r="AG105" s="98">
        <v>959.17625466236927</v>
      </c>
      <c r="AH105" s="98">
        <v>3.1610790151833106</v>
      </c>
      <c r="AI105" s="98">
        <v>1760.0887956540671</v>
      </c>
      <c r="AJ105" s="98">
        <v>1.598404120382618</v>
      </c>
      <c r="AK105" s="98">
        <v>889.99141422904165</v>
      </c>
      <c r="AL105" s="98">
        <v>0.86224109851443598</v>
      </c>
      <c r="AM105" s="98">
        <v>480.09584365283791</v>
      </c>
      <c r="AN105" s="98">
        <v>2.1937711347939013</v>
      </c>
      <c r="AO105" s="98">
        <v>1221.491767853244</v>
      </c>
      <c r="AP105" s="98">
        <v>0.81897098104749888</v>
      </c>
      <c r="AQ105" s="98">
        <v>456.00304224724732</v>
      </c>
      <c r="AR105" s="98">
        <v>1.8638375852585498</v>
      </c>
      <c r="AS105" s="98">
        <v>1037.7847674719605</v>
      </c>
      <c r="AT105" s="98">
        <v>1.6630973430390756</v>
      </c>
      <c r="AU105" s="98">
        <v>926.01260060415723</v>
      </c>
      <c r="AV105" s="98">
        <v>2.1567267020905803</v>
      </c>
      <c r="AW105" s="98">
        <v>1200.865427724035</v>
      </c>
      <c r="AX105" s="98">
        <v>2.0007868433031155</v>
      </c>
      <c r="AY105" s="98">
        <v>1114.0381143511747</v>
      </c>
      <c r="AZ105" s="98">
        <v>1.2617783592863574</v>
      </c>
      <c r="BA105" s="98">
        <v>702.55819045064379</v>
      </c>
      <c r="BB105" s="98">
        <v>1.8866077800087255</v>
      </c>
      <c r="BC105" s="98">
        <v>1050.4632119088583</v>
      </c>
      <c r="BD105" s="98">
        <v>1.3567105718063401</v>
      </c>
      <c r="BE105" s="98">
        <v>755.41644638177013</v>
      </c>
      <c r="BF105" s="98">
        <v>3.171677917310141</v>
      </c>
      <c r="BG105" s="98">
        <v>1765.9902643582864</v>
      </c>
      <c r="BH105" s="98">
        <v>2.1533665345495274</v>
      </c>
      <c r="BI105" s="98">
        <v>1198.9944864371769</v>
      </c>
      <c r="BJ105" s="98">
        <v>1.3884170303660412</v>
      </c>
      <c r="BK105" s="98">
        <v>773.07060250781171</v>
      </c>
      <c r="BL105" s="98">
        <v>1.1328563049657867</v>
      </c>
      <c r="BM105" s="98">
        <v>630.77439060494999</v>
      </c>
      <c r="BN105" s="98">
        <v>2.8965636782413835</v>
      </c>
      <c r="BO105" s="98">
        <v>1612.8066560448021</v>
      </c>
      <c r="BP105" s="98">
        <v>3.7040032948552684</v>
      </c>
      <c r="BQ105" s="98">
        <v>2062.3890345754135</v>
      </c>
      <c r="BR105" s="98">
        <v>2.5412291096126114</v>
      </c>
      <c r="BS105" s="98">
        <v>1414.9563682323019</v>
      </c>
      <c r="BT105" s="98">
        <v>1.5779412223489313</v>
      </c>
      <c r="BU105" s="98">
        <v>878.59767260388492</v>
      </c>
      <c r="BV105" s="98">
        <v>0.96245946718696551</v>
      </c>
      <c r="BW105" s="98">
        <v>535.89743132970239</v>
      </c>
      <c r="BX105" s="98">
        <v>2.8391158717107801</v>
      </c>
      <c r="BY105" s="98">
        <v>1580.8197173685621</v>
      </c>
      <c r="BZ105" s="98">
        <v>0.61242018195800008</v>
      </c>
      <c r="CA105" s="98">
        <v>340.99555731421441</v>
      </c>
      <c r="CB105" s="98">
        <v>1.8534354450813342</v>
      </c>
      <c r="CC105" s="98">
        <v>1031.9928558212869</v>
      </c>
      <c r="CD105" s="98">
        <v>3.729934806674482</v>
      </c>
      <c r="CE105" s="98">
        <v>2076.8277003563512</v>
      </c>
      <c r="CF105" s="98">
        <v>0.77399486826181285</v>
      </c>
      <c r="CG105" s="98">
        <v>430.96034264817735</v>
      </c>
      <c r="CH105" s="98">
        <v>1.7264375977405715</v>
      </c>
      <c r="CI105" s="98">
        <v>961.28045442195014</v>
      </c>
      <c r="CJ105" s="98">
        <v>2.106452960919333</v>
      </c>
      <c r="CK105" s="98">
        <v>1172.8730086398846</v>
      </c>
      <c r="CL105" s="98">
        <v>3.3810539047310795</v>
      </c>
      <c r="CM105" s="98">
        <v>1882.570814154265</v>
      </c>
      <c r="CN105" s="98">
        <v>1.8869088119620447</v>
      </c>
      <c r="CO105" s="98">
        <v>1050.6308265004664</v>
      </c>
      <c r="CP105" s="98">
        <v>2.6368963074104181</v>
      </c>
      <c r="CQ105" s="98">
        <v>1468.2238639661207</v>
      </c>
      <c r="CR105" s="98">
        <v>0.97750701233191661</v>
      </c>
      <c r="CS105" s="98">
        <v>544.27590446641113</v>
      </c>
      <c r="CT105" s="98">
        <v>0.90467765945532375</v>
      </c>
      <c r="CU105" s="98">
        <v>503.72452078472423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1397</v>
      </c>
      <c r="E109" s="98">
        <f>SUM(L$6:L$19)+SUM(N$6:N$19)+SUM(P$6:P$19)+SUM(R$6:R$19)</f>
        <v>1409</v>
      </c>
      <c r="F109" s="98">
        <f>SUM(T$6:T$19)+SUM(V$6:V$19)+SUM(X$6:X$19)+SUM(Z$6:Z$19)</f>
        <v>1373</v>
      </c>
      <c r="G109" s="98">
        <f>SUM(AB$6:AB$19)+SUM(AD$6:AD$19)+SUM(AF$6:AF$19)+SUM(AH$6:AH$19)</f>
        <v>1627</v>
      </c>
      <c r="H109" s="98">
        <f>SUM(AJ$6:AJ$19)+SUM(AL$6:AL$19)+SUM(AN$6:AN$19)+SUM(AP$6:AP$19)</f>
        <v>1621</v>
      </c>
      <c r="I109" s="98">
        <f>SUM(AR$6:AR$19)+SUM(AT$6:AT$19)+SUM(AV$6:AV$19)+SUM(AX$6:AX$19)</f>
        <v>1555</v>
      </c>
      <c r="J109" s="98">
        <f>SUM(AZ$6:AZ$19)+SUM(BB$6:BB$19)+SUM(BD$6:BD$19)+SUM(BF$6:BF$19)</f>
        <v>1494</v>
      </c>
      <c r="K109" s="98">
        <f>SUM(BH$6:BH$19)+SUM(BJ$6:BJ$19)+SUM(BL$6:BL$19)+SUM(BN$6:BN$19)</f>
        <v>1459</v>
      </c>
      <c r="L109" s="98">
        <f>SUM(BP$6:BP$19)+SUM(BR$6:BR$19)+SUM(BT$6:BT$19)+SUM(BV$6:BV$19)</f>
        <v>1646</v>
      </c>
      <c r="M109" s="98">
        <f>SUM(BX$6:BX$19)+SUM(BZ$6:BZ$19)+SUM(CB$6:CB$19)+SUM(CD$6:CD$19)</f>
        <v>1590</v>
      </c>
      <c r="N109" s="98">
        <f>SUM(CF$6:CF$19)+SUM(CH$6:CH$19)+SUM(CJ$6:CJ$19)+SUM(CL$6:CL$19)</f>
        <v>1582.7592805863674</v>
      </c>
      <c r="O109" s="98">
        <f>SUM(CN$6:CN$19)+SUM(CP$6:CP$19)+SUM(CR$6:CR$19)+SUM(CT$6:CT$19)</f>
        <v>1775</v>
      </c>
    </row>
    <row r="110" spans="2:99">
      <c r="C110" s="97" t="s">
        <v>127</v>
      </c>
      <c r="D110" s="98">
        <f>SUM(D$20:D$36)+SUM(F$20:F$36)+SUM(H$20:H$36)+SUM(J$20:J$36)</f>
        <v>2619</v>
      </c>
      <c r="E110" s="98">
        <f>SUM(L$20:L$36)+SUM(N$20:N$36)+SUM(P$20:P$36)+SUM(R$20:R$36)</f>
        <v>3594</v>
      </c>
      <c r="F110" s="98">
        <f>SUM(T$20:T$36)+SUM(V$20:V$36)+SUM(X$20:X$36)+SUM(Z$20:Z$36)</f>
        <v>3256</v>
      </c>
      <c r="G110" s="98">
        <f>SUM(AB$20:AB$36)+SUM(AD$20:AD$36)+SUM(AF$20:AF$36)+SUM(AH$20:AH$36)</f>
        <v>2803</v>
      </c>
      <c r="H110" s="98">
        <f>SUM(AJ$20:AJ$36)+SUM(AL$20:AL$36)+SUM(AN$20:AN$36)+SUM(AP$20:AP$36)</f>
        <v>3623</v>
      </c>
      <c r="I110" s="98">
        <f>SUM(AR$20:AR$36)+SUM(AT$20:AT$36)+SUM(AV$20:AV$36)+SUM(AX$20:AX$36)</f>
        <v>3577</v>
      </c>
      <c r="J110" s="98">
        <f>SUM(AZ$20:AZ$36)+SUM(BB$20:BB$36)+SUM(BD$20:BD$36)+SUM(BF$20:BF$36)</f>
        <v>2956</v>
      </c>
      <c r="K110" s="98">
        <f>SUM(BH$20:BH$36)+SUM(BJ$20:BJ$36)+SUM(BL$20:BL$36)+SUM(BN$20:BN$36)</f>
        <v>2926</v>
      </c>
      <c r="L110" s="98">
        <f>SUM(BP$20:BP$36)+SUM(BR$20:BR$36)+SUM(BT$20:BT$36)+SUM(BV$20:BV$36)</f>
        <v>3650</v>
      </c>
      <c r="M110" s="98">
        <f>SUM(BX$20:BX$36)+SUM(BZ$20:BZ$36)+SUM(CB$20:CB$36)+SUM(CD$20:CD$36)</f>
        <v>4018</v>
      </c>
      <c r="N110" s="98">
        <f>SUM(CF$20:CF$36)+SUM(CH$20:CH$36)+SUM(CJ$20:CJ$36)+SUM(CL$20:CL$36)</f>
        <v>2795.6449877582068</v>
      </c>
      <c r="O110" s="98">
        <f>SUM(CN$20:CN$36)+SUM(CP$20:CP$36)+SUM(CR$20:CR$36)+SUM(CT$20:CT$36)</f>
        <v>4001</v>
      </c>
    </row>
    <row r="111" spans="2:99">
      <c r="C111" s="97" t="s">
        <v>128</v>
      </c>
      <c r="D111" s="98">
        <f>SUM(D$37:D$48)+SUM(F$37:F$48)+SUM(H$37:H$48)+SUM(J$37:J$48)</f>
        <v>535</v>
      </c>
      <c r="E111" s="98">
        <f>SUM(L$37:L$48)+SUM(N$37:N$48)+SUM(P$37:P$48)+SUM(R$37:R$48)</f>
        <v>586</v>
      </c>
      <c r="F111" s="98">
        <f>SUM(T$37:T$48)+SUM(V$37:V$48)+SUM(X$37:X$48)+SUM(Z$37:Z$48)</f>
        <v>571</v>
      </c>
      <c r="G111" s="98">
        <f>SUM(AB$37:AB$48)+SUM(AD$37:AD$48)+SUM(AF$37:AF$48)+SUM(AH$37:AH$48)</f>
        <v>607</v>
      </c>
      <c r="H111" s="98">
        <f>SUM(AJ$37:AJ$48)+SUM(AL$37:AL$48)+SUM(AN$37:AN$48)+SUM(AP$37:AP$48)</f>
        <v>671</v>
      </c>
      <c r="I111" s="98">
        <f>SUM(AR$37:AR$48)+SUM(AT$37:AT$48)+SUM(AV$37:AV$48)+SUM(AX$37:AX$48)</f>
        <v>616</v>
      </c>
      <c r="J111" s="98">
        <f>SUM(AZ$37:AZ$48)+SUM(BB$37:BB$48)+SUM(BD$37:BD$48)+SUM(BF$37:BF$48)</f>
        <v>713</v>
      </c>
      <c r="K111" s="98">
        <f>SUM(BH$37:BH$48)+SUM(BJ$37:BJ$48)+SUM(BL$37:BL$48)+SUM(BN$37:BN$48)</f>
        <v>678</v>
      </c>
      <c r="L111" s="98">
        <f>SUM(BP$37:BP$48)+SUM(BR$37:BR$48)+SUM(BT$37:BT$48)+SUM(BV$37:BV$48)</f>
        <v>599</v>
      </c>
      <c r="M111" s="98">
        <f>SUM(BX$37:BX$48)+SUM(BZ$37:BZ$48)+SUM(CB$37:CB$48)+SUM(CD$37:CD$48)</f>
        <v>581</v>
      </c>
      <c r="N111" s="98">
        <f>SUM(CF$37:CF$48)+SUM(CH$37:CH$48)+SUM(CJ$37:CJ$48)+SUM(CL$37:CL$48)</f>
        <v>627.31856947225583</v>
      </c>
      <c r="O111" s="98">
        <f>SUM(CN$37:CN$48)+SUM(CP$37:CP$48)+SUM(CR$37:CR$48)+SUM(CT$37:CT$48)</f>
        <v>521</v>
      </c>
    </row>
    <row r="112" spans="2:99">
      <c r="C112" s="97" t="s">
        <v>129</v>
      </c>
      <c r="D112" s="98">
        <f>SUM(D$49:D$70)+SUM(F$49:F$70)+SUM(H$49:H$70)+SUM(J$49:J$70)</f>
        <v>2040.4126323773112</v>
      </c>
      <c r="E112" s="98">
        <f>SUM(L$49:L$70)+SUM(N$49:N$70)+SUM(P$49:P$70)+SUM(R$49:R$70)</f>
        <v>1910.006984048209</v>
      </c>
      <c r="F112" s="98">
        <f>SUM(T$49:T$70)+SUM(V$49:V$70)+SUM(X$49:X$70)+SUM(Z$49:Z$70)</f>
        <v>2274.448061350734</v>
      </c>
      <c r="G112" s="98">
        <f>SUM(AB$49:AB$70)+SUM(AD$49:AD$70)+SUM(AF$49:AF$70)+SUM(AH$49:AH$70)</f>
        <v>1785.0066650236997</v>
      </c>
      <c r="H112" s="98">
        <f>SUM(AJ$49:AJ$70)+SUM(AL$49:AL$70)+SUM(AN$49:AN$70)+SUM(AP$49:AP$70)</f>
        <v>1714.9272600509757</v>
      </c>
      <c r="I112" s="98">
        <f>SUM(AR$49:AR$70)+SUM(AT$49:AT$70)+SUM(AV$49:AV$70)+SUM(AX$49:AX$70)</f>
        <v>1492.9277672428893</v>
      </c>
      <c r="J112" s="98">
        <f>SUM(AZ$49:AZ$70)+SUM(BB$49:BB$70)+SUM(BD$49:BD$70)+SUM(BF$49:BF$70)</f>
        <v>1480.6433482528287</v>
      </c>
      <c r="K112" s="98">
        <f>SUM(BH$49:BH$70)+SUM(BJ$49:BJ$70)+SUM(BL$49:BL$70)+SUM(BN$49:BN$70)</f>
        <v>1661.6177028314353</v>
      </c>
      <c r="L112" s="98">
        <f>SUM(BP$49:BP$70)+SUM(BR$49:BR$70)+SUM(BT$49:BT$70)+SUM(BV$49:BV$70)</f>
        <v>1730.6002604294933</v>
      </c>
      <c r="M112" s="98">
        <f>SUM(BX$49:BX$70)+SUM(BZ$49:BZ$70)+SUM(CB$49:CB$70)+SUM(CD$49:CD$70)</f>
        <v>1827.9240940499701</v>
      </c>
      <c r="N112" s="98">
        <f>SUM(CF$49:CF$70)+SUM(CH$49:CH$70)+SUM(CJ$49:CJ$70)+SUM(CL$49:CL$70)</f>
        <v>1731.9498331867953</v>
      </c>
      <c r="O112" s="98">
        <f>SUM(CN$49:CN$70)+SUM(CP$49:CP$70)+SUM(CR$49:CR$70)+SUM(CT$49:CT$70)</f>
        <v>1700.9211946739447</v>
      </c>
    </row>
    <row r="113" spans="2:15">
      <c r="C113" s="97" t="s">
        <v>130</v>
      </c>
      <c r="D113" s="98">
        <f>SUM(D$71:D$86)+SUM(F$71:F$86)+SUM(H$71:H$86)+SUM(J$71:J$86)</f>
        <v>797</v>
      </c>
      <c r="E113" s="98">
        <f>SUM(L$71:L$86)+SUM(N$71:N$86)+SUM(P$71:P$86)+SUM(R$71:R$86)</f>
        <v>698</v>
      </c>
      <c r="F113" s="98">
        <f>SUM(T$71:T$86)+SUM(V$71:V$86)+SUM(X$71:X$86)+SUM(Z$71:Z$86)</f>
        <v>533.44635678893303</v>
      </c>
      <c r="G113" s="98">
        <f>SUM(AB$71:AB$86)+SUM(AD$71:AD$86)+SUM(AF$71:AF$86)+SUM(AH$71:AH$86)</f>
        <v>287.6638622476957</v>
      </c>
      <c r="H113" s="98">
        <f>SUM(AJ$71:AJ$86)+SUM(AL$71:AL$86)+SUM(AN$71:AN$86)+SUM(AP$71:AP$86)</f>
        <v>129.45909972824296</v>
      </c>
      <c r="I113" s="98">
        <f>SUM(AR$71:AR$86)+SUM(AT$71:AT$86)+SUM(AV$71:AV$86)+SUM(AX$71:AX$86)</f>
        <v>235.38697796298391</v>
      </c>
      <c r="J113" s="98">
        <f>SUM(AZ$71:AZ$86)+SUM(BB$71:BB$86)+SUM(BD$71:BD$86)+SUM(BF$71:BF$86)</f>
        <v>201.89850247794249</v>
      </c>
      <c r="K113" s="98">
        <f>SUM(BH$71:BH$86)+SUM(BJ$71:BJ$86)+SUM(BL$71:BL$86)+SUM(BN$71:BN$86)</f>
        <v>228.44453245273243</v>
      </c>
      <c r="L113" s="98">
        <f>SUM(BP$71:BP$86)+SUM(BR$71:BR$86)+SUM(BT$71:BT$86)+SUM(BV$71:BV$86)</f>
        <v>234.52698584223964</v>
      </c>
      <c r="M113" s="98">
        <f>SUM(BX$71:BX$86)+SUM(BZ$71:BZ$86)+SUM(CB$71:CB$86)+SUM(CD$71:CD$86)</f>
        <v>218.65395164108057</v>
      </c>
      <c r="N113" s="98">
        <f>SUM(CF$71:CF$86)+SUM(CH$71:CH$86)+SUM(CJ$71:CJ$86)+SUM(CL$71:CL$86)</f>
        <v>236.0905585291444</v>
      </c>
      <c r="O113" s="98">
        <f>SUM(CN$71:CN$86)+SUM(CP$71:CP$86)+SUM(CR$71:CR$86)+SUM(CT$71:CT$86)</f>
        <v>212.08458372592497</v>
      </c>
    </row>
    <row r="114" spans="2:15">
      <c r="C114" s="97" t="s">
        <v>131</v>
      </c>
      <c r="D114" s="98">
        <f>SUM(D$87:D$94)+SUM(F$87:F$94)+SUM(H$87:H$94)+SUM(J$87:J$94)</f>
        <v>74.486067847848844</v>
      </c>
      <c r="E114" s="98">
        <f>SUM(L$87:L$94)+SUM(N$87:N$94)+SUM(P$87:P$94)+SUM(R$87:R$94)</f>
        <v>48.061517088679125</v>
      </c>
      <c r="F114" s="98">
        <f>SUM(T$87:T$94)+SUM(V$87:V$94)+SUM(X$87:X$94)+SUM(Z$87:Z$94)</f>
        <v>64.91827149322603</v>
      </c>
      <c r="G114" s="98">
        <f>SUM(AB$87:AB$94)+SUM(AD$87:AD$94)+SUM(AF$87:AF$94)+SUM(AH$87:AH$94)</f>
        <v>59.577593658859854</v>
      </c>
      <c r="H114" s="98">
        <f>SUM(AJ$87:AJ$94)+SUM(AL$87:AL$94)+SUM(AN$87:AN$94)+SUM(AP$87:AP$94)</f>
        <v>37.818262432050567</v>
      </c>
      <c r="I114" s="98">
        <f>SUM(AR$87:AR$94)+SUM(AT$87:AT$94)+SUM(AV$87:AV$94)+SUM(AX$87:AX$94)</f>
        <v>80.498708715312759</v>
      </c>
      <c r="J114" s="98">
        <f>SUM(AZ$87:AZ$94)+SUM(BB$87:BB$94)+SUM(BD$87:BD$94)+SUM(BF$87:BF$94)</f>
        <v>64.930146051640293</v>
      </c>
      <c r="K114" s="98">
        <f>SUM(BH$87:BH$94)+SUM(BJ$87:BJ$94)+SUM(BL$87:BL$94)+SUM(BN$87:BN$94)</f>
        <v>57.468165096736705</v>
      </c>
      <c r="L114" s="98">
        <f>SUM(BP$87:BP$94)+SUM(BR$87:BR$94)+SUM(BT$87:BT$94)+SUM(BV$87:BV$94)</f>
        <v>62.471330254596481</v>
      </c>
      <c r="M114" s="98">
        <f>SUM(BX$87:BX$94)+SUM(BZ$87:BZ$94)+SUM(CB$87:CB$94)+SUM(CD$87:CD$94)</f>
        <v>66.217288565272696</v>
      </c>
      <c r="N114" s="98">
        <f>SUM(CF$87:CF$94)+SUM(CH$87:CH$94)+SUM(CJ$87:CJ$94)+SUM(CL$87:CL$94)</f>
        <v>66.052451434564119</v>
      </c>
      <c r="O114" s="98">
        <f>SUM(CN$87:CN$94)+SUM(CP$87:CP$94)+SUM(CR$87:CR$94)+SUM(CT$87:CT$94)</f>
        <v>44.704207743354388</v>
      </c>
    </row>
    <row r="115" spans="2:15">
      <c r="C115" s="97" t="s">
        <v>132</v>
      </c>
      <c r="D115" s="98">
        <f>SUM(D$95:D$105)+SUM(F$95:F$105)+SUM(H$95:H$105)+SUM(J$95:J$105)</f>
        <v>90.987045080696717</v>
      </c>
      <c r="E115" s="98">
        <f>SUM(L$95:L$105)+SUM(N$95:N$105)+SUM(P$95:P$105)+SUM(R$95:R$105)</f>
        <v>71.335639721923727</v>
      </c>
      <c r="F115" s="98">
        <f>SUM(T$95:T$105)+SUM(V$95:V$105)+SUM(X$95:X$105)+SUM(Z$95:Z$105)</f>
        <v>95.895677452689952</v>
      </c>
      <c r="G115" s="98">
        <f>SUM(AB$95:AB$105)+SUM(AD$95:AD$105)+SUM(AF$95:AF$105)+SUM(AH$95:AH$105)</f>
        <v>93.309653905217687</v>
      </c>
      <c r="H115" s="98">
        <f>SUM(AJ$95:AJ$105)+SUM(AL$95:AL$105)+SUM(AN$95:AN$105)+SUM(AP$95:AP$105)</f>
        <v>58.376959982219233</v>
      </c>
      <c r="I115" s="98">
        <f>SUM(AR$95:AR$105)+SUM(AT$95:AT$105)+SUM(AV$95:AV$105)+SUM(AX$95:AX$105)</f>
        <v>78.088996497599396</v>
      </c>
      <c r="J115" s="98">
        <f>SUM(AZ$95:AZ$105)+SUM(BB$95:BB$105)+SUM(BD$95:BD$105)+SUM(BF$95:BF$105)</f>
        <v>86.958008345605094</v>
      </c>
      <c r="K115" s="98">
        <f>SUM(BH$95:BH$105)+SUM(BJ$95:BJ$105)+SUM(BL$95:BL$105)+SUM(BN$95:BN$105)</f>
        <v>82.132492537298276</v>
      </c>
      <c r="L115" s="98">
        <f>SUM(BP$95:BP$105)+SUM(BR$95:BR$105)+SUM(BT$95:BT$105)+SUM(BV$95:BV$105)</f>
        <v>88.429225689528081</v>
      </c>
      <c r="M115" s="98">
        <f>SUM(BX$95:BX$105)+SUM(BZ$95:BZ$105)+SUM(CB$95:CB$105)+SUM(CD$95:CD$105)</f>
        <v>90.963868727931057</v>
      </c>
      <c r="N115" s="98">
        <f>SUM(CF$95:CF$105)+SUM(CH$95:CH$105)+SUM(CJ$95:CJ$105)+SUM(CL$95:CL$105)</f>
        <v>83.089849080274604</v>
      </c>
      <c r="O115" s="98">
        <f>SUM(CN$95:CN$105)+SUM(CP$95:CP$105)+SUM(CR$95:CR$105)+SUM(CT$95:CT$105)</f>
        <v>69.329390321549766</v>
      </c>
    </row>
    <row r="116" spans="2:15">
      <c r="C116" s="97" t="s">
        <v>279</v>
      </c>
      <c r="D116" s="98">
        <f t="shared" ref="D116:O116" si="0">SUM(D$109:D$115)</f>
        <v>7553.8857453058563</v>
      </c>
      <c r="E116" s="98">
        <f t="shared" si="0"/>
        <v>8316.4041408588128</v>
      </c>
      <c r="F116" s="98">
        <f t="shared" si="0"/>
        <v>8168.7083670855827</v>
      </c>
      <c r="G116" s="98">
        <f t="shared" si="0"/>
        <v>7262.5577748354726</v>
      </c>
      <c r="H116" s="98">
        <f t="shared" si="0"/>
        <v>7855.5815821934884</v>
      </c>
      <c r="I116" s="98">
        <f t="shared" si="0"/>
        <v>7634.9024504187855</v>
      </c>
      <c r="J116" s="98">
        <f t="shared" si="0"/>
        <v>6997.4300051280152</v>
      </c>
      <c r="K116" s="98">
        <f t="shared" si="0"/>
        <v>7092.6628929182025</v>
      </c>
      <c r="L116" s="98">
        <f t="shared" si="0"/>
        <v>8011.0278022158573</v>
      </c>
      <c r="M116" s="98">
        <f t="shared" si="0"/>
        <v>8392.7592029842544</v>
      </c>
      <c r="N116" s="98">
        <f t="shared" si="0"/>
        <v>7122.9055300476093</v>
      </c>
      <c r="O116" s="98">
        <f t="shared" si="0"/>
        <v>8324.0393764647743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D109*pricing!D15*2000</f>
        <v>5588000</v>
      </c>
      <c r="E120" s="98">
        <f>E109*pricing!E15*2000</f>
        <v>5636000</v>
      </c>
      <c r="F120" s="98">
        <f>F109*pricing!F15*2000</f>
        <v>5492000</v>
      </c>
      <c r="G120" s="98">
        <f>G109*pricing!G15*2000</f>
        <v>6508000</v>
      </c>
      <c r="H120" s="98">
        <f>H109*pricing!H15*2000</f>
        <v>6484000</v>
      </c>
      <c r="I120" s="98">
        <f>I109*pricing!I15*2000</f>
        <v>6220000</v>
      </c>
      <c r="J120" s="98">
        <f>J109*pricing!J15*2000</f>
        <v>5976000</v>
      </c>
      <c r="K120" s="98">
        <f>K109*pricing!K15*2000</f>
        <v>5836000</v>
      </c>
      <c r="L120" s="98">
        <f>L109*pricing!L15*2000</f>
        <v>6584000</v>
      </c>
      <c r="M120" s="98">
        <f>M109*pricing!M15*2000</f>
        <v>6360000</v>
      </c>
      <c r="N120" s="98">
        <f>N109*pricing!N15*2000</f>
        <v>6331037.1223454699</v>
      </c>
      <c r="O120" s="98">
        <f>O109*pricing!O15*2000</f>
        <v>7100000</v>
      </c>
    </row>
    <row r="121" spans="2:15">
      <c r="C121" s="97" t="s">
        <v>127</v>
      </c>
      <c r="D121" s="98">
        <f>D110*pricing!D16*2000</f>
        <v>10476000</v>
      </c>
      <c r="E121" s="98">
        <f>E110*pricing!E16*2000</f>
        <v>14376000</v>
      </c>
      <c r="F121" s="98">
        <f>F110*pricing!F16*2000</f>
        <v>13024000</v>
      </c>
      <c r="G121" s="98">
        <f>G110*pricing!G16*2000</f>
        <v>11212000</v>
      </c>
      <c r="H121" s="98">
        <f>H110*pricing!H16*2000</f>
        <v>14492000</v>
      </c>
      <c r="I121" s="98">
        <f>I110*pricing!I16*2000</f>
        <v>14308000</v>
      </c>
      <c r="J121" s="98">
        <f>J110*pricing!J16*2000</f>
        <v>11824000</v>
      </c>
      <c r="K121" s="98">
        <f>K110*pricing!K16*2000</f>
        <v>11704000</v>
      </c>
      <c r="L121" s="98">
        <f>L110*pricing!L16*2000</f>
        <v>14600000</v>
      </c>
      <c r="M121" s="98">
        <f>M110*pricing!M16*2000</f>
        <v>16072000</v>
      </c>
      <c r="N121" s="98">
        <f>N110*pricing!N16*2000</f>
        <v>11182579.951032827</v>
      </c>
      <c r="O121" s="98">
        <f>O110*pricing!O16*2000</f>
        <v>16004000</v>
      </c>
    </row>
    <row r="122" spans="2:15">
      <c r="C122" s="97" t="s">
        <v>128</v>
      </c>
      <c r="D122" s="98">
        <f>D111*pricing!D17*2000</f>
        <v>3531000</v>
      </c>
      <c r="E122" s="98">
        <f>E111*pricing!E17*2000</f>
        <v>3867600</v>
      </c>
      <c r="F122" s="98">
        <f>F111*pricing!F17*2000</f>
        <v>3768600</v>
      </c>
      <c r="G122" s="98">
        <f>G111*pricing!G17*2000</f>
        <v>4006200</v>
      </c>
      <c r="H122" s="98">
        <f>H111*pricing!H17*2000</f>
        <v>4428599.9999999991</v>
      </c>
      <c r="I122" s="98">
        <f>I111*pricing!I17*2000</f>
        <v>4065600</v>
      </c>
      <c r="J122" s="98">
        <f>J111*pricing!J17*2000</f>
        <v>4705800</v>
      </c>
      <c r="K122" s="98">
        <f>K111*pricing!K17*2000</f>
        <v>4474800</v>
      </c>
      <c r="L122" s="98">
        <f>L111*pricing!L17*2000</f>
        <v>3953399.9999999995</v>
      </c>
      <c r="M122" s="98">
        <f>M111*pricing!M17*2000</f>
        <v>3834600</v>
      </c>
      <c r="N122" s="98">
        <f>N111*pricing!N17*2000</f>
        <v>4140302.5585168879</v>
      </c>
      <c r="O122" s="98">
        <f>O111*pricing!O17*2000</f>
        <v>3438600</v>
      </c>
    </row>
    <row r="123" spans="2:15">
      <c r="C123" s="97" t="s">
        <v>129</v>
      </c>
      <c r="D123" s="98">
        <f>D112*pricing!D18*2000</f>
        <v>8161650.5295092445</v>
      </c>
      <c r="E123" s="98">
        <f>E112*pricing!E18*2000</f>
        <v>7640027.9361928357</v>
      </c>
      <c r="F123" s="98">
        <f>F112*pricing!F18*2000</f>
        <v>9097792.2454029359</v>
      </c>
      <c r="G123" s="98">
        <f>G112*pricing!G18*2000</f>
        <v>7140026.6600947985</v>
      </c>
      <c r="H123" s="98">
        <f>H112*pricing!H18*2000</f>
        <v>6859709.0402039029</v>
      </c>
      <c r="I123" s="98">
        <f>I112*pricing!I18*2000</f>
        <v>5971711.0689715575</v>
      </c>
      <c r="J123" s="98">
        <f>J112*pricing!J18*2000</f>
        <v>5922573.3930113148</v>
      </c>
      <c r="K123" s="98">
        <f>K112*pricing!K18*2000</f>
        <v>6646470.811325741</v>
      </c>
      <c r="L123" s="98">
        <f>L112*pricing!L18*2000</f>
        <v>6922401.0417179735</v>
      </c>
      <c r="M123" s="98">
        <f>M112*pricing!M18*2000</f>
        <v>7311696.3761998806</v>
      </c>
      <c r="N123" s="98">
        <f>N112*pricing!N18*2000</f>
        <v>6927799.3327471809</v>
      </c>
      <c r="O123" s="98">
        <f>O112*pricing!O18*2000</f>
        <v>6803684.7786957789</v>
      </c>
    </row>
    <row r="124" spans="2:15">
      <c r="C124" s="97" t="s">
        <v>130</v>
      </c>
      <c r="D124" s="98">
        <f>D113*pricing!D19*2000</f>
        <v>5419599.9999999991</v>
      </c>
      <c r="E124" s="98">
        <f>E113*pricing!E19*2000</f>
        <v>4746400</v>
      </c>
      <c r="F124" s="98">
        <f>F113*pricing!F19*2000</f>
        <v>3627435.2261647447</v>
      </c>
      <c r="G124" s="98">
        <f>G113*pricing!G19*2000</f>
        <v>1956114.2632843307</v>
      </c>
      <c r="H124" s="98">
        <f>H113*pricing!H19*2000</f>
        <v>880321.87815205217</v>
      </c>
      <c r="I124" s="98">
        <f>I113*pricing!I19*2000</f>
        <v>1600631.4501482905</v>
      </c>
      <c r="J124" s="98">
        <f>J113*pricing!J19*2000</f>
        <v>1372909.8168500089</v>
      </c>
      <c r="K124" s="98">
        <f>K113*pricing!K19*2000</f>
        <v>1553422.8206785806</v>
      </c>
      <c r="L124" s="98">
        <f>L113*pricing!L19*2000</f>
        <v>1594783.5037272295</v>
      </c>
      <c r="M124" s="98">
        <f>M113*pricing!M19*2000</f>
        <v>1486846.8711593477</v>
      </c>
      <c r="N124" s="98">
        <f>N113*pricing!N19*2000</f>
        <v>1605415.797998182</v>
      </c>
      <c r="O124" s="98">
        <f>O113*pricing!O19*2000</f>
        <v>1442175.1693362899</v>
      </c>
    </row>
    <row r="125" spans="2:15">
      <c r="C125" s="97" t="s">
        <v>131</v>
      </c>
      <c r="D125" s="98">
        <f>D114*pricing!D20*2000</f>
        <v>446916.40708709304</v>
      </c>
      <c r="E125" s="98">
        <f>E114*pricing!E20*2000</f>
        <v>288369.10253207473</v>
      </c>
      <c r="F125" s="98">
        <f>F114*pricing!F20*2000</f>
        <v>389509.62895935617</v>
      </c>
      <c r="G125" s="98">
        <f>G114*pricing!G20*2000</f>
        <v>357465.56195315911</v>
      </c>
      <c r="H125" s="98">
        <f>H114*pricing!H20*2000</f>
        <v>226909.5745923034</v>
      </c>
      <c r="I125" s="98">
        <f>I114*pricing!I20*2000</f>
        <v>482992.25229187653</v>
      </c>
      <c r="J125" s="98">
        <f>J114*pricing!J20*2000</f>
        <v>389580.87630984175</v>
      </c>
      <c r="K125" s="98">
        <f>K114*pricing!K20*2000</f>
        <v>344808.99058042024</v>
      </c>
      <c r="L125" s="98">
        <f>L114*pricing!L20*2000</f>
        <v>374827.9815275789</v>
      </c>
      <c r="M125" s="98">
        <f>M114*pricing!M20*2000</f>
        <v>397303.73139163619</v>
      </c>
      <c r="N125" s="98">
        <f>N114*pricing!N20*2000</f>
        <v>396314.7086073847</v>
      </c>
      <c r="O125" s="98">
        <f>O114*pricing!O20*2000</f>
        <v>268225.24646012631</v>
      </c>
    </row>
    <row r="126" spans="2:15">
      <c r="C126" s="97" t="s">
        <v>132</v>
      </c>
      <c r="D126" s="98">
        <f>D115*pricing!D21*2000</f>
        <v>618711.90654873766</v>
      </c>
      <c r="E126" s="98">
        <f>E115*pricing!E21*2000</f>
        <v>485082.35010908137</v>
      </c>
      <c r="F126" s="98">
        <f>F115*pricing!F21*2000</f>
        <v>652090.60667829169</v>
      </c>
      <c r="G126" s="98">
        <f>G115*pricing!G21*2000</f>
        <v>634505.6465554802</v>
      </c>
      <c r="H126" s="98">
        <f>H115*pricing!H21*2000</f>
        <v>396963.32787909079</v>
      </c>
      <c r="I126" s="98">
        <f>I115*pricing!I21*2000</f>
        <v>531005.17618367588</v>
      </c>
      <c r="J126" s="98">
        <f>J115*pricing!J21*2000</f>
        <v>591314.45675011456</v>
      </c>
      <c r="K126" s="98">
        <f>K115*pricing!K21*2000</f>
        <v>558500.94925362826</v>
      </c>
      <c r="L126" s="98">
        <f>L115*pricing!L21*2000</f>
        <v>601318.73468879098</v>
      </c>
      <c r="M126" s="98">
        <f>M115*pricing!M21*2000</f>
        <v>618554.3073499311</v>
      </c>
      <c r="N126" s="98">
        <f>N115*pricing!N21*2000</f>
        <v>565010.97374586726</v>
      </c>
      <c r="O126" s="98">
        <f>O115*pricing!O21*2000</f>
        <v>471439.85418653843</v>
      </c>
    </row>
    <row r="127" spans="2:15">
      <c r="C127" s="97" t="s">
        <v>279</v>
      </c>
      <c r="D127" s="98">
        <f t="shared" ref="D127:O127" si="1">SUM(D$120:D$126)</f>
        <v>34241878.84314508</v>
      </c>
      <c r="E127" s="98">
        <f t="shared" si="1"/>
        <v>37039479.388833992</v>
      </c>
      <c r="F127" s="98">
        <f t="shared" si="1"/>
        <v>36051427.707205333</v>
      </c>
      <c r="G127" s="98">
        <f t="shared" si="1"/>
        <v>31814312.131887767</v>
      </c>
      <c r="H127" s="98">
        <f t="shared" si="1"/>
        <v>33768503.82082735</v>
      </c>
      <c r="I127" s="98">
        <f t="shared" si="1"/>
        <v>33179939.947595403</v>
      </c>
      <c r="J127" s="98">
        <f t="shared" si="1"/>
        <v>30782178.542921282</v>
      </c>
      <c r="K127" s="98">
        <f t="shared" si="1"/>
        <v>31118003.571838371</v>
      </c>
      <c r="L127" s="98">
        <f t="shared" si="1"/>
        <v>34630731.261661574</v>
      </c>
      <c r="M127" s="98">
        <f t="shared" si="1"/>
        <v>36081001.28610079</v>
      </c>
      <c r="N127" s="98">
        <f t="shared" si="1"/>
        <v>31148460.444993798</v>
      </c>
      <c r="O127" s="98">
        <f t="shared" si="1"/>
        <v>35528125.048678726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705736.79999999993</v>
      </c>
      <c r="E131" s="104">
        <f>SUM(M$6:M$19)+SUM(O$6:O$19)+SUM(Q$6:Q$19)+SUM(S$6:S$19)</f>
        <v>706767.6</v>
      </c>
      <c r="F131" s="104">
        <f>SUM(U$6:U$19)+SUM(W$6:W$19)+SUM(Y$6:Y$19)+SUM(AA$6:AA$19)</f>
        <v>690120</v>
      </c>
      <c r="G131" s="104">
        <f>SUM(AC$6:AC$19)+SUM(AE$6:AE$19)+SUM(AG$6:AG$19)+SUM(AI$6:AI$19)</f>
        <v>817747.2</v>
      </c>
      <c r="H131" s="104">
        <f>SUM(AK$6:AK$19)+SUM(AM$6:AM$19)+SUM(AO$6:AO$19)+SUM(AQ$6:AQ$19)</f>
        <v>820923.6</v>
      </c>
      <c r="I131" s="104">
        <f>SUM(AS$6:AS$19)+SUM(AU$6:AU$19)+SUM(AW$6:AW$19)+SUM(AY$6:AY$19)</f>
        <v>787082.4</v>
      </c>
      <c r="J131" s="104">
        <f>SUM(BA$6:BA$19)+SUM(BC$6:BC$19)+SUM(BE$6:BE$19)+SUM(BG$6:BG$19)</f>
        <v>752126.4</v>
      </c>
      <c r="K131" s="104">
        <f>SUM(BI$6:BI$19)+SUM(BK$6:BK$19)+SUM(BM$6:BM$19)+SUM(BO$6:BO$19)</f>
        <v>736485.6</v>
      </c>
      <c r="L131" s="104">
        <f>SUM(BQ$6:BQ$19)+SUM(BS$6:BS$19)+SUM(BU$6:BU$19)+SUM(BW$6:BW$19)</f>
        <v>827125.2</v>
      </c>
      <c r="M131" s="104">
        <f>SUM(BY$6:BY$19)+SUM(CA$6:CA$19)+SUM(CC$6:CC$19)+SUM(CE$6:CE$19)</f>
        <v>801783.60000000009</v>
      </c>
      <c r="N131" s="104">
        <f>SUM(CG$6:CG$19)+SUM(CI$6:CI$19)+SUM(CK$6:CK$19)+SUM(CM$6:CM$19)</f>
        <v>796583.49340158608</v>
      </c>
      <c r="O131" s="104">
        <f>SUM(CO$6:CO$19)+SUM(CQ$6:CQ$19)+SUM(CS$6:CS$19)+SUM(CU$6:CU$19)</f>
        <v>892768.79999999993</v>
      </c>
    </row>
    <row r="132" spans="2:15">
      <c r="C132" s="103" t="s">
        <v>127</v>
      </c>
      <c r="D132" s="104">
        <f>SUM(E$20:E$36)+SUM(G$20:G$36)+SUM(I$20:I$36)+SUM(K$20:K$36)</f>
        <v>1115731.2</v>
      </c>
      <c r="E132" s="104">
        <f>SUM(M$20:M$36)+SUM(O$20:O$36)+SUM(Q$20:Q$36)+SUM(S$20:S$36)</f>
        <v>1535854.8</v>
      </c>
      <c r="F132" s="104">
        <f>SUM(U$20:U$36)+SUM(W$20:W$36)+SUM(Y$20:Y$36)+SUM(AA$20:AA$36)</f>
        <v>1391092.8</v>
      </c>
      <c r="G132" s="104">
        <f>SUM(AC$20:AC$36)+SUM(AE$20:AE$36)+SUM(AG$20:AG$36)+SUM(AI$20:AI$36)</f>
        <v>1203715.2</v>
      </c>
      <c r="H132" s="104">
        <f>SUM(AK$20:AK$36)+SUM(AM$20:AM$36)+SUM(AO$20:AO$36)+SUM(AQ$20:AQ$36)</f>
        <v>1544054.4</v>
      </c>
      <c r="I132" s="104">
        <f>SUM(AS$20:AS$36)+SUM(AU$20:AU$36)+SUM(AW$20:AW$36)+SUM(AY$20:AY$36)</f>
        <v>1526388</v>
      </c>
      <c r="J132" s="104">
        <f>SUM(BA$20:BA$36)+SUM(BC$20:BC$36)+SUM(BE$20:BE$36)+SUM(BG$20:BG$36)</f>
        <v>1258059.6000000001</v>
      </c>
      <c r="K132" s="104">
        <f>SUM(BI$20:BI$36)+SUM(BK$20:BK$36)+SUM(BM$20:BM$36)+SUM(BO$20:BO$36)</f>
        <v>1246704</v>
      </c>
      <c r="L132" s="104">
        <f>SUM(BQ$20:BQ$36)+SUM(BS$20:BS$36)+SUM(BU$20:BU$36)+SUM(BW$20:BW$36)</f>
        <v>1551558</v>
      </c>
      <c r="M132" s="104">
        <f>SUM(BY$20:BY$36)+SUM(CA$20:CA$36)+SUM(CC$20:CC$36)+SUM(CE$20:CE$36)</f>
        <v>1713445.2</v>
      </c>
      <c r="N132" s="104">
        <f>SUM(CG$20:CG$36)+SUM(CI$20:CI$36)+SUM(CK$20:CK$36)+SUM(CM$20:CM$36)</f>
        <v>1187338.629364179</v>
      </c>
      <c r="O132" s="104">
        <f>SUM(CO$20:CO$36)+SUM(CQ$20:CQ$36)+SUM(CS$20:CS$36)+SUM(CU$20:CU$36)</f>
        <v>1725898.8</v>
      </c>
    </row>
    <row r="133" spans="2:15">
      <c r="C133" s="103" t="s">
        <v>128</v>
      </c>
      <c r="D133" s="104">
        <f>SUM(E$37:E$48)+SUM(G$37:G$48)+SUM(I$37:I$48)+SUM(K$37:K$48)</f>
        <v>561438</v>
      </c>
      <c r="E133" s="104">
        <f>SUM(M$37:M$48)+SUM(O$37:O$48)+SUM(Q$37:Q$48)+SUM(S$37:S$48)</f>
        <v>617524.80000000005</v>
      </c>
      <c r="F133" s="104">
        <f>SUM(U$37:U$48)+SUM(W$37:W$48)+SUM(Y$37:Y$48)+SUM(AA$37:AA$48)</f>
        <v>598351.19999999995</v>
      </c>
      <c r="G133" s="104">
        <f>SUM(AC$37:AC$48)+SUM(AE$37:AE$48)+SUM(AG$37:AG$48)+SUM(AI$37:AI$48)</f>
        <v>635517.60000000009</v>
      </c>
      <c r="H133" s="104">
        <f>SUM(AK$37:AK$48)+SUM(AM$37:AM$48)+SUM(AO$37:AO$48)+SUM(AQ$37:AQ$48)</f>
        <v>705230.39999999991</v>
      </c>
      <c r="I133" s="104">
        <f>SUM(AS$37:AS$48)+SUM(AU$37:AU$48)+SUM(AW$37:AW$48)+SUM(AY$37:AY$48)</f>
        <v>648440.4</v>
      </c>
      <c r="J133" s="104">
        <f>SUM(BA$37:BA$48)+SUM(BC$37:BC$48)+SUM(BE$37:BE$48)+SUM(BG$37:BG$48)</f>
        <v>748171.2</v>
      </c>
      <c r="K133" s="104">
        <f>SUM(BI$37:BI$48)+SUM(BK$37:BK$48)+SUM(BM$37:BM$48)+SUM(BO$37:BO$48)</f>
        <v>713486.40000000014</v>
      </c>
      <c r="L133" s="104">
        <f>SUM(BQ$37:BQ$48)+SUM(BS$37:BS$48)+SUM(BU$37:BU$48)+SUM(BW$37:BW$48)</f>
        <v>630090</v>
      </c>
      <c r="M133" s="104">
        <f>SUM(BY$37:BY$48)+SUM(CA$37:CA$48)+SUM(CC$37:CC$48)+SUM(CE$37:CE$48)</f>
        <v>609146.4</v>
      </c>
      <c r="N133" s="104">
        <f>SUM(CG$37:CG$48)+SUM(CI$37:CI$48)+SUM(CK$37:CK$48)+SUM(CM$37:CM$48)</f>
        <v>660315.62707933551</v>
      </c>
      <c r="O133" s="104">
        <f>SUM(CO$37:CO$48)+SUM(CQ$37:CQ$48)+SUM(CS$37:CS$48)+SUM(CU$37:CU$48)</f>
        <v>548858.39999999991</v>
      </c>
    </row>
    <row r="134" spans="2:15">
      <c r="C134" s="103" t="s">
        <v>129</v>
      </c>
      <c r="D134" s="104">
        <f>SUM(E$49:E$70)+SUM(G$49:G$70)+SUM(I$49:I$70)+SUM(K$49:K$70)</f>
        <v>1631461.1636884327</v>
      </c>
      <c r="E134" s="104">
        <f>SUM(M$49:M$70)+SUM(O$49:O$70)+SUM(Q$49:Q$70)+SUM(S$49:S$70)</f>
        <v>1527873.3339697982</v>
      </c>
      <c r="F134" s="104">
        <f>SUM(U$49:U$70)+SUM(W$49:W$70)+SUM(Y$49:Y$70)+SUM(AA$49:AA$70)</f>
        <v>1820392.3633093273</v>
      </c>
      <c r="G134" s="104">
        <f>SUM(AC$49:AC$70)+SUM(AE$49:AE$70)+SUM(AG$49:AG$70)+SUM(AI$49:AI$70)</f>
        <v>1393533.4596453835</v>
      </c>
      <c r="H134" s="104">
        <f>SUM(AK$49:AK$70)+SUM(AM$49:AM$70)+SUM(AO$49:AO$70)+SUM(AQ$49:AQ$70)</f>
        <v>1324815.1022232436</v>
      </c>
      <c r="I134" s="104">
        <f>SUM(AS$49:AS$70)+SUM(AU$49:AU$70)+SUM(AW$49:AW$70)+SUM(AY$49:AY$70)</f>
        <v>1167559.7673279033</v>
      </c>
      <c r="J134" s="104">
        <f>SUM(BA$49:BA$70)+SUM(BC$49:BC$70)+SUM(BE$49:BE$70)+SUM(BG$49:BG$70)</f>
        <v>1155826.3198669425</v>
      </c>
      <c r="K134" s="104">
        <f>SUM(BI$49:BI$70)+SUM(BK$49:BK$70)+SUM(BM$49:BM$70)+SUM(BO$49:BO$70)</f>
        <v>1295710.0920640947</v>
      </c>
      <c r="L134" s="104">
        <f>SUM(BQ$49:BQ$70)+SUM(BS$49:BS$70)+SUM(BU$49:BU$70)+SUM(BW$49:BW$70)</f>
        <v>1349734.3362639965</v>
      </c>
      <c r="M134" s="104">
        <f>SUM(BY$49:BY$70)+SUM(CA$49:CA$70)+SUM(CC$49:CC$70)+SUM(CE$49:CE$70)</f>
        <v>1428073.7791380815</v>
      </c>
      <c r="N134" s="104">
        <f>SUM(CG$49:CG$70)+SUM(CI$49:CI$70)+SUM(CK$49:CK$70)+SUM(CM$49:CM$70)</f>
        <v>1350679.8750966555</v>
      </c>
      <c r="O134" s="104">
        <f>SUM(CO$49:CO$70)+SUM(CQ$49:CQ$70)+SUM(CS$49:CS$70)+SUM(CU$49:CU$70)</f>
        <v>1319504.5464046244</v>
      </c>
    </row>
    <row r="135" spans="2:15">
      <c r="C135" s="103" t="s">
        <v>130</v>
      </c>
      <c r="D135" s="104">
        <f>SUM(E$71:E$86)+SUM(G$71:G$86)+SUM(I$71:I$86)+SUM(K$71:K$86)</f>
        <v>444776.4</v>
      </c>
      <c r="E135" s="104">
        <f>SUM(M$71:M$86)+SUM(O$71:O$86)+SUM(Q$71:Q$86)+SUM(S$71:S$86)</f>
        <v>389359.2</v>
      </c>
      <c r="F135" s="104">
        <f>SUM(U$71:U$86)+SUM(W$71:W$86)+SUM(Y$71:Y$86)+SUM(AA$71:AA$86)</f>
        <v>299208.39927415125</v>
      </c>
      <c r="G135" s="104">
        <f>SUM(AC$71:AC$86)+SUM(AE$71:AE$86)+SUM(AG$71:AG$86)+SUM(AI$71:AI$86)</f>
        <v>161232.31463453406</v>
      </c>
      <c r="H135" s="104">
        <f>SUM(AK$71:AK$86)+SUM(AM$71:AM$86)+SUM(AO$71:AO$86)+SUM(AQ$71:AQ$86)</f>
        <v>72770.917073692413</v>
      </c>
      <c r="I135" s="104">
        <f>SUM(AS$71:AS$86)+SUM(AU$71:AU$86)+SUM(AW$71:AW$86)+SUM(AY$71:AY$86)</f>
        <v>132160.69152603086</v>
      </c>
      <c r="J135" s="104">
        <f>SUM(BA$71:BA$86)+SUM(BC$71:BC$86)+SUM(BE$71:BE$86)+SUM(BG$71:BG$86)</f>
        <v>112758.33287610199</v>
      </c>
      <c r="K135" s="104">
        <f>SUM(BI$71:BI$86)+SUM(BK$71:BK$86)+SUM(BM$71:BM$86)+SUM(BO$71:BO$86)</f>
        <v>127086.79399317093</v>
      </c>
      <c r="L135" s="104">
        <f>SUM(BQ$71:BQ$86)+SUM(BS$71:BS$86)+SUM(BU$71:BU$86)+SUM(BW$71:BW$86)</f>
        <v>131907.07118350425</v>
      </c>
      <c r="M135" s="104">
        <f>SUM(BY$71:BY$86)+SUM(CA$71:CA$86)+SUM(CC$71:CC$86)+SUM(CE$71:CE$86)</f>
        <v>122476.23003630864</v>
      </c>
      <c r="N135" s="104">
        <f>SUM(CG$71:CG$86)+SUM(CI$71:CI$86)+SUM(CK$71:CK$86)+SUM(CM$71:CM$86)</f>
        <v>132284.4590298119</v>
      </c>
      <c r="O135" s="104">
        <f>SUM(CO$71:CO$86)+SUM(CQ$71:CQ$86)+SUM(CS$71:CS$86)+SUM(CU$71:CU$86)</f>
        <v>119286.19424756883</v>
      </c>
    </row>
    <row r="136" spans="2:15">
      <c r="C136" s="103" t="s">
        <v>131</v>
      </c>
      <c r="D136" s="104">
        <f>SUM(E$87:E$94)+SUM(G$87:G$94)+SUM(I$87:I$94)+SUM(K$87:K$94)</f>
        <v>74981.172543650639</v>
      </c>
      <c r="E136" s="104">
        <f>SUM(M$87:M$94)+SUM(O$87:O$94)+SUM(Q$87:Q$94)+SUM(S$87:S$94)</f>
        <v>48304.784530516787</v>
      </c>
      <c r="F136" s="104">
        <f>SUM(U$87:U$94)+SUM(W$87:W$94)+SUM(Y$87:Y$94)+SUM(AA$87:AA$94)</f>
        <v>64927.081811636686</v>
      </c>
      <c r="G136" s="104">
        <f>SUM(AC$87:AC$94)+SUM(AE$87:AE$94)+SUM(AG$87:AG$94)+SUM(AI$87:AI$94)</f>
        <v>59652.902199341173</v>
      </c>
      <c r="H136" s="104">
        <f>SUM(AK$87:AK$94)+SUM(AM$87:AM$94)+SUM(AO$87:AO$94)+SUM(AQ$87:AQ$94)</f>
        <v>38089.345128180881</v>
      </c>
      <c r="I136" s="104">
        <f>SUM(AS$87:AS$94)+SUM(AU$87:AU$94)+SUM(AW$87:AW$94)+SUM(AY$87:AY$94)</f>
        <v>80950.485350670118</v>
      </c>
      <c r="J136" s="104">
        <f>SUM(BA$87:BA$94)+SUM(BC$87:BC$94)+SUM(BE$87:BE$94)+SUM(BG$87:BG$94)</f>
        <v>65343.227609748203</v>
      </c>
      <c r="K136" s="104">
        <f>SUM(BI$87:BI$94)+SUM(BK$87:BK$94)+SUM(BM$87:BM$94)+SUM(BO$87:BO$94)</f>
        <v>57383.596009728622</v>
      </c>
      <c r="L136" s="104">
        <f>SUM(BQ$87:BQ$94)+SUM(BS$87:BS$94)+SUM(BU$87:BU$94)+SUM(BW$87:BW$94)</f>
        <v>62772.316614792588</v>
      </c>
      <c r="M136" s="104">
        <f>SUM(BY$87:BY$94)+SUM(CA$87:CA$94)+SUM(CC$87:CC$94)+SUM(CE$87:CE$94)</f>
        <v>66639.594693529565</v>
      </c>
      <c r="N136" s="104">
        <f>SUM(CG$87:CG$94)+SUM(CI$87:CI$94)+SUM(CK$87:CK$94)+SUM(CM$87:CM$94)</f>
        <v>66383.360863840615</v>
      </c>
      <c r="O136" s="104">
        <f>SUM(CO$87:CO$94)+SUM(CQ$87:CQ$94)+SUM(CS$87:CS$94)+SUM(CU$87:CU$94)</f>
        <v>44868.813858219844</v>
      </c>
    </row>
    <row r="137" spans="2:15">
      <c r="C137" s="103" t="s">
        <v>132</v>
      </c>
      <c r="D137" s="104">
        <f>SUM(E$95:E$105)+SUM(G$95:G$105)+SUM(I$95:I$105)+SUM(K$95:K$105)</f>
        <v>73746.947806345153</v>
      </c>
      <c r="E137" s="104">
        <f>SUM(M$95:M$105)+SUM(O$95:O$105)+SUM(Q$95:Q$105)+SUM(S$95:S$105)</f>
        <v>57194.837853572484</v>
      </c>
      <c r="F137" s="104">
        <f>SUM(U$95:U$105)+SUM(W$95:W$105)+SUM(Y$95:Y$105)+SUM(AA$95:AA$105)</f>
        <v>78602.962749746293</v>
      </c>
      <c r="G137" s="104">
        <f>SUM(AC$95:AC$105)+SUM(AE$95:AE$105)+SUM(AG$95:AG$105)+SUM(AI$95:AI$105)</f>
        <v>74244.756459264783</v>
      </c>
      <c r="H137" s="104">
        <f>SUM(AK$95:AK$105)+SUM(AM$95:AM$105)+SUM(AO$95:AO$105)+SUM(AQ$95:AQ$105)</f>
        <v>47341.437062144934</v>
      </c>
      <c r="I137" s="104">
        <f>SUM(AS$95:AS$105)+SUM(AU$95:AU$105)+SUM(AW$95:AW$105)+SUM(AY$95:AY$105)</f>
        <v>62608.726454926429</v>
      </c>
      <c r="J137" s="104">
        <f>SUM(BA$95:BA$105)+SUM(BC$95:BC$105)+SUM(BE$95:BE$105)+SUM(BG$95:BG$105)</f>
        <v>69353.675855351728</v>
      </c>
      <c r="K137" s="104">
        <f>SUM(BI$95:BI$105)+SUM(BK$95:BK$105)+SUM(BM$95:BM$105)+SUM(BO$95:BO$105)</f>
        <v>65000.473298287732</v>
      </c>
      <c r="L137" s="104">
        <f>SUM(BQ$95:BQ$105)+SUM(BS$95:BS$105)+SUM(BU$95:BU$105)+SUM(BW$95:BW$105)</f>
        <v>69669.298161290979</v>
      </c>
      <c r="M137" s="104">
        <f>SUM(BY$95:BY$105)+SUM(CA$95:CA$105)+SUM(CC$95:CC$105)+SUM(CE$95:CE$105)</f>
        <v>73457.969723277332</v>
      </c>
      <c r="N137" s="104">
        <f>SUM(CG$95:CG$105)+SUM(CI$95:CI$105)+SUM(CK$95:CK$105)+SUM(CM$95:CM$105)</f>
        <v>67339.92384910828</v>
      </c>
      <c r="O137" s="104">
        <f>SUM(CO$95:CO$105)+SUM(CQ$95:CQ$105)+SUM(CS$95:CS$105)+SUM(CU$95:CU$105)</f>
        <v>54655.059930266529</v>
      </c>
    </row>
    <row r="138" spans="2:15">
      <c r="C138" s="103" t="s">
        <v>279</v>
      </c>
      <c r="D138" s="98">
        <f t="shared" ref="D138:O138" si="2">SUM(D$131:D$137)</f>
        <v>4607871.6840384286</v>
      </c>
      <c r="E138" s="98">
        <f t="shared" si="2"/>
        <v>4882879.3563538874</v>
      </c>
      <c r="F138" s="98">
        <f t="shared" si="2"/>
        <v>4942694.8071448617</v>
      </c>
      <c r="G138" s="98">
        <f t="shared" si="2"/>
        <v>4345643.4329385236</v>
      </c>
      <c r="H138" s="98">
        <f t="shared" si="2"/>
        <v>4553225.2014872618</v>
      </c>
      <c r="I138" s="98">
        <f t="shared" si="2"/>
        <v>4405190.4706595307</v>
      </c>
      <c r="J138" s="98">
        <f t="shared" si="2"/>
        <v>4161638.7562081441</v>
      </c>
      <c r="K138" s="98">
        <f t="shared" si="2"/>
        <v>4241856.9553652816</v>
      </c>
      <c r="L138" s="98">
        <f t="shared" si="2"/>
        <v>4622856.2222235845</v>
      </c>
      <c r="M138" s="98">
        <f t="shared" si="2"/>
        <v>4815022.7735911971</v>
      </c>
      <c r="N138" s="98">
        <f t="shared" si="2"/>
        <v>4260925.3686845172</v>
      </c>
      <c r="O138" s="98">
        <f t="shared" si="2"/>
        <v>4705840.6144406796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282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6</v>
      </c>
      <c r="E6" s="98">
        <v>3470.3999999999996</v>
      </c>
      <c r="F6" s="98">
        <v>8</v>
      </c>
      <c r="G6" s="98">
        <v>4627.2</v>
      </c>
      <c r="H6" s="98">
        <v>7</v>
      </c>
      <c r="I6" s="98">
        <v>4048.7999999999997</v>
      </c>
      <c r="J6" s="98">
        <v>10</v>
      </c>
      <c r="K6" s="98">
        <v>5784</v>
      </c>
      <c r="L6" s="98">
        <v>10</v>
      </c>
      <c r="M6" s="98">
        <v>5784</v>
      </c>
      <c r="N6" s="98">
        <v>10</v>
      </c>
      <c r="O6" s="98">
        <v>5784</v>
      </c>
      <c r="P6" s="98">
        <v>11</v>
      </c>
      <c r="Q6" s="98">
        <v>6362.4</v>
      </c>
      <c r="R6" s="98">
        <v>12</v>
      </c>
      <c r="S6" s="98">
        <v>6940.7999999999993</v>
      </c>
      <c r="T6" s="98">
        <v>7</v>
      </c>
      <c r="U6" s="98">
        <v>4048.7999999999997</v>
      </c>
      <c r="V6" s="98">
        <v>12</v>
      </c>
      <c r="W6" s="98">
        <v>6940.7999999999993</v>
      </c>
      <c r="X6" s="98">
        <v>11</v>
      </c>
      <c r="Y6" s="98">
        <v>6362.4</v>
      </c>
      <c r="Z6" s="98">
        <v>4.7750821179452636</v>
      </c>
      <c r="AA6" s="98">
        <v>2761.9074970195402</v>
      </c>
      <c r="AB6" s="98">
        <v>1.7156358453913587</v>
      </c>
      <c r="AC6" s="98">
        <v>992.32377297436187</v>
      </c>
      <c r="AD6" s="98">
        <v>1.4404747378895668</v>
      </c>
      <c r="AE6" s="98">
        <v>833.17058839532547</v>
      </c>
      <c r="AF6" s="98">
        <v>1.4909822672685837</v>
      </c>
      <c r="AG6" s="98">
        <v>862.3841433881488</v>
      </c>
      <c r="AH6" s="98">
        <v>1.4496413953125005</v>
      </c>
      <c r="AI6" s="98">
        <v>838.47258304875027</v>
      </c>
      <c r="AJ6" s="98">
        <v>1.676360339072356</v>
      </c>
      <c r="AK6" s="98">
        <v>969.60682011945073</v>
      </c>
      <c r="AL6" s="98">
        <v>1.6131568384863433</v>
      </c>
      <c r="AM6" s="98">
        <v>933.04991538050092</v>
      </c>
      <c r="AN6" s="98">
        <v>1.9119970441771588</v>
      </c>
      <c r="AO6" s="98">
        <v>1105.8990903520687</v>
      </c>
      <c r="AP6" s="98">
        <v>1.5896919415698072</v>
      </c>
      <c r="AQ6" s="98">
        <v>919.47781900397649</v>
      </c>
      <c r="AR6" s="98">
        <v>1.777709626358696</v>
      </c>
      <c r="AS6" s="98">
        <v>1028.2272478858697</v>
      </c>
      <c r="AT6" s="98">
        <v>1.2411796340484533</v>
      </c>
      <c r="AU6" s="98">
        <v>717.89830033362534</v>
      </c>
      <c r="AV6" s="98">
        <v>1.5208445730507871</v>
      </c>
      <c r="AW6" s="98">
        <v>879.65650105257521</v>
      </c>
      <c r="AX6" s="98">
        <v>1.1733668394729582</v>
      </c>
      <c r="AY6" s="98">
        <v>678.67537995115902</v>
      </c>
      <c r="AZ6" s="98">
        <v>1.4956617570684525</v>
      </c>
      <c r="BA6" s="98">
        <v>865.09076028839286</v>
      </c>
      <c r="BB6" s="98">
        <v>1.6629371334168805</v>
      </c>
      <c r="BC6" s="98">
        <v>961.84283796832369</v>
      </c>
      <c r="BD6" s="98">
        <v>1.5186719379464289</v>
      </c>
      <c r="BE6" s="98">
        <v>878.39984890821438</v>
      </c>
      <c r="BF6" s="98">
        <v>1.4205264725689386</v>
      </c>
      <c r="BG6" s="98">
        <v>821.63251173387403</v>
      </c>
      <c r="BH6" s="98">
        <v>1.3478300970709431</v>
      </c>
      <c r="BI6" s="98">
        <v>779.58492814583349</v>
      </c>
      <c r="BJ6" s="98">
        <v>0.9297217011416169</v>
      </c>
      <c r="BK6" s="98">
        <v>537.75103194031124</v>
      </c>
      <c r="BL6" s="98">
        <v>1.6405406737075618</v>
      </c>
      <c r="BM6" s="98">
        <v>948.88872567245369</v>
      </c>
      <c r="BN6" s="98">
        <v>1.9890493142361116</v>
      </c>
      <c r="BO6" s="98">
        <v>1150.4661233541669</v>
      </c>
      <c r="BP6" s="98">
        <v>1.8585146093750005</v>
      </c>
      <c r="BQ6" s="98">
        <v>1074.9648500625003</v>
      </c>
      <c r="BR6" s="98">
        <v>1.067339715424197</v>
      </c>
      <c r="BS6" s="98">
        <v>617.34929140135557</v>
      </c>
      <c r="BT6" s="98">
        <v>1.276501388763809</v>
      </c>
      <c r="BU6" s="98">
        <v>738.3284032609871</v>
      </c>
      <c r="BV6" s="98">
        <v>1.6001332679512181</v>
      </c>
      <c r="BW6" s="98">
        <v>925.5170821829845</v>
      </c>
      <c r="BX6" s="98">
        <v>1.9004283051859876</v>
      </c>
      <c r="BY6" s="98">
        <v>1099.2077317195751</v>
      </c>
      <c r="BZ6" s="98">
        <v>2.013390826822917</v>
      </c>
      <c r="CA6" s="98">
        <v>1164.5452542343751</v>
      </c>
      <c r="CB6" s="98">
        <v>1.576320220288405</v>
      </c>
      <c r="CC6" s="98">
        <v>911.74361541481346</v>
      </c>
      <c r="CD6" s="98">
        <v>1.1555112571331523</v>
      </c>
      <c r="CE6" s="98">
        <v>668.34771112581529</v>
      </c>
      <c r="CF6" s="98">
        <v>1.8280310364169976</v>
      </c>
      <c r="CG6" s="98">
        <v>1057.3331514635913</v>
      </c>
      <c r="CH6" s="98">
        <v>1.5244794788181169</v>
      </c>
      <c r="CI6" s="98">
        <v>881.75893054839878</v>
      </c>
      <c r="CJ6" s="98">
        <v>1.790886719276449</v>
      </c>
      <c r="CK6" s="98">
        <v>1035.8488784294982</v>
      </c>
      <c r="CL6" s="98">
        <v>1.410247699250784</v>
      </c>
      <c r="CM6" s="98">
        <v>815.68726924665339</v>
      </c>
      <c r="CN6" s="98">
        <v>1.3222268116449007</v>
      </c>
      <c r="CO6" s="98">
        <v>764.77598785541056</v>
      </c>
      <c r="CP6" s="98">
        <v>1.5322030820476287</v>
      </c>
      <c r="CQ6" s="98">
        <v>886.22626265634835</v>
      </c>
      <c r="CR6" s="98">
        <v>1.3186483899625059</v>
      </c>
      <c r="CS6" s="98">
        <v>762.70622875431343</v>
      </c>
      <c r="CT6" s="98">
        <v>1.1053910421772879</v>
      </c>
      <c r="CU6" s="98">
        <v>639.35817879534329</v>
      </c>
    </row>
    <row r="7" spans="1:99">
      <c r="C7" s="97" t="s">
        <v>174</v>
      </c>
      <c r="D7" s="98">
        <v>6</v>
      </c>
      <c r="E7" s="98">
        <v>4730.3999999999996</v>
      </c>
      <c r="F7" s="98">
        <v>8</v>
      </c>
      <c r="G7" s="98">
        <v>6307.2</v>
      </c>
      <c r="H7" s="98">
        <v>8</v>
      </c>
      <c r="I7" s="98">
        <v>6307.2</v>
      </c>
      <c r="J7" s="98">
        <v>8</v>
      </c>
      <c r="K7" s="98">
        <v>6307.2</v>
      </c>
      <c r="L7" s="98">
        <v>11</v>
      </c>
      <c r="M7" s="98">
        <v>8672.4</v>
      </c>
      <c r="N7" s="98">
        <v>10</v>
      </c>
      <c r="O7" s="98">
        <v>7884</v>
      </c>
      <c r="P7" s="98">
        <v>11</v>
      </c>
      <c r="Q7" s="98">
        <v>8672.4</v>
      </c>
      <c r="R7" s="98">
        <v>12</v>
      </c>
      <c r="S7" s="98">
        <v>9460.7999999999993</v>
      </c>
      <c r="T7" s="98">
        <v>7</v>
      </c>
      <c r="U7" s="98">
        <v>5518.8</v>
      </c>
      <c r="V7" s="98">
        <v>11</v>
      </c>
      <c r="W7" s="98">
        <v>8672.4</v>
      </c>
      <c r="X7" s="98">
        <v>13</v>
      </c>
      <c r="Y7" s="98">
        <v>10249.199999999999</v>
      </c>
      <c r="Z7" s="98">
        <v>4.7750821179452636</v>
      </c>
      <c r="AA7" s="98">
        <v>3764.6747417880456</v>
      </c>
      <c r="AB7" s="98">
        <v>1.7156358453913587</v>
      </c>
      <c r="AC7" s="98">
        <v>1352.6073005065471</v>
      </c>
      <c r="AD7" s="98">
        <v>1.29642726410061</v>
      </c>
      <c r="AE7" s="98">
        <v>1022.1032550169209</v>
      </c>
      <c r="AF7" s="98">
        <v>1.4909822672685837</v>
      </c>
      <c r="AG7" s="98">
        <v>1175.4904195145514</v>
      </c>
      <c r="AH7" s="98">
        <v>1.6107126614583336</v>
      </c>
      <c r="AI7" s="98">
        <v>1269.8858622937501</v>
      </c>
      <c r="AJ7" s="98">
        <v>1.5474095437590978</v>
      </c>
      <c r="AK7" s="98">
        <v>1219.9776842996725</v>
      </c>
      <c r="AL7" s="98">
        <v>1.4787271019458146</v>
      </c>
      <c r="AM7" s="98">
        <v>1165.8284471740801</v>
      </c>
      <c r="AN7" s="98">
        <v>1.9119970441771588</v>
      </c>
      <c r="AO7" s="98">
        <v>1507.4184696292718</v>
      </c>
      <c r="AP7" s="98">
        <v>1.3006570431025697</v>
      </c>
      <c r="AQ7" s="98">
        <v>1025.4380127820659</v>
      </c>
      <c r="AR7" s="98">
        <v>1.6295671574954715</v>
      </c>
      <c r="AS7" s="98">
        <v>1284.7507469694297</v>
      </c>
      <c r="AT7" s="98">
        <v>1.0860321797923966</v>
      </c>
      <c r="AU7" s="98">
        <v>856.22777054832545</v>
      </c>
      <c r="AV7" s="98">
        <v>1.3307390014194387</v>
      </c>
      <c r="AW7" s="98">
        <v>1049.1546287190854</v>
      </c>
      <c r="AX7" s="98">
        <v>1.1733668394729582</v>
      </c>
      <c r="AY7" s="98">
        <v>925.08241624048014</v>
      </c>
      <c r="AZ7" s="98">
        <v>1.6107126614583336</v>
      </c>
      <c r="BA7" s="98">
        <v>1269.8858622937501</v>
      </c>
      <c r="BB7" s="98">
        <v>1.8141132364547785</v>
      </c>
      <c r="BC7" s="98">
        <v>1430.2468756209473</v>
      </c>
      <c r="BD7" s="98">
        <v>1.5186719379464289</v>
      </c>
      <c r="BE7" s="98">
        <v>1197.3209558769645</v>
      </c>
      <c r="BF7" s="98">
        <v>1.4205264725689386</v>
      </c>
      <c r="BG7" s="98">
        <v>1119.9430709733513</v>
      </c>
      <c r="BH7" s="98">
        <v>1.3478300970709431</v>
      </c>
      <c r="BI7" s="98">
        <v>1062.6292485307315</v>
      </c>
      <c r="BJ7" s="98">
        <v>1.0625390870189906</v>
      </c>
      <c r="BK7" s="98">
        <v>837.70581620577218</v>
      </c>
      <c r="BL7" s="98">
        <v>1.7896807349537043</v>
      </c>
      <c r="BM7" s="98">
        <v>1410.9842914375004</v>
      </c>
      <c r="BN7" s="98">
        <v>1.8360455208333337</v>
      </c>
      <c r="BO7" s="98">
        <v>1447.5382886250002</v>
      </c>
      <c r="BP7" s="98">
        <v>1.8585146093750005</v>
      </c>
      <c r="BQ7" s="98">
        <v>1465.2529180312504</v>
      </c>
      <c r="BR7" s="98">
        <v>1.2007571798522216</v>
      </c>
      <c r="BS7" s="98">
        <v>946.67696059549155</v>
      </c>
      <c r="BT7" s="98">
        <v>1.1488512498874281</v>
      </c>
      <c r="BU7" s="98">
        <v>905.75432541124837</v>
      </c>
      <c r="BV7" s="98">
        <v>1.6001332679512181</v>
      </c>
      <c r="BW7" s="98">
        <v>1261.5450684527402</v>
      </c>
      <c r="BX7" s="98">
        <v>1.7542415124793733</v>
      </c>
      <c r="BY7" s="98">
        <v>1383.0440084387378</v>
      </c>
      <c r="BZ7" s="98">
        <v>1.8695771963355658</v>
      </c>
      <c r="CA7" s="98">
        <v>1473.9746615909601</v>
      </c>
      <c r="CB7" s="98">
        <v>1.576320220288405</v>
      </c>
      <c r="CC7" s="98">
        <v>1242.7708616753785</v>
      </c>
      <c r="CD7" s="98">
        <v>1.027121117451691</v>
      </c>
      <c r="CE7" s="98">
        <v>809.78228899891315</v>
      </c>
      <c r="CF7" s="98">
        <v>1.5467954923528442</v>
      </c>
      <c r="CG7" s="98">
        <v>1219.4935661709824</v>
      </c>
      <c r="CH7" s="98">
        <v>1.3550928700605482</v>
      </c>
      <c r="CI7" s="98">
        <v>1068.3552187557361</v>
      </c>
      <c r="CJ7" s="98">
        <v>1.5521018233729225</v>
      </c>
      <c r="CK7" s="98">
        <v>1223.6770775472121</v>
      </c>
      <c r="CL7" s="98">
        <v>1.410247699250784</v>
      </c>
      <c r="CM7" s="98">
        <v>1111.839286089318</v>
      </c>
      <c r="CN7" s="98">
        <v>1.1753127214621339</v>
      </c>
      <c r="CO7" s="98">
        <v>926.61654960074634</v>
      </c>
      <c r="CP7" s="98">
        <v>1.5322030820476287</v>
      </c>
      <c r="CQ7" s="98">
        <v>1207.9889098863505</v>
      </c>
      <c r="CR7" s="98">
        <v>1.198771263602278</v>
      </c>
      <c r="CS7" s="98">
        <v>945.11126422403595</v>
      </c>
      <c r="CT7" s="98">
        <v>1.2633040482026145</v>
      </c>
      <c r="CU7" s="98">
        <v>995.98891160294124</v>
      </c>
    </row>
    <row r="8" spans="1:99">
      <c r="C8" s="97" t="s">
        <v>175</v>
      </c>
      <c r="D8" s="98">
        <v>6</v>
      </c>
      <c r="E8" s="98">
        <v>1857.6</v>
      </c>
      <c r="F8" s="98">
        <v>9</v>
      </c>
      <c r="G8" s="98">
        <v>2786.3999999999996</v>
      </c>
      <c r="H8" s="98">
        <v>8</v>
      </c>
      <c r="I8" s="98">
        <v>2476.7999999999997</v>
      </c>
      <c r="J8" s="98">
        <v>9</v>
      </c>
      <c r="K8" s="98">
        <v>2786.3999999999996</v>
      </c>
      <c r="L8" s="98">
        <v>11</v>
      </c>
      <c r="M8" s="98">
        <v>3405.5999999999995</v>
      </c>
      <c r="N8" s="98">
        <v>11</v>
      </c>
      <c r="O8" s="98">
        <v>3405.5999999999995</v>
      </c>
      <c r="P8" s="98">
        <v>11</v>
      </c>
      <c r="Q8" s="98">
        <v>3405.5999999999995</v>
      </c>
      <c r="R8" s="98">
        <v>11</v>
      </c>
      <c r="S8" s="98">
        <v>3405.5999999999995</v>
      </c>
      <c r="T8" s="98">
        <v>7</v>
      </c>
      <c r="U8" s="98">
        <v>2167.1999999999998</v>
      </c>
      <c r="V8" s="98">
        <v>11</v>
      </c>
      <c r="W8" s="98">
        <v>3405.5999999999995</v>
      </c>
      <c r="X8" s="98">
        <v>12</v>
      </c>
      <c r="Y8" s="98">
        <v>3715.2</v>
      </c>
      <c r="Z8" s="98">
        <v>5.4572367062231582</v>
      </c>
      <c r="AA8" s="98">
        <v>1689.5604842466896</v>
      </c>
      <c r="AB8" s="98">
        <v>1.7156358453913587</v>
      </c>
      <c r="AC8" s="98">
        <v>531.16085773316456</v>
      </c>
      <c r="AD8" s="98">
        <v>1.4404747378895668</v>
      </c>
      <c r="AE8" s="98">
        <v>445.97097885060981</v>
      </c>
      <c r="AF8" s="98">
        <v>1.4909822672685837</v>
      </c>
      <c r="AG8" s="98">
        <v>461.60810994635347</v>
      </c>
      <c r="AH8" s="98">
        <v>1.4496413953125005</v>
      </c>
      <c r="AI8" s="98">
        <v>448.80897598875009</v>
      </c>
      <c r="AJ8" s="98">
        <v>1.676360339072356</v>
      </c>
      <c r="AK8" s="98">
        <v>519.00116097680143</v>
      </c>
      <c r="AL8" s="98">
        <v>1.6131568384863433</v>
      </c>
      <c r="AM8" s="98">
        <v>499.4333571953718</v>
      </c>
      <c r="AN8" s="98">
        <v>2.0713301311919219</v>
      </c>
      <c r="AO8" s="98">
        <v>641.28380861701896</v>
      </c>
      <c r="AP8" s="98">
        <v>1.5896919415698072</v>
      </c>
      <c r="AQ8" s="98">
        <v>492.16862511001227</v>
      </c>
      <c r="AR8" s="98">
        <v>1.777709626358696</v>
      </c>
      <c r="AS8" s="98">
        <v>550.37890032065218</v>
      </c>
      <c r="AT8" s="98">
        <v>1.2411796340484533</v>
      </c>
      <c r="AU8" s="98">
        <v>384.2692147014011</v>
      </c>
      <c r="AV8" s="98">
        <v>1.5208445730507871</v>
      </c>
      <c r="AW8" s="98">
        <v>470.85347981652365</v>
      </c>
      <c r="AX8" s="98">
        <v>1.320037694407078</v>
      </c>
      <c r="AY8" s="98">
        <v>408.68367018843128</v>
      </c>
      <c r="AZ8" s="98">
        <v>1.3806108526785716</v>
      </c>
      <c r="BA8" s="98">
        <v>427.43711998928575</v>
      </c>
      <c r="BB8" s="98">
        <v>1.8141132364547785</v>
      </c>
      <c r="BC8" s="98">
        <v>561.64945800639941</v>
      </c>
      <c r="BD8" s="98">
        <v>1.3499306115079368</v>
      </c>
      <c r="BE8" s="98">
        <v>417.93851732285719</v>
      </c>
      <c r="BF8" s="98">
        <v>1.4205264725689386</v>
      </c>
      <c r="BG8" s="98">
        <v>439.79499590734332</v>
      </c>
      <c r="BH8" s="98">
        <v>1.3478300970709431</v>
      </c>
      <c r="BI8" s="98">
        <v>417.28819805316397</v>
      </c>
      <c r="BJ8" s="98">
        <v>1.0625390870189906</v>
      </c>
      <c r="BK8" s="98">
        <v>328.96210134107946</v>
      </c>
      <c r="BL8" s="98">
        <v>1.938820796199846</v>
      </c>
      <c r="BM8" s="98">
        <v>600.25891850347227</v>
      </c>
      <c r="BN8" s="98">
        <v>1.8360455208333337</v>
      </c>
      <c r="BO8" s="98">
        <v>568.43969325</v>
      </c>
      <c r="BP8" s="98">
        <v>1.7036383919270837</v>
      </c>
      <c r="BQ8" s="98">
        <v>527.44644614062508</v>
      </c>
      <c r="BR8" s="98">
        <v>1.067339715424197</v>
      </c>
      <c r="BS8" s="98">
        <v>330.44837589533137</v>
      </c>
      <c r="BT8" s="98">
        <v>1.276501388763809</v>
      </c>
      <c r="BU8" s="98">
        <v>395.20482996127521</v>
      </c>
      <c r="BV8" s="98">
        <v>1.6001332679512181</v>
      </c>
      <c r="BW8" s="98">
        <v>495.40125975769706</v>
      </c>
      <c r="BX8" s="98">
        <v>1.7542415124793733</v>
      </c>
      <c r="BY8" s="98">
        <v>543.11317226361393</v>
      </c>
      <c r="BZ8" s="98">
        <v>1.8695771963355658</v>
      </c>
      <c r="CA8" s="98">
        <v>578.82109998549117</v>
      </c>
      <c r="CB8" s="98">
        <v>1.576320220288405</v>
      </c>
      <c r="CC8" s="98">
        <v>488.02874020129013</v>
      </c>
      <c r="CD8" s="98">
        <v>1.027121117451691</v>
      </c>
      <c r="CE8" s="98">
        <v>317.99669796304352</v>
      </c>
      <c r="CF8" s="98">
        <v>1.6874132643849211</v>
      </c>
      <c r="CG8" s="98">
        <v>522.42314665357151</v>
      </c>
      <c r="CH8" s="98">
        <v>1.3550928700605482</v>
      </c>
      <c r="CI8" s="98">
        <v>419.5367525707457</v>
      </c>
      <c r="CJ8" s="98">
        <v>1.5521018233729225</v>
      </c>
      <c r="CK8" s="98">
        <v>480.53072451625673</v>
      </c>
      <c r="CL8" s="98">
        <v>1.410247699250784</v>
      </c>
      <c r="CM8" s="98">
        <v>436.61268768804268</v>
      </c>
      <c r="CN8" s="98">
        <v>1.1753127214621339</v>
      </c>
      <c r="CO8" s="98">
        <v>363.87681856467663</v>
      </c>
      <c r="CP8" s="98">
        <v>1.3929118927705715</v>
      </c>
      <c r="CQ8" s="98">
        <v>431.2455220017689</v>
      </c>
      <c r="CR8" s="98">
        <v>1.3186483899625059</v>
      </c>
      <c r="CS8" s="98">
        <v>408.25354153239175</v>
      </c>
      <c r="CT8" s="98">
        <v>1.2633040482026145</v>
      </c>
      <c r="CU8" s="98">
        <v>391.1189333235294</v>
      </c>
    </row>
    <row r="9" spans="1:99">
      <c r="C9" s="97" t="s">
        <v>176</v>
      </c>
      <c r="D9" s="98">
        <v>6</v>
      </c>
      <c r="E9" s="98">
        <v>4212</v>
      </c>
      <c r="F9" s="98">
        <v>8</v>
      </c>
      <c r="G9" s="98">
        <v>5616</v>
      </c>
      <c r="H9" s="98">
        <v>7</v>
      </c>
      <c r="I9" s="98">
        <v>4914</v>
      </c>
      <c r="J9" s="98">
        <v>9</v>
      </c>
      <c r="K9" s="98">
        <v>6318</v>
      </c>
      <c r="L9" s="98">
        <v>10</v>
      </c>
      <c r="M9" s="98">
        <v>7020</v>
      </c>
      <c r="N9" s="98">
        <v>10</v>
      </c>
      <c r="O9" s="98">
        <v>7020</v>
      </c>
      <c r="P9" s="98">
        <v>10</v>
      </c>
      <c r="Q9" s="98">
        <v>7020</v>
      </c>
      <c r="R9" s="98">
        <v>12</v>
      </c>
      <c r="S9" s="98">
        <v>8424</v>
      </c>
      <c r="T9" s="98">
        <v>7</v>
      </c>
      <c r="U9" s="98">
        <v>4914</v>
      </c>
      <c r="V9" s="98">
        <v>10</v>
      </c>
      <c r="W9" s="98">
        <v>7020</v>
      </c>
      <c r="X9" s="98">
        <v>11</v>
      </c>
      <c r="Y9" s="98">
        <v>7722</v>
      </c>
      <c r="Z9" s="98">
        <v>6.1393912945010536</v>
      </c>
      <c r="AA9" s="98">
        <v>4309.8526887397393</v>
      </c>
      <c r="AB9" s="98">
        <v>1.7156358453913587</v>
      </c>
      <c r="AC9" s="98">
        <v>1204.3763634647339</v>
      </c>
      <c r="AD9" s="98">
        <v>1.4404747378895668</v>
      </c>
      <c r="AE9" s="98">
        <v>1011.2132659984759</v>
      </c>
      <c r="AF9" s="98">
        <v>1.6152307895409657</v>
      </c>
      <c r="AG9" s="98">
        <v>1133.8920142577579</v>
      </c>
      <c r="AH9" s="98">
        <v>1.4496413953125005</v>
      </c>
      <c r="AI9" s="98">
        <v>1017.6482595093753</v>
      </c>
      <c r="AJ9" s="98">
        <v>1.4184587484458397</v>
      </c>
      <c r="AK9" s="98">
        <v>995.75804140897947</v>
      </c>
      <c r="AL9" s="98">
        <v>1.4787271019458146</v>
      </c>
      <c r="AM9" s="98">
        <v>1038.0664255659619</v>
      </c>
      <c r="AN9" s="98">
        <v>2.0713301311919219</v>
      </c>
      <c r="AO9" s="98">
        <v>1454.0737520967291</v>
      </c>
      <c r="AP9" s="98">
        <v>1.4451744923361882</v>
      </c>
      <c r="AQ9" s="98">
        <v>1014.5124936200041</v>
      </c>
      <c r="AR9" s="98">
        <v>1.6295671574954715</v>
      </c>
      <c r="AS9" s="98">
        <v>1143.956144561821</v>
      </c>
      <c r="AT9" s="98">
        <v>1.0860321797923966</v>
      </c>
      <c r="AU9" s="98">
        <v>762.39459021426239</v>
      </c>
      <c r="AV9" s="98">
        <v>1.3307390014194387</v>
      </c>
      <c r="AW9" s="98">
        <v>934.178778996446</v>
      </c>
      <c r="AX9" s="98">
        <v>1.320037694407078</v>
      </c>
      <c r="AY9" s="98">
        <v>926.66646147376878</v>
      </c>
      <c r="AZ9" s="98">
        <v>1.4956617570684525</v>
      </c>
      <c r="BA9" s="98">
        <v>1049.9545534620536</v>
      </c>
      <c r="BB9" s="98">
        <v>1.6629371334168805</v>
      </c>
      <c r="BC9" s="98">
        <v>1167.3818676586502</v>
      </c>
      <c r="BD9" s="98">
        <v>1.5186719379464289</v>
      </c>
      <c r="BE9" s="98">
        <v>1066.1077004383931</v>
      </c>
      <c r="BF9" s="98">
        <v>1.4205264725689386</v>
      </c>
      <c r="BG9" s="98">
        <v>997.20958374339489</v>
      </c>
      <c r="BH9" s="98">
        <v>1.4703601058955742</v>
      </c>
      <c r="BI9" s="98">
        <v>1032.1927943386931</v>
      </c>
      <c r="BJ9" s="98">
        <v>0.9297217011416169</v>
      </c>
      <c r="BK9" s="98">
        <v>652.66463420141508</v>
      </c>
      <c r="BL9" s="98">
        <v>1.6405406737075618</v>
      </c>
      <c r="BM9" s="98">
        <v>1151.6595529427084</v>
      </c>
      <c r="BN9" s="98">
        <v>1.8360455208333337</v>
      </c>
      <c r="BO9" s="98">
        <v>1288.9039556250002</v>
      </c>
      <c r="BP9" s="98">
        <v>1.7036383919270837</v>
      </c>
      <c r="BQ9" s="98">
        <v>1195.9541511328127</v>
      </c>
      <c r="BR9" s="98">
        <v>0.93392225099617232</v>
      </c>
      <c r="BS9" s="98">
        <v>655.61342019931294</v>
      </c>
      <c r="BT9" s="98">
        <v>1.1488512498874281</v>
      </c>
      <c r="BU9" s="98">
        <v>806.49357742097459</v>
      </c>
      <c r="BV9" s="98">
        <v>1.6001332679512181</v>
      </c>
      <c r="BW9" s="98">
        <v>1123.293554101755</v>
      </c>
      <c r="BX9" s="98">
        <v>1.6080547197727588</v>
      </c>
      <c r="BY9" s="98">
        <v>1128.8544132804766</v>
      </c>
      <c r="BZ9" s="98">
        <v>1.8695771963355658</v>
      </c>
      <c r="CA9" s="98">
        <v>1312.4431918275673</v>
      </c>
      <c r="CB9" s="98">
        <v>1.576320220288405</v>
      </c>
      <c r="CC9" s="98">
        <v>1106.5767946424603</v>
      </c>
      <c r="CD9" s="98">
        <v>1.027121117451691</v>
      </c>
      <c r="CE9" s="98">
        <v>721.03902445108713</v>
      </c>
      <c r="CF9" s="98">
        <v>1.5467954923528442</v>
      </c>
      <c r="CG9" s="98">
        <v>1085.8504356316967</v>
      </c>
      <c r="CH9" s="98">
        <v>1.3550928700605482</v>
      </c>
      <c r="CI9" s="98">
        <v>951.27519478250485</v>
      </c>
      <c r="CJ9" s="98">
        <v>1.4327093754211593</v>
      </c>
      <c r="CK9" s="98">
        <v>1005.7619815456538</v>
      </c>
      <c r="CL9" s="98">
        <v>1.410247699250784</v>
      </c>
      <c r="CM9" s="98">
        <v>989.99388487405031</v>
      </c>
      <c r="CN9" s="98">
        <v>1.1753127214621339</v>
      </c>
      <c r="CO9" s="98">
        <v>825.06953046641809</v>
      </c>
      <c r="CP9" s="98">
        <v>1.5322030820476287</v>
      </c>
      <c r="CQ9" s="98">
        <v>1075.6065635974353</v>
      </c>
      <c r="CR9" s="98">
        <v>1.3186483899625059</v>
      </c>
      <c r="CS9" s="98">
        <v>925.69116975367911</v>
      </c>
      <c r="CT9" s="98">
        <v>1.1053910421772879</v>
      </c>
      <c r="CU9" s="98">
        <v>775.98451160845616</v>
      </c>
    </row>
    <row r="10" spans="1:99">
      <c r="C10" s="97" t="s">
        <v>177</v>
      </c>
      <c r="D10" s="98">
        <v>7</v>
      </c>
      <c r="E10" s="98">
        <v>3813.5999999999995</v>
      </c>
      <c r="F10" s="98">
        <v>9</v>
      </c>
      <c r="G10" s="98">
        <v>4903.2</v>
      </c>
      <c r="H10" s="98">
        <v>7</v>
      </c>
      <c r="I10" s="98">
        <v>3813.5999999999995</v>
      </c>
      <c r="J10" s="98">
        <v>9</v>
      </c>
      <c r="K10" s="98">
        <v>4903.2</v>
      </c>
      <c r="L10" s="98">
        <v>11</v>
      </c>
      <c r="M10" s="98">
        <v>5992.7999999999993</v>
      </c>
      <c r="N10" s="98">
        <v>10</v>
      </c>
      <c r="O10" s="98">
        <v>5448</v>
      </c>
      <c r="P10" s="98">
        <v>10</v>
      </c>
      <c r="Q10" s="98">
        <v>5448</v>
      </c>
      <c r="R10" s="98">
        <v>11</v>
      </c>
      <c r="S10" s="98">
        <v>5992.7999999999993</v>
      </c>
      <c r="T10" s="98">
        <v>7</v>
      </c>
      <c r="U10" s="98">
        <v>3813.5999999999995</v>
      </c>
      <c r="V10" s="98">
        <v>11</v>
      </c>
      <c r="W10" s="98">
        <v>5992.7999999999993</v>
      </c>
      <c r="X10" s="98">
        <v>11</v>
      </c>
      <c r="Y10" s="98">
        <v>5992.7999999999993</v>
      </c>
      <c r="Z10" s="98">
        <v>5.4572367062231582</v>
      </c>
      <c r="AA10" s="98">
        <v>2973.1025575503763</v>
      </c>
      <c r="AB10" s="98">
        <v>1.7156358453913587</v>
      </c>
      <c r="AC10" s="98">
        <v>934.67840856921214</v>
      </c>
      <c r="AD10" s="98">
        <v>1.29642726410061</v>
      </c>
      <c r="AE10" s="98">
        <v>706.29357348201233</v>
      </c>
      <c r="AF10" s="98">
        <v>1.4909822672685837</v>
      </c>
      <c r="AG10" s="98">
        <v>812.28713920792438</v>
      </c>
      <c r="AH10" s="98">
        <v>1.6107126614583336</v>
      </c>
      <c r="AI10" s="98">
        <v>877.51625796250005</v>
      </c>
      <c r="AJ10" s="98">
        <v>1.5474095437590978</v>
      </c>
      <c r="AK10" s="98">
        <v>843.02871943995638</v>
      </c>
      <c r="AL10" s="98">
        <v>1.4787271019458146</v>
      </c>
      <c r="AM10" s="98">
        <v>805.61052514007974</v>
      </c>
      <c r="AN10" s="98">
        <v>2.0713301311919219</v>
      </c>
      <c r="AO10" s="98">
        <v>1128.4606554733589</v>
      </c>
      <c r="AP10" s="98">
        <v>1.5896919415698072</v>
      </c>
      <c r="AQ10" s="98">
        <v>866.06416976723085</v>
      </c>
      <c r="AR10" s="98">
        <v>1.6295671574954715</v>
      </c>
      <c r="AS10" s="98">
        <v>887.78818740353279</v>
      </c>
      <c r="AT10" s="98">
        <v>1.2411796340484533</v>
      </c>
      <c r="AU10" s="98">
        <v>676.19466462959736</v>
      </c>
      <c r="AV10" s="98">
        <v>1.5208445730507871</v>
      </c>
      <c r="AW10" s="98">
        <v>828.55612339806873</v>
      </c>
      <c r="AX10" s="98">
        <v>1.0266959845388386</v>
      </c>
      <c r="AY10" s="98">
        <v>559.34397237675921</v>
      </c>
      <c r="AZ10" s="98">
        <v>1.6107126614583336</v>
      </c>
      <c r="BA10" s="98">
        <v>877.51625796250005</v>
      </c>
      <c r="BB10" s="98">
        <v>1.8141132364547785</v>
      </c>
      <c r="BC10" s="98">
        <v>988.32889122056326</v>
      </c>
      <c r="BD10" s="98">
        <v>1.3499306115079368</v>
      </c>
      <c r="BE10" s="98">
        <v>735.44219714952396</v>
      </c>
      <c r="BF10" s="98">
        <v>1.4205264725689386</v>
      </c>
      <c r="BG10" s="98">
        <v>773.90282225555768</v>
      </c>
      <c r="BH10" s="98">
        <v>1.4703601058955742</v>
      </c>
      <c r="BI10" s="98">
        <v>801.05218569190879</v>
      </c>
      <c r="BJ10" s="98">
        <v>0.9297217011416169</v>
      </c>
      <c r="BK10" s="98">
        <v>506.51238278195285</v>
      </c>
      <c r="BL10" s="98">
        <v>1.938820796199846</v>
      </c>
      <c r="BM10" s="98">
        <v>1056.2695697696761</v>
      </c>
      <c r="BN10" s="98">
        <v>1.8360455208333337</v>
      </c>
      <c r="BO10" s="98">
        <v>1000.2775997500001</v>
      </c>
      <c r="BP10" s="98">
        <v>1.7036383919270837</v>
      </c>
      <c r="BQ10" s="98">
        <v>928.1421959218751</v>
      </c>
      <c r="BR10" s="98">
        <v>1.067339715424197</v>
      </c>
      <c r="BS10" s="98">
        <v>581.48667696310247</v>
      </c>
      <c r="BT10" s="98">
        <v>1.276501388763809</v>
      </c>
      <c r="BU10" s="98">
        <v>695.4379565985231</v>
      </c>
      <c r="BV10" s="98">
        <v>1.6001332679512181</v>
      </c>
      <c r="BW10" s="98">
        <v>871.75260437982354</v>
      </c>
      <c r="BX10" s="98">
        <v>1.7542415124793733</v>
      </c>
      <c r="BY10" s="98">
        <v>955.71077599876253</v>
      </c>
      <c r="BZ10" s="98">
        <v>1.8695771963355658</v>
      </c>
      <c r="CA10" s="98">
        <v>1018.5456565636161</v>
      </c>
      <c r="CB10" s="98">
        <v>1.576320220288405</v>
      </c>
      <c r="CC10" s="98">
        <v>858.77925601312302</v>
      </c>
      <c r="CD10" s="98">
        <v>1.027121117451691</v>
      </c>
      <c r="CE10" s="98">
        <v>559.57558478768124</v>
      </c>
      <c r="CF10" s="98">
        <v>1.6874132643849211</v>
      </c>
      <c r="CG10" s="98">
        <v>919.30274643690495</v>
      </c>
      <c r="CH10" s="98">
        <v>1.5244794788181169</v>
      </c>
      <c r="CI10" s="98">
        <v>830.53642006011</v>
      </c>
      <c r="CJ10" s="98">
        <v>1.5521018233729225</v>
      </c>
      <c r="CK10" s="98">
        <v>845.58507337356809</v>
      </c>
      <c r="CL10" s="98">
        <v>1.2820433629552583</v>
      </c>
      <c r="CM10" s="98">
        <v>698.45722413802469</v>
      </c>
      <c r="CN10" s="98">
        <v>1.3222268116449007</v>
      </c>
      <c r="CO10" s="98">
        <v>720.3491669841419</v>
      </c>
      <c r="CP10" s="98">
        <v>1.6714942713246859</v>
      </c>
      <c r="CQ10" s="98">
        <v>910.63007901768879</v>
      </c>
      <c r="CR10" s="98">
        <v>1.198771263602278</v>
      </c>
      <c r="CS10" s="98">
        <v>653.09058441052105</v>
      </c>
      <c r="CT10" s="98">
        <v>1.1053910421772879</v>
      </c>
      <c r="CU10" s="98">
        <v>602.2170397781864</v>
      </c>
    </row>
    <row r="11" spans="1:99">
      <c r="C11" s="97" t="s">
        <v>178</v>
      </c>
      <c r="D11" s="98">
        <v>7</v>
      </c>
      <c r="E11" s="98">
        <v>3729.5999999999995</v>
      </c>
      <c r="F11" s="98">
        <v>9</v>
      </c>
      <c r="G11" s="98">
        <v>4795.2</v>
      </c>
      <c r="H11" s="98">
        <v>7</v>
      </c>
      <c r="I11" s="98">
        <v>3729.5999999999995</v>
      </c>
      <c r="J11" s="98">
        <v>9</v>
      </c>
      <c r="K11" s="98">
        <v>4795.2</v>
      </c>
      <c r="L11" s="98">
        <v>11</v>
      </c>
      <c r="M11" s="98">
        <v>5860.7999999999993</v>
      </c>
      <c r="N11" s="98">
        <v>10</v>
      </c>
      <c r="O11" s="98">
        <v>5328</v>
      </c>
      <c r="P11" s="98">
        <v>11</v>
      </c>
      <c r="Q11" s="98">
        <v>5860.7999999999993</v>
      </c>
      <c r="R11" s="98">
        <v>11</v>
      </c>
      <c r="S11" s="98">
        <v>5860.7999999999993</v>
      </c>
      <c r="T11" s="98">
        <v>8</v>
      </c>
      <c r="U11" s="98">
        <v>4262.3999999999996</v>
      </c>
      <c r="V11" s="98">
        <v>11</v>
      </c>
      <c r="W11" s="98">
        <v>5860.7999999999993</v>
      </c>
      <c r="X11" s="98">
        <v>12</v>
      </c>
      <c r="Y11" s="98">
        <v>6393.5999999999995</v>
      </c>
      <c r="Z11" s="98">
        <v>4.7750821179452636</v>
      </c>
      <c r="AA11" s="98">
        <v>2544.1637524412363</v>
      </c>
      <c r="AB11" s="98">
        <v>1.7156358453913587</v>
      </c>
      <c r="AC11" s="98">
        <v>914.09077842451586</v>
      </c>
      <c r="AD11" s="98">
        <v>1.29642726410061</v>
      </c>
      <c r="AE11" s="98">
        <v>690.73644631280501</v>
      </c>
      <c r="AF11" s="98">
        <v>1.4909822672685837</v>
      </c>
      <c r="AG11" s="98">
        <v>794.39535200070134</v>
      </c>
      <c r="AH11" s="98">
        <v>1.4496413953125005</v>
      </c>
      <c r="AI11" s="98">
        <v>772.36893542250016</v>
      </c>
      <c r="AJ11" s="98">
        <v>1.676360339072356</v>
      </c>
      <c r="AK11" s="98">
        <v>893.16478865775127</v>
      </c>
      <c r="AL11" s="98">
        <v>1.7475865750268718</v>
      </c>
      <c r="AM11" s="98">
        <v>931.11412717431722</v>
      </c>
      <c r="AN11" s="98">
        <v>2.230663218206685</v>
      </c>
      <c r="AO11" s="98">
        <v>1188.4973626605217</v>
      </c>
      <c r="AP11" s="98">
        <v>1.4451744923361882</v>
      </c>
      <c r="AQ11" s="98">
        <v>769.988969516721</v>
      </c>
      <c r="AR11" s="98">
        <v>1.6295671574954715</v>
      </c>
      <c r="AS11" s="98">
        <v>868.23338151358712</v>
      </c>
      <c r="AT11" s="98">
        <v>1.0860321797923966</v>
      </c>
      <c r="AU11" s="98">
        <v>578.63794539338892</v>
      </c>
      <c r="AV11" s="98">
        <v>1.5208445730507871</v>
      </c>
      <c r="AW11" s="98">
        <v>810.30598852145931</v>
      </c>
      <c r="AX11" s="98">
        <v>1.1733668394729582</v>
      </c>
      <c r="AY11" s="98">
        <v>625.16985207119205</v>
      </c>
      <c r="AZ11" s="98">
        <v>1.3806108526785716</v>
      </c>
      <c r="BA11" s="98">
        <v>735.58946230714287</v>
      </c>
      <c r="BB11" s="98">
        <v>1.8141132364547785</v>
      </c>
      <c r="BC11" s="98">
        <v>966.55953238310587</v>
      </c>
      <c r="BD11" s="98">
        <v>1.5186719379464289</v>
      </c>
      <c r="BE11" s="98">
        <v>809.14840853785722</v>
      </c>
      <c r="BF11" s="98">
        <v>1.4205264725689386</v>
      </c>
      <c r="BG11" s="98">
        <v>756.85650458473037</v>
      </c>
      <c r="BH11" s="98">
        <v>1.4703601058955742</v>
      </c>
      <c r="BI11" s="98">
        <v>783.40786442116189</v>
      </c>
      <c r="BJ11" s="98">
        <v>1.0625390870189906</v>
      </c>
      <c r="BK11" s="98">
        <v>566.12082556371809</v>
      </c>
      <c r="BL11" s="98">
        <v>1.6405406737075618</v>
      </c>
      <c r="BM11" s="98">
        <v>874.08007095138885</v>
      </c>
      <c r="BN11" s="98">
        <v>1.9890493142361116</v>
      </c>
      <c r="BO11" s="98">
        <v>1059.7654746250003</v>
      </c>
      <c r="BP11" s="98">
        <v>1.7036383919270837</v>
      </c>
      <c r="BQ11" s="98">
        <v>907.69853521875007</v>
      </c>
      <c r="BR11" s="98">
        <v>1.067339715424197</v>
      </c>
      <c r="BS11" s="98">
        <v>568.67860037801211</v>
      </c>
      <c r="BT11" s="98">
        <v>1.276501388763809</v>
      </c>
      <c r="BU11" s="98">
        <v>680.11993993335739</v>
      </c>
      <c r="BV11" s="98">
        <v>1.7455999286740562</v>
      </c>
      <c r="BW11" s="98">
        <v>930.05564199753712</v>
      </c>
      <c r="BX11" s="98">
        <v>1.6080547197727588</v>
      </c>
      <c r="BY11" s="98">
        <v>856.77155469492584</v>
      </c>
      <c r="BZ11" s="98">
        <v>1.8695771963355658</v>
      </c>
      <c r="CA11" s="98">
        <v>996.11073020758943</v>
      </c>
      <c r="CB11" s="98">
        <v>1.7339522423172453</v>
      </c>
      <c r="CC11" s="98">
        <v>923.84975470662823</v>
      </c>
      <c r="CD11" s="98">
        <v>1.027121117451691</v>
      </c>
      <c r="CE11" s="98">
        <v>547.2501313782609</v>
      </c>
      <c r="CF11" s="98">
        <v>1.5467954923528442</v>
      </c>
      <c r="CG11" s="98">
        <v>824.13263832559528</v>
      </c>
      <c r="CH11" s="98">
        <v>1.3550928700605482</v>
      </c>
      <c r="CI11" s="98">
        <v>721.99348116826002</v>
      </c>
      <c r="CJ11" s="98">
        <v>1.6714942713246859</v>
      </c>
      <c r="CK11" s="98">
        <v>890.57214776179251</v>
      </c>
      <c r="CL11" s="98">
        <v>1.410247699250784</v>
      </c>
      <c r="CM11" s="98">
        <v>751.3799741608176</v>
      </c>
      <c r="CN11" s="98">
        <v>1.1753127214621339</v>
      </c>
      <c r="CO11" s="98">
        <v>626.20661799502489</v>
      </c>
      <c r="CP11" s="98">
        <v>1.3929118927705715</v>
      </c>
      <c r="CQ11" s="98">
        <v>742.14345646816037</v>
      </c>
      <c r="CR11" s="98">
        <v>1.198771263602278</v>
      </c>
      <c r="CS11" s="98">
        <v>638.70532924729366</v>
      </c>
      <c r="CT11" s="98">
        <v>1.2633040482026145</v>
      </c>
      <c r="CU11" s="98">
        <v>673.08839688235298</v>
      </c>
    </row>
    <row r="12" spans="1:99">
      <c r="C12" s="97" t="s">
        <v>179</v>
      </c>
      <c r="D12" s="98">
        <v>6</v>
      </c>
      <c r="E12" s="98">
        <v>3376.7999999999997</v>
      </c>
      <c r="F12" s="98">
        <v>8</v>
      </c>
      <c r="G12" s="98">
        <v>4502.3999999999996</v>
      </c>
      <c r="H12" s="98">
        <v>7</v>
      </c>
      <c r="I12" s="98">
        <v>3939.5999999999995</v>
      </c>
      <c r="J12" s="98">
        <v>9</v>
      </c>
      <c r="K12" s="98">
        <v>5065.2</v>
      </c>
      <c r="L12" s="98">
        <v>11</v>
      </c>
      <c r="M12" s="98">
        <v>6190.7999999999993</v>
      </c>
      <c r="N12" s="98">
        <v>11</v>
      </c>
      <c r="O12" s="98">
        <v>6190.7999999999993</v>
      </c>
      <c r="P12" s="98">
        <v>11</v>
      </c>
      <c r="Q12" s="98">
        <v>6190.7999999999993</v>
      </c>
      <c r="R12" s="98">
        <v>12</v>
      </c>
      <c r="S12" s="98">
        <v>6753.5999999999995</v>
      </c>
      <c r="T12" s="98">
        <v>8</v>
      </c>
      <c r="U12" s="98">
        <v>4502.3999999999996</v>
      </c>
      <c r="V12" s="98">
        <v>12</v>
      </c>
      <c r="W12" s="98">
        <v>6753.5999999999995</v>
      </c>
      <c r="X12" s="98">
        <v>12</v>
      </c>
      <c r="Y12" s="98">
        <v>6753.5999999999995</v>
      </c>
      <c r="Z12" s="98">
        <v>5.4572367062231582</v>
      </c>
      <c r="AA12" s="98">
        <v>3071.3328182623932</v>
      </c>
      <c r="AB12" s="98">
        <v>1.7156358453913587</v>
      </c>
      <c r="AC12" s="98">
        <v>965.55985378625655</v>
      </c>
      <c r="AD12" s="98">
        <v>1.4404747378895668</v>
      </c>
      <c r="AE12" s="98">
        <v>810.69918248424813</v>
      </c>
      <c r="AF12" s="98">
        <v>1.4909822672685837</v>
      </c>
      <c r="AG12" s="98">
        <v>839.1248200187589</v>
      </c>
      <c r="AH12" s="98">
        <v>1.6107126614583336</v>
      </c>
      <c r="AI12" s="98">
        <v>906.50908586875005</v>
      </c>
      <c r="AJ12" s="98">
        <v>1.676360339072356</v>
      </c>
      <c r="AK12" s="98">
        <v>943.45559882992188</v>
      </c>
      <c r="AL12" s="98">
        <v>1.7475865750268718</v>
      </c>
      <c r="AM12" s="98">
        <v>983.54172442512333</v>
      </c>
      <c r="AN12" s="98">
        <v>2.230663218206685</v>
      </c>
      <c r="AO12" s="98">
        <v>1255.4172592067223</v>
      </c>
      <c r="AP12" s="98">
        <v>1.5896919415698072</v>
      </c>
      <c r="AQ12" s="98">
        <v>894.67862471548744</v>
      </c>
      <c r="AR12" s="98">
        <v>1.777709626358696</v>
      </c>
      <c r="AS12" s="98">
        <v>1000.4949777146741</v>
      </c>
      <c r="AT12" s="98">
        <v>1.0860321797923966</v>
      </c>
      <c r="AU12" s="98">
        <v>611.21891078716078</v>
      </c>
      <c r="AV12" s="98">
        <v>1.5208445730507871</v>
      </c>
      <c r="AW12" s="98">
        <v>855.93132571298293</v>
      </c>
      <c r="AX12" s="98">
        <v>1.320037694407078</v>
      </c>
      <c r="AY12" s="98">
        <v>742.91721441230345</v>
      </c>
      <c r="AZ12" s="98">
        <v>1.4956617570684525</v>
      </c>
      <c r="BA12" s="98">
        <v>841.75843687812505</v>
      </c>
      <c r="BB12" s="98">
        <v>1.6629371334168805</v>
      </c>
      <c r="BC12" s="98">
        <v>935.90101868702027</v>
      </c>
      <c r="BD12" s="98">
        <v>1.3499306115079368</v>
      </c>
      <c r="BE12" s="98">
        <v>759.74094815666672</v>
      </c>
      <c r="BF12" s="98">
        <v>1.4205264725689386</v>
      </c>
      <c r="BG12" s="98">
        <v>799.47229876179858</v>
      </c>
      <c r="BH12" s="98">
        <v>1.3478300970709431</v>
      </c>
      <c r="BI12" s="98">
        <v>758.55877863152671</v>
      </c>
      <c r="BJ12" s="98">
        <v>1.0625390870189906</v>
      </c>
      <c r="BK12" s="98">
        <v>597.9969981742878</v>
      </c>
      <c r="BL12" s="98">
        <v>1.6405406737075618</v>
      </c>
      <c r="BM12" s="98">
        <v>923.29629116261572</v>
      </c>
      <c r="BN12" s="98">
        <v>1.8360455208333337</v>
      </c>
      <c r="BO12" s="98">
        <v>1033.326419125</v>
      </c>
      <c r="BP12" s="98">
        <v>1.5487621744791671</v>
      </c>
      <c r="BQ12" s="98">
        <v>871.64335179687521</v>
      </c>
      <c r="BR12" s="98">
        <v>1.067339715424197</v>
      </c>
      <c r="BS12" s="98">
        <v>600.69879184073807</v>
      </c>
      <c r="BT12" s="98">
        <v>1.1488512498874281</v>
      </c>
      <c r="BU12" s="98">
        <v>646.57348343664455</v>
      </c>
      <c r="BV12" s="98">
        <v>1.6001332679512181</v>
      </c>
      <c r="BW12" s="98">
        <v>900.5550032029455</v>
      </c>
      <c r="BX12" s="98">
        <v>1.7542415124793733</v>
      </c>
      <c r="BY12" s="98">
        <v>987.28712322339118</v>
      </c>
      <c r="BZ12" s="98">
        <v>1.8695771963355658</v>
      </c>
      <c r="CA12" s="98">
        <v>1052.1980460976563</v>
      </c>
      <c r="CB12" s="98">
        <v>1.4186881982595643</v>
      </c>
      <c r="CC12" s="98">
        <v>798.43771798048272</v>
      </c>
      <c r="CD12" s="98">
        <v>1.1555112571331523</v>
      </c>
      <c r="CE12" s="98">
        <v>650.32173551453809</v>
      </c>
      <c r="CF12" s="98">
        <v>1.5467954923528442</v>
      </c>
      <c r="CG12" s="98">
        <v>870.5365030961807</v>
      </c>
      <c r="CH12" s="98">
        <v>1.5244794788181169</v>
      </c>
      <c r="CI12" s="98">
        <v>857.97705067883612</v>
      </c>
      <c r="CJ12" s="98">
        <v>1.6714942713246859</v>
      </c>
      <c r="CK12" s="98">
        <v>940.71697590153315</v>
      </c>
      <c r="CL12" s="98">
        <v>1.410247699250784</v>
      </c>
      <c r="CM12" s="98">
        <v>793.68740513834121</v>
      </c>
      <c r="CN12" s="98">
        <v>1.1753127214621339</v>
      </c>
      <c r="CO12" s="98">
        <v>661.46599963888889</v>
      </c>
      <c r="CP12" s="98">
        <v>1.5322030820476287</v>
      </c>
      <c r="CQ12" s="98">
        <v>862.32389457640534</v>
      </c>
      <c r="CR12" s="98">
        <v>1.198771263602278</v>
      </c>
      <c r="CS12" s="98">
        <v>674.66846715536201</v>
      </c>
      <c r="CT12" s="98">
        <v>1.2633040482026145</v>
      </c>
      <c r="CU12" s="98">
        <v>710.98751832843141</v>
      </c>
    </row>
    <row r="13" spans="1:99">
      <c r="C13" s="97" t="s">
        <v>180</v>
      </c>
      <c r="D13" s="98">
        <v>7</v>
      </c>
      <c r="E13" s="98">
        <v>596.4</v>
      </c>
      <c r="F13" s="98">
        <v>8</v>
      </c>
      <c r="G13" s="98">
        <v>681.6</v>
      </c>
      <c r="H13" s="98">
        <v>8</v>
      </c>
      <c r="I13" s="98">
        <v>681.6</v>
      </c>
      <c r="J13" s="98">
        <v>9</v>
      </c>
      <c r="K13" s="98">
        <v>766.80000000000007</v>
      </c>
      <c r="L13" s="98">
        <v>10</v>
      </c>
      <c r="M13" s="98">
        <v>852</v>
      </c>
      <c r="N13" s="98">
        <v>11</v>
      </c>
      <c r="O13" s="98">
        <v>937.2</v>
      </c>
      <c r="P13" s="98">
        <v>12</v>
      </c>
      <c r="Q13" s="98">
        <v>1022.4000000000001</v>
      </c>
      <c r="R13" s="98">
        <v>11</v>
      </c>
      <c r="S13" s="98">
        <v>937.2</v>
      </c>
      <c r="T13" s="98">
        <v>8</v>
      </c>
      <c r="U13" s="98">
        <v>681.6</v>
      </c>
      <c r="V13" s="98">
        <v>12</v>
      </c>
      <c r="W13" s="98">
        <v>1022.4000000000001</v>
      </c>
      <c r="X13" s="98">
        <v>13</v>
      </c>
      <c r="Y13" s="98">
        <v>1107.6000000000001</v>
      </c>
      <c r="Z13" s="98">
        <v>5.4572367062231582</v>
      </c>
      <c r="AA13" s="98">
        <v>464.95656737021307</v>
      </c>
      <c r="AB13" s="98">
        <v>1.7156358453913587</v>
      </c>
      <c r="AC13" s="98">
        <v>146.17217402734377</v>
      </c>
      <c r="AD13" s="98">
        <v>1.5845222116785234</v>
      </c>
      <c r="AE13" s="98">
        <v>135.00129243501019</v>
      </c>
      <c r="AF13" s="98">
        <v>1.6152307895409657</v>
      </c>
      <c r="AG13" s="98">
        <v>137.61766326889028</v>
      </c>
      <c r="AH13" s="98">
        <v>1.4496413953125005</v>
      </c>
      <c r="AI13" s="98">
        <v>123.50944688062505</v>
      </c>
      <c r="AJ13" s="98">
        <v>1.5474095437590978</v>
      </c>
      <c r="AK13" s="98">
        <v>131.83929312827513</v>
      </c>
      <c r="AL13" s="98">
        <v>1.6131568384863433</v>
      </c>
      <c r="AM13" s="98">
        <v>137.44096263903646</v>
      </c>
      <c r="AN13" s="98">
        <v>1.9119970441771588</v>
      </c>
      <c r="AO13" s="98">
        <v>162.90214816389394</v>
      </c>
      <c r="AP13" s="98">
        <v>1.4451744923361882</v>
      </c>
      <c r="AQ13" s="98">
        <v>123.12886674704325</v>
      </c>
      <c r="AR13" s="98">
        <v>1.777709626358696</v>
      </c>
      <c r="AS13" s="98">
        <v>151.46086016576089</v>
      </c>
      <c r="AT13" s="98">
        <v>1.0860321797923966</v>
      </c>
      <c r="AU13" s="98">
        <v>92.529941718312202</v>
      </c>
      <c r="AV13" s="98">
        <v>1.3307390014194387</v>
      </c>
      <c r="AW13" s="98">
        <v>113.37896292093617</v>
      </c>
      <c r="AX13" s="98">
        <v>1.1733668394729582</v>
      </c>
      <c r="AY13" s="98">
        <v>99.970854723096039</v>
      </c>
      <c r="AZ13" s="98">
        <v>1.3806108526785716</v>
      </c>
      <c r="BA13" s="98">
        <v>117.62804464821431</v>
      </c>
      <c r="BB13" s="98">
        <v>1.6629371334168805</v>
      </c>
      <c r="BC13" s="98">
        <v>141.68224376711822</v>
      </c>
      <c r="BD13" s="98">
        <v>1.5186719379464289</v>
      </c>
      <c r="BE13" s="98">
        <v>129.39084911303576</v>
      </c>
      <c r="BF13" s="98">
        <v>1.2913877023353986</v>
      </c>
      <c r="BG13" s="98">
        <v>110.02623223897596</v>
      </c>
      <c r="BH13" s="98">
        <v>1.4703601058955742</v>
      </c>
      <c r="BI13" s="98">
        <v>125.27468102230293</v>
      </c>
      <c r="BJ13" s="98">
        <v>1.0625390870189906</v>
      </c>
      <c r="BK13" s="98">
        <v>90.528330214017998</v>
      </c>
      <c r="BL13" s="98">
        <v>1.7896807349537043</v>
      </c>
      <c r="BM13" s="98">
        <v>152.48079861805562</v>
      </c>
      <c r="BN13" s="98">
        <v>1.9890493142361116</v>
      </c>
      <c r="BO13" s="98">
        <v>169.46700157291673</v>
      </c>
      <c r="BP13" s="98">
        <v>2.013390826822917</v>
      </c>
      <c r="BQ13" s="98">
        <v>171.54089844531254</v>
      </c>
      <c r="BR13" s="98">
        <v>1.067339715424197</v>
      </c>
      <c r="BS13" s="98">
        <v>90.937343754141594</v>
      </c>
      <c r="BT13" s="98">
        <v>1.276501388763809</v>
      </c>
      <c r="BU13" s="98">
        <v>108.75791832267653</v>
      </c>
      <c r="BV13" s="98">
        <v>1.6001332679512181</v>
      </c>
      <c r="BW13" s="98">
        <v>136.33135442944379</v>
      </c>
      <c r="BX13" s="98">
        <v>1.7542415124793733</v>
      </c>
      <c r="BY13" s="98">
        <v>149.46137686324261</v>
      </c>
      <c r="BZ13" s="98">
        <v>1.8695771963355658</v>
      </c>
      <c r="CA13" s="98">
        <v>159.28797712779021</v>
      </c>
      <c r="CB13" s="98">
        <v>1.576320220288405</v>
      </c>
      <c r="CC13" s="98">
        <v>134.3024827685721</v>
      </c>
      <c r="CD13" s="98">
        <v>1.1555112571331523</v>
      </c>
      <c r="CE13" s="98">
        <v>98.449559107744577</v>
      </c>
      <c r="CF13" s="98">
        <v>1.5467954923528442</v>
      </c>
      <c r="CG13" s="98">
        <v>131.78697594846233</v>
      </c>
      <c r="CH13" s="98">
        <v>1.3550928700605482</v>
      </c>
      <c r="CI13" s="98">
        <v>115.45391252915871</v>
      </c>
      <c r="CJ13" s="98">
        <v>1.790886719276449</v>
      </c>
      <c r="CK13" s="98">
        <v>152.58354848235345</v>
      </c>
      <c r="CL13" s="98">
        <v>1.53845203554631</v>
      </c>
      <c r="CM13" s="98">
        <v>131.07611342854563</v>
      </c>
      <c r="CN13" s="98">
        <v>1.1753127214621339</v>
      </c>
      <c r="CO13" s="98">
        <v>100.13664386857381</v>
      </c>
      <c r="CP13" s="98">
        <v>1.3929118927705715</v>
      </c>
      <c r="CQ13" s="98">
        <v>118.6760932640527</v>
      </c>
      <c r="CR13" s="98">
        <v>1.198771263602278</v>
      </c>
      <c r="CS13" s="98">
        <v>102.13531165891409</v>
      </c>
      <c r="CT13" s="98">
        <v>1.2633040482026145</v>
      </c>
      <c r="CU13" s="98">
        <v>107.63350490686277</v>
      </c>
    </row>
    <row r="14" spans="1:99">
      <c r="C14" s="97" t="s">
        <v>181</v>
      </c>
      <c r="D14" s="98">
        <v>6</v>
      </c>
      <c r="E14" s="98">
        <v>2930.3999999999996</v>
      </c>
      <c r="F14" s="98">
        <v>9</v>
      </c>
      <c r="G14" s="98">
        <v>4395.5999999999995</v>
      </c>
      <c r="H14" s="98">
        <v>7</v>
      </c>
      <c r="I14" s="98">
        <v>3418.7999999999997</v>
      </c>
      <c r="J14" s="98">
        <v>9</v>
      </c>
      <c r="K14" s="98">
        <v>4395.5999999999995</v>
      </c>
      <c r="L14" s="98">
        <v>10</v>
      </c>
      <c r="M14" s="98">
        <v>4884</v>
      </c>
      <c r="N14" s="98">
        <v>10</v>
      </c>
      <c r="O14" s="98">
        <v>4884</v>
      </c>
      <c r="P14" s="98">
        <v>10</v>
      </c>
      <c r="Q14" s="98">
        <v>4884</v>
      </c>
      <c r="R14" s="98">
        <v>11</v>
      </c>
      <c r="S14" s="98">
        <v>5372.4</v>
      </c>
      <c r="T14" s="98">
        <v>7</v>
      </c>
      <c r="U14" s="98">
        <v>3418.7999999999997</v>
      </c>
      <c r="V14" s="98">
        <v>12</v>
      </c>
      <c r="W14" s="98">
        <v>5860.7999999999993</v>
      </c>
      <c r="X14" s="98">
        <v>11</v>
      </c>
      <c r="Y14" s="98">
        <v>5372.4</v>
      </c>
      <c r="Z14" s="98">
        <v>5.4572367062231582</v>
      </c>
      <c r="AA14" s="98">
        <v>2665.3144073193903</v>
      </c>
      <c r="AB14" s="98">
        <v>1.8716027404269369</v>
      </c>
      <c r="AC14" s="98">
        <v>914.09077842451597</v>
      </c>
      <c r="AD14" s="98">
        <v>1.29642726410061</v>
      </c>
      <c r="AE14" s="98">
        <v>633.17507578673792</v>
      </c>
      <c r="AF14" s="98">
        <v>1.6152307895409657</v>
      </c>
      <c r="AG14" s="98">
        <v>788.87871761180759</v>
      </c>
      <c r="AH14" s="98">
        <v>1.4496413953125005</v>
      </c>
      <c r="AI14" s="98">
        <v>708.00485747062521</v>
      </c>
      <c r="AJ14" s="98">
        <v>1.676360339072356</v>
      </c>
      <c r="AK14" s="98">
        <v>818.73438960293868</v>
      </c>
      <c r="AL14" s="98">
        <v>1.4787271019458146</v>
      </c>
      <c r="AM14" s="98">
        <v>722.21031659033576</v>
      </c>
      <c r="AN14" s="98">
        <v>1.9119970441771588</v>
      </c>
      <c r="AO14" s="98">
        <v>933.81935637612435</v>
      </c>
      <c r="AP14" s="98">
        <v>1.5896919415698072</v>
      </c>
      <c r="AQ14" s="98">
        <v>776.40554426269375</v>
      </c>
      <c r="AR14" s="98">
        <v>1.777709626358696</v>
      </c>
      <c r="AS14" s="98">
        <v>868.23338151358712</v>
      </c>
      <c r="AT14" s="98">
        <v>0.93088472553633994</v>
      </c>
      <c r="AU14" s="98">
        <v>454.64409995194842</v>
      </c>
      <c r="AV14" s="98">
        <v>1.3307390014194387</v>
      </c>
      <c r="AW14" s="98">
        <v>649.93292829325378</v>
      </c>
      <c r="AX14" s="98">
        <v>1.0266959845388386</v>
      </c>
      <c r="AY14" s="98">
        <v>501.43831884876874</v>
      </c>
      <c r="AZ14" s="98">
        <v>1.4956617570684525</v>
      </c>
      <c r="BA14" s="98">
        <v>730.48120215223219</v>
      </c>
      <c r="BB14" s="98">
        <v>1.8141132364547785</v>
      </c>
      <c r="BC14" s="98">
        <v>886.01290468451373</v>
      </c>
      <c r="BD14" s="98">
        <v>1.3499306115079368</v>
      </c>
      <c r="BE14" s="98">
        <v>659.30611066047629</v>
      </c>
      <c r="BF14" s="98">
        <v>1.4205264725689386</v>
      </c>
      <c r="BG14" s="98">
        <v>693.78512920266962</v>
      </c>
      <c r="BH14" s="98">
        <v>1.4703601058955742</v>
      </c>
      <c r="BI14" s="98">
        <v>718.12387571939837</v>
      </c>
      <c r="BJ14" s="98">
        <v>1.0625390870189906</v>
      </c>
      <c r="BK14" s="98">
        <v>518.94409010007496</v>
      </c>
      <c r="BL14" s="98">
        <v>1.6405406737075618</v>
      </c>
      <c r="BM14" s="98">
        <v>801.2400650387732</v>
      </c>
      <c r="BN14" s="98">
        <v>1.8360455208333337</v>
      </c>
      <c r="BO14" s="98">
        <v>896.72463237500017</v>
      </c>
      <c r="BP14" s="98">
        <v>1.8585146093750005</v>
      </c>
      <c r="BQ14" s="98">
        <v>907.69853521875018</v>
      </c>
      <c r="BR14" s="98">
        <v>0.93392225099617232</v>
      </c>
      <c r="BS14" s="98">
        <v>456.12762738653055</v>
      </c>
      <c r="BT14" s="98">
        <v>1.1488512498874281</v>
      </c>
      <c r="BU14" s="98">
        <v>561.09895044501991</v>
      </c>
      <c r="BV14" s="98">
        <v>1.7455999286740562</v>
      </c>
      <c r="BW14" s="98">
        <v>852.55100516440905</v>
      </c>
      <c r="BX14" s="98">
        <v>1.7542415124793733</v>
      </c>
      <c r="BY14" s="98">
        <v>856.77155469492584</v>
      </c>
      <c r="BZ14" s="98">
        <v>2.013390826822917</v>
      </c>
      <c r="CA14" s="98">
        <v>983.34007982031267</v>
      </c>
      <c r="CB14" s="98">
        <v>1.576320220288405</v>
      </c>
      <c r="CC14" s="98">
        <v>769.87479558885695</v>
      </c>
      <c r="CD14" s="98">
        <v>1.1555112571331523</v>
      </c>
      <c r="CE14" s="98">
        <v>564.35169798383151</v>
      </c>
      <c r="CF14" s="98">
        <v>1.8280310364169976</v>
      </c>
      <c r="CG14" s="98">
        <v>892.81035818606153</v>
      </c>
      <c r="CH14" s="98">
        <v>1.3550928700605482</v>
      </c>
      <c r="CI14" s="98">
        <v>661.82735773757167</v>
      </c>
      <c r="CJ14" s="98">
        <v>1.5521018233729225</v>
      </c>
      <c r="CK14" s="98">
        <v>758.04653053533525</v>
      </c>
      <c r="CL14" s="98">
        <v>1.2820433629552583</v>
      </c>
      <c r="CM14" s="98">
        <v>626.14997846734809</v>
      </c>
      <c r="CN14" s="98">
        <v>1.1753127214621339</v>
      </c>
      <c r="CO14" s="98">
        <v>574.02273316210619</v>
      </c>
      <c r="CP14" s="98">
        <v>1.5322030820476287</v>
      </c>
      <c r="CQ14" s="98">
        <v>748.32798527206182</v>
      </c>
      <c r="CR14" s="98">
        <v>1.198771263602278</v>
      </c>
      <c r="CS14" s="98">
        <v>585.47988514335259</v>
      </c>
      <c r="CT14" s="98">
        <v>1.2633040482026145</v>
      </c>
      <c r="CU14" s="98">
        <v>616.99769714215688</v>
      </c>
    </row>
    <row r="15" spans="1:99">
      <c r="C15" s="97" t="s">
        <v>182</v>
      </c>
      <c r="D15" s="98">
        <v>6</v>
      </c>
      <c r="E15" s="98">
        <v>4579.2</v>
      </c>
      <c r="F15" s="98">
        <v>8</v>
      </c>
      <c r="G15" s="98">
        <v>6105.5999999999995</v>
      </c>
      <c r="H15" s="98">
        <v>7</v>
      </c>
      <c r="I15" s="98">
        <v>5342.4</v>
      </c>
      <c r="J15" s="98">
        <v>9</v>
      </c>
      <c r="K15" s="98">
        <v>6868.7999999999993</v>
      </c>
      <c r="L15" s="98">
        <v>10</v>
      </c>
      <c r="M15" s="98">
        <v>7631.9999999999991</v>
      </c>
      <c r="N15" s="98">
        <v>10</v>
      </c>
      <c r="O15" s="98">
        <v>7631.9999999999991</v>
      </c>
      <c r="P15" s="98">
        <v>11</v>
      </c>
      <c r="Q15" s="98">
        <v>8395.1999999999989</v>
      </c>
      <c r="R15" s="98">
        <v>11</v>
      </c>
      <c r="S15" s="98">
        <v>8395.1999999999989</v>
      </c>
      <c r="T15" s="98">
        <v>8</v>
      </c>
      <c r="U15" s="98">
        <v>6105.5999999999995</v>
      </c>
      <c r="V15" s="98">
        <v>12</v>
      </c>
      <c r="W15" s="98">
        <v>9158.4</v>
      </c>
      <c r="X15" s="98">
        <v>13</v>
      </c>
      <c r="Y15" s="98">
        <v>9921.5999999999985</v>
      </c>
      <c r="Z15" s="98">
        <v>4.7750821179452636</v>
      </c>
      <c r="AA15" s="98">
        <v>3644.3426724158248</v>
      </c>
      <c r="AB15" s="98">
        <v>1.5596689503557808</v>
      </c>
      <c r="AC15" s="98">
        <v>1190.3393429115317</v>
      </c>
      <c r="AD15" s="98">
        <v>1.4404747378895668</v>
      </c>
      <c r="AE15" s="98">
        <v>1099.3703199573174</v>
      </c>
      <c r="AF15" s="98">
        <v>1.3667337449962018</v>
      </c>
      <c r="AG15" s="98">
        <v>1043.0911941811012</v>
      </c>
      <c r="AH15" s="98">
        <v>1.4496413953125005</v>
      </c>
      <c r="AI15" s="98">
        <v>1106.3663129025003</v>
      </c>
      <c r="AJ15" s="98">
        <v>1.676360339072356</v>
      </c>
      <c r="AK15" s="98">
        <v>1279.3982107800221</v>
      </c>
      <c r="AL15" s="98">
        <v>1.6131568384863433</v>
      </c>
      <c r="AM15" s="98">
        <v>1231.161299132777</v>
      </c>
      <c r="AN15" s="98">
        <v>1.9119970441771588</v>
      </c>
      <c r="AO15" s="98">
        <v>1459.2361441160074</v>
      </c>
      <c r="AP15" s="98">
        <v>1.5896919415698072</v>
      </c>
      <c r="AQ15" s="98">
        <v>1213.2528898060768</v>
      </c>
      <c r="AR15" s="98">
        <v>1.4814246886322466</v>
      </c>
      <c r="AS15" s="98">
        <v>1130.6233223641304</v>
      </c>
      <c r="AT15" s="98">
        <v>1.0860321797923966</v>
      </c>
      <c r="AU15" s="98">
        <v>828.85975961755707</v>
      </c>
      <c r="AV15" s="98">
        <v>1.3307390014194387</v>
      </c>
      <c r="AW15" s="98">
        <v>1015.6200058833155</v>
      </c>
      <c r="AX15" s="98">
        <v>1.320037694407078</v>
      </c>
      <c r="AY15" s="98">
        <v>1007.4527683714819</v>
      </c>
      <c r="AZ15" s="98">
        <v>1.3806108526785716</v>
      </c>
      <c r="BA15" s="98">
        <v>1053.6822027642859</v>
      </c>
      <c r="BB15" s="98">
        <v>1.8141132364547785</v>
      </c>
      <c r="BC15" s="98">
        <v>1384.5312220622868</v>
      </c>
      <c r="BD15" s="98">
        <v>1.5186719379464289</v>
      </c>
      <c r="BE15" s="98">
        <v>1159.0504230407143</v>
      </c>
      <c r="BF15" s="98">
        <v>1.4205264725689386</v>
      </c>
      <c r="BG15" s="98">
        <v>1084.1458038646138</v>
      </c>
      <c r="BH15" s="98">
        <v>1.4703601058955742</v>
      </c>
      <c r="BI15" s="98">
        <v>1122.1788328195021</v>
      </c>
      <c r="BJ15" s="98">
        <v>0.9297217011416169</v>
      </c>
      <c r="BK15" s="98">
        <v>709.5636023112819</v>
      </c>
      <c r="BL15" s="98">
        <v>1.7896807349537043</v>
      </c>
      <c r="BM15" s="98">
        <v>1365.8843369166671</v>
      </c>
      <c r="BN15" s="98">
        <v>1.8360455208333337</v>
      </c>
      <c r="BO15" s="98">
        <v>1401.2699415000002</v>
      </c>
      <c r="BP15" s="98">
        <v>1.7036383919270837</v>
      </c>
      <c r="BQ15" s="98">
        <v>1300.2168207187501</v>
      </c>
      <c r="BR15" s="98">
        <v>0.93392225099617232</v>
      </c>
      <c r="BS15" s="98">
        <v>712.7694619602787</v>
      </c>
      <c r="BT15" s="98">
        <v>1.276501388763809</v>
      </c>
      <c r="BU15" s="98">
        <v>974.22585990453899</v>
      </c>
      <c r="BV15" s="98">
        <v>1.6001332679512181</v>
      </c>
      <c r="BW15" s="98">
        <v>1221.2217101003696</v>
      </c>
      <c r="BX15" s="98">
        <v>1.6080547197727588</v>
      </c>
      <c r="BY15" s="98">
        <v>1227.2673621305694</v>
      </c>
      <c r="BZ15" s="98">
        <v>1.8695771963355658</v>
      </c>
      <c r="CA15" s="98">
        <v>1426.8613162433037</v>
      </c>
      <c r="CB15" s="98">
        <v>1.576320220288405</v>
      </c>
      <c r="CC15" s="98">
        <v>1203.0475921241107</v>
      </c>
      <c r="CD15" s="98">
        <v>1.027121117451691</v>
      </c>
      <c r="CE15" s="98">
        <v>783.89883683913047</v>
      </c>
      <c r="CF15" s="98">
        <v>1.6874132643849211</v>
      </c>
      <c r="CG15" s="98">
        <v>1287.8338033785717</v>
      </c>
      <c r="CH15" s="98">
        <v>1.3550928700605482</v>
      </c>
      <c r="CI15" s="98">
        <v>1034.2068784302103</v>
      </c>
      <c r="CJ15" s="98">
        <v>1.6714942713246859</v>
      </c>
      <c r="CK15" s="98">
        <v>1275.6844278750002</v>
      </c>
      <c r="CL15" s="98">
        <v>1.410247699250784</v>
      </c>
      <c r="CM15" s="98">
        <v>1076.3010440681983</v>
      </c>
      <c r="CN15" s="98">
        <v>1.0283986312793671</v>
      </c>
      <c r="CO15" s="98">
        <v>784.87383539241296</v>
      </c>
      <c r="CP15" s="98">
        <v>1.5322030820476287</v>
      </c>
      <c r="CQ15" s="98">
        <v>1169.3773922187502</v>
      </c>
      <c r="CR15" s="98">
        <v>1.0788941372420502</v>
      </c>
      <c r="CS15" s="98">
        <v>823.41200554313264</v>
      </c>
      <c r="CT15" s="98">
        <v>1.1053910421772879</v>
      </c>
      <c r="CU15" s="98">
        <v>843.63444338970601</v>
      </c>
    </row>
    <row r="16" spans="1:99">
      <c r="C16" s="97" t="s">
        <v>183</v>
      </c>
      <c r="D16" s="98">
        <v>6</v>
      </c>
      <c r="E16" s="98">
        <v>2044.8000000000002</v>
      </c>
      <c r="F16" s="98">
        <v>8</v>
      </c>
      <c r="G16" s="98">
        <v>2726.4</v>
      </c>
      <c r="H16" s="98">
        <v>7</v>
      </c>
      <c r="I16" s="98">
        <v>2385.6</v>
      </c>
      <c r="J16" s="98">
        <v>9</v>
      </c>
      <c r="K16" s="98">
        <v>3067.2000000000003</v>
      </c>
      <c r="L16" s="98">
        <v>11</v>
      </c>
      <c r="M16" s="98">
        <v>3748.8</v>
      </c>
      <c r="N16" s="98">
        <v>10</v>
      </c>
      <c r="O16" s="98">
        <v>3408</v>
      </c>
      <c r="P16" s="98">
        <v>11</v>
      </c>
      <c r="Q16" s="98">
        <v>3748.8</v>
      </c>
      <c r="R16" s="98">
        <v>11</v>
      </c>
      <c r="S16" s="98">
        <v>3748.8</v>
      </c>
      <c r="T16" s="98">
        <v>8</v>
      </c>
      <c r="U16" s="98">
        <v>2726.4</v>
      </c>
      <c r="V16" s="98">
        <v>11</v>
      </c>
      <c r="W16" s="98">
        <v>3748.8</v>
      </c>
      <c r="X16" s="98">
        <v>12</v>
      </c>
      <c r="Y16" s="98">
        <v>4089.6000000000004</v>
      </c>
      <c r="Z16" s="98">
        <v>5.4572367062231582</v>
      </c>
      <c r="AA16" s="98">
        <v>1859.8262694808523</v>
      </c>
      <c r="AB16" s="98">
        <v>1.5596689503557808</v>
      </c>
      <c r="AC16" s="98">
        <v>531.53517828125007</v>
      </c>
      <c r="AD16" s="98">
        <v>1.29642726410061</v>
      </c>
      <c r="AE16" s="98">
        <v>441.8224116054879</v>
      </c>
      <c r="AF16" s="98">
        <v>1.6152307895409657</v>
      </c>
      <c r="AG16" s="98">
        <v>550.47065307556113</v>
      </c>
      <c r="AH16" s="98">
        <v>1.4496413953125005</v>
      </c>
      <c r="AI16" s="98">
        <v>494.0377875225002</v>
      </c>
      <c r="AJ16" s="98">
        <v>1.4184587484458397</v>
      </c>
      <c r="AK16" s="98">
        <v>483.4107414703422</v>
      </c>
      <c r="AL16" s="98">
        <v>1.6131568384863433</v>
      </c>
      <c r="AM16" s="98">
        <v>549.76385055614583</v>
      </c>
      <c r="AN16" s="98">
        <v>1.9119970441771588</v>
      </c>
      <c r="AO16" s="98">
        <v>651.60859265557576</v>
      </c>
      <c r="AP16" s="98">
        <v>1.5896919415698072</v>
      </c>
      <c r="AQ16" s="98">
        <v>541.76701368699037</v>
      </c>
      <c r="AR16" s="98">
        <v>1.777709626358696</v>
      </c>
      <c r="AS16" s="98">
        <v>605.84344066304357</v>
      </c>
      <c r="AT16" s="98">
        <v>1.0860321797923966</v>
      </c>
      <c r="AU16" s="98">
        <v>370.11976687324881</v>
      </c>
      <c r="AV16" s="98">
        <v>1.5208445730507871</v>
      </c>
      <c r="AW16" s="98">
        <v>518.30383049570833</v>
      </c>
      <c r="AX16" s="98">
        <v>1.1733668394729582</v>
      </c>
      <c r="AY16" s="98">
        <v>399.88341889238416</v>
      </c>
      <c r="AZ16" s="98">
        <v>1.4956617570684525</v>
      </c>
      <c r="BA16" s="98">
        <v>509.72152680892862</v>
      </c>
      <c r="BB16" s="98">
        <v>1.6629371334168805</v>
      </c>
      <c r="BC16" s="98">
        <v>566.72897506847289</v>
      </c>
      <c r="BD16" s="98">
        <v>1.5186719379464289</v>
      </c>
      <c r="BE16" s="98">
        <v>517.56339645214302</v>
      </c>
      <c r="BF16" s="98">
        <v>1.2913877023353986</v>
      </c>
      <c r="BG16" s="98">
        <v>440.10492895590386</v>
      </c>
      <c r="BH16" s="98">
        <v>1.4703601058955742</v>
      </c>
      <c r="BI16" s="98">
        <v>501.09872408921171</v>
      </c>
      <c r="BJ16" s="98">
        <v>0.9297217011416169</v>
      </c>
      <c r="BK16" s="98">
        <v>316.84915574906307</v>
      </c>
      <c r="BL16" s="98">
        <v>1.7896807349537043</v>
      </c>
      <c r="BM16" s="98">
        <v>609.92319447222246</v>
      </c>
      <c r="BN16" s="98">
        <v>1.9890493142361116</v>
      </c>
      <c r="BO16" s="98">
        <v>677.86800629166692</v>
      </c>
      <c r="BP16" s="98">
        <v>1.8585146093750005</v>
      </c>
      <c r="BQ16" s="98">
        <v>633.38177887500012</v>
      </c>
      <c r="BR16" s="98">
        <v>0.93392225099617232</v>
      </c>
      <c r="BS16" s="98">
        <v>318.28070313949553</v>
      </c>
      <c r="BT16" s="98">
        <v>1.1488512498874281</v>
      </c>
      <c r="BU16" s="98">
        <v>391.52850596163552</v>
      </c>
      <c r="BV16" s="98">
        <v>1.7455999286740562</v>
      </c>
      <c r="BW16" s="98">
        <v>594.90045569211838</v>
      </c>
      <c r="BX16" s="98">
        <v>1.6080547197727588</v>
      </c>
      <c r="BY16" s="98">
        <v>548.0250484985562</v>
      </c>
      <c r="BZ16" s="98">
        <v>2.013390826822917</v>
      </c>
      <c r="CA16" s="98">
        <v>686.16359378125014</v>
      </c>
      <c r="CB16" s="98">
        <v>1.576320220288405</v>
      </c>
      <c r="CC16" s="98">
        <v>537.20993107428842</v>
      </c>
      <c r="CD16" s="98">
        <v>1.027121117451691</v>
      </c>
      <c r="CE16" s="98">
        <v>350.0428768275363</v>
      </c>
      <c r="CF16" s="98">
        <v>1.8280310364169976</v>
      </c>
      <c r="CG16" s="98">
        <v>622.99297721091284</v>
      </c>
      <c r="CH16" s="98">
        <v>1.3550928700605482</v>
      </c>
      <c r="CI16" s="98">
        <v>461.81565011663486</v>
      </c>
      <c r="CJ16" s="98">
        <v>1.790886719276449</v>
      </c>
      <c r="CK16" s="98">
        <v>610.3341939294138</v>
      </c>
      <c r="CL16" s="98">
        <v>1.2820433629552583</v>
      </c>
      <c r="CM16" s="98">
        <v>436.92037809515205</v>
      </c>
      <c r="CN16" s="98">
        <v>1.3222268116449007</v>
      </c>
      <c r="CO16" s="98">
        <v>450.61489740858218</v>
      </c>
      <c r="CP16" s="98">
        <v>1.5322030820476287</v>
      </c>
      <c r="CQ16" s="98">
        <v>522.17481036183187</v>
      </c>
      <c r="CR16" s="98">
        <v>1.198771263602278</v>
      </c>
      <c r="CS16" s="98">
        <v>408.54124663565636</v>
      </c>
      <c r="CT16" s="98">
        <v>1.2633040482026145</v>
      </c>
      <c r="CU16" s="98">
        <v>430.53401962745107</v>
      </c>
    </row>
    <row r="17" spans="2:99">
      <c r="C17" s="97" t="s">
        <v>184</v>
      </c>
      <c r="D17" s="98">
        <v>6</v>
      </c>
      <c r="E17" s="98">
        <v>2534.3999999999996</v>
      </c>
      <c r="F17" s="98">
        <v>8</v>
      </c>
      <c r="G17" s="98">
        <v>3379.2</v>
      </c>
      <c r="H17" s="98">
        <v>8</v>
      </c>
      <c r="I17" s="98">
        <v>3379.2</v>
      </c>
      <c r="J17" s="98">
        <v>8</v>
      </c>
      <c r="K17" s="98">
        <v>3379.2</v>
      </c>
      <c r="L17" s="98">
        <v>11</v>
      </c>
      <c r="M17" s="98">
        <v>4646.3999999999996</v>
      </c>
      <c r="N17" s="98">
        <v>11</v>
      </c>
      <c r="O17" s="98">
        <v>4646.3999999999996</v>
      </c>
      <c r="P17" s="98">
        <v>11</v>
      </c>
      <c r="Q17" s="98">
        <v>4646.3999999999996</v>
      </c>
      <c r="R17" s="98">
        <v>11</v>
      </c>
      <c r="S17" s="98">
        <v>4646.3999999999996</v>
      </c>
      <c r="T17" s="98">
        <v>8</v>
      </c>
      <c r="U17" s="98">
        <v>3379.2</v>
      </c>
      <c r="V17" s="98">
        <v>12</v>
      </c>
      <c r="W17" s="98">
        <v>5068.7999999999993</v>
      </c>
      <c r="X17" s="98">
        <v>12</v>
      </c>
      <c r="Y17" s="98">
        <v>5068.7999999999993</v>
      </c>
      <c r="Z17" s="98">
        <v>5.4572367062231582</v>
      </c>
      <c r="AA17" s="98">
        <v>2305.1367847086617</v>
      </c>
      <c r="AB17" s="98">
        <v>1.7156358453913587</v>
      </c>
      <c r="AC17" s="98">
        <v>724.68458109330993</v>
      </c>
      <c r="AD17" s="98">
        <v>1.4404747378895668</v>
      </c>
      <c r="AE17" s="98">
        <v>608.45652928455297</v>
      </c>
      <c r="AF17" s="98">
        <v>1.6152307895409657</v>
      </c>
      <c r="AG17" s="98">
        <v>682.27348550210388</v>
      </c>
      <c r="AH17" s="98">
        <v>1.4496413953125005</v>
      </c>
      <c r="AI17" s="98">
        <v>612.3285253800002</v>
      </c>
      <c r="AJ17" s="98">
        <v>1.4184587484458397</v>
      </c>
      <c r="AK17" s="98">
        <v>599.15697534352273</v>
      </c>
      <c r="AL17" s="98">
        <v>1.4787271019458146</v>
      </c>
      <c r="AM17" s="98">
        <v>624.6143278619121</v>
      </c>
      <c r="AN17" s="98">
        <v>2.0713301311919219</v>
      </c>
      <c r="AO17" s="98">
        <v>874.92984741546775</v>
      </c>
      <c r="AP17" s="98">
        <v>1.4451744923361882</v>
      </c>
      <c r="AQ17" s="98">
        <v>610.44170556280585</v>
      </c>
      <c r="AR17" s="98">
        <v>1.6295671574954715</v>
      </c>
      <c r="AS17" s="98">
        <v>688.32916732608714</v>
      </c>
      <c r="AT17" s="98">
        <v>1.0860321797923966</v>
      </c>
      <c r="AU17" s="98">
        <v>458.73999274430832</v>
      </c>
      <c r="AV17" s="98">
        <v>1.5208445730507871</v>
      </c>
      <c r="AW17" s="98">
        <v>642.40474765665249</v>
      </c>
      <c r="AX17" s="98">
        <v>1.1733668394729582</v>
      </c>
      <c r="AY17" s="98">
        <v>495.63015299337752</v>
      </c>
      <c r="AZ17" s="98">
        <v>1.6107126614583336</v>
      </c>
      <c r="BA17" s="98">
        <v>680.3650282000001</v>
      </c>
      <c r="BB17" s="98">
        <v>1.8141132364547785</v>
      </c>
      <c r="BC17" s="98">
        <v>766.28143107849837</v>
      </c>
      <c r="BD17" s="98">
        <v>1.3499306115079368</v>
      </c>
      <c r="BE17" s="98">
        <v>570.21069030095248</v>
      </c>
      <c r="BF17" s="98">
        <v>1.4205264725689386</v>
      </c>
      <c r="BG17" s="98">
        <v>600.03038201311961</v>
      </c>
      <c r="BH17" s="98">
        <v>1.4703601058955742</v>
      </c>
      <c r="BI17" s="98">
        <v>621.08010873029048</v>
      </c>
      <c r="BJ17" s="98">
        <v>0.9297217011416169</v>
      </c>
      <c r="BK17" s="98">
        <v>392.71444656221894</v>
      </c>
      <c r="BL17" s="98">
        <v>1.7896807349537043</v>
      </c>
      <c r="BM17" s="98">
        <v>755.96114244444459</v>
      </c>
      <c r="BN17" s="98">
        <v>1.9890493142361116</v>
      </c>
      <c r="BO17" s="98">
        <v>840.17443033333348</v>
      </c>
      <c r="BP17" s="98">
        <v>1.8585146093750005</v>
      </c>
      <c r="BQ17" s="98">
        <v>785.03657100000021</v>
      </c>
      <c r="BR17" s="98">
        <v>0.93392225099617232</v>
      </c>
      <c r="BS17" s="98">
        <v>394.48875882078318</v>
      </c>
      <c r="BT17" s="98">
        <v>1.1488512498874281</v>
      </c>
      <c r="BU17" s="98">
        <v>485.27476795244962</v>
      </c>
      <c r="BV17" s="98">
        <v>1.6001332679512181</v>
      </c>
      <c r="BW17" s="98">
        <v>675.89629238259454</v>
      </c>
      <c r="BX17" s="98">
        <v>1.9004283051859876</v>
      </c>
      <c r="BY17" s="98">
        <v>802.7409161105611</v>
      </c>
      <c r="BZ17" s="98">
        <v>2.013390826822917</v>
      </c>
      <c r="CA17" s="98">
        <v>850.45628525000006</v>
      </c>
      <c r="CB17" s="98">
        <v>1.576320220288405</v>
      </c>
      <c r="CC17" s="98">
        <v>665.83766104982226</v>
      </c>
      <c r="CD17" s="98">
        <v>1.027121117451691</v>
      </c>
      <c r="CE17" s="98">
        <v>433.85596001159428</v>
      </c>
      <c r="CF17" s="98">
        <v>1.6874132643849211</v>
      </c>
      <c r="CG17" s="98">
        <v>712.76336287619063</v>
      </c>
      <c r="CH17" s="98">
        <v>1.5244794788181169</v>
      </c>
      <c r="CI17" s="98">
        <v>643.94013185277254</v>
      </c>
      <c r="CJ17" s="98">
        <v>1.5521018233729225</v>
      </c>
      <c r="CK17" s="98">
        <v>655.60781019272247</v>
      </c>
      <c r="CL17" s="98">
        <v>1.410247699250784</v>
      </c>
      <c r="CM17" s="98">
        <v>595.68862816353112</v>
      </c>
      <c r="CN17" s="98">
        <v>1.3222268116449007</v>
      </c>
      <c r="CO17" s="98">
        <v>558.50860523880601</v>
      </c>
      <c r="CP17" s="98">
        <v>1.3929118927705715</v>
      </c>
      <c r="CQ17" s="98">
        <v>588.36598350628935</v>
      </c>
      <c r="CR17" s="98">
        <v>1.3186483899625059</v>
      </c>
      <c r="CS17" s="98">
        <v>556.99707992016249</v>
      </c>
      <c r="CT17" s="98">
        <v>1.4212170542279416</v>
      </c>
      <c r="CU17" s="98">
        <v>600.32208370588251</v>
      </c>
    </row>
    <row r="18" spans="2:99">
      <c r="C18" s="97" t="s">
        <v>185</v>
      </c>
      <c r="D18" s="98">
        <v>6</v>
      </c>
      <c r="E18" s="98">
        <v>3916.7999999999997</v>
      </c>
      <c r="F18" s="98">
        <v>8</v>
      </c>
      <c r="G18" s="98">
        <v>5222.3999999999996</v>
      </c>
      <c r="H18" s="98">
        <v>8</v>
      </c>
      <c r="I18" s="98">
        <v>5222.3999999999996</v>
      </c>
      <c r="J18" s="98">
        <v>9</v>
      </c>
      <c r="K18" s="98">
        <v>5875.2</v>
      </c>
      <c r="L18" s="98">
        <v>11</v>
      </c>
      <c r="M18" s="98">
        <v>7180.7999999999993</v>
      </c>
      <c r="N18" s="98">
        <v>11</v>
      </c>
      <c r="O18" s="98">
        <v>7180.7999999999993</v>
      </c>
      <c r="P18" s="98">
        <v>11</v>
      </c>
      <c r="Q18" s="98">
        <v>7180.7999999999993</v>
      </c>
      <c r="R18" s="98">
        <v>12</v>
      </c>
      <c r="S18" s="98">
        <v>7833.5999999999995</v>
      </c>
      <c r="T18" s="98">
        <v>7</v>
      </c>
      <c r="U18" s="98">
        <v>4569.5999999999995</v>
      </c>
      <c r="V18" s="98">
        <v>11</v>
      </c>
      <c r="W18" s="98">
        <v>7180.7999999999993</v>
      </c>
      <c r="X18" s="98">
        <v>12</v>
      </c>
      <c r="Y18" s="98">
        <v>7833.5999999999995</v>
      </c>
      <c r="Z18" s="98">
        <v>5.4572367062231582</v>
      </c>
      <c r="AA18" s="98">
        <v>3562.4841218224774</v>
      </c>
      <c r="AB18" s="98">
        <v>1.7156358453913587</v>
      </c>
      <c r="AC18" s="98">
        <v>1119.967079871479</v>
      </c>
      <c r="AD18" s="98">
        <v>1.4404747378895668</v>
      </c>
      <c r="AE18" s="98">
        <v>940.3419088943092</v>
      </c>
      <c r="AF18" s="98">
        <v>1.6152307895409657</v>
      </c>
      <c r="AG18" s="98">
        <v>1054.4226594123422</v>
      </c>
      <c r="AH18" s="98">
        <v>1.6107126614583336</v>
      </c>
      <c r="AI18" s="98">
        <v>1051.4732254</v>
      </c>
      <c r="AJ18" s="98">
        <v>1.5474095437590978</v>
      </c>
      <c r="AK18" s="98">
        <v>1010.1489501659389</v>
      </c>
      <c r="AL18" s="98">
        <v>1.4787271019458146</v>
      </c>
      <c r="AM18" s="98">
        <v>965.31305215022769</v>
      </c>
      <c r="AN18" s="98">
        <v>2.0713301311919219</v>
      </c>
      <c r="AO18" s="98">
        <v>1352.1643096420864</v>
      </c>
      <c r="AP18" s="98">
        <v>1.5896919415698072</v>
      </c>
      <c r="AQ18" s="98">
        <v>1037.75089945677</v>
      </c>
      <c r="AR18" s="98">
        <v>1.6295671574954715</v>
      </c>
      <c r="AS18" s="98">
        <v>1063.7814404130438</v>
      </c>
      <c r="AT18" s="98">
        <v>1.0860321797923966</v>
      </c>
      <c r="AU18" s="98">
        <v>708.96180696847648</v>
      </c>
      <c r="AV18" s="98">
        <v>1.3307390014194387</v>
      </c>
      <c r="AW18" s="98">
        <v>868.70642012660949</v>
      </c>
      <c r="AX18" s="98">
        <v>1.1733668394729582</v>
      </c>
      <c r="AY18" s="98">
        <v>765.97387280794703</v>
      </c>
      <c r="AZ18" s="98">
        <v>1.3806108526785716</v>
      </c>
      <c r="BA18" s="98">
        <v>901.26276462857152</v>
      </c>
      <c r="BB18" s="98">
        <v>1.8141132364547785</v>
      </c>
      <c r="BC18" s="98">
        <v>1184.2531207576794</v>
      </c>
      <c r="BD18" s="98">
        <v>1.5186719379464289</v>
      </c>
      <c r="BE18" s="98">
        <v>991.38904109142868</v>
      </c>
      <c r="BF18" s="98">
        <v>1.1622489321018588</v>
      </c>
      <c r="BG18" s="98">
        <v>758.71610287609337</v>
      </c>
      <c r="BH18" s="98">
        <v>1.2253000882463119</v>
      </c>
      <c r="BI18" s="98">
        <v>799.87589760719231</v>
      </c>
      <c r="BJ18" s="98">
        <v>0.9297217011416169</v>
      </c>
      <c r="BK18" s="98">
        <v>606.9223265052475</v>
      </c>
      <c r="BL18" s="98">
        <v>1.7896807349537043</v>
      </c>
      <c r="BM18" s="98">
        <v>1168.3035837777782</v>
      </c>
      <c r="BN18" s="98">
        <v>1.8360455208333337</v>
      </c>
      <c r="BO18" s="98">
        <v>1198.5705160000002</v>
      </c>
      <c r="BP18" s="98">
        <v>1.5487621744791671</v>
      </c>
      <c r="BQ18" s="98">
        <v>1011.0319475000002</v>
      </c>
      <c r="BR18" s="98">
        <v>0.93392225099617232</v>
      </c>
      <c r="BS18" s="98">
        <v>609.66444545030129</v>
      </c>
      <c r="BT18" s="98">
        <v>1.1488512498874281</v>
      </c>
      <c r="BU18" s="98">
        <v>749.97009592651307</v>
      </c>
      <c r="BV18" s="98">
        <v>1.4546666072283803</v>
      </c>
      <c r="BW18" s="98">
        <v>949.60636119868661</v>
      </c>
      <c r="BX18" s="98">
        <v>1.9004283051859876</v>
      </c>
      <c r="BY18" s="98">
        <v>1240.5995976254126</v>
      </c>
      <c r="BZ18" s="98">
        <v>1.8695771963355658</v>
      </c>
      <c r="CA18" s="98">
        <v>1220.4599937678572</v>
      </c>
      <c r="CB18" s="98">
        <v>1.576320220288405</v>
      </c>
      <c r="CC18" s="98">
        <v>1029.0218398042707</v>
      </c>
      <c r="CD18" s="98">
        <v>1.027121117451691</v>
      </c>
      <c r="CE18" s="98">
        <v>670.50466547246378</v>
      </c>
      <c r="CF18" s="98">
        <v>1.6874132643849211</v>
      </c>
      <c r="CG18" s="98">
        <v>1101.5433789904764</v>
      </c>
      <c r="CH18" s="98">
        <v>1.1857062613029798</v>
      </c>
      <c r="CI18" s="98">
        <v>774.02904737858523</v>
      </c>
      <c r="CJ18" s="98">
        <v>1.5521018233729225</v>
      </c>
      <c r="CK18" s="98">
        <v>1013.2120702978438</v>
      </c>
      <c r="CL18" s="98">
        <v>1.53845203554631</v>
      </c>
      <c r="CM18" s="98">
        <v>1004.3014888046312</v>
      </c>
      <c r="CN18" s="98">
        <v>1.1753127214621339</v>
      </c>
      <c r="CO18" s="98">
        <v>767.24414457048101</v>
      </c>
      <c r="CP18" s="98">
        <v>1.3929118927705715</v>
      </c>
      <c r="CQ18" s="98">
        <v>909.29288360062901</v>
      </c>
      <c r="CR18" s="98">
        <v>1.198771263602278</v>
      </c>
      <c r="CS18" s="98">
        <v>782.55788087956705</v>
      </c>
      <c r="CT18" s="98">
        <v>1.1053910421772879</v>
      </c>
      <c r="CU18" s="98">
        <v>721.59927233333349</v>
      </c>
    </row>
    <row r="19" spans="2:99">
      <c r="C19" s="97" t="s">
        <v>186</v>
      </c>
      <c r="D19" s="98">
        <v>6</v>
      </c>
      <c r="E19" s="98">
        <v>1980</v>
      </c>
      <c r="F19" s="98">
        <v>8</v>
      </c>
      <c r="G19" s="98">
        <v>2640</v>
      </c>
      <c r="H19" s="98">
        <v>8</v>
      </c>
      <c r="I19" s="98">
        <v>2640</v>
      </c>
      <c r="J19" s="98">
        <v>8</v>
      </c>
      <c r="K19" s="98">
        <v>2640</v>
      </c>
      <c r="L19" s="98">
        <v>10</v>
      </c>
      <c r="M19" s="98">
        <v>3300</v>
      </c>
      <c r="N19" s="98">
        <v>10</v>
      </c>
      <c r="O19" s="98">
        <v>3300</v>
      </c>
      <c r="P19" s="98">
        <v>10</v>
      </c>
      <c r="Q19" s="98">
        <v>3300</v>
      </c>
      <c r="R19" s="98">
        <v>10</v>
      </c>
      <c r="S19" s="98">
        <v>3300</v>
      </c>
      <c r="T19" s="98">
        <v>7</v>
      </c>
      <c r="U19" s="98">
        <v>2310</v>
      </c>
      <c r="V19" s="98">
        <v>12</v>
      </c>
      <c r="W19" s="98">
        <v>3960</v>
      </c>
      <c r="X19" s="98">
        <v>12</v>
      </c>
      <c r="Y19" s="98">
        <v>3960</v>
      </c>
      <c r="Z19" s="98">
        <v>4.7750821179452636</v>
      </c>
      <c r="AA19" s="98">
        <v>1575.7770989219371</v>
      </c>
      <c r="AB19" s="98">
        <v>1.7156358453913587</v>
      </c>
      <c r="AC19" s="98">
        <v>566.15982897914841</v>
      </c>
      <c r="AD19" s="98">
        <v>1.5845222116785234</v>
      </c>
      <c r="AE19" s="98">
        <v>522.89232985391266</v>
      </c>
      <c r="AF19" s="98">
        <v>1.4909822672685837</v>
      </c>
      <c r="AG19" s="98">
        <v>492.02414819863264</v>
      </c>
      <c r="AH19" s="98">
        <v>1.4496413953125005</v>
      </c>
      <c r="AI19" s="98">
        <v>478.38166045312516</v>
      </c>
      <c r="AJ19" s="98">
        <v>1.5474095437590978</v>
      </c>
      <c r="AK19" s="98">
        <v>510.64514944050228</v>
      </c>
      <c r="AL19" s="98">
        <v>1.7475865750268718</v>
      </c>
      <c r="AM19" s="98">
        <v>576.70356975886773</v>
      </c>
      <c r="AN19" s="98">
        <v>1.9119970441771588</v>
      </c>
      <c r="AO19" s="98">
        <v>630.95902457846239</v>
      </c>
      <c r="AP19" s="98">
        <v>1.4451744923361882</v>
      </c>
      <c r="AQ19" s="98">
        <v>476.90758247094209</v>
      </c>
      <c r="AR19" s="98">
        <v>1.4814246886322466</v>
      </c>
      <c r="AS19" s="98">
        <v>488.87014724864139</v>
      </c>
      <c r="AT19" s="98">
        <v>1.0860321797923966</v>
      </c>
      <c r="AU19" s="98">
        <v>358.39061933149088</v>
      </c>
      <c r="AV19" s="98">
        <v>1.3307390014194387</v>
      </c>
      <c r="AW19" s="98">
        <v>439.14387046841478</v>
      </c>
      <c r="AX19" s="98">
        <v>1.1733668394729582</v>
      </c>
      <c r="AY19" s="98">
        <v>387.21105702607622</v>
      </c>
      <c r="AZ19" s="98">
        <v>1.4956617570684525</v>
      </c>
      <c r="BA19" s="98">
        <v>493.5683798325893</v>
      </c>
      <c r="BB19" s="98">
        <v>1.8141132364547785</v>
      </c>
      <c r="BC19" s="98">
        <v>598.6573680300769</v>
      </c>
      <c r="BD19" s="98">
        <v>1.5186719379464289</v>
      </c>
      <c r="BE19" s="98">
        <v>501.16173952232151</v>
      </c>
      <c r="BF19" s="98">
        <v>1.4205264725689386</v>
      </c>
      <c r="BG19" s="98">
        <v>468.77373594774974</v>
      </c>
      <c r="BH19" s="98">
        <v>1.3478300970709431</v>
      </c>
      <c r="BI19" s="98">
        <v>444.78393203341125</v>
      </c>
      <c r="BJ19" s="98">
        <v>1.0625390870189906</v>
      </c>
      <c r="BK19" s="98">
        <v>350.63789871626687</v>
      </c>
      <c r="BL19" s="98">
        <v>1.7896807349537043</v>
      </c>
      <c r="BM19" s="98">
        <v>590.59464253472242</v>
      </c>
      <c r="BN19" s="98">
        <v>1.9890493142361116</v>
      </c>
      <c r="BO19" s="98">
        <v>656.38627369791686</v>
      </c>
      <c r="BP19" s="98">
        <v>1.7036383919270837</v>
      </c>
      <c r="BQ19" s="98">
        <v>562.20066933593762</v>
      </c>
      <c r="BR19" s="98">
        <v>1.2007571798522216</v>
      </c>
      <c r="BS19" s="98">
        <v>396.24986935123314</v>
      </c>
      <c r="BT19" s="98">
        <v>1.1488512498874281</v>
      </c>
      <c r="BU19" s="98">
        <v>379.12091246285127</v>
      </c>
      <c r="BV19" s="98">
        <v>1.7455999286740562</v>
      </c>
      <c r="BW19" s="98">
        <v>576.04797646243856</v>
      </c>
      <c r="BX19" s="98">
        <v>1.6080547197727588</v>
      </c>
      <c r="BY19" s="98">
        <v>530.65805752501046</v>
      </c>
      <c r="BZ19" s="98">
        <v>1.7257635658482147</v>
      </c>
      <c r="CA19" s="98">
        <v>569.50197672991089</v>
      </c>
      <c r="CB19" s="98">
        <v>1.576320220288405</v>
      </c>
      <c r="CC19" s="98">
        <v>520.18567269517371</v>
      </c>
      <c r="CD19" s="98">
        <v>1.1555112571331523</v>
      </c>
      <c r="CE19" s="98">
        <v>381.31871485394026</v>
      </c>
      <c r="CF19" s="98">
        <v>1.8280310364169976</v>
      </c>
      <c r="CG19" s="98">
        <v>603.25024201760925</v>
      </c>
      <c r="CH19" s="98">
        <v>1.3550928700605482</v>
      </c>
      <c r="CI19" s="98">
        <v>447.1806471199809</v>
      </c>
      <c r="CJ19" s="98">
        <v>1.5521018233729225</v>
      </c>
      <c r="CK19" s="98">
        <v>512.19360171306437</v>
      </c>
      <c r="CL19" s="98">
        <v>1.2820433629552583</v>
      </c>
      <c r="CM19" s="98">
        <v>423.07430977523524</v>
      </c>
      <c r="CN19" s="98">
        <v>1.3222268116449007</v>
      </c>
      <c r="CO19" s="98">
        <v>436.33484784281723</v>
      </c>
      <c r="CP19" s="98">
        <v>1.5322030820476287</v>
      </c>
      <c r="CQ19" s="98">
        <v>505.62701707571745</v>
      </c>
      <c r="CR19" s="98">
        <v>1.198771263602278</v>
      </c>
      <c r="CS19" s="98">
        <v>395.59451698875176</v>
      </c>
      <c r="CT19" s="98">
        <v>1.2633040482026145</v>
      </c>
      <c r="CU19" s="98">
        <v>416.89033590686279</v>
      </c>
    </row>
    <row r="20" spans="2:99">
      <c r="B20" s="97" t="s">
        <v>127</v>
      </c>
      <c r="C20" s="97" t="s">
        <v>187</v>
      </c>
      <c r="D20" s="98">
        <v>10</v>
      </c>
      <c r="E20" s="98">
        <v>2868</v>
      </c>
      <c r="F20" s="98">
        <v>18</v>
      </c>
      <c r="G20" s="98">
        <v>5162.4000000000005</v>
      </c>
      <c r="H20" s="98">
        <v>16</v>
      </c>
      <c r="I20" s="98">
        <v>4588.8</v>
      </c>
      <c r="J20" s="98">
        <v>11</v>
      </c>
      <c r="K20" s="98">
        <v>3154.8</v>
      </c>
      <c r="L20" s="98">
        <v>11</v>
      </c>
      <c r="M20" s="98">
        <v>3154.8</v>
      </c>
      <c r="N20" s="98">
        <v>15</v>
      </c>
      <c r="O20" s="98">
        <v>4302</v>
      </c>
      <c r="P20" s="98">
        <v>13</v>
      </c>
      <c r="Q20" s="98">
        <v>3728.4</v>
      </c>
      <c r="R20" s="98">
        <v>11</v>
      </c>
      <c r="S20" s="98">
        <v>3154.8</v>
      </c>
      <c r="T20" s="98">
        <v>11</v>
      </c>
      <c r="U20" s="98">
        <v>3154.8</v>
      </c>
      <c r="V20" s="98">
        <v>15</v>
      </c>
      <c r="W20" s="98">
        <v>4302</v>
      </c>
      <c r="X20" s="98">
        <v>10</v>
      </c>
      <c r="Y20" s="98">
        <v>2868</v>
      </c>
      <c r="Z20" s="98">
        <v>12.960937177280002</v>
      </c>
      <c r="AA20" s="98">
        <v>3717.1967824439048</v>
      </c>
      <c r="AB20" s="98">
        <v>1.8716027404269369</v>
      </c>
      <c r="AC20" s="98">
        <v>536.77566595444546</v>
      </c>
      <c r="AD20" s="98">
        <v>2.16071210683435</v>
      </c>
      <c r="AE20" s="98">
        <v>619.69223224009158</v>
      </c>
      <c r="AF20" s="98">
        <v>1.8637278340857295</v>
      </c>
      <c r="AG20" s="98">
        <v>534.51714281578722</v>
      </c>
      <c r="AH20" s="98">
        <v>1.7717839276041669</v>
      </c>
      <c r="AI20" s="98">
        <v>508.14763043687509</v>
      </c>
      <c r="AJ20" s="98">
        <v>2.3211143156386465</v>
      </c>
      <c r="AK20" s="98">
        <v>665.69558572516382</v>
      </c>
      <c r="AL20" s="98">
        <v>1.7475865750268718</v>
      </c>
      <c r="AM20" s="98">
        <v>501.20782971770683</v>
      </c>
      <c r="AN20" s="98">
        <v>1.5933308701476321</v>
      </c>
      <c r="AO20" s="98">
        <v>456.96729355834088</v>
      </c>
      <c r="AP20" s="98">
        <v>1.8787268400370452</v>
      </c>
      <c r="AQ20" s="98">
        <v>538.81885772262456</v>
      </c>
      <c r="AR20" s="98">
        <v>1.6295671574954715</v>
      </c>
      <c r="AS20" s="98">
        <v>467.35986076970124</v>
      </c>
      <c r="AT20" s="98">
        <v>2.9478016308650763</v>
      </c>
      <c r="AU20" s="98">
        <v>845.42950773210396</v>
      </c>
      <c r="AV20" s="98">
        <v>2.0911612879448325</v>
      </c>
      <c r="AW20" s="98">
        <v>599.74505738257801</v>
      </c>
      <c r="AX20" s="98">
        <v>2.2000628240117965</v>
      </c>
      <c r="AY20" s="98">
        <v>630.97801792658322</v>
      </c>
      <c r="AZ20" s="98">
        <v>2.0709162790178577</v>
      </c>
      <c r="BA20" s="98">
        <v>593.93878882232161</v>
      </c>
      <c r="BB20" s="98">
        <v>1.6629371334168805</v>
      </c>
      <c r="BC20" s="98">
        <v>476.93036986396135</v>
      </c>
      <c r="BD20" s="98">
        <v>2.1936372437003975</v>
      </c>
      <c r="BE20" s="98">
        <v>629.13516149327404</v>
      </c>
      <c r="BF20" s="98">
        <v>2.4536366344372578</v>
      </c>
      <c r="BG20" s="98">
        <v>703.70298675660558</v>
      </c>
      <c r="BH20" s="98">
        <v>2.0830101500187301</v>
      </c>
      <c r="BI20" s="98">
        <v>597.40731102537188</v>
      </c>
      <c r="BJ20" s="98">
        <v>2.3907129457927292</v>
      </c>
      <c r="BK20" s="98">
        <v>685.65647285335479</v>
      </c>
      <c r="BL20" s="98">
        <v>1.938820796199846</v>
      </c>
      <c r="BM20" s="98">
        <v>556.05380435011591</v>
      </c>
      <c r="BN20" s="98">
        <v>2.1420531076388896</v>
      </c>
      <c r="BO20" s="98">
        <v>614.34083127083352</v>
      </c>
      <c r="BP20" s="98">
        <v>1.5487621744791671</v>
      </c>
      <c r="BQ20" s="98">
        <v>444.18499164062513</v>
      </c>
      <c r="BR20" s="98">
        <v>2.5349318241324679</v>
      </c>
      <c r="BS20" s="98">
        <v>727.01844716119183</v>
      </c>
      <c r="BT20" s="98">
        <v>2.4253526386512374</v>
      </c>
      <c r="BU20" s="98">
        <v>695.59113676517495</v>
      </c>
      <c r="BV20" s="98">
        <v>1.8910665893968943</v>
      </c>
      <c r="BW20" s="98">
        <v>542.35789783902931</v>
      </c>
      <c r="BX20" s="98">
        <v>2.0466150978926021</v>
      </c>
      <c r="BY20" s="98">
        <v>586.96921007559831</v>
      </c>
      <c r="BZ20" s="98">
        <v>2.1572044573102684</v>
      </c>
      <c r="CA20" s="98">
        <v>618.68623835658502</v>
      </c>
      <c r="CB20" s="98">
        <v>2.3644803304326074</v>
      </c>
      <c r="CC20" s="98">
        <v>678.13295876807183</v>
      </c>
      <c r="CD20" s="98">
        <v>2.8245830729921502</v>
      </c>
      <c r="CE20" s="98">
        <v>810.09042533414868</v>
      </c>
      <c r="CF20" s="98">
        <v>1.8280310364169976</v>
      </c>
      <c r="CG20" s="98">
        <v>524.2793012443949</v>
      </c>
      <c r="CH20" s="98">
        <v>2.0326393050908225</v>
      </c>
      <c r="CI20" s="98">
        <v>582.96095270004787</v>
      </c>
      <c r="CJ20" s="98">
        <v>2.0296716151799759</v>
      </c>
      <c r="CK20" s="98">
        <v>582.10981923361715</v>
      </c>
      <c r="CL20" s="98">
        <v>2.5640867259105167</v>
      </c>
      <c r="CM20" s="98">
        <v>735.38007299113622</v>
      </c>
      <c r="CN20" s="98">
        <v>2.6444536232898015</v>
      </c>
      <c r="CO20" s="98">
        <v>758.42929915951515</v>
      </c>
      <c r="CP20" s="98">
        <v>1.9500766498788</v>
      </c>
      <c r="CQ20" s="98">
        <v>559.28198318523982</v>
      </c>
      <c r="CR20" s="98">
        <v>2.6372967799250118</v>
      </c>
      <c r="CS20" s="98">
        <v>756.37671648249341</v>
      </c>
      <c r="CT20" s="98">
        <v>2.0528690783292487</v>
      </c>
      <c r="CU20" s="98">
        <v>588.76285166482853</v>
      </c>
    </row>
    <row r="21" spans="2:99">
      <c r="C21" s="97" t="s">
        <v>188</v>
      </c>
      <c r="D21" s="98">
        <v>10</v>
      </c>
      <c r="E21" s="98">
        <v>624</v>
      </c>
      <c r="F21" s="98">
        <v>18</v>
      </c>
      <c r="G21" s="98">
        <v>1123.2</v>
      </c>
      <c r="H21" s="98">
        <v>15</v>
      </c>
      <c r="I21" s="98">
        <v>936</v>
      </c>
      <c r="J21" s="98">
        <v>11</v>
      </c>
      <c r="K21" s="98">
        <v>686.4</v>
      </c>
      <c r="L21" s="98">
        <v>11</v>
      </c>
      <c r="M21" s="98">
        <v>686.4</v>
      </c>
      <c r="N21" s="98">
        <v>18</v>
      </c>
      <c r="O21" s="98">
        <v>1123.2</v>
      </c>
      <c r="P21" s="98">
        <v>14</v>
      </c>
      <c r="Q21" s="98">
        <v>873.6</v>
      </c>
      <c r="R21" s="98">
        <v>10</v>
      </c>
      <c r="S21" s="98">
        <v>624</v>
      </c>
      <c r="T21" s="98">
        <v>11</v>
      </c>
      <c r="U21" s="98">
        <v>686.4</v>
      </c>
      <c r="V21" s="98">
        <v>15</v>
      </c>
      <c r="W21" s="98">
        <v>936</v>
      </c>
      <c r="X21" s="98">
        <v>10</v>
      </c>
      <c r="Y21" s="98">
        <v>624</v>
      </c>
      <c r="Z21" s="98">
        <v>13.643091765557896</v>
      </c>
      <c r="AA21" s="98">
        <v>851.32892617081268</v>
      </c>
      <c r="AB21" s="98">
        <v>1.7156358453913587</v>
      </c>
      <c r="AC21" s="98">
        <v>107.05567675242078</v>
      </c>
      <c r="AD21" s="98">
        <v>2.16071210683435</v>
      </c>
      <c r="AE21" s="98">
        <v>134.82843546646345</v>
      </c>
      <c r="AF21" s="98">
        <v>1.8637278340857295</v>
      </c>
      <c r="AG21" s="98">
        <v>116.29661684694952</v>
      </c>
      <c r="AH21" s="98">
        <v>1.7717839276041669</v>
      </c>
      <c r="AI21" s="98">
        <v>110.55931708250002</v>
      </c>
      <c r="AJ21" s="98">
        <v>2.0632127250121304</v>
      </c>
      <c r="AK21" s="98">
        <v>128.74447404075693</v>
      </c>
      <c r="AL21" s="98">
        <v>2.0164460481079289</v>
      </c>
      <c r="AM21" s="98">
        <v>125.82623340193476</v>
      </c>
      <c r="AN21" s="98">
        <v>1.7526639571623952</v>
      </c>
      <c r="AO21" s="98">
        <v>109.36623092693345</v>
      </c>
      <c r="AP21" s="98">
        <v>2.0232442892706639</v>
      </c>
      <c r="AQ21" s="98">
        <v>126.25044365048943</v>
      </c>
      <c r="AR21" s="98">
        <v>1.6295671574954715</v>
      </c>
      <c r="AS21" s="98">
        <v>101.68499062771743</v>
      </c>
      <c r="AT21" s="98">
        <v>2.4823592680969067</v>
      </c>
      <c r="AU21" s="98">
        <v>154.89921832924696</v>
      </c>
      <c r="AV21" s="98">
        <v>2.0911612879448325</v>
      </c>
      <c r="AW21" s="98">
        <v>130.48846436775753</v>
      </c>
      <c r="AX21" s="98">
        <v>2.2000628240117965</v>
      </c>
      <c r="AY21" s="98">
        <v>137.28392021833611</v>
      </c>
      <c r="AZ21" s="98">
        <v>2.1859671834077385</v>
      </c>
      <c r="BA21" s="98">
        <v>136.40435224464289</v>
      </c>
      <c r="BB21" s="98">
        <v>1.5117610303789821</v>
      </c>
      <c r="BC21" s="98">
        <v>94.333888295648478</v>
      </c>
      <c r="BD21" s="98">
        <v>2.1936372437003975</v>
      </c>
      <c r="BE21" s="98">
        <v>136.88296400690479</v>
      </c>
      <c r="BF21" s="98">
        <v>2.4536366344372578</v>
      </c>
      <c r="BG21" s="98">
        <v>153.10692598888488</v>
      </c>
      <c r="BH21" s="98">
        <v>2.4506001764926237</v>
      </c>
      <c r="BI21" s="98">
        <v>152.91745101313973</v>
      </c>
      <c r="BJ21" s="98">
        <v>2.523530331670103</v>
      </c>
      <c r="BK21" s="98">
        <v>157.46829269621443</v>
      </c>
      <c r="BL21" s="98">
        <v>1.938820796199846</v>
      </c>
      <c r="BM21" s="98">
        <v>120.98241768287039</v>
      </c>
      <c r="BN21" s="98">
        <v>2.2950569010416668</v>
      </c>
      <c r="BO21" s="98">
        <v>143.211550625</v>
      </c>
      <c r="BP21" s="98">
        <v>1.8585146093750005</v>
      </c>
      <c r="BQ21" s="98">
        <v>115.97131162500003</v>
      </c>
      <c r="BR21" s="98">
        <v>2.4015143597044433</v>
      </c>
      <c r="BS21" s="98">
        <v>149.85449604555726</v>
      </c>
      <c r="BT21" s="98">
        <v>2.4253526386512374</v>
      </c>
      <c r="BU21" s="98">
        <v>151.34200465183721</v>
      </c>
      <c r="BV21" s="98">
        <v>2.036533250119732</v>
      </c>
      <c r="BW21" s="98">
        <v>127.07967480747128</v>
      </c>
      <c r="BX21" s="98">
        <v>2.0466150978926021</v>
      </c>
      <c r="BY21" s="98">
        <v>127.70878210849837</v>
      </c>
      <c r="BZ21" s="98">
        <v>2.4448317182849704</v>
      </c>
      <c r="CA21" s="98">
        <v>152.55749922098215</v>
      </c>
      <c r="CB21" s="98">
        <v>2.2068483084037669</v>
      </c>
      <c r="CC21" s="98">
        <v>137.70733444439506</v>
      </c>
      <c r="CD21" s="98">
        <v>2.6961929333106891</v>
      </c>
      <c r="CE21" s="98">
        <v>168.24243903858701</v>
      </c>
      <c r="CF21" s="98">
        <v>1.8280310364169976</v>
      </c>
      <c r="CG21" s="98">
        <v>114.06913667242065</v>
      </c>
      <c r="CH21" s="98">
        <v>2.0326393050908225</v>
      </c>
      <c r="CI21" s="98">
        <v>126.83669263766731</v>
      </c>
      <c r="CJ21" s="98">
        <v>2.2684565110835022</v>
      </c>
      <c r="CK21" s="98">
        <v>141.55168629161054</v>
      </c>
      <c r="CL21" s="98">
        <v>2.5640867259105167</v>
      </c>
      <c r="CM21" s="98">
        <v>159.99901169681624</v>
      </c>
      <c r="CN21" s="98">
        <v>2.7913677134725683</v>
      </c>
      <c r="CO21" s="98">
        <v>174.18134532068825</v>
      </c>
      <c r="CP21" s="98">
        <v>1.8107854606017428</v>
      </c>
      <c r="CQ21" s="98">
        <v>112.99301274154875</v>
      </c>
      <c r="CR21" s="98">
        <v>2.3975425272045561</v>
      </c>
      <c r="CS21" s="98">
        <v>149.6066536975643</v>
      </c>
      <c r="CT21" s="98">
        <v>2.0528690783292487</v>
      </c>
      <c r="CU21" s="98">
        <v>128.09903048774513</v>
      </c>
    </row>
    <row r="22" spans="2:99">
      <c r="C22" s="97" t="s">
        <v>189</v>
      </c>
      <c r="D22" s="98">
        <v>9</v>
      </c>
      <c r="E22" s="98">
        <v>1684.8</v>
      </c>
      <c r="F22" s="98">
        <v>19</v>
      </c>
      <c r="G22" s="98">
        <v>3556.7999999999997</v>
      </c>
      <c r="H22" s="98">
        <v>15</v>
      </c>
      <c r="I22" s="98">
        <v>2808</v>
      </c>
      <c r="J22" s="98">
        <v>12</v>
      </c>
      <c r="K22" s="98">
        <v>2246.3999999999996</v>
      </c>
      <c r="L22" s="98">
        <v>10</v>
      </c>
      <c r="M22" s="98">
        <v>1872</v>
      </c>
      <c r="N22" s="98">
        <v>18</v>
      </c>
      <c r="O22" s="98">
        <v>3369.6</v>
      </c>
      <c r="P22" s="98">
        <v>14</v>
      </c>
      <c r="Q22" s="98">
        <v>2620.7999999999997</v>
      </c>
      <c r="R22" s="98">
        <v>12</v>
      </c>
      <c r="S22" s="98">
        <v>2246.3999999999996</v>
      </c>
      <c r="T22" s="98">
        <v>13</v>
      </c>
      <c r="U22" s="98">
        <v>2433.6</v>
      </c>
      <c r="V22" s="98">
        <v>17</v>
      </c>
      <c r="W22" s="98">
        <v>3182.3999999999996</v>
      </c>
      <c r="X22" s="98">
        <v>10</v>
      </c>
      <c r="Y22" s="98">
        <v>1872</v>
      </c>
      <c r="Z22" s="98">
        <v>13.643091765557896</v>
      </c>
      <c r="AA22" s="98">
        <v>2553.9867785124379</v>
      </c>
      <c r="AB22" s="98">
        <v>2.0275696354625152</v>
      </c>
      <c r="AC22" s="98">
        <v>379.56103575858282</v>
      </c>
      <c r="AD22" s="98">
        <v>2.3047595806233065</v>
      </c>
      <c r="AE22" s="98">
        <v>431.45099349268298</v>
      </c>
      <c r="AF22" s="98">
        <v>1.8637278340857295</v>
      </c>
      <c r="AG22" s="98">
        <v>348.88985054084856</v>
      </c>
      <c r="AH22" s="98">
        <v>2.2549977260416671</v>
      </c>
      <c r="AI22" s="98">
        <v>422.13557431500004</v>
      </c>
      <c r="AJ22" s="98">
        <v>2.1921635203253884</v>
      </c>
      <c r="AK22" s="98">
        <v>410.37301100491271</v>
      </c>
      <c r="AL22" s="98">
        <v>1.7475865750268718</v>
      </c>
      <c r="AM22" s="98">
        <v>327.14820684503036</v>
      </c>
      <c r="AN22" s="98">
        <v>1.7526639571623952</v>
      </c>
      <c r="AO22" s="98">
        <v>328.09869278080038</v>
      </c>
      <c r="AP22" s="98">
        <v>1.8787268400370452</v>
      </c>
      <c r="AQ22" s="98">
        <v>351.69766445493485</v>
      </c>
      <c r="AR22" s="98">
        <v>1.4814246886322466</v>
      </c>
      <c r="AS22" s="98">
        <v>277.32270171195654</v>
      </c>
      <c r="AT22" s="98">
        <v>2.7926541766090196</v>
      </c>
      <c r="AU22" s="98">
        <v>522.78486186120847</v>
      </c>
      <c r="AV22" s="98">
        <v>2.2812668595761805</v>
      </c>
      <c r="AW22" s="98">
        <v>427.05315611266099</v>
      </c>
      <c r="AX22" s="98">
        <v>2.2000628240117965</v>
      </c>
      <c r="AY22" s="98">
        <v>411.85176065500826</v>
      </c>
      <c r="AZ22" s="98">
        <v>1.9558653746279766</v>
      </c>
      <c r="BA22" s="98">
        <v>366.13799813035718</v>
      </c>
      <c r="BB22" s="98">
        <v>1.8141132364547785</v>
      </c>
      <c r="BC22" s="98">
        <v>339.60199786433452</v>
      </c>
      <c r="BD22" s="98">
        <v>2.024895917261905</v>
      </c>
      <c r="BE22" s="98">
        <v>379.06051571142859</v>
      </c>
      <c r="BF22" s="98">
        <v>2.5827754046707971</v>
      </c>
      <c r="BG22" s="98">
        <v>483.49555575437319</v>
      </c>
      <c r="BH22" s="98">
        <v>2.2055401588433612</v>
      </c>
      <c r="BI22" s="98">
        <v>412.87711773547721</v>
      </c>
      <c r="BJ22" s="98">
        <v>2.523530331670103</v>
      </c>
      <c r="BK22" s="98">
        <v>472.40487808864327</v>
      </c>
      <c r="BL22" s="98">
        <v>2.0879608574459882</v>
      </c>
      <c r="BM22" s="98">
        <v>390.86627251388899</v>
      </c>
      <c r="BN22" s="98">
        <v>2.448060694444445</v>
      </c>
      <c r="BO22" s="98">
        <v>458.27696200000008</v>
      </c>
      <c r="BP22" s="98">
        <v>1.8585146093750005</v>
      </c>
      <c r="BQ22" s="98">
        <v>347.91393487500005</v>
      </c>
      <c r="BR22" s="98">
        <v>2.5349318241324679</v>
      </c>
      <c r="BS22" s="98">
        <v>474.53923747759796</v>
      </c>
      <c r="BT22" s="98">
        <v>2.2977024997748563</v>
      </c>
      <c r="BU22" s="98">
        <v>430.12990795785305</v>
      </c>
      <c r="BV22" s="98">
        <v>2.036533250119732</v>
      </c>
      <c r="BW22" s="98">
        <v>381.23902442241382</v>
      </c>
      <c r="BX22" s="98">
        <v>1.9004283051859876</v>
      </c>
      <c r="BY22" s="98">
        <v>355.76017873081685</v>
      </c>
      <c r="BZ22" s="98">
        <v>2.013390826822917</v>
      </c>
      <c r="CA22" s="98">
        <v>376.90676278125005</v>
      </c>
      <c r="CB22" s="98">
        <v>2.2068483084037669</v>
      </c>
      <c r="CC22" s="98">
        <v>413.12200333318515</v>
      </c>
      <c r="CD22" s="98">
        <v>2.4394126539477661</v>
      </c>
      <c r="CE22" s="98">
        <v>456.65804881902176</v>
      </c>
      <c r="CF22" s="98">
        <v>1.8280310364169976</v>
      </c>
      <c r="CG22" s="98">
        <v>342.20741001726191</v>
      </c>
      <c r="CH22" s="98">
        <v>2.2020259138483911</v>
      </c>
      <c r="CI22" s="98">
        <v>412.21925107241879</v>
      </c>
      <c r="CJ22" s="98">
        <v>2.507241406987029</v>
      </c>
      <c r="CK22" s="98">
        <v>469.3555913879718</v>
      </c>
      <c r="CL22" s="98">
        <v>2.6922910622060425</v>
      </c>
      <c r="CM22" s="98">
        <v>503.99688684497113</v>
      </c>
      <c r="CN22" s="98">
        <v>2.6444536232898015</v>
      </c>
      <c r="CO22" s="98">
        <v>495.04171827985078</v>
      </c>
      <c r="CP22" s="98">
        <v>1.8107854606017428</v>
      </c>
      <c r="CQ22" s="98">
        <v>338.97903822464622</v>
      </c>
      <c r="CR22" s="98">
        <v>2.5174196535647839</v>
      </c>
      <c r="CS22" s="98">
        <v>471.26095914732753</v>
      </c>
      <c r="CT22" s="98">
        <v>1.8949560723039218</v>
      </c>
      <c r="CU22" s="98">
        <v>354.73577673529417</v>
      </c>
    </row>
    <row r="23" spans="2:99">
      <c r="C23" s="97" t="s">
        <v>190</v>
      </c>
      <c r="D23" s="98">
        <v>10</v>
      </c>
      <c r="E23" s="98">
        <v>2940</v>
      </c>
      <c r="F23" s="98">
        <v>17</v>
      </c>
      <c r="G23" s="98">
        <v>4998</v>
      </c>
      <c r="H23" s="98">
        <v>17</v>
      </c>
      <c r="I23" s="98">
        <v>4998</v>
      </c>
      <c r="J23" s="98">
        <v>10</v>
      </c>
      <c r="K23" s="98">
        <v>2940</v>
      </c>
      <c r="L23" s="98">
        <v>10</v>
      </c>
      <c r="M23" s="98">
        <v>2940</v>
      </c>
      <c r="N23" s="98">
        <v>16</v>
      </c>
      <c r="O23" s="98">
        <v>4704</v>
      </c>
      <c r="P23" s="98">
        <v>13</v>
      </c>
      <c r="Q23" s="98">
        <v>3822</v>
      </c>
      <c r="R23" s="98">
        <v>12</v>
      </c>
      <c r="S23" s="98">
        <v>3528</v>
      </c>
      <c r="T23" s="98">
        <v>12</v>
      </c>
      <c r="U23" s="98">
        <v>3528</v>
      </c>
      <c r="V23" s="98">
        <v>15</v>
      </c>
      <c r="W23" s="98">
        <v>4410</v>
      </c>
      <c r="X23" s="98">
        <v>11</v>
      </c>
      <c r="Y23" s="98">
        <v>3234</v>
      </c>
      <c r="Z23" s="98">
        <v>12.278782589002107</v>
      </c>
      <c r="AA23" s="98">
        <v>3609.9620811666196</v>
      </c>
      <c r="AB23" s="98">
        <v>1.8716027404269369</v>
      </c>
      <c r="AC23" s="98">
        <v>550.25120568551938</v>
      </c>
      <c r="AD23" s="98">
        <v>2.0166646330453935</v>
      </c>
      <c r="AE23" s="98">
        <v>592.89940211534565</v>
      </c>
      <c r="AF23" s="98">
        <v>1.9879763563581117</v>
      </c>
      <c r="AG23" s="98">
        <v>584.46504876928486</v>
      </c>
      <c r="AH23" s="98">
        <v>1.7717839276041669</v>
      </c>
      <c r="AI23" s="98">
        <v>520.90447471562504</v>
      </c>
      <c r="AJ23" s="98">
        <v>2.0632127250121304</v>
      </c>
      <c r="AK23" s="98">
        <v>606.58454115356631</v>
      </c>
      <c r="AL23" s="98">
        <v>2.0164460481079289</v>
      </c>
      <c r="AM23" s="98">
        <v>592.83513814373111</v>
      </c>
      <c r="AN23" s="98">
        <v>1.5933308701476321</v>
      </c>
      <c r="AO23" s="98">
        <v>468.43927582340382</v>
      </c>
      <c r="AP23" s="98">
        <v>2.1677617385042827</v>
      </c>
      <c r="AQ23" s="98">
        <v>637.32195112025909</v>
      </c>
      <c r="AR23" s="98">
        <v>1.6295671574954715</v>
      </c>
      <c r="AS23" s="98">
        <v>479.09274430366861</v>
      </c>
      <c r="AT23" s="98">
        <v>2.4823592680969067</v>
      </c>
      <c r="AU23" s="98">
        <v>729.81362482049053</v>
      </c>
      <c r="AV23" s="98">
        <v>2.0911612879448325</v>
      </c>
      <c r="AW23" s="98">
        <v>614.80141865578071</v>
      </c>
      <c r="AX23" s="98">
        <v>1.9067211141435572</v>
      </c>
      <c r="AY23" s="98">
        <v>560.57600755820579</v>
      </c>
      <c r="AZ23" s="98">
        <v>2.1859671834077385</v>
      </c>
      <c r="BA23" s="98">
        <v>642.67435192187509</v>
      </c>
      <c r="BB23" s="98">
        <v>1.8141132364547785</v>
      </c>
      <c r="BC23" s="98">
        <v>533.34929151770484</v>
      </c>
      <c r="BD23" s="98">
        <v>2.024895917261905</v>
      </c>
      <c r="BE23" s="98">
        <v>595.31939967500011</v>
      </c>
      <c r="BF23" s="98">
        <v>2.1953590939701777</v>
      </c>
      <c r="BG23" s="98">
        <v>645.4355736272322</v>
      </c>
      <c r="BH23" s="98">
        <v>2.4506001764926237</v>
      </c>
      <c r="BI23" s="98">
        <v>720.47645188883143</v>
      </c>
      <c r="BJ23" s="98">
        <v>2.2578955599153554</v>
      </c>
      <c r="BK23" s="98">
        <v>663.82129461511454</v>
      </c>
      <c r="BL23" s="98">
        <v>2.0879608574459882</v>
      </c>
      <c r="BM23" s="98">
        <v>613.8604920891205</v>
      </c>
      <c r="BN23" s="98">
        <v>2.1420531076388896</v>
      </c>
      <c r="BO23" s="98">
        <v>629.76361364583352</v>
      </c>
      <c r="BP23" s="98">
        <v>1.5487621744791671</v>
      </c>
      <c r="BQ23" s="98">
        <v>455.33607929687514</v>
      </c>
      <c r="BR23" s="98">
        <v>2.2680968952764187</v>
      </c>
      <c r="BS23" s="98">
        <v>666.82048721126705</v>
      </c>
      <c r="BT23" s="98">
        <v>2.1700523608984752</v>
      </c>
      <c r="BU23" s="98">
        <v>637.99539410415173</v>
      </c>
      <c r="BV23" s="98">
        <v>2.036533250119732</v>
      </c>
      <c r="BW23" s="98">
        <v>598.74077553520124</v>
      </c>
      <c r="BX23" s="98">
        <v>2.0466150978926021</v>
      </c>
      <c r="BY23" s="98">
        <v>601.70483878042501</v>
      </c>
      <c r="BZ23" s="98">
        <v>2.4448317182849704</v>
      </c>
      <c r="CA23" s="98">
        <v>718.78052517578124</v>
      </c>
      <c r="CB23" s="98">
        <v>2.0492162863749259</v>
      </c>
      <c r="CC23" s="98">
        <v>602.46958819422821</v>
      </c>
      <c r="CD23" s="98">
        <v>2.6961929333106891</v>
      </c>
      <c r="CE23" s="98">
        <v>792.68072239334265</v>
      </c>
      <c r="CF23" s="98">
        <v>1.8280310364169976</v>
      </c>
      <c r="CG23" s="98">
        <v>537.44112470659729</v>
      </c>
      <c r="CH23" s="98">
        <v>2.2020259138483911</v>
      </c>
      <c r="CI23" s="98">
        <v>647.39561867142697</v>
      </c>
      <c r="CJ23" s="98">
        <v>2.149064063131739</v>
      </c>
      <c r="CK23" s="98">
        <v>631.82483456073123</v>
      </c>
      <c r="CL23" s="98">
        <v>2.1794737170239391</v>
      </c>
      <c r="CM23" s="98">
        <v>640.76527280503808</v>
      </c>
      <c r="CN23" s="98">
        <v>2.7913677134725683</v>
      </c>
      <c r="CO23" s="98">
        <v>820.6621077609351</v>
      </c>
      <c r="CP23" s="98">
        <v>1.6714942713246859</v>
      </c>
      <c r="CQ23" s="98">
        <v>491.41931576945763</v>
      </c>
      <c r="CR23" s="98">
        <v>2.8770510326454675</v>
      </c>
      <c r="CS23" s="98">
        <v>845.85300359776738</v>
      </c>
      <c r="CT23" s="98">
        <v>2.0528690783292487</v>
      </c>
      <c r="CU23" s="98">
        <v>603.54350902879912</v>
      </c>
    </row>
    <row r="24" spans="2:99">
      <c r="C24" s="97" t="s">
        <v>191</v>
      </c>
      <c r="D24" s="98">
        <v>10</v>
      </c>
      <c r="E24" s="98">
        <v>3672</v>
      </c>
      <c r="F24" s="98">
        <v>18</v>
      </c>
      <c r="G24" s="98">
        <v>6609.5999999999995</v>
      </c>
      <c r="H24" s="98">
        <v>16</v>
      </c>
      <c r="I24" s="98">
        <v>5875.2</v>
      </c>
      <c r="J24" s="98">
        <v>11</v>
      </c>
      <c r="K24" s="98">
        <v>4039.2</v>
      </c>
      <c r="L24" s="98">
        <v>11</v>
      </c>
      <c r="M24" s="98">
        <v>4039.2</v>
      </c>
      <c r="N24" s="98">
        <v>16</v>
      </c>
      <c r="O24" s="98">
        <v>5875.2</v>
      </c>
      <c r="P24" s="98">
        <v>12</v>
      </c>
      <c r="Q24" s="98">
        <v>4406.3999999999996</v>
      </c>
      <c r="R24" s="98">
        <v>12</v>
      </c>
      <c r="S24" s="98">
        <v>4406.3999999999996</v>
      </c>
      <c r="T24" s="98">
        <v>12</v>
      </c>
      <c r="U24" s="98">
        <v>4406.3999999999996</v>
      </c>
      <c r="V24" s="98">
        <v>16</v>
      </c>
      <c r="W24" s="98">
        <v>5875.2</v>
      </c>
      <c r="X24" s="98">
        <v>10</v>
      </c>
      <c r="Y24" s="98">
        <v>3672</v>
      </c>
      <c r="Z24" s="98">
        <v>12.960937177280002</v>
      </c>
      <c r="AA24" s="98">
        <v>4759.2561314972163</v>
      </c>
      <c r="AB24" s="98">
        <v>1.7156358453913587</v>
      </c>
      <c r="AC24" s="98">
        <v>629.98148242770685</v>
      </c>
      <c r="AD24" s="98">
        <v>2.4488070544122631</v>
      </c>
      <c r="AE24" s="98">
        <v>899.20195038018301</v>
      </c>
      <c r="AF24" s="98">
        <v>1.9879763563581117</v>
      </c>
      <c r="AG24" s="98">
        <v>729.9849180546986</v>
      </c>
      <c r="AH24" s="98">
        <v>2.0939264598958336</v>
      </c>
      <c r="AI24" s="98">
        <v>768.88979607375006</v>
      </c>
      <c r="AJ24" s="98">
        <v>2.0632127250121304</v>
      </c>
      <c r="AK24" s="98">
        <v>757.6117126244543</v>
      </c>
      <c r="AL24" s="98">
        <v>2.1508757846484579</v>
      </c>
      <c r="AM24" s="98">
        <v>789.8015881229137</v>
      </c>
      <c r="AN24" s="98">
        <v>1.5933308701476321</v>
      </c>
      <c r="AO24" s="98">
        <v>585.07109551821043</v>
      </c>
      <c r="AP24" s="98">
        <v>2.1677617385042827</v>
      </c>
      <c r="AQ24" s="98">
        <v>796.00211037877261</v>
      </c>
      <c r="AR24" s="98">
        <v>1.6295671574954715</v>
      </c>
      <c r="AS24" s="98">
        <v>598.37706023233716</v>
      </c>
      <c r="AT24" s="98">
        <v>2.32721181384085</v>
      </c>
      <c r="AU24" s="98">
        <v>854.55217804236008</v>
      </c>
      <c r="AV24" s="98">
        <v>2.2812668595761805</v>
      </c>
      <c r="AW24" s="98">
        <v>837.68119083637339</v>
      </c>
      <c r="AX24" s="98">
        <v>1.9067211141435572</v>
      </c>
      <c r="AY24" s="98">
        <v>700.14799311351419</v>
      </c>
      <c r="AZ24" s="98">
        <v>2.3010180877976194</v>
      </c>
      <c r="BA24" s="98">
        <v>844.93384183928583</v>
      </c>
      <c r="BB24" s="98">
        <v>1.5117610303789821</v>
      </c>
      <c r="BC24" s="98">
        <v>555.11865035516223</v>
      </c>
      <c r="BD24" s="98">
        <v>2.1936372437003975</v>
      </c>
      <c r="BE24" s="98">
        <v>805.50359588678589</v>
      </c>
      <c r="BF24" s="98">
        <v>2.1953590939701777</v>
      </c>
      <c r="BG24" s="98">
        <v>806.13585930584918</v>
      </c>
      <c r="BH24" s="98">
        <v>2.3280701676679927</v>
      </c>
      <c r="BI24" s="98">
        <v>854.86736556768687</v>
      </c>
      <c r="BJ24" s="98">
        <v>2.3907129457927292</v>
      </c>
      <c r="BK24" s="98">
        <v>877.86979369509015</v>
      </c>
      <c r="BL24" s="98">
        <v>2.2371009186921298</v>
      </c>
      <c r="BM24" s="98">
        <v>821.46345734375006</v>
      </c>
      <c r="BN24" s="98">
        <v>2.2950569010416668</v>
      </c>
      <c r="BO24" s="98">
        <v>842.74489406250007</v>
      </c>
      <c r="BP24" s="98">
        <v>1.5487621744791671</v>
      </c>
      <c r="BQ24" s="98">
        <v>568.70547046875015</v>
      </c>
      <c r="BR24" s="98">
        <v>2.4015143597044433</v>
      </c>
      <c r="BS24" s="98">
        <v>881.8360728834715</v>
      </c>
      <c r="BT24" s="98">
        <v>2.2977024997748563</v>
      </c>
      <c r="BU24" s="98">
        <v>843.71635791732717</v>
      </c>
      <c r="BV24" s="98">
        <v>2.036533250119732</v>
      </c>
      <c r="BW24" s="98">
        <v>747.81500944396555</v>
      </c>
      <c r="BX24" s="98">
        <v>2.0466150978926021</v>
      </c>
      <c r="BY24" s="98">
        <v>751.51706394616349</v>
      </c>
      <c r="BZ24" s="98">
        <v>2.4448317182849704</v>
      </c>
      <c r="CA24" s="98">
        <v>897.74220695424106</v>
      </c>
      <c r="CB24" s="98">
        <v>2.2068483084037669</v>
      </c>
      <c r="CC24" s="98">
        <v>810.35469884586314</v>
      </c>
      <c r="CD24" s="98">
        <v>2.6961929333106891</v>
      </c>
      <c r="CE24" s="98">
        <v>990.04204511168496</v>
      </c>
      <c r="CF24" s="98">
        <v>1.6874132643849211</v>
      </c>
      <c r="CG24" s="98">
        <v>619.61815068214298</v>
      </c>
      <c r="CH24" s="98">
        <v>2.0326393050908225</v>
      </c>
      <c r="CI24" s="98">
        <v>746.38515282934998</v>
      </c>
      <c r="CJ24" s="98">
        <v>2.3878489590352654</v>
      </c>
      <c r="CK24" s="98">
        <v>876.81813775774947</v>
      </c>
      <c r="CL24" s="98">
        <v>2.4358823896149908</v>
      </c>
      <c r="CM24" s="98">
        <v>894.45601346662465</v>
      </c>
      <c r="CN24" s="98">
        <v>2.4975395331070347</v>
      </c>
      <c r="CO24" s="98">
        <v>917.09651655690311</v>
      </c>
      <c r="CP24" s="98">
        <v>1.8107854606017428</v>
      </c>
      <c r="CQ24" s="98">
        <v>664.92042113295997</v>
      </c>
      <c r="CR24" s="98">
        <v>2.6372967799250118</v>
      </c>
      <c r="CS24" s="98">
        <v>968.41537758846425</v>
      </c>
      <c r="CT24" s="98">
        <v>2.0528690783292487</v>
      </c>
      <c r="CU24" s="98">
        <v>753.8135255625001</v>
      </c>
    </row>
    <row r="25" spans="2:99">
      <c r="C25" s="97" t="s">
        <v>192</v>
      </c>
      <c r="D25" s="98">
        <v>9</v>
      </c>
      <c r="E25" s="98">
        <v>4773.5999999999995</v>
      </c>
      <c r="F25" s="98">
        <v>17</v>
      </c>
      <c r="G25" s="98">
        <v>9016.7999999999993</v>
      </c>
      <c r="H25" s="98">
        <v>14</v>
      </c>
      <c r="I25" s="98">
        <v>7425.5999999999995</v>
      </c>
      <c r="J25" s="98">
        <v>10</v>
      </c>
      <c r="K25" s="98">
        <v>5304</v>
      </c>
      <c r="L25" s="98">
        <v>12</v>
      </c>
      <c r="M25" s="98">
        <v>6364.7999999999993</v>
      </c>
      <c r="N25" s="98">
        <v>18</v>
      </c>
      <c r="O25" s="98">
        <v>9547.1999999999989</v>
      </c>
      <c r="P25" s="98">
        <v>14</v>
      </c>
      <c r="Q25" s="98">
        <v>7425.5999999999995</v>
      </c>
      <c r="R25" s="98">
        <v>11</v>
      </c>
      <c r="S25" s="98">
        <v>5834.4</v>
      </c>
      <c r="T25" s="98">
        <v>11</v>
      </c>
      <c r="U25" s="98">
        <v>5834.4</v>
      </c>
      <c r="V25" s="98">
        <v>14</v>
      </c>
      <c r="W25" s="98">
        <v>7425.5999999999995</v>
      </c>
      <c r="X25" s="98">
        <v>10</v>
      </c>
      <c r="Y25" s="98">
        <v>5304</v>
      </c>
      <c r="Z25" s="98">
        <v>14.325246353835791</v>
      </c>
      <c r="AA25" s="98">
        <v>7598.1106660745036</v>
      </c>
      <c r="AB25" s="98">
        <v>2.0275696354625152</v>
      </c>
      <c r="AC25" s="98">
        <v>1075.422934649318</v>
      </c>
      <c r="AD25" s="98">
        <v>2.16071210683435</v>
      </c>
      <c r="AE25" s="98">
        <v>1146.0417014649393</v>
      </c>
      <c r="AF25" s="98">
        <v>1.8637278340857295</v>
      </c>
      <c r="AG25" s="98">
        <v>988.52124319907091</v>
      </c>
      <c r="AH25" s="98">
        <v>1.7717839276041669</v>
      </c>
      <c r="AI25" s="98">
        <v>939.75419520125013</v>
      </c>
      <c r="AJ25" s="98">
        <v>2.0632127250121304</v>
      </c>
      <c r="AK25" s="98">
        <v>1094.3280293464338</v>
      </c>
      <c r="AL25" s="98">
        <v>1.8820163115674005</v>
      </c>
      <c r="AM25" s="98">
        <v>998.22145165534914</v>
      </c>
      <c r="AN25" s="98">
        <v>1.9119970441771588</v>
      </c>
      <c r="AO25" s="98">
        <v>1014.123232231565</v>
      </c>
      <c r="AP25" s="98">
        <v>1.8787268400370452</v>
      </c>
      <c r="AQ25" s="98">
        <v>996.47671595564873</v>
      </c>
      <c r="AR25" s="98">
        <v>1.4814246886322466</v>
      </c>
      <c r="AS25" s="98">
        <v>785.74765485054354</v>
      </c>
      <c r="AT25" s="98">
        <v>2.7926541766090196</v>
      </c>
      <c r="AU25" s="98">
        <v>1481.2237752734238</v>
      </c>
      <c r="AV25" s="98">
        <v>1.9010557163134838</v>
      </c>
      <c r="AW25" s="98">
        <v>1008.3199519326718</v>
      </c>
      <c r="AX25" s="98">
        <v>1.9067211141435572</v>
      </c>
      <c r="AY25" s="98">
        <v>1011.3248789417427</v>
      </c>
      <c r="AZ25" s="98">
        <v>2.0709162790178577</v>
      </c>
      <c r="BA25" s="98">
        <v>1098.4139943910716</v>
      </c>
      <c r="BB25" s="98">
        <v>1.8141132364547785</v>
      </c>
      <c r="BC25" s="98">
        <v>962.20566061561453</v>
      </c>
      <c r="BD25" s="98">
        <v>2.024895917261905</v>
      </c>
      <c r="BE25" s="98">
        <v>1074.0047945157144</v>
      </c>
      <c r="BF25" s="98">
        <v>2.0662203237366379</v>
      </c>
      <c r="BG25" s="98">
        <v>1095.9232597099126</v>
      </c>
      <c r="BH25" s="98">
        <v>2.3280701676679927</v>
      </c>
      <c r="BI25" s="98">
        <v>1234.8084169311032</v>
      </c>
      <c r="BJ25" s="98">
        <v>2.523530331670103</v>
      </c>
      <c r="BK25" s="98">
        <v>1338.4804879178225</v>
      </c>
      <c r="BL25" s="98">
        <v>1.938820796199846</v>
      </c>
      <c r="BM25" s="98">
        <v>1028.3505503043982</v>
      </c>
      <c r="BN25" s="98">
        <v>2.2950569010416668</v>
      </c>
      <c r="BO25" s="98">
        <v>1217.2981803125001</v>
      </c>
      <c r="BP25" s="98">
        <v>1.5487621744791671</v>
      </c>
      <c r="BQ25" s="98">
        <v>821.46345734375018</v>
      </c>
      <c r="BR25" s="98">
        <v>2.4015143597044433</v>
      </c>
      <c r="BS25" s="98">
        <v>1273.7632163872368</v>
      </c>
      <c r="BT25" s="98">
        <v>2.2977024997748563</v>
      </c>
      <c r="BU25" s="98">
        <v>1218.7014058805837</v>
      </c>
      <c r="BV25" s="98">
        <v>1.7455999286740562</v>
      </c>
      <c r="BW25" s="98">
        <v>925.86620216871938</v>
      </c>
      <c r="BX25" s="98">
        <v>2.0466150978926021</v>
      </c>
      <c r="BY25" s="98">
        <v>1085.524647922236</v>
      </c>
      <c r="BZ25" s="98">
        <v>2.013390826822917</v>
      </c>
      <c r="CA25" s="98">
        <v>1067.9024945468752</v>
      </c>
      <c r="CB25" s="98">
        <v>2.0492162863749259</v>
      </c>
      <c r="CC25" s="98">
        <v>1086.9043182932608</v>
      </c>
      <c r="CD25" s="98">
        <v>2.4394126539477661</v>
      </c>
      <c r="CE25" s="98">
        <v>1293.8644716538952</v>
      </c>
      <c r="CF25" s="98">
        <v>1.6874132643849211</v>
      </c>
      <c r="CG25" s="98">
        <v>895.00399542976209</v>
      </c>
      <c r="CH25" s="98">
        <v>2.0326393050908225</v>
      </c>
      <c r="CI25" s="98">
        <v>1078.1118874201723</v>
      </c>
      <c r="CJ25" s="98">
        <v>2.149064063131739</v>
      </c>
      <c r="CK25" s="98">
        <v>1139.8635790850744</v>
      </c>
      <c r="CL25" s="98">
        <v>2.307678053319465</v>
      </c>
      <c r="CM25" s="98">
        <v>1223.9924394806442</v>
      </c>
      <c r="CN25" s="98">
        <v>2.9382818036553351</v>
      </c>
      <c r="CO25" s="98">
        <v>1558.4646686587896</v>
      </c>
      <c r="CP25" s="98">
        <v>1.8107854606017428</v>
      </c>
      <c r="CQ25" s="98">
        <v>960.44060830316437</v>
      </c>
      <c r="CR25" s="98">
        <v>2.6372967799250118</v>
      </c>
      <c r="CS25" s="98">
        <v>1398.8222120722262</v>
      </c>
      <c r="CT25" s="98">
        <v>2.0528690783292487</v>
      </c>
      <c r="CU25" s="98">
        <v>1088.8417591458335</v>
      </c>
    </row>
    <row r="26" spans="2:99">
      <c r="C26" s="97" t="s">
        <v>193</v>
      </c>
      <c r="D26" s="98">
        <v>9</v>
      </c>
      <c r="E26" s="98">
        <v>4374</v>
      </c>
      <c r="F26" s="98">
        <v>19</v>
      </c>
      <c r="G26" s="98">
        <v>9234</v>
      </c>
      <c r="H26" s="98">
        <v>14</v>
      </c>
      <c r="I26" s="98">
        <v>6804</v>
      </c>
      <c r="J26" s="98">
        <v>10</v>
      </c>
      <c r="K26" s="98">
        <v>4860</v>
      </c>
      <c r="L26" s="98">
        <v>12</v>
      </c>
      <c r="M26" s="98">
        <v>5832</v>
      </c>
      <c r="N26" s="98">
        <v>16</v>
      </c>
      <c r="O26" s="98">
        <v>7776</v>
      </c>
      <c r="P26" s="98">
        <v>12</v>
      </c>
      <c r="Q26" s="98">
        <v>5832</v>
      </c>
      <c r="R26" s="98">
        <v>11</v>
      </c>
      <c r="S26" s="98">
        <v>5346</v>
      </c>
      <c r="T26" s="98">
        <v>11</v>
      </c>
      <c r="U26" s="98">
        <v>5346</v>
      </c>
      <c r="V26" s="98">
        <v>14</v>
      </c>
      <c r="W26" s="98">
        <v>6804</v>
      </c>
      <c r="X26" s="98">
        <v>11</v>
      </c>
      <c r="Y26" s="98">
        <v>5346</v>
      </c>
      <c r="Z26" s="98">
        <v>12.278782589002107</v>
      </c>
      <c r="AA26" s="98">
        <v>5967.4883382550242</v>
      </c>
      <c r="AB26" s="98">
        <v>1.8716027404269369</v>
      </c>
      <c r="AC26" s="98">
        <v>909.59893184749126</v>
      </c>
      <c r="AD26" s="98">
        <v>2.16071210683435</v>
      </c>
      <c r="AE26" s="98">
        <v>1050.106083921494</v>
      </c>
      <c r="AF26" s="98">
        <v>1.7394793118133476</v>
      </c>
      <c r="AG26" s="98">
        <v>845.38694554128688</v>
      </c>
      <c r="AH26" s="98">
        <v>1.7717839276041669</v>
      </c>
      <c r="AI26" s="98">
        <v>861.08698881562509</v>
      </c>
      <c r="AJ26" s="98">
        <v>2.3211143156386465</v>
      </c>
      <c r="AK26" s="98">
        <v>1128.0615574003821</v>
      </c>
      <c r="AL26" s="98">
        <v>2.0164460481079289</v>
      </c>
      <c r="AM26" s="98">
        <v>979.9927793804535</v>
      </c>
      <c r="AN26" s="98">
        <v>1.5933308701476321</v>
      </c>
      <c r="AO26" s="98">
        <v>774.35880289174918</v>
      </c>
      <c r="AP26" s="98">
        <v>2.1677617385042827</v>
      </c>
      <c r="AQ26" s="98">
        <v>1053.5322049130814</v>
      </c>
      <c r="AR26" s="98">
        <v>1.6295671574954715</v>
      </c>
      <c r="AS26" s="98">
        <v>791.9696385427992</v>
      </c>
      <c r="AT26" s="98">
        <v>2.4823592680969067</v>
      </c>
      <c r="AU26" s="98">
        <v>1206.4266042950967</v>
      </c>
      <c r="AV26" s="98">
        <v>1.9010557163134838</v>
      </c>
      <c r="AW26" s="98">
        <v>923.91307812835316</v>
      </c>
      <c r="AX26" s="98">
        <v>2.0533919690776772</v>
      </c>
      <c r="AY26" s="98">
        <v>997.94849697175107</v>
      </c>
      <c r="AZ26" s="98">
        <v>2.1859671834077385</v>
      </c>
      <c r="BA26" s="98">
        <v>1062.380051136161</v>
      </c>
      <c r="BB26" s="98">
        <v>1.8141132364547785</v>
      </c>
      <c r="BC26" s="98">
        <v>881.65903291702239</v>
      </c>
      <c r="BD26" s="98">
        <v>1.8561545908234129</v>
      </c>
      <c r="BE26" s="98">
        <v>902.09113114017873</v>
      </c>
      <c r="BF26" s="98">
        <v>2.1953590939701777</v>
      </c>
      <c r="BG26" s="98">
        <v>1066.9445196695065</v>
      </c>
      <c r="BH26" s="98">
        <v>2.0830101500187301</v>
      </c>
      <c r="BI26" s="98">
        <v>1012.3429329091028</v>
      </c>
      <c r="BJ26" s="98">
        <v>2.2578955599153554</v>
      </c>
      <c r="BK26" s="98">
        <v>1097.3372421188628</v>
      </c>
      <c r="BL26" s="98">
        <v>2.0879608574459882</v>
      </c>
      <c r="BM26" s="98">
        <v>1014.7489767187503</v>
      </c>
      <c r="BN26" s="98">
        <v>1.9890493142361116</v>
      </c>
      <c r="BO26" s="98">
        <v>966.67796671875021</v>
      </c>
      <c r="BP26" s="98">
        <v>1.5487621744791671</v>
      </c>
      <c r="BQ26" s="98">
        <v>752.69841679687522</v>
      </c>
      <c r="BR26" s="98">
        <v>2.5349318241324679</v>
      </c>
      <c r="BS26" s="98">
        <v>1231.9768665283793</v>
      </c>
      <c r="BT26" s="98">
        <v>2.6806529164039992</v>
      </c>
      <c r="BU26" s="98">
        <v>1302.7973173723435</v>
      </c>
      <c r="BV26" s="98">
        <v>2.036533250119732</v>
      </c>
      <c r="BW26" s="98">
        <v>989.75515955818969</v>
      </c>
      <c r="BX26" s="98">
        <v>2.0466150978926021</v>
      </c>
      <c r="BY26" s="98">
        <v>994.65493757580464</v>
      </c>
      <c r="BZ26" s="98">
        <v>2.1572044573102684</v>
      </c>
      <c r="CA26" s="98">
        <v>1048.4013662527905</v>
      </c>
      <c r="CB26" s="98">
        <v>2.2068483084037669</v>
      </c>
      <c r="CC26" s="98">
        <v>1072.5282778842306</v>
      </c>
      <c r="CD26" s="98">
        <v>2.5678027936292276</v>
      </c>
      <c r="CE26" s="98">
        <v>1247.9521577038047</v>
      </c>
      <c r="CF26" s="98">
        <v>1.6874132643849211</v>
      </c>
      <c r="CG26" s="98">
        <v>820.08284649107168</v>
      </c>
      <c r="CH26" s="98">
        <v>2.2020259138483911</v>
      </c>
      <c r="CI26" s="98">
        <v>1070.1845941303181</v>
      </c>
      <c r="CJ26" s="98">
        <v>2.2684565110835022</v>
      </c>
      <c r="CK26" s="98">
        <v>1102.469864386582</v>
      </c>
      <c r="CL26" s="98">
        <v>2.4358823896149908</v>
      </c>
      <c r="CM26" s="98">
        <v>1183.8388413528855</v>
      </c>
      <c r="CN26" s="98">
        <v>2.9382818036553351</v>
      </c>
      <c r="CO26" s="98">
        <v>1428.0049565764928</v>
      </c>
      <c r="CP26" s="98">
        <v>1.8107854606017428</v>
      </c>
      <c r="CQ26" s="98">
        <v>880.04173385244701</v>
      </c>
      <c r="CR26" s="98">
        <v>2.7571739062852396</v>
      </c>
      <c r="CS26" s="98">
        <v>1339.9865184546265</v>
      </c>
      <c r="CT26" s="98">
        <v>2.0528690783292487</v>
      </c>
      <c r="CU26" s="98">
        <v>997.6943720680149</v>
      </c>
    </row>
    <row r="27" spans="2:99">
      <c r="C27" s="97" t="s">
        <v>194</v>
      </c>
      <c r="D27" s="98">
        <v>11</v>
      </c>
      <c r="E27" s="98">
        <v>4699.2</v>
      </c>
      <c r="F27" s="98">
        <v>16</v>
      </c>
      <c r="G27" s="98">
        <v>6835.2</v>
      </c>
      <c r="H27" s="98">
        <v>14</v>
      </c>
      <c r="I27" s="98">
        <v>5980.8</v>
      </c>
      <c r="J27" s="98">
        <v>11</v>
      </c>
      <c r="K27" s="98">
        <v>4699.2</v>
      </c>
      <c r="L27" s="98">
        <v>11</v>
      </c>
      <c r="M27" s="98">
        <v>4699.2</v>
      </c>
      <c r="N27" s="98">
        <v>18</v>
      </c>
      <c r="O27" s="98">
        <v>7689.5999999999995</v>
      </c>
      <c r="P27" s="98">
        <v>14</v>
      </c>
      <c r="Q27" s="98">
        <v>5980.8</v>
      </c>
      <c r="R27" s="98">
        <v>11</v>
      </c>
      <c r="S27" s="98">
        <v>4699.2</v>
      </c>
      <c r="T27" s="98">
        <v>12</v>
      </c>
      <c r="U27" s="98">
        <v>5126.3999999999996</v>
      </c>
      <c r="V27" s="98">
        <v>14</v>
      </c>
      <c r="W27" s="98">
        <v>5980.8</v>
      </c>
      <c r="X27" s="98">
        <v>11</v>
      </c>
      <c r="Y27" s="98">
        <v>4699.2</v>
      </c>
      <c r="Z27" s="98">
        <v>14.325246353835791</v>
      </c>
      <c r="AA27" s="98">
        <v>6119.7452423586501</v>
      </c>
      <c r="AB27" s="98">
        <v>1.7156358453913587</v>
      </c>
      <c r="AC27" s="98">
        <v>732.91963315118846</v>
      </c>
      <c r="AD27" s="98">
        <v>2.16071210683435</v>
      </c>
      <c r="AE27" s="98">
        <v>923.05621203963426</v>
      </c>
      <c r="AF27" s="98">
        <v>1.9879763563581117</v>
      </c>
      <c r="AG27" s="98">
        <v>849.26349943618527</v>
      </c>
      <c r="AH27" s="98">
        <v>2.0939264598958336</v>
      </c>
      <c r="AI27" s="98">
        <v>894.52538366750014</v>
      </c>
      <c r="AJ27" s="98">
        <v>2.3211143156386465</v>
      </c>
      <c r="AK27" s="98">
        <v>991.58003564082969</v>
      </c>
      <c r="AL27" s="98">
        <v>2.1508757846484579</v>
      </c>
      <c r="AM27" s="98">
        <v>918.85413520182112</v>
      </c>
      <c r="AN27" s="98">
        <v>1.7526639571623952</v>
      </c>
      <c r="AO27" s="98">
        <v>748.73804249977525</v>
      </c>
      <c r="AP27" s="98">
        <v>2.0232442892706639</v>
      </c>
      <c r="AQ27" s="98">
        <v>864.32996037642761</v>
      </c>
      <c r="AR27" s="98">
        <v>1.6295671574954715</v>
      </c>
      <c r="AS27" s="98">
        <v>696.15108968206539</v>
      </c>
      <c r="AT27" s="98">
        <v>2.6375067223529634</v>
      </c>
      <c r="AU27" s="98">
        <v>1126.742871789186</v>
      </c>
      <c r="AV27" s="98">
        <v>2.0911612879448325</v>
      </c>
      <c r="AW27" s="98">
        <v>893.34410221003236</v>
      </c>
      <c r="AX27" s="98">
        <v>2.0533919690776772</v>
      </c>
      <c r="AY27" s="98">
        <v>877.20904918998372</v>
      </c>
      <c r="AZ27" s="98">
        <v>1.9558653746279766</v>
      </c>
      <c r="BA27" s="98">
        <v>835.54568804107157</v>
      </c>
      <c r="BB27" s="98">
        <v>1.6629371334168805</v>
      </c>
      <c r="BC27" s="98">
        <v>710.40674339569136</v>
      </c>
      <c r="BD27" s="98">
        <v>2.024895917261905</v>
      </c>
      <c r="BE27" s="98">
        <v>865.03553585428574</v>
      </c>
      <c r="BF27" s="98">
        <v>2.3244978642037175</v>
      </c>
      <c r="BG27" s="98">
        <v>993.02548758782814</v>
      </c>
      <c r="BH27" s="98">
        <v>2.0830101500187301</v>
      </c>
      <c r="BI27" s="98">
        <v>889.86193608800147</v>
      </c>
      <c r="BJ27" s="98">
        <v>2.1250781740379812</v>
      </c>
      <c r="BK27" s="98">
        <v>907.83339594902554</v>
      </c>
      <c r="BL27" s="98">
        <v>1.938820796199846</v>
      </c>
      <c r="BM27" s="98">
        <v>828.26424413657423</v>
      </c>
      <c r="BN27" s="98">
        <v>2.1420531076388896</v>
      </c>
      <c r="BO27" s="98">
        <v>915.08508758333357</v>
      </c>
      <c r="BP27" s="98">
        <v>1.5487621744791671</v>
      </c>
      <c r="BQ27" s="98">
        <v>661.63120093750013</v>
      </c>
      <c r="BR27" s="98">
        <v>2.6683492885604925</v>
      </c>
      <c r="BS27" s="98">
        <v>1139.9188160730423</v>
      </c>
      <c r="BT27" s="98">
        <v>2.2977024997748563</v>
      </c>
      <c r="BU27" s="98">
        <v>981.5785079038186</v>
      </c>
      <c r="BV27" s="98">
        <v>1.8910665893968943</v>
      </c>
      <c r="BW27" s="98">
        <v>807.86364699035323</v>
      </c>
      <c r="BX27" s="98">
        <v>2.0466150978926021</v>
      </c>
      <c r="BY27" s="98">
        <v>874.31396981971955</v>
      </c>
      <c r="BZ27" s="98">
        <v>2.3010180877976194</v>
      </c>
      <c r="CA27" s="98">
        <v>982.99492710714298</v>
      </c>
      <c r="CB27" s="98">
        <v>2.0492162863749259</v>
      </c>
      <c r="CC27" s="98">
        <v>875.42519753936836</v>
      </c>
      <c r="CD27" s="98">
        <v>2.5678027936292276</v>
      </c>
      <c r="CE27" s="98">
        <v>1096.9653534384061</v>
      </c>
      <c r="CF27" s="98">
        <v>1.6874132643849211</v>
      </c>
      <c r="CG27" s="98">
        <v>720.86294654523829</v>
      </c>
      <c r="CH27" s="98">
        <v>1.8632526963332541</v>
      </c>
      <c r="CI27" s="98">
        <v>795.9815518735661</v>
      </c>
      <c r="CJ27" s="98">
        <v>2.149064063131739</v>
      </c>
      <c r="CK27" s="98">
        <v>918.08016776987893</v>
      </c>
      <c r="CL27" s="98">
        <v>2.4358823896149908</v>
      </c>
      <c r="CM27" s="98">
        <v>1040.6089568435241</v>
      </c>
      <c r="CN27" s="98">
        <v>2.6444536232898015</v>
      </c>
      <c r="CO27" s="98">
        <v>1129.7105878694031</v>
      </c>
      <c r="CP27" s="98">
        <v>1.8107854606017428</v>
      </c>
      <c r="CQ27" s="98">
        <v>773.5675487690645</v>
      </c>
      <c r="CR27" s="98">
        <v>2.6372967799250118</v>
      </c>
      <c r="CS27" s="98">
        <v>1126.653184383965</v>
      </c>
      <c r="CT27" s="98">
        <v>1.8949560723039218</v>
      </c>
      <c r="CU27" s="98">
        <v>809.52523408823538</v>
      </c>
    </row>
    <row r="28" spans="2:99">
      <c r="C28" s="97" t="s">
        <v>195</v>
      </c>
      <c r="D28" s="98">
        <v>10</v>
      </c>
      <c r="E28" s="98">
        <v>7380</v>
      </c>
      <c r="F28" s="98">
        <v>16</v>
      </c>
      <c r="G28" s="98">
        <v>11808</v>
      </c>
      <c r="H28" s="98">
        <v>15</v>
      </c>
      <c r="I28" s="98">
        <v>11070</v>
      </c>
      <c r="J28" s="98">
        <v>10</v>
      </c>
      <c r="K28" s="98">
        <v>7380</v>
      </c>
      <c r="L28" s="98">
        <v>11</v>
      </c>
      <c r="M28" s="98">
        <v>8118</v>
      </c>
      <c r="N28" s="98">
        <v>17</v>
      </c>
      <c r="O28" s="98">
        <v>12546</v>
      </c>
      <c r="P28" s="98">
        <v>13</v>
      </c>
      <c r="Q28" s="98">
        <v>9594</v>
      </c>
      <c r="R28" s="98">
        <v>10</v>
      </c>
      <c r="S28" s="98">
        <v>7380</v>
      </c>
      <c r="T28" s="98">
        <v>11</v>
      </c>
      <c r="U28" s="98">
        <v>8118</v>
      </c>
      <c r="V28" s="98">
        <v>16</v>
      </c>
      <c r="W28" s="98">
        <v>11808</v>
      </c>
      <c r="X28" s="98">
        <v>10</v>
      </c>
      <c r="Y28" s="98">
        <v>7380</v>
      </c>
      <c r="Z28" s="98">
        <v>11.596628000724213</v>
      </c>
      <c r="AA28" s="98">
        <v>8558.3114645344685</v>
      </c>
      <c r="AB28" s="98">
        <v>1.8716027404269369</v>
      </c>
      <c r="AC28" s="98">
        <v>1381.2428224350795</v>
      </c>
      <c r="AD28" s="98">
        <v>2.3047595806233065</v>
      </c>
      <c r="AE28" s="98">
        <v>1700.9125705000001</v>
      </c>
      <c r="AF28" s="98">
        <v>1.8637278340857295</v>
      </c>
      <c r="AG28" s="98">
        <v>1375.4311415552684</v>
      </c>
      <c r="AH28" s="98">
        <v>1.9328551937500005</v>
      </c>
      <c r="AI28" s="98">
        <v>1426.4471329875003</v>
      </c>
      <c r="AJ28" s="98">
        <v>2.1921635203253884</v>
      </c>
      <c r="AK28" s="98">
        <v>1617.8166780001366</v>
      </c>
      <c r="AL28" s="98">
        <v>2.0164460481079289</v>
      </c>
      <c r="AM28" s="98">
        <v>1488.1371835036516</v>
      </c>
      <c r="AN28" s="98">
        <v>1.5933308701476321</v>
      </c>
      <c r="AO28" s="98">
        <v>1175.8781821689524</v>
      </c>
      <c r="AP28" s="98">
        <v>2.0232442892706639</v>
      </c>
      <c r="AQ28" s="98">
        <v>1493.1542854817499</v>
      </c>
      <c r="AR28" s="98">
        <v>1.6295671574954715</v>
      </c>
      <c r="AS28" s="98">
        <v>1202.6205622316579</v>
      </c>
      <c r="AT28" s="98">
        <v>2.32721181384085</v>
      </c>
      <c r="AU28" s="98">
        <v>1717.4823186145472</v>
      </c>
      <c r="AV28" s="98">
        <v>1.9010557163134838</v>
      </c>
      <c r="AW28" s="98">
        <v>1402.9791186393511</v>
      </c>
      <c r="AX28" s="98">
        <v>2.0533919690776772</v>
      </c>
      <c r="AY28" s="98">
        <v>1515.4032731793257</v>
      </c>
      <c r="AZ28" s="98">
        <v>1.9558653746279766</v>
      </c>
      <c r="BA28" s="98">
        <v>1443.4286464754468</v>
      </c>
      <c r="BB28" s="98">
        <v>1.5117610303789821</v>
      </c>
      <c r="BC28" s="98">
        <v>1115.6796404196889</v>
      </c>
      <c r="BD28" s="98">
        <v>2.024895917261905</v>
      </c>
      <c r="BE28" s="98">
        <v>1494.3731869392859</v>
      </c>
      <c r="BF28" s="98">
        <v>2.0662203237366379</v>
      </c>
      <c r="BG28" s="98">
        <v>1524.8705989176387</v>
      </c>
      <c r="BH28" s="98">
        <v>2.3280701676679927</v>
      </c>
      <c r="BI28" s="98">
        <v>1718.1157837389785</v>
      </c>
      <c r="BJ28" s="98">
        <v>2.2578955599153554</v>
      </c>
      <c r="BK28" s="98">
        <v>1666.3269232175323</v>
      </c>
      <c r="BL28" s="98">
        <v>1.938820796199846</v>
      </c>
      <c r="BM28" s="98">
        <v>1430.8497475954864</v>
      </c>
      <c r="BN28" s="98">
        <v>1.9890493142361116</v>
      </c>
      <c r="BO28" s="98">
        <v>1467.9183939062505</v>
      </c>
      <c r="BP28" s="98">
        <v>1.7036383919270837</v>
      </c>
      <c r="BQ28" s="98">
        <v>1257.2851332421878</v>
      </c>
      <c r="BR28" s="98">
        <v>2.6683492885604925</v>
      </c>
      <c r="BS28" s="98">
        <v>1969.2417749576434</v>
      </c>
      <c r="BT28" s="98">
        <v>2.4253526386512374</v>
      </c>
      <c r="BU28" s="98">
        <v>1789.9102473246132</v>
      </c>
      <c r="BV28" s="98">
        <v>1.8910665893968943</v>
      </c>
      <c r="BW28" s="98">
        <v>1395.6071429749079</v>
      </c>
      <c r="BX28" s="98">
        <v>1.9004283051859876</v>
      </c>
      <c r="BY28" s="98">
        <v>1402.5160892272588</v>
      </c>
      <c r="BZ28" s="98">
        <v>2.1572044573102684</v>
      </c>
      <c r="CA28" s="98">
        <v>1592.0168894949782</v>
      </c>
      <c r="CB28" s="98">
        <v>2.2068483084037669</v>
      </c>
      <c r="CC28" s="98">
        <v>1628.65405160198</v>
      </c>
      <c r="CD28" s="98">
        <v>2.3110225142663046</v>
      </c>
      <c r="CE28" s="98">
        <v>1705.5346155285329</v>
      </c>
      <c r="CF28" s="98">
        <v>1.6874132643849211</v>
      </c>
      <c r="CG28" s="98">
        <v>1245.3109891160718</v>
      </c>
      <c r="CH28" s="98">
        <v>2.2020259138483911</v>
      </c>
      <c r="CI28" s="98">
        <v>1625.0951244201126</v>
      </c>
      <c r="CJ28" s="98">
        <v>2.149064063131739</v>
      </c>
      <c r="CK28" s="98">
        <v>1586.0092785912234</v>
      </c>
      <c r="CL28" s="98">
        <v>2.307678053319465</v>
      </c>
      <c r="CM28" s="98">
        <v>1703.0664033497651</v>
      </c>
      <c r="CN28" s="98">
        <v>2.9382818036553351</v>
      </c>
      <c r="CO28" s="98">
        <v>2168.4519710976374</v>
      </c>
      <c r="CP28" s="98">
        <v>1.8107854606017428</v>
      </c>
      <c r="CQ28" s="98">
        <v>1336.3596699240861</v>
      </c>
      <c r="CR28" s="98">
        <v>2.5174196535647839</v>
      </c>
      <c r="CS28" s="98">
        <v>1857.8557043308106</v>
      </c>
      <c r="CT28" s="98">
        <v>1.8949560723039218</v>
      </c>
      <c r="CU28" s="98">
        <v>1398.4775813602944</v>
      </c>
    </row>
    <row r="29" spans="2:99">
      <c r="C29" s="97" t="s">
        <v>196</v>
      </c>
      <c r="D29" s="98">
        <v>10</v>
      </c>
      <c r="E29" s="98">
        <v>3384</v>
      </c>
      <c r="F29" s="98">
        <v>16</v>
      </c>
      <c r="G29" s="98">
        <v>5414.4</v>
      </c>
      <c r="H29" s="98">
        <v>16</v>
      </c>
      <c r="I29" s="98">
        <v>5414.4</v>
      </c>
      <c r="J29" s="98">
        <v>10</v>
      </c>
      <c r="K29" s="98">
        <v>3384</v>
      </c>
      <c r="L29" s="98">
        <v>11</v>
      </c>
      <c r="M29" s="98">
        <v>3722.3999999999996</v>
      </c>
      <c r="N29" s="98">
        <v>16</v>
      </c>
      <c r="O29" s="98">
        <v>5414.4</v>
      </c>
      <c r="P29" s="98">
        <v>12</v>
      </c>
      <c r="Q29" s="98">
        <v>4060.7999999999997</v>
      </c>
      <c r="R29" s="98">
        <v>11</v>
      </c>
      <c r="S29" s="98">
        <v>3722.3999999999996</v>
      </c>
      <c r="T29" s="98">
        <v>11</v>
      </c>
      <c r="U29" s="98">
        <v>3722.3999999999996</v>
      </c>
      <c r="V29" s="98">
        <v>16</v>
      </c>
      <c r="W29" s="98">
        <v>5414.4</v>
      </c>
      <c r="X29" s="98">
        <v>10</v>
      </c>
      <c r="Y29" s="98">
        <v>3384</v>
      </c>
      <c r="Z29" s="98">
        <v>12.960937177280002</v>
      </c>
      <c r="AA29" s="98">
        <v>4385.9811407915522</v>
      </c>
      <c r="AB29" s="98">
        <v>1.8716027404269369</v>
      </c>
      <c r="AC29" s="98">
        <v>633.35036736047539</v>
      </c>
      <c r="AD29" s="98">
        <v>2.3047595806233065</v>
      </c>
      <c r="AE29" s="98">
        <v>779.93064208292685</v>
      </c>
      <c r="AF29" s="98">
        <v>1.7394793118133476</v>
      </c>
      <c r="AG29" s="98">
        <v>588.63979911763681</v>
      </c>
      <c r="AH29" s="98">
        <v>1.9328551937500005</v>
      </c>
      <c r="AI29" s="98">
        <v>654.0781975650001</v>
      </c>
      <c r="AJ29" s="98">
        <v>1.9342619296988721</v>
      </c>
      <c r="AK29" s="98">
        <v>654.55423701009829</v>
      </c>
      <c r="AL29" s="98">
        <v>2.0164460481079289</v>
      </c>
      <c r="AM29" s="98">
        <v>682.36534267972308</v>
      </c>
      <c r="AN29" s="98">
        <v>1.5933308701476321</v>
      </c>
      <c r="AO29" s="98">
        <v>539.18316645795869</v>
      </c>
      <c r="AP29" s="98">
        <v>1.8787268400370452</v>
      </c>
      <c r="AQ29" s="98">
        <v>635.76116266853603</v>
      </c>
      <c r="AR29" s="98">
        <v>1.6295671574954715</v>
      </c>
      <c r="AS29" s="98">
        <v>551.44552609646757</v>
      </c>
      <c r="AT29" s="98">
        <v>2.7926541766090196</v>
      </c>
      <c r="AU29" s="98">
        <v>945.03417336449218</v>
      </c>
      <c r="AV29" s="98">
        <v>2.0911612879448325</v>
      </c>
      <c r="AW29" s="98">
        <v>707.6489798405313</v>
      </c>
      <c r="AX29" s="98">
        <v>2.0533919690776772</v>
      </c>
      <c r="AY29" s="98">
        <v>694.86784233588594</v>
      </c>
      <c r="AZ29" s="98">
        <v>2.1859671834077385</v>
      </c>
      <c r="BA29" s="98">
        <v>739.73129486517871</v>
      </c>
      <c r="BB29" s="98">
        <v>1.6629371334168805</v>
      </c>
      <c r="BC29" s="98">
        <v>562.73792594827239</v>
      </c>
      <c r="BD29" s="98">
        <v>1.8561545908234129</v>
      </c>
      <c r="BE29" s="98">
        <v>628.12271353464291</v>
      </c>
      <c r="BF29" s="98">
        <v>2.1953590939701777</v>
      </c>
      <c r="BG29" s="98">
        <v>742.9095173995081</v>
      </c>
      <c r="BH29" s="98">
        <v>2.3280701676679927</v>
      </c>
      <c r="BI29" s="98">
        <v>787.8189447388487</v>
      </c>
      <c r="BJ29" s="98">
        <v>2.3907129457927292</v>
      </c>
      <c r="BK29" s="98">
        <v>809.01726085625955</v>
      </c>
      <c r="BL29" s="98">
        <v>2.2371009186921298</v>
      </c>
      <c r="BM29" s="98">
        <v>757.03495088541672</v>
      </c>
      <c r="BN29" s="98">
        <v>2.448060694444445</v>
      </c>
      <c r="BO29" s="98">
        <v>828.42373900000007</v>
      </c>
      <c r="BP29" s="98">
        <v>1.7036383919270837</v>
      </c>
      <c r="BQ29" s="98">
        <v>576.51123182812512</v>
      </c>
      <c r="BR29" s="98">
        <v>2.5349318241324679</v>
      </c>
      <c r="BS29" s="98">
        <v>857.82092928642703</v>
      </c>
      <c r="BT29" s="98">
        <v>2.6806529164039992</v>
      </c>
      <c r="BU29" s="98">
        <v>907.13294691111321</v>
      </c>
      <c r="BV29" s="98">
        <v>1.7455999286740562</v>
      </c>
      <c r="BW29" s="98">
        <v>590.71101586330053</v>
      </c>
      <c r="BX29" s="98">
        <v>1.7542415124793733</v>
      </c>
      <c r="BY29" s="98">
        <v>593.63532782301991</v>
      </c>
      <c r="BZ29" s="98">
        <v>2.3010180877976194</v>
      </c>
      <c r="CA29" s="98">
        <v>778.66452091071437</v>
      </c>
      <c r="CB29" s="98">
        <v>2.2068483084037669</v>
      </c>
      <c r="CC29" s="98">
        <v>746.79746756383463</v>
      </c>
      <c r="CD29" s="98">
        <v>2.5678027936292276</v>
      </c>
      <c r="CE29" s="98">
        <v>868.94446536413056</v>
      </c>
      <c r="CF29" s="98">
        <v>1.8280310364169976</v>
      </c>
      <c r="CG29" s="98">
        <v>618.60570272351197</v>
      </c>
      <c r="CH29" s="98">
        <v>2.2020259138483911</v>
      </c>
      <c r="CI29" s="98">
        <v>745.16556924629549</v>
      </c>
      <c r="CJ29" s="98">
        <v>2.2684565110835022</v>
      </c>
      <c r="CK29" s="98">
        <v>767.64568335065712</v>
      </c>
      <c r="CL29" s="98">
        <v>2.1794737170239391</v>
      </c>
      <c r="CM29" s="98">
        <v>737.53390584090096</v>
      </c>
      <c r="CN29" s="98">
        <v>2.4975395331070347</v>
      </c>
      <c r="CO29" s="98">
        <v>845.16737800342048</v>
      </c>
      <c r="CP29" s="98">
        <v>1.9500766498788</v>
      </c>
      <c r="CQ29" s="98">
        <v>659.90593831898593</v>
      </c>
      <c r="CR29" s="98">
        <v>2.7571739062852396</v>
      </c>
      <c r="CS29" s="98">
        <v>933.02764988692502</v>
      </c>
      <c r="CT29" s="98">
        <v>2.0528690783292487</v>
      </c>
      <c r="CU29" s="98">
        <v>694.69089610661774</v>
      </c>
    </row>
    <row r="30" spans="2:99">
      <c r="C30" s="97" t="s">
        <v>197</v>
      </c>
      <c r="D30" s="98">
        <v>10</v>
      </c>
      <c r="E30" s="98">
        <v>1392</v>
      </c>
      <c r="F30" s="98">
        <v>19</v>
      </c>
      <c r="G30" s="98">
        <v>2644.7999999999997</v>
      </c>
      <c r="H30" s="98">
        <v>15</v>
      </c>
      <c r="I30" s="98">
        <v>2088</v>
      </c>
      <c r="J30" s="98">
        <v>11</v>
      </c>
      <c r="K30" s="98">
        <v>1531.1999999999998</v>
      </c>
      <c r="L30" s="98">
        <v>11</v>
      </c>
      <c r="M30" s="98">
        <v>1531.1999999999998</v>
      </c>
      <c r="N30" s="98">
        <v>17</v>
      </c>
      <c r="O30" s="98">
        <v>2366.3999999999996</v>
      </c>
      <c r="P30" s="98">
        <v>12</v>
      </c>
      <c r="Q30" s="98">
        <v>1670.3999999999999</v>
      </c>
      <c r="R30" s="98">
        <v>12</v>
      </c>
      <c r="S30" s="98">
        <v>1670.3999999999999</v>
      </c>
      <c r="T30" s="98">
        <v>11</v>
      </c>
      <c r="U30" s="98">
        <v>1531.1999999999998</v>
      </c>
      <c r="V30" s="98">
        <v>16</v>
      </c>
      <c r="W30" s="98">
        <v>2227.1999999999998</v>
      </c>
      <c r="X30" s="98">
        <v>10</v>
      </c>
      <c r="Y30" s="98">
        <v>1392</v>
      </c>
      <c r="Z30" s="98">
        <v>12.278782589002107</v>
      </c>
      <c r="AA30" s="98">
        <v>1709.2065363890931</v>
      </c>
      <c r="AB30" s="98">
        <v>2.0275696354625152</v>
      </c>
      <c r="AC30" s="98">
        <v>282.2376932563821</v>
      </c>
      <c r="AD30" s="98">
        <v>2.0166646330453935</v>
      </c>
      <c r="AE30" s="98">
        <v>280.71971691991877</v>
      </c>
      <c r="AF30" s="98">
        <v>1.9879763563581117</v>
      </c>
      <c r="AG30" s="98">
        <v>276.72630880504914</v>
      </c>
      <c r="AH30" s="98">
        <v>2.0939264598958336</v>
      </c>
      <c r="AI30" s="98">
        <v>291.47456321750002</v>
      </c>
      <c r="AJ30" s="98">
        <v>2.3211143156386465</v>
      </c>
      <c r="AK30" s="98">
        <v>323.09911273689954</v>
      </c>
      <c r="AL30" s="98">
        <v>1.8820163115674005</v>
      </c>
      <c r="AM30" s="98">
        <v>261.97667057018214</v>
      </c>
      <c r="AN30" s="98">
        <v>1.5933308701476321</v>
      </c>
      <c r="AO30" s="98">
        <v>221.79165712455037</v>
      </c>
      <c r="AP30" s="98">
        <v>2.1677617385042827</v>
      </c>
      <c r="AQ30" s="98">
        <v>301.7524339997961</v>
      </c>
      <c r="AR30" s="98">
        <v>1.6295671574954715</v>
      </c>
      <c r="AS30" s="98">
        <v>226.83574832336961</v>
      </c>
      <c r="AT30" s="98">
        <v>2.6375067223529634</v>
      </c>
      <c r="AU30" s="98">
        <v>367.14093575153248</v>
      </c>
      <c r="AV30" s="98">
        <v>2.2812668595761805</v>
      </c>
      <c r="AW30" s="98">
        <v>317.55234685300428</v>
      </c>
      <c r="AX30" s="98">
        <v>2.0533919690776772</v>
      </c>
      <c r="AY30" s="98">
        <v>285.83216209561266</v>
      </c>
      <c r="AZ30" s="98">
        <v>2.3010180877976194</v>
      </c>
      <c r="BA30" s="98">
        <v>320.30171782142861</v>
      </c>
      <c r="BB30" s="98">
        <v>1.5117610303789821</v>
      </c>
      <c r="BC30" s="98">
        <v>210.43713542875429</v>
      </c>
      <c r="BD30" s="98">
        <v>2.1936372437003975</v>
      </c>
      <c r="BE30" s="98">
        <v>305.35430432309528</v>
      </c>
      <c r="BF30" s="98">
        <v>2.3244978642037175</v>
      </c>
      <c r="BG30" s="98">
        <v>323.57010269715744</v>
      </c>
      <c r="BH30" s="98">
        <v>2.3280701676679927</v>
      </c>
      <c r="BI30" s="98">
        <v>324.06736733938453</v>
      </c>
      <c r="BJ30" s="98">
        <v>2.1250781740379812</v>
      </c>
      <c r="BK30" s="98">
        <v>295.81088182608693</v>
      </c>
      <c r="BL30" s="98">
        <v>2.0879608574459882</v>
      </c>
      <c r="BM30" s="98">
        <v>290.64415135648153</v>
      </c>
      <c r="BN30" s="98">
        <v>2.2950569010416668</v>
      </c>
      <c r="BO30" s="98">
        <v>319.471920625</v>
      </c>
      <c r="BP30" s="98">
        <v>1.7036383919270837</v>
      </c>
      <c r="BQ30" s="98">
        <v>237.14646415625003</v>
      </c>
      <c r="BR30" s="98">
        <v>2.6683492885604925</v>
      </c>
      <c r="BS30" s="98">
        <v>371.43422096762055</v>
      </c>
      <c r="BT30" s="98">
        <v>2.2977024997748563</v>
      </c>
      <c r="BU30" s="98">
        <v>319.84018796865996</v>
      </c>
      <c r="BV30" s="98">
        <v>1.8910665893968943</v>
      </c>
      <c r="BW30" s="98">
        <v>263.23646924404767</v>
      </c>
      <c r="BX30" s="98">
        <v>2.1928018905992168</v>
      </c>
      <c r="BY30" s="98">
        <v>305.23802317141093</v>
      </c>
      <c r="BZ30" s="98">
        <v>2.1572044573102684</v>
      </c>
      <c r="CA30" s="98">
        <v>300.28286045758932</v>
      </c>
      <c r="CB30" s="98">
        <v>2.3644803304326074</v>
      </c>
      <c r="CC30" s="98">
        <v>329.13566199621891</v>
      </c>
      <c r="CD30" s="98">
        <v>2.6961929333106891</v>
      </c>
      <c r="CE30" s="98">
        <v>375.31005631684792</v>
      </c>
      <c r="CF30" s="98">
        <v>1.6874132643849211</v>
      </c>
      <c r="CG30" s="98">
        <v>234.887926402381</v>
      </c>
      <c r="CH30" s="98">
        <v>2.0326393050908225</v>
      </c>
      <c r="CI30" s="98">
        <v>282.94339126864247</v>
      </c>
      <c r="CJ30" s="98">
        <v>2.149064063131739</v>
      </c>
      <c r="CK30" s="98">
        <v>299.14971758793803</v>
      </c>
      <c r="CL30" s="98">
        <v>2.6922910622060425</v>
      </c>
      <c r="CM30" s="98">
        <v>374.76691585908111</v>
      </c>
      <c r="CN30" s="98">
        <v>2.7913677134725683</v>
      </c>
      <c r="CO30" s="98">
        <v>388.55838571538146</v>
      </c>
      <c r="CP30" s="98">
        <v>1.9500766498788</v>
      </c>
      <c r="CQ30" s="98">
        <v>271.45066966312896</v>
      </c>
      <c r="CR30" s="98">
        <v>2.3975425272045561</v>
      </c>
      <c r="CS30" s="98">
        <v>333.73791978687416</v>
      </c>
      <c r="CT30" s="98">
        <v>2.0528690783292487</v>
      </c>
      <c r="CU30" s="98">
        <v>285.75937570343137</v>
      </c>
    </row>
    <row r="31" spans="2:99">
      <c r="C31" s="97" t="s">
        <v>198</v>
      </c>
      <c r="D31" s="98">
        <v>10</v>
      </c>
      <c r="E31" s="98">
        <v>3408</v>
      </c>
      <c r="F31" s="98">
        <v>16</v>
      </c>
      <c r="G31" s="98">
        <v>5452.8</v>
      </c>
      <c r="H31" s="98">
        <v>14</v>
      </c>
      <c r="I31" s="98">
        <v>4771.2</v>
      </c>
      <c r="J31" s="98">
        <v>12</v>
      </c>
      <c r="K31" s="98">
        <v>4089.6000000000004</v>
      </c>
      <c r="L31" s="98">
        <v>12</v>
      </c>
      <c r="M31" s="98">
        <v>4089.6000000000004</v>
      </c>
      <c r="N31" s="98">
        <v>18</v>
      </c>
      <c r="O31" s="98">
        <v>6134.4000000000005</v>
      </c>
      <c r="P31" s="98">
        <v>12</v>
      </c>
      <c r="Q31" s="98">
        <v>4089.6000000000004</v>
      </c>
      <c r="R31" s="98">
        <v>11</v>
      </c>
      <c r="S31" s="98">
        <v>3748.8</v>
      </c>
      <c r="T31" s="98">
        <v>12</v>
      </c>
      <c r="U31" s="98">
        <v>4089.6000000000004</v>
      </c>
      <c r="V31" s="98">
        <v>15</v>
      </c>
      <c r="W31" s="98">
        <v>5112</v>
      </c>
      <c r="X31" s="98">
        <v>12</v>
      </c>
      <c r="Y31" s="98">
        <v>4089.6000000000004</v>
      </c>
      <c r="Z31" s="98">
        <v>12.278782589002107</v>
      </c>
      <c r="AA31" s="98">
        <v>4184.6091063319182</v>
      </c>
      <c r="AB31" s="98">
        <v>1.7156358453913587</v>
      </c>
      <c r="AC31" s="98">
        <v>584.68869610937509</v>
      </c>
      <c r="AD31" s="98">
        <v>2.16071210683435</v>
      </c>
      <c r="AE31" s="98">
        <v>736.37068600914654</v>
      </c>
      <c r="AF31" s="98">
        <v>1.8637278340857295</v>
      </c>
      <c r="AG31" s="98">
        <v>635.15844585641662</v>
      </c>
      <c r="AH31" s="98">
        <v>2.0939264598958336</v>
      </c>
      <c r="AI31" s="98">
        <v>713.61013753250006</v>
      </c>
      <c r="AJ31" s="98">
        <v>2.1921635203253884</v>
      </c>
      <c r="AK31" s="98">
        <v>747.08932772689241</v>
      </c>
      <c r="AL31" s="98">
        <v>2.1508757846484579</v>
      </c>
      <c r="AM31" s="98">
        <v>733.01846740819451</v>
      </c>
      <c r="AN31" s="98">
        <v>1.7526639571623952</v>
      </c>
      <c r="AO31" s="98">
        <v>597.30787660094427</v>
      </c>
      <c r="AP31" s="98">
        <v>2.0232442892706639</v>
      </c>
      <c r="AQ31" s="98">
        <v>689.52165378344228</v>
      </c>
      <c r="AR31" s="98">
        <v>1.4814246886322466</v>
      </c>
      <c r="AS31" s="98">
        <v>504.86953388586966</v>
      </c>
      <c r="AT31" s="98">
        <v>2.32721181384085</v>
      </c>
      <c r="AU31" s="98">
        <v>793.11378615696174</v>
      </c>
      <c r="AV31" s="98">
        <v>1.9010557163134838</v>
      </c>
      <c r="AW31" s="98">
        <v>647.87978811963535</v>
      </c>
      <c r="AX31" s="98">
        <v>2.0533919690776772</v>
      </c>
      <c r="AY31" s="98">
        <v>699.79598306167236</v>
      </c>
      <c r="AZ31" s="98">
        <v>1.9558653746279766</v>
      </c>
      <c r="BA31" s="98">
        <v>666.5589196732144</v>
      </c>
      <c r="BB31" s="98">
        <v>1.6629371334168805</v>
      </c>
      <c r="BC31" s="98">
        <v>566.72897506847289</v>
      </c>
      <c r="BD31" s="98">
        <v>1.8561545908234129</v>
      </c>
      <c r="BE31" s="98">
        <v>632.57748455261913</v>
      </c>
      <c r="BF31" s="98">
        <v>2.5827754046707971</v>
      </c>
      <c r="BG31" s="98">
        <v>880.20985791180772</v>
      </c>
      <c r="BH31" s="98">
        <v>2.4506001764926237</v>
      </c>
      <c r="BI31" s="98">
        <v>835.16454014868623</v>
      </c>
      <c r="BJ31" s="98">
        <v>2.3907129457927292</v>
      </c>
      <c r="BK31" s="98">
        <v>814.75497192616217</v>
      </c>
      <c r="BL31" s="98">
        <v>1.938820796199846</v>
      </c>
      <c r="BM31" s="98">
        <v>660.75012734490758</v>
      </c>
      <c r="BN31" s="98">
        <v>2.1420531076388896</v>
      </c>
      <c r="BO31" s="98">
        <v>730.01169908333361</v>
      </c>
      <c r="BP31" s="98">
        <v>1.7036383919270837</v>
      </c>
      <c r="BQ31" s="98">
        <v>580.5999639687501</v>
      </c>
      <c r="BR31" s="98">
        <v>2.6683492885604925</v>
      </c>
      <c r="BS31" s="98">
        <v>909.37343754141591</v>
      </c>
      <c r="BT31" s="98">
        <v>2.4253526386512374</v>
      </c>
      <c r="BU31" s="98">
        <v>826.56017925234175</v>
      </c>
      <c r="BV31" s="98">
        <v>1.7455999286740562</v>
      </c>
      <c r="BW31" s="98">
        <v>594.90045569211838</v>
      </c>
      <c r="BX31" s="98">
        <v>1.7542415124793733</v>
      </c>
      <c r="BY31" s="98">
        <v>597.84550745297042</v>
      </c>
      <c r="BZ31" s="98">
        <v>2.3010180877976194</v>
      </c>
      <c r="CA31" s="98">
        <v>784.18696432142872</v>
      </c>
      <c r="CB31" s="98">
        <v>2.0492162863749259</v>
      </c>
      <c r="CC31" s="98">
        <v>698.37291039657475</v>
      </c>
      <c r="CD31" s="98">
        <v>2.5678027936292276</v>
      </c>
      <c r="CE31" s="98">
        <v>875.10719206884085</v>
      </c>
      <c r="CF31" s="98">
        <v>1.6874132643849211</v>
      </c>
      <c r="CG31" s="98">
        <v>575.07044050238119</v>
      </c>
      <c r="CH31" s="98">
        <v>2.2020259138483911</v>
      </c>
      <c r="CI31" s="98">
        <v>750.45043143953171</v>
      </c>
      <c r="CJ31" s="98">
        <v>2.2684565110835022</v>
      </c>
      <c r="CK31" s="98">
        <v>773.0899789772576</v>
      </c>
      <c r="CL31" s="98">
        <v>2.4358823896149908</v>
      </c>
      <c r="CM31" s="98">
        <v>830.14871838078886</v>
      </c>
      <c r="CN31" s="98">
        <v>2.7913677134725683</v>
      </c>
      <c r="CO31" s="98">
        <v>951.29811675145129</v>
      </c>
      <c r="CP31" s="98">
        <v>1.8107854606017428</v>
      </c>
      <c r="CQ31" s="98">
        <v>617.11568497307394</v>
      </c>
      <c r="CR31" s="98">
        <v>2.6372967799250118</v>
      </c>
      <c r="CS31" s="98">
        <v>898.79074259844401</v>
      </c>
      <c r="CT31" s="98">
        <v>2.2107820843545758</v>
      </c>
      <c r="CU31" s="98">
        <v>753.43453434803951</v>
      </c>
    </row>
    <row r="32" spans="2:99">
      <c r="C32" s="97" t="s">
        <v>199</v>
      </c>
      <c r="D32" s="98">
        <v>10</v>
      </c>
      <c r="E32" s="98">
        <v>8400</v>
      </c>
      <c r="F32" s="98">
        <v>18</v>
      </c>
      <c r="G32" s="98">
        <v>15120</v>
      </c>
      <c r="H32" s="98">
        <v>16</v>
      </c>
      <c r="I32" s="98">
        <v>13440</v>
      </c>
      <c r="J32" s="98">
        <v>10</v>
      </c>
      <c r="K32" s="98">
        <v>8400</v>
      </c>
      <c r="L32" s="98">
        <v>12</v>
      </c>
      <c r="M32" s="98">
        <v>10080</v>
      </c>
      <c r="N32" s="98">
        <v>16</v>
      </c>
      <c r="O32" s="98">
        <v>13440</v>
      </c>
      <c r="P32" s="98">
        <v>14</v>
      </c>
      <c r="Q32" s="98">
        <v>11760</v>
      </c>
      <c r="R32" s="98">
        <v>11</v>
      </c>
      <c r="S32" s="98">
        <v>9240</v>
      </c>
      <c r="T32" s="98">
        <v>11</v>
      </c>
      <c r="U32" s="98">
        <v>9240</v>
      </c>
      <c r="V32" s="98">
        <v>14</v>
      </c>
      <c r="W32" s="98">
        <v>11760</v>
      </c>
      <c r="X32" s="98">
        <v>10</v>
      </c>
      <c r="Y32" s="98">
        <v>8400</v>
      </c>
      <c r="Z32" s="98">
        <v>12.960937177280002</v>
      </c>
      <c r="AA32" s="98">
        <v>10887.187228915202</v>
      </c>
      <c r="AB32" s="98">
        <v>1.8716027404269369</v>
      </c>
      <c r="AC32" s="98">
        <v>1572.146301958627</v>
      </c>
      <c r="AD32" s="98">
        <v>2.3047595806233065</v>
      </c>
      <c r="AE32" s="98">
        <v>1935.9980477235774</v>
      </c>
      <c r="AF32" s="98">
        <v>1.6152307895409657</v>
      </c>
      <c r="AG32" s="98">
        <v>1356.7938632144112</v>
      </c>
      <c r="AH32" s="98">
        <v>1.9328551937500005</v>
      </c>
      <c r="AI32" s="98">
        <v>1623.5983627500004</v>
      </c>
      <c r="AJ32" s="98">
        <v>2.0632127250121304</v>
      </c>
      <c r="AK32" s="98">
        <v>1733.0986890101894</v>
      </c>
      <c r="AL32" s="98">
        <v>1.8820163115674005</v>
      </c>
      <c r="AM32" s="98">
        <v>1580.8937017166163</v>
      </c>
      <c r="AN32" s="98">
        <v>1.7526639571623952</v>
      </c>
      <c r="AO32" s="98">
        <v>1472.2377240164119</v>
      </c>
      <c r="AP32" s="98">
        <v>2.1677617385042827</v>
      </c>
      <c r="AQ32" s="98">
        <v>1820.9198603435975</v>
      </c>
      <c r="AR32" s="98">
        <v>1.4814246886322466</v>
      </c>
      <c r="AS32" s="98">
        <v>1244.3967384510872</v>
      </c>
      <c r="AT32" s="98">
        <v>2.6375067223529634</v>
      </c>
      <c r="AU32" s="98">
        <v>2215.5056467764894</v>
      </c>
      <c r="AV32" s="98">
        <v>2.0911612879448325</v>
      </c>
      <c r="AW32" s="98">
        <v>1756.5754818736593</v>
      </c>
      <c r="AX32" s="98">
        <v>2.0533919690776772</v>
      </c>
      <c r="AY32" s="98">
        <v>1724.8492540252489</v>
      </c>
      <c r="AZ32" s="98">
        <v>2.1859671834077385</v>
      </c>
      <c r="BA32" s="98">
        <v>1836.2124340625003</v>
      </c>
      <c r="BB32" s="98">
        <v>1.8141132364547785</v>
      </c>
      <c r="BC32" s="98">
        <v>1523.8551186220141</v>
      </c>
      <c r="BD32" s="98">
        <v>1.8561545908234129</v>
      </c>
      <c r="BE32" s="98">
        <v>1559.169856291667</v>
      </c>
      <c r="BF32" s="98">
        <v>2.4536366344372578</v>
      </c>
      <c r="BG32" s="98">
        <v>2061.0547729272967</v>
      </c>
      <c r="BH32" s="98">
        <v>2.2055401588433612</v>
      </c>
      <c r="BI32" s="98">
        <v>1852.6537334284235</v>
      </c>
      <c r="BJ32" s="98">
        <v>2.1250781740379812</v>
      </c>
      <c r="BK32" s="98">
        <v>1785.0656661919043</v>
      </c>
      <c r="BL32" s="98">
        <v>1.938820796199846</v>
      </c>
      <c r="BM32" s="98">
        <v>1628.6094688078706</v>
      </c>
      <c r="BN32" s="98">
        <v>2.1420531076388896</v>
      </c>
      <c r="BO32" s="98">
        <v>1799.3246104166672</v>
      </c>
      <c r="BP32" s="98">
        <v>1.7036383919270837</v>
      </c>
      <c r="BQ32" s="98">
        <v>1431.0562492187503</v>
      </c>
      <c r="BR32" s="98">
        <v>2.2680968952764187</v>
      </c>
      <c r="BS32" s="98">
        <v>1905.2013920321917</v>
      </c>
      <c r="BT32" s="98">
        <v>2.5530027775276181</v>
      </c>
      <c r="BU32" s="98">
        <v>2144.5223331231991</v>
      </c>
      <c r="BV32" s="98">
        <v>1.7455999286740562</v>
      </c>
      <c r="BW32" s="98">
        <v>1466.3039400862071</v>
      </c>
      <c r="BX32" s="98">
        <v>1.9004283051859876</v>
      </c>
      <c r="BY32" s="98">
        <v>1596.3597763562295</v>
      </c>
      <c r="BZ32" s="98">
        <v>2.1572044573102684</v>
      </c>
      <c r="CA32" s="98">
        <v>1812.0517441406255</v>
      </c>
      <c r="CB32" s="98">
        <v>2.2068483084037669</v>
      </c>
      <c r="CC32" s="98">
        <v>1853.7525790591642</v>
      </c>
      <c r="CD32" s="98">
        <v>2.8245830729921502</v>
      </c>
      <c r="CE32" s="98">
        <v>2372.649781313406</v>
      </c>
      <c r="CF32" s="98">
        <v>1.6874132643849211</v>
      </c>
      <c r="CG32" s="98">
        <v>1417.4271420833338</v>
      </c>
      <c r="CH32" s="98">
        <v>2.2020259138483911</v>
      </c>
      <c r="CI32" s="98">
        <v>1849.7017676326484</v>
      </c>
      <c r="CJ32" s="98">
        <v>2.3878489590352654</v>
      </c>
      <c r="CK32" s="98">
        <v>2005.7931255896228</v>
      </c>
      <c r="CL32" s="98">
        <v>2.4358823896149908</v>
      </c>
      <c r="CM32" s="98">
        <v>2046.1412072765922</v>
      </c>
      <c r="CN32" s="98">
        <v>2.4975395331070347</v>
      </c>
      <c r="CO32" s="98">
        <v>2097.9332078099092</v>
      </c>
      <c r="CP32" s="98">
        <v>1.9500766498788</v>
      </c>
      <c r="CQ32" s="98">
        <v>1638.0643858981921</v>
      </c>
      <c r="CR32" s="98">
        <v>2.3975425272045561</v>
      </c>
      <c r="CS32" s="98">
        <v>2013.935722851827</v>
      </c>
      <c r="CT32" s="98">
        <v>2.0528690783292487</v>
      </c>
      <c r="CU32" s="98">
        <v>1724.410025796569</v>
      </c>
    </row>
    <row r="33" spans="2:99">
      <c r="C33" s="97" t="s">
        <v>200</v>
      </c>
      <c r="D33" s="98">
        <v>9</v>
      </c>
      <c r="E33" s="98">
        <v>4266</v>
      </c>
      <c r="F33" s="98">
        <v>19</v>
      </c>
      <c r="G33" s="98">
        <v>9006</v>
      </c>
      <c r="H33" s="98">
        <v>16</v>
      </c>
      <c r="I33" s="98">
        <v>7584</v>
      </c>
      <c r="J33" s="98">
        <v>11</v>
      </c>
      <c r="K33" s="98">
        <v>5214</v>
      </c>
      <c r="L33" s="98">
        <v>10</v>
      </c>
      <c r="M33" s="98">
        <v>4740</v>
      </c>
      <c r="N33" s="98">
        <v>15</v>
      </c>
      <c r="O33" s="98">
        <v>7110</v>
      </c>
      <c r="P33" s="98">
        <v>14</v>
      </c>
      <c r="Q33" s="98">
        <v>6636</v>
      </c>
      <c r="R33" s="98">
        <v>11</v>
      </c>
      <c r="S33" s="98">
        <v>5214</v>
      </c>
      <c r="T33" s="98">
        <v>13</v>
      </c>
      <c r="U33" s="98">
        <v>6162</v>
      </c>
      <c r="V33" s="98">
        <v>14</v>
      </c>
      <c r="W33" s="98">
        <v>6636</v>
      </c>
      <c r="X33" s="98">
        <v>10</v>
      </c>
      <c r="Y33" s="98">
        <v>4740</v>
      </c>
      <c r="Z33" s="98">
        <v>12.960937177280002</v>
      </c>
      <c r="AA33" s="98">
        <v>6143.484222030721</v>
      </c>
      <c r="AB33" s="98">
        <v>1.8716027404269369</v>
      </c>
      <c r="AC33" s="98">
        <v>887.13969896236813</v>
      </c>
      <c r="AD33" s="98">
        <v>2.3047595806233065</v>
      </c>
      <c r="AE33" s="98">
        <v>1092.4560412154474</v>
      </c>
      <c r="AF33" s="98">
        <v>1.9879763563581117</v>
      </c>
      <c r="AG33" s="98">
        <v>942.30079291374489</v>
      </c>
      <c r="AH33" s="98">
        <v>2.0939264598958336</v>
      </c>
      <c r="AI33" s="98">
        <v>992.5211419906251</v>
      </c>
      <c r="AJ33" s="98">
        <v>2.1921635203253884</v>
      </c>
      <c r="AK33" s="98">
        <v>1039.0855086342342</v>
      </c>
      <c r="AL33" s="98">
        <v>1.8820163115674005</v>
      </c>
      <c r="AM33" s="98">
        <v>892.07573168294778</v>
      </c>
      <c r="AN33" s="98">
        <v>1.5933308701476321</v>
      </c>
      <c r="AO33" s="98">
        <v>755.23883244997762</v>
      </c>
      <c r="AP33" s="98">
        <v>1.8787268400370452</v>
      </c>
      <c r="AQ33" s="98">
        <v>890.51652217755941</v>
      </c>
      <c r="AR33" s="98">
        <v>1.3332822197690219</v>
      </c>
      <c r="AS33" s="98">
        <v>631.97577217051639</v>
      </c>
      <c r="AT33" s="98">
        <v>2.6375067223529634</v>
      </c>
      <c r="AU33" s="98">
        <v>1250.1781863953047</v>
      </c>
      <c r="AV33" s="98">
        <v>2.0911612879448325</v>
      </c>
      <c r="AW33" s="98">
        <v>991.21045048585063</v>
      </c>
      <c r="AX33" s="98">
        <v>2.2000628240117965</v>
      </c>
      <c r="AY33" s="98">
        <v>1042.8297785815917</v>
      </c>
      <c r="AZ33" s="98">
        <v>2.1859671834077385</v>
      </c>
      <c r="BA33" s="98">
        <v>1036.1484449352681</v>
      </c>
      <c r="BB33" s="98">
        <v>1.8141132364547785</v>
      </c>
      <c r="BC33" s="98">
        <v>859.889674079565</v>
      </c>
      <c r="BD33" s="98">
        <v>2.024895917261905</v>
      </c>
      <c r="BE33" s="98">
        <v>959.80066478214292</v>
      </c>
      <c r="BF33" s="98">
        <v>2.3244978642037175</v>
      </c>
      <c r="BG33" s="98">
        <v>1101.811987632562</v>
      </c>
      <c r="BH33" s="98">
        <v>2.3280701676679927</v>
      </c>
      <c r="BI33" s="98">
        <v>1103.5052594746285</v>
      </c>
      <c r="BJ33" s="98">
        <v>2.3907129457927292</v>
      </c>
      <c r="BK33" s="98">
        <v>1133.1979363057537</v>
      </c>
      <c r="BL33" s="98">
        <v>2.0879608574459882</v>
      </c>
      <c r="BM33" s="98">
        <v>989.69344642939848</v>
      </c>
      <c r="BN33" s="98">
        <v>2.1420531076388896</v>
      </c>
      <c r="BO33" s="98">
        <v>1015.3331730208337</v>
      </c>
      <c r="BP33" s="98">
        <v>1.5487621744791671</v>
      </c>
      <c r="BQ33" s="98">
        <v>734.11327070312518</v>
      </c>
      <c r="BR33" s="98">
        <v>2.6683492885604925</v>
      </c>
      <c r="BS33" s="98">
        <v>1264.7975627776734</v>
      </c>
      <c r="BT33" s="98">
        <v>2.2977024997748563</v>
      </c>
      <c r="BU33" s="98">
        <v>1089.110984893282</v>
      </c>
      <c r="BV33" s="98">
        <v>2.036533250119732</v>
      </c>
      <c r="BW33" s="98">
        <v>965.31676055675291</v>
      </c>
      <c r="BX33" s="98">
        <v>1.7542415124793733</v>
      </c>
      <c r="BY33" s="98">
        <v>831.51047691522297</v>
      </c>
      <c r="BZ33" s="98">
        <v>2.3010180877976194</v>
      </c>
      <c r="CA33" s="98">
        <v>1090.6825736160715</v>
      </c>
      <c r="CB33" s="98">
        <v>2.3644803304326074</v>
      </c>
      <c r="CC33" s="98">
        <v>1120.763676625056</v>
      </c>
      <c r="CD33" s="98">
        <v>2.6961929333106891</v>
      </c>
      <c r="CE33" s="98">
        <v>1277.9954503892666</v>
      </c>
      <c r="CF33" s="98">
        <v>1.5467954923528442</v>
      </c>
      <c r="CG33" s="98">
        <v>733.18106337524819</v>
      </c>
      <c r="CH33" s="98">
        <v>2.0326393050908225</v>
      </c>
      <c r="CI33" s="98">
        <v>963.47103061304983</v>
      </c>
      <c r="CJ33" s="98">
        <v>2.2684565110835022</v>
      </c>
      <c r="CK33" s="98">
        <v>1075.2483862535801</v>
      </c>
      <c r="CL33" s="98">
        <v>2.307678053319465</v>
      </c>
      <c r="CM33" s="98">
        <v>1093.8393972734264</v>
      </c>
      <c r="CN33" s="98">
        <v>2.4975395331070347</v>
      </c>
      <c r="CO33" s="98">
        <v>1183.8337386927344</v>
      </c>
      <c r="CP33" s="98">
        <v>1.8107854606017428</v>
      </c>
      <c r="CQ33" s="98">
        <v>858.31230832522613</v>
      </c>
      <c r="CR33" s="98">
        <v>2.5174196535647839</v>
      </c>
      <c r="CS33" s="98">
        <v>1193.2569157897076</v>
      </c>
      <c r="CT33" s="98">
        <v>2.0528690783292487</v>
      </c>
      <c r="CU33" s="98">
        <v>973.05994312806388</v>
      </c>
    </row>
    <row r="34" spans="2:99">
      <c r="C34" s="97" t="s">
        <v>201</v>
      </c>
      <c r="D34" s="98">
        <v>9</v>
      </c>
      <c r="E34" s="98">
        <v>4935.5999999999995</v>
      </c>
      <c r="F34" s="98">
        <v>16</v>
      </c>
      <c r="G34" s="98">
        <v>8774.4</v>
      </c>
      <c r="H34" s="98">
        <v>14</v>
      </c>
      <c r="I34" s="98">
        <v>7677.5999999999995</v>
      </c>
      <c r="J34" s="98">
        <v>11</v>
      </c>
      <c r="K34" s="98">
        <v>6032.4</v>
      </c>
      <c r="L34" s="98">
        <v>11</v>
      </c>
      <c r="M34" s="98">
        <v>6032.4</v>
      </c>
      <c r="N34" s="98">
        <v>17</v>
      </c>
      <c r="O34" s="98">
        <v>9322.7999999999993</v>
      </c>
      <c r="P34" s="98">
        <v>13</v>
      </c>
      <c r="Q34" s="98">
        <v>7129.2</v>
      </c>
      <c r="R34" s="98">
        <v>11</v>
      </c>
      <c r="S34" s="98">
        <v>6032.4</v>
      </c>
      <c r="T34" s="98">
        <v>11</v>
      </c>
      <c r="U34" s="98">
        <v>6032.4</v>
      </c>
      <c r="V34" s="98">
        <v>16</v>
      </c>
      <c r="W34" s="98">
        <v>8774.4</v>
      </c>
      <c r="X34" s="98">
        <v>10</v>
      </c>
      <c r="Y34" s="98">
        <v>5484</v>
      </c>
      <c r="Z34" s="98">
        <v>14.325246353835791</v>
      </c>
      <c r="AA34" s="98">
        <v>7855.9651004435473</v>
      </c>
      <c r="AB34" s="98">
        <v>1.8716027404269369</v>
      </c>
      <c r="AC34" s="98">
        <v>1026.3869428501321</v>
      </c>
      <c r="AD34" s="98">
        <v>2.16071210683435</v>
      </c>
      <c r="AE34" s="98">
        <v>1184.9345193879574</v>
      </c>
      <c r="AF34" s="98">
        <v>1.9879763563581117</v>
      </c>
      <c r="AG34" s="98">
        <v>1090.2062338267883</v>
      </c>
      <c r="AH34" s="98">
        <v>1.7717839276041669</v>
      </c>
      <c r="AI34" s="98">
        <v>971.64630589812509</v>
      </c>
      <c r="AJ34" s="98">
        <v>2.0632127250121304</v>
      </c>
      <c r="AK34" s="98">
        <v>1131.4658583966523</v>
      </c>
      <c r="AL34" s="98">
        <v>1.8820163115674005</v>
      </c>
      <c r="AM34" s="98">
        <v>1032.0977452635623</v>
      </c>
      <c r="AN34" s="98">
        <v>1.5933308701476321</v>
      </c>
      <c r="AO34" s="98">
        <v>873.78264918896139</v>
      </c>
      <c r="AP34" s="98">
        <v>2.1677617385042827</v>
      </c>
      <c r="AQ34" s="98">
        <v>1188.8005373957485</v>
      </c>
      <c r="AR34" s="98">
        <v>1.4814246886322466</v>
      </c>
      <c r="AS34" s="98">
        <v>812.41329924592401</v>
      </c>
      <c r="AT34" s="98">
        <v>2.6375067223529634</v>
      </c>
      <c r="AU34" s="98">
        <v>1446.4086865383651</v>
      </c>
      <c r="AV34" s="98">
        <v>1.9010557163134838</v>
      </c>
      <c r="AW34" s="98">
        <v>1042.5389548263145</v>
      </c>
      <c r="AX34" s="98">
        <v>2.0533919690776772</v>
      </c>
      <c r="AY34" s="98">
        <v>1126.0801558421981</v>
      </c>
      <c r="AZ34" s="98">
        <v>2.1859671834077385</v>
      </c>
      <c r="BA34" s="98">
        <v>1198.7844033808037</v>
      </c>
      <c r="BB34" s="98">
        <v>1.6629371334168805</v>
      </c>
      <c r="BC34" s="98">
        <v>911.95472396581727</v>
      </c>
      <c r="BD34" s="98">
        <v>2.024895917261905</v>
      </c>
      <c r="BE34" s="98">
        <v>1110.4529210264286</v>
      </c>
      <c r="BF34" s="98">
        <v>2.4536366344372578</v>
      </c>
      <c r="BG34" s="98">
        <v>1345.5743303253921</v>
      </c>
      <c r="BH34" s="98">
        <v>2.3280701676679927</v>
      </c>
      <c r="BI34" s="98">
        <v>1276.713679949127</v>
      </c>
      <c r="BJ34" s="98">
        <v>2.2578955599153554</v>
      </c>
      <c r="BK34" s="98">
        <v>1238.2299250575809</v>
      </c>
      <c r="BL34" s="98">
        <v>2.2371009186921298</v>
      </c>
      <c r="BM34" s="98">
        <v>1226.8261438107638</v>
      </c>
      <c r="BN34" s="98">
        <v>2.1420531076388896</v>
      </c>
      <c r="BO34" s="98">
        <v>1174.7019242291669</v>
      </c>
      <c r="BP34" s="98">
        <v>1.5487621744791671</v>
      </c>
      <c r="BQ34" s="98">
        <v>849.34117648437518</v>
      </c>
      <c r="BR34" s="98">
        <v>2.5349318241324679</v>
      </c>
      <c r="BS34" s="98">
        <v>1390.1566123542452</v>
      </c>
      <c r="BT34" s="98">
        <v>2.4253526386512374</v>
      </c>
      <c r="BU34" s="98">
        <v>1330.0633870363386</v>
      </c>
      <c r="BV34" s="98">
        <v>1.7455999286740562</v>
      </c>
      <c r="BW34" s="98">
        <v>957.28700088485243</v>
      </c>
      <c r="BX34" s="98">
        <v>2.0466150978926021</v>
      </c>
      <c r="BY34" s="98">
        <v>1122.3637196843029</v>
      </c>
      <c r="BZ34" s="98">
        <v>2.1572044573102684</v>
      </c>
      <c r="CA34" s="98">
        <v>1183.0109243889513</v>
      </c>
      <c r="CB34" s="98">
        <v>2.3644803304326074</v>
      </c>
      <c r="CC34" s="98">
        <v>1296.6810132092419</v>
      </c>
      <c r="CD34" s="98">
        <v>2.6961929333106891</v>
      </c>
      <c r="CE34" s="98">
        <v>1478.5922046275819</v>
      </c>
      <c r="CF34" s="98">
        <v>1.5467954923528442</v>
      </c>
      <c r="CG34" s="98">
        <v>848.26264800629974</v>
      </c>
      <c r="CH34" s="98">
        <v>2.0326393050908225</v>
      </c>
      <c r="CI34" s="98">
        <v>1114.6993949118071</v>
      </c>
      <c r="CJ34" s="98">
        <v>2.507241406987029</v>
      </c>
      <c r="CK34" s="98">
        <v>1374.9711875916867</v>
      </c>
      <c r="CL34" s="98">
        <v>2.5640867259105167</v>
      </c>
      <c r="CM34" s="98">
        <v>1406.1451604893273</v>
      </c>
      <c r="CN34" s="98">
        <v>2.6444536232898015</v>
      </c>
      <c r="CO34" s="98">
        <v>1450.2183670121271</v>
      </c>
      <c r="CP34" s="98">
        <v>1.8107854606017428</v>
      </c>
      <c r="CQ34" s="98">
        <v>993.03474659399569</v>
      </c>
      <c r="CR34" s="98">
        <v>2.5174196535647839</v>
      </c>
      <c r="CS34" s="98">
        <v>1380.5529380149273</v>
      </c>
      <c r="CT34" s="98">
        <v>2.0528690783292487</v>
      </c>
      <c r="CU34" s="98">
        <v>1125.7934025557599</v>
      </c>
    </row>
    <row r="35" spans="2:99">
      <c r="C35" s="97" t="s">
        <v>202</v>
      </c>
      <c r="D35" s="98">
        <v>10</v>
      </c>
      <c r="E35" s="98">
        <v>5027.9999999999991</v>
      </c>
      <c r="F35" s="98">
        <v>18</v>
      </c>
      <c r="G35" s="98">
        <v>9050.3999999999978</v>
      </c>
      <c r="H35" s="98">
        <v>16</v>
      </c>
      <c r="I35" s="98">
        <v>8044.7999999999984</v>
      </c>
      <c r="J35" s="98">
        <v>11</v>
      </c>
      <c r="K35" s="98">
        <v>5530.7999999999993</v>
      </c>
      <c r="L35" s="98">
        <v>11</v>
      </c>
      <c r="M35" s="98">
        <v>5530.7999999999993</v>
      </c>
      <c r="N35" s="98">
        <v>16</v>
      </c>
      <c r="O35" s="98">
        <v>8044.7999999999984</v>
      </c>
      <c r="P35" s="98">
        <v>12</v>
      </c>
      <c r="Q35" s="98">
        <v>6033.5999999999985</v>
      </c>
      <c r="R35" s="98">
        <v>11</v>
      </c>
      <c r="S35" s="98">
        <v>5530.7999999999993</v>
      </c>
      <c r="T35" s="98">
        <v>12</v>
      </c>
      <c r="U35" s="98">
        <v>6033.5999999999985</v>
      </c>
      <c r="V35" s="98">
        <v>14</v>
      </c>
      <c r="W35" s="98">
        <v>7039.1999999999989</v>
      </c>
      <c r="X35" s="98">
        <v>10</v>
      </c>
      <c r="Y35" s="98">
        <v>5027.9999999999991</v>
      </c>
      <c r="Z35" s="98">
        <v>12.960937177280002</v>
      </c>
      <c r="AA35" s="98">
        <v>6516.7592127363832</v>
      </c>
      <c r="AB35" s="98">
        <v>1.7156358453913587</v>
      </c>
      <c r="AC35" s="98">
        <v>862.62170306277494</v>
      </c>
      <c r="AD35" s="98">
        <v>2.3047595806233065</v>
      </c>
      <c r="AE35" s="98">
        <v>1158.8331171373984</v>
      </c>
      <c r="AF35" s="98">
        <v>1.9879763563581117</v>
      </c>
      <c r="AG35" s="98">
        <v>999.55451197685829</v>
      </c>
      <c r="AH35" s="98">
        <v>1.9328551937500005</v>
      </c>
      <c r="AI35" s="98">
        <v>971.83959141750006</v>
      </c>
      <c r="AJ35" s="98">
        <v>2.1921635203253884</v>
      </c>
      <c r="AK35" s="98">
        <v>1102.2198180196051</v>
      </c>
      <c r="AL35" s="98">
        <v>2.0164460481079289</v>
      </c>
      <c r="AM35" s="98">
        <v>1013.8690729886665</v>
      </c>
      <c r="AN35" s="98">
        <v>1.7526639571623952</v>
      </c>
      <c r="AO35" s="98">
        <v>881.23943766125217</v>
      </c>
      <c r="AP35" s="98">
        <v>1.8787268400370452</v>
      </c>
      <c r="AQ35" s="98">
        <v>944.62385517062614</v>
      </c>
      <c r="AR35" s="98">
        <v>1.6295671574954715</v>
      </c>
      <c r="AS35" s="98">
        <v>819.34636678872289</v>
      </c>
      <c r="AT35" s="98">
        <v>2.4823592680969067</v>
      </c>
      <c r="AU35" s="98">
        <v>1248.1302399991243</v>
      </c>
      <c r="AV35" s="98">
        <v>2.0911612879448325</v>
      </c>
      <c r="AW35" s="98">
        <v>1051.4358955786615</v>
      </c>
      <c r="AX35" s="98">
        <v>2.0533919690776772</v>
      </c>
      <c r="AY35" s="98">
        <v>1032.4454820522558</v>
      </c>
      <c r="AZ35" s="98">
        <v>2.3010180877976194</v>
      </c>
      <c r="BA35" s="98">
        <v>1156.9518945446428</v>
      </c>
      <c r="BB35" s="98">
        <v>1.8141132364547785</v>
      </c>
      <c r="BC35" s="98">
        <v>912.13613528946246</v>
      </c>
      <c r="BD35" s="98">
        <v>2.024895917261905</v>
      </c>
      <c r="BE35" s="98">
        <v>1018.1176671992856</v>
      </c>
      <c r="BF35" s="98">
        <v>2.3244978642037175</v>
      </c>
      <c r="BG35" s="98">
        <v>1168.7575261216289</v>
      </c>
      <c r="BH35" s="98">
        <v>2.2055401588433612</v>
      </c>
      <c r="BI35" s="98">
        <v>1108.9455918664419</v>
      </c>
      <c r="BJ35" s="98">
        <v>2.3907129457927292</v>
      </c>
      <c r="BK35" s="98">
        <v>1202.050469144584</v>
      </c>
      <c r="BL35" s="98">
        <v>2.0879608574459882</v>
      </c>
      <c r="BM35" s="98">
        <v>1049.8267191238426</v>
      </c>
      <c r="BN35" s="98">
        <v>2.1420531076388896</v>
      </c>
      <c r="BO35" s="98">
        <v>1077.0243025208335</v>
      </c>
      <c r="BP35" s="98">
        <v>1.5487621744791671</v>
      </c>
      <c r="BQ35" s="98">
        <v>778.71762132812501</v>
      </c>
      <c r="BR35" s="98">
        <v>2.6683492885604925</v>
      </c>
      <c r="BS35" s="98">
        <v>1341.6460222882154</v>
      </c>
      <c r="BT35" s="98">
        <v>2.5530027775276181</v>
      </c>
      <c r="BU35" s="98">
        <v>1283.6497965408862</v>
      </c>
      <c r="BV35" s="98">
        <v>1.8910665893968943</v>
      </c>
      <c r="BW35" s="98">
        <v>950.82828114875826</v>
      </c>
      <c r="BX35" s="98">
        <v>1.9004283051859876</v>
      </c>
      <c r="BY35" s="98">
        <v>955.53535184751433</v>
      </c>
      <c r="BZ35" s="98">
        <v>2.1572044573102684</v>
      </c>
      <c r="CA35" s="98">
        <v>1084.6424011356028</v>
      </c>
      <c r="CB35" s="98">
        <v>2.2068483084037669</v>
      </c>
      <c r="CC35" s="98">
        <v>1109.6033294654137</v>
      </c>
      <c r="CD35" s="98">
        <v>2.4394126539477661</v>
      </c>
      <c r="CE35" s="98">
        <v>1226.5366824049365</v>
      </c>
      <c r="CF35" s="98">
        <v>1.5467954923528442</v>
      </c>
      <c r="CG35" s="98">
        <v>777.72877355500987</v>
      </c>
      <c r="CH35" s="98">
        <v>2.2020259138483911</v>
      </c>
      <c r="CI35" s="98">
        <v>1107.1786294829708</v>
      </c>
      <c r="CJ35" s="98">
        <v>2.3878489590352654</v>
      </c>
      <c r="CK35" s="98">
        <v>1200.6104566029312</v>
      </c>
      <c r="CL35" s="98">
        <v>2.307678053319465</v>
      </c>
      <c r="CM35" s="98">
        <v>1160.3005252090268</v>
      </c>
      <c r="CN35" s="98">
        <v>2.4975395331070347</v>
      </c>
      <c r="CO35" s="98">
        <v>1255.7628772462167</v>
      </c>
      <c r="CP35" s="98">
        <v>1.6714942713246859</v>
      </c>
      <c r="CQ35" s="98">
        <v>840.42731962205187</v>
      </c>
      <c r="CR35" s="98">
        <v>2.6372967799250118</v>
      </c>
      <c r="CS35" s="98">
        <v>1326.0328209462957</v>
      </c>
      <c r="CT35" s="98">
        <v>2.0528690783292487</v>
      </c>
      <c r="CU35" s="98">
        <v>1032.182572583946</v>
      </c>
    </row>
    <row r="36" spans="2:99">
      <c r="C36" s="97" t="s">
        <v>203</v>
      </c>
      <c r="D36" s="98">
        <v>9</v>
      </c>
      <c r="E36" s="98">
        <v>6847.2</v>
      </c>
      <c r="F36" s="98">
        <v>17</v>
      </c>
      <c r="G36" s="98">
        <v>12933.599999999999</v>
      </c>
      <c r="H36" s="98">
        <v>14</v>
      </c>
      <c r="I36" s="98">
        <v>10651.199999999999</v>
      </c>
      <c r="J36" s="98">
        <v>10</v>
      </c>
      <c r="K36" s="98">
        <v>7608</v>
      </c>
      <c r="L36" s="98">
        <v>11</v>
      </c>
      <c r="M36" s="98">
        <v>8368.7999999999993</v>
      </c>
      <c r="N36" s="98">
        <v>16</v>
      </c>
      <c r="O36" s="98">
        <v>12172.8</v>
      </c>
      <c r="P36" s="98">
        <v>12</v>
      </c>
      <c r="Q36" s="98">
        <v>9129.5999999999985</v>
      </c>
      <c r="R36" s="98">
        <v>10</v>
      </c>
      <c r="S36" s="98">
        <v>7608</v>
      </c>
      <c r="T36" s="98">
        <v>10</v>
      </c>
      <c r="U36" s="98">
        <v>7608</v>
      </c>
      <c r="V36" s="98">
        <v>15</v>
      </c>
      <c r="W36" s="98">
        <v>11412</v>
      </c>
      <c r="X36" s="98">
        <v>11</v>
      </c>
      <c r="Y36" s="98">
        <v>8368.7999999999993</v>
      </c>
      <c r="Z36" s="98">
        <v>13.643091765557896</v>
      </c>
      <c r="AA36" s="98">
        <v>10379.664215236447</v>
      </c>
      <c r="AB36" s="98">
        <v>2.0275696354625152</v>
      </c>
      <c r="AC36" s="98">
        <v>1542.5749786598815</v>
      </c>
      <c r="AD36" s="98">
        <v>2.3047595806233065</v>
      </c>
      <c r="AE36" s="98">
        <v>1753.4610889382116</v>
      </c>
      <c r="AF36" s="98">
        <v>1.7394793118133476</v>
      </c>
      <c r="AG36" s="98">
        <v>1323.3958604275947</v>
      </c>
      <c r="AH36" s="98">
        <v>1.7717839276041669</v>
      </c>
      <c r="AI36" s="98">
        <v>1347.9732121212501</v>
      </c>
      <c r="AJ36" s="98">
        <v>2.1921635203253884</v>
      </c>
      <c r="AK36" s="98">
        <v>1667.7980062635554</v>
      </c>
      <c r="AL36" s="98">
        <v>2.0164460481079289</v>
      </c>
      <c r="AM36" s="98">
        <v>1534.1121534005122</v>
      </c>
      <c r="AN36" s="98">
        <v>1.5933308701476321</v>
      </c>
      <c r="AO36" s="98">
        <v>1212.2061260083185</v>
      </c>
      <c r="AP36" s="98">
        <v>2.1677617385042827</v>
      </c>
      <c r="AQ36" s="98">
        <v>1649.2331306540582</v>
      </c>
      <c r="AR36" s="98">
        <v>1.6295671574954715</v>
      </c>
      <c r="AS36" s="98">
        <v>1239.7746934225547</v>
      </c>
      <c r="AT36" s="98">
        <v>2.6375067223529634</v>
      </c>
      <c r="AU36" s="98">
        <v>2006.6151143661343</v>
      </c>
      <c r="AV36" s="98">
        <v>1.7109501446821356</v>
      </c>
      <c r="AW36" s="98">
        <v>1301.6908700741687</v>
      </c>
      <c r="AX36" s="98">
        <v>2.0533919690776772</v>
      </c>
      <c r="AY36" s="98">
        <v>1562.2206100742967</v>
      </c>
      <c r="AZ36" s="98">
        <v>1.9558653746279766</v>
      </c>
      <c r="BA36" s="98">
        <v>1488.0223770169646</v>
      </c>
      <c r="BB36" s="98">
        <v>1.6629371334168805</v>
      </c>
      <c r="BC36" s="98">
        <v>1265.1625711035626</v>
      </c>
      <c r="BD36" s="98">
        <v>1.8561545908234129</v>
      </c>
      <c r="BE36" s="98">
        <v>1412.1624126984525</v>
      </c>
      <c r="BF36" s="98">
        <v>2.1953590939701777</v>
      </c>
      <c r="BG36" s="98">
        <v>1670.2291986925111</v>
      </c>
      <c r="BH36" s="98">
        <v>2.0830101500187301</v>
      </c>
      <c r="BI36" s="98">
        <v>1584.7541221342499</v>
      </c>
      <c r="BJ36" s="98">
        <v>2.1250781740379812</v>
      </c>
      <c r="BK36" s="98">
        <v>1616.759474808096</v>
      </c>
      <c r="BL36" s="98">
        <v>1.938820796199846</v>
      </c>
      <c r="BM36" s="98">
        <v>1475.0548617488428</v>
      </c>
      <c r="BN36" s="98">
        <v>2.1420531076388896</v>
      </c>
      <c r="BO36" s="98">
        <v>1629.6740042916672</v>
      </c>
      <c r="BP36" s="98">
        <v>1.5487621744791671</v>
      </c>
      <c r="BQ36" s="98">
        <v>1178.2982623437501</v>
      </c>
      <c r="BR36" s="98">
        <v>2.4015143597044433</v>
      </c>
      <c r="BS36" s="98">
        <v>1827.0721248631403</v>
      </c>
      <c r="BT36" s="98">
        <v>2.4253526386512374</v>
      </c>
      <c r="BU36" s="98">
        <v>1845.2082874858613</v>
      </c>
      <c r="BV36" s="98">
        <v>1.8910665893968943</v>
      </c>
      <c r="BW36" s="98">
        <v>1438.7234612131572</v>
      </c>
      <c r="BX36" s="98">
        <v>2.0466150978926021</v>
      </c>
      <c r="BY36" s="98">
        <v>1557.0647664766916</v>
      </c>
      <c r="BZ36" s="98">
        <v>2.1572044573102684</v>
      </c>
      <c r="CA36" s="98">
        <v>1641.2011511216522</v>
      </c>
      <c r="CB36" s="98">
        <v>2.2068483084037669</v>
      </c>
      <c r="CC36" s="98">
        <v>1678.9701930335857</v>
      </c>
      <c r="CD36" s="98">
        <v>2.8245830729921502</v>
      </c>
      <c r="CE36" s="98">
        <v>2148.9428019324278</v>
      </c>
      <c r="CF36" s="98">
        <v>1.5467954923528442</v>
      </c>
      <c r="CG36" s="98">
        <v>1176.8020105820437</v>
      </c>
      <c r="CH36" s="98">
        <v>1.8632526963332541</v>
      </c>
      <c r="CI36" s="98">
        <v>1417.5626513703396</v>
      </c>
      <c r="CJ36" s="98">
        <v>2.2684565110835022</v>
      </c>
      <c r="CK36" s="98">
        <v>1725.8417136323285</v>
      </c>
      <c r="CL36" s="98">
        <v>2.307678053319465</v>
      </c>
      <c r="CM36" s="98">
        <v>1755.6814629654489</v>
      </c>
      <c r="CN36" s="98">
        <v>2.4975395331070347</v>
      </c>
      <c r="CO36" s="98">
        <v>1900.1280767878318</v>
      </c>
      <c r="CP36" s="98">
        <v>1.8107854606017428</v>
      </c>
      <c r="CQ36" s="98">
        <v>1377.645578425806</v>
      </c>
      <c r="CR36" s="98">
        <v>2.5174196535647839</v>
      </c>
      <c r="CS36" s="98">
        <v>1915.2528724320875</v>
      </c>
      <c r="CT36" s="98">
        <v>1.8949560723039218</v>
      </c>
      <c r="CU36" s="98">
        <v>1441.6825798088237</v>
      </c>
    </row>
    <row r="37" spans="2:99">
      <c r="B37" s="97" t="s">
        <v>128</v>
      </c>
      <c r="C37" s="97" t="s">
        <v>204</v>
      </c>
      <c r="D37" s="98">
        <v>7</v>
      </c>
      <c r="E37" s="98">
        <v>6022.8</v>
      </c>
      <c r="F37" s="98">
        <v>11</v>
      </c>
      <c r="G37" s="98">
        <v>9464.4</v>
      </c>
      <c r="H37" s="98">
        <v>9</v>
      </c>
      <c r="I37" s="98">
        <v>7743.5999999999995</v>
      </c>
      <c r="J37" s="98">
        <v>6</v>
      </c>
      <c r="K37" s="98">
        <v>5162.3999999999996</v>
      </c>
      <c r="L37" s="98">
        <v>9</v>
      </c>
      <c r="M37" s="98">
        <v>7743.5999999999995</v>
      </c>
      <c r="N37" s="98">
        <v>11</v>
      </c>
      <c r="O37" s="98">
        <v>9464.4</v>
      </c>
      <c r="P37" s="98">
        <v>7</v>
      </c>
      <c r="Q37" s="98">
        <v>6022.8</v>
      </c>
      <c r="R37" s="98">
        <v>10</v>
      </c>
      <c r="S37" s="98">
        <v>8604</v>
      </c>
      <c r="T37" s="98">
        <v>11</v>
      </c>
      <c r="U37" s="98">
        <v>9464.4</v>
      </c>
      <c r="V37" s="98">
        <v>8</v>
      </c>
      <c r="W37" s="98">
        <v>6883.2</v>
      </c>
      <c r="X37" s="98">
        <v>10</v>
      </c>
      <c r="Y37" s="98">
        <v>8604</v>
      </c>
      <c r="Z37" s="98">
        <v>7.5037004710568427</v>
      </c>
      <c r="AA37" s="98">
        <v>6456.1838852973069</v>
      </c>
      <c r="AB37" s="98">
        <v>1.7156358453913587</v>
      </c>
      <c r="AC37" s="98">
        <v>1476.133081374725</v>
      </c>
      <c r="AD37" s="98">
        <v>1.29642726410061</v>
      </c>
      <c r="AE37" s="98">
        <v>1115.4460180321648</v>
      </c>
      <c r="AF37" s="98">
        <v>1.4909822672685837</v>
      </c>
      <c r="AG37" s="98">
        <v>1282.8411427578894</v>
      </c>
      <c r="AH37" s="98">
        <v>1.6107126614583336</v>
      </c>
      <c r="AI37" s="98">
        <v>1385.8571739187503</v>
      </c>
      <c r="AJ37" s="98">
        <v>1.5474095437590978</v>
      </c>
      <c r="AK37" s="98">
        <v>1331.3911714503276</v>
      </c>
      <c r="AL37" s="98">
        <v>1.3442973654052861</v>
      </c>
      <c r="AM37" s="98">
        <v>1156.6334531947082</v>
      </c>
      <c r="AN37" s="98">
        <v>1.2746646961181058</v>
      </c>
      <c r="AO37" s="98">
        <v>1096.7215045400183</v>
      </c>
      <c r="AP37" s="98">
        <v>1.3006570431025697</v>
      </c>
      <c r="AQ37" s="98">
        <v>1119.0853198854509</v>
      </c>
      <c r="AR37" s="98">
        <v>1.6295671574954715</v>
      </c>
      <c r="AS37" s="98">
        <v>1402.0795823091037</v>
      </c>
      <c r="AT37" s="98">
        <v>1.0860321797923966</v>
      </c>
      <c r="AU37" s="98">
        <v>934.42208749337806</v>
      </c>
      <c r="AV37" s="98">
        <v>1.5208445730507871</v>
      </c>
      <c r="AW37" s="98">
        <v>1308.5346706528971</v>
      </c>
      <c r="AX37" s="98">
        <v>1.6133794042753176</v>
      </c>
      <c r="AY37" s="98">
        <v>1388.1516394384832</v>
      </c>
      <c r="AZ37" s="98">
        <v>1.4956617570684525</v>
      </c>
      <c r="BA37" s="98">
        <v>1286.8673757816964</v>
      </c>
      <c r="BB37" s="98">
        <v>1.2094088243031857</v>
      </c>
      <c r="BC37" s="98">
        <v>1040.575352430461</v>
      </c>
      <c r="BD37" s="98">
        <v>1.3499306115079368</v>
      </c>
      <c r="BE37" s="98">
        <v>1161.4802981414289</v>
      </c>
      <c r="BF37" s="98">
        <v>1.1622489321018588</v>
      </c>
      <c r="BG37" s="98">
        <v>999.99898118043927</v>
      </c>
      <c r="BH37" s="98">
        <v>1.1027700794216806</v>
      </c>
      <c r="BI37" s="98">
        <v>948.82337633441398</v>
      </c>
      <c r="BJ37" s="98">
        <v>1.3281738587737384</v>
      </c>
      <c r="BK37" s="98">
        <v>1142.7607880889245</v>
      </c>
      <c r="BL37" s="98">
        <v>1.1931204899691359</v>
      </c>
      <c r="BM37" s="98">
        <v>1026.5608695694445</v>
      </c>
      <c r="BN37" s="98">
        <v>0.91802276041666686</v>
      </c>
      <c r="BO37" s="98">
        <v>789.86678306250019</v>
      </c>
      <c r="BP37" s="98">
        <v>1.2390097395833335</v>
      </c>
      <c r="BQ37" s="98">
        <v>1066.0439799375001</v>
      </c>
      <c r="BR37" s="98">
        <v>1.2007571798522216</v>
      </c>
      <c r="BS37" s="98">
        <v>1033.1314775448516</v>
      </c>
      <c r="BT37" s="98">
        <v>1.1488512498874281</v>
      </c>
      <c r="BU37" s="98">
        <v>988.47161540314312</v>
      </c>
      <c r="BV37" s="98">
        <v>1.3091999465055419</v>
      </c>
      <c r="BW37" s="98">
        <v>1126.4356339733683</v>
      </c>
      <c r="BX37" s="98">
        <v>1.4618679270661443</v>
      </c>
      <c r="BY37" s="98">
        <v>1257.7911644477106</v>
      </c>
      <c r="BZ37" s="98">
        <v>1.0066954134114585</v>
      </c>
      <c r="CA37" s="98">
        <v>866.16073369921889</v>
      </c>
      <c r="CB37" s="98">
        <v>1.1034241542018834</v>
      </c>
      <c r="CC37" s="98">
        <v>949.38614227530047</v>
      </c>
      <c r="CD37" s="98">
        <v>1.2839013968146138</v>
      </c>
      <c r="CE37" s="98">
        <v>1104.6687618192936</v>
      </c>
      <c r="CF37" s="98">
        <v>1.5467954923528442</v>
      </c>
      <c r="CG37" s="98">
        <v>1330.8628416203871</v>
      </c>
      <c r="CH37" s="98">
        <v>1.1857062613029798</v>
      </c>
      <c r="CI37" s="98">
        <v>1020.1816672250839</v>
      </c>
      <c r="CJ37" s="98">
        <v>1.5521018233729225</v>
      </c>
      <c r="CK37" s="98">
        <v>1335.4284088300624</v>
      </c>
      <c r="CL37" s="98">
        <v>0.89743035406868077</v>
      </c>
      <c r="CM37" s="98">
        <v>772.1490766406929</v>
      </c>
      <c r="CN37" s="98">
        <v>1.3222268116449007</v>
      </c>
      <c r="CO37" s="98">
        <v>1137.6439487392727</v>
      </c>
      <c r="CP37" s="98">
        <v>1.5322030820476287</v>
      </c>
      <c r="CQ37" s="98">
        <v>1318.3075317937796</v>
      </c>
      <c r="CR37" s="98">
        <v>0.95901701088182256</v>
      </c>
      <c r="CS37" s="98">
        <v>825.13823616272009</v>
      </c>
      <c r="CT37" s="98">
        <v>1.7370430662785952</v>
      </c>
      <c r="CU37" s="98">
        <v>1494.5518542261032</v>
      </c>
    </row>
    <row r="38" spans="2:99">
      <c r="C38" s="97" t="s">
        <v>205</v>
      </c>
      <c r="D38" s="98">
        <v>7</v>
      </c>
      <c r="E38" s="98">
        <v>8694</v>
      </c>
      <c r="F38" s="98">
        <v>10</v>
      </c>
      <c r="G38" s="98">
        <v>12420</v>
      </c>
      <c r="H38" s="98">
        <v>8</v>
      </c>
      <c r="I38" s="98">
        <v>9936</v>
      </c>
      <c r="J38" s="98">
        <v>6</v>
      </c>
      <c r="K38" s="98">
        <v>7452</v>
      </c>
      <c r="L38" s="98">
        <v>8</v>
      </c>
      <c r="M38" s="98">
        <v>9936</v>
      </c>
      <c r="N38" s="98">
        <v>11</v>
      </c>
      <c r="O38" s="98">
        <v>13662</v>
      </c>
      <c r="P38" s="98">
        <v>7</v>
      </c>
      <c r="Q38" s="98">
        <v>8694</v>
      </c>
      <c r="R38" s="98">
        <v>9</v>
      </c>
      <c r="S38" s="98">
        <v>11178</v>
      </c>
      <c r="T38" s="98">
        <v>11</v>
      </c>
      <c r="U38" s="98">
        <v>13662</v>
      </c>
      <c r="V38" s="98">
        <v>8</v>
      </c>
      <c r="W38" s="98">
        <v>9936</v>
      </c>
      <c r="X38" s="98">
        <v>10</v>
      </c>
      <c r="Y38" s="98">
        <v>12420</v>
      </c>
      <c r="Z38" s="98">
        <v>7.5037004710568427</v>
      </c>
      <c r="AA38" s="98">
        <v>9319.5959850525978</v>
      </c>
      <c r="AB38" s="98">
        <v>1.7156358453913587</v>
      </c>
      <c r="AC38" s="98">
        <v>2130.8197199760675</v>
      </c>
      <c r="AD38" s="98">
        <v>1.4404747378895668</v>
      </c>
      <c r="AE38" s="98">
        <v>1789.0696244588419</v>
      </c>
      <c r="AF38" s="98">
        <v>1.3667337449962018</v>
      </c>
      <c r="AG38" s="98">
        <v>1697.4833112852828</v>
      </c>
      <c r="AH38" s="98">
        <v>1.6107126614583336</v>
      </c>
      <c r="AI38" s="98">
        <v>2000.5051255312503</v>
      </c>
      <c r="AJ38" s="98">
        <v>1.5474095437590978</v>
      </c>
      <c r="AK38" s="98">
        <v>1921.8826533487995</v>
      </c>
      <c r="AL38" s="98">
        <v>1.2098676288647574</v>
      </c>
      <c r="AM38" s="98">
        <v>1502.6555950500288</v>
      </c>
      <c r="AN38" s="98">
        <v>1.1153316091033425</v>
      </c>
      <c r="AO38" s="98">
        <v>1385.2418585063515</v>
      </c>
      <c r="AP38" s="98">
        <v>1.1561395938689507</v>
      </c>
      <c r="AQ38" s="98">
        <v>1435.9253755852367</v>
      </c>
      <c r="AR38" s="98">
        <v>1.6295671574954715</v>
      </c>
      <c r="AS38" s="98">
        <v>2023.9224096093756</v>
      </c>
      <c r="AT38" s="98">
        <v>1.2411796340484533</v>
      </c>
      <c r="AU38" s="98">
        <v>1541.5451054881789</v>
      </c>
      <c r="AV38" s="98">
        <v>1.3307390014194387</v>
      </c>
      <c r="AW38" s="98">
        <v>1652.7778397629429</v>
      </c>
      <c r="AX38" s="98">
        <v>1.6133794042753176</v>
      </c>
      <c r="AY38" s="98">
        <v>2003.8172201099444</v>
      </c>
      <c r="AZ38" s="98">
        <v>1.2655599482886906</v>
      </c>
      <c r="BA38" s="98">
        <v>1571.8254557745536</v>
      </c>
      <c r="BB38" s="98">
        <v>1.2094088243031857</v>
      </c>
      <c r="BC38" s="98">
        <v>1502.0857597845568</v>
      </c>
      <c r="BD38" s="98">
        <v>1.1811892850694448</v>
      </c>
      <c r="BE38" s="98">
        <v>1467.0370920562505</v>
      </c>
      <c r="BF38" s="98">
        <v>1.2913877023353986</v>
      </c>
      <c r="BG38" s="98">
        <v>1603.9035263005651</v>
      </c>
      <c r="BH38" s="98">
        <v>1.2253000882463119</v>
      </c>
      <c r="BI38" s="98">
        <v>1521.8227096019193</v>
      </c>
      <c r="BJ38" s="98">
        <v>1.1953564728963646</v>
      </c>
      <c r="BK38" s="98">
        <v>1484.6327393372849</v>
      </c>
      <c r="BL38" s="98">
        <v>1.0439804287229941</v>
      </c>
      <c r="BM38" s="98">
        <v>1296.6236924739587</v>
      </c>
      <c r="BN38" s="98">
        <v>0.91802276041666686</v>
      </c>
      <c r="BO38" s="98">
        <v>1140.1842684375004</v>
      </c>
      <c r="BP38" s="98">
        <v>1.0841335221354169</v>
      </c>
      <c r="BQ38" s="98">
        <v>1346.4938344921877</v>
      </c>
      <c r="BR38" s="98">
        <v>1.2007571798522216</v>
      </c>
      <c r="BS38" s="98">
        <v>1491.3404173764593</v>
      </c>
      <c r="BT38" s="98">
        <v>1.276501388763809</v>
      </c>
      <c r="BU38" s="98">
        <v>1585.4147248446509</v>
      </c>
      <c r="BV38" s="98">
        <v>1.018266625059866</v>
      </c>
      <c r="BW38" s="98">
        <v>1264.6871483243535</v>
      </c>
      <c r="BX38" s="98">
        <v>1.4618679270661443</v>
      </c>
      <c r="BY38" s="98">
        <v>1815.6399654161512</v>
      </c>
      <c r="BZ38" s="98">
        <v>1.1505090438988097</v>
      </c>
      <c r="CA38" s="98">
        <v>1428.9322325223216</v>
      </c>
      <c r="CB38" s="98">
        <v>0.94579213217304292</v>
      </c>
      <c r="CC38" s="98">
        <v>1174.6738281589194</v>
      </c>
      <c r="CD38" s="98">
        <v>1.1555112571331523</v>
      </c>
      <c r="CE38" s="98">
        <v>1435.1449813593752</v>
      </c>
      <c r="CF38" s="98">
        <v>1.5467954923528442</v>
      </c>
      <c r="CG38" s="98">
        <v>1921.1200015022325</v>
      </c>
      <c r="CH38" s="98">
        <v>1.0163196525454112</v>
      </c>
      <c r="CI38" s="98">
        <v>1262.2690084614007</v>
      </c>
      <c r="CJ38" s="98">
        <v>1.4327093754211593</v>
      </c>
      <c r="CK38" s="98">
        <v>1779.4250442730797</v>
      </c>
      <c r="CL38" s="98">
        <v>0.89743035406868077</v>
      </c>
      <c r="CM38" s="98">
        <v>1114.6084997533014</v>
      </c>
      <c r="CN38" s="98">
        <v>1.1753127214621339</v>
      </c>
      <c r="CO38" s="98">
        <v>1459.7384000559703</v>
      </c>
      <c r="CP38" s="98">
        <v>1.5322030820476287</v>
      </c>
      <c r="CQ38" s="98">
        <v>1902.9962279031547</v>
      </c>
      <c r="CR38" s="98">
        <v>0.83913988452159471</v>
      </c>
      <c r="CS38" s="98">
        <v>1042.2117365758206</v>
      </c>
      <c r="CT38" s="98">
        <v>1.4212170542279416</v>
      </c>
      <c r="CU38" s="98">
        <v>1765.1515813511035</v>
      </c>
    </row>
    <row r="39" spans="2:99">
      <c r="C39" s="97" t="s">
        <v>206</v>
      </c>
      <c r="D39" s="98">
        <v>8</v>
      </c>
      <c r="E39" s="98">
        <v>11385.6</v>
      </c>
      <c r="F39" s="98">
        <v>10</v>
      </c>
      <c r="G39" s="98">
        <v>14232</v>
      </c>
      <c r="H39" s="98">
        <v>8</v>
      </c>
      <c r="I39" s="98">
        <v>11385.6</v>
      </c>
      <c r="J39" s="98">
        <v>7</v>
      </c>
      <c r="K39" s="98">
        <v>9962.4</v>
      </c>
      <c r="L39" s="98">
        <v>9</v>
      </c>
      <c r="M39" s="98">
        <v>12808.800000000001</v>
      </c>
      <c r="N39" s="98">
        <v>10</v>
      </c>
      <c r="O39" s="98">
        <v>14232</v>
      </c>
      <c r="P39" s="98">
        <v>7</v>
      </c>
      <c r="Q39" s="98">
        <v>9962.4</v>
      </c>
      <c r="R39" s="98">
        <v>9</v>
      </c>
      <c r="S39" s="98">
        <v>12808.800000000001</v>
      </c>
      <c r="T39" s="98">
        <v>10</v>
      </c>
      <c r="U39" s="98">
        <v>14232</v>
      </c>
      <c r="V39" s="98">
        <v>8</v>
      </c>
      <c r="W39" s="98">
        <v>11385.6</v>
      </c>
      <c r="X39" s="98">
        <v>9</v>
      </c>
      <c r="Y39" s="98">
        <v>12808.800000000001</v>
      </c>
      <c r="Z39" s="98">
        <v>6.8215458827789481</v>
      </c>
      <c r="AA39" s="98">
        <v>9708.4241003709994</v>
      </c>
      <c r="AB39" s="98">
        <v>1.5596689503557808</v>
      </c>
      <c r="AC39" s="98">
        <v>2219.7208501463474</v>
      </c>
      <c r="AD39" s="98">
        <v>1.1523797903116533</v>
      </c>
      <c r="AE39" s="98">
        <v>1640.066917571545</v>
      </c>
      <c r="AF39" s="98">
        <v>1.2424852227238197</v>
      </c>
      <c r="AG39" s="98">
        <v>1768.3049689805403</v>
      </c>
      <c r="AH39" s="98">
        <v>1.7717839276041669</v>
      </c>
      <c r="AI39" s="98">
        <v>2521.6028857662504</v>
      </c>
      <c r="AJ39" s="98">
        <v>1.4184587484458397</v>
      </c>
      <c r="AK39" s="98">
        <v>2018.7504907881191</v>
      </c>
      <c r="AL39" s="98">
        <v>1.2098676288647574</v>
      </c>
      <c r="AM39" s="98">
        <v>1721.8836094003227</v>
      </c>
      <c r="AN39" s="98">
        <v>1.2746646961181058</v>
      </c>
      <c r="AO39" s="98">
        <v>1814.1027955152883</v>
      </c>
      <c r="AP39" s="98">
        <v>1.3006570431025697</v>
      </c>
      <c r="AQ39" s="98">
        <v>1851.0951037435773</v>
      </c>
      <c r="AR39" s="98">
        <v>1.6295671574954715</v>
      </c>
      <c r="AS39" s="98">
        <v>2319.199978547555</v>
      </c>
      <c r="AT39" s="98">
        <v>1.0860321797923966</v>
      </c>
      <c r="AU39" s="98">
        <v>1545.640998280539</v>
      </c>
      <c r="AV39" s="98">
        <v>1.3307390014194387</v>
      </c>
      <c r="AW39" s="98">
        <v>1893.9077468201451</v>
      </c>
      <c r="AX39" s="98">
        <v>1.320037694407078</v>
      </c>
      <c r="AY39" s="98">
        <v>1878.6776466801534</v>
      </c>
      <c r="AZ39" s="98">
        <v>1.3806108526785716</v>
      </c>
      <c r="BA39" s="98">
        <v>1964.8853655321432</v>
      </c>
      <c r="BB39" s="98">
        <v>1.0582327212652876</v>
      </c>
      <c r="BC39" s="98">
        <v>1506.0768089047574</v>
      </c>
      <c r="BD39" s="98">
        <v>1.1811892850694448</v>
      </c>
      <c r="BE39" s="98">
        <v>1681.0685905108339</v>
      </c>
      <c r="BF39" s="98">
        <v>1.1622489321018588</v>
      </c>
      <c r="BG39" s="98">
        <v>1654.1126801673654</v>
      </c>
      <c r="BH39" s="98">
        <v>1.2253000882463119</v>
      </c>
      <c r="BI39" s="98">
        <v>1743.8470855921512</v>
      </c>
      <c r="BJ39" s="98">
        <v>1.1953564728963646</v>
      </c>
      <c r="BK39" s="98">
        <v>1701.2313322261061</v>
      </c>
      <c r="BL39" s="98">
        <v>1.0439804287229941</v>
      </c>
      <c r="BM39" s="98">
        <v>1485.7929461585652</v>
      </c>
      <c r="BN39" s="98">
        <v>0.91802276041666686</v>
      </c>
      <c r="BO39" s="98">
        <v>1306.5299926250004</v>
      </c>
      <c r="BP39" s="98">
        <v>0.92925730468750023</v>
      </c>
      <c r="BQ39" s="98">
        <v>1322.5189960312505</v>
      </c>
      <c r="BR39" s="98">
        <v>1.067339715424197</v>
      </c>
      <c r="BS39" s="98">
        <v>1519.0378829917172</v>
      </c>
      <c r="BT39" s="98">
        <v>1.276501388763809</v>
      </c>
      <c r="BU39" s="98">
        <v>1816.7167764886531</v>
      </c>
      <c r="BV39" s="98">
        <v>1.1637332857827041</v>
      </c>
      <c r="BW39" s="98">
        <v>1656.2252123259445</v>
      </c>
      <c r="BX39" s="98">
        <v>1.4618679270661443</v>
      </c>
      <c r="BY39" s="98">
        <v>2080.5304338005367</v>
      </c>
      <c r="BZ39" s="98">
        <v>1.1505090438988097</v>
      </c>
      <c r="CA39" s="98">
        <v>1637.4044712767861</v>
      </c>
      <c r="CB39" s="98">
        <v>0.94579213217304292</v>
      </c>
      <c r="CC39" s="98">
        <v>1346.0513625086746</v>
      </c>
      <c r="CD39" s="98">
        <v>1.1555112571331523</v>
      </c>
      <c r="CE39" s="98">
        <v>1644.5236211519025</v>
      </c>
      <c r="CF39" s="98">
        <v>1.5467954923528442</v>
      </c>
      <c r="CG39" s="98">
        <v>2201.3993447165681</v>
      </c>
      <c r="CH39" s="98">
        <v>1.0163196525454112</v>
      </c>
      <c r="CI39" s="98">
        <v>1446.4261295026292</v>
      </c>
      <c r="CJ39" s="98">
        <v>1.4327093754211593</v>
      </c>
      <c r="CK39" s="98">
        <v>2039.031983099394</v>
      </c>
      <c r="CL39" s="98">
        <v>0.89743035406868077</v>
      </c>
      <c r="CM39" s="98">
        <v>1277.2228799105465</v>
      </c>
      <c r="CN39" s="98">
        <v>1.1753127214621339</v>
      </c>
      <c r="CO39" s="98">
        <v>1672.705065184909</v>
      </c>
      <c r="CP39" s="98">
        <v>1.6714942713246859</v>
      </c>
      <c r="CQ39" s="98">
        <v>2378.8706469492931</v>
      </c>
      <c r="CR39" s="98">
        <v>0.95901701088182256</v>
      </c>
      <c r="CS39" s="98">
        <v>1364.8730098870099</v>
      </c>
      <c r="CT39" s="98">
        <v>1.5791300602532683</v>
      </c>
      <c r="CU39" s="98">
        <v>2247.4179017524516</v>
      </c>
    </row>
    <row r="40" spans="2:99">
      <c r="C40" s="97" t="s">
        <v>207</v>
      </c>
      <c r="D40" s="98">
        <v>8</v>
      </c>
      <c r="E40" s="98">
        <v>5798.4</v>
      </c>
      <c r="F40" s="98">
        <v>10</v>
      </c>
      <c r="G40" s="98">
        <v>7248</v>
      </c>
      <c r="H40" s="98">
        <v>9</v>
      </c>
      <c r="I40" s="98">
        <v>6523.2</v>
      </c>
      <c r="J40" s="98">
        <v>6</v>
      </c>
      <c r="K40" s="98">
        <v>4348.7999999999993</v>
      </c>
      <c r="L40" s="98">
        <v>8</v>
      </c>
      <c r="M40" s="98">
        <v>5798.4</v>
      </c>
      <c r="N40" s="98">
        <v>11</v>
      </c>
      <c r="O40" s="98">
        <v>7972.7999999999993</v>
      </c>
      <c r="P40" s="98">
        <v>7</v>
      </c>
      <c r="Q40" s="98">
        <v>5073.5999999999995</v>
      </c>
      <c r="R40" s="98">
        <v>9</v>
      </c>
      <c r="S40" s="98">
        <v>6523.2</v>
      </c>
      <c r="T40" s="98">
        <v>11</v>
      </c>
      <c r="U40" s="98">
        <v>7972.7999999999993</v>
      </c>
      <c r="V40" s="98">
        <v>8</v>
      </c>
      <c r="W40" s="98">
        <v>5798.4</v>
      </c>
      <c r="X40" s="98">
        <v>9</v>
      </c>
      <c r="Y40" s="98">
        <v>6523.2</v>
      </c>
      <c r="Z40" s="98">
        <v>6.8215458827789481</v>
      </c>
      <c r="AA40" s="98">
        <v>4944.256455838181</v>
      </c>
      <c r="AB40" s="98">
        <v>1.7156358453913587</v>
      </c>
      <c r="AC40" s="98">
        <v>1243.4928607396566</v>
      </c>
      <c r="AD40" s="98">
        <v>1.29642726410061</v>
      </c>
      <c r="AE40" s="98">
        <v>939.65048102012213</v>
      </c>
      <c r="AF40" s="98">
        <v>1.2424852227238197</v>
      </c>
      <c r="AG40" s="98">
        <v>900.55328943022448</v>
      </c>
      <c r="AH40" s="98">
        <v>1.6107126614583336</v>
      </c>
      <c r="AI40" s="98">
        <v>1167.444537025</v>
      </c>
      <c r="AJ40" s="98">
        <v>1.4184587484458397</v>
      </c>
      <c r="AK40" s="98">
        <v>1028.0989008735446</v>
      </c>
      <c r="AL40" s="98">
        <v>1.3442973654052861</v>
      </c>
      <c r="AM40" s="98">
        <v>974.34673044575129</v>
      </c>
      <c r="AN40" s="98">
        <v>1.2746646961181058</v>
      </c>
      <c r="AO40" s="98">
        <v>923.87697174640311</v>
      </c>
      <c r="AP40" s="98">
        <v>1.3006570431025697</v>
      </c>
      <c r="AQ40" s="98">
        <v>942.71622484074248</v>
      </c>
      <c r="AR40" s="98">
        <v>1.4814246886322466</v>
      </c>
      <c r="AS40" s="98">
        <v>1073.7366143206523</v>
      </c>
      <c r="AT40" s="98">
        <v>1.2411796340484533</v>
      </c>
      <c r="AU40" s="98">
        <v>899.60699875831892</v>
      </c>
      <c r="AV40" s="98">
        <v>1.5208445730507871</v>
      </c>
      <c r="AW40" s="98">
        <v>1102.3081465472105</v>
      </c>
      <c r="AX40" s="98">
        <v>1.6133794042753176</v>
      </c>
      <c r="AY40" s="98">
        <v>1169.3773922187502</v>
      </c>
      <c r="AZ40" s="98">
        <v>1.4956617570684525</v>
      </c>
      <c r="BA40" s="98">
        <v>1084.0556415232143</v>
      </c>
      <c r="BB40" s="98">
        <v>1.3605849273410837</v>
      </c>
      <c r="BC40" s="98">
        <v>986.15195533681742</v>
      </c>
      <c r="BD40" s="98">
        <v>1.1811892850694448</v>
      </c>
      <c r="BE40" s="98">
        <v>856.12599381833354</v>
      </c>
      <c r="BF40" s="98">
        <v>1.1622489321018588</v>
      </c>
      <c r="BG40" s="98">
        <v>842.39802598742722</v>
      </c>
      <c r="BH40" s="98">
        <v>1.1027700794216806</v>
      </c>
      <c r="BI40" s="98">
        <v>799.28775356483402</v>
      </c>
      <c r="BJ40" s="98">
        <v>1.1953564728963646</v>
      </c>
      <c r="BK40" s="98">
        <v>866.39437155528503</v>
      </c>
      <c r="BL40" s="98">
        <v>1.1931204899691359</v>
      </c>
      <c r="BM40" s="98">
        <v>864.7737311296296</v>
      </c>
      <c r="BN40" s="98">
        <v>0.91802276041666686</v>
      </c>
      <c r="BO40" s="98">
        <v>665.3828967500001</v>
      </c>
      <c r="BP40" s="98">
        <v>1.0841335221354169</v>
      </c>
      <c r="BQ40" s="98">
        <v>785.77997684375009</v>
      </c>
      <c r="BR40" s="98">
        <v>1.2007571798522216</v>
      </c>
      <c r="BS40" s="98">
        <v>870.30880395689019</v>
      </c>
      <c r="BT40" s="98">
        <v>1.276501388763809</v>
      </c>
      <c r="BU40" s="98">
        <v>925.20820657600871</v>
      </c>
      <c r="BV40" s="98">
        <v>1.1637332857827041</v>
      </c>
      <c r="BW40" s="98">
        <v>843.47388553530391</v>
      </c>
      <c r="BX40" s="98">
        <v>1.3156811343595298</v>
      </c>
      <c r="BY40" s="98">
        <v>953.60568618378716</v>
      </c>
      <c r="BZ40" s="98">
        <v>1.0066954134114585</v>
      </c>
      <c r="CA40" s="98">
        <v>729.65283564062509</v>
      </c>
      <c r="CB40" s="98">
        <v>1.1034241542018834</v>
      </c>
      <c r="CC40" s="98">
        <v>799.76182696552507</v>
      </c>
      <c r="CD40" s="98">
        <v>1.1555112571331523</v>
      </c>
      <c r="CE40" s="98">
        <v>837.51455917010867</v>
      </c>
      <c r="CF40" s="98">
        <v>1.6874132643849211</v>
      </c>
      <c r="CG40" s="98">
        <v>1223.0371340261906</v>
      </c>
      <c r="CH40" s="98">
        <v>1.0163196525454112</v>
      </c>
      <c r="CI40" s="98">
        <v>736.62848416491397</v>
      </c>
      <c r="CJ40" s="98">
        <v>1.4327093754211593</v>
      </c>
      <c r="CK40" s="98">
        <v>1038.4277553052561</v>
      </c>
      <c r="CL40" s="98">
        <v>0.89743035406868077</v>
      </c>
      <c r="CM40" s="98">
        <v>650.45752062897975</v>
      </c>
      <c r="CN40" s="98">
        <v>1.3222268116449007</v>
      </c>
      <c r="CO40" s="98">
        <v>958.34999308022395</v>
      </c>
      <c r="CP40" s="98">
        <v>1.6714942713246859</v>
      </c>
      <c r="CQ40" s="98">
        <v>1211.4990478561322</v>
      </c>
      <c r="CR40" s="98">
        <v>0.95901701088182256</v>
      </c>
      <c r="CS40" s="98">
        <v>695.09552948714497</v>
      </c>
      <c r="CT40" s="98">
        <v>1.5791300602532683</v>
      </c>
      <c r="CU40" s="98">
        <v>1144.5534676715688</v>
      </c>
    </row>
    <row r="41" spans="2:99">
      <c r="C41" s="97" t="s">
        <v>208</v>
      </c>
      <c r="D41" s="98">
        <v>8</v>
      </c>
      <c r="E41" s="98">
        <v>5280</v>
      </c>
      <c r="F41" s="98">
        <v>11</v>
      </c>
      <c r="G41" s="98">
        <v>7260</v>
      </c>
      <c r="H41" s="98">
        <v>9</v>
      </c>
      <c r="I41" s="98">
        <v>5940</v>
      </c>
      <c r="J41" s="98">
        <v>6</v>
      </c>
      <c r="K41" s="98">
        <v>3960</v>
      </c>
      <c r="L41" s="98">
        <v>9</v>
      </c>
      <c r="M41" s="98">
        <v>5940</v>
      </c>
      <c r="N41" s="98">
        <v>10</v>
      </c>
      <c r="O41" s="98">
        <v>6600</v>
      </c>
      <c r="P41" s="98">
        <v>7</v>
      </c>
      <c r="Q41" s="98">
        <v>4620</v>
      </c>
      <c r="R41" s="98">
        <v>10</v>
      </c>
      <c r="S41" s="98">
        <v>6600</v>
      </c>
      <c r="T41" s="98">
        <v>11</v>
      </c>
      <c r="U41" s="98">
        <v>7260</v>
      </c>
      <c r="V41" s="98">
        <v>9</v>
      </c>
      <c r="W41" s="98">
        <v>5940</v>
      </c>
      <c r="X41" s="98">
        <v>9</v>
      </c>
      <c r="Y41" s="98">
        <v>5940</v>
      </c>
      <c r="Z41" s="98">
        <v>7.5037004710568427</v>
      </c>
      <c r="AA41" s="98">
        <v>4952.4423108975161</v>
      </c>
      <c r="AB41" s="98">
        <v>1.5596689503557808</v>
      </c>
      <c r="AC41" s="98">
        <v>1029.3815072348152</v>
      </c>
      <c r="AD41" s="98">
        <v>1.4404747378895668</v>
      </c>
      <c r="AE41" s="98">
        <v>950.71332700711412</v>
      </c>
      <c r="AF41" s="98">
        <v>1.2424852227238197</v>
      </c>
      <c r="AG41" s="98">
        <v>820.04024699772094</v>
      </c>
      <c r="AH41" s="98">
        <v>1.9328551937500005</v>
      </c>
      <c r="AI41" s="98">
        <v>1275.6844278750002</v>
      </c>
      <c r="AJ41" s="98">
        <v>1.676360339072356</v>
      </c>
      <c r="AK41" s="98">
        <v>1106.397823787755</v>
      </c>
      <c r="AL41" s="98">
        <v>1.2098676288647574</v>
      </c>
      <c r="AM41" s="98">
        <v>798.51263505073985</v>
      </c>
      <c r="AN41" s="98">
        <v>1.433997783132869</v>
      </c>
      <c r="AO41" s="98">
        <v>946.43853686769353</v>
      </c>
      <c r="AP41" s="98">
        <v>1.3006570431025697</v>
      </c>
      <c r="AQ41" s="98">
        <v>858.43364844769599</v>
      </c>
      <c r="AR41" s="98">
        <v>1.4814246886322466</v>
      </c>
      <c r="AS41" s="98">
        <v>977.74029449728278</v>
      </c>
      <c r="AT41" s="98">
        <v>1.0860321797923966</v>
      </c>
      <c r="AU41" s="98">
        <v>716.78123866298176</v>
      </c>
      <c r="AV41" s="98">
        <v>1.3307390014194387</v>
      </c>
      <c r="AW41" s="98">
        <v>878.28774093682955</v>
      </c>
      <c r="AX41" s="98">
        <v>1.466708549341198</v>
      </c>
      <c r="AY41" s="98">
        <v>968.02764256519072</v>
      </c>
      <c r="AZ41" s="98">
        <v>1.3806108526785716</v>
      </c>
      <c r="BA41" s="98">
        <v>911.20316276785729</v>
      </c>
      <c r="BB41" s="98">
        <v>1.2094088243031857</v>
      </c>
      <c r="BC41" s="98">
        <v>798.2098240401026</v>
      </c>
      <c r="BD41" s="98">
        <v>1.3499306115079368</v>
      </c>
      <c r="BE41" s="98">
        <v>890.95420359523825</v>
      </c>
      <c r="BF41" s="98">
        <v>1.4205264725689386</v>
      </c>
      <c r="BG41" s="98">
        <v>937.54747189549948</v>
      </c>
      <c r="BH41" s="98">
        <v>1.2253000882463119</v>
      </c>
      <c r="BI41" s="98">
        <v>808.69805824256582</v>
      </c>
      <c r="BJ41" s="98">
        <v>1.4609912446511124</v>
      </c>
      <c r="BK41" s="98">
        <v>964.25422146973415</v>
      </c>
      <c r="BL41" s="98">
        <v>1.0439804287229941</v>
      </c>
      <c r="BM41" s="98">
        <v>689.02708295717616</v>
      </c>
      <c r="BN41" s="98">
        <v>0.91802276041666686</v>
      </c>
      <c r="BO41" s="98">
        <v>605.89502187500011</v>
      </c>
      <c r="BP41" s="98">
        <v>1.0841335221354169</v>
      </c>
      <c r="BQ41" s="98">
        <v>715.52812460937514</v>
      </c>
      <c r="BR41" s="98">
        <v>1.067339715424197</v>
      </c>
      <c r="BS41" s="98">
        <v>704.44421217997001</v>
      </c>
      <c r="BT41" s="98">
        <v>1.4041515276401899</v>
      </c>
      <c r="BU41" s="98">
        <v>926.74000824252539</v>
      </c>
      <c r="BV41" s="98">
        <v>1.1637332857827041</v>
      </c>
      <c r="BW41" s="98">
        <v>768.0639686165847</v>
      </c>
      <c r="BX41" s="98">
        <v>1.4618679270661443</v>
      </c>
      <c r="BY41" s="98">
        <v>964.8328318636552</v>
      </c>
      <c r="BZ41" s="98">
        <v>1.0066954134114585</v>
      </c>
      <c r="CA41" s="98">
        <v>664.41897285156267</v>
      </c>
      <c r="CB41" s="98">
        <v>1.1034241542018834</v>
      </c>
      <c r="CC41" s="98">
        <v>728.2599417732431</v>
      </c>
      <c r="CD41" s="98">
        <v>1.1555112571331523</v>
      </c>
      <c r="CE41" s="98">
        <v>762.63742970788053</v>
      </c>
      <c r="CF41" s="98">
        <v>1.4061777203207673</v>
      </c>
      <c r="CG41" s="98">
        <v>928.07729541170636</v>
      </c>
      <c r="CH41" s="98">
        <v>1.1857062613029798</v>
      </c>
      <c r="CI41" s="98">
        <v>782.56613245996675</v>
      </c>
      <c r="CJ41" s="98">
        <v>1.4327093754211593</v>
      </c>
      <c r="CK41" s="98">
        <v>945.58818777796512</v>
      </c>
      <c r="CL41" s="98">
        <v>0.89743035406868077</v>
      </c>
      <c r="CM41" s="98">
        <v>592.30403368532927</v>
      </c>
      <c r="CN41" s="98">
        <v>1.3222268116449007</v>
      </c>
      <c r="CO41" s="98">
        <v>872.66969568563445</v>
      </c>
      <c r="CP41" s="98">
        <v>1.5322030820476287</v>
      </c>
      <c r="CQ41" s="98">
        <v>1011.2540341514349</v>
      </c>
      <c r="CR41" s="98">
        <v>1.0788941372420502</v>
      </c>
      <c r="CS41" s="98">
        <v>712.07013057975314</v>
      </c>
      <c r="CT41" s="98">
        <v>1.5791300602532683</v>
      </c>
      <c r="CU41" s="98">
        <v>1042.2258397671571</v>
      </c>
    </row>
    <row r="42" spans="2:99">
      <c r="C42" s="97" t="s">
        <v>209</v>
      </c>
      <c r="D42" s="98">
        <v>8</v>
      </c>
      <c r="E42" s="98">
        <v>6768</v>
      </c>
      <c r="F42" s="98">
        <v>10</v>
      </c>
      <c r="G42" s="98">
        <v>8460</v>
      </c>
      <c r="H42" s="98">
        <v>10</v>
      </c>
      <c r="I42" s="98">
        <v>8460</v>
      </c>
      <c r="J42" s="98">
        <v>6</v>
      </c>
      <c r="K42" s="98">
        <v>5076</v>
      </c>
      <c r="L42" s="98">
        <v>8</v>
      </c>
      <c r="M42" s="98">
        <v>6768</v>
      </c>
      <c r="N42" s="98">
        <v>11</v>
      </c>
      <c r="O42" s="98">
        <v>9306</v>
      </c>
      <c r="P42" s="98">
        <v>7</v>
      </c>
      <c r="Q42" s="98">
        <v>5922</v>
      </c>
      <c r="R42" s="98">
        <v>10</v>
      </c>
      <c r="S42" s="98">
        <v>8460</v>
      </c>
      <c r="T42" s="98">
        <v>10</v>
      </c>
      <c r="U42" s="98">
        <v>8460</v>
      </c>
      <c r="V42" s="98">
        <v>9</v>
      </c>
      <c r="W42" s="98">
        <v>7614</v>
      </c>
      <c r="X42" s="98">
        <v>10</v>
      </c>
      <c r="Y42" s="98">
        <v>8460</v>
      </c>
      <c r="Z42" s="98">
        <v>7.5037004710568427</v>
      </c>
      <c r="AA42" s="98">
        <v>6348.1305985140889</v>
      </c>
      <c r="AB42" s="98">
        <v>1.7156358453913587</v>
      </c>
      <c r="AC42" s="98">
        <v>1451.4279252010895</v>
      </c>
      <c r="AD42" s="98">
        <v>1.4404747378895668</v>
      </c>
      <c r="AE42" s="98">
        <v>1218.6416282545736</v>
      </c>
      <c r="AF42" s="98">
        <v>1.3667337449962018</v>
      </c>
      <c r="AG42" s="98">
        <v>1156.2567482667866</v>
      </c>
      <c r="AH42" s="98">
        <v>1.7717839276041669</v>
      </c>
      <c r="AI42" s="98">
        <v>1498.9292027531253</v>
      </c>
      <c r="AJ42" s="98">
        <v>1.5474095437590978</v>
      </c>
      <c r="AK42" s="98">
        <v>1309.1084740201968</v>
      </c>
      <c r="AL42" s="98">
        <v>1.3442973654052861</v>
      </c>
      <c r="AM42" s="98">
        <v>1137.2755711328721</v>
      </c>
      <c r="AN42" s="98">
        <v>1.2746646961181058</v>
      </c>
      <c r="AO42" s="98">
        <v>1078.3663329159176</v>
      </c>
      <c r="AP42" s="98">
        <v>1.3006570431025697</v>
      </c>
      <c r="AQ42" s="98">
        <v>1100.355858464774</v>
      </c>
      <c r="AR42" s="98">
        <v>1.6295671574954715</v>
      </c>
      <c r="AS42" s="98">
        <v>1378.6138152411688</v>
      </c>
      <c r="AT42" s="98">
        <v>1.0860321797923966</v>
      </c>
      <c r="AU42" s="98">
        <v>918.7832241043676</v>
      </c>
      <c r="AV42" s="98">
        <v>1.3307390014194387</v>
      </c>
      <c r="AW42" s="98">
        <v>1125.8051952008452</v>
      </c>
      <c r="AX42" s="98">
        <v>1.6133794042753176</v>
      </c>
      <c r="AY42" s="98">
        <v>1364.9189760169186</v>
      </c>
      <c r="AZ42" s="98">
        <v>1.2655599482886906</v>
      </c>
      <c r="BA42" s="98">
        <v>1070.6637162522322</v>
      </c>
      <c r="BB42" s="98">
        <v>1.2094088243031857</v>
      </c>
      <c r="BC42" s="98">
        <v>1023.1598653604951</v>
      </c>
      <c r="BD42" s="98">
        <v>1.3499306115079368</v>
      </c>
      <c r="BE42" s="98">
        <v>1142.0412973357145</v>
      </c>
      <c r="BF42" s="98">
        <v>1.4205264725689386</v>
      </c>
      <c r="BG42" s="98">
        <v>1201.7653957933221</v>
      </c>
      <c r="BH42" s="98">
        <v>1.2253000882463119</v>
      </c>
      <c r="BI42" s="98">
        <v>1036.6038746563797</v>
      </c>
      <c r="BJ42" s="98">
        <v>1.1953564728963646</v>
      </c>
      <c r="BK42" s="98">
        <v>1011.2715760703245</v>
      </c>
      <c r="BL42" s="98">
        <v>1.1931204899691359</v>
      </c>
      <c r="BM42" s="98">
        <v>1009.379934513889</v>
      </c>
      <c r="BN42" s="98">
        <v>0.91802276041666686</v>
      </c>
      <c r="BO42" s="98">
        <v>776.64725531250019</v>
      </c>
      <c r="BP42" s="98">
        <v>1.2390097395833335</v>
      </c>
      <c r="BQ42" s="98">
        <v>1048.2022396875002</v>
      </c>
      <c r="BR42" s="98">
        <v>1.067339715424197</v>
      </c>
      <c r="BS42" s="98">
        <v>902.96939924887067</v>
      </c>
      <c r="BT42" s="98">
        <v>1.1488512498874281</v>
      </c>
      <c r="BU42" s="98">
        <v>971.92815740476419</v>
      </c>
      <c r="BV42" s="98">
        <v>1.1637332857827041</v>
      </c>
      <c r="BW42" s="98">
        <v>984.51835977216763</v>
      </c>
      <c r="BX42" s="98">
        <v>1.3156811343595298</v>
      </c>
      <c r="BY42" s="98">
        <v>1113.0662396681623</v>
      </c>
      <c r="BZ42" s="98">
        <v>1.1505090438988097</v>
      </c>
      <c r="CA42" s="98">
        <v>973.33065113839302</v>
      </c>
      <c r="CB42" s="98">
        <v>1.1034241542018834</v>
      </c>
      <c r="CC42" s="98">
        <v>933.49683445479343</v>
      </c>
      <c r="CD42" s="98">
        <v>1.1555112571331523</v>
      </c>
      <c r="CE42" s="98">
        <v>977.56252353464686</v>
      </c>
      <c r="CF42" s="98">
        <v>1.5467954923528442</v>
      </c>
      <c r="CG42" s="98">
        <v>1308.5889865305062</v>
      </c>
      <c r="CH42" s="98">
        <v>1.1857062613029798</v>
      </c>
      <c r="CI42" s="98">
        <v>1003.1074970623209</v>
      </c>
      <c r="CJ42" s="98">
        <v>1.4327093754211593</v>
      </c>
      <c r="CK42" s="98">
        <v>1212.0721316063007</v>
      </c>
      <c r="CL42" s="98">
        <v>0.76922601777315502</v>
      </c>
      <c r="CM42" s="98">
        <v>650.76521103608911</v>
      </c>
      <c r="CN42" s="98">
        <v>1.1753127214621339</v>
      </c>
      <c r="CO42" s="98">
        <v>994.31456235696533</v>
      </c>
      <c r="CP42" s="98">
        <v>1.5322030820476287</v>
      </c>
      <c r="CQ42" s="98">
        <v>1296.2438074122938</v>
      </c>
      <c r="CR42" s="98">
        <v>0.83913988452159471</v>
      </c>
      <c r="CS42" s="98">
        <v>709.91234230526914</v>
      </c>
      <c r="CT42" s="98">
        <v>1.5791300602532683</v>
      </c>
      <c r="CU42" s="98">
        <v>1335.9440309742649</v>
      </c>
    </row>
    <row r="43" spans="2:99">
      <c r="C43" s="97" t="s">
        <v>210</v>
      </c>
      <c r="D43" s="98">
        <v>7</v>
      </c>
      <c r="E43" s="98">
        <v>7156.8</v>
      </c>
      <c r="F43" s="98">
        <v>10</v>
      </c>
      <c r="G43" s="98">
        <v>10224</v>
      </c>
      <c r="H43" s="98">
        <v>9</v>
      </c>
      <c r="I43" s="98">
        <v>9201.6</v>
      </c>
      <c r="J43" s="98">
        <v>6</v>
      </c>
      <c r="K43" s="98">
        <v>6134.4</v>
      </c>
      <c r="L43" s="98">
        <v>9</v>
      </c>
      <c r="M43" s="98">
        <v>9201.6</v>
      </c>
      <c r="N43" s="98">
        <v>11</v>
      </c>
      <c r="O43" s="98">
        <v>11246.4</v>
      </c>
      <c r="P43" s="98">
        <v>8</v>
      </c>
      <c r="Q43" s="98">
        <v>8179.2</v>
      </c>
      <c r="R43" s="98">
        <v>8</v>
      </c>
      <c r="S43" s="98">
        <v>8179.2</v>
      </c>
      <c r="T43" s="98">
        <v>10</v>
      </c>
      <c r="U43" s="98">
        <v>10224</v>
      </c>
      <c r="V43" s="98">
        <v>9</v>
      </c>
      <c r="W43" s="98">
        <v>9201.6</v>
      </c>
      <c r="X43" s="98">
        <v>10</v>
      </c>
      <c r="Y43" s="98">
        <v>10224</v>
      </c>
      <c r="Z43" s="98">
        <v>7.5037004710568427</v>
      </c>
      <c r="AA43" s="98">
        <v>7671.7833616085154</v>
      </c>
      <c r="AB43" s="98">
        <v>1.8716027404269369</v>
      </c>
      <c r="AC43" s="98">
        <v>1913.5266418125002</v>
      </c>
      <c r="AD43" s="98">
        <v>1.29642726410061</v>
      </c>
      <c r="AE43" s="98">
        <v>1325.4672348164636</v>
      </c>
      <c r="AF43" s="98">
        <v>1.2424852227238197</v>
      </c>
      <c r="AG43" s="98">
        <v>1270.3168917128332</v>
      </c>
      <c r="AH43" s="98">
        <v>1.7717839276041669</v>
      </c>
      <c r="AI43" s="98">
        <v>1811.4718875825001</v>
      </c>
      <c r="AJ43" s="98">
        <v>1.4184587484458397</v>
      </c>
      <c r="AK43" s="98">
        <v>1450.2322244110264</v>
      </c>
      <c r="AL43" s="98">
        <v>1.2098676288647574</v>
      </c>
      <c r="AM43" s="98">
        <v>1236.968663751328</v>
      </c>
      <c r="AN43" s="98">
        <v>1.1153316091033425</v>
      </c>
      <c r="AO43" s="98">
        <v>1140.3150371472573</v>
      </c>
      <c r="AP43" s="98">
        <v>1.1561395938689507</v>
      </c>
      <c r="AQ43" s="98">
        <v>1182.0371207716153</v>
      </c>
      <c r="AR43" s="98">
        <v>1.4814246886322466</v>
      </c>
      <c r="AS43" s="98">
        <v>1514.6086016576089</v>
      </c>
      <c r="AT43" s="98">
        <v>1.0860321797923966</v>
      </c>
      <c r="AU43" s="98">
        <v>1110.3593006197464</v>
      </c>
      <c r="AV43" s="98">
        <v>1.5208445730507871</v>
      </c>
      <c r="AW43" s="98">
        <v>1554.9114914871247</v>
      </c>
      <c r="AX43" s="98">
        <v>1.466708549341198</v>
      </c>
      <c r="AY43" s="98">
        <v>1499.5628208464409</v>
      </c>
      <c r="AZ43" s="98">
        <v>1.1505090438988097</v>
      </c>
      <c r="BA43" s="98">
        <v>1176.2804464821429</v>
      </c>
      <c r="BB43" s="98">
        <v>1.2094088243031857</v>
      </c>
      <c r="BC43" s="98">
        <v>1236.4995819675771</v>
      </c>
      <c r="BD43" s="98">
        <v>1.3499306115079368</v>
      </c>
      <c r="BE43" s="98">
        <v>1380.1690572057146</v>
      </c>
      <c r="BF43" s="98">
        <v>1.2913877023353986</v>
      </c>
      <c r="BG43" s="98">
        <v>1320.3147868677115</v>
      </c>
      <c r="BH43" s="98">
        <v>1.1027700794216806</v>
      </c>
      <c r="BI43" s="98">
        <v>1127.4721292007262</v>
      </c>
      <c r="BJ43" s="98">
        <v>1.1953564728963646</v>
      </c>
      <c r="BK43" s="98">
        <v>1222.1324578892431</v>
      </c>
      <c r="BL43" s="98">
        <v>1.1931204899691359</v>
      </c>
      <c r="BM43" s="98">
        <v>1219.8463889444445</v>
      </c>
      <c r="BN43" s="98">
        <v>0.91802276041666686</v>
      </c>
      <c r="BO43" s="98">
        <v>938.58647025000016</v>
      </c>
      <c r="BP43" s="98">
        <v>1.0841335221354169</v>
      </c>
      <c r="BQ43" s="98">
        <v>1108.4181130312502</v>
      </c>
      <c r="BR43" s="98">
        <v>1.067339715424197</v>
      </c>
      <c r="BS43" s="98">
        <v>1091.248125049699</v>
      </c>
      <c r="BT43" s="98">
        <v>1.1488512498874281</v>
      </c>
      <c r="BU43" s="98">
        <v>1174.5855178849065</v>
      </c>
      <c r="BV43" s="98">
        <v>1.018266625059866</v>
      </c>
      <c r="BW43" s="98">
        <v>1041.075797461207</v>
      </c>
      <c r="BX43" s="98">
        <v>1.4618679270661443</v>
      </c>
      <c r="BY43" s="98">
        <v>1494.6137686324259</v>
      </c>
      <c r="BZ43" s="98">
        <v>1.0066954134114585</v>
      </c>
      <c r="CA43" s="98">
        <v>1029.2453906718752</v>
      </c>
      <c r="CB43" s="98">
        <v>1.1034241542018834</v>
      </c>
      <c r="CC43" s="98">
        <v>1128.1408552560056</v>
      </c>
      <c r="CD43" s="98">
        <v>1.1555112571331523</v>
      </c>
      <c r="CE43" s="98">
        <v>1181.394709292935</v>
      </c>
      <c r="CF43" s="98">
        <v>1.4061777203207673</v>
      </c>
      <c r="CG43" s="98">
        <v>1437.6761012559525</v>
      </c>
      <c r="CH43" s="98">
        <v>1.0163196525454112</v>
      </c>
      <c r="CI43" s="98">
        <v>1039.0852127624285</v>
      </c>
      <c r="CJ43" s="98">
        <v>1.3133169274693961</v>
      </c>
      <c r="CK43" s="98">
        <v>1342.7352266447106</v>
      </c>
      <c r="CL43" s="98">
        <v>0.89743035406868077</v>
      </c>
      <c r="CM43" s="98">
        <v>917.53279399981921</v>
      </c>
      <c r="CN43" s="98">
        <v>1.1753127214621339</v>
      </c>
      <c r="CO43" s="98">
        <v>1201.6397264228858</v>
      </c>
      <c r="CP43" s="98">
        <v>1.6714942713246859</v>
      </c>
      <c r="CQ43" s="98">
        <v>1708.9357430023588</v>
      </c>
      <c r="CR43" s="98">
        <v>0.83913988452159471</v>
      </c>
      <c r="CS43" s="98">
        <v>857.93661793487843</v>
      </c>
      <c r="CT43" s="98">
        <v>1.5791300602532683</v>
      </c>
      <c r="CU43" s="98">
        <v>1614.5025736029415</v>
      </c>
    </row>
    <row r="44" spans="2:99">
      <c r="C44" s="97" t="s">
        <v>211</v>
      </c>
      <c r="D44" s="98">
        <v>8</v>
      </c>
      <c r="E44" s="98">
        <v>8179.2</v>
      </c>
      <c r="F44" s="98">
        <v>11</v>
      </c>
      <c r="G44" s="98">
        <v>11246.4</v>
      </c>
      <c r="H44" s="98">
        <v>9</v>
      </c>
      <c r="I44" s="98">
        <v>9201.6</v>
      </c>
      <c r="J44" s="98">
        <v>7</v>
      </c>
      <c r="K44" s="98">
        <v>7156.8</v>
      </c>
      <c r="L44" s="98">
        <v>9</v>
      </c>
      <c r="M44" s="98">
        <v>9201.6</v>
      </c>
      <c r="N44" s="98">
        <v>10</v>
      </c>
      <c r="O44" s="98">
        <v>10224</v>
      </c>
      <c r="P44" s="98">
        <v>6</v>
      </c>
      <c r="Q44" s="98">
        <v>6134.4</v>
      </c>
      <c r="R44" s="98">
        <v>9</v>
      </c>
      <c r="S44" s="98">
        <v>9201.6</v>
      </c>
      <c r="T44" s="98">
        <v>11</v>
      </c>
      <c r="U44" s="98">
        <v>11246.4</v>
      </c>
      <c r="V44" s="98">
        <v>8</v>
      </c>
      <c r="W44" s="98">
        <v>8179.2</v>
      </c>
      <c r="X44" s="98">
        <v>9</v>
      </c>
      <c r="Y44" s="98">
        <v>9201.6</v>
      </c>
      <c r="Z44" s="98">
        <v>6.8215458827789481</v>
      </c>
      <c r="AA44" s="98">
        <v>6974.3485105531963</v>
      </c>
      <c r="AB44" s="98">
        <v>1.5596689503557808</v>
      </c>
      <c r="AC44" s="98">
        <v>1594.6055348437503</v>
      </c>
      <c r="AD44" s="98">
        <v>1.4404747378895668</v>
      </c>
      <c r="AE44" s="98">
        <v>1472.7413720182931</v>
      </c>
      <c r="AF44" s="98">
        <v>1.2424852227238197</v>
      </c>
      <c r="AG44" s="98">
        <v>1270.3168917128332</v>
      </c>
      <c r="AH44" s="98">
        <v>1.7717839276041669</v>
      </c>
      <c r="AI44" s="98">
        <v>1811.4718875825001</v>
      </c>
      <c r="AJ44" s="98">
        <v>1.5474095437590978</v>
      </c>
      <c r="AK44" s="98">
        <v>1582.0715175393016</v>
      </c>
      <c r="AL44" s="98">
        <v>1.2098676288647574</v>
      </c>
      <c r="AM44" s="98">
        <v>1236.968663751328</v>
      </c>
      <c r="AN44" s="98">
        <v>1.1153316091033425</v>
      </c>
      <c r="AO44" s="98">
        <v>1140.3150371472573</v>
      </c>
      <c r="AP44" s="98">
        <v>1.3006570431025697</v>
      </c>
      <c r="AQ44" s="98">
        <v>1329.7917608680673</v>
      </c>
      <c r="AR44" s="98">
        <v>1.4814246886322466</v>
      </c>
      <c r="AS44" s="98">
        <v>1514.6086016576089</v>
      </c>
      <c r="AT44" s="98">
        <v>1.0860321797923966</v>
      </c>
      <c r="AU44" s="98">
        <v>1110.3593006197464</v>
      </c>
      <c r="AV44" s="98">
        <v>1.5208445730507871</v>
      </c>
      <c r="AW44" s="98">
        <v>1554.9114914871247</v>
      </c>
      <c r="AX44" s="98">
        <v>1.466708549341198</v>
      </c>
      <c r="AY44" s="98">
        <v>1499.5628208464409</v>
      </c>
      <c r="AZ44" s="98">
        <v>1.3806108526785716</v>
      </c>
      <c r="BA44" s="98">
        <v>1411.5365357785715</v>
      </c>
      <c r="BB44" s="98">
        <v>1.2094088243031857</v>
      </c>
      <c r="BC44" s="98">
        <v>1236.4995819675771</v>
      </c>
      <c r="BD44" s="98">
        <v>1.1811892850694448</v>
      </c>
      <c r="BE44" s="98">
        <v>1207.6479250550003</v>
      </c>
      <c r="BF44" s="98">
        <v>1.1622489321018588</v>
      </c>
      <c r="BG44" s="98">
        <v>1188.2833081809404</v>
      </c>
      <c r="BH44" s="98">
        <v>1.1027700794216806</v>
      </c>
      <c r="BI44" s="98">
        <v>1127.4721292007262</v>
      </c>
      <c r="BJ44" s="98">
        <v>1.3281738587737384</v>
      </c>
      <c r="BK44" s="98">
        <v>1357.9249532102701</v>
      </c>
      <c r="BL44" s="98">
        <v>1.3422605512152781</v>
      </c>
      <c r="BM44" s="98">
        <v>1372.3271875625003</v>
      </c>
      <c r="BN44" s="98">
        <v>0.76501896701388905</v>
      </c>
      <c r="BO44" s="98">
        <v>782.15539187500019</v>
      </c>
      <c r="BP44" s="98">
        <v>1.0841335221354169</v>
      </c>
      <c r="BQ44" s="98">
        <v>1108.4181130312502</v>
      </c>
      <c r="BR44" s="98">
        <v>1.067339715424197</v>
      </c>
      <c r="BS44" s="98">
        <v>1091.248125049699</v>
      </c>
      <c r="BT44" s="98">
        <v>1.4041515276401899</v>
      </c>
      <c r="BU44" s="98">
        <v>1435.6045218593301</v>
      </c>
      <c r="BV44" s="98">
        <v>1.1637332857827041</v>
      </c>
      <c r="BW44" s="98">
        <v>1189.8009113842365</v>
      </c>
      <c r="BX44" s="98">
        <v>1.4618679270661443</v>
      </c>
      <c r="BY44" s="98">
        <v>1494.6137686324259</v>
      </c>
      <c r="BZ44" s="98">
        <v>1.1505090438988097</v>
      </c>
      <c r="CA44" s="98">
        <v>1176.2804464821429</v>
      </c>
      <c r="CB44" s="98">
        <v>0.94579213217304292</v>
      </c>
      <c r="CC44" s="98">
        <v>966.97787593371902</v>
      </c>
      <c r="CD44" s="98">
        <v>1.1555112571331523</v>
      </c>
      <c r="CE44" s="98">
        <v>1181.394709292935</v>
      </c>
      <c r="CF44" s="98">
        <v>1.4061777203207673</v>
      </c>
      <c r="CG44" s="98">
        <v>1437.6761012559525</v>
      </c>
      <c r="CH44" s="98">
        <v>1.0163196525454112</v>
      </c>
      <c r="CI44" s="98">
        <v>1039.0852127624285</v>
      </c>
      <c r="CJ44" s="98">
        <v>1.3133169274693961</v>
      </c>
      <c r="CK44" s="98">
        <v>1342.7352266447106</v>
      </c>
      <c r="CL44" s="98">
        <v>0.89743035406868077</v>
      </c>
      <c r="CM44" s="98">
        <v>917.53279399981921</v>
      </c>
      <c r="CN44" s="98">
        <v>1.1753127214621339</v>
      </c>
      <c r="CO44" s="98">
        <v>1201.6397264228858</v>
      </c>
      <c r="CP44" s="98">
        <v>1.8107854606017428</v>
      </c>
      <c r="CQ44" s="98">
        <v>1851.3470549192218</v>
      </c>
      <c r="CR44" s="98">
        <v>0.95901701088182256</v>
      </c>
      <c r="CS44" s="98">
        <v>980.49899192557541</v>
      </c>
      <c r="CT44" s="98">
        <v>1.7370430662785952</v>
      </c>
      <c r="CU44" s="98">
        <v>1775.9528309632356</v>
      </c>
    </row>
    <row r="45" spans="2:99">
      <c r="C45" s="97" t="s">
        <v>212</v>
      </c>
      <c r="D45" s="98">
        <v>8</v>
      </c>
      <c r="E45" s="98">
        <v>9993.6</v>
      </c>
      <c r="F45" s="98">
        <v>10</v>
      </c>
      <c r="G45" s="98">
        <v>12492</v>
      </c>
      <c r="H45" s="98">
        <v>8</v>
      </c>
      <c r="I45" s="98">
        <v>9993.6</v>
      </c>
      <c r="J45" s="98">
        <v>7</v>
      </c>
      <c r="K45" s="98">
        <v>8744.4</v>
      </c>
      <c r="L45" s="98">
        <v>9</v>
      </c>
      <c r="M45" s="98">
        <v>11242.800000000001</v>
      </c>
      <c r="N45" s="98">
        <v>9</v>
      </c>
      <c r="O45" s="98">
        <v>11242.800000000001</v>
      </c>
      <c r="P45" s="98">
        <v>7</v>
      </c>
      <c r="Q45" s="98">
        <v>8744.4</v>
      </c>
      <c r="R45" s="98">
        <v>8</v>
      </c>
      <c r="S45" s="98">
        <v>9993.6</v>
      </c>
      <c r="T45" s="98">
        <v>10</v>
      </c>
      <c r="U45" s="98">
        <v>12492</v>
      </c>
      <c r="V45" s="98">
        <v>7</v>
      </c>
      <c r="W45" s="98">
        <v>8744.4</v>
      </c>
      <c r="X45" s="98">
        <v>9</v>
      </c>
      <c r="Y45" s="98">
        <v>11242.800000000001</v>
      </c>
      <c r="Z45" s="98">
        <v>7.5037004710568427</v>
      </c>
      <c r="AA45" s="98">
        <v>9373.6226284442091</v>
      </c>
      <c r="AB45" s="98">
        <v>1.7156358453913587</v>
      </c>
      <c r="AC45" s="98">
        <v>2143.1722980628856</v>
      </c>
      <c r="AD45" s="98">
        <v>1.29642726410061</v>
      </c>
      <c r="AE45" s="98">
        <v>1619.4969383144821</v>
      </c>
      <c r="AF45" s="98">
        <v>1.2424852227238197</v>
      </c>
      <c r="AG45" s="98">
        <v>1552.1125402265957</v>
      </c>
      <c r="AH45" s="98">
        <v>1.6107126614583336</v>
      </c>
      <c r="AI45" s="98">
        <v>2012.1022566937504</v>
      </c>
      <c r="AJ45" s="98">
        <v>1.2895079531325815</v>
      </c>
      <c r="AK45" s="98">
        <v>1610.8533350532209</v>
      </c>
      <c r="AL45" s="98">
        <v>1.2098676288647574</v>
      </c>
      <c r="AM45" s="98">
        <v>1511.3666419778549</v>
      </c>
      <c r="AN45" s="98">
        <v>1.2746646961181058</v>
      </c>
      <c r="AO45" s="98">
        <v>1592.3111383907378</v>
      </c>
      <c r="AP45" s="98">
        <v>1.3006570431025697</v>
      </c>
      <c r="AQ45" s="98">
        <v>1624.7807782437301</v>
      </c>
      <c r="AR45" s="98">
        <v>1.6295671574954715</v>
      </c>
      <c r="AS45" s="98">
        <v>2035.6552931433432</v>
      </c>
      <c r="AT45" s="98">
        <v>1.0860321797923966</v>
      </c>
      <c r="AU45" s="98">
        <v>1356.671398996662</v>
      </c>
      <c r="AV45" s="98">
        <v>1.3307390014194387</v>
      </c>
      <c r="AW45" s="98">
        <v>1662.3591605731629</v>
      </c>
      <c r="AX45" s="98">
        <v>1.466708549341198</v>
      </c>
      <c r="AY45" s="98">
        <v>1832.2123198370246</v>
      </c>
      <c r="AZ45" s="98">
        <v>1.3806108526785716</v>
      </c>
      <c r="BA45" s="98">
        <v>1724.6590771660717</v>
      </c>
      <c r="BB45" s="98">
        <v>1.2094088243031857</v>
      </c>
      <c r="BC45" s="98">
        <v>1510.7935033195397</v>
      </c>
      <c r="BD45" s="98">
        <v>1.1811892850694448</v>
      </c>
      <c r="BE45" s="98">
        <v>1475.5416549087504</v>
      </c>
      <c r="BF45" s="98">
        <v>1.2913877023353986</v>
      </c>
      <c r="BG45" s="98">
        <v>1613.2015177573799</v>
      </c>
      <c r="BH45" s="98">
        <v>1.1027700794216806</v>
      </c>
      <c r="BI45" s="98">
        <v>1377.5803832135634</v>
      </c>
      <c r="BJ45" s="98">
        <v>1.1953564728963646</v>
      </c>
      <c r="BK45" s="98">
        <v>1493.2393059421388</v>
      </c>
      <c r="BL45" s="98">
        <v>1.1931204899691359</v>
      </c>
      <c r="BM45" s="98">
        <v>1490.4461160694445</v>
      </c>
      <c r="BN45" s="98">
        <v>0.91802276041666686</v>
      </c>
      <c r="BO45" s="98">
        <v>1146.7940323125003</v>
      </c>
      <c r="BP45" s="98">
        <v>0.92925730468750023</v>
      </c>
      <c r="BQ45" s="98">
        <v>1160.8282250156253</v>
      </c>
      <c r="BR45" s="98">
        <v>1.067339715424197</v>
      </c>
      <c r="BS45" s="98">
        <v>1333.3207725079069</v>
      </c>
      <c r="BT45" s="98">
        <v>1.276501388763809</v>
      </c>
      <c r="BU45" s="98">
        <v>1594.6055348437503</v>
      </c>
      <c r="BV45" s="98">
        <v>1.018266625059866</v>
      </c>
      <c r="BW45" s="98">
        <v>1272.0186680247846</v>
      </c>
      <c r="BX45" s="98">
        <v>1.6080547197727588</v>
      </c>
      <c r="BY45" s="98">
        <v>2008.7819559401305</v>
      </c>
      <c r="BZ45" s="98">
        <v>1.1505090438988097</v>
      </c>
      <c r="CA45" s="98">
        <v>1437.2158976383932</v>
      </c>
      <c r="CB45" s="98">
        <v>1.1034241542018834</v>
      </c>
      <c r="CC45" s="98">
        <v>1378.3974534289928</v>
      </c>
      <c r="CD45" s="98">
        <v>1.1555112571331523</v>
      </c>
      <c r="CE45" s="98">
        <v>1443.4646624107338</v>
      </c>
      <c r="CF45" s="98">
        <v>1.4061777203207673</v>
      </c>
      <c r="CG45" s="98">
        <v>1756.5972082247026</v>
      </c>
      <c r="CH45" s="98">
        <v>1.0163196525454112</v>
      </c>
      <c r="CI45" s="98">
        <v>1269.5865099597277</v>
      </c>
      <c r="CJ45" s="98">
        <v>1.4327093754211593</v>
      </c>
      <c r="CK45" s="98">
        <v>1789.7405517761122</v>
      </c>
      <c r="CL45" s="98">
        <v>0.76922601777315502</v>
      </c>
      <c r="CM45" s="98">
        <v>960.9171414022253</v>
      </c>
      <c r="CN45" s="98">
        <v>1.1753127214621339</v>
      </c>
      <c r="CO45" s="98">
        <v>1468.2006516504978</v>
      </c>
      <c r="CP45" s="98">
        <v>1.5322030820476287</v>
      </c>
      <c r="CQ45" s="98">
        <v>1914.0280900938978</v>
      </c>
      <c r="CR45" s="98">
        <v>0.95901701088182256</v>
      </c>
      <c r="CS45" s="98">
        <v>1198.0040499935728</v>
      </c>
      <c r="CT45" s="98">
        <v>1.7370430662785952</v>
      </c>
      <c r="CU45" s="98">
        <v>2169.9141983952213</v>
      </c>
    </row>
    <row r="46" spans="2:99">
      <c r="C46" s="97" t="s">
        <v>213</v>
      </c>
      <c r="D46" s="98">
        <v>7</v>
      </c>
      <c r="E46" s="98">
        <v>8484</v>
      </c>
      <c r="F46" s="98">
        <v>11</v>
      </c>
      <c r="G46" s="98">
        <v>13332</v>
      </c>
      <c r="H46" s="98">
        <v>8</v>
      </c>
      <c r="I46" s="98">
        <v>9696</v>
      </c>
      <c r="J46" s="98">
        <v>6</v>
      </c>
      <c r="K46" s="98">
        <v>7272</v>
      </c>
      <c r="L46" s="98">
        <v>8</v>
      </c>
      <c r="M46" s="98">
        <v>9696</v>
      </c>
      <c r="N46" s="98">
        <v>10</v>
      </c>
      <c r="O46" s="98">
        <v>12120</v>
      </c>
      <c r="P46" s="98">
        <v>7</v>
      </c>
      <c r="Q46" s="98">
        <v>8484</v>
      </c>
      <c r="R46" s="98">
        <v>9</v>
      </c>
      <c r="S46" s="98">
        <v>10908</v>
      </c>
      <c r="T46" s="98">
        <v>10</v>
      </c>
      <c r="U46" s="98">
        <v>12120</v>
      </c>
      <c r="V46" s="98">
        <v>9</v>
      </c>
      <c r="W46" s="98">
        <v>10908</v>
      </c>
      <c r="X46" s="98">
        <v>9</v>
      </c>
      <c r="Y46" s="98">
        <v>10908</v>
      </c>
      <c r="Z46" s="98">
        <v>6.8215458827789481</v>
      </c>
      <c r="AA46" s="98">
        <v>8267.7136099280851</v>
      </c>
      <c r="AB46" s="98">
        <v>1.5596689503557808</v>
      </c>
      <c r="AC46" s="98">
        <v>1890.3187678312063</v>
      </c>
      <c r="AD46" s="98">
        <v>1.29642726410061</v>
      </c>
      <c r="AE46" s="98">
        <v>1571.2698440899394</v>
      </c>
      <c r="AF46" s="98">
        <v>1.3667337449962018</v>
      </c>
      <c r="AG46" s="98">
        <v>1656.4812989353966</v>
      </c>
      <c r="AH46" s="98">
        <v>1.7717839276041669</v>
      </c>
      <c r="AI46" s="98">
        <v>2147.4021202562503</v>
      </c>
      <c r="AJ46" s="98">
        <v>1.4184587484458397</v>
      </c>
      <c r="AK46" s="98">
        <v>1719.1720031163577</v>
      </c>
      <c r="AL46" s="98">
        <v>1.2098676288647574</v>
      </c>
      <c r="AM46" s="98">
        <v>1466.3595661840859</v>
      </c>
      <c r="AN46" s="98">
        <v>1.1153316091033425</v>
      </c>
      <c r="AO46" s="98">
        <v>1351.7819102332512</v>
      </c>
      <c r="AP46" s="98">
        <v>1.1561395938689507</v>
      </c>
      <c r="AQ46" s="98">
        <v>1401.2411877691682</v>
      </c>
      <c r="AR46" s="98">
        <v>1.6295671574954715</v>
      </c>
      <c r="AS46" s="98">
        <v>1975.0353948845116</v>
      </c>
      <c r="AT46" s="98">
        <v>1.0860321797923966</v>
      </c>
      <c r="AU46" s="98">
        <v>1316.2710019083847</v>
      </c>
      <c r="AV46" s="98">
        <v>1.3307390014194387</v>
      </c>
      <c r="AW46" s="98">
        <v>1612.8556697203596</v>
      </c>
      <c r="AX46" s="98">
        <v>1.320037694407078</v>
      </c>
      <c r="AY46" s="98">
        <v>1599.8856856213786</v>
      </c>
      <c r="AZ46" s="98">
        <v>1.3806108526785716</v>
      </c>
      <c r="BA46" s="98">
        <v>1673.3003534464287</v>
      </c>
      <c r="BB46" s="98">
        <v>1.2094088243031857</v>
      </c>
      <c r="BC46" s="98">
        <v>1465.8034950554611</v>
      </c>
      <c r="BD46" s="98">
        <v>1.1811892850694448</v>
      </c>
      <c r="BE46" s="98">
        <v>1431.6014135041671</v>
      </c>
      <c r="BF46" s="98">
        <v>1.2913877023353986</v>
      </c>
      <c r="BG46" s="98">
        <v>1565.161895230503</v>
      </c>
      <c r="BH46" s="98">
        <v>1.2253000882463119</v>
      </c>
      <c r="BI46" s="98">
        <v>1485.0637069545301</v>
      </c>
      <c r="BJ46" s="98">
        <v>1.1953564728963646</v>
      </c>
      <c r="BK46" s="98">
        <v>1448.772045150394</v>
      </c>
      <c r="BL46" s="98">
        <v>1.1931204899691359</v>
      </c>
      <c r="BM46" s="98">
        <v>1446.0620338425927</v>
      </c>
      <c r="BN46" s="98">
        <v>0.91802276041666686</v>
      </c>
      <c r="BO46" s="98">
        <v>1112.6435856250002</v>
      </c>
      <c r="BP46" s="98">
        <v>1.0841335221354169</v>
      </c>
      <c r="BQ46" s="98">
        <v>1313.9698288281254</v>
      </c>
      <c r="BR46" s="98">
        <v>1.2007571798522216</v>
      </c>
      <c r="BS46" s="98">
        <v>1455.3177019808927</v>
      </c>
      <c r="BT46" s="98">
        <v>1.276501388763809</v>
      </c>
      <c r="BU46" s="98">
        <v>1547.1196831817365</v>
      </c>
      <c r="BV46" s="98">
        <v>1.1637332857827041</v>
      </c>
      <c r="BW46" s="98">
        <v>1410.4447423686374</v>
      </c>
      <c r="BX46" s="98">
        <v>1.6080547197727588</v>
      </c>
      <c r="BY46" s="98">
        <v>1948.9623203645838</v>
      </c>
      <c r="BZ46" s="98">
        <v>1.0066954134114585</v>
      </c>
      <c r="CA46" s="98">
        <v>1220.1148410546878</v>
      </c>
      <c r="CB46" s="98">
        <v>0.94579213217304292</v>
      </c>
      <c r="CC46" s="98">
        <v>1146.3000641937281</v>
      </c>
      <c r="CD46" s="98">
        <v>1.027121117451691</v>
      </c>
      <c r="CE46" s="98">
        <v>1244.8707943514494</v>
      </c>
      <c r="CF46" s="98">
        <v>1.4061777203207673</v>
      </c>
      <c r="CG46" s="98">
        <v>1704.2873970287699</v>
      </c>
      <c r="CH46" s="98">
        <v>1.0163196525454112</v>
      </c>
      <c r="CI46" s="98">
        <v>1231.7794188850385</v>
      </c>
      <c r="CJ46" s="98">
        <v>1.3133169274693961</v>
      </c>
      <c r="CK46" s="98">
        <v>1591.740116092908</v>
      </c>
      <c r="CL46" s="98">
        <v>0.89743035406868077</v>
      </c>
      <c r="CM46" s="98">
        <v>1087.6855891312412</v>
      </c>
      <c r="CN46" s="98">
        <v>1.1753127214621339</v>
      </c>
      <c r="CO46" s="98">
        <v>1424.4790184121064</v>
      </c>
      <c r="CP46" s="98">
        <v>1.6714942713246859</v>
      </c>
      <c r="CQ46" s="98">
        <v>2025.8510568455192</v>
      </c>
      <c r="CR46" s="98">
        <v>0.95901701088182256</v>
      </c>
      <c r="CS46" s="98">
        <v>1162.3286171887689</v>
      </c>
      <c r="CT46" s="98">
        <v>1.5791300602532683</v>
      </c>
      <c r="CU46" s="98">
        <v>1913.9056330269611</v>
      </c>
    </row>
    <row r="47" spans="2:99">
      <c r="C47" s="97" t="s">
        <v>214</v>
      </c>
      <c r="D47" s="98">
        <v>8</v>
      </c>
      <c r="E47" s="98">
        <v>12220.8</v>
      </c>
      <c r="F47" s="98">
        <v>9</v>
      </c>
      <c r="G47" s="98">
        <v>13748.4</v>
      </c>
      <c r="H47" s="98">
        <v>8</v>
      </c>
      <c r="I47" s="98">
        <v>12220.8</v>
      </c>
      <c r="J47" s="98">
        <v>6</v>
      </c>
      <c r="K47" s="98">
        <v>9165.5999999999985</v>
      </c>
      <c r="L47" s="98">
        <v>9</v>
      </c>
      <c r="M47" s="98">
        <v>13748.4</v>
      </c>
      <c r="N47" s="98">
        <v>10</v>
      </c>
      <c r="O47" s="98">
        <v>15276</v>
      </c>
      <c r="P47" s="98">
        <v>7</v>
      </c>
      <c r="Q47" s="98">
        <v>10693.199999999999</v>
      </c>
      <c r="R47" s="98">
        <v>9</v>
      </c>
      <c r="S47" s="98">
        <v>13748.4</v>
      </c>
      <c r="T47" s="98">
        <v>12</v>
      </c>
      <c r="U47" s="98">
        <v>18331.199999999997</v>
      </c>
      <c r="V47" s="98">
        <v>7</v>
      </c>
      <c r="W47" s="98">
        <v>10693.199999999999</v>
      </c>
      <c r="X47" s="98">
        <v>10</v>
      </c>
      <c r="Y47" s="98">
        <v>15276</v>
      </c>
      <c r="Z47" s="98">
        <v>6.8215458827789481</v>
      </c>
      <c r="AA47" s="98">
        <v>10420.593490533121</v>
      </c>
      <c r="AB47" s="98">
        <v>1.5596689503557808</v>
      </c>
      <c r="AC47" s="98">
        <v>2382.5502885634905</v>
      </c>
      <c r="AD47" s="98">
        <v>1.4404747378895668</v>
      </c>
      <c r="AE47" s="98">
        <v>2200.4692096001022</v>
      </c>
      <c r="AF47" s="98">
        <v>1.3667337449962018</v>
      </c>
      <c r="AG47" s="98">
        <v>2087.8224688561977</v>
      </c>
      <c r="AH47" s="98">
        <v>1.6107126614583336</v>
      </c>
      <c r="AI47" s="98">
        <v>2460.5246616437503</v>
      </c>
      <c r="AJ47" s="98">
        <v>1.5474095437590978</v>
      </c>
      <c r="AK47" s="98">
        <v>2363.8228190463979</v>
      </c>
      <c r="AL47" s="98">
        <v>1.3442973654052861</v>
      </c>
      <c r="AM47" s="98">
        <v>2053.548655393115</v>
      </c>
      <c r="AN47" s="98">
        <v>1.2746646961181058</v>
      </c>
      <c r="AO47" s="98">
        <v>1947.1777897900183</v>
      </c>
      <c r="AP47" s="98">
        <v>1.1561395938689507</v>
      </c>
      <c r="AQ47" s="98">
        <v>1766.118843594209</v>
      </c>
      <c r="AR47" s="98">
        <v>1.4814246886322466</v>
      </c>
      <c r="AS47" s="98">
        <v>2263.0243543546198</v>
      </c>
      <c r="AT47" s="98">
        <v>1.0860321797923966</v>
      </c>
      <c r="AU47" s="98">
        <v>1659.022757850865</v>
      </c>
      <c r="AV47" s="98">
        <v>1.3307390014194387</v>
      </c>
      <c r="AW47" s="98">
        <v>2032.8368985683344</v>
      </c>
      <c r="AX47" s="98">
        <v>1.320037694407078</v>
      </c>
      <c r="AY47" s="98">
        <v>2016.4895819762521</v>
      </c>
      <c r="AZ47" s="98">
        <v>1.2655599482886906</v>
      </c>
      <c r="BA47" s="98">
        <v>1933.2693770058036</v>
      </c>
      <c r="BB47" s="98">
        <v>1.2094088243031857</v>
      </c>
      <c r="BC47" s="98">
        <v>1847.4929200055465</v>
      </c>
      <c r="BD47" s="98">
        <v>1.1811892850694448</v>
      </c>
      <c r="BE47" s="98">
        <v>1804.3847518720836</v>
      </c>
      <c r="BF47" s="98">
        <v>1.1622489321018588</v>
      </c>
      <c r="BG47" s="98">
        <v>1775.4514686787993</v>
      </c>
      <c r="BH47" s="98">
        <v>1.2253000882463119</v>
      </c>
      <c r="BI47" s="98">
        <v>1871.768414805066</v>
      </c>
      <c r="BJ47" s="98">
        <v>1.1953564728963646</v>
      </c>
      <c r="BK47" s="98">
        <v>1826.0265479964864</v>
      </c>
      <c r="BL47" s="98">
        <v>1.1931204899691359</v>
      </c>
      <c r="BM47" s="98">
        <v>1822.6108604768519</v>
      </c>
      <c r="BN47" s="98">
        <v>0.76501896701388905</v>
      </c>
      <c r="BO47" s="98">
        <v>1168.6429740104168</v>
      </c>
      <c r="BP47" s="98">
        <v>1.0841335221354169</v>
      </c>
      <c r="BQ47" s="98">
        <v>1656.1223684140627</v>
      </c>
      <c r="BR47" s="98">
        <v>1.067339715424197</v>
      </c>
      <c r="BS47" s="98">
        <v>1630.4681492820032</v>
      </c>
      <c r="BT47" s="98">
        <v>1.1488512498874281</v>
      </c>
      <c r="BU47" s="98">
        <v>1754.9851693280352</v>
      </c>
      <c r="BV47" s="98">
        <v>1.1637332857827041</v>
      </c>
      <c r="BW47" s="98">
        <v>1777.7189673616585</v>
      </c>
      <c r="BX47" s="98">
        <v>1.4618679270661443</v>
      </c>
      <c r="BY47" s="98">
        <v>2233.149445386242</v>
      </c>
      <c r="BZ47" s="98">
        <v>1.1505090438988097</v>
      </c>
      <c r="CA47" s="98">
        <v>1757.5176154598216</v>
      </c>
      <c r="CB47" s="98">
        <v>0.94579213217304292</v>
      </c>
      <c r="CC47" s="98">
        <v>1444.7920611075403</v>
      </c>
      <c r="CD47" s="98">
        <v>1.1555112571331523</v>
      </c>
      <c r="CE47" s="98">
        <v>1765.1589963966032</v>
      </c>
      <c r="CF47" s="98">
        <v>1.2655599482886906</v>
      </c>
      <c r="CG47" s="98">
        <v>1933.2693770058036</v>
      </c>
      <c r="CH47" s="98">
        <v>1.1857062613029798</v>
      </c>
      <c r="CI47" s="98">
        <v>1811.284884766432</v>
      </c>
      <c r="CJ47" s="98">
        <v>1.3133169274693961</v>
      </c>
      <c r="CK47" s="98">
        <v>2006.2229384022494</v>
      </c>
      <c r="CL47" s="98">
        <v>0.76922601777315502</v>
      </c>
      <c r="CM47" s="98">
        <v>1175.0696647502716</v>
      </c>
      <c r="CN47" s="98">
        <v>1.1753127214621339</v>
      </c>
      <c r="CO47" s="98">
        <v>1795.4077133055557</v>
      </c>
      <c r="CP47" s="98">
        <v>1.3929118927705715</v>
      </c>
      <c r="CQ47" s="98">
        <v>2127.812207396325</v>
      </c>
      <c r="CR47" s="98">
        <v>0.95901701088182256</v>
      </c>
      <c r="CS47" s="98">
        <v>1464.994385823072</v>
      </c>
      <c r="CT47" s="98">
        <v>1.5791300602532683</v>
      </c>
      <c r="CU47" s="98">
        <v>2412.2790800428925</v>
      </c>
    </row>
    <row r="48" spans="2:99">
      <c r="C48" s="97" t="s">
        <v>215</v>
      </c>
      <c r="D48" s="98">
        <v>7</v>
      </c>
      <c r="E48" s="98">
        <v>6073.2</v>
      </c>
      <c r="F48" s="98">
        <v>11</v>
      </c>
      <c r="G48" s="98">
        <v>9543.6</v>
      </c>
      <c r="H48" s="98">
        <v>9</v>
      </c>
      <c r="I48" s="98">
        <v>7808.4000000000005</v>
      </c>
      <c r="J48" s="98">
        <v>6</v>
      </c>
      <c r="K48" s="98">
        <v>5205.6000000000004</v>
      </c>
      <c r="L48" s="98">
        <v>8</v>
      </c>
      <c r="M48" s="98">
        <v>6940.8</v>
      </c>
      <c r="N48" s="98">
        <v>10</v>
      </c>
      <c r="O48" s="98">
        <v>8676</v>
      </c>
      <c r="P48" s="98">
        <v>7</v>
      </c>
      <c r="Q48" s="98">
        <v>6073.2</v>
      </c>
      <c r="R48" s="98">
        <v>10</v>
      </c>
      <c r="S48" s="98">
        <v>8676</v>
      </c>
      <c r="T48" s="98">
        <v>11</v>
      </c>
      <c r="U48" s="98">
        <v>9543.6</v>
      </c>
      <c r="V48" s="98">
        <v>8</v>
      </c>
      <c r="W48" s="98">
        <v>6940.8</v>
      </c>
      <c r="X48" s="98">
        <v>9</v>
      </c>
      <c r="Y48" s="98">
        <v>7808.4000000000005</v>
      </c>
      <c r="Z48" s="98">
        <v>7.5037004710568427</v>
      </c>
      <c r="AA48" s="98">
        <v>6510.2105286889173</v>
      </c>
      <c r="AB48" s="98">
        <v>1.7156358453913587</v>
      </c>
      <c r="AC48" s="98">
        <v>1488.4856594615428</v>
      </c>
      <c r="AD48" s="98">
        <v>1.29642726410061</v>
      </c>
      <c r="AE48" s="98">
        <v>1124.7802943336892</v>
      </c>
      <c r="AF48" s="98">
        <v>1.3667337449962018</v>
      </c>
      <c r="AG48" s="98">
        <v>1185.7781971587046</v>
      </c>
      <c r="AH48" s="98">
        <v>1.9328551937500005</v>
      </c>
      <c r="AI48" s="98">
        <v>1676.9451660975005</v>
      </c>
      <c r="AJ48" s="98">
        <v>1.5474095437590978</v>
      </c>
      <c r="AK48" s="98">
        <v>1342.5325201653932</v>
      </c>
      <c r="AL48" s="98">
        <v>1.2098676288647574</v>
      </c>
      <c r="AM48" s="98">
        <v>1049.6811548030635</v>
      </c>
      <c r="AN48" s="98">
        <v>1.433997783132869</v>
      </c>
      <c r="AO48" s="98">
        <v>1244.1364766460772</v>
      </c>
      <c r="AP48" s="98">
        <v>1.1561395938689507</v>
      </c>
      <c r="AQ48" s="98">
        <v>1003.0667116407017</v>
      </c>
      <c r="AR48" s="98">
        <v>1.4814246886322466</v>
      </c>
      <c r="AS48" s="98">
        <v>1285.2840598573373</v>
      </c>
      <c r="AT48" s="98">
        <v>1.0860321797923966</v>
      </c>
      <c r="AU48" s="98">
        <v>942.24151918788334</v>
      </c>
      <c r="AV48" s="98">
        <v>1.5208445730507871</v>
      </c>
      <c r="AW48" s="98">
        <v>1319.4847515788629</v>
      </c>
      <c r="AX48" s="98">
        <v>1.6133794042753176</v>
      </c>
      <c r="AY48" s="98">
        <v>1399.7679711492656</v>
      </c>
      <c r="AZ48" s="98">
        <v>1.2655599482886906</v>
      </c>
      <c r="BA48" s="98">
        <v>1097.9998111352679</v>
      </c>
      <c r="BB48" s="98">
        <v>1.2094088243031857</v>
      </c>
      <c r="BC48" s="98">
        <v>1049.2830959654441</v>
      </c>
      <c r="BD48" s="98">
        <v>1.3499306115079368</v>
      </c>
      <c r="BE48" s="98">
        <v>1171.1997985442861</v>
      </c>
      <c r="BF48" s="98">
        <v>1.2913877023353986</v>
      </c>
      <c r="BG48" s="98">
        <v>1120.4079705461918</v>
      </c>
      <c r="BH48" s="98">
        <v>1.2253000882463119</v>
      </c>
      <c r="BI48" s="98">
        <v>1063.0703565625001</v>
      </c>
      <c r="BJ48" s="98">
        <v>1.1953564728963646</v>
      </c>
      <c r="BK48" s="98">
        <v>1037.091275884886</v>
      </c>
      <c r="BL48" s="98">
        <v>1.1931204899691359</v>
      </c>
      <c r="BM48" s="98">
        <v>1035.1513370972223</v>
      </c>
      <c r="BN48" s="98">
        <v>0.76501896701388905</v>
      </c>
      <c r="BO48" s="98">
        <v>663.73045578125016</v>
      </c>
      <c r="BP48" s="98">
        <v>1.2390097395833335</v>
      </c>
      <c r="BQ48" s="98">
        <v>1074.9648500625001</v>
      </c>
      <c r="BR48" s="98">
        <v>1.2007571798522216</v>
      </c>
      <c r="BS48" s="98">
        <v>1041.7769292397875</v>
      </c>
      <c r="BT48" s="98">
        <v>1.276501388763809</v>
      </c>
      <c r="BU48" s="98">
        <v>1107.4926048914808</v>
      </c>
      <c r="BV48" s="98">
        <v>1.3091999465055419</v>
      </c>
      <c r="BW48" s="98">
        <v>1135.8618735882083</v>
      </c>
      <c r="BX48" s="98">
        <v>1.3156811343595298</v>
      </c>
      <c r="BY48" s="98">
        <v>1141.4849521703281</v>
      </c>
      <c r="BZ48" s="98">
        <v>1.1505090438988097</v>
      </c>
      <c r="CA48" s="98">
        <v>998.18164648660729</v>
      </c>
      <c r="CB48" s="98">
        <v>0.94579213217304292</v>
      </c>
      <c r="CC48" s="98">
        <v>820.56925387333206</v>
      </c>
      <c r="CD48" s="98">
        <v>1.2839013968146138</v>
      </c>
      <c r="CE48" s="98">
        <v>1113.9128518763589</v>
      </c>
      <c r="CF48" s="98">
        <v>1.4061777203207673</v>
      </c>
      <c r="CG48" s="98">
        <v>1219.9997901502977</v>
      </c>
      <c r="CH48" s="98">
        <v>1.1857062613029798</v>
      </c>
      <c r="CI48" s="98">
        <v>1028.7187523064654</v>
      </c>
      <c r="CJ48" s="98">
        <v>1.4327093754211593</v>
      </c>
      <c r="CK48" s="98">
        <v>1243.0186541153978</v>
      </c>
      <c r="CL48" s="98">
        <v>0.89743035406868077</v>
      </c>
      <c r="CM48" s="98">
        <v>778.61057518998746</v>
      </c>
      <c r="CN48" s="98">
        <v>1.1753127214621339</v>
      </c>
      <c r="CO48" s="98">
        <v>1019.7013171405474</v>
      </c>
      <c r="CP48" s="98">
        <v>1.5322030820476287</v>
      </c>
      <c r="CQ48" s="98">
        <v>1329.3393939845228</v>
      </c>
      <c r="CR48" s="98">
        <v>0.95901701088182256</v>
      </c>
      <c r="CS48" s="98">
        <v>832.04315864106923</v>
      </c>
      <c r="CT48" s="98">
        <v>1.7370430662785952</v>
      </c>
      <c r="CU48" s="98">
        <v>1507.0585643033091</v>
      </c>
    </row>
    <row r="49" spans="2:99">
      <c r="B49" s="97" t="s">
        <v>129</v>
      </c>
      <c r="C49" s="97" t="s">
        <v>216</v>
      </c>
      <c r="D49" s="98">
        <v>7</v>
      </c>
      <c r="E49" s="98">
        <v>6896.4</v>
      </c>
      <c r="F49" s="98">
        <v>5</v>
      </c>
      <c r="G49" s="98">
        <v>4926</v>
      </c>
      <c r="H49" s="98">
        <v>6</v>
      </c>
      <c r="I49" s="98">
        <v>5911.2</v>
      </c>
      <c r="J49" s="98">
        <v>5</v>
      </c>
      <c r="K49" s="98">
        <v>4926</v>
      </c>
      <c r="L49" s="98">
        <v>8</v>
      </c>
      <c r="M49" s="98">
        <v>7881.5999999999995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7</v>
      </c>
      <c r="S49" s="98">
        <v>6896.4</v>
      </c>
      <c r="T49" s="98">
        <v>7</v>
      </c>
      <c r="U49" s="98">
        <v>6896.4</v>
      </c>
      <c r="V49" s="98">
        <v>7</v>
      </c>
      <c r="W49" s="98">
        <v>6896.4</v>
      </c>
      <c r="X49" s="98">
        <v>9</v>
      </c>
      <c r="Y49" s="98">
        <v>8866.7999999999993</v>
      </c>
      <c r="Z49" s="98">
        <v>9</v>
      </c>
      <c r="AA49" s="98">
        <v>8866.7999999999993</v>
      </c>
      <c r="AB49" s="98">
        <v>4</v>
      </c>
      <c r="AC49" s="98">
        <v>3940.7999999999997</v>
      </c>
      <c r="AD49" s="98">
        <v>5</v>
      </c>
      <c r="AE49" s="98">
        <v>4926</v>
      </c>
      <c r="AF49" s="98">
        <v>9</v>
      </c>
      <c r="AG49" s="98">
        <v>8866.7999999999993</v>
      </c>
      <c r="AH49" s="98">
        <v>5</v>
      </c>
      <c r="AI49" s="98">
        <v>4926</v>
      </c>
      <c r="AJ49" s="98">
        <v>3.6750845752070891</v>
      </c>
      <c r="AK49" s="98">
        <v>3620.6933234940238</v>
      </c>
      <c r="AL49" s="98">
        <v>0.73237052540987146</v>
      </c>
      <c r="AM49" s="98">
        <v>721.53144163380534</v>
      </c>
      <c r="AN49" s="98">
        <v>0.80027414817646036</v>
      </c>
      <c r="AO49" s="98">
        <v>788.43009078344869</v>
      </c>
      <c r="AP49" s="98">
        <v>0.82757672939703575</v>
      </c>
      <c r="AQ49" s="98">
        <v>815.32859380195953</v>
      </c>
      <c r="AR49" s="98">
        <v>1.0812547607216934</v>
      </c>
      <c r="AS49" s="98">
        <v>1065.2521902630122</v>
      </c>
      <c r="AT49" s="98">
        <v>0.67572657089816146</v>
      </c>
      <c r="AU49" s="98">
        <v>665.72581764886866</v>
      </c>
      <c r="AV49" s="98">
        <v>0.72545925285934687</v>
      </c>
      <c r="AW49" s="98">
        <v>714.72245591702847</v>
      </c>
      <c r="AX49" s="98">
        <v>1.0635692719297287</v>
      </c>
      <c r="AY49" s="98">
        <v>1047.8284467051687</v>
      </c>
      <c r="AZ49" s="98">
        <v>1.0537507954752856</v>
      </c>
      <c r="BA49" s="98">
        <v>1038.1552837022514</v>
      </c>
      <c r="BB49" s="98">
        <v>1.1415830065004644</v>
      </c>
      <c r="BC49" s="98">
        <v>1124.6875780042574</v>
      </c>
      <c r="BD49" s="98">
        <v>0.97760620921410857</v>
      </c>
      <c r="BE49" s="98">
        <v>963.13763731773975</v>
      </c>
      <c r="BF49" s="98">
        <v>0.65585839672653046</v>
      </c>
      <c r="BG49" s="98">
        <v>646.15169245497771</v>
      </c>
      <c r="BH49" s="98">
        <v>1.297851345493295</v>
      </c>
      <c r="BI49" s="98">
        <v>1278.6431455799941</v>
      </c>
      <c r="BJ49" s="98">
        <v>0.78939211754393346</v>
      </c>
      <c r="BK49" s="98">
        <v>777.7091142042832</v>
      </c>
      <c r="BL49" s="98">
        <v>0.86449165876157485</v>
      </c>
      <c r="BM49" s="98">
        <v>851.69718221190351</v>
      </c>
      <c r="BN49" s="98">
        <v>0.66430076475485533</v>
      </c>
      <c r="BO49" s="98">
        <v>654.46911343648344</v>
      </c>
      <c r="BP49" s="98">
        <v>0.76564376584140403</v>
      </c>
      <c r="BQ49" s="98">
        <v>754.31223810695121</v>
      </c>
      <c r="BR49" s="98">
        <v>1.2815403949171287</v>
      </c>
      <c r="BS49" s="98">
        <v>1262.5735970723551</v>
      </c>
      <c r="BT49" s="98">
        <v>0.9334054374144598</v>
      </c>
      <c r="BU49" s="98">
        <v>919.59103694072576</v>
      </c>
      <c r="BV49" s="98">
        <v>0.85214148571068182</v>
      </c>
      <c r="BW49" s="98">
        <v>839.52979172216362</v>
      </c>
      <c r="BX49" s="98">
        <v>0.71080885445176234</v>
      </c>
      <c r="BY49" s="98">
        <v>700.28888340587616</v>
      </c>
      <c r="BZ49" s="98">
        <v>0.6426159962824165</v>
      </c>
      <c r="CA49" s="98">
        <v>633.10527953743667</v>
      </c>
      <c r="CB49" s="98">
        <v>0.61579694318272882</v>
      </c>
      <c r="CC49" s="98">
        <v>606.6831484236244</v>
      </c>
      <c r="CD49" s="98">
        <v>0.70886197028062603</v>
      </c>
      <c r="CE49" s="98">
        <v>698.37081312047269</v>
      </c>
      <c r="CF49" s="98">
        <v>1.0023102078101707</v>
      </c>
      <c r="CG49" s="98">
        <v>987.47601673458007</v>
      </c>
      <c r="CH49" s="98">
        <v>0.99700026494198946</v>
      </c>
      <c r="CI49" s="98">
        <v>982.24466102084796</v>
      </c>
      <c r="CJ49" s="98">
        <v>0.44570423078150578</v>
      </c>
      <c r="CK49" s="98">
        <v>439.10780816593945</v>
      </c>
      <c r="CL49" s="98">
        <v>1.1759286860984481</v>
      </c>
      <c r="CM49" s="98">
        <v>1158.5249415441911</v>
      </c>
      <c r="CN49" s="98">
        <v>0.50027910519067031</v>
      </c>
      <c r="CO49" s="98">
        <v>492.87497443384837</v>
      </c>
      <c r="CP49" s="98">
        <v>0.67215710972989229</v>
      </c>
      <c r="CQ49" s="98">
        <v>662.20918450588988</v>
      </c>
      <c r="CR49" s="98">
        <v>0.85745030470432038</v>
      </c>
      <c r="CS49" s="98">
        <v>844.76004019469633</v>
      </c>
      <c r="CT49" s="98">
        <v>0.85636567955342913</v>
      </c>
      <c r="CU49" s="98">
        <v>843.69146749603829</v>
      </c>
    </row>
    <row r="50" spans="2:99">
      <c r="C50" s="97" t="s">
        <v>217</v>
      </c>
      <c r="D50" s="98">
        <v>7</v>
      </c>
      <c r="E50" s="98">
        <v>1974</v>
      </c>
      <c r="F50" s="98">
        <v>5</v>
      </c>
      <c r="G50" s="98">
        <v>1410</v>
      </c>
      <c r="H50" s="98">
        <v>6</v>
      </c>
      <c r="I50" s="98">
        <v>1692</v>
      </c>
      <c r="J50" s="98">
        <v>5</v>
      </c>
      <c r="K50" s="98">
        <v>1410</v>
      </c>
      <c r="L50" s="98">
        <v>9</v>
      </c>
      <c r="M50" s="98">
        <v>2538</v>
      </c>
      <c r="N50" s="98">
        <v>5</v>
      </c>
      <c r="O50" s="98">
        <v>1410</v>
      </c>
      <c r="P50" s="98">
        <v>5</v>
      </c>
      <c r="Q50" s="98">
        <v>1410</v>
      </c>
      <c r="R50" s="98">
        <v>7</v>
      </c>
      <c r="S50" s="98">
        <v>1974</v>
      </c>
      <c r="T50" s="98">
        <v>7</v>
      </c>
      <c r="U50" s="98">
        <v>1974</v>
      </c>
      <c r="V50" s="98">
        <v>8</v>
      </c>
      <c r="W50" s="98">
        <v>2256</v>
      </c>
      <c r="X50" s="98">
        <v>9</v>
      </c>
      <c r="Y50" s="98">
        <v>2538</v>
      </c>
      <c r="Z50" s="98">
        <v>6.1393912945010536</v>
      </c>
      <c r="AA50" s="98">
        <v>1731.308345049297</v>
      </c>
      <c r="AB50" s="98">
        <v>0.7798344751778904</v>
      </c>
      <c r="AC50" s="98">
        <v>219.9133220001651</v>
      </c>
      <c r="AD50" s="98">
        <v>0.86428484273373996</v>
      </c>
      <c r="AE50" s="98">
        <v>243.72832565091466</v>
      </c>
      <c r="AF50" s="98">
        <v>1.1182367004514377</v>
      </c>
      <c r="AG50" s="98">
        <v>315.34274952730544</v>
      </c>
      <c r="AH50" s="98">
        <v>0.80535633072916679</v>
      </c>
      <c r="AI50" s="98">
        <v>227.11048526562504</v>
      </c>
      <c r="AJ50" s="98">
        <v>0.77370477187954889</v>
      </c>
      <c r="AK50" s="98">
        <v>218.18474567003278</v>
      </c>
      <c r="AL50" s="98">
        <v>1.0754378923242289</v>
      </c>
      <c r="AM50" s="98">
        <v>303.27348563543256</v>
      </c>
      <c r="AN50" s="98">
        <v>0.95599852208857938</v>
      </c>
      <c r="AO50" s="98">
        <v>269.5915832289794</v>
      </c>
      <c r="AP50" s="98">
        <v>1.011622144635332</v>
      </c>
      <c r="AQ50" s="98">
        <v>285.27744478716363</v>
      </c>
      <c r="AR50" s="98">
        <v>1.0369972820425726</v>
      </c>
      <c r="AS50" s="98">
        <v>292.43323353600545</v>
      </c>
      <c r="AT50" s="98">
        <v>0.93088472553633994</v>
      </c>
      <c r="AU50" s="98">
        <v>262.50949260124787</v>
      </c>
      <c r="AV50" s="98">
        <v>1.1406334297880902</v>
      </c>
      <c r="AW50" s="98">
        <v>321.65862720024143</v>
      </c>
      <c r="AX50" s="98">
        <v>1.0266959845388386</v>
      </c>
      <c r="AY50" s="98">
        <v>289.5282676399525</v>
      </c>
      <c r="AZ50" s="98">
        <v>0.92040723511904776</v>
      </c>
      <c r="BA50" s="98">
        <v>259.5548403035715</v>
      </c>
      <c r="BB50" s="98">
        <v>1.2094088243031857</v>
      </c>
      <c r="BC50" s="98">
        <v>341.0532884534984</v>
      </c>
      <c r="BD50" s="98">
        <v>1.1811892850694448</v>
      </c>
      <c r="BE50" s="98">
        <v>333.0953783895834</v>
      </c>
      <c r="BF50" s="98">
        <v>0.90397139163477902</v>
      </c>
      <c r="BG50" s="98">
        <v>254.91993244100769</v>
      </c>
      <c r="BH50" s="98">
        <v>0.85771006177241838</v>
      </c>
      <c r="BI50" s="98">
        <v>241.87423741982198</v>
      </c>
      <c r="BJ50" s="98">
        <v>1.0625390870189906</v>
      </c>
      <c r="BK50" s="98">
        <v>299.63602253935534</v>
      </c>
      <c r="BL50" s="98">
        <v>0.89484036747685214</v>
      </c>
      <c r="BM50" s="98">
        <v>252.34498362847231</v>
      </c>
      <c r="BN50" s="98">
        <v>0.76501896701388905</v>
      </c>
      <c r="BO50" s="98">
        <v>215.73534869791672</v>
      </c>
      <c r="BP50" s="98">
        <v>1.3938859570312503</v>
      </c>
      <c r="BQ50" s="98">
        <v>393.0758398828126</v>
      </c>
      <c r="BR50" s="98">
        <v>0.93392225099617232</v>
      </c>
      <c r="BS50" s="98">
        <v>263.3660747809206</v>
      </c>
      <c r="BT50" s="98">
        <v>0.89355097213466639</v>
      </c>
      <c r="BU50" s="98">
        <v>251.98137414197592</v>
      </c>
      <c r="BV50" s="98">
        <v>1.1637332857827041</v>
      </c>
      <c r="BW50" s="98">
        <v>328.17278659072252</v>
      </c>
      <c r="BX50" s="98">
        <v>0.87712075623968666</v>
      </c>
      <c r="BY50" s="98">
        <v>247.34805325959164</v>
      </c>
      <c r="BZ50" s="98">
        <v>0.71906815243675604</v>
      </c>
      <c r="CA50" s="98">
        <v>202.77721898716521</v>
      </c>
      <c r="CB50" s="98">
        <v>1.1034241542018834</v>
      </c>
      <c r="CC50" s="98">
        <v>311.16561148493111</v>
      </c>
      <c r="CD50" s="98">
        <v>0.89873097777022959</v>
      </c>
      <c r="CE50" s="98">
        <v>253.44213573120476</v>
      </c>
      <c r="CF50" s="98">
        <v>0.98432440422453726</v>
      </c>
      <c r="CG50" s="98">
        <v>277.57948199131948</v>
      </c>
      <c r="CH50" s="98">
        <v>1.1857062613029798</v>
      </c>
      <c r="CI50" s="98">
        <v>334.36916568744033</v>
      </c>
      <c r="CJ50" s="98">
        <v>0.59696223975881635</v>
      </c>
      <c r="CK50" s="98">
        <v>168.34335161198621</v>
      </c>
      <c r="CL50" s="98">
        <v>0.89743035406868077</v>
      </c>
      <c r="CM50" s="98">
        <v>253.07535984736796</v>
      </c>
      <c r="CN50" s="98">
        <v>0.58765636073106697</v>
      </c>
      <c r="CO50" s="98">
        <v>165.71909372616088</v>
      </c>
      <c r="CP50" s="98">
        <v>1.1143295142164573</v>
      </c>
      <c r="CQ50" s="98">
        <v>314.24092300904096</v>
      </c>
      <c r="CR50" s="98">
        <v>0.95901701088182256</v>
      </c>
      <c r="CS50" s="98">
        <v>270.44279706867394</v>
      </c>
      <c r="CT50" s="98">
        <v>0.94747803615196091</v>
      </c>
      <c r="CU50" s="98">
        <v>267.18880619485299</v>
      </c>
    </row>
    <row r="51" spans="2:99">
      <c r="C51" s="97" t="s">
        <v>218</v>
      </c>
      <c r="D51" s="98">
        <v>6</v>
      </c>
      <c r="E51" s="98">
        <v>5126.3999999999996</v>
      </c>
      <c r="F51" s="98">
        <v>5</v>
      </c>
      <c r="G51" s="98">
        <v>4272</v>
      </c>
      <c r="H51" s="98">
        <v>5</v>
      </c>
      <c r="I51" s="98">
        <v>4272</v>
      </c>
      <c r="J51" s="98">
        <v>5</v>
      </c>
      <c r="K51" s="98">
        <v>4272</v>
      </c>
      <c r="L51" s="98">
        <v>9</v>
      </c>
      <c r="M51" s="98">
        <v>7689.5999999999995</v>
      </c>
      <c r="N51" s="98">
        <v>5</v>
      </c>
      <c r="O51" s="98">
        <v>4272</v>
      </c>
      <c r="P51" s="98">
        <v>5</v>
      </c>
      <c r="Q51" s="98">
        <v>4272</v>
      </c>
      <c r="R51" s="98">
        <v>7</v>
      </c>
      <c r="S51" s="98">
        <v>5980.8</v>
      </c>
      <c r="T51" s="98">
        <v>7</v>
      </c>
      <c r="U51" s="98">
        <v>5980.8</v>
      </c>
      <c r="V51" s="98">
        <v>8</v>
      </c>
      <c r="W51" s="98">
        <v>6835.2</v>
      </c>
      <c r="X51" s="98">
        <v>9</v>
      </c>
      <c r="Y51" s="98">
        <v>7689.5999999999995</v>
      </c>
      <c r="Z51" s="98">
        <v>5.4572367062231582</v>
      </c>
      <c r="AA51" s="98">
        <v>4662.6630417970664</v>
      </c>
      <c r="AB51" s="98">
        <v>0.7798344751778904</v>
      </c>
      <c r="AC51" s="98">
        <v>666.29057559198952</v>
      </c>
      <c r="AD51" s="98">
        <v>0.86428484273373996</v>
      </c>
      <c r="AE51" s="98">
        <v>738.44496963170741</v>
      </c>
      <c r="AF51" s="98">
        <v>1.1182367004514377</v>
      </c>
      <c r="AG51" s="98">
        <v>955.42143686570842</v>
      </c>
      <c r="AH51" s="98">
        <v>0.80535633072916679</v>
      </c>
      <c r="AI51" s="98">
        <v>688.09644897500004</v>
      </c>
      <c r="AJ51" s="98">
        <v>0.64475397656629074</v>
      </c>
      <c r="AK51" s="98">
        <v>550.87779757823876</v>
      </c>
      <c r="AL51" s="98">
        <v>0.94100815578370023</v>
      </c>
      <c r="AM51" s="98">
        <v>803.9973683015935</v>
      </c>
      <c r="AN51" s="98">
        <v>0.95599852208857938</v>
      </c>
      <c r="AO51" s="98">
        <v>816.80513727248217</v>
      </c>
      <c r="AP51" s="98">
        <v>0.86710469540171298</v>
      </c>
      <c r="AQ51" s="98">
        <v>740.8542517512235</v>
      </c>
      <c r="AR51" s="98">
        <v>1.0369972820425726</v>
      </c>
      <c r="AS51" s="98">
        <v>886.01047777717395</v>
      </c>
      <c r="AT51" s="98">
        <v>0.77573727128028325</v>
      </c>
      <c r="AU51" s="98">
        <v>662.78992458187395</v>
      </c>
      <c r="AV51" s="98">
        <v>0.9505278581567419</v>
      </c>
      <c r="AW51" s="98">
        <v>812.13100200912027</v>
      </c>
      <c r="AX51" s="98">
        <v>1.0266959845388386</v>
      </c>
      <c r="AY51" s="98">
        <v>877.20904918998372</v>
      </c>
      <c r="AZ51" s="98">
        <v>0.80535633072916679</v>
      </c>
      <c r="BA51" s="98">
        <v>688.09644897500004</v>
      </c>
      <c r="BB51" s="98">
        <v>1.2094088243031857</v>
      </c>
      <c r="BC51" s="98">
        <v>1033.3188994846419</v>
      </c>
      <c r="BD51" s="98">
        <v>1.0124479586309525</v>
      </c>
      <c r="BE51" s="98">
        <v>865.03553585428574</v>
      </c>
      <c r="BF51" s="98">
        <v>0.77483262140123921</v>
      </c>
      <c r="BG51" s="98">
        <v>662.01699172521876</v>
      </c>
      <c r="BH51" s="98">
        <v>0.85771006177241838</v>
      </c>
      <c r="BI51" s="98">
        <v>732.82747677835425</v>
      </c>
      <c r="BJ51" s="98">
        <v>1.1953564728963646</v>
      </c>
      <c r="BK51" s="98">
        <v>1021.3125704426539</v>
      </c>
      <c r="BL51" s="98">
        <v>0.89484036747685214</v>
      </c>
      <c r="BM51" s="98">
        <v>764.55160997222242</v>
      </c>
      <c r="BN51" s="98">
        <v>0.91802276041666686</v>
      </c>
      <c r="BO51" s="98">
        <v>784.35864650000019</v>
      </c>
      <c r="BP51" s="98">
        <v>1.2390097395833335</v>
      </c>
      <c r="BQ51" s="98">
        <v>1058.6099215000002</v>
      </c>
      <c r="BR51" s="98">
        <v>1.067339715424197</v>
      </c>
      <c r="BS51" s="98">
        <v>911.93505285843389</v>
      </c>
      <c r="BT51" s="98">
        <v>0.89355097213466639</v>
      </c>
      <c r="BU51" s="98">
        <v>763.44995059185896</v>
      </c>
      <c r="BV51" s="98">
        <v>1.018266625059866</v>
      </c>
      <c r="BW51" s="98">
        <v>870.00700445114944</v>
      </c>
      <c r="BX51" s="98">
        <v>0.73093396353307216</v>
      </c>
      <c r="BY51" s="98">
        <v>624.5099784426568</v>
      </c>
      <c r="BZ51" s="98">
        <v>0.71906815243675604</v>
      </c>
      <c r="CA51" s="98">
        <v>614.37182944196434</v>
      </c>
      <c r="CB51" s="98">
        <v>0.78816011014420251</v>
      </c>
      <c r="CC51" s="98">
        <v>673.40399810720658</v>
      </c>
      <c r="CD51" s="98">
        <v>0.89873097777022959</v>
      </c>
      <c r="CE51" s="98">
        <v>767.8757474068841</v>
      </c>
      <c r="CF51" s="98">
        <v>0.98432440422453726</v>
      </c>
      <c r="CG51" s="98">
        <v>841.00677096944457</v>
      </c>
      <c r="CH51" s="98">
        <v>1.1857062613029798</v>
      </c>
      <c r="CI51" s="98">
        <v>1013.067429657266</v>
      </c>
      <c r="CJ51" s="98">
        <v>0.59696223975881635</v>
      </c>
      <c r="CK51" s="98">
        <v>510.04453764993269</v>
      </c>
      <c r="CL51" s="98">
        <v>1.0256346903642066</v>
      </c>
      <c r="CM51" s="98">
        <v>876.30227944717808</v>
      </c>
      <c r="CN51" s="98">
        <v>0.58765636073106697</v>
      </c>
      <c r="CO51" s="98">
        <v>502.09359460862362</v>
      </c>
      <c r="CP51" s="98">
        <v>0.97503832493940001</v>
      </c>
      <c r="CQ51" s="98">
        <v>833.07274482822334</v>
      </c>
      <c r="CR51" s="98">
        <v>0.95901701088182256</v>
      </c>
      <c r="CS51" s="98">
        <v>819.38413409742918</v>
      </c>
      <c r="CT51" s="98">
        <v>1.1053910421772879</v>
      </c>
      <c r="CU51" s="98">
        <v>944.4461064362747</v>
      </c>
    </row>
    <row r="52" spans="2:99">
      <c r="C52" s="97" t="s">
        <v>219</v>
      </c>
      <c r="D52" s="98">
        <v>7</v>
      </c>
      <c r="E52" s="98">
        <v>3780</v>
      </c>
      <c r="F52" s="98">
        <v>5</v>
      </c>
      <c r="G52" s="98">
        <v>2700</v>
      </c>
      <c r="H52" s="98">
        <v>6</v>
      </c>
      <c r="I52" s="98">
        <v>3240</v>
      </c>
      <c r="J52" s="98">
        <v>5</v>
      </c>
      <c r="K52" s="98">
        <v>2700</v>
      </c>
      <c r="L52" s="98">
        <v>8</v>
      </c>
      <c r="M52" s="98">
        <v>4320</v>
      </c>
      <c r="N52" s="98">
        <v>5</v>
      </c>
      <c r="O52" s="98">
        <v>2700</v>
      </c>
      <c r="P52" s="98">
        <v>4</v>
      </c>
      <c r="Q52" s="98">
        <v>2160</v>
      </c>
      <c r="R52" s="98">
        <v>7</v>
      </c>
      <c r="S52" s="98">
        <v>3780</v>
      </c>
      <c r="T52" s="98">
        <v>7</v>
      </c>
      <c r="U52" s="98">
        <v>3780</v>
      </c>
      <c r="V52" s="98">
        <v>8</v>
      </c>
      <c r="W52" s="98">
        <v>4320</v>
      </c>
      <c r="X52" s="98">
        <v>8</v>
      </c>
      <c r="Y52" s="98">
        <v>4320</v>
      </c>
      <c r="Z52" s="98">
        <v>5.4572367062231582</v>
      </c>
      <c r="AA52" s="98">
        <v>2946.9078213605053</v>
      </c>
      <c r="AB52" s="98">
        <v>0.7798344751778904</v>
      </c>
      <c r="AC52" s="98">
        <v>421.11061659606082</v>
      </c>
      <c r="AD52" s="98">
        <v>0.72023736894478341</v>
      </c>
      <c r="AE52" s="98">
        <v>388.92817923018305</v>
      </c>
      <c r="AF52" s="98">
        <v>1.1182367004514377</v>
      </c>
      <c r="AG52" s="98">
        <v>603.84781824377637</v>
      </c>
      <c r="AH52" s="98">
        <v>0.80535633072916679</v>
      </c>
      <c r="AI52" s="98">
        <v>434.89241859375005</v>
      </c>
      <c r="AJ52" s="98">
        <v>0.77370477187954889</v>
      </c>
      <c r="AK52" s="98">
        <v>417.8005768149564</v>
      </c>
      <c r="AL52" s="98">
        <v>0.94100815578370023</v>
      </c>
      <c r="AM52" s="98">
        <v>508.14440412319811</v>
      </c>
      <c r="AN52" s="98">
        <v>0.95599852208857938</v>
      </c>
      <c r="AO52" s="98">
        <v>516.23920192783282</v>
      </c>
      <c r="AP52" s="98">
        <v>1.011622144635332</v>
      </c>
      <c r="AQ52" s="98">
        <v>546.27595810307923</v>
      </c>
      <c r="AR52" s="98">
        <v>1.0369972820425726</v>
      </c>
      <c r="AS52" s="98">
        <v>559.97853230298915</v>
      </c>
      <c r="AT52" s="98">
        <v>0.93088472553633994</v>
      </c>
      <c r="AU52" s="98">
        <v>502.67775178962358</v>
      </c>
      <c r="AV52" s="98">
        <v>0.9505278581567419</v>
      </c>
      <c r="AW52" s="98">
        <v>513.28504340464065</v>
      </c>
      <c r="AX52" s="98">
        <v>1.1733668394729582</v>
      </c>
      <c r="AY52" s="98">
        <v>633.61809331539746</v>
      </c>
      <c r="AZ52" s="98">
        <v>0.92040723511904776</v>
      </c>
      <c r="BA52" s="98">
        <v>497.01990696428578</v>
      </c>
      <c r="BB52" s="98">
        <v>1.2094088243031857</v>
      </c>
      <c r="BC52" s="98">
        <v>653.08076512372031</v>
      </c>
      <c r="BD52" s="98">
        <v>1.1811892850694448</v>
      </c>
      <c r="BE52" s="98">
        <v>637.84221393750022</v>
      </c>
      <c r="BF52" s="98">
        <v>0.77483262140123921</v>
      </c>
      <c r="BG52" s="98">
        <v>418.40961555666917</v>
      </c>
      <c r="BH52" s="98">
        <v>0.85771006177241838</v>
      </c>
      <c r="BI52" s="98">
        <v>463.16343335710593</v>
      </c>
      <c r="BJ52" s="98">
        <v>1.0625390870189906</v>
      </c>
      <c r="BK52" s="98">
        <v>573.77110699025491</v>
      </c>
      <c r="BL52" s="98">
        <v>0.89484036747685214</v>
      </c>
      <c r="BM52" s="98">
        <v>483.21379843750015</v>
      </c>
      <c r="BN52" s="98">
        <v>0.76501896701388905</v>
      </c>
      <c r="BO52" s="98">
        <v>413.11024218750009</v>
      </c>
      <c r="BP52" s="98">
        <v>1.2390097395833335</v>
      </c>
      <c r="BQ52" s="98">
        <v>669.0652593750001</v>
      </c>
      <c r="BR52" s="98">
        <v>1.067339715424197</v>
      </c>
      <c r="BS52" s="98">
        <v>576.36344632906639</v>
      </c>
      <c r="BT52" s="98">
        <v>0.89355097213466639</v>
      </c>
      <c r="BU52" s="98">
        <v>482.51752495271984</v>
      </c>
      <c r="BV52" s="98">
        <v>1.1637332857827041</v>
      </c>
      <c r="BW52" s="98">
        <v>628.41597432266019</v>
      </c>
      <c r="BX52" s="98">
        <v>0.73093396353307216</v>
      </c>
      <c r="BY52" s="98">
        <v>394.70434030785896</v>
      </c>
      <c r="BZ52" s="98">
        <v>0.57525452194940485</v>
      </c>
      <c r="CA52" s="98">
        <v>310.63744185267859</v>
      </c>
      <c r="CB52" s="98">
        <v>0.94579213217304292</v>
      </c>
      <c r="CC52" s="98">
        <v>510.7277513734432</v>
      </c>
      <c r="CD52" s="98">
        <v>0.89873097777022959</v>
      </c>
      <c r="CE52" s="98">
        <v>485.31472799592399</v>
      </c>
      <c r="CF52" s="98">
        <v>1.1249421762566139</v>
      </c>
      <c r="CG52" s="98">
        <v>607.46877517857149</v>
      </c>
      <c r="CH52" s="98">
        <v>1.0163196525454112</v>
      </c>
      <c r="CI52" s="98">
        <v>548.81261237452202</v>
      </c>
      <c r="CJ52" s="98">
        <v>0.59696223975881635</v>
      </c>
      <c r="CK52" s="98">
        <v>322.35960946976081</v>
      </c>
      <c r="CL52" s="98">
        <v>1.0256346903642066</v>
      </c>
      <c r="CM52" s="98">
        <v>553.84273279667161</v>
      </c>
      <c r="CN52" s="98">
        <v>0.73457045091383377</v>
      </c>
      <c r="CO52" s="98">
        <v>396.66804349347024</v>
      </c>
      <c r="CP52" s="98">
        <v>0.97503832493940001</v>
      </c>
      <c r="CQ52" s="98">
        <v>526.52069546727603</v>
      </c>
      <c r="CR52" s="98">
        <v>0.95901701088182256</v>
      </c>
      <c r="CS52" s="98">
        <v>517.86918587618413</v>
      </c>
      <c r="CT52" s="98">
        <v>0.94747803615196091</v>
      </c>
      <c r="CU52" s="98">
        <v>511.63813952205891</v>
      </c>
    </row>
    <row r="53" spans="2:99">
      <c r="C53" s="97" t="s">
        <v>220</v>
      </c>
      <c r="D53" s="98">
        <v>6</v>
      </c>
      <c r="E53" s="98">
        <v>2440.8000000000002</v>
      </c>
      <c r="F53" s="98">
        <v>5</v>
      </c>
      <c r="G53" s="98">
        <v>2034</v>
      </c>
      <c r="H53" s="98">
        <v>5</v>
      </c>
      <c r="I53" s="98">
        <v>2034</v>
      </c>
      <c r="J53" s="98">
        <v>5</v>
      </c>
      <c r="K53" s="98">
        <v>2034</v>
      </c>
      <c r="L53" s="98">
        <v>8</v>
      </c>
      <c r="M53" s="98">
        <v>3254.4</v>
      </c>
      <c r="N53" s="98">
        <v>5</v>
      </c>
      <c r="O53" s="98">
        <v>2034</v>
      </c>
      <c r="P53" s="98">
        <v>5</v>
      </c>
      <c r="Q53" s="98">
        <v>2034</v>
      </c>
      <c r="R53" s="98">
        <v>6</v>
      </c>
      <c r="S53" s="98">
        <v>2440.8000000000002</v>
      </c>
      <c r="T53" s="98">
        <v>7</v>
      </c>
      <c r="U53" s="98">
        <v>2847.6</v>
      </c>
      <c r="V53" s="98">
        <v>7</v>
      </c>
      <c r="W53" s="98">
        <v>2847.6</v>
      </c>
      <c r="X53" s="98">
        <v>9</v>
      </c>
      <c r="Y53" s="98">
        <v>3661.2000000000003</v>
      </c>
      <c r="Z53" s="98">
        <v>5.4572367062231582</v>
      </c>
      <c r="AA53" s="98">
        <v>2220.0038920915808</v>
      </c>
      <c r="AB53" s="98">
        <v>0.7798344751778904</v>
      </c>
      <c r="AC53" s="98">
        <v>317.23666450236584</v>
      </c>
      <c r="AD53" s="98">
        <v>0.72023736894478341</v>
      </c>
      <c r="AE53" s="98">
        <v>292.99256168673787</v>
      </c>
      <c r="AF53" s="98">
        <v>1.1182367004514377</v>
      </c>
      <c r="AG53" s="98">
        <v>454.89868974364487</v>
      </c>
      <c r="AH53" s="98">
        <v>0.80535633072916679</v>
      </c>
      <c r="AI53" s="98">
        <v>327.61895534062506</v>
      </c>
      <c r="AJ53" s="98">
        <v>0.64475397656629074</v>
      </c>
      <c r="AK53" s="98">
        <v>262.2859176671671</v>
      </c>
      <c r="AL53" s="98">
        <v>0.94100815578370023</v>
      </c>
      <c r="AM53" s="98">
        <v>382.80211777280925</v>
      </c>
      <c r="AN53" s="98">
        <v>0.95599852208857938</v>
      </c>
      <c r="AO53" s="98">
        <v>388.90019878563413</v>
      </c>
      <c r="AP53" s="98">
        <v>1.011622144635332</v>
      </c>
      <c r="AQ53" s="98">
        <v>411.52788843765308</v>
      </c>
      <c r="AR53" s="98">
        <v>1.1851397509057973</v>
      </c>
      <c r="AS53" s="98">
        <v>482.11485066847831</v>
      </c>
      <c r="AT53" s="98">
        <v>0.93088472553633994</v>
      </c>
      <c r="AU53" s="98">
        <v>378.68390634818309</v>
      </c>
      <c r="AV53" s="98">
        <v>0.9505278581567419</v>
      </c>
      <c r="AW53" s="98">
        <v>386.67473269816264</v>
      </c>
      <c r="AX53" s="98">
        <v>1.1733668394729582</v>
      </c>
      <c r="AY53" s="98">
        <v>477.32563029759939</v>
      </c>
      <c r="AZ53" s="98">
        <v>0.80535633072916679</v>
      </c>
      <c r="BA53" s="98">
        <v>327.61895534062506</v>
      </c>
      <c r="BB53" s="98">
        <v>1.2094088243031857</v>
      </c>
      <c r="BC53" s="98">
        <v>491.98750972653596</v>
      </c>
      <c r="BD53" s="98">
        <v>1.0124479586309525</v>
      </c>
      <c r="BE53" s="98">
        <v>411.86382957107151</v>
      </c>
      <c r="BF53" s="98">
        <v>0.90397139163477902</v>
      </c>
      <c r="BG53" s="98">
        <v>367.73556211702811</v>
      </c>
      <c r="BH53" s="98">
        <v>0.98024007059704954</v>
      </c>
      <c r="BI53" s="98">
        <v>398.76166071887974</v>
      </c>
      <c r="BJ53" s="98">
        <v>1.1953564728963646</v>
      </c>
      <c r="BK53" s="98">
        <v>486.27101317424115</v>
      </c>
      <c r="BL53" s="98">
        <v>0.89484036747685214</v>
      </c>
      <c r="BM53" s="98">
        <v>364.02106148958347</v>
      </c>
      <c r="BN53" s="98">
        <v>0.76501896701388905</v>
      </c>
      <c r="BO53" s="98">
        <v>311.20971578125005</v>
      </c>
      <c r="BP53" s="98">
        <v>1.3938859570312503</v>
      </c>
      <c r="BQ53" s="98">
        <v>567.0328073203126</v>
      </c>
      <c r="BR53" s="98">
        <v>1.067339715424197</v>
      </c>
      <c r="BS53" s="98">
        <v>434.19379623456337</v>
      </c>
      <c r="BT53" s="98">
        <v>0.89355097213466639</v>
      </c>
      <c r="BU53" s="98">
        <v>363.4965354643823</v>
      </c>
      <c r="BV53" s="98">
        <v>1.1637332857827041</v>
      </c>
      <c r="BW53" s="98">
        <v>473.40670065640404</v>
      </c>
      <c r="BX53" s="98">
        <v>0.73093396353307216</v>
      </c>
      <c r="BY53" s="98">
        <v>297.34393636525374</v>
      </c>
      <c r="BZ53" s="98">
        <v>0.71906815243675604</v>
      </c>
      <c r="CA53" s="98">
        <v>292.51692441127238</v>
      </c>
      <c r="CB53" s="98">
        <v>0.94579213217304292</v>
      </c>
      <c r="CC53" s="98">
        <v>384.74823936799385</v>
      </c>
      <c r="CD53" s="98">
        <v>0.7703408380887683</v>
      </c>
      <c r="CE53" s="98">
        <v>313.37465293451095</v>
      </c>
      <c r="CF53" s="98">
        <v>1.1249421762566139</v>
      </c>
      <c r="CG53" s="98">
        <v>457.6264773011905</v>
      </c>
      <c r="CH53" s="98">
        <v>1.0163196525454112</v>
      </c>
      <c r="CI53" s="98">
        <v>413.43883465547333</v>
      </c>
      <c r="CJ53" s="98">
        <v>0.59696223975881635</v>
      </c>
      <c r="CK53" s="98">
        <v>242.8442391338865</v>
      </c>
      <c r="CL53" s="98">
        <v>1.0256346903642066</v>
      </c>
      <c r="CM53" s="98">
        <v>417.22819204015929</v>
      </c>
      <c r="CN53" s="98">
        <v>0.73457045091383377</v>
      </c>
      <c r="CO53" s="98">
        <v>298.8232594317476</v>
      </c>
      <c r="CP53" s="98">
        <v>0.97503832493940001</v>
      </c>
      <c r="CQ53" s="98">
        <v>396.64559058534792</v>
      </c>
      <c r="CR53" s="98">
        <v>0.95901701088182256</v>
      </c>
      <c r="CS53" s="98">
        <v>390.12812002672541</v>
      </c>
      <c r="CT53" s="98">
        <v>0.94747803615196091</v>
      </c>
      <c r="CU53" s="98">
        <v>385.43406510661771</v>
      </c>
    </row>
    <row r="54" spans="2:99">
      <c r="C54" s="97" t="s">
        <v>221</v>
      </c>
      <c r="D54" s="98">
        <v>7</v>
      </c>
      <c r="E54" s="98">
        <v>2343.6</v>
      </c>
      <c r="F54" s="98">
        <v>5</v>
      </c>
      <c r="G54" s="98">
        <v>1674</v>
      </c>
      <c r="H54" s="98">
        <v>5</v>
      </c>
      <c r="I54" s="98">
        <v>1674</v>
      </c>
      <c r="J54" s="98">
        <v>5</v>
      </c>
      <c r="K54" s="98">
        <v>1674</v>
      </c>
      <c r="L54" s="98">
        <v>9</v>
      </c>
      <c r="M54" s="98">
        <v>3013.2000000000003</v>
      </c>
      <c r="N54" s="98">
        <v>5</v>
      </c>
      <c r="O54" s="98">
        <v>1674</v>
      </c>
      <c r="P54" s="98">
        <v>5</v>
      </c>
      <c r="Q54" s="98">
        <v>1674</v>
      </c>
      <c r="R54" s="98">
        <v>6</v>
      </c>
      <c r="S54" s="98">
        <v>2008.8000000000002</v>
      </c>
      <c r="T54" s="98">
        <v>6</v>
      </c>
      <c r="U54" s="98">
        <v>2008.8000000000002</v>
      </c>
      <c r="V54" s="98">
        <v>7</v>
      </c>
      <c r="W54" s="98">
        <v>2343.6</v>
      </c>
      <c r="X54" s="98">
        <v>9</v>
      </c>
      <c r="Y54" s="98">
        <v>3013.2000000000003</v>
      </c>
      <c r="Z54" s="98">
        <v>6.1393912945010536</v>
      </c>
      <c r="AA54" s="98">
        <v>2055.4682053989527</v>
      </c>
      <c r="AB54" s="98">
        <v>0.7798344751778904</v>
      </c>
      <c r="AC54" s="98">
        <v>261.08858228955773</v>
      </c>
      <c r="AD54" s="98">
        <v>0.86428484273373996</v>
      </c>
      <c r="AE54" s="98">
        <v>289.36256534725612</v>
      </c>
      <c r="AF54" s="98">
        <v>1.1182367004514377</v>
      </c>
      <c r="AG54" s="98">
        <v>374.38564731114138</v>
      </c>
      <c r="AH54" s="98">
        <v>0.80535633072916679</v>
      </c>
      <c r="AI54" s="98">
        <v>269.63329952812506</v>
      </c>
      <c r="AJ54" s="98">
        <v>0.64475397656629074</v>
      </c>
      <c r="AK54" s="98">
        <v>215.86363135439416</v>
      </c>
      <c r="AL54" s="98">
        <v>0.94100815578370023</v>
      </c>
      <c r="AM54" s="98">
        <v>315.04953055638282</v>
      </c>
      <c r="AN54" s="98">
        <v>0.95599852208857938</v>
      </c>
      <c r="AO54" s="98">
        <v>320.06830519525641</v>
      </c>
      <c r="AP54" s="98">
        <v>1.011622144635332</v>
      </c>
      <c r="AQ54" s="98">
        <v>338.69109402390916</v>
      </c>
      <c r="AR54" s="98">
        <v>1.1851397509057973</v>
      </c>
      <c r="AS54" s="98">
        <v>396.78478860326095</v>
      </c>
      <c r="AT54" s="98">
        <v>0.93088472553633994</v>
      </c>
      <c r="AU54" s="98">
        <v>311.66020610956662</v>
      </c>
      <c r="AV54" s="98">
        <v>0.9505278581567419</v>
      </c>
      <c r="AW54" s="98">
        <v>318.23672691087722</v>
      </c>
      <c r="AX54" s="98">
        <v>1.1733668394729582</v>
      </c>
      <c r="AY54" s="98">
        <v>392.84321785554641</v>
      </c>
      <c r="AZ54" s="98">
        <v>0.80535633072916679</v>
      </c>
      <c r="BA54" s="98">
        <v>269.63329952812506</v>
      </c>
      <c r="BB54" s="98">
        <v>1.2094088243031857</v>
      </c>
      <c r="BC54" s="98">
        <v>404.91007437670658</v>
      </c>
      <c r="BD54" s="98">
        <v>1.0124479586309525</v>
      </c>
      <c r="BE54" s="98">
        <v>338.9675765496429</v>
      </c>
      <c r="BF54" s="98">
        <v>0.77483262140123921</v>
      </c>
      <c r="BG54" s="98">
        <v>259.41396164513492</v>
      </c>
      <c r="BH54" s="98">
        <v>0.98024007059704954</v>
      </c>
      <c r="BI54" s="98">
        <v>328.1843756358922</v>
      </c>
      <c r="BJ54" s="98">
        <v>1.0625390870189906</v>
      </c>
      <c r="BK54" s="98">
        <v>355.73808633395805</v>
      </c>
      <c r="BL54" s="98">
        <v>0.74570030623071004</v>
      </c>
      <c r="BM54" s="98">
        <v>249.66046252604173</v>
      </c>
      <c r="BN54" s="98">
        <v>0.91802276041666686</v>
      </c>
      <c r="BO54" s="98">
        <v>307.35402018750005</v>
      </c>
      <c r="BP54" s="98">
        <v>1.2390097395833335</v>
      </c>
      <c r="BQ54" s="98">
        <v>414.82046081250007</v>
      </c>
      <c r="BR54" s="98">
        <v>0.93392225099617232</v>
      </c>
      <c r="BS54" s="98">
        <v>312.67716963351853</v>
      </c>
      <c r="BT54" s="98">
        <v>0.89355097213466639</v>
      </c>
      <c r="BU54" s="98">
        <v>299.1608654706863</v>
      </c>
      <c r="BV54" s="98">
        <v>1.018266625059866</v>
      </c>
      <c r="BW54" s="98">
        <v>340.91566607004313</v>
      </c>
      <c r="BX54" s="98">
        <v>0.73093396353307216</v>
      </c>
      <c r="BY54" s="98">
        <v>244.71669099087256</v>
      </c>
      <c r="BZ54" s="98">
        <v>0.57525452194940485</v>
      </c>
      <c r="CA54" s="98">
        <v>192.59521394866076</v>
      </c>
      <c r="CB54" s="98">
        <v>0.94579213217304292</v>
      </c>
      <c r="CC54" s="98">
        <v>316.65120585153477</v>
      </c>
      <c r="CD54" s="98">
        <v>0.89873097777022959</v>
      </c>
      <c r="CE54" s="98">
        <v>300.89513135747285</v>
      </c>
      <c r="CF54" s="98">
        <v>0.98432440422453726</v>
      </c>
      <c r="CG54" s="98">
        <v>329.55181053437508</v>
      </c>
      <c r="CH54" s="98">
        <v>1.1857062613029798</v>
      </c>
      <c r="CI54" s="98">
        <v>396.97445628423765</v>
      </c>
      <c r="CJ54" s="98">
        <v>0.59696223975881635</v>
      </c>
      <c r="CK54" s="98">
        <v>199.86295787125172</v>
      </c>
      <c r="CL54" s="98">
        <v>1.0256346903642066</v>
      </c>
      <c r="CM54" s="98">
        <v>343.38249433393639</v>
      </c>
      <c r="CN54" s="98">
        <v>0.73457045091383377</v>
      </c>
      <c r="CO54" s="98">
        <v>245.93418696595157</v>
      </c>
      <c r="CP54" s="98">
        <v>0.97503832493940001</v>
      </c>
      <c r="CQ54" s="98">
        <v>326.44283118971111</v>
      </c>
      <c r="CR54" s="98">
        <v>1.0788941372420502</v>
      </c>
      <c r="CS54" s="98">
        <v>361.21375714863842</v>
      </c>
      <c r="CT54" s="98">
        <v>1.1053910421772879</v>
      </c>
      <c r="CU54" s="98">
        <v>370.08492092095599</v>
      </c>
    </row>
    <row r="55" spans="2:99">
      <c r="C55" s="97" t="s">
        <v>222</v>
      </c>
      <c r="D55" s="98">
        <v>7</v>
      </c>
      <c r="E55" s="98">
        <v>4645.2</v>
      </c>
      <c r="F55" s="98">
        <v>5</v>
      </c>
      <c r="G55" s="98">
        <v>3318</v>
      </c>
      <c r="H55" s="98">
        <v>6</v>
      </c>
      <c r="I55" s="98">
        <v>3981.6000000000004</v>
      </c>
      <c r="J55" s="98">
        <v>5</v>
      </c>
      <c r="K55" s="98">
        <v>3318</v>
      </c>
      <c r="L55" s="98">
        <v>8</v>
      </c>
      <c r="M55" s="98">
        <v>5308.8</v>
      </c>
      <c r="N55" s="98">
        <v>4</v>
      </c>
      <c r="O55" s="98">
        <v>2654.4</v>
      </c>
      <c r="P55" s="98">
        <v>4</v>
      </c>
      <c r="Q55" s="98">
        <v>2654.4</v>
      </c>
      <c r="R55" s="98">
        <v>7</v>
      </c>
      <c r="S55" s="98">
        <v>4645.2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9</v>
      </c>
      <c r="Y55" s="98">
        <v>5972.4000000000005</v>
      </c>
      <c r="Z55" s="98">
        <v>6.1393912945010536</v>
      </c>
      <c r="AA55" s="98">
        <v>4074.1000630308995</v>
      </c>
      <c r="AB55" s="98">
        <v>0.62386758014231236</v>
      </c>
      <c r="AC55" s="98">
        <v>413.99852618243852</v>
      </c>
      <c r="AD55" s="98">
        <v>0.86428484273373996</v>
      </c>
      <c r="AE55" s="98">
        <v>573.53942163810984</v>
      </c>
      <c r="AF55" s="98">
        <v>0.99398817817905583</v>
      </c>
      <c r="AG55" s="98">
        <v>659.61055503962143</v>
      </c>
      <c r="AH55" s="98">
        <v>0.80535633072916679</v>
      </c>
      <c r="AI55" s="98">
        <v>534.43446107187515</v>
      </c>
      <c r="AJ55" s="98">
        <v>0.64475397656629074</v>
      </c>
      <c r="AK55" s="98">
        <v>427.85873884939053</v>
      </c>
      <c r="AL55" s="98">
        <v>0.94100815578370023</v>
      </c>
      <c r="AM55" s="98">
        <v>624.45301217806355</v>
      </c>
      <c r="AN55" s="98">
        <v>0.95599852208857938</v>
      </c>
      <c r="AO55" s="98">
        <v>634.40061925798125</v>
      </c>
      <c r="AP55" s="98">
        <v>1.011622144635332</v>
      </c>
      <c r="AQ55" s="98">
        <v>671.31245518000628</v>
      </c>
      <c r="AR55" s="98">
        <v>1.0369972820425726</v>
      </c>
      <c r="AS55" s="98">
        <v>688.15139636345123</v>
      </c>
      <c r="AT55" s="98">
        <v>0.93088472553633994</v>
      </c>
      <c r="AU55" s="98">
        <v>617.73510386591522</v>
      </c>
      <c r="AV55" s="98">
        <v>0.9505278581567419</v>
      </c>
      <c r="AW55" s="98">
        <v>630.770286672814</v>
      </c>
      <c r="AX55" s="98">
        <v>1.0266959845388386</v>
      </c>
      <c r="AY55" s="98">
        <v>681.31545533997337</v>
      </c>
      <c r="AZ55" s="98">
        <v>0.92040723511904776</v>
      </c>
      <c r="BA55" s="98">
        <v>610.78224122500012</v>
      </c>
      <c r="BB55" s="98">
        <v>1.0582327212652876</v>
      </c>
      <c r="BC55" s="98">
        <v>702.24323383164483</v>
      </c>
      <c r="BD55" s="98">
        <v>1.0124479586309525</v>
      </c>
      <c r="BE55" s="98">
        <v>671.86046534750005</v>
      </c>
      <c r="BF55" s="98">
        <v>0.77483262140123921</v>
      </c>
      <c r="BG55" s="98">
        <v>514.17892756186234</v>
      </c>
      <c r="BH55" s="98">
        <v>0.98024007059704954</v>
      </c>
      <c r="BI55" s="98">
        <v>650.48731084820213</v>
      </c>
      <c r="BJ55" s="98">
        <v>1.0625390870189906</v>
      </c>
      <c r="BK55" s="98">
        <v>705.10093814580216</v>
      </c>
      <c r="BL55" s="98">
        <v>0.74570030623071004</v>
      </c>
      <c r="BM55" s="98">
        <v>494.84672321469918</v>
      </c>
      <c r="BN55" s="98">
        <v>0.76501896701388905</v>
      </c>
      <c r="BO55" s="98">
        <v>507.66658651041678</v>
      </c>
      <c r="BP55" s="98">
        <v>1.3938859570312503</v>
      </c>
      <c r="BQ55" s="98">
        <v>924.98272108593767</v>
      </c>
      <c r="BR55" s="98">
        <v>0.93392225099617232</v>
      </c>
      <c r="BS55" s="98">
        <v>619.75080576105995</v>
      </c>
      <c r="BT55" s="98">
        <v>0.89355097213466639</v>
      </c>
      <c r="BU55" s="98">
        <v>592.96042510856466</v>
      </c>
      <c r="BV55" s="98">
        <v>1.018266625059866</v>
      </c>
      <c r="BW55" s="98">
        <v>675.72173238972709</v>
      </c>
      <c r="BX55" s="98">
        <v>0.73093396353307216</v>
      </c>
      <c r="BY55" s="98">
        <v>485.0477782005467</v>
      </c>
      <c r="BZ55" s="98">
        <v>0.57525452194940485</v>
      </c>
      <c r="CA55" s="98">
        <v>381.73890076562509</v>
      </c>
      <c r="CB55" s="98">
        <v>0.94579213217304292</v>
      </c>
      <c r="CC55" s="98">
        <v>627.6276589100313</v>
      </c>
      <c r="CD55" s="98">
        <v>0.7703408380887683</v>
      </c>
      <c r="CE55" s="98">
        <v>511.19818015570667</v>
      </c>
      <c r="CF55" s="98">
        <v>0.98432440422453726</v>
      </c>
      <c r="CG55" s="98">
        <v>653.19767464340293</v>
      </c>
      <c r="CH55" s="98">
        <v>1.0163196525454112</v>
      </c>
      <c r="CI55" s="98">
        <v>674.42972142913493</v>
      </c>
      <c r="CJ55" s="98">
        <v>0.59696223975881635</v>
      </c>
      <c r="CK55" s="98">
        <v>396.14414230395056</v>
      </c>
      <c r="CL55" s="98">
        <v>1.0256346903642066</v>
      </c>
      <c r="CM55" s="98">
        <v>680.61118052568759</v>
      </c>
      <c r="CN55" s="98">
        <v>0.58765636073106697</v>
      </c>
      <c r="CO55" s="98">
        <v>389.96876098113603</v>
      </c>
      <c r="CP55" s="98">
        <v>0.97503832493940001</v>
      </c>
      <c r="CQ55" s="98">
        <v>647.03543242978583</v>
      </c>
      <c r="CR55" s="98">
        <v>0.83913988452159471</v>
      </c>
      <c r="CS55" s="98">
        <v>556.85322736853027</v>
      </c>
      <c r="CT55" s="98">
        <v>0.94747803615196091</v>
      </c>
      <c r="CU55" s="98">
        <v>628.74642479044132</v>
      </c>
    </row>
    <row r="56" spans="2:99">
      <c r="C56" s="97" t="s">
        <v>223</v>
      </c>
      <c r="D56" s="98">
        <v>0</v>
      </c>
      <c r="E56" s="98">
        <v>0</v>
      </c>
      <c r="F56" s="98">
        <v>0.67765900460621209</v>
      </c>
      <c r="G56" s="98">
        <v>665.19007892145771</v>
      </c>
      <c r="H56" s="98">
        <v>1.052701653478805</v>
      </c>
      <c r="I56" s="98">
        <v>1033.3319430547949</v>
      </c>
      <c r="J56" s="98">
        <v>0.8444246324675011</v>
      </c>
      <c r="K56" s="98">
        <v>828.88721923009905</v>
      </c>
      <c r="L56" s="98">
        <v>1.233773201227951</v>
      </c>
      <c r="M56" s="98">
        <v>1211.0717743253565</v>
      </c>
      <c r="N56" s="98">
        <v>0.80630731137493594</v>
      </c>
      <c r="O56" s="98">
        <v>791.47125684563707</v>
      </c>
      <c r="P56" s="98">
        <v>1.0483966127501496</v>
      </c>
      <c r="Q56" s="98">
        <v>1029.1061150755468</v>
      </c>
      <c r="R56" s="98">
        <v>1.1254778845256681</v>
      </c>
      <c r="S56" s="98">
        <v>1104.7690914503958</v>
      </c>
      <c r="T56" s="98">
        <v>1.3293867457699804</v>
      </c>
      <c r="U56" s="98">
        <v>1304.9260296478126</v>
      </c>
      <c r="V56" s="98">
        <v>1.2503918949845787</v>
      </c>
      <c r="W56" s="98">
        <v>1227.3846841168624</v>
      </c>
      <c r="X56" s="98">
        <v>1.4162424896415053</v>
      </c>
      <c r="Y56" s="98">
        <v>1390.1836278321016</v>
      </c>
      <c r="Z56" s="98">
        <v>1.1492755127728924</v>
      </c>
      <c r="AA56" s="98">
        <v>1128.1288433378711</v>
      </c>
      <c r="AB56" s="98">
        <v>0.68125845346434954</v>
      </c>
      <c r="AC56" s="98">
        <v>668.72329792060543</v>
      </c>
      <c r="AD56" s="98">
        <v>0.74243184369137605</v>
      </c>
      <c r="AE56" s="98">
        <v>728.77109776745465</v>
      </c>
      <c r="AF56" s="98">
        <v>1.2436432580908061</v>
      </c>
      <c r="AG56" s="98">
        <v>1220.7602221419352</v>
      </c>
      <c r="AH56" s="98">
        <v>0.97973737848915943</v>
      </c>
      <c r="AI56" s="98">
        <v>961.71021072495876</v>
      </c>
      <c r="AJ56" s="98">
        <v>0.78750875682982402</v>
      </c>
      <c r="AK56" s="98">
        <v>773.01859570415513</v>
      </c>
      <c r="AL56" s="98">
        <v>0.89972156660880276</v>
      </c>
      <c r="AM56" s="98">
        <v>883.1666897832007</v>
      </c>
      <c r="AN56" s="98">
        <v>0.96241457463141789</v>
      </c>
      <c r="AO56" s="98">
        <v>944.70614645819967</v>
      </c>
      <c r="AP56" s="98">
        <v>0.98746906344379903</v>
      </c>
      <c r="AQ56" s="98">
        <v>969.29963267643302</v>
      </c>
      <c r="AR56" s="98">
        <v>0.95551028147257822</v>
      </c>
      <c r="AS56" s="98">
        <v>937.9288922934827</v>
      </c>
      <c r="AT56" s="98">
        <v>0.94687276049534808</v>
      </c>
      <c r="AU56" s="98">
        <v>929.45030170223356</v>
      </c>
      <c r="AV56" s="98">
        <v>0.78784715721788501</v>
      </c>
      <c r="AW56" s="98">
        <v>773.35076952507586</v>
      </c>
      <c r="AX56" s="98">
        <v>1.4526471195956638</v>
      </c>
      <c r="AY56" s="98">
        <v>1425.9184125951035</v>
      </c>
      <c r="AZ56" s="98">
        <v>1.4772768171962596</v>
      </c>
      <c r="BA56" s="98">
        <v>1450.0949237598484</v>
      </c>
      <c r="BB56" s="98">
        <v>1.0553490653681077</v>
      </c>
      <c r="BC56" s="98">
        <v>1035.9306425653344</v>
      </c>
      <c r="BD56" s="98">
        <v>0.9231235663201095</v>
      </c>
      <c r="BE56" s="98">
        <v>906.13809269981937</v>
      </c>
      <c r="BF56" s="98">
        <v>0.91254173218996437</v>
      </c>
      <c r="BG56" s="98">
        <v>895.75096431766895</v>
      </c>
      <c r="BH56" s="98">
        <v>1.1272764503368526</v>
      </c>
      <c r="BI56" s="98">
        <v>1106.5345636506545</v>
      </c>
      <c r="BJ56" s="98">
        <v>1.4808420198032066</v>
      </c>
      <c r="BK56" s="98">
        <v>1453.5945266388276</v>
      </c>
      <c r="BL56" s="98">
        <v>0.6277063677185255</v>
      </c>
      <c r="BM56" s="98">
        <v>616.1565705525046</v>
      </c>
      <c r="BN56" s="98">
        <v>0.94762407054874498</v>
      </c>
      <c r="BO56" s="98">
        <v>930.18778765064803</v>
      </c>
      <c r="BP56" s="98">
        <v>0.93507354618880922</v>
      </c>
      <c r="BQ56" s="98">
        <v>917.86819293893507</v>
      </c>
      <c r="BR56" s="98">
        <v>0.93514487798717194</v>
      </c>
      <c r="BS56" s="98">
        <v>917.93821223220789</v>
      </c>
      <c r="BT56" s="98">
        <v>0.92830861059692138</v>
      </c>
      <c r="BU56" s="98">
        <v>911.22773216193798</v>
      </c>
      <c r="BV56" s="98">
        <v>0.94349575786678597</v>
      </c>
      <c r="BW56" s="98">
        <v>926.135435922037</v>
      </c>
      <c r="BX56" s="98">
        <v>0.73510143532977568</v>
      </c>
      <c r="BY56" s="98">
        <v>721.57556891970773</v>
      </c>
      <c r="BZ56" s="98">
        <v>0.74083837953211129</v>
      </c>
      <c r="CA56" s="98">
        <v>727.20695334872039</v>
      </c>
      <c r="CB56" s="98">
        <v>0.67768596618625632</v>
      </c>
      <c r="CC56" s="98">
        <v>665.21654440842917</v>
      </c>
      <c r="CD56" s="98">
        <v>1.0427788286604855</v>
      </c>
      <c r="CE56" s="98">
        <v>1023.5916982131325</v>
      </c>
      <c r="CF56" s="98">
        <v>1.1312590903839708</v>
      </c>
      <c r="CG56" s="98">
        <v>1110.4439231209055</v>
      </c>
      <c r="CH56" s="98">
        <v>1.3946426402052765</v>
      </c>
      <c r="CI56" s="98">
        <v>1368.9812156254993</v>
      </c>
      <c r="CJ56" s="98">
        <v>0.53461536125823628</v>
      </c>
      <c r="CK56" s="98">
        <v>524.77843861108465</v>
      </c>
      <c r="CL56" s="98">
        <v>0.96567040190901654</v>
      </c>
      <c r="CM56" s="98">
        <v>947.90206651389053</v>
      </c>
      <c r="CN56" s="98">
        <v>0.81762174287612754</v>
      </c>
      <c r="CO56" s="98">
        <v>802.57750280720677</v>
      </c>
      <c r="CP56" s="98">
        <v>1.0773334846286464</v>
      </c>
      <c r="CQ56" s="98">
        <v>1057.5105485114793</v>
      </c>
      <c r="CR56" s="98">
        <v>1.0298177833690083</v>
      </c>
      <c r="CS56" s="98">
        <v>1010.8691361550185</v>
      </c>
      <c r="CT56" s="98">
        <v>0.76448019329050065</v>
      </c>
      <c r="CU56" s="98">
        <v>750.41375773395532</v>
      </c>
    </row>
    <row r="57" spans="2:99">
      <c r="C57" s="97" t="s">
        <v>224</v>
      </c>
      <c r="D57" s="98">
        <v>6</v>
      </c>
      <c r="E57" s="98">
        <v>8467.2000000000007</v>
      </c>
      <c r="F57" s="98">
        <v>4</v>
      </c>
      <c r="G57" s="98">
        <v>5644.8</v>
      </c>
      <c r="H57" s="98">
        <v>5</v>
      </c>
      <c r="I57" s="98">
        <v>7056</v>
      </c>
      <c r="J57" s="98">
        <v>4</v>
      </c>
      <c r="K57" s="98">
        <v>5644.8</v>
      </c>
      <c r="L57" s="98">
        <v>7</v>
      </c>
      <c r="M57" s="98">
        <v>9878.4</v>
      </c>
      <c r="N57" s="98">
        <v>5</v>
      </c>
      <c r="O57" s="98">
        <v>7056</v>
      </c>
      <c r="P57" s="98">
        <v>5</v>
      </c>
      <c r="Q57" s="98">
        <v>7056</v>
      </c>
      <c r="R57" s="98">
        <v>7</v>
      </c>
      <c r="S57" s="98">
        <v>9878.4</v>
      </c>
      <c r="T57" s="98">
        <v>6</v>
      </c>
      <c r="U57" s="98">
        <v>8467.2000000000007</v>
      </c>
      <c r="V57" s="98">
        <v>7</v>
      </c>
      <c r="W57" s="98">
        <v>9878.4</v>
      </c>
      <c r="X57" s="98">
        <v>8</v>
      </c>
      <c r="Y57" s="98">
        <v>11289.6</v>
      </c>
      <c r="Z57" s="98">
        <v>5.4572367062231582</v>
      </c>
      <c r="AA57" s="98">
        <v>7701.2524398221212</v>
      </c>
      <c r="AB57" s="98">
        <v>0.7798344751778904</v>
      </c>
      <c r="AC57" s="98">
        <v>1100.502411371039</v>
      </c>
      <c r="AD57" s="98">
        <v>0.86428484273373996</v>
      </c>
      <c r="AE57" s="98">
        <v>1219.6787700658538</v>
      </c>
      <c r="AF57" s="98">
        <v>0.99398817817905583</v>
      </c>
      <c r="AG57" s="98">
        <v>1402.7161170462837</v>
      </c>
      <c r="AH57" s="98">
        <v>0.64428506458333346</v>
      </c>
      <c r="AI57" s="98">
        <v>909.21508314000016</v>
      </c>
      <c r="AJ57" s="98">
        <v>0.51580318125303259</v>
      </c>
      <c r="AK57" s="98">
        <v>727.90144938427966</v>
      </c>
      <c r="AL57" s="98">
        <v>1.0754378923242289</v>
      </c>
      <c r="AM57" s="98">
        <v>1517.6579536479519</v>
      </c>
      <c r="AN57" s="98">
        <v>0.95599852208857938</v>
      </c>
      <c r="AO57" s="98">
        <v>1349.1051143714033</v>
      </c>
      <c r="AP57" s="98">
        <v>1.011622144635332</v>
      </c>
      <c r="AQ57" s="98">
        <v>1427.6011705093806</v>
      </c>
      <c r="AR57" s="98">
        <v>1.1851397509057973</v>
      </c>
      <c r="AS57" s="98">
        <v>1672.4692164782612</v>
      </c>
      <c r="AT57" s="98">
        <v>0.77573727128028325</v>
      </c>
      <c r="AU57" s="98">
        <v>1094.7204372307358</v>
      </c>
      <c r="AV57" s="98">
        <v>0.76042228652539356</v>
      </c>
      <c r="AW57" s="98">
        <v>1073.1079307446355</v>
      </c>
      <c r="AX57" s="98">
        <v>1.0266959845388386</v>
      </c>
      <c r="AY57" s="98">
        <v>1448.8733733812091</v>
      </c>
      <c r="AZ57" s="98">
        <v>0.92040723511904776</v>
      </c>
      <c r="BA57" s="98">
        <v>1298.8786902000002</v>
      </c>
      <c r="BB57" s="98">
        <v>1.0582327212652876</v>
      </c>
      <c r="BC57" s="98">
        <v>1493.3780162495739</v>
      </c>
      <c r="BD57" s="98">
        <v>1.0124479586309525</v>
      </c>
      <c r="BE57" s="98">
        <v>1428.7665592200003</v>
      </c>
      <c r="BF57" s="98">
        <v>0.90397139163477902</v>
      </c>
      <c r="BG57" s="98">
        <v>1275.6844278750002</v>
      </c>
      <c r="BH57" s="98">
        <v>0.85771006177241838</v>
      </c>
      <c r="BI57" s="98">
        <v>1210.4004391732369</v>
      </c>
      <c r="BJ57" s="98">
        <v>1.1953564728963646</v>
      </c>
      <c r="BK57" s="98">
        <v>1686.8870545513498</v>
      </c>
      <c r="BL57" s="98">
        <v>0.89484036747685214</v>
      </c>
      <c r="BM57" s="98">
        <v>1262.7987265833337</v>
      </c>
      <c r="BN57" s="98">
        <v>0.76501896701388905</v>
      </c>
      <c r="BO57" s="98">
        <v>1079.5947662500002</v>
      </c>
      <c r="BP57" s="98">
        <v>1.2390097395833335</v>
      </c>
      <c r="BQ57" s="98">
        <v>1748.4905445000002</v>
      </c>
      <c r="BR57" s="98">
        <v>0.93392225099617232</v>
      </c>
      <c r="BS57" s="98">
        <v>1317.9510806057983</v>
      </c>
      <c r="BT57" s="98">
        <v>0.89355097213466639</v>
      </c>
      <c r="BU57" s="98">
        <v>1260.9791318764412</v>
      </c>
      <c r="BV57" s="98">
        <v>0.87279996433702811</v>
      </c>
      <c r="BW57" s="98">
        <v>1231.6953096724142</v>
      </c>
      <c r="BX57" s="98">
        <v>0.73093396353307216</v>
      </c>
      <c r="BY57" s="98">
        <v>1031.4940093378714</v>
      </c>
      <c r="BZ57" s="98">
        <v>0.57525452194940485</v>
      </c>
      <c r="CA57" s="98">
        <v>811.7991813750001</v>
      </c>
      <c r="CB57" s="98">
        <v>0.78816011014420251</v>
      </c>
      <c r="CC57" s="98">
        <v>1112.2515474354987</v>
      </c>
      <c r="CD57" s="98">
        <v>0.7703408380887683</v>
      </c>
      <c r="CE57" s="98">
        <v>1087.10499071087</v>
      </c>
      <c r="CF57" s="98">
        <v>0.98432440422453726</v>
      </c>
      <c r="CG57" s="98">
        <v>1389.078599241667</v>
      </c>
      <c r="CH57" s="98">
        <v>1.1857062613029798</v>
      </c>
      <c r="CI57" s="98">
        <v>1673.2686759507651</v>
      </c>
      <c r="CJ57" s="98">
        <v>0.47756979180705311</v>
      </c>
      <c r="CK57" s="98">
        <v>673.94649019811334</v>
      </c>
      <c r="CL57" s="98">
        <v>1.0256346903642066</v>
      </c>
      <c r="CM57" s="98">
        <v>1447.3756750419684</v>
      </c>
      <c r="CN57" s="98">
        <v>0.58765636073106697</v>
      </c>
      <c r="CO57" s="98">
        <v>829.30065626368173</v>
      </c>
      <c r="CP57" s="98">
        <v>0.97503832493940001</v>
      </c>
      <c r="CQ57" s="98">
        <v>1375.9740841544813</v>
      </c>
      <c r="CR57" s="98">
        <v>0.83913988452159471</v>
      </c>
      <c r="CS57" s="98">
        <v>1184.1942050368746</v>
      </c>
      <c r="CT57" s="98">
        <v>0.94747803615196091</v>
      </c>
      <c r="CU57" s="98">
        <v>1337.0810046176473</v>
      </c>
    </row>
    <row r="58" spans="2:99">
      <c r="C58" s="97" t="s">
        <v>225</v>
      </c>
      <c r="D58" s="98">
        <v>7</v>
      </c>
      <c r="E58" s="98">
        <v>8240.4</v>
      </c>
      <c r="F58" s="98">
        <v>5</v>
      </c>
      <c r="G58" s="98">
        <v>5886</v>
      </c>
      <c r="H58" s="98">
        <v>5</v>
      </c>
      <c r="I58" s="98">
        <v>5886</v>
      </c>
      <c r="J58" s="98">
        <v>4</v>
      </c>
      <c r="K58" s="98">
        <v>4708.8</v>
      </c>
      <c r="L58" s="98">
        <v>8</v>
      </c>
      <c r="M58" s="98">
        <v>9417.6</v>
      </c>
      <c r="N58" s="98">
        <v>5</v>
      </c>
      <c r="O58" s="98">
        <v>5886</v>
      </c>
      <c r="P58" s="98">
        <v>4</v>
      </c>
      <c r="Q58" s="98">
        <v>4708.8</v>
      </c>
      <c r="R58" s="98">
        <v>6</v>
      </c>
      <c r="S58" s="98">
        <v>7063.2000000000007</v>
      </c>
      <c r="T58" s="98">
        <v>6</v>
      </c>
      <c r="U58" s="98">
        <v>7063.2000000000007</v>
      </c>
      <c r="V58" s="98">
        <v>7</v>
      </c>
      <c r="W58" s="98">
        <v>8240.4</v>
      </c>
      <c r="X58" s="98">
        <v>8</v>
      </c>
      <c r="Y58" s="98">
        <v>9417.6</v>
      </c>
      <c r="Z58" s="98">
        <v>7</v>
      </c>
      <c r="AA58" s="98">
        <v>8240.4</v>
      </c>
      <c r="AB58" s="98">
        <v>4</v>
      </c>
      <c r="AC58" s="98">
        <v>4708.8</v>
      </c>
      <c r="AD58" s="98">
        <v>5</v>
      </c>
      <c r="AE58" s="98">
        <v>5886</v>
      </c>
      <c r="AF58" s="98">
        <v>8</v>
      </c>
      <c r="AG58" s="98">
        <v>9417.6</v>
      </c>
      <c r="AH58" s="98">
        <v>5</v>
      </c>
      <c r="AI58" s="98">
        <v>5886</v>
      </c>
      <c r="AJ58" s="98">
        <v>3.6750845752070891</v>
      </c>
      <c r="AK58" s="98">
        <v>4326.3095619337855</v>
      </c>
      <c r="AL58" s="98">
        <v>0.83407914618589962</v>
      </c>
      <c r="AM58" s="98">
        <v>981.87797089004107</v>
      </c>
      <c r="AN58" s="98">
        <v>0.80027414817646036</v>
      </c>
      <c r="AO58" s="98">
        <v>942.08272723332914</v>
      </c>
      <c r="AP58" s="98">
        <v>0.82636292124740818</v>
      </c>
      <c r="AQ58" s="98">
        <v>972.79443089244899</v>
      </c>
      <c r="AR58" s="98">
        <v>1.0812547607216934</v>
      </c>
      <c r="AS58" s="98">
        <v>1272.8531043215776</v>
      </c>
      <c r="AT58" s="98">
        <v>0.92119150566682539</v>
      </c>
      <c r="AU58" s="98">
        <v>1084.426640470987</v>
      </c>
      <c r="AV58" s="98">
        <v>0.72545925285934687</v>
      </c>
      <c r="AW58" s="98">
        <v>854.01063246602314</v>
      </c>
      <c r="AX58" s="98">
        <v>1.2155077393482616</v>
      </c>
      <c r="AY58" s="98">
        <v>1430.8957107607737</v>
      </c>
      <c r="AZ58" s="98">
        <v>0.92440022701887914</v>
      </c>
      <c r="BA58" s="98">
        <v>1088.2039472466245</v>
      </c>
      <c r="BB58" s="98">
        <v>1.1415830065004644</v>
      </c>
      <c r="BC58" s="98">
        <v>1343.8715152523469</v>
      </c>
      <c r="BD58" s="98">
        <v>0.86578586335414331</v>
      </c>
      <c r="BE58" s="98">
        <v>1019.2031183404976</v>
      </c>
      <c r="BF58" s="98">
        <v>0.65585839672653046</v>
      </c>
      <c r="BG58" s="98">
        <v>772.07650462647166</v>
      </c>
      <c r="BH58" s="98">
        <v>1.2998484723411765</v>
      </c>
      <c r="BI58" s="98">
        <v>1530.181621640033</v>
      </c>
      <c r="BJ58" s="98">
        <v>0.78939211754393346</v>
      </c>
      <c r="BK58" s="98">
        <v>929.27240077271847</v>
      </c>
      <c r="BL58" s="98">
        <v>0.86449165876157485</v>
      </c>
      <c r="BM58" s="98">
        <v>1017.679580694126</v>
      </c>
      <c r="BN58" s="98">
        <v>0.57626048355133797</v>
      </c>
      <c r="BO58" s="98">
        <v>678.37384123663503</v>
      </c>
      <c r="BP58" s="98">
        <v>0.76564376584140403</v>
      </c>
      <c r="BQ58" s="98">
        <v>901.31584114850091</v>
      </c>
      <c r="BR58" s="98">
        <v>1.2815403949171287</v>
      </c>
      <c r="BS58" s="98">
        <v>1508.6293528964438</v>
      </c>
      <c r="BT58" s="98">
        <v>1.0889730103168698</v>
      </c>
      <c r="BU58" s="98">
        <v>1281.9390277450191</v>
      </c>
      <c r="BV58" s="98">
        <v>0.85214148571068182</v>
      </c>
      <c r="BW58" s="98">
        <v>1003.1409569786147</v>
      </c>
      <c r="BX58" s="98">
        <v>0.71080885445176234</v>
      </c>
      <c r="BY58" s="98">
        <v>836.76418346061462</v>
      </c>
      <c r="BZ58" s="98">
        <v>0.80326999535302057</v>
      </c>
      <c r="CA58" s="98">
        <v>945.60943852957587</v>
      </c>
      <c r="CB58" s="98">
        <v>0.61579694318272882</v>
      </c>
      <c r="CC58" s="98">
        <v>724.91616151470839</v>
      </c>
      <c r="CD58" s="98">
        <v>0.82700563199406374</v>
      </c>
      <c r="CE58" s="98">
        <v>973.55102998341192</v>
      </c>
      <c r="CF58" s="98">
        <v>0.87702143183389936</v>
      </c>
      <c r="CG58" s="98">
        <v>1032.4296295548663</v>
      </c>
      <c r="CH58" s="98">
        <v>1.0068126678697997</v>
      </c>
      <c r="CI58" s="98">
        <v>1185.2198726163283</v>
      </c>
      <c r="CJ58" s="98">
        <v>0.55713028847688217</v>
      </c>
      <c r="CK58" s="98">
        <v>655.85377559498568</v>
      </c>
      <c r="CL58" s="98">
        <v>1.0289376003361421</v>
      </c>
      <c r="CM58" s="98">
        <v>1211.2653431157066</v>
      </c>
      <c r="CN58" s="98">
        <v>0.625348881488338</v>
      </c>
      <c r="CO58" s="98">
        <v>736.16070328807155</v>
      </c>
      <c r="CP58" s="98">
        <v>0.78418329468487435</v>
      </c>
      <c r="CQ58" s="98">
        <v>923.14057450303414</v>
      </c>
      <c r="CR58" s="98">
        <v>0.75026901661628043</v>
      </c>
      <c r="CS58" s="98">
        <v>883.21668636068534</v>
      </c>
      <c r="CT58" s="98">
        <v>0.83654457913949265</v>
      </c>
      <c r="CU58" s="98">
        <v>984.78027856301082</v>
      </c>
    </row>
    <row r="59" spans="2:99">
      <c r="C59" s="97" t="s">
        <v>226</v>
      </c>
      <c r="D59" s="98">
        <v>6</v>
      </c>
      <c r="E59" s="98">
        <v>1821.6</v>
      </c>
      <c r="F59" s="98">
        <v>5</v>
      </c>
      <c r="G59" s="98">
        <v>1517.9999999999998</v>
      </c>
      <c r="H59" s="98">
        <v>5</v>
      </c>
      <c r="I59" s="98">
        <v>1517.9999999999998</v>
      </c>
      <c r="J59" s="98">
        <v>5</v>
      </c>
      <c r="K59" s="98">
        <v>1517.9999999999998</v>
      </c>
      <c r="L59" s="98">
        <v>9</v>
      </c>
      <c r="M59" s="98">
        <v>2732.3999999999996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7</v>
      </c>
      <c r="S59" s="98">
        <v>2125.1999999999998</v>
      </c>
      <c r="T59" s="98">
        <v>7</v>
      </c>
      <c r="U59" s="98">
        <v>2125.1999999999998</v>
      </c>
      <c r="V59" s="98">
        <v>7</v>
      </c>
      <c r="W59" s="98">
        <v>2125.1999999999998</v>
      </c>
      <c r="X59" s="98">
        <v>8</v>
      </c>
      <c r="Y59" s="98">
        <v>2428.7999999999997</v>
      </c>
      <c r="Z59" s="98">
        <v>6.1393912945010536</v>
      </c>
      <c r="AA59" s="98">
        <v>1863.9191970105196</v>
      </c>
      <c r="AB59" s="98">
        <v>0.62386758014231236</v>
      </c>
      <c r="AC59" s="98">
        <v>189.40619733120602</v>
      </c>
      <c r="AD59" s="98">
        <v>0.86428484273373996</v>
      </c>
      <c r="AE59" s="98">
        <v>262.39687825396339</v>
      </c>
      <c r="AF59" s="98">
        <v>1.1182367004514377</v>
      </c>
      <c r="AG59" s="98">
        <v>339.49666225705647</v>
      </c>
      <c r="AH59" s="98">
        <v>0.80535633072916679</v>
      </c>
      <c r="AI59" s="98">
        <v>244.50618200937501</v>
      </c>
      <c r="AJ59" s="98">
        <v>0.64475397656629074</v>
      </c>
      <c r="AK59" s="98">
        <v>195.74730728552584</v>
      </c>
      <c r="AL59" s="98">
        <v>1.0754378923242289</v>
      </c>
      <c r="AM59" s="98">
        <v>326.50294410963585</v>
      </c>
      <c r="AN59" s="98">
        <v>0.95599852208857938</v>
      </c>
      <c r="AO59" s="98">
        <v>290.24115130609266</v>
      </c>
      <c r="AP59" s="98">
        <v>1.011622144635332</v>
      </c>
      <c r="AQ59" s="98">
        <v>307.12848311128676</v>
      </c>
      <c r="AR59" s="98">
        <v>1.1851397509057973</v>
      </c>
      <c r="AS59" s="98">
        <v>359.80842837500001</v>
      </c>
      <c r="AT59" s="98">
        <v>0.93088472553633994</v>
      </c>
      <c r="AU59" s="98">
        <v>282.61660267283276</v>
      </c>
      <c r="AV59" s="98">
        <v>0.9505278581567419</v>
      </c>
      <c r="AW59" s="98">
        <v>288.58025773638678</v>
      </c>
      <c r="AX59" s="98">
        <v>1.0266959845388386</v>
      </c>
      <c r="AY59" s="98">
        <v>311.70490090599134</v>
      </c>
      <c r="AZ59" s="98">
        <v>0.80535633072916679</v>
      </c>
      <c r="BA59" s="98">
        <v>244.50618200937501</v>
      </c>
      <c r="BB59" s="98">
        <v>1.2094088243031857</v>
      </c>
      <c r="BC59" s="98">
        <v>367.17651905844713</v>
      </c>
      <c r="BD59" s="98">
        <v>1.1811892850694448</v>
      </c>
      <c r="BE59" s="98">
        <v>358.60906694708336</v>
      </c>
      <c r="BF59" s="98">
        <v>0.90397139163477902</v>
      </c>
      <c r="BG59" s="98">
        <v>274.4457145003189</v>
      </c>
      <c r="BH59" s="98">
        <v>0.85771006177241838</v>
      </c>
      <c r="BI59" s="98">
        <v>260.40077475410618</v>
      </c>
      <c r="BJ59" s="98">
        <v>1.1953564728963646</v>
      </c>
      <c r="BK59" s="98">
        <v>362.91022517133626</v>
      </c>
      <c r="BL59" s="98">
        <v>0.89484036747685214</v>
      </c>
      <c r="BM59" s="98">
        <v>271.67353556597226</v>
      </c>
      <c r="BN59" s="98">
        <v>0.76501896701388905</v>
      </c>
      <c r="BO59" s="98">
        <v>232.25975838541669</v>
      </c>
      <c r="BP59" s="98">
        <v>1.2390097395833335</v>
      </c>
      <c r="BQ59" s="98">
        <v>376.1633569375</v>
      </c>
      <c r="BR59" s="98">
        <v>1.067339715424197</v>
      </c>
      <c r="BS59" s="98">
        <v>324.04433760278619</v>
      </c>
      <c r="BT59" s="98">
        <v>0.89355097213466639</v>
      </c>
      <c r="BU59" s="98">
        <v>271.28207514008466</v>
      </c>
      <c r="BV59" s="98">
        <v>1.018266625059866</v>
      </c>
      <c r="BW59" s="98">
        <v>309.14574736817525</v>
      </c>
      <c r="BX59" s="98">
        <v>0.73093396353307216</v>
      </c>
      <c r="BY59" s="98">
        <v>221.91155132864068</v>
      </c>
      <c r="BZ59" s="98">
        <v>0.57525452194940485</v>
      </c>
      <c r="CA59" s="98">
        <v>174.64727286383931</v>
      </c>
      <c r="CB59" s="98">
        <v>0.94579213217304292</v>
      </c>
      <c r="CC59" s="98">
        <v>287.1424913277358</v>
      </c>
      <c r="CD59" s="98">
        <v>0.7703408380887683</v>
      </c>
      <c r="CE59" s="98">
        <v>233.87547844375004</v>
      </c>
      <c r="CF59" s="98">
        <v>1.1249421762566139</v>
      </c>
      <c r="CG59" s="98">
        <v>341.53244471150794</v>
      </c>
      <c r="CH59" s="98">
        <v>1.1857062613029798</v>
      </c>
      <c r="CI59" s="98">
        <v>359.98042093158466</v>
      </c>
      <c r="CJ59" s="98">
        <v>0.59696223975881635</v>
      </c>
      <c r="CK59" s="98">
        <v>181.23773599077663</v>
      </c>
      <c r="CL59" s="98">
        <v>0.89743035406868077</v>
      </c>
      <c r="CM59" s="98">
        <v>272.45985549525147</v>
      </c>
      <c r="CN59" s="98">
        <v>0.58765636073106697</v>
      </c>
      <c r="CO59" s="98">
        <v>178.41247111795192</v>
      </c>
      <c r="CP59" s="98">
        <v>0.97503832493940001</v>
      </c>
      <c r="CQ59" s="98">
        <v>296.02163545160181</v>
      </c>
      <c r="CR59" s="98">
        <v>0.83913988452159471</v>
      </c>
      <c r="CS59" s="98">
        <v>254.76286894075614</v>
      </c>
      <c r="CT59" s="98">
        <v>0.94747803615196091</v>
      </c>
      <c r="CU59" s="98">
        <v>287.65433177573527</v>
      </c>
    </row>
    <row r="60" spans="2:99">
      <c r="C60" s="97" t="s">
        <v>227</v>
      </c>
      <c r="D60" s="98">
        <v>7</v>
      </c>
      <c r="E60" s="98">
        <v>4561.2</v>
      </c>
      <c r="F60" s="98">
        <v>5</v>
      </c>
      <c r="G60" s="98">
        <v>3258</v>
      </c>
      <c r="H60" s="98">
        <v>5</v>
      </c>
      <c r="I60" s="98">
        <v>3258</v>
      </c>
      <c r="J60" s="98">
        <v>5</v>
      </c>
      <c r="K60" s="98">
        <v>3258</v>
      </c>
      <c r="L60" s="98">
        <v>7</v>
      </c>
      <c r="M60" s="98">
        <v>4561.2</v>
      </c>
      <c r="N60" s="98">
        <v>5</v>
      </c>
      <c r="O60" s="98">
        <v>3258</v>
      </c>
      <c r="P60" s="98">
        <v>4</v>
      </c>
      <c r="Q60" s="98">
        <v>2606.4</v>
      </c>
      <c r="R60" s="98">
        <v>7</v>
      </c>
      <c r="S60" s="98">
        <v>4561.2</v>
      </c>
      <c r="T60" s="98">
        <v>7</v>
      </c>
      <c r="U60" s="98">
        <v>4561.2</v>
      </c>
      <c r="V60" s="98">
        <v>7</v>
      </c>
      <c r="W60" s="98">
        <v>4561.2</v>
      </c>
      <c r="X60" s="98">
        <v>9</v>
      </c>
      <c r="Y60" s="98">
        <v>5864.4000000000005</v>
      </c>
      <c r="Z60" s="98">
        <v>6.1393912945010536</v>
      </c>
      <c r="AA60" s="98">
        <v>4000.4273674968867</v>
      </c>
      <c r="AB60" s="98">
        <v>0.7798344751778904</v>
      </c>
      <c r="AC60" s="98">
        <v>508.1401440259134</v>
      </c>
      <c r="AD60" s="98">
        <v>0.86428484273373996</v>
      </c>
      <c r="AE60" s="98">
        <v>563.16800352530493</v>
      </c>
      <c r="AF60" s="98">
        <v>1.1182367004514377</v>
      </c>
      <c r="AG60" s="98">
        <v>728.64303401415691</v>
      </c>
      <c r="AH60" s="98">
        <v>0.80535633072916679</v>
      </c>
      <c r="AI60" s="98">
        <v>524.77018510312507</v>
      </c>
      <c r="AJ60" s="98">
        <v>0.77370477187954889</v>
      </c>
      <c r="AK60" s="98">
        <v>504.14602935671405</v>
      </c>
      <c r="AL60" s="98">
        <v>0.94100815578370023</v>
      </c>
      <c r="AM60" s="98">
        <v>613.16091430865913</v>
      </c>
      <c r="AN60" s="98">
        <v>0.95599852208857938</v>
      </c>
      <c r="AO60" s="98">
        <v>622.92863699291831</v>
      </c>
      <c r="AP60" s="98">
        <v>1.011622144635332</v>
      </c>
      <c r="AQ60" s="98">
        <v>659.17298944438232</v>
      </c>
      <c r="AR60" s="98">
        <v>1.0369972820425726</v>
      </c>
      <c r="AS60" s="98">
        <v>675.70742897894036</v>
      </c>
      <c r="AT60" s="98">
        <v>0.93088472553633994</v>
      </c>
      <c r="AU60" s="98">
        <v>606.56448715947909</v>
      </c>
      <c r="AV60" s="98">
        <v>0.9505278581567419</v>
      </c>
      <c r="AW60" s="98">
        <v>619.36395237493309</v>
      </c>
      <c r="AX60" s="98">
        <v>1.0266959845388386</v>
      </c>
      <c r="AY60" s="98">
        <v>668.99510352550726</v>
      </c>
      <c r="AZ60" s="98">
        <v>0.80535633072916679</v>
      </c>
      <c r="BA60" s="98">
        <v>524.77018510312507</v>
      </c>
      <c r="BB60" s="98">
        <v>1.2094088243031857</v>
      </c>
      <c r="BC60" s="98">
        <v>788.05078991595587</v>
      </c>
      <c r="BD60" s="98">
        <v>1.1811892850694448</v>
      </c>
      <c r="BE60" s="98">
        <v>769.66293815125027</v>
      </c>
      <c r="BF60" s="98">
        <v>0.77483262140123921</v>
      </c>
      <c r="BG60" s="98">
        <v>504.88093610504751</v>
      </c>
      <c r="BH60" s="98">
        <v>0.85771006177241838</v>
      </c>
      <c r="BI60" s="98">
        <v>558.88387625090786</v>
      </c>
      <c r="BJ60" s="98">
        <v>1.1953564728963646</v>
      </c>
      <c r="BK60" s="98">
        <v>778.89427773927116</v>
      </c>
      <c r="BL60" s="98">
        <v>0.89484036747685214</v>
      </c>
      <c r="BM60" s="98">
        <v>583.07798344791684</v>
      </c>
      <c r="BN60" s="98">
        <v>0.76501896701388905</v>
      </c>
      <c r="BO60" s="98">
        <v>498.48635890625013</v>
      </c>
      <c r="BP60" s="98">
        <v>1.2390097395833335</v>
      </c>
      <c r="BQ60" s="98">
        <v>807.33874631250012</v>
      </c>
      <c r="BR60" s="98">
        <v>1.067339715424197</v>
      </c>
      <c r="BS60" s="98">
        <v>695.47855857040679</v>
      </c>
      <c r="BT60" s="98">
        <v>0.89355097213466639</v>
      </c>
      <c r="BU60" s="98">
        <v>582.23781344294866</v>
      </c>
      <c r="BV60" s="98">
        <v>1.018266625059866</v>
      </c>
      <c r="BW60" s="98">
        <v>663.50253288900865</v>
      </c>
      <c r="BX60" s="98">
        <v>0.73093396353307216</v>
      </c>
      <c r="BY60" s="98">
        <v>476.27657063814985</v>
      </c>
      <c r="BZ60" s="98">
        <v>0.57525452194940485</v>
      </c>
      <c r="CA60" s="98">
        <v>374.83584650223219</v>
      </c>
      <c r="CB60" s="98">
        <v>0.78816011014420251</v>
      </c>
      <c r="CC60" s="98">
        <v>513.56512776996237</v>
      </c>
      <c r="CD60" s="98">
        <v>0.89873097777022959</v>
      </c>
      <c r="CE60" s="98">
        <v>585.61310511508157</v>
      </c>
      <c r="CF60" s="98">
        <v>0.98432440422453726</v>
      </c>
      <c r="CG60" s="98">
        <v>641.38578179270849</v>
      </c>
      <c r="CH60" s="98">
        <v>1.1857062613029798</v>
      </c>
      <c r="CI60" s="98">
        <v>772.60619986502172</v>
      </c>
      <c r="CJ60" s="98">
        <v>0.59696223975881635</v>
      </c>
      <c r="CK60" s="98">
        <v>388.98059542684473</v>
      </c>
      <c r="CL60" s="98">
        <v>0.89743035406868077</v>
      </c>
      <c r="CM60" s="98">
        <v>584.76561871115246</v>
      </c>
      <c r="CN60" s="98">
        <v>0.58765636073106697</v>
      </c>
      <c r="CO60" s="98">
        <v>382.91688465236325</v>
      </c>
      <c r="CP60" s="98">
        <v>0.97503832493940001</v>
      </c>
      <c r="CQ60" s="98">
        <v>635.33497253051303</v>
      </c>
      <c r="CR60" s="98">
        <v>0.83913988452159471</v>
      </c>
      <c r="CS60" s="98">
        <v>546.78354875427112</v>
      </c>
      <c r="CT60" s="98">
        <v>0.94747803615196091</v>
      </c>
      <c r="CU60" s="98">
        <v>617.37668835661771</v>
      </c>
    </row>
    <row r="61" spans="2:99">
      <c r="C61" s="97" t="s">
        <v>228</v>
      </c>
      <c r="D61" s="98">
        <v>7</v>
      </c>
      <c r="E61" s="98">
        <v>6661.1999999999989</v>
      </c>
      <c r="F61" s="98">
        <v>5</v>
      </c>
      <c r="G61" s="98">
        <v>4758</v>
      </c>
      <c r="H61" s="98">
        <v>6</v>
      </c>
      <c r="I61" s="98">
        <v>5709.5999999999995</v>
      </c>
      <c r="J61" s="98">
        <v>5</v>
      </c>
      <c r="K61" s="98">
        <v>4758</v>
      </c>
      <c r="L61" s="98">
        <v>7</v>
      </c>
      <c r="M61" s="98">
        <v>6661.1999999999989</v>
      </c>
      <c r="N61" s="98">
        <v>5</v>
      </c>
      <c r="O61" s="98">
        <v>4758</v>
      </c>
      <c r="P61" s="98">
        <v>5</v>
      </c>
      <c r="Q61" s="98">
        <v>4758</v>
      </c>
      <c r="R61" s="98">
        <v>6</v>
      </c>
      <c r="S61" s="98">
        <v>5709.5999999999995</v>
      </c>
      <c r="T61" s="98">
        <v>8</v>
      </c>
      <c r="U61" s="98">
        <v>7612.7999999999993</v>
      </c>
      <c r="V61" s="98">
        <v>8</v>
      </c>
      <c r="W61" s="98">
        <v>7612.7999999999993</v>
      </c>
      <c r="X61" s="98">
        <v>8</v>
      </c>
      <c r="Y61" s="98">
        <v>7612.7999999999993</v>
      </c>
      <c r="Z61" s="98">
        <v>6.1393912945010536</v>
      </c>
      <c r="AA61" s="98">
        <v>5842.2447558472022</v>
      </c>
      <c r="AB61" s="98">
        <v>0.7798344751778904</v>
      </c>
      <c r="AC61" s="98">
        <v>742.09048657928042</v>
      </c>
      <c r="AD61" s="98">
        <v>0.86428484273373996</v>
      </c>
      <c r="AE61" s="98">
        <v>822.45345634542684</v>
      </c>
      <c r="AF61" s="98">
        <v>1.1182367004514377</v>
      </c>
      <c r="AG61" s="98">
        <v>1064.1140441495882</v>
      </c>
      <c r="AH61" s="98">
        <v>0.64428506458333346</v>
      </c>
      <c r="AI61" s="98">
        <v>613.10166745750007</v>
      </c>
      <c r="AJ61" s="98">
        <v>0.64475397656629074</v>
      </c>
      <c r="AK61" s="98">
        <v>613.54788410048218</v>
      </c>
      <c r="AL61" s="98">
        <v>1.0754378923242289</v>
      </c>
      <c r="AM61" s="98">
        <v>1023.3866983357361</v>
      </c>
      <c r="AN61" s="98">
        <v>0.79666543507381604</v>
      </c>
      <c r="AO61" s="98">
        <v>758.1068280162433</v>
      </c>
      <c r="AP61" s="98">
        <v>0.86710469540171298</v>
      </c>
      <c r="AQ61" s="98">
        <v>825.13682814427</v>
      </c>
      <c r="AR61" s="98">
        <v>1.0369972820425726</v>
      </c>
      <c r="AS61" s="98">
        <v>986.80661359171199</v>
      </c>
      <c r="AT61" s="98">
        <v>0.77573727128028325</v>
      </c>
      <c r="AU61" s="98">
        <v>738.19158735031749</v>
      </c>
      <c r="AV61" s="98">
        <v>0.9505278581567419</v>
      </c>
      <c r="AW61" s="98">
        <v>904.52230982195556</v>
      </c>
      <c r="AX61" s="98">
        <v>1.0266959845388386</v>
      </c>
      <c r="AY61" s="98">
        <v>977.0038988871587</v>
      </c>
      <c r="AZ61" s="98">
        <v>0.92040723511904776</v>
      </c>
      <c r="BA61" s="98">
        <v>875.85952493928573</v>
      </c>
      <c r="BB61" s="98">
        <v>1.2094088243031857</v>
      </c>
      <c r="BC61" s="98">
        <v>1150.8734372069114</v>
      </c>
      <c r="BD61" s="98">
        <v>1.0124479586309525</v>
      </c>
      <c r="BE61" s="98">
        <v>963.44547743321425</v>
      </c>
      <c r="BF61" s="98">
        <v>0.77483262140123921</v>
      </c>
      <c r="BG61" s="98">
        <v>737.33072252541911</v>
      </c>
      <c r="BH61" s="98">
        <v>0.98024007059704954</v>
      </c>
      <c r="BI61" s="98">
        <v>932.7964511801523</v>
      </c>
      <c r="BJ61" s="98">
        <v>1.0625390870189906</v>
      </c>
      <c r="BK61" s="98">
        <v>1011.1121952072714</v>
      </c>
      <c r="BL61" s="98">
        <v>0.74570030623071004</v>
      </c>
      <c r="BM61" s="98">
        <v>709.60841140914363</v>
      </c>
      <c r="BN61" s="98">
        <v>0.76501896701388905</v>
      </c>
      <c r="BO61" s="98">
        <v>727.99204901041674</v>
      </c>
      <c r="BP61" s="98">
        <v>1.2390097395833335</v>
      </c>
      <c r="BQ61" s="98">
        <v>1179.0416681875001</v>
      </c>
      <c r="BR61" s="98">
        <v>1.067339715424197</v>
      </c>
      <c r="BS61" s="98">
        <v>1015.6804731976658</v>
      </c>
      <c r="BT61" s="98">
        <v>0.76590083325828551</v>
      </c>
      <c r="BU61" s="98">
        <v>728.83123292858443</v>
      </c>
      <c r="BV61" s="98">
        <v>1.1637332857827041</v>
      </c>
      <c r="BW61" s="98">
        <v>1107.4085947508211</v>
      </c>
      <c r="BX61" s="98">
        <v>0.87712075623968666</v>
      </c>
      <c r="BY61" s="98">
        <v>834.6681116376858</v>
      </c>
      <c r="BZ61" s="98">
        <v>0.71906815243675604</v>
      </c>
      <c r="CA61" s="98">
        <v>684.265253858817</v>
      </c>
      <c r="CB61" s="98">
        <v>0.94579213217304292</v>
      </c>
      <c r="CC61" s="98">
        <v>900.01579297586761</v>
      </c>
      <c r="CD61" s="98">
        <v>0.89873097777022959</v>
      </c>
      <c r="CE61" s="98">
        <v>855.23239844615034</v>
      </c>
      <c r="CF61" s="98">
        <v>1.1249421762566139</v>
      </c>
      <c r="CG61" s="98">
        <v>1070.4949749257937</v>
      </c>
      <c r="CH61" s="98">
        <v>1.0163196525454112</v>
      </c>
      <c r="CI61" s="98">
        <v>967.12978136221329</v>
      </c>
      <c r="CJ61" s="98">
        <v>0.47756979180705311</v>
      </c>
      <c r="CK61" s="98">
        <v>454.45541388359169</v>
      </c>
      <c r="CL61" s="98">
        <v>1.0256346903642066</v>
      </c>
      <c r="CM61" s="98">
        <v>975.99397135057893</v>
      </c>
      <c r="CN61" s="98">
        <v>0.58765636073106697</v>
      </c>
      <c r="CO61" s="98">
        <v>559.21379287168327</v>
      </c>
      <c r="CP61" s="98">
        <v>0.97503832493940001</v>
      </c>
      <c r="CQ61" s="98">
        <v>927.84647001233293</v>
      </c>
      <c r="CR61" s="98">
        <v>0.95901701088182256</v>
      </c>
      <c r="CS61" s="98">
        <v>912.60058755514228</v>
      </c>
      <c r="CT61" s="98">
        <v>0.94747803615196091</v>
      </c>
      <c r="CU61" s="98">
        <v>901.62009920220589</v>
      </c>
    </row>
    <row r="62" spans="2:99">
      <c r="C62" s="97" t="s">
        <v>229</v>
      </c>
      <c r="D62" s="98">
        <v>0</v>
      </c>
      <c r="E62" s="98">
        <v>0</v>
      </c>
      <c r="F62" s="98">
        <v>0.67765900460621209</v>
      </c>
      <c r="G62" s="98">
        <v>1131.1484104886893</v>
      </c>
      <c r="H62" s="98">
        <v>0.8772513778990042</v>
      </c>
      <c r="I62" s="98">
        <v>1464.3079999890178</v>
      </c>
      <c r="J62" s="98">
        <v>0.8444246324675011</v>
      </c>
      <c r="K62" s="98">
        <v>1409.5135965147529</v>
      </c>
      <c r="L62" s="98">
        <v>1.0795515510744571</v>
      </c>
      <c r="M62" s="98">
        <v>1801.9874490534839</v>
      </c>
      <c r="N62" s="98">
        <v>0.56282432072077204</v>
      </c>
      <c r="O62" s="98">
        <v>939.46635614711272</v>
      </c>
      <c r="P62" s="98">
        <v>0.85488289204650636</v>
      </c>
      <c r="Q62" s="98">
        <v>1426.9705234040284</v>
      </c>
      <c r="R62" s="98">
        <v>0.97017875534275888</v>
      </c>
      <c r="S62" s="98">
        <v>1619.4223784181331</v>
      </c>
      <c r="T62" s="98">
        <v>1.148219696235971</v>
      </c>
      <c r="U62" s="98">
        <v>1916.6083169570827</v>
      </c>
      <c r="V62" s="98">
        <v>1.2316561243854303</v>
      </c>
      <c r="W62" s="98">
        <v>2055.8804028241602</v>
      </c>
      <c r="X62" s="98">
        <v>1.4162424896415053</v>
      </c>
      <c r="Y62" s="98">
        <v>2363.9919637096009</v>
      </c>
      <c r="Z62" s="98">
        <v>1.1224398736425447</v>
      </c>
      <c r="AA62" s="98">
        <v>1873.5766370841357</v>
      </c>
      <c r="AB62" s="98">
        <v>0.68368535273153141</v>
      </c>
      <c r="AC62" s="98">
        <v>1141.2075907794722</v>
      </c>
      <c r="AD62" s="98">
        <v>0.74243184369137605</v>
      </c>
      <c r="AE62" s="98">
        <v>1239.2672334896449</v>
      </c>
      <c r="AF62" s="98">
        <v>1.2472444327534316</v>
      </c>
      <c r="AG62" s="98">
        <v>2081.900407152028</v>
      </c>
      <c r="AH62" s="98">
        <v>0.87021017836953851</v>
      </c>
      <c r="AI62" s="98">
        <v>1452.5548297344337</v>
      </c>
      <c r="AJ62" s="98">
        <v>0.77504978118789292</v>
      </c>
      <c r="AK62" s="98">
        <v>1293.7130947588309</v>
      </c>
      <c r="AL62" s="98">
        <v>0.89776233461410249</v>
      </c>
      <c r="AM62" s="98">
        <v>1498.5448889378599</v>
      </c>
      <c r="AN62" s="98">
        <v>0.96241457463141789</v>
      </c>
      <c r="AO62" s="98">
        <v>1606.4624079747628</v>
      </c>
      <c r="AP62" s="98">
        <v>0.99120298775355176</v>
      </c>
      <c r="AQ62" s="98">
        <v>1654.5160271582286</v>
      </c>
      <c r="AR62" s="98">
        <v>0.83607149628850597</v>
      </c>
      <c r="AS62" s="98">
        <v>1395.5705416047742</v>
      </c>
      <c r="AT62" s="98">
        <v>0.79244177779193148</v>
      </c>
      <c r="AU62" s="98">
        <v>1322.743815490292</v>
      </c>
      <c r="AV62" s="98">
        <v>0.78784715721788501</v>
      </c>
      <c r="AW62" s="98">
        <v>1315.0744748280938</v>
      </c>
      <c r="AX62" s="98">
        <v>1.1721409063360395</v>
      </c>
      <c r="AY62" s="98">
        <v>1956.5376008561173</v>
      </c>
      <c r="AZ62" s="98">
        <v>1.2944018099453687</v>
      </c>
      <c r="BA62" s="98">
        <v>2160.6155011608093</v>
      </c>
      <c r="BB62" s="98">
        <v>0.91494940336009856</v>
      </c>
      <c r="BC62" s="98">
        <v>1527.2335440886766</v>
      </c>
      <c r="BD62" s="98">
        <v>0.6729902322519089</v>
      </c>
      <c r="BE62" s="98">
        <v>1123.3552956748863</v>
      </c>
      <c r="BF62" s="98">
        <v>0.78217862759139811</v>
      </c>
      <c r="BG62" s="98">
        <v>1305.6125651755617</v>
      </c>
      <c r="BH62" s="98">
        <v>0.96623695743158799</v>
      </c>
      <c r="BI62" s="98">
        <v>1612.8427293448067</v>
      </c>
      <c r="BJ62" s="98">
        <v>1.3163040176028502</v>
      </c>
      <c r="BK62" s="98">
        <v>2197.1746661826778</v>
      </c>
      <c r="BL62" s="98">
        <v>0.74266849019224501</v>
      </c>
      <c r="BM62" s="98">
        <v>1239.6622438288955</v>
      </c>
      <c r="BN62" s="98">
        <v>0.78968672545728746</v>
      </c>
      <c r="BO62" s="98">
        <v>1318.1450821333042</v>
      </c>
      <c r="BP62" s="98">
        <v>0.818189352915208</v>
      </c>
      <c r="BQ62" s="98">
        <v>1365.7216678860652</v>
      </c>
      <c r="BR62" s="98">
        <v>0.78124499960354299</v>
      </c>
      <c r="BS62" s="98">
        <v>1304.0541533382341</v>
      </c>
      <c r="BT62" s="98">
        <v>0.72967311038795457</v>
      </c>
      <c r="BU62" s="98">
        <v>1217.9703558595738</v>
      </c>
      <c r="BV62" s="98">
        <v>0.94349575786678597</v>
      </c>
      <c r="BW62" s="98">
        <v>1574.8831190312392</v>
      </c>
      <c r="BX62" s="98">
        <v>0.73510143532977568</v>
      </c>
      <c r="BY62" s="98">
        <v>1227.0313158524616</v>
      </c>
      <c r="BZ62" s="98">
        <v>0.59558302942995889</v>
      </c>
      <c r="CA62" s="98">
        <v>994.14719272448735</v>
      </c>
      <c r="CB62" s="98">
        <v>0.79690089326780233</v>
      </c>
      <c r="CC62" s="98">
        <v>1330.1869710426156</v>
      </c>
      <c r="CD62" s="98">
        <v>1.0427788286604855</v>
      </c>
      <c r="CE62" s="98">
        <v>1740.6064208000826</v>
      </c>
      <c r="CF62" s="98">
        <v>1.1292535551839957</v>
      </c>
      <c r="CG62" s="98">
        <v>1884.9500343131258</v>
      </c>
      <c r="CH62" s="98">
        <v>1.2037399399533537</v>
      </c>
      <c r="CI62" s="98">
        <v>2009.2827077701381</v>
      </c>
      <c r="CJ62" s="98">
        <v>0.64392176918735489</v>
      </c>
      <c r="CK62" s="98">
        <v>1074.8342171275328</v>
      </c>
      <c r="CL62" s="98">
        <v>0.84496160167038947</v>
      </c>
      <c r="CM62" s="98">
        <v>1410.4099055082143</v>
      </c>
      <c r="CN62" s="98">
        <v>0.77544823754774383</v>
      </c>
      <c r="CO62" s="98">
        <v>1294.378198114694</v>
      </c>
      <c r="CP62" s="98">
        <v>0.9980855343406777</v>
      </c>
      <c r="CQ62" s="98">
        <v>1666.0043739214593</v>
      </c>
      <c r="CR62" s="98">
        <v>1.0249120861630163</v>
      </c>
      <c r="CS62" s="98">
        <v>1710.7832542233068</v>
      </c>
      <c r="CT62" s="98">
        <v>0.76108535441603598</v>
      </c>
      <c r="CU62" s="98">
        <v>1270.4036735912473</v>
      </c>
    </row>
    <row r="63" spans="2:99">
      <c r="C63" s="97" t="s">
        <v>230</v>
      </c>
      <c r="D63" s="98">
        <v>7</v>
      </c>
      <c r="E63" s="98">
        <v>5569.2</v>
      </c>
      <c r="F63" s="98">
        <v>5</v>
      </c>
      <c r="G63" s="98">
        <v>3978</v>
      </c>
      <c r="H63" s="98">
        <v>6</v>
      </c>
      <c r="I63" s="98">
        <v>4773.6000000000004</v>
      </c>
      <c r="J63" s="98">
        <v>5</v>
      </c>
      <c r="K63" s="98">
        <v>3978</v>
      </c>
      <c r="L63" s="98">
        <v>8</v>
      </c>
      <c r="M63" s="98">
        <v>6364.8</v>
      </c>
      <c r="N63" s="98">
        <v>5</v>
      </c>
      <c r="O63" s="98">
        <v>3978</v>
      </c>
      <c r="P63" s="98">
        <v>5</v>
      </c>
      <c r="Q63" s="98">
        <v>3978</v>
      </c>
      <c r="R63" s="98">
        <v>7</v>
      </c>
      <c r="S63" s="98">
        <v>5569.2</v>
      </c>
      <c r="T63" s="98">
        <v>7</v>
      </c>
      <c r="U63" s="98">
        <v>5569.2</v>
      </c>
      <c r="V63" s="98">
        <v>7</v>
      </c>
      <c r="W63" s="98">
        <v>5569.2</v>
      </c>
      <c r="X63" s="98">
        <v>8</v>
      </c>
      <c r="Y63" s="98">
        <v>6364.8</v>
      </c>
      <c r="Z63" s="98">
        <v>6.1393912945010536</v>
      </c>
      <c r="AA63" s="98">
        <v>4884.4997139050383</v>
      </c>
      <c r="AB63" s="98">
        <v>0.62386758014231236</v>
      </c>
      <c r="AC63" s="98">
        <v>496.34904676122375</v>
      </c>
      <c r="AD63" s="98">
        <v>0.86428484273373996</v>
      </c>
      <c r="AE63" s="98">
        <v>687.62502087896348</v>
      </c>
      <c r="AF63" s="98">
        <v>0.99398817817905583</v>
      </c>
      <c r="AG63" s="98">
        <v>790.81699455925684</v>
      </c>
      <c r="AH63" s="98">
        <v>0.80535633072916679</v>
      </c>
      <c r="AI63" s="98">
        <v>640.74149672812507</v>
      </c>
      <c r="AJ63" s="98">
        <v>0.64475397656629074</v>
      </c>
      <c r="AK63" s="98">
        <v>512.96626375614096</v>
      </c>
      <c r="AL63" s="98">
        <v>0.94100815578370023</v>
      </c>
      <c r="AM63" s="98">
        <v>748.66608874151189</v>
      </c>
      <c r="AN63" s="98">
        <v>0.95599852208857938</v>
      </c>
      <c r="AO63" s="98">
        <v>760.59242417367375</v>
      </c>
      <c r="AP63" s="98">
        <v>1.011622144635332</v>
      </c>
      <c r="AQ63" s="98">
        <v>804.84657827187016</v>
      </c>
      <c r="AR63" s="98">
        <v>1.1851397509057973</v>
      </c>
      <c r="AS63" s="98">
        <v>942.89718582065234</v>
      </c>
      <c r="AT63" s="98">
        <v>0.77573727128028325</v>
      </c>
      <c r="AU63" s="98">
        <v>617.17657303059332</v>
      </c>
      <c r="AV63" s="98">
        <v>0.9505278581567419</v>
      </c>
      <c r="AW63" s="98">
        <v>756.23996394950393</v>
      </c>
      <c r="AX63" s="98">
        <v>1.0266959845388386</v>
      </c>
      <c r="AY63" s="98">
        <v>816.83932529909998</v>
      </c>
      <c r="AZ63" s="98">
        <v>0.92040723511904776</v>
      </c>
      <c r="BA63" s="98">
        <v>732.27599626071446</v>
      </c>
      <c r="BB63" s="98">
        <v>1.2094088243031857</v>
      </c>
      <c r="BC63" s="98">
        <v>962.20566061561465</v>
      </c>
      <c r="BD63" s="98">
        <v>1.0124479586309525</v>
      </c>
      <c r="BE63" s="98">
        <v>805.50359588678577</v>
      </c>
      <c r="BF63" s="98">
        <v>0.90397139163477902</v>
      </c>
      <c r="BG63" s="98">
        <v>719.1996391846302</v>
      </c>
      <c r="BH63" s="98">
        <v>0.98024007059704954</v>
      </c>
      <c r="BI63" s="98">
        <v>779.87900016701269</v>
      </c>
      <c r="BJ63" s="98">
        <v>1.1953564728963646</v>
      </c>
      <c r="BK63" s="98">
        <v>951.02560983634771</v>
      </c>
      <c r="BL63" s="98">
        <v>0.89484036747685214</v>
      </c>
      <c r="BM63" s="98">
        <v>711.93499636458353</v>
      </c>
      <c r="BN63" s="98">
        <v>0.76501896701388905</v>
      </c>
      <c r="BO63" s="98">
        <v>608.64909015625017</v>
      </c>
      <c r="BP63" s="98">
        <v>1.2390097395833335</v>
      </c>
      <c r="BQ63" s="98">
        <v>985.7561488125001</v>
      </c>
      <c r="BR63" s="98">
        <v>0.93392225099617232</v>
      </c>
      <c r="BS63" s="98">
        <v>743.0285428925547</v>
      </c>
      <c r="BT63" s="98">
        <v>0.89355097213466639</v>
      </c>
      <c r="BU63" s="98">
        <v>710.90915343034055</v>
      </c>
      <c r="BV63" s="98">
        <v>1.018266625059866</v>
      </c>
      <c r="BW63" s="98">
        <v>810.13292689762943</v>
      </c>
      <c r="BX63" s="98">
        <v>0.73093396353307216</v>
      </c>
      <c r="BY63" s="98">
        <v>581.53106138691226</v>
      </c>
      <c r="BZ63" s="98">
        <v>0.57525452194940485</v>
      </c>
      <c r="CA63" s="98">
        <v>457.67249766294651</v>
      </c>
      <c r="CB63" s="98">
        <v>0.94579213217304292</v>
      </c>
      <c r="CC63" s="98">
        <v>752.47222035687298</v>
      </c>
      <c r="CD63" s="98">
        <v>0.7703408380887683</v>
      </c>
      <c r="CE63" s="98">
        <v>612.88317078342402</v>
      </c>
      <c r="CF63" s="98">
        <v>1.1249421762566139</v>
      </c>
      <c r="CG63" s="98">
        <v>895.00399542976197</v>
      </c>
      <c r="CH63" s="98">
        <v>1.1857062613029798</v>
      </c>
      <c r="CI63" s="98">
        <v>943.34790149265075</v>
      </c>
      <c r="CJ63" s="98">
        <v>0.59696223975881635</v>
      </c>
      <c r="CK63" s="98">
        <v>474.94315795211429</v>
      </c>
      <c r="CL63" s="98">
        <v>0.89743035406868077</v>
      </c>
      <c r="CM63" s="98">
        <v>713.99558969704242</v>
      </c>
      <c r="CN63" s="98">
        <v>0.58765636073106697</v>
      </c>
      <c r="CO63" s="98">
        <v>467.53940059763687</v>
      </c>
      <c r="CP63" s="98">
        <v>0.97503832493940001</v>
      </c>
      <c r="CQ63" s="98">
        <v>775.74049132178664</v>
      </c>
      <c r="CR63" s="98">
        <v>0.83913988452159471</v>
      </c>
      <c r="CS63" s="98">
        <v>667.61969212538077</v>
      </c>
      <c r="CT63" s="98">
        <v>0.94747803615196091</v>
      </c>
      <c r="CU63" s="98">
        <v>753.8135255625001</v>
      </c>
    </row>
    <row r="64" spans="2:99">
      <c r="C64" s="97" t="s">
        <v>231</v>
      </c>
      <c r="D64" s="98">
        <v>7</v>
      </c>
      <c r="E64" s="98">
        <v>7064.3999999999987</v>
      </c>
      <c r="F64" s="98">
        <v>5</v>
      </c>
      <c r="G64" s="98">
        <v>5045.9999999999991</v>
      </c>
      <c r="H64" s="98">
        <v>6</v>
      </c>
      <c r="I64" s="98">
        <v>6055.1999999999989</v>
      </c>
      <c r="J64" s="98">
        <v>5</v>
      </c>
      <c r="K64" s="98">
        <v>5045.9999999999991</v>
      </c>
      <c r="L64" s="98">
        <v>9</v>
      </c>
      <c r="M64" s="98">
        <v>9082.7999999999993</v>
      </c>
      <c r="N64" s="98">
        <v>5</v>
      </c>
      <c r="O64" s="98">
        <v>5045.9999999999991</v>
      </c>
      <c r="P64" s="98">
        <v>4</v>
      </c>
      <c r="Q64" s="98">
        <v>4036.7999999999993</v>
      </c>
      <c r="R64" s="98">
        <v>7</v>
      </c>
      <c r="S64" s="98">
        <v>7064.3999999999987</v>
      </c>
      <c r="T64" s="98">
        <v>7</v>
      </c>
      <c r="U64" s="98">
        <v>7064.3999999999987</v>
      </c>
      <c r="V64" s="98">
        <v>6</v>
      </c>
      <c r="W64" s="98">
        <v>6055.1999999999989</v>
      </c>
      <c r="X64" s="98">
        <v>9</v>
      </c>
      <c r="Y64" s="98">
        <v>9082.7999999999993</v>
      </c>
      <c r="Z64" s="98">
        <v>5.4572367062231582</v>
      </c>
      <c r="AA64" s="98">
        <v>5507.4432839204101</v>
      </c>
      <c r="AB64" s="98">
        <v>0.62386758014231236</v>
      </c>
      <c r="AC64" s="98">
        <v>629.60716187962157</v>
      </c>
      <c r="AD64" s="98">
        <v>0.86428484273373996</v>
      </c>
      <c r="AE64" s="98">
        <v>872.23626328689022</v>
      </c>
      <c r="AF64" s="98">
        <v>1.1182367004514377</v>
      </c>
      <c r="AG64" s="98">
        <v>1128.5244780955907</v>
      </c>
      <c r="AH64" s="98">
        <v>0.80535633072916679</v>
      </c>
      <c r="AI64" s="98">
        <v>812.76560897187494</v>
      </c>
      <c r="AJ64" s="98">
        <v>0.64475397656629074</v>
      </c>
      <c r="AK64" s="98">
        <v>650.68571315070051</v>
      </c>
      <c r="AL64" s="98">
        <v>0.94100815578370023</v>
      </c>
      <c r="AM64" s="98">
        <v>949.66543081691009</v>
      </c>
      <c r="AN64" s="98">
        <v>0.95599852208857938</v>
      </c>
      <c r="AO64" s="98">
        <v>964.79370849179418</v>
      </c>
      <c r="AP64" s="98">
        <v>1.011622144635332</v>
      </c>
      <c r="AQ64" s="98">
        <v>1020.9290683659768</v>
      </c>
      <c r="AR64" s="98">
        <v>1.1851397509057973</v>
      </c>
      <c r="AS64" s="98">
        <v>1196.0430366141304</v>
      </c>
      <c r="AT64" s="98">
        <v>0.93088472553633994</v>
      </c>
      <c r="AU64" s="98">
        <v>939.44886501127405</v>
      </c>
      <c r="AV64" s="98">
        <v>0.9505278581567419</v>
      </c>
      <c r="AW64" s="98">
        <v>959.27271445178371</v>
      </c>
      <c r="AX64" s="98">
        <v>1.0266959845388386</v>
      </c>
      <c r="AY64" s="98">
        <v>1036.1415875965956</v>
      </c>
      <c r="AZ64" s="98">
        <v>0.92040723511904776</v>
      </c>
      <c r="BA64" s="98">
        <v>928.87498168214279</v>
      </c>
      <c r="BB64" s="98">
        <v>1.0582327212652876</v>
      </c>
      <c r="BC64" s="98">
        <v>1067.968462300928</v>
      </c>
      <c r="BD64" s="98">
        <v>1.0124479586309525</v>
      </c>
      <c r="BE64" s="98">
        <v>1021.7624798503571</v>
      </c>
      <c r="BF64" s="98">
        <v>0.77483262140123921</v>
      </c>
      <c r="BG64" s="98">
        <v>781.96108151813041</v>
      </c>
      <c r="BH64" s="98">
        <v>0.85771006177241838</v>
      </c>
      <c r="BI64" s="98">
        <v>865.60099434072447</v>
      </c>
      <c r="BJ64" s="98">
        <v>1.0625390870189906</v>
      </c>
      <c r="BK64" s="98">
        <v>1072.3144466195652</v>
      </c>
      <c r="BL64" s="98">
        <v>0.74570030623071004</v>
      </c>
      <c r="BM64" s="98">
        <v>752.56074904803245</v>
      </c>
      <c r="BN64" s="98">
        <v>0.76501896701388905</v>
      </c>
      <c r="BO64" s="98">
        <v>772.05714151041673</v>
      </c>
      <c r="BP64" s="98">
        <v>1.2390097395833335</v>
      </c>
      <c r="BQ64" s="98">
        <v>1250.4086291874999</v>
      </c>
      <c r="BR64" s="98">
        <v>1.067339715424197</v>
      </c>
      <c r="BS64" s="98">
        <v>1077.1592408060994</v>
      </c>
      <c r="BT64" s="98">
        <v>0.76590083325828551</v>
      </c>
      <c r="BU64" s="98">
        <v>772.94712092426164</v>
      </c>
      <c r="BV64" s="98">
        <v>1.1637332857827041</v>
      </c>
      <c r="BW64" s="98">
        <v>1174.4396320119047</v>
      </c>
      <c r="BX64" s="98">
        <v>0.73093396353307216</v>
      </c>
      <c r="BY64" s="98">
        <v>737.65855599757629</v>
      </c>
      <c r="BZ64" s="98">
        <v>0.57525452194940485</v>
      </c>
      <c r="CA64" s="98">
        <v>580.54686355133924</v>
      </c>
      <c r="CB64" s="98">
        <v>0.94579213217304292</v>
      </c>
      <c r="CC64" s="98">
        <v>954.49341978903476</v>
      </c>
      <c r="CD64" s="98">
        <v>0.7703408380887683</v>
      </c>
      <c r="CE64" s="98">
        <v>777.42797379918488</v>
      </c>
      <c r="CF64" s="98">
        <v>0.98432440422453726</v>
      </c>
      <c r="CG64" s="98">
        <v>993.38018874340287</v>
      </c>
      <c r="CH64" s="98">
        <v>1.1857062613029798</v>
      </c>
      <c r="CI64" s="98">
        <v>1196.6147589069672</v>
      </c>
      <c r="CJ64" s="98">
        <v>0.59696223975881635</v>
      </c>
      <c r="CK64" s="98">
        <v>602.45429236459734</v>
      </c>
      <c r="CL64" s="98">
        <v>1.0256346903642066</v>
      </c>
      <c r="CM64" s="98">
        <v>1035.0705295155572</v>
      </c>
      <c r="CN64" s="98">
        <v>0.58765636073106697</v>
      </c>
      <c r="CO64" s="98">
        <v>593.06279924979265</v>
      </c>
      <c r="CP64" s="98">
        <v>0.97503832493940001</v>
      </c>
      <c r="CQ64" s="98">
        <v>984.00867752884233</v>
      </c>
      <c r="CR64" s="98">
        <v>0.95901701088182256</v>
      </c>
      <c r="CS64" s="98">
        <v>967.83996738193514</v>
      </c>
      <c r="CT64" s="98">
        <v>1.1053910421772879</v>
      </c>
      <c r="CU64" s="98">
        <v>1115.5606397653187</v>
      </c>
    </row>
    <row r="65" spans="2:99">
      <c r="C65" s="97" t="s">
        <v>232</v>
      </c>
      <c r="D65" s="98">
        <v>7</v>
      </c>
      <c r="E65" s="98">
        <v>7182</v>
      </c>
      <c r="F65" s="98">
        <v>5</v>
      </c>
      <c r="G65" s="98">
        <v>5130</v>
      </c>
      <c r="H65" s="98">
        <v>6</v>
      </c>
      <c r="I65" s="98">
        <v>6156</v>
      </c>
      <c r="J65" s="98">
        <v>4</v>
      </c>
      <c r="K65" s="98">
        <v>4104</v>
      </c>
      <c r="L65" s="98">
        <v>8</v>
      </c>
      <c r="M65" s="98">
        <v>8208</v>
      </c>
      <c r="N65" s="98">
        <v>5</v>
      </c>
      <c r="O65" s="98">
        <v>5130</v>
      </c>
      <c r="P65" s="98">
        <v>4</v>
      </c>
      <c r="Q65" s="98">
        <v>4104</v>
      </c>
      <c r="R65" s="98">
        <v>7</v>
      </c>
      <c r="S65" s="98">
        <v>7182</v>
      </c>
      <c r="T65" s="98">
        <v>7</v>
      </c>
      <c r="U65" s="98">
        <v>7182</v>
      </c>
      <c r="V65" s="98">
        <v>7</v>
      </c>
      <c r="W65" s="98">
        <v>7182</v>
      </c>
      <c r="X65" s="98">
        <v>9</v>
      </c>
      <c r="Y65" s="98">
        <v>9234</v>
      </c>
      <c r="Z65" s="98">
        <v>5.4572367062231582</v>
      </c>
      <c r="AA65" s="98">
        <v>5599.1248605849605</v>
      </c>
      <c r="AB65" s="98">
        <v>0.7798344751778904</v>
      </c>
      <c r="AC65" s="98">
        <v>800.11017153251555</v>
      </c>
      <c r="AD65" s="98">
        <v>0.72023736894478341</v>
      </c>
      <c r="AE65" s="98">
        <v>738.96354053734774</v>
      </c>
      <c r="AF65" s="98">
        <v>1.1182367004514377</v>
      </c>
      <c r="AG65" s="98">
        <v>1147.3108546631752</v>
      </c>
      <c r="AH65" s="98">
        <v>0.80535633072916679</v>
      </c>
      <c r="AI65" s="98">
        <v>826.29559532812516</v>
      </c>
      <c r="AJ65" s="98">
        <v>0.64475397656629074</v>
      </c>
      <c r="AK65" s="98">
        <v>661.51757995701428</v>
      </c>
      <c r="AL65" s="98">
        <v>1.0754378923242289</v>
      </c>
      <c r="AM65" s="98">
        <v>1103.3992775246588</v>
      </c>
      <c r="AN65" s="98">
        <v>0.95599852208857938</v>
      </c>
      <c r="AO65" s="98">
        <v>980.85448366288244</v>
      </c>
      <c r="AP65" s="98">
        <v>1.011622144635332</v>
      </c>
      <c r="AQ65" s="98">
        <v>1037.9243203958506</v>
      </c>
      <c r="AR65" s="98">
        <v>1.0369972820425726</v>
      </c>
      <c r="AS65" s="98">
        <v>1063.9592113756794</v>
      </c>
      <c r="AT65" s="98">
        <v>0.77573727128028325</v>
      </c>
      <c r="AU65" s="98">
        <v>795.90644033357057</v>
      </c>
      <c r="AV65" s="98">
        <v>0.9505278581567419</v>
      </c>
      <c r="AW65" s="98">
        <v>975.24158246881723</v>
      </c>
      <c r="AX65" s="98">
        <v>1.0266959845388386</v>
      </c>
      <c r="AY65" s="98">
        <v>1053.3900801368484</v>
      </c>
      <c r="AZ65" s="98">
        <v>0.80535633072916679</v>
      </c>
      <c r="BA65" s="98">
        <v>826.29559532812516</v>
      </c>
      <c r="BB65" s="98">
        <v>1.0582327212652876</v>
      </c>
      <c r="BC65" s="98">
        <v>1085.7467720181851</v>
      </c>
      <c r="BD65" s="98">
        <v>1.0124479586309525</v>
      </c>
      <c r="BE65" s="98">
        <v>1038.7716055553572</v>
      </c>
      <c r="BF65" s="98">
        <v>0.77483262140123921</v>
      </c>
      <c r="BG65" s="98">
        <v>794.97826955767141</v>
      </c>
      <c r="BH65" s="98">
        <v>0.85771006177241838</v>
      </c>
      <c r="BI65" s="98">
        <v>880.01052337850126</v>
      </c>
      <c r="BJ65" s="98">
        <v>1.0625390870189906</v>
      </c>
      <c r="BK65" s="98">
        <v>1090.1651032814843</v>
      </c>
      <c r="BL65" s="98">
        <v>0.89484036747685214</v>
      </c>
      <c r="BM65" s="98">
        <v>918.10621703125025</v>
      </c>
      <c r="BN65" s="98">
        <v>0.76501896701388905</v>
      </c>
      <c r="BO65" s="98">
        <v>784.90946015625013</v>
      </c>
      <c r="BP65" s="98">
        <v>1.2390097395833335</v>
      </c>
      <c r="BQ65" s="98">
        <v>1271.2239928125002</v>
      </c>
      <c r="BR65" s="98">
        <v>0.93392225099617232</v>
      </c>
      <c r="BS65" s="98">
        <v>958.20422952207275</v>
      </c>
      <c r="BT65" s="98">
        <v>0.76590083325828551</v>
      </c>
      <c r="BU65" s="98">
        <v>785.81425492300093</v>
      </c>
      <c r="BV65" s="98">
        <v>1.1637332857827041</v>
      </c>
      <c r="BW65" s="98">
        <v>1193.9903512130543</v>
      </c>
      <c r="BX65" s="98">
        <v>0.73093396353307216</v>
      </c>
      <c r="BY65" s="98">
        <v>749.93824658493202</v>
      </c>
      <c r="BZ65" s="98">
        <v>0.57525452194940485</v>
      </c>
      <c r="CA65" s="98">
        <v>590.21113952008943</v>
      </c>
      <c r="CB65" s="98">
        <v>0.94579213217304292</v>
      </c>
      <c r="CC65" s="98">
        <v>970.38272760954203</v>
      </c>
      <c r="CD65" s="98">
        <v>0.89873097777022959</v>
      </c>
      <c r="CE65" s="98">
        <v>922.09798319225558</v>
      </c>
      <c r="CF65" s="98">
        <v>0.98432440422453726</v>
      </c>
      <c r="CG65" s="98">
        <v>1009.9168387343752</v>
      </c>
      <c r="CH65" s="98">
        <v>1.1857062613029798</v>
      </c>
      <c r="CI65" s="98">
        <v>1216.5346240968572</v>
      </c>
      <c r="CJ65" s="98">
        <v>0.59696223975881635</v>
      </c>
      <c r="CK65" s="98">
        <v>612.48325799254553</v>
      </c>
      <c r="CL65" s="98">
        <v>0.89743035406868077</v>
      </c>
      <c r="CM65" s="98">
        <v>920.76354327446643</v>
      </c>
      <c r="CN65" s="98">
        <v>0.58765636073106697</v>
      </c>
      <c r="CO65" s="98">
        <v>602.93542611007467</v>
      </c>
      <c r="CP65" s="98">
        <v>0.97503832493940001</v>
      </c>
      <c r="CQ65" s="98">
        <v>1000.3893213878245</v>
      </c>
      <c r="CR65" s="98">
        <v>0.83913988452159471</v>
      </c>
      <c r="CS65" s="98">
        <v>860.95752151915622</v>
      </c>
      <c r="CT65" s="98">
        <v>0.94747803615196091</v>
      </c>
      <c r="CU65" s="98">
        <v>972.11246509191187</v>
      </c>
    </row>
    <row r="66" spans="2:99">
      <c r="C66" s="97" t="s">
        <v>233</v>
      </c>
      <c r="D66" s="98">
        <v>6</v>
      </c>
      <c r="E66" s="98">
        <v>7142.4</v>
      </c>
      <c r="F66" s="98">
        <v>5</v>
      </c>
      <c r="G66" s="98">
        <v>5951.9999999999991</v>
      </c>
      <c r="H66" s="98">
        <v>6</v>
      </c>
      <c r="I66" s="98">
        <v>7142.4</v>
      </c>
      <c r="J66" s="98">
        <v>5</v>
      </c>
      <c r="K66" s="98">
        <v>5951.9999999999991</v>
      </c>
      <c r="L66" s="98">
        <v>8</v>
      </c>
      <c r="M66" s="98">
        <v>9523.1999999999989</v>
      </c>
      <c r="N66" s="98">
        <v>5</v>
      </c>
      <c r="O66" s="98">
        <v>5951.9999999999991</v>
      </c>
      <c r="P66" s="98">
        <v>4</v>
      </c>
      <c r="Q66" s="98">
        <v>4761.5999999999995</v>
      </c>
      <c r="R66" s="98">
        <v>6</v>
      </c>
      <c r="S66" s="98">
        <v>7142.4</v>
      </c>
      <c r="T66" s="98">
        <v>7</v>
      </c>
      <c r="U66" s="98">
        <v>8332.7999999999993</v>
      </c>
      <c r="V66" s="98">
        <v>7</v>
      </c>
      <c r="W66" s="98">
        <v>8332.7999999999993</v>
      </c>
      <c r="X66" s="98">
        <v>8</v>
      </c>
      <c r="Y66" s="98">
        <v>9523.1999999999989</v>
      </c>
      <c r="Z66" s="98">
        <v>5.4572367062231582</v>
      </c>
      <c r="AA66" s="98">
        <v>6496.2945750880472</v>
      </c>
      <c r="AB66" s="98">
        <v>0.7798344751778904</v>
      </c>
      <c r="AC66" s="98">
        <v>928.31495925176057</v>
      </c>
      <c r="AD66" s="98">
        <v>0.86428484273373996</v>
      </c>
      <c r="AE66" s="98">
        <v>1028.844676790244</v>
      </c>
      <c r="AF66" s="98">
        <v>1.1182367004514377</v>
      </c>
      <c r="AG66" s="98">
        <v>1331.1489682173913</v>
      </c>
      <c r="AH66" s="98">
        <v>0.80535633072916679</v>
      </c>
      <c r="AI66" s="98">
        <v>958.6961761</v>
      </c>
      <c r="AJ66" s="98">
        <v>0.64475397656629074</v>
      </c>
      <c r="AK66" s="98">
        <v>767.51513370451244</v>
      </c>
      <c r="AL66" s="98">
        <v>1.0754378923242289</v>
      </c>
      <c r="AM66" s="98">
        <v>1280.2012670227621</v>
      </c>
      <c r="AN66" s="98">
        <v>0.79666543507381604</v>
      </c>
      <c r="AO66" s="98">
        <v>948.35053391187046</v>
      </c>
      <c r="AP66" s="98">
        <v>1.011622144635332</v>
      </c>
      <c r="AQ66" s="98">
        <v>1204.2350009738991</v>
      </c>
      <c r="AR66" s="98">
        <v>1.0369972820425726</v>
      </c>
      <c r="AS66" s="98">
        <v>1234.4415645434783</v>
      </c>
      <c r="AT66" s="98">
        <v>0.77573727128028325</v>
      </c>
      <c r="AU66" s="98">
        <v>923.43764773204907</v>
      </c>
      <c r="AV66" s="98">
        <v>0.76042228652539356</v>
      </c>
      <c r="AW66" s="98">
        <v>905.20668987982845</v>
      </c>
      <c r="AX66" s="98">
        <v>1.0266959845388386</v>
      </c>
      <c r="AY66" s="98">
        <v>1222.1788999950334</v>
      </c>
      <c r="AZ66" s="98">
        <v>0.80535633072916679</v>
      </c>
      <c r="BA66" s="98">
        <v>958.6961761</v>
      </c>
      <c r="BB66" s="98">
        <v>1.0582327212652876</v>
      </c>
      <c r="BC66" s="98">
        <v>1259.7202313941982</v>
      </c>
      <c r="BD66" s="98">
        <v>1.0124479586309525</v>
      </c>
      <c r="BE66" s="98">
        <v>1205.2180499542858</v>
      </c>
      <c r="BF66" s="98">
        <v>0.77483262140123921</v>
      </c>
      <c r="BG66" s="98">
        <v>922.36075251603506</v>
      </c>
      <c r="BH66" s="98">
        <v>0.85771006177241838</v>
      </c>
      <c r="BI66" s="98">
        <v>1021.0180575338867</v>
      </c>
      <c r="BJ66" s="98">
        <v>1.0625390870189906</v>
      </c>
      <c r="BK66" s="98">
        <v>1264.8465291874063</v>
      </c>
      <c r="BL66" s="98">
        <v>0.89484036747685214</v>
      </c>
      <c r="BM66" s="98">
        <v>1065.2179734444446</v>
      </c>
      <c r="BN66" s="98">
        <v>0.76501896701388905</v>
      </c>
      <c r="BO66" s="98">
        <v>910.67857833333346</v>
      </c>
      <c r="BP66" s="98">
        <v>1.2390097395833335</v>
      </c>
      <c r="BQ66" s="98">
        <v>1474.9171940000001</v>
      </c>
      <c r="BR66" s="98">
        <v>1.067339715424197</v>
      </c>
      <c r="BS66" s="98">
        <v>1270.561197240964</v>
      </c>
      <c r="BT66" s="98">
        <v>0.89355097213466639</v>
      </c>
      <c r="BU66" s="98">
        <v>1063.6830772291069</v>
      </c>
      <c r="BV66" s="98">
        <v>1.018266625059866</v>
      </c>
      <c r="BW66" s="98">
        <v>1212.1445904712643</v>
      </c>
      <c r="BX66" s="98">
        <v>0.73093396353307216</v>
      </c>
      <c r="BY66" s="98">
        <v>870.10379018976903</v>
      </c>
      <c r="BZ66" s="98">
        <v>0.57525452194940485</v>
      </c>
      <c r="CA66" s="98">
        <v>684.78298292857141</v>
      </c>
      <c r="CB66" s="98">
        <v>0.94579213217304292</v>
      </c>
      <c r="CC66" s="98">
        <v>1125.8709541387902</v>
      </c>
      <c r="CD66" s="98">
        <v>0.7703408380887683</v>
      </c>
      <c r="CE66" s="98">
        <v>917.01373366086966</v>
      </c>
      <c r="CF66" s="98">
        <v>0.98432440422453726</v>
      </c>
      <c r="CG66" s="98">
        <v>1171.739770788889</v>
      </c>
      <c r="CH66" s="98">
        <v>1.1857062613029798</v>
      </c>
      <c r="CI66" s="98">
        <v>1411.4647334550671</v>
      </c>
      <c r="CJ66" s="98">
        <v>0.59696223975881635</v>
      </c>
      <c r="CK66" s="98">
        <v>710.62385020889485</v>
      </c>
      <c r="CL66" s="98">
        <v>0.89743035406868077</v>
      </c>
      <c r="CM66" s="98">
        <v>1068.3010934833574</v>
      </c>
      <c r="CN66" s="98">
        <v>0.58765636073106697</v>
      </c>
      <c r="CO66" s="98">
        <v>699.54613181426203</v>
      </c>
      <c r="CP66" s="98">
        <v>0.97503832493940001</v>
      </c>
      <c r="CQ66" s="98">
        <v>1160.6856220078616</v>
      </c>
      <c r="CR66" s="98">
        <v>0.83913988452159471</v>
      </c>
      <c r="CS66" s="98">
        <v>998.91211853450625</v>
      </c>
      <c r="CT66" s="98">
        <v>0.94747803615196091</v>
      </c>
      <c r="CU66" s="98">
        <v>1127.8778542352941</v>
      </c>
    </row>
    <row r="67" spans="2:99">
      <c r="C67" s="97" t="s">
        <v>234</v>
      </c>
      <c r="D67" s="98">
        <v>6</v>
      </c>
      <c r="E67" s="98">
        <v>6739.2000000000007</v>
      </c>
      <c r="F67" s="98">
        <v>5</v>
      </c>
      <c r="G67" s="98">
        <v>5616</v>
      </c>
      <c r="H67" s="98">
        <v>5</v>
      </c>
      <c r="I67" s="98">
        <v>5616</v>
      </c>
      <c r="J67" s="98">
        <v>5</v>
      </c>
      <c r="K67" s="98">
        <v>5616</v>
      </c>
      <c r="L67" s="98">
        <v>8</v>
      </c>
      <c r="M67" s="98">
        <v>8985.6</v>
      </c>
      <c r="N67" s="98">
        <v>4</v>
      </c>
      <c r="O67" s="98">
        <v>4492.8</v>
      </c>
      <c r="P67" s="98">
        <v>5</v>
      </c>
      <c r="Q67" s="98">
        <v>5616</v>
      </c>
      <c r="R67" s="98">
        <v>7</v>
      </c>
      <c r="S67" s="98">
        <v>7862.4000000000005</v>
      </c>
      <c r="T67" s="98">
        <v>7</v>
      </c>
      <c r="U67" s="98">
        <v>7862.4000000000005</v>
      </c>
      <c r="V67" s="98">
        <v>7</v>
      </c>
      <c r="W67" s="98">
        <v>7862.4000000000005</v>
      </c>
      <c r="X67" s="98">
        <v>8</v>
      </c>
      <c r="Y67" s="98">
        <v>8985.6</v>
      </c>
      <c r="Z67" s="98">
        <v>5.4572367062231582</v>
      </c>
      <c r="AA67" s="98">
        <v>6129.5682684298517</v>
      </c>
      <c r="AB67" s="98">
        <v>0.7798344751778904</v>
      </c>
      <c r="AC67" s="98">
        <v>875.91008251980656</v>
      </c>
      <c r="AD67" s="98">
        <v>0.72023736894478341</v>
      </c>
      <c r="AE67" s="98">
        <v>808.97061279878073</v>
      </c>
      <c r="AF67" s="98">
        <v>0.99398817817905583</v>
      </c>
      <c r="AG67" s="98">
        <v>1116.4475217307156</v>
      </c>
      <c r="AH67" s="98">
        <v>0.80535633072916679</v>
      </c>
      <c r="AI67" s="98">
        <v>904.57623067500015</v>
      </c>
      <c r="AJ67" s="98">
        <v>0.64475397656629074</v>
      </c>
      <c r="AK67" s="98">
        <v>724.18766647925781</v>
      </c>
      <c r="AL67" s="98">
        <v>0.94100815578370023</v>
      </c>
      <c r="AM67" s="98">
        <v>1056.940360576252</v>
      </c>
      <c r="AN67" s="98">
        <v>0.95599852208857938</v>
      </c>
      <c r="AO67" s="98">
        <v>1073.7775400098924</v>
      </c>
      <c r="AP67" s="98">
        <v>1.011622144635332</v>
      </c>
      <c r="AQ67" s="98">
        <v>1136.2539928544049</v>
      </c>
      <c r="AR67" s="98">
        <v>1.0369972820425726</v>
      </c>
      <c r="AS67" s="98">
        <v>1164.7553471902177</v>
      </c>
      <c r="AT67" s="98">
        <v>0.77573727128028325</v>
      </c>
      <c r="AU67" s="98">
        <v>871.30810310201423</v>
      </c>
      <c r="AV67" s="98">
        <v>0.9505278581567419</v>
      </c>
      <c r="AW67" s="98">
        <v>1067.6328902816526</v>
      </c>
      <c r="AX67" s="98">
        <v>1.0266959845388386</v>
      </c>
      <c r="AY67" s="98">
        <v>1153.1849298340235</v>
      </c>
      <c r="AZ67" s="98">
        <v>0.92040723511904776</v>
      </c>
      <c r="BA67" s="98">
        <v>1033.8014064857146</v>
      </c>
      <c r="BB67" s="98">
        <v>1.0582327212652876</v>
      </c>
      <c r="BC67" s="98">
        <v>1188.6069925251711</v>
      </c>
      <c r="BD67" s="98">
        <v>1.0124479586309525</v>
      </c>
      <c r="BE67" s="98">
        <v>1137.1815471342859</v>
      </c>
      <c r="BF67" s="98">
        <v>0.77483262140123921</v>
      </c>
      <c r="BG67" s="98">
        <v>870.29200035787187</v>
      </c>
      <c r="BH67" s="98">
        <v>0.7351800529477871</v>
      </c>
      <c r="BI67" s="98">
        <v>825.75423547095454</v>
      </c>
      <c r="BJ67" s="98">
        <v>1.1953564728963646</v>
      </c>
      <c r="BK67" s="98">
        <v>1342.6243903571967</v>
      </c>
      <c r="BL67" s="98">
        <v>0.89484036747685214</v>
      </c>
      <c r="BM67" s="98">
        <v>1005.0847007500004</v>
      </c>
      <c r="BN67" s="98">
        <v>0.76501896701388905</v>
      </c>
      <c r="BO67" s="98">
        <v>859.26930375000018</v>
      </c>
      <c r="BP67" s="98">
        <v>1.3938859570312503</v>
      </c>
      <c r="BQ67" s="98">
        <v>1565.6127069375004</v>
      </c>
      <c r="BR67" s="98">
        <v>0.93392225099617232</v>
      </c>
      <c r="BS67" s="98">
        <v>1048.9814723189008</v>
      </c>
      <c r="BT67" s="98">
        <v>0.89355097213466639</v>
      </c>
      <c r="BU67" s="98">
        <v>1003.6364519016573</v>
      </c>
      <c r="BV67" s="98">
        <v>1.1637332857827041</v>
      </c>
      <c r="BW67" s="98">
        <v>1307.1052265911333</v>
      </c>
      <c r="BX67" s="98">
        <v>0.73093396353307216</v>
      </c>
      <c r="BY67" s="98">
        <v>820.98502784034667</v>
      </c>
      <c r="BZ67" s="98">
        <v>0.57525452194940485</v>
      </c>
      <c r="CA67" s="98">
        <v>646.12587905357157</v>
      </c>
      <c r="CB67" s="98">
        <v>0.94579213217304292</v>
      </c>
      <c r="CC67" s="98">
        <v>1062.3137228567618</v>
      </c>
      <c r="CD67" s="98">
        <v>0.89873097777022959</v>
      </c>
      <c r="CE67" s="98">
        <v>1009.4546342315219</v>
      </c>
      <c r="CF67" s="98">
        <v>0.98432440422453726</v>
      </c>
      <c r="CG67" s="98">
        <v>1105.5931708250002</v>
      </c>
      <c r="CH67" s="98">
        <v>1.1857062613029798</v>
      </c>
      <c r="CI67" s="98">
        <v>1331.785272695507</v>
      </c>
      <c r="CJ67" s="98">
        <v>0.59696223975881635</v>
      </c>
      <c r="CK67" s="98">
        <v>670.50798769710252</v>
      </c>
      <c r="CL67" s="98">
        <v>1.0256346903642066</v>
      </c>
      <c r="CM67" s="98">
        <v>1151.9928842170768</v>
      </c>
      <c r="CN67" s="98">
        <v>0.73457045091383377</v>
      </c>
      <c r="CO67" s="98">
        <v>825.06953046641809</v>
      </c>
      <c r="CP67" s="98">
        <v>0.97503832493940001</v>
      </c>
      <c r="CQ67" s="98">
        <v>1095.163046571934</v>
      </c>
      <c r="CR67" s="98">
        <v>0.83913988452159471</v>
      </c>
      <c r="CS67" s="98">
        <v>942.52191829465517</v>
      </c>
      <c r="CT67" s="98">
        <v>0.94747803615196091</v>
      </c>
      <c r="CU67" s="98">
        <v>1064.2073302058825</v>
      </c>
    </row>
    <row r="68" spans="2:99">
      <c r="C68" s="97" t="s">
        <v>235</v>
      </c>
      <c r="D68" s="98">
        <v>7</v>
      </c>
      <c r="E68" s="98">
        <v>7232.4000000000005</v>
      </c>
      <c r="F68" s="98">
        <v>4</v>
      </c>
      <c r="G68" s="98">
        <v>4132.8</v>
      </c>
      <c r="H68" s="98">
        <v>6</v>
      </c>
      <c r="I68" s="98">
        <v>6199.2000000000007</v>
      </c>
      <c r="J68" s="98">
        <v>5</v>
      </c>
      <c r="K68" s="98">
        <v>5166</v>
      </c>
      <c r="L68" s="98">
        <v>8</v>
      </c>
      <c r="M68" s="98">
        <v>8265.6</v>
      </c>
      <c r="N68" s="98">
        <v>5</v>
      </c>
      <c r="O68" s="98">
        <v>5166</v>
      </c>
      <c r="P68" s="98">
        <v>4</v>
      </c>
      <c r="Q68" s="98">
        <v>4132.8</v>
      </c>
      <c r="R68" s="98">
        <v>7</v>
      </c>
      <c r="S68" s="98">
        <v>7232.4000000000005</v>
      </c>
      <c r="T68" s="98">
        <v>7</v>
      </c>
      <c r="U68" s="98">
        <v>7232.4000000000005</v>
      </c>
      <c r="V68" s="98">
        <v>7</v>
      </c>
      <c r="W68" s="98">
        <v>7232.4000000000005</v>
      </c>
      <c r="X68" s="98">
        <v>9</v>
      </c>
      <c r="Y68" s="98">
        <v>9298.8000000000011</v>
      </c>
      <c r="Z68" s="98">
        <v>5.4572367062231582</v>
      </c>
      <c r="AA68" s="98">
        <v>5638.4169648697671</v>
      </c>
      <c r="AB68" s="98">
        <v>0.62386758014231236</v>
      </c>
      <c r="AC68" s="98">
        <v>644.57998380303718</v>
      </c>
      <c r="AD68" s="98">
        <v>0.86428484273373996</v>
      </c>
      <c r="AE68" s="98">
        <v>892.97909951250017</v>
      </c>
      <c r="AF68" s="98">
        <v>0.99398817817905583</v>
      </c>
      <c r="AG68" s="98">
        <v>1026.9885856946005</v>
      </c>
      <c r="AH68" s="98">
        <v>0.80535633072916679</v>
      </c>
      <c r="AI68" s="98">
        <v>832.0941609093752</v>
      </c>
      <c r="AJ68" s="98">
        <v>0.64475397656629074</v>
      </c>
      <c r="AK68" s="98">
        <v>666.15980858829164</v>
      </c>
      <c r="AL68" s="98">
        <v>0.94100815578370023</v>
      </c>
      <c r="AM68" s="98">
        <v>972.24962655571915</v>
      </c>
      <c r="AN68" s="98">
        <v>0.95599852208857938</v>
      </c>
      <c r="AO68" s="98">
        <v>987.73767302192027</v>
      </c>
      <c r="AP68" s="98">
        <v>1.011622144635332</v>
      </c>
      <c r="AQ68" s="98">
        <v>1045.2079998372251</v>
      </c>
      <c r="AR68" s="98">
        <v>1.1851397509057973</v>
      </c>
      <c r="AS68" s="98">
        <v>1224.4863906358698</v>
      </c>
      <c r="AT68" s="98">
        <v>0.93088472553633994</v>
      </c>
      <c r="AU68" s="98">
        <v>961.79009842414644</v>
      </c>
      <c r="AV68" s="98">
        <v>0.9505278581567419</v>
      </c>
      <c r="AW68" s="98">
        <v>982.08538304754575</v>
      </c>
      <c r="AX68" s="98">
        <v>1.0266959845388386</v>
      </c>
      <c r="AY68" s="98">
        <v>1060.7822912255281</v>
      </c>
      <c r="AZ68" s="98">
        <v>0.92040723511904776</v>
      </c>
      <c r="BA68" s="98">
        <v>950.96475532500017</v>
      </c>
      <c r="BB68" s="98">
        <v>1.0582327212652876</v>
      </c>
      <c r="BC68" s="98">
        <v>1093.3660476112952</v>
      </c>
      <c r="BD68" s="98">
        <v>1.0124479586309525</v>
      </c>
      <c r="BE68" s="98">
        <v>1046.0612308575</v>
      </c>
      <c r="BF68" s="98">
        <v>0.77483262140123921</v>
      </c>
      <c r="BG68" s="98">
        <v>800.55706443176041</v>
      </c>
      <c r="BH68" s="98">
        <v>0.85771006177241838</v>
      </c>
      <c r="BI68" s="98">
        <v>886.18603582326273</v>
      </c>
      <c r="BJ68" s="98">
        <v>1.0625390870189906</v>
      </c>
      <c r="BK68" s="98">
        <v>1097.8153847080212</v>
      </c>
      <c r="BL68" s="98">
        <v>0.74570030623071004</v>
      </c>
      <c r="BM68" s="98">
        <v>770.45755639756965</v>
      </c>
      <c r="BN68" s="98">
        <v>0.76501896701388905</v>
      </c>
      <c r="BO68" s="98">
        <v>790.41759671875025</v>
      </c>
      <c r="BP68" s="98">
        <v>1.2390097395833335</v>
      </c>
      <c r="BQ68" s="98">
        <v>1280.1448629375002</v>
      </c>
      <c r="BR68" s="98">
        <v>0.93392225099617232</v>
      </c>
      <c r="BS68" s="98">
        <v>964.92846972924531</v>
      </c>
      <c r="BT68" s="98">
        <v>0.89355097213466639</v>
      </c>
      <c r="BU68" s="98">
        <v>923.21686440953738</v>
      </c>
      <c r="BV68" s="98">
        <v>1.1637332857827041</v>
      </c>
      <c r="BW68" s="98">
        <v>1202.36923087069</v>
      </c>
      <c r="BX68" s="98">
        <v>0.73093396353307216</v>
      </c>
      <c r="BY68" s="98">
        <v>755.20097112237022</v>
      </c>
      <c r="BZ68" s="98">
        <v>0.57525452194940485</v>
      </c>
      <c r="CA68" s="98">
        <v>594.35297207812516</v>
      </c>
      <c r="CB68" s="98">
        <v>0.94579213217304292</v>
      </c>
      <c r="CC68" s="98">
        <v>977.19243096118794</v>
      </c>
      <c r="CD68" s="98">
        <v>0.7703408380887683</v>
      </c>
      <c r="CE68" s="98">
        <v>795.9161539133155</v>
      </c>
      <c r="CF68" s="98">
        <v>1.1249421762566139</v>
      </c>
      <c r="CG68" s="98">
        <v>1162.2902565083334</v>
      </c>
      <c r="CH68" s="98">
        <v>1.0163196525454112</v>
      </c>
      <c r="CI68" s="98">
        <v>1050.0614650099189</v>
      </c>
      <c r="CJ68" s="98">
        <v>0.59696223975881635</v>
      </c>
      <c r="CK68" s="98">
        <v>616.78138611880911</v>
      </c>
      <c r="CL68" s="98">
        <v>1.0256346903642066</v>
      </c>
      <c r="CM68" s="98">
        <v>1059.6857620842984</v>
      </c>
      <c r="CN68" s="98">
        <v>0.73457045091383377</v>
      </c>
      <c r="CO68" s="98">
        <v>758.95818988417307</v>
      </c>
      <c r="CP68" s="98">
        <v>0.97503832493940001</v>
      </c>
      <c r="CQ68" s="98">
        <v>1007.4095973273882</v>
      </c>
      <c r="CR68" s="98">
        <v>0.83913988452159471</v>
      </c>
      <c r="CS68" s="98">
        <v>866.99932868771168</v>
      </c>
      <c r="CT68" s="98">
        <v>0.94747803615196091</v>
      </c>
      <c r="CU68" s="98">
        <v>978.93430695220604</v>
      </c>
    </row>
    <row r="69" spans="2:99">
      <c r="C69" s="97" t="s">
        <v>236</v>
      </c>
      <c r="D69" s="98">
        <v>7</v>
      </c>
      <c r="E69" s="98">
        <v>5308.8</v>
      </c>
      <c r="F69" s="98">
        <v>5</v>
      </c>
      <c r="G69" s="98">
        <v>3792</v>
      </c>
      <c r="H69" s="98">
        <v>5</v>
      </c>
      <c r="I69" s="98">
        <v>3792</v>
      </c>
      <c r="J69" s="98">
        <v>5</v>
      </c>
      <c r="K69" s="98">
        <v>3792</v>
      </c>
      <c r="L69" s="98">
        <v>7</v>
      </c>
      <c r="M69" s="98">
        <v>5308.8</v>
      </c>
      <c r="N69" s="98">
        <v>5</v>
      </c>
      <c r="O69" s="98">
        <v>3792</v>
      </c>
      <c r="P69" s="98">
        <v>4</v>
      </c>
      <c r="Q69" s="98">
        <v>3033.6</v>
      </c>
      <c r="R69" s="98">
        <v>7</v>
      </c>
      <c r="S69" s="98">
        <v>5308.8</v>
      </c>
      <c r="T69" s="98">
        <v>8</v>
      </c>
      <c r="U69" s="98">
        <v>6067.2</v>
      </c>
      <c r="V69" s="98">
        <v>7</v>
      </c>
      <c r="W69" s="98">
        <v>5308.8</v>
      </c>
      <c r="X69" s="98">
        <v>9</v>
      </c>
      <c r="Y69" s="98">
        <v>6825.5999999999995</v>
      </c>
      <c r="Z69" s="98">
        <v>6.1393912945010536</v>
      </c>
      <c r="AA69" s="98">
        <v>4656.1143577495986</v>
      </c>
      <c r="AB69" s="98">
        <v>0.7798344751778904</v>
      </c>
      <c r="AC69" s="98">
        <v>591.42646597491205</v>
      </c>
      <c r="AD69" s="98">
        <v>0.86428484273373996</v>
      </c>
      <c r="AE69" s="98">
        <v>655.47362472926841</v>
      </c>
      <c r="AF69" s="98">
        <v>1.1182367004514377</v>
      </c>
      <c r="AG69" s="98">
        <v>848.07071362237036</v>
      </c>
      <c r="AH69" s="98">
        <v>0.80535633072916679</v>
      </c>
      <c r="AI69" s="98">
        <v>610.78224122500012</v>
      </c>
      <c r="AJ69" s="98">
        <v>0.64475397656629074</v>
      </c>
      <c r="AK69" s="98">
        <v>488.98141582787491</v>
      </c>
      <c r="AL69" s="98">
        <v>1.0754378923242289</v>
      </c>
      <c r="AM69" s="98">
        <v>815.61209753869514</v>
      </c>
      <c r="AN69" s="98">
        <v>0.95599852208857938</v>
      </c>
      <c r="AO69" s="98">
        <v>725.02927915197859</v>
      </c>
      <c r="AP69" s="98">
        <v>1.011622144635332</v>
      </c>
      <c r="AQ69" s="98">
        <v>767.21423449143572</v>
      </c>
      <c r="AR69" s="98">
        <v>1.0369972820425726</v>
      </c>
      <c r="AS69" s="98">
        <v>786.45873870108699</v>
      </c>
      <c r="AT69" s="98">
        <v>0.93088472553633994</v>
      </c>
      <c r="AU69" s="98">
        <v>705.98297584676016</v>
      </c>
      <c r="AV69" s="98">
        <v>0.9505278581567419</v>
      </c>
      <c r="AW69" s="98">
        <v>720.88032762607304</v>
      </c>
      <c r="AX69" s="98">
        <v>1.0266959845388386</v>
      </c>
      <c r="AY69" s="98">
        <v>778.6462346742552</v>
      </c>
      <c r="AZ69" s="98">
        <v>0.80535633072916679</v>
      </c>
      <c r="BA69" s="98">
        <v>610.78224122500012</v>
      </c>
      <c r="BB69" s="98">
        <v>1.2094088243031857</v>
      </c>
      <c r="BC69" s="98">
        <v>917.21565235153605</v>
      </c>
      <c r="BD69" s="98">
        <v>1.0124479586309525</v>
      </c>
      <c r="BE69" s="98">
        <v>767.84053182571438</v>
      </c>
      <c r="BF69" s="98">
        <v>0.90397139163477902</v>
      </c>
      <c r="BG69" s="98">
        <v>685.57190341581634</v>
      </c>
      <c r="BH69" s="98">
        <v>0.98024007059704954</v>
      </c>
      <c r="BI69" s="98">
        <v>743.4140695408023</v>
      </c>
      <c r="BJ69" s="98">
        <v>1.1953564728963646</v>
      </c>
      <c r="BK69" s="98">
        <v>906.55834904460289</v>
      </c>
      <c r="BL69" s="98">
        <v>0.74570030623071004</v>
      </c>
      <c r="BM69" s="98">
        <v>565.53911224537046</v>
      </c>
      <c r="BN69" s="98">
        <v>0.76501896701388905</v>
      </c>
      <c r="BO69" s="98">
        <v>580.19038458333341</v>
      </c>
      <c r="BP69" s="98">
        <v>1.2390097395833335</v>
      </c>
      <c r="BQ69" s="98">
        <v>939.66498650000005</v>
      </c>
      <c r="BR69" s="98">
        <v>0.93392225099617232</v>
      </c>
      <c r="BS69" s="98">
        <v>708.28663515549704</v>
      </c>
      <c r="BT69" s="98">
        <v>0.89355097213466639</v>
      </c>
      <c r="BU69" s="98">
        <v>677.66905726693096</v>
      </c>
      <c r="BV69" s="98">
        <v>1.1637332857827041</v>
      </c>
      <c r="BW69" s="98">
        <v>882.57532393760278</v>
      </c>
      <c r="BX69" s="98">
        <v>0.73093396353307216</v>
      </c>
      <c r="BY69" s="98">
        <v>554.34031794348186</v>
      </c>
      <c r="BZ69" s="98">
        <v>0.57525452194940485</v>
      </c>
      <c r="CA69" s="98">
        <v>436.27302944642861</v>
      </c>
      <c r="CB69" s="98">
        <v>0.94579213217304292</v>
      </c>
      <c r="CC69" s="98">
        <v>717.28875304003577</v>
      </c>
      <c r="CD69" s="98">
        <v>0.89873097777022959</v>
      </c>
      <c r="CE69" s="98">
        <v>681.59757354094211</v>
      </c>
      <c r="CF69" s="98">
        <v>1.1249421762566139</v>
      </c>
      <c r="CG69" s="98">
        <v>853.15614647301595</v>
      </c>
      <c r="CH69" s="98">
        <v>1.1857062613029798</v>
      </c>
      <c r="CI69" s="98">
        <v>899.23962857217987</v>
      </c>
      <c r="CJ69" s="98">
        <v>0.59696223975881635</v>
      </c>
      <c r="CK69" s="98">
        <v>452.73616263308628</v>
      </c>
      <c r="CL69" s="98">
        <v>1.0256346903642066</v>
      </c>
      <c r="CM69" s="98">
        <v>777.84134917221434</v>
      </c>
      <c r="CN69" s="98">
        <v>0.58765636073106697</v>
      </c>
      <c r="CO69" s="98">
        <v>445.67858397844117</v>
      </c>
      <c r="CP69" s="98">
        <v>0.83574713566234293</v>
      </c>
      <c r="CQ69" s="98">
        <v>633.8306276863209</v>
      </c>
      <c r="CR69" s="98">
        <v>0.83913988452159471</v>
      </c>
      <c r="CS69" s="98">
        <v>636.40368842117743</v>
      </c>
      <c r="CT69" s="98">
        <v>0.94747803615196091</v>
      </c>
      <c r="CU69" s="98">
        <v>718.56734261764711</v>
      </c>
    </row>
    <row r="70" spans="2:99">
      <c r="C70" s="97" t="s">
        <v>237</v>
      </c>
      <c r="D70" s="98">
        <v>7</v>
      </c>
      <c r="E70" s="98">
        <v>3746.3999999999996</v>
      </c>
      <c r="F70" s="98">
        <v>5</v>
      </c>
      <c r="G70" s="98">
        <v>2675.9999999999995</v>
      </c>
      <c r="H70" s="98">
        <v>6</v>
      </c>
      <c r="I70" s="98">
        <v>3211.2</v>
      </c>
      <c r="J70" s="98">
        <v>5</v>
      </c>
      <c r="K70" s="98">
        <v>2675.9999999999995</v>
      </c>
      <c r="L70" s="98">
        <v>8</v>
      </c>
      <c r="M70" s="98">
        <v>4281.5999999999995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7</v>
      </c>
      <c r="S70" s="98">
        <v>3746.3999999999996</v>
      </c>
      <c r="T70" s="98">
        <v>7</v>
      </c>
      <c r="U70" s="98">
        <v>3746.3999999999996</v>
      </c>
      <c r="V70" s="98">
        <v>8</v>
      </c>
      <c r="W70" s="98">
        <v>4281.5999999999995</v>
      </c>
      <c r="X70" s="98">
        <v>9</v>
      </c>
      <c r="Y70" s="98">
        <v>4816.7999999999993</v>
      </c>
      <c r="Z70" s="98">
        <v>5.4572367062231582</v>
      </c>
      <c r="AA70" s="98">
        <v>2920.7130851706338</v>
      </c>
      <c r="AB70" s="98">
        <v>0.62386758014231236</v>
      </c>
      <c r="AC70" s="98">
        <v>333.89392889216555</v>
      </c>
      <c r="AD70" s="98">
        <v>0.86428484273373996</v>
      </c>
      <c r="AE70" s="98">
        <v>462.56524783109757</v>
      </c>
      <c r="AF70" s="98">
        <v>0.99398817817905583</v>
      </c>
      <c r="AG70" s="98">
        <v>531.98247296143063</v>
      </c>
      <c r="AH70" s="98">
        <v>0.64428506458333346</v>
      </c>
      <c r="AI70" s="98">
        <v>344.82136656500001</v>
      </c>
      <c r="AJ70" s="98">
        <v>0.64475397656629074</v>
      </c>
      <c r="AK70" s="98">
        <v>345.07232825827879</v>
      </c>
      <c r="AL70" s="98">
        <v>0.94100815578370023</v>
      </c>
      <c r="AM70" s="98">
        <v>503.62756497543631</v>
      </c>
      <c r="AN70" s="98">
        <v>1.1153316091033425</v>
      </c>
      <c r="AO70" s="98">
        <v>596.92547719210881</v>
      </c>
      <c r="AP70" s="98">
        <v>1.011622144635332</v>
      </c>
      <c r="AQ70" s="98">
        <v>541.42017180882954</v>
      </c>
      <c r="AR70" s="98">
        <v>1.1851397509057973</v>
      </c>
      <c r="AS70" s="98">
        <v>634.28679468478265</v>
      </c>
      <c r="AT70" s="98">
        <v>0.93088472553633994</v>
      </c>
      <c r="AU70" s="98">
        <v>498.2095051070491</v>
      </c>
      <c r="AV70" s="98">
        <v>0.9505278581567419</v>
      </c>
      <c r="AW70" s="98">
        <v>508.72250968548821</v>
      </c>
      <c r="AX70" s="98">
        <v>1.0266959845388386</v>
      </c>
      <c r="AY70" s="98">
        <v>549.48769092518637</v>
      </c>
      <c r="AZ70" s="98">
        <v>0.92040723511904776</v>
      </c>
      <c r="BA70" s="98">
        <v>492.60195223571429</v>
      </c>
      <c r="BB70" s="98">
        <v>1.2094088243031857</v>
      </c>
      <c r="BC70" s="98">
        <v>647.27560276706492</v>
      </c>
      <c r="BD70" s="98">
        <v>1.0124479586309525</v>
      </c>
      <c r="BE70" s="98">
        <v>541.86214745928567</v>
      </c>
      <c r="BF70" s="98">
        <v>0.77483262140123921</v>
      </c>
      <c r="BG70" s="98">
        <v>414.69041897394317</v>
      </c>
      <c r="BH70" s="98">
        <v>0.98024007059704954</v>
      </c>
      <c r="BI70" s="98">
        <v>524.62448578354088</v>
      </c>
      <c r="BJ70" s="98">
        <v>1.1953564728963646</v>
      </c>
      <c r="BK70" s="98">
        <v>639.7547842941342</v>
      </c>
      <c r="BL70" s="98">
        <v>0.89484036747685214</v>
      </c>
      <c r="BM70" s="98">
        <v>478.91856467361123</v>
      </c>
      <c r="BN70" s="98">
        <v>0.76501896701388905</v>
      </c>
      <c r="BO70" s="98">
        <v>409.43815114583339</v>
      </c>
      <c r="BP70" s="98">
        <v>1.3938859570312503</v>
      </c>
      <c r="BQ70" s="98">
        <v>746.00776420312502</v>
      </c>
      <c r="BR70" s="98">
        <v>0.93392225099617232</v>
      </c>
      <c r="BS70" s="98">
        <v>499.83518873315137</v>
      </c>
      <c r="BT70" s="98">
        <v>0.89355097213466639</v>
      </c>
      <c r="BU70" s="98">
        <v>478.22848028647337</v>
      </c>
      <c r="BV70" s="98">
        <v>1.1637332857827041</v>
      </c>
      <c r="BW70" s="98">
        <v>622.83005455090313</v>
      </c>
      <c r="BX70" s="98">
        <v>0.73093396353307216</v>
      </c>
      <c r="BY70" s="98">
        <v>391.19585728290019</v>
      </c>
      <c r="BZ70" s="98">
        <v>0.71906815243675604</v>
      </c>
      <c r="CA70" s="98">
        <v>384.84527518415177</v>
      </c>
      <c r="CB70" s="98">
        <v>0.94579213217304292</v>
      </c>
      <c r="CC70" s="98">
        <v>506.18794913901252</v>
      </c>
      <c r="CD70" s="98">
        <v>0.7703408380887683</v>
      </c>
      <c r="CE70" s="98">
        <v>412.28641654510875</v>
      </c>
      <c r="CF70" s="98">
        <v>0.98432440422453726</v>
      </c>
      <c r="CG70" s="98">
        <v>526.81042114097227</v>
      </c>
      <c r="CH70" s="98">
        <v>1.1857062613029798</v>
      </c>
      <c r="CI70" s="98">
        <v>634.58999104935469</v>
      </c>
      <c r="CJ70" s="98">
        <v>0.59696223975881635</v>
      </c>
      <c r="CK70" s="98">
        <v>319.49419071891845</v>
      </c>
      <c r="CL70" s="98">
        <v>0.89743035406868077</v>
      </c>
      <c r="CM70" s="98">
        <v>480.30472549755791</v>
      </c>
      <c r="CN70" s="98">
        <v>0.73457045091383377</v>
      </c>
      <c r="CO70" s="98">
        <v>393.14210532908379</v>
      </c>
      <c r="CP70" s="98">
        <v>0.97503832493940001</v>
      </c>
      <c r="CQ70" s="98">
        <v>521.84051150756682</v>
      </c>
      <c r="CR70" s="98">
        <v>0.95901701088182256</v>
      </c>
      <c r="CS70" s="98">
        <v>513.26590422395134</v>
      </c>
      <c r="CT70" s="98">
        <v>1.1053910421772879</v>
      </c>
      <c r="CU70" s="98">
        <v>591.60528577328444</v>
      </c>
    </row>
    <row r="71" spans="2:99">
      <c r="B71" s="97" t="s">
        <v>130</v>
      </c>
      <c r="C71" s="97" t="s">
        <v>238</v>
      </c>
      <c r="D71" s="98">
        <v>5</v>
      </c>
      <c r="E71" s="98">
        <v>2820</v>
      </c>
      <c r="F71" s="98">
        <v>5</v>
      </c>
      <c r="G71" s="98">
        <v>2820</v>
      </c>
      <c r="H71" s="98">
        <v>5</v>
      </c>
      <c r="I71" s="98">
        <v>2820</v>
      </c>
      <c r="J71" s="98">
        <v>6</v>
      </c>
      <c r="K71" s="98">
        <v>3384</v>
      </c>
      <c r="L71" s="98">
        <v>5</v>
      </c>
      <c r="M71" s="98">
        <v>2820</v>
      </c>
      <c r="N71" s="98">
        <v>5</v>
      </c>
      <c r="O71" s="98">
        <v>2820</v>
      </c>
      <c r="P71" s="98">
        <v>6</v>
      </c>
      <c r="Q71" s="98">
        <v>3384</v>
      </c>
      <c r="R71" s="98">
        <v>8</v>
      </c>
      <c r="S71" s="98">
        <v>4512</v>
      </c>
      <c r="T71" s="98">
        <v>7</v>
      </c>
      <c r="U71" s="98">
        <v>3948</v>
      </c>
      <c r="V71" s="98">
        <v>6</v>
      </c>
      <c r="W71" s="98">
        <v>3384</v>
      </c>
      <c r="X71" s="98">
        <v>7</v>
      </c>
      <c r="Y71" s="98">
        <v>3948</v>
      </c>
      <c r="Z71" s="98">
        <v>5.3198113631730966</v>
      </c>
      <c r="AA71" s="98">
        <v>3000.3736088296264</v>
      </c>
      <c r="AB71" s="98">
        <v>6.4861787642475086</v>
      </c>
      <c r="AC71" s="98">
        <v>3658.2048230355949</v>
      </c>
      <c r="AD71" s="98">
        <v>6.6179078527909878</v>
      </c>
      <c r="AE71" s="98">
        <v>3732.500028974117</v>
      </c>
      <c r="AF71" s="98">
        <v>5.5281289739586867</v>
      </c>
      <c r="AG71" s="98">
        <v>3117.8647413126992</v>
      </c>
      <c r="AH71" s="98">
        <v>7.6997404170972334</v>
      </c>
      <c r="AI71" s="98">
        <v>4342.6535952428394</v>
      </c>
      <c r="AJ71" s="98">
        <v>5.4232076366218802</v>
      </c>
      <c r="AK71" s="98">
        <v>3058.6891070547404</v>
      </c>
      <c r="AL71" s="98">
        <v>0.92738357520641412</v>
      </c>
      <c r="AM71" s="98">
        <v>523.04433641641754</v>
      </c>
      <c r="AN71" s="98">
        <v>0.87515997127898615</v>
      </c>
      <c r="AO71" s="98">
        <v>493.5902238013482</v>
      </c>
      <c r="AP71" s="98">
        <v>0.80936960715262174</v>
      </c>
      <c r="AQ71" s="98">
        <v>456.48445843407865</v>
      </c>
      <c r="AR71" s="98">
        <v>0.85645940908540164</v>
      </c>
      <c r="AS71" s="98">
        <v>483.04310672416653</v>
      </c>
      <c r="AT71" s="98">
        <v>0.86603169537230951</v>
      </c>
      <c r="AU71" s="98">
        <v>488.44187618998257</v>
      </c>
      <c r="AV71" s="98">
        <v>0.79445090902729287</v>
      </c>
      <c r="AW71" s="98">
        <v>448.07031269139316</v>
      </c>
      <c r="AX71" s="98">
        <v>0.81958294823615307</v>
      </c>
      <c r="AY71" s="98">
        <v>462.24478280519031</v>
      </c>
      <c r="AZ71" s="98">
        <v>0.79126040899766592</v>
      </c>
      <c r="BA71" s="98">
        <v>446.27087067468358</v>
      </c>
      <c r="BB71" s="98">
        <v>0.77696292094039721</v>
      </c>
      <c r="BC71" s="98">
        <v>438.20708741038402</v>
      </c>
      <c r="BD71" s="98">
        <v>0.79211159579439572</v>
      </c>
      <c r="BE71" s="98">
        <v>446.75094002803917</v>
      </c>
      <c r="BF71" s="98">
        <v>0.82596633053539392</v>
      </c>
      <c r="BG71" s="98">
        <v>465.84501042196217</v>
      </c>
      <c r="BH71" s="98">
        <v>0.92047468713788594</v>
      </c>
      <c r="BI71" s="98">
        <v>519.14772354576769</v>
      </c>
      <c r="BJ71" s="98">
        <v>0.94232094245770615</v>
      </c>
      <c r="BK71" s="98">
        <v>531.46901154614625</v>
      </c>
      <c r="BL71" s="98">
        <v>0.92206400599812643</v>
      </c>
      <c r="BM71" s="98">
        <v>520.04409938294327</v>
      </c>
      <c r="BN71" s="98">
        <v>0.86039001503450052</v>
      </c>
      <c r="BO71" s="98">
        <v>485.25996847945828</v>
      </c>
      <c r="BP71" s="98">
        <v>0.83957676660033842</v>
      </c>
      <c r="BQ71" s="98">
        <v>473.52129636259087</v>
      </c>
      <c r="BR71" s="98">
        <v>0.78948442540332786</v>
      </c>
      <c r="BS71" s="98">
        <v>445.26921592747692</v>
      </c>
      <c r="BT71" s="98">
        <v>0.72060064330254991</v>
      </c>
      <c r="BU71" s="98">
        <v>406.41876282263814</v>
      </c>
      <c r="BV71" s="98">
        <v>0.90953987194021291</v>
      </c>
      <c r="BW71" s="98">
        <v>512.98048777428005</v>
      </c>
      <c r="BX71" s="98">
        <v>0.74911606632180339</v>
      </c>
      <c r="BY71" s="98">
        <v>422.50146140549708</v>
      </c>
      <c r="BZ71" s="98">
        <v>0.87443430180727244</v>
      </c>
      <c r="CA71" s="98">
        <v>493.18094621930163</v>
      </c>
      <c r="CB71" s="98">
        <v>0.87425252445359791</v>
      </c>
      <c r="CC71" s="98">
        <v>493.07842379182921</v>
      </c>
      <c r="CD71" s="98">
        <v>0.88673247222477758</v>
      </c>
      <c r="CE71" s="98">
        <v>500.11711433477456</v>
      </c>
      <c r="CF71" s="98">
        <v>0.82946388797163528</v>
      </c>
      <c r="CG71" s="98">
        <v>467.81763281600229</v>
      </c>
      <c r="CH71" s="98">
        <v>0.72966519447251099</v>
      </c>
      <c r="CI71" s="98">
        <v>411.53116968249623</v>
      </c>
      <c r="CJ71" s="98">
        <v>0.84180669128090901</v>
      </c>
      <c r="CK71" s="98">
        <v>474.77897388243269</v>
      </c>
      <c r="CL71" s="98">
        <v>0.81316900138429116</v>
      </c>
      <c r="CM71" s="98">
        <v>458.62731678074022</v>
      </c>
      <c r="CN71" s="98">
        <v>0.80177053944518106</v>
      </c>
      <c r="CO71" s="98">
        <v>452.19858424708212</v>
      </c>
      <c r="CP71" s="98">
        <v>0.8361536174538724</v>
      </c>
      <c r="CQ71" s="98">
        <v>471.59064024398401</v>
      </c>
      <c r="CR71" s="98">
        <v>0.80114487899585507</v>
      </c>
      <c r="CS71" s="98">
        <v>451.84571175366227</v>
      </c>
      <c r="CT71" s="98">
        <v>0.79690237831161925</v>
      </c>
      <c r="CU71" s="98">
        <v>449.45294136775328</v>
      </c>
    </row>
    <row r="72" spans="2:99">
      <c r="C72" s="97" t="s">
        <v>239</v>
      </c>
      <c r="D72" s="98">
        <v>5</v>
      </c>
      <c r="E72" s="98">
        <v>371.99999999999994</v>
      </c>
      <c r="F72" s="98">
        <v>5</v>
      </c>
      <c r="G72" s="98">
        <v>371.99999999999994</v>
      </c>
      <c r="H72" s="98">
        <v>6</v>
      </c>
      <c r="I72" s="98">
        <v>446.4</v>
      </c>
      <c r="J72" s="98">
        <v>5</v>
      </c>
      <c r="K72" s="98">
        <v>371.99999999999994</v>
      </c>
      <c r="L72" s="98">
        <v>6</v>
      </c>
      <c r="M72" s="98">
        <v>446.4</v>
      </c>
      <c r="N72" s="98">
        <v>5</v>
      </c>
      <c r="O72" s="98">
        <v>371.99999999999994</v>
      </c>
      <c r="P72" s="98">
        <v>6</v>
      </c>
      <c r="Q72" s="98">
        <v>446.4</v>
      </c>
      <c r="R72" s="98">
        <v>7</v>
      </c>
      <c r="S72" s="98">
        <v>520.79999999999995</v>
      </c>
      <c r="T72" s="98">
        <v>6</v>
      </c>
      <c r="U72" s="98">
        <v>446.4</v>
      </c>
      <c r="V72" s="98">
        <v>6</v>
      </c>
      <c r="W72" s="98">
        <v>446.4</v>
      </c>
      <c r="X72" s="98">
        <v>7</v>
      </c>
      <c r="Y72" s="98">
        <v>520.79999999999995</v>
      </c>
      <c r="Z72" s="98">
        <v>6.3597877835697334</v>
      </c>
      <c r="AA72" s="98">
        <v>473.16821109758808</v>
      </c>
      <c r="AB72" s="98">
        <v>6.4861787642475086</v>
      </c>
      <c r="AC72" s="98">
        <v>482.57170006001456</v>
      </c>
      <c r="AD72" s="98">
        <v>5.6591017096437204</v>
      </c>
      <c r="AE72" s="98">
        <v>421.03716719749275</v>
      </c>
      <c r="AF72" s="98">
        <v>6.5985461704865109</v>
      </c>
      <c r="AG72" s="98">
        <v>490.93183508419634</v>
      </c>
      <c r="AH72" s="98">
        <v>6.6497589587331456</v>
      </c>
      <c r="AI72" s="98">
        <v>494.74206652974595</v>
      </c>
      <c r="AJ72" s="98">
        <v>5.4232076366218802</v>
      </c>
      <c r="AK72" s="98">
        <v>403.48664816466783</v>
      </c>
      <c r="AL72" s="98">
        <v>0.82567495443038608</v>
      </c>
      <c r="AM72" s="98">
        <v>61.430216609620715</v>
      </c>
      <c r="AN72" s="98">
        <v>0.87515997127898615</v>
      </c>
      <c r="AO72" s="98">
        <v>65.111901863156561</v>
      </c>
      <c r="AP72" s="98">
        <v>0.81058341530224942</v>
      </c>
      <c r="AQ72" s="98">
        <v>60.307406098487348</v>
      </c>
      <c r="AR72" s="98">
        <v>0.84944819408552863</v>
      </c>
      <c r="AS72" s="98">
        <v>63.19894563996332</v>
      </c>
      <c r="AT72" s="98">
        <v>0.86603169537230951</v>
      </c>
      <c r="AU72" s="98">
        <v>64.432758135699814</v>
      </c>
      <c r="AV72" s="98">
        <v>0.93954275959916234</v>
      </c>
      <c r="AW72" s="98">
        <v>69.901981314177675</v>
      </c>
      <c r="AX72" s="98">
        <v>0.82706927462908919</v>
      </c>
      <c r="AY72" s="98">
        <v>61.533954032404232</v>
      </c>
      <c r="AZ72" s="98">
        <v>0.79504965856247267</v>
      </c>
      <c r="BA72" s="98">
        <v>59.151694597047957</v>
      </c>
      <c r="BB72" s="98">
        <v>0.9196607967529552</v>
      </c>
      <c r="BC72" s="98">
        <v>68.422763278419865</v>
      </c>
      <c r="BD72" s="98">
        <v>0.80388215851649725</v>
      </c>
      <c r="BE72" s="98">
        <v>59.808832593627386</v>
      </c>
      <c r="BF72" s="98">
        <v>0.93932927672455624</v>
      </c>
      <c r="BG72" s="98">
        <v>69.886098188306974</v>
      </c>
      <c r="BH72" s="98">
        <v>0.74277055562352956</v>
      </c>
      <c r="BI72" s="98">
        <v>55.262129338390594</v>
      </c>
      <c r="BJ72" s="98">
        <v>0.94232094245770615</v>
      </c>
      <c r="BK72" s="98">
        <v>70.108678118853334</v>
      </c>
      <c r="BL72" s="98">
        <v>0.92206400599812643</v>
      </c>
      <c r="BM72" s="98">
        <v>68.601562046260597</v>
      </c>
      <c r="BN72" s="98">
        <v>0.9644372465361063</v>
      </c>
      <c r="BO72" s="98">
        <v>71.754131142286298</v>
      </c>
      <c r="BP72" s="98">
        <v>0.83087876651105208</v>
      </c>
      <c r="BQ72" s="98">
        <v>61.817380228422266</v>
      </c>
      <c r="BR72" s="98">
        <v>0.78549196577902269</v>
      </c>
      <c r="BS72" s="98">
        <v>58.440602253959284</v>
      </c>
      <c r="BT72" s="98">
        <v>0.89021540930394705</v>
      </c>
      <c r="BU72" s="98">
        <v>66.23202645221366</v>
      </c>
      <c r="BV72" s="98">
        <v>0.90953987194021291</v>
      </c>
      <c r="BW72" s="98">
        <v>67.669766472351839</v>
      </c>
      <c r="BX72" s="98">
        <v>0.89606623869591107</v>
      </c>
      <c r="BY72" s="98">
        <v>66.667328158975778</v>
      </c>
      <c r="BZ72" s="98">
        <v>0.88234144696885586</v>
      </c>
      <c r="CA72" s="98">
        <v>65.646203654482875</v>
      </c>
      <c r="CB72" s="98">
        <v>0.86982002999165675</v>
      </c>
      <c r="CC72" s="98">
        <v>64.714610231379254</v>
      </c>
      <c r="CD72" s="98">
        <v>0.89759189772127113</v>
      </c>
      <c r="CE72" s="98">
        <v>66.780837190462563</v>
      </c>
      <c r="CF72" s="98">
        <v>0.95475266394790659</v>
      </c>
      <c r="CG72" s="98">
        <v>71.033598197724245</v>
      </c>
      <c r="CH72" s="98">
        <v>0.99209406347808438</v>
      </c>
      <c r="CI72" s="98">
        <v>73.811798322769462</v>
      </c>
      <c r="CJ72" s="98">
        <v>0.94372132014347421</v>
      </c>
      <c r="CK72" s="98">
        <v>70.212866218674478</v>
      </c>
      <c r="CL72" s="98">
        <v>0.80758231762909394</v>
      </c>
      <c r="CM72" s="98">
        <v>60.084124431604579</v>
      </c>
      <c r="CN72" s="98">
        <v>0.93825184500044323</v>
      </c>
      <c r="CO72" s="98">
        <v>69.805937268032963</v>
      </c>
      <c r="CP72" s="98">
        <v>0.84135064973077223</v>
      </c>
      <c r="CQ72" s="98">
        <v>62.596488339969447</v>
      </c>
      <c r="CR72" s="98">
        <v>0.9119601572538647</v>
      </c>
      <c r="CS72" s="98">
        <v>67.849835699687532</v>
      </c>
      <c r="CT72" s="98">
        <v>0.79194710320813522</v>
      </c>
      <c r="CU72" s="98">
        <v>58.920864478685253</v>
      </c>
    </row>
    <row r="73" spans="2:99">
      <c r="C73" s="97" t="s">
        <v>240</v>
      </c>
      <c r="D73" s="98">
        <v>5</v>
      </c>
      <c r="E73" s="98">
        <v>2795.9999999999995</v>
      </c>
      <c r="F73" s="98">
        <v>5</v>
      </c>
      <c r="G73" s="98">
        <v>2795.9999999999995</v>
      </c>
      <c r="H73" s="98">
        <v>6</v>
      </c>
      <c r="I73" s="98">
        <v>3355.2</v>
      </c>
      <c r="J73" s="98">
        <v>5</v>
      </c>
      <c r="K73" s="98">
        <v>2795.9999999999995</v>
      </c>
      <c r="L73" s="98">
        <v>5</v>
      </c>
      <c r="M73" s="98">
        <v>2795.9999999999995</v>
      </c>
      <c r="N73" s="98">
        <v>5</v>
      </c>
      <c r="O73" s="98">
        <v>2795.9999999999995</v>
      </c>
      <c r="P73" s="98">
        <v>5</v>
      </c>
      <c r="Q73" s="98">
        <v>2795.9999999999995</v>
      </c>
      <c r="R73" s="98">
        <v>7</v>
      </c>
      <c r="S73" s="98">
        <v>3914.3999999999996</v>
      </c>
      <c r="T73" s="98">
        <v>7</v>
      </c>
      <c r="U73" s="98">
        <v>3914.3999999999996</v>
      </c>
      <c r="V73" s="98">
        <v>7</v>
      </c>
      <c r="W73" s="98">
        <v>3914.3999999999996</v>
      </c>
      <c r="X73" s="98">
        <v>8</v>
      </c>
      <c r="Y73" s="98">
        <v>4473.5999999999995</v>
      </c>
      <c r="Z73" s="98">
        <v>6.3198113631730966</v>
      </c>
      <c r="AA73" s="98">
        <v>3534.0385142863952</v>
      </c>
      <c r="AB73" s="98">
        <v>5.4861787642475086</v>
      </c>
      <c r="AC73" s="98">
        <v>3067.8711649672064</v>
      </c>
      <c r="AD73" s="98">
        <v>6.5767139959382552</v>
      </c>
      <c r="AE73" s="98">
        <v>3677.6984665286718</v>
      </c>
      <c r="AF73" s="98">
        <v>6.4929203756947738</v>
      </c>
      <c r="AG73" s="98">
        <v>3630.841074088517</v>
      </c>
      <c r="AH73" s="98">
        <v>7.6497589587331456</v>
      </c>
      <c r="AI73" s="98">
        <v>4277.7452097235746</v>
      </c>
      <c r="AJ73" s="98">
        <v>4.6881907215804626</v>
      </c>
      <c r="AK73" s="98">
        <v>2621.6362515077944</v>
      </c>
      <c r="AL73" s="98">
        <v>0.82567495443038608</v>
      </c>
      <c r="AM73" s="98">
        <v>461.71743451747182</v>
      </c>
      <c r="AN73" s="98">
        <v>0.88050895864345236</v>
      </c>
      <c r="AO73" s="98">
        <v>492.38060967341852</v>
      </c>
      <c r="AP73" s="98">
        <v>0.80815579900299428</v>
      </c>
      <c r="AQ73" s="98">
        <v>451.92072280247436</v>
      </c>
      <c r="AR73" s="98">
        <v>0.84944819408552863</v>
      </c>
      <c r="AS73" s="98">
        <v>475.01143013262754</v>
      </c>
      <c r="AT73" s="98">
        <v>0.8599028275618078</v>
      </c>
      <c r="AU73" s="98">
        <v>480.85766117256287</v>
      </c>
      <c r="AV73" s="98">
        <v>0.93954275959916234</v>
      </c>
      <c r="AW73" s="98">
        <v>525.39231116785152</v>
      </c>
      <c r="AX73" s="98">
        <v>0.81958294823615307</v>
      </c>
      <c r="AY73" s="98">
        <v>458.31078465365675</v>
      </c>
      <c r="AZ73" s="98">
        <v>0.79504965856247267</v>
      </c>
      <c r="BA73" s="98">
        <v>444.59176906813468</v>
      </c>
      <c r="BB73" s="98">
        <v>0.7840155367045758</v>
      </c>
      <c r="BC73" s="98">
        <v>438.42148812519872</v>
      </c>
      <c r="BD73" s="98">
        <v>0.80388215851649725</v>
      </c>
      <c r="BE73" s="98">
        <v>449.53090304242522</v>
      </c>
      <c r="BF73" s="98">
        <v>0.82596633053539392</v>
      </c>
      <c r="BG73" s="98">
        <v>461.88037203539221</v>
      </c>
      <c r="BH73" s="98">
        <v>0.740773428775648</v>
      </c>
      <c r="BI73" s="98">
        <v>414.2405013713423</v>
      </c>
      <c r="BJ73" s="98">
        <v>0.84364692776471439</v>
      </c>
      <c r="BK73" s="98">
        <v>471.76736200602824</v>
      </c>
      <c r="BL73" s="98">
        <v>0.91486746259355756</v>
      </c>
      <c r="BM73" s="98">
        <v>511.59388508231734</v>
      </c>
      <c r="BN73" s="98">
        <v>0.86039001503450052</v>
      </c>
      <c r="BO73" s="98">
        <v>481.13009640729263</v>
      </c>
      <c r="BP73" s="98">
        <v>0.83087876651105208</v>
      </c>
      <c r="BQ73" s="98">
        <v>464.62740623298026</v>
      </c>
      <c r="BR73" s="98">
        <v>0.78948442540332786</v>
      </c>
      <c r="BS73" s="98">
        <v>441.4796906855409</v>
      </c>
      <c r="BT73" s="98">
        <v>0.8691446196554663</v>
      </c>
      <c r="BU73" s="98">
        <v>486.02567131133668</v>
      </c>
      <c r="BV73" s="98">
        <v>0.78302217512908312</v>
      </c>
      <c r="BW73" s="98">
        <v>437.86600033218321</v>
      </c>
      <c r="BX73" s="98">
        <v>0.89606623869591107</v>
      </c>
      <c r="BY73" s="98">
        <v>501.0802406787534</v>
      </c>
      <c r="BZ73" s="98">
        <v>0.87443430180727244</v>
      </c>
      <c r="CA73" s="98">
        <v>488.98366157062668</v>
      </c>
      <c r="CB73" s="98">
        <v>0.972452853855445</v>
      </c>
      <c r="CC73" s="98">
        <v>543.79563587596476</v>
      </c>
      <c r="CD73" s="98">
        <v>0.89216218497302435</v>
      </c>
      <c r="CE73" s="98">
        <v>498.89709383691513</v>
      </c>
      <c r="CF73" s="98">
        <v>0.69960268657689295</v>
      </c>
      <c r="CG73" s="98">
        <v>391.21782233379849</v>
      </c>
      <c r="CH73" s="98">
        <v>0.87069203190310795</v>
      </c>
      <c r="CI73" s="98">
        <v>486.8909842402179</v>
      </c>
      <c r="CJ73" s="98">
        <v>0.84180669128090901</v>
      </c>
      <c r="CK73" s="98">
        <v>470.73830176428424</v>
      </c>
      <c r="CL73" s="98">
        <v>0.80758231762909394</v>
      </c>
      <c r="CM73" s="98">
        <v>451.60003201818927</v>
      </c>
      <c r="CN73" s="98">
        <v>0.80747630407397841</v>
      </c>
      <c r="CO73" s="98">
        <v>451.5407492381687</v>
      </c>
      <c r="CP73" s="98">
        <v>0.8361536174538724</v>
      </c>
      <c r="CQ73" s="98">
        <v>467.57710288020542</v>
      </c>
      <c r="CR73" s="98">
        <v>0.80114487899585507</v>
      </c>
      <c r="CS73" s="98">
        <v>448.0002163344821</v>
      </c>
      <c r="CT73" s="98">
        <v>0.79690237831161925</v>
      </c>
      <c r="CU73" s="98">
        <v>445.62780995185744</v>
      </c>
    </row>
    <row r="74" spans="2:99">
      <c r="C74" s="97" t="s">
        <v>241</v>
      </c>
      <c r="D74" s="98">
        <v>5</v>
      </c>
      <c r="E74" s="98">
        <v>2016</v>
      </c>
      <c r="F74" s="98">
        <v>5</v>
      </c>
      <c r="G74" s="98">
        <v>2016</v>
      </c>
      <c r="H74" s="98">
        <v>6</v>
      </c>
      <c r="I74" s="98">
        <v>2419.1999999999998</v>
      </c>
      <c r="J74" s="98">
        <v>5</v>
      </c>
      <c r="K74" s="98">
        <v>2016</v>
      </c>
      <c r="L74" s="98">
        <v>6</v>
      </c>
      <c r="M74" s="98">
        <v>2419.1999999999998</v>
      </c>
      <c r="N74" s="98">
        <v>5</v>
      </c>
      <c r="O74" s="98">
        <v>2016</v>
      </c>
      <c r="P74" s="98">
        <v>5</v>
      </c>
      <c r="Q74" s="98">
        <v>2016</v>
      </c>
      <c r="R74" s="98">
        <v>7</v>
      </c>
      <c r="S74" s="98">
        <v>2822.4</v>
      </c>
      <c r="T74" s="98">
        <v>7</v>
      </c>
      <c r="U74" s="98">
        <v>2822.4</v>
      </c>
      <c r="V74" s="98">
        <v>7</v>
      </c>
      <c r="W74" s="98">
        <v>2822.4</v>
      </c>
      <c r="X74" s="98">
        <v>7</v>
      </c>
      <c r="Y74" s="98">
        <v>2822.4</v>
      </c>
      <c r="Z74" s="98">
        <v>6.3198113631730966</v>
      </c>
      <c r="AA74" s="98">
        <v>2548.1479416313923</v>
      </c>
      <c r="AB74" s="98">
        <v>6.5303768337245547</v>
      </c>
      <c r="AC74" s="98">
        <v>2633.0479393577402</v>
      </c>
      <c r="AD74" s="98">
        <v>5.5767139959382552</v>
      </c>
      <c r="AE74" s="98">
        <v>2248.5310831623046</v>
      </c>
      <c r="AF74" s="98">
        <v>6.4929203756947738</v>
      </c>
      <c r="AG74" s="98">
        <v>2617.9454954801326</v>
      </c>
      <c r="AH74" s="98">
        <v>6.6997404170972334</v>
      </c>
      <c r="AI74" s="98">
        <v>2701.3353361736044</v>
      </c>
      <c r="AJ74" s="98">
        <v>5.4579687905383745</v>
      </c>
      <c r="AK74" s="98">
        <v>2200.6530163450725</v>
      </c>
      <c r="AL74" s="98">
        <v>0.926182976384198</v>
      </c>
      <c r="AM74" s="98">
        <v>373.43697607810861</v>
      </c>
      <c r="AN74" s="98">
        <v>0.88050895864345236</v>
      </c>
      <c r="AO74" s="98">
        <v>355.02121212503999</v>
      </c>
      <c r="AP74" s="98">
        <v>0.81058341530224942</v>
      </c>
      <c r="AQ74" s="98">
        <v>326.82723304986695</v>
      </c>
      <c r="AR74" s="98">
        <v>0.85645940908540164</v>
      </c>
      <c r="AS74" s="98">
        <v>345.32443374323395</v>
      </c>
      <c r="AT74" s="98">
        <v>0.86603169537230951</v>
      </c>
      <c r="AU74" s="98">
        <v>349.1839795741152</v>
      </c>
      <c r="AV74" s="98">
        <v>0.79445090902729287</v>
      </c>
      <c r="AW74" s="98">
        <v>320.32260651980448</v>
      </c>
      <c r="AX74" s="98">
        <v>0.83455560102202553</v>
      </c>
      <c r="AY74" s="98">
        <v>336.49281833208067</v>
      </c>
      <c r="AZ74" s="98">
        <v>0.79126040899766592</v>
      </c>
      <c r="BA74" s="98">
        <v>319.03619690785888</v>
      </c>
      <c r="BB74" s="98">
        <v>0.77696292094039721</v>
      </c>
      <c r="BC74" s="98">
        <v>313.27144972316813</v>
      </c>
      <c r="BD74" s="98">
        <v>0.79799687715544643</v>
      </c>
      <c r="BE74" s="98">
        <v>321.75234086907597</v>
      </c>
      <c r="BF74" s="98">
        <v>0.93932927672455624</v>
      </c>
      <c r="BG74" s="98">
        <v>378.73756437534104</v>
      </c>
      <c r="BH74" s="98">
        <v>0.73877630192776655</v>
      </c>
      <c r="BI74" s="98">
        <v>297.87460493727548</v>
      </c>
      <c r="BJ74" s="98">
        <v>0.94725319793232243</v>
      </c>
      <c r="BK74" s="98">
        <v>381.93248940631241</v>
      </c>
      <c r="BL74" s="98">
        <v>0.7851786062757663</v>
      </c>
      <c r="BM74" s="98">
        <v>316.58401405038899</v>
      </c>
      <c r="BN74" s="98">
        <v>0.85638827745997836</v>
      </c>
      <c r="BO74" s="98">
        <v>345.29575347186329</v>
      </c>
      <c r="BP74" s="98">
        <v>0.83087876651105208</v>
      </c>
      <c r="BQ74" s="98">
        <v>335.01031865725616</v>
      </c>
      <c r="BR74" s="98">
        <v>0.78948442540332786</v>
      </c>
      <c r="BS74" s="98">
        <v>318.32012032262179</v>
      </c>
      <c r="BT74" s="98">
        <v>0.8691446196554663</v>
      </c>
      <c r="BU74" s="98">
        <v>350.43911064508399</v>
      </c>
      <c r="BV74" s="98">
        <v>0.90475667308775198</v>
      </c>
      <c r="BW74" s="98">
        <v>364.7978905889816</v>
      </c>
      <c r="BX74" s="98">
        <v>0.89606623869591107</v>
      </c>
      <c r="BY74" s="98">
        <v>361.29390744219131</v>
      </c>
      <c r="BZ74" s="98">
        <v>0.88234144696885586</v>
      </c>
      <c r="CA74" s="98">
        <v>355.76007141784265</v>
      </c>
      <c r="CB74" s="98">
        <v>0.77161970058980967</v>
      </c>
      <c r="CC74" s="98">
        <v>311.11706327781127</v>
      </c>
      <c r="CD74" s="98">
        <v>0.77401852325958664</v>
      </c>
      <c r="CE74" s="98">
        <v>312.08426857826532</v>
      </c>
      <c r="CF74" s="98">
        <v>0.82489146255316415</v>
      </c>
      <c r="CG74" s="98">
        <v>332.59623770143577</v>
      </c>
      <c r="CH74" s="98">
        <v>0.86578583043920287</v>
      </c>
      <c r="CI74" s="98">
        <v>349.0848468330866</v>
      </c>
      <c r="CJ74" s="98">
        <v>0.83705097686450336</v>
      </c>
      <c r="CK74" s="98">
        <v>337.49895387176775</v>
      </c>
      <c r="CL74" s="98">
        <v>0.81316900138429116</v>
      </c>
      <c r="CM74" s="98">
        <v>327.8697413581462</v>
      </c>
      <c r="CN74" s="98">
        <v>0.81318206870277565</v>
      </c>
      <c r="CO74" s="98">
        <v>327.87501010095912</v>
      </c>
      <c r="CP74" s="98">
        <v>0.95337683468575429</v>
      </c>
      <c r="CQ74" s="98">
        <v>384.40153974529613</v>
      </c>
      <c r="CR74" s="98">
        <v>0.80841285933579443</v>
      </c>
      <c r="CS74" s="98">
        <v>325.95206488419228</v>
      </c>
      <c r="CT74" s="98">
        <v>0.9165053744209315</v>
      </c>
      <c r="CU74" s="98">
        <v>369.53496696651956</v>
      </c>
    </row>
    <row r="75" spans="2:99">
      <c r="C75" s="97" t="s">
        <v>242</v>
      </c>
      <c r="D75" s="98">
        <v>5</v>
      </c>
      <c r="E75" s="98">
        <v>3215.9999999999995</v>
      </c>
      <c r="F75" s="98">
        <v>5</v>
      </c>
      <c r="G75" s="98">
        <v>3215.9999999999995</v>
      </c>
      <c r="H75" s="98">
        <v>6</v>
      </c>
      <c r="I75" s="98">
        <v>3859.2</v>
      </c>
      <c r="J75" s="98">
        <v>5</v>
      </c>
      <c r="K75" s="98">
        <v>3215.9999999999995</v>
      </c>
      <c r="L75" s="98">
        <v>6</v>
      </c>
      <c r="M75" s="98">
        <v>3859.2</v>
      </c>
      <c r="N75" s="98">
        <v>5</v>
      </c>
      <c r="O75" s="98">
        <v>3215.9999999999995</v>
      </c>
      <c r="P75" s="98">
        <v>6</v>
      </c>
      <c r="Q75" s="98">
        <v>3859.2</v>
      </c>
      <c r="R75" s="98">
        <v>8</v>
      </c>
      <c r="S75" s="98">
        <v>5145.5999999999995</v>
      </c>
      <c r="T75" s="98">
        <v>7</v>
      </c>
      <c r="U75" s="98">
        <v>4502.3999999999996</v>
      </c>
      <c r="V75" s="98">
        <v>6</v>
      </c>
      <c r="W75" s="98">
        <v>3859.2</v>
      </c>
      <c r="X75" s="98">
        <v>7</v>
      </c>
      <c r="Y75" s="98">
        <v>4502.3999999999996</v>
      </c>
      <c r="Z75" s="98">
        <v>6.3597877835697334</v>
      </c>
      <c r="AA75" s="98">
        <v>4090.6155023920519</v>
      </c>
      <c r="AB75" s="98">
        <v>6.4861787642475086</v>
      </c>
      <c r="AC75" s="98">
        <v>4171.9101811639975</v>
      </c>
      <c r="AD75" s="98">
        <v>5.5767139959382552</v>
      </c>
      <c r="AE75" s="98">
        <v>3586.9424421874855</v>
      </c>
      <c r="AF75" s="98">
        <v>5.5281289739586867</v>
      </c>
      <c r="AG75" s="98">
        <v>3555.6925560502268</v>
      </c>
      <c r="AH75" s="98">
        <v>6.5997775003690577</v>
      </c>
      <c r="AI75" s="98">
        <v>4244.9768882373774</v>
      </c>
      <c r="AJ75" s="98">
        <v>5.4232076366218802</v>
      </c>
      <c r="AK75" s="98">
        <v>3488.2071518751932</v>
      </c>
      <c r="AL75" s="98">
        <v>0.92738357520641412</v>
      </c>
      <c r="AM75" s="98">
        <v>596.49311557276553</v>
      </c>
      <c r="AN75" s="98">
        <v>0.87515997127898615</v>
      </c>
      <c r="AO75" s="98">
        <v>562.90289352664388</v>
      </c>
      <c r="AP75" s="98">
        <v>0.80936960715262174</v>
      </c>
      <c r="AQ75" s="98">
        <v>520.58653132056622</v>
      </c>
      <c r="AR75" s="98">
        <v>0.70199444326801685</v>
      </c>
      <c r="AS75" s="98">
        <v>451.5228259099884</v>
      </c>
      <c r="AT75" s="98">
        <v>0.86603169537230951</v>
      </c>
      <c r="AU75" s="98">
        <v>557.03158646346947</v>
      </c>
      <c r="AV75" s="98">
        <v>0.79445090902729287</v>
      </c>
      <c r="AW75" s="98">
        <v>510.9908246863547</v>
      </c>
      <c r="AX75" s="98">
        <v>0.82706927462908919</v>
      </c>
      <c r="AY75" s="98">
        <v>531.97095744143007</v>
      </c>
      <c r="AZ75" s="98">
        <v>0.79126040899766592</v>
      </c>
      <c r="BA75" s="98">
        <v>508.93869506729868</v>
      </c>
      <c r="BB75" s="98">
        <v>0.77696292094039721</v>
      </c>
      <c r="BC75" s="98">
        <v>499.74255074886344</v>
      </c>
      <c r="BD75" s="98">
        <v>0.79211159579439572</v>
      </c>
      <c r="BE75" s="98">
        <v>509.48617841495525</v>
      </c>
      <c r="BF75" s="98">
        <v>0.82596633053539392</v>
      </c>
      <c r="BG75" s="98">
        <v>531.2615438003653</v>
      </c>
      <c r="BH75" s="98">
        <v>0.74277055562352956</v>
      </c>
      <c r="BI75" s="98">
        <v>477.75002137705417</v>
      </c>
      <c r="BJ75" s="98">
        <v>0.74497291307172264</v>
      </c>
      <c r="BK75" s="98">
        <v>479.16657768773194</v>
      </c>
      <c r="BL75" s="98">
        <v>0.92206400599812643</v>
      </c>
      <c r="BM75" s="98">
        <v>593.07156865799482</v>
      </c>
      <c r="BN75" s="98">
        <v>0.85638827745997836</v>
      </c>
      <c r="BO75" s="98">
        <v>550.82894006225797</v>
      </c>
      <c r="BP75" s="98">
        <v>0.83087876651105208</v>
      </c>
      <c r="BQ75" s="98">
        <v>534.42122261990869</v>
      </c>
      <c r="BR75" s="98">
        <v>0.78948442540332786</v>
      </c>
      <c r="BS75" s="98">
        <v>507.79638241942041</v>
      </c>
      <c r="BT75" s="98">
        <v>0.73464783640153719</v>
      </c>
      <c r="BU75" s="98">
        <v>472.52548837346865</v>
      </c>
      <c r="BV75" s="98">
        <v>0.78780537398154404</v>
      </c>
      <c r="BW75" s="98">
        <v>506.71641654492907</v>
      </c>
      <c r="BX75" s="98">
        <v>0.89606623869591107</v>
      </c>
      <c r="BY75" s="98">
        <v>576.34980472920995</v>
      </c>
      <c r="BZ75" s="98">
        <v>0.88234144696885586</v>
      </c>
      <c r="CA75" s="98">
        <v>567.52201869036799</v>
      </c>
      <c r="CB75" s="98">
        <v>0.87425252445359791</v>
      </c>
      <c r="CC75" s="98">
        <v>562.31922372855411</v>
      </c>
      <c r="CD75" s="98">
        <v>0.76858881051133987</v>
      </c>
      <c r="CE75" s="98">
        <v>494.35632292089377</v>
      </c>
      <c r="CF75" s="98">
        <v>0.82489146255316415</v>
      </c>
      <c r="CG75" s="98">
        <v>530.57018871419507</v>
      </c>
      <c r="CH75" s="98">
        <v>0.73947759740032137</v>
      </c>
      <c r="CI75" s="98">
        <v>475.63199064788665</v>
      </c>
      <c r="CJ75" s="98">
        <v>0.83229526244809771</v>
      </c>
      <c r="CK75" s="98">
        <v>535.33231280661641</v>
      </c>
      <c r="CL75" s="98">
        <v>0.80758231762909394</v>
      </c>
      <c r="CM75" s="98">
        <v>519.43694669903311</v>
      </c>
      <c r="CN75" s="98">
        <v>0.93254608037164599</v>
      </c>
      <c r="CO75" s="98">
        <v>599.81363889504269</v>
      </c>
      <c r="CP75" s="98">
        <v>0.94817980240885447</v>
      </c>
      <c r="CQ75" s="98">
        <v>609.86924890937507</v>
      </c>
      <c r="CR75" s="98">
        <v>0.812046849505764</v>
      </c>
      <c r="CS75" s="98">
        <v>522.30853360210733</v>
      </c>
      <c r="CT75" s="98">
        <v>0.80185765341510351</v>
      </c>
      <c r="CU75" s="98">
        <v>515.75484267659454</v>
      </c>
    </row>
    <row r="76" spans="2:99">
      <c r="C76" s="97" t="s">
        <v>243</v>
      </c>
      <c r="D76" s="98">
        <v>5</v>
      </c>
      <c r="E76" s="98">
        <v>3894</v>
      </c>
      <c r="F76" s="98">
        <v>5</v>
      </c>
      <c r="G76" s="98">
        <v>3894</v>
      </c>
      <c r="H76" s="98">
        <v>5</v>
      </c>
      <c r="I76" s="98">
        <v>3894</v>
      </c>
      <c r="J76" s="98">
        <v>5</v>
      </c>
      <c r="K76" s="98">
        <v>3894</v>
      </c>
      <c r="L76" s="98">
        <v>5</v>
      </c>
      <c r="M76" s="98">
        <v>3894</v>
      </c>
      <c r="N76" s="98">
        <v>5</v>
      </c>
      <c r="O76" s="98">
        <v>3894</v>
      </c>
      <c r="P76" s="98">
        <v>5</v>
      </c>
      <c r="Q76" s="98">
        <v>3894</v>
      </c>
      <c r="R76" s="98">
        <v>8</v>
      </c>
      <c r="S76" s="98">
        <v>6230.4</v>
      </c>
      <c r="T76" s="98">
        <v>7</v>
      </c>
      <c r="U76" s="98">
        <v>5451.5999999999995</v>
      </c>
      <c r="V76" s="98">
        <v>6</v>
      </c>
      <c r="W76" s="98">
        <v>4672.7999999999993</v>
      </c>
      <c r="X76" s="98">
        <v>8</v>
      </c>
      <c r="Y76" s="98">
        <v>6230.4</v>
      </c>
      <c r="Z76" s="98">
        <v>6.3198113631730966</v>
      </c>
      <c r="AA76" s="98">
        <v>4921.8690896392072</v>
      </c>
      <c r="AB76" s="98">
        <v>6.4861787642475086</v>
      </c>
      <c r="AC76" s="98">
        <v>5051.4360215959596</v>
      </c>
      <c r="AD76" s="98">
        <v>5.6179078527909878</v>
      </c>
      <c r="AE76" s="98">
        <v>4375.2266357536209</v>
      </c>
      <c r="AF76" s="98">
        <v>6.5633375722225988</v>
      </c>
      <c r="AG76" s="98">
        <v>5111.5273012469597</v>
      </c>
      <c r="AH76" s="98">
        <v>6.6997404170972334</v>
      </c>
      <c r="AI76" s="98">
        <v>5217.7578368353252</v>
      </c>
      <c r="AJ76" s="98">
        <v>4.6881907215804626</v>
      </c>
      <c r="AK76" s="98">
        <v>3651.1629339668639</v>
      </c>
      <c r="AL76" s="98">
        <v>0.82447435560816995</v>
      </c>
      <c r="AM76" s="98">
        <v>642.10062814764274</v>
      </c>
      <c r="AN76" s="98">
        <v>0.86446199655005396</v>
      </c>
      <c r="AO76" s="98">
        <v>673.24300291318195</v>
      </c>
      <c r="AP76" s="98">
        <v>0.80936960715262174</v>
      </c>
      <c r="AQ76" s="98">
        <v>630.33705005046181</v>
      </c>
      <c r="AR76" s="98">
        <v>0.85645940908540164</v>
      </c>
      <c r="AS76" s="98">
        <v>667.01058779571076</v>
      </c>
      <c r="AT76" s="98">
        <v>0.86603169537230951</v>
      </c>
      <c r="AU76" s="98">
        <v>674.46548435595457</v>
      </c>
      <c r="AV76" s="98">
        <v>0.80135007464408758</v>
      </c>
      <c r="AW76" s="98">
        <v>624.09143813281537</v>
      </c>
      <c r="AX76" s="98">
        <v>0.67513080721055652</v>
      </c>
      <c r="AY76" s="98">
        <v>525.79187265558141</v>
      </c>
      <c r="AZ76" s="98">
        <v>0.79315503378006924</v>
      </c>
      <c r="BA76" s="98">
        <v>617.70914030791789</v>
      </c>
      <c r="BB76" s="98">
        <v>0.7840155367045758</v>
      </c>
      <c r="BC76" s="98">
        <v>610.59129998552362</v>
      </c>
      <c r="BD76" s="98">
        <v>0.94229452104780365</v>
      </c>
      <c r="BE76" s="98">
        <v>733.85897299202941</v>
      </c>
      <c r="BF76" s="98">
        <v>0.82596633053539392</v>
      </c>
      <c r="BG76" s="98">
        <v>643.26257822096477</v>
      </c>
      <c r="BH76" s="98">
        <v>0.73877630192776655</v>
      </c>
      <c r="BI76" s="98">
        <v>575.3589839413446</v>
      </c>
      <c r="BJ76" s="98">
        <v>0.83871467229009788</v>
      </c>
      <c r="BK76" s="98">
        <v>653.1909867795282</v>
      </c>
      <c r="BL76" s="98">
        <v>0.7779820628711972</v>
      </c>
      <c r="BM76" s="98">
        <v>605.89243056408839</v>
      </c>
      <c r="BN76" s="98">
        <v>0.85238653988545621</v>
      </c>
      <c r="BO76" s="98">
        <v>663.83863726279321</v>
      </c>
      <c r="BP76" s="98">
        <v>0.83087876651105208</v>
      </c>
      <c r="BQ76" s="98">
        <v>647.08838335880728</v>
      </c>
      <c r="BR76" s="98">
        <v>0.78149950615471742</v>
      </c>
      <c r="BS76" s="98">
        <v>608.63181539329389</v>
      </c>
      <c r="BT76" s="98">
        <v>0.88319181275445358</v>
      </c>
      <c r="BU76" s="98">
        <v>687.8297837731684</v>
      </c>
      <c r="BV76" s="98">
        <v>0.79258857283400497</v>
      </c>
      <c r="BW76" s="98">
        <v>617.26798052312301</v>
      </c>
      <c r="BX76" s="98">
        <v>0.89606623869591107</v>
      </c>
      <c r="BY76" s="98">
        <v>697.85638669637547</v>
      </c>
      <c r="BZ76" s="98">
        <v>0.88234144696885586</v>
      </c>
      <c r="CA76" s="98">
        <v>687.16751889934494</v>
      </c>
      <c r="CB76" s="98">
        <v>0.86982002999165675</v>
      </c>
      <c r="CC76" s="98">
        <v>677.41583935750225</v>
      </c>
      <c r="CD76" s="98">
        <v>0.77401852325958664</v>
      </c>
      <c r="CE76" s="98">
        <v>602.80562591456601</v>
      </c>
      <c r="CF76" s="98">
        <v>0.82031903713469312</v>
      </c>
      <c r="CG76" s="98">
        <v>638.86446612049895</v>
      </c>
      <c r="CH76" s="98">
        <v>0.72966519447251099</v>
      </c>
      <c r="CI76" s="98">
        <v>568.26325345519149</v>
      </c>
      <c r="CJ76" s="98">
        <v>0.83229526244809771</v>
      </c>
      <c r="CK76" s="98">
        <v>648.19155039457848</v>
      </c>
      <c r="CL76" s="98">
        <v>0.80758231762909394</v>
      </c>
      <c r="CM76" s="98">
        <v>628.9451089695383</v>
      </c>
      <c r="CN76" s="98">
        <v>0.93254608037164599</v>
      </c>
      <c r="CO76" s="98">
        <v>726.26688739343786</v>
      </c>
      <c r="CP76" s="98">
        <v>0.8361536174538724</v>
      </c>
      <c r="CQ76" s="98">
        <v>651.19643727307573</v>
      </c>
      <c r="CR76" s="98">
        <v>0.80841285933579443</v>
      </c>
      <c r="CS76" s="98">
        <v>629.59193485071671</v>
      </c>
      <c r="CT76" s="98">
        <v>0.79690237831161925</v>
      </c>
      <c r="CU76" s="98">
        <v>620.62757222908908</v>
      </c>
    </row>
    <row r="77" spans="2:99">
      <c r="C77" s="97" t="s">
        <v>244</v>
      </c>
      <c r="D77" s="98">
        <v>5</v>
      </c>
      <c r="E77" s="98">
        <v>1392</v>
      </c>
      <c r="F77" s="98">
        <v>6</v>
      </c>
      <c r="G77" s="98">
        <v>1670.3999999999999</v>
      </c>
      <c r="H77" s="98">
        <v>6</v>
      </c>
      <c r="I77" s="98">
        <v>1670.3999999999999</v>
      </c>
      <c r="J77" s="98">
        <v>5</v>
      </c>
      <c r="K77" s="98">
        <v>1392</v>
      </c>
      <c r="L77" s="98">
        <v>6</v>
      </c>
      <c r="M77" s="98">
        <v>1670.3999999999999</v>
      </c>
      <c r="N77" s="98">
        <v>5</v>
      </c>
      <c r="O77" s="98">
        <v>1392</v>
      </c>
      <c r="P77" s="98">
        <v>5</v>
      </c>
      <c r="Q77" s="98">
        <v>1392</v>
      </c>
      <c r="R77" s="98">
        <v>8</v>
      </c>
      <c r="S77" s="98">
        <v>2227.1999999999998</v>
      </c>
      <c r="T77" s="98">
        <v>7</v>
      </c>
      <c r="U77" s="98">
        <v>1948.7999999999997</v>
      </c>
      <c r="V77" s="98">
        <v>7</v>
      </c>
      <c r="W77" s="98">
        <v>1948.7999999999997</v>
      </c>
      <c r="X77" s="98">
        <v>7</v>
      </c>
      <c r="Y77" s="98">
        <v>1948.7999999999997</v>
      </c>
      <c r="Z77" s="98">
        <v>7.3597877835697334</v>
      </c>
      <c r="AA77" s="98">
        <v>2048.9649189458137</v>
      </c>
      <c r="AB77" s="98">
        <v>7.4861787642475086</v>
      </c>
      <c r="AC77" s="98">
        <v>2084.1521679665061</v>
      </c>
      <c r="AD77" s="98">
        <v>5.5355201390855227</v>
      </c>
      <c r="AE77" s="98">
        <v>1541.0888067214094</v>
      </c>
      <c r="AF77" s="98">
        <v>5.5985461704865109</v>
      </c>
      <c r="AG77" s="98">
        <v>1558.6352538634444</v>
      </c>
      <c r="AH77" s="98">
        <v>6.7497218754613222</v>
      </c>
      <c r="AI77" s="98">
        <v>1879.122570128432</v>
      </c>
      <c r="AJ77" s="98">
        <v>5.4232076366218802</v>
      </c>
      <c r="AK77" s="98">
        <v>1509.8210060355314</v>
      </c>
      <c r="AL77" s="98">
        <v>0.82327375678595383</v>
      </c>
      <c r="AM77" s="98">
        <v>229.19941388920952</v>
      </c>
      <c r="AN77" s="98">
        <v>0.74178094658290938</v>
      </c>
      <c r="AO77" s="98">
        <v>206.51181552868195</v>
      </c>
      <c r="AP77" s="98">
        <v>0.9244736332531559</v>
      </c>
      <c r="AQ77" s="98">
        <v>257.3734594976786</v>
      </c>
      <c r="AR77" s="98">
        <v>0.84944819408552863</v>
      </c>
      <c r="AS77" s="98">
        <v>236.48637723341116</v>
      </c>
      <c r="AT77" s="98">
        <v>0.87216056318281132</v>
      </c>
      <c r="AU77" s="98">
        <v>242.80950079009466</v>
      </c>
      <c r="AV77" s="98">
        <v>0.79445090902729287</v>
      </c>
      <c r="AW77" s="98">
        <v>221.17513307319831</v>
      </c>
      <c r="AX77" s="98">
        <v>0.82706927462908919</v>
      </c>
      <c r="AY77" s="98">
        <v>230.25608605673841</v>
      </c>
      <c r="AZ77" s="98">
        <v>0.92250560223647582</v>
      </c>
      <c r="BA77" s="98">
        <v>256.82555966263487</v>
      </c>
      <c r="BB77" s="98">
        <v>0.91260818098877672</v>
      </c>
      <c r="BC77" s="98">
        <v>254.0701175872754</v>
      </c>
      <c r="BD77" s="98">
        <v>0.80388215851649725</v>
      </c>
      <c r="BE77" s="98">
        <v>223.80079293099283</v>
      </c>
      <c r="BF77" s="98">
        <v>0.82596633053539392</v>
      </c>
      <c r="BG77" s="98">
        <v>229.94902642105365</v>
      </c>
      <c r="BH77" s="98">
        <v>0.74277055562352956</v>
      </c>
      <c r="BI77" s="98">
        <v>206.78732268559062</v>
      </c>
      <c r="BJ77" s="98">
        <v>0.84857918323933079</v>
      </c>
      <c r="BK77" s="98">
        <v>236.24444461382967</v>
      </c>
      <c r="BL77" s="98">
        <v>0.92206400599812643</v>
      </c>
      <c r="BM77" s="98">
        <v>256.70261926987837</v>
      </c>
      <c r="BN77" s="98">
        <v>0.85638827745997836</v>
      </c>
      <c r="BO77" s="98">
        <v>238.41849644485796</v>
      </c>
      <c r="BP77" s="98">
        <v>0.83087876651105208</v>
      </c>
      <c r="BQ77" s="98">
        <v>231.31664859667688</v>
      </c>
      <c r="BR77" s="98">
        <v>0.78948442540332786</v>
      </c>
      <c r="BS77" s="98">
        <v>219.79246403228646</v>
      </c>
      <c r="BT77" s="98">
        <v>0.87616821620495988</v>
      </c>
      <c r="BU77" s="98">
        <v>243.92523139146081</v>
      </c>
      <c r="BV77" s="98">
        <v>0.90953987194021291</v>
      </c>
      <c r="BW77" s="98">
        <v>253.21590034815526</v>
      </c>
      <c r="BX77" s="98">
        <v>0.89127783721215592</v>
      </c>
      <c r="BY77" s="98">
        <v>248.1317498798642</v>
      </c>
      <c r="BZ77" s="98">
        <v>0.87443430180727244</v>
      </c>
      <c r="CA77" s="98">
        <v>243.44250962314462</v>
      </c>
      <c r="CB77" s="98">
        <v>0.972452853855445</v>
      </c>
      <c r="CC77" s="98">
        <v>270.73087451335584</v>
      </c>
      <c r="CD77" s="98">
        <v>0.88673247222477758</v>
      </c>
      <c r="CE77" s="98">
        <v>246.86632026737806</v>
      </c>
      <c r="CF77" s="98">
        <v>0.82946388797163528</v>
      </c>
      <c r="CG77" s="98">
        <v>230.92274641130325</v>
      </c>
      <c r="CH77" s="98">
        <v>0.86087962897529757</v>
      </c>
      <c r="CI77" s="98">
        <v>239.66888870672281</v>
      </c>
      <c r="CJ77" s="98">
        <v>0.95323274897628574</v>
      </c>
      <c r="CK77" s="98">
        <v>265.37999731499792</v>
      </c>
      <c r="CL77" s="98">
        <v>0.81316900138429116</v>
      </c>
      <c r="CM77" s="98">
        <v>226.38624998538663</v>
      </c>
      <c r="CN77" s="98">
        <v>0.93254608037164599</v>
      </c>
      <c r="CO77" s="98">
        <v>259.62082877546624</v>
      </c>
      <c r="CP77" s="98">
        <v>0.83095658517697257</v>
      </c>
      <c r="CQ77" s="98">
        <v>231.33831331326914</v>
      </c>
      <c r="CR77" s="98">
        <v>0.80841285933579443</v>
      </c>
      <c r="CS77" s="98">
        <v>225.06214003908516</v>
      </c>
      <c r="CT77" s="98">
        <v>0.79690237831161925</v>
      </c>
      <c r="CU77" s="98">
        <v>221.85762212195479</v>
      </c>
    </row>
    <row r="78" spans="2:99">
      <c r="C78" s="97" t="s">
        <v>245</v>
      </c>
      <c r="D78" s="98">
        <v>5</v>
      </c>
      <c r="E78" s="98">
        <v>2760</v>
      </c>
      <c r="F78" s="98">
        <v>5</v>
      </c>
      <c r="G78" s="98">
        <v>2760</v>
      </c>
      <c r="H78" s="98">
        <v>5</v>
      </c>
      <c r="I78" s="98">
        <v>2760</v>
      </c>
      <c r="J78" s="98">
        <v>5</v>
      </c>
      <c r="K78" s="98">
        <v>2760</v>
      </c>
      <c r="L78" s="98">
        <v>6</v>
      </c>
      <c r="M78" s="98">
        <v>3312</v>
      </c>
      <c r="N78" s="98">
        <v>5</v>
      </c>
      <c r="O78" s="98">
        <v>2760</v>
      </c>
      <c r="P78" s="98">
        <v>6</v>
      </c>
      <c r="Q78" s="98">
        <v>3312</v>
      </c>
      <c r="R78" s="98">
        <v>7</v>
      </c>
      <c r="S78" s="98">
        <v>3864</v>
      </c>
      <c r="T78" s="98">
        <v>6</v>
      </c>
      <c r="U78" s="98">
        <v>3312</v>
      </c>
      <c r="V78" s="98">
        <v>6</v>
      </c>
      <c r="W78" s="98">
        <v>3312</v>
      </c>
      <c r="X78" s="98">
        <v>7</v>
      </c>
      <c r="Y78" s="98">
        <v>3864</v>
      </c>
      <c r="Z78" s="98">
        <v>6.3198113631730966</v>
      </c>
      <c r="AA78" s="98">
        <v>3488.5358724715493</v>
      </c>
      <c r="AB78" s="98">
        <v>6.4861787642475086</v>
      </c>
      <c r="AC78" s="98">
        <v>3580.3706778646247</v>
      </c>
      <c r="AD78" s="98">
        <v>5.5767139959382552</v>
      </c>
      <c r="AE78" s="98">
        <v>3078.346125757917</v>
      </c>
      <c r="AF78" s="98">
        <v>6.5281289739586867</v>
      </c>
      <c r="AG78" s="98">
        <v>3603.5271936251952</v>
      </c>
      <c r="AH78" s="98">
        <v>7.6497589587331456</v>
      </c>
      <c r="AI78" s="98">
        <v>4222.6669452206961</v>
      </c>
      <c r="AJ78" s="98">
        <v>5.4232076366218802</v>
      </c>
      <c r="AK78" s="98">
        <v>2993.6106154152781</v>
      </c>
      <c r="AL78" s="98">
        <v>0.82447435560816995</v>
      </c>
      <c r="AM78" s="98">
        <v>455.10984429570982</v>
      </c>
      <c r="AN78" s="98">
        <v>0.86446199655005396</v>
      </c>
      <c r="AO78" s="98">
        <v>477.18302209562978</v>
      </c>
      <c r="AP78" s="98">
        <v>0.80936960715262174</v>
      </c>
      <c r="AQ78" s="98">
        <v>446.77202314824717</v>
      </c>
      <c r="AR78" s="98">
        <v>0.84944819408552863</v>
      </c>
      <c r="AS78" s="98">
        <v>468.89540313521178</v>
      </c>
      <c r="AT78" s="98">
        <v>0.86603169537230951</v>
      </c>
      <c r="AU78" s="98">
        <v>478.04949584551485</v>
      </c>
      <c r="AV78" s="98">
        <v>0.93954275959916234</v>
      </c>
      <c r="AW78" s="98">
        <v>518.62760329873765</v>
      </c>
      <c r="AX78" s="98">
        <v>0.6676444808176204</v>
      </c>
      <c r="AY78" s="98">
        <v>368.53975341132644</v>
      </c>
      <c r="AZ78" s="98">
        <v>0.92061097745407239</v>
      </c>
      <c r="BA78" s="98">
        <v>508.17725955464795</v>
      </c>
      <c r="BB78" s="98">
        <v>0.77696292094039721</v>
      </c>
      <c r="BC78" s="98">
        <v>428.88353235909926</v>
      </c>
      <c r="BD78" s="98">
        <v>0.79211159579439572</v>
      </c>
      <c r="BE78" s="98">
        <v>437.24560087850642</v>
      </c>
      <c r="BF78" s="98">
        <v>0.82191311713398674</v>
      </c>
      <c r="BG78" s="98">
        <v>453.69604065796068</v>
      </c>
      <c r="BH78" s="98">
        <v>0.740773428775648</v>
      </c>
      <c r="BI78" s="98">
        <v>408.90693268415771</v>
      </c>
      <c r="BJ78" s="98">
        <v>0.84364692776471439</v>
      </c>
      <c r="BK78" s="98">
        <v>465.69310412612236</v>
      </c>
      <c r="BL78" s="98">
        <v>0.77078551946662832</v>
      </c>
      <c r="BM78" s="98">
        <v>425.47360674557882</v>
      </c>
      <c r="BN78" s="98">
        <v>0.75634278353289475</v>
      </c>
      <c r="BO78" s="98">
        <v>417.50121651015792</v>
      </c>
      <c r="BP78" s="98">
        <v>0.82652976646640874</v>
      </c>
      <c r="BQ78" s="98">
        <v>456.24443108945763</v>
      </c>
      <c r="BR78" s="98">
        <v>0.78948442540332786</v>
      </c>
      <c r="BS78" s="98">
        <v>435.79540282263696</v>
      </c>
      <c r="BT78" s="98">
        <v>0.89021540930394705</v>
      </c>
      <c r="BU78" s="98">
        <v>491.39890593577877</v>
      </c>
      <c r="BV78" s="98">
        <v>0.78780537398154404</v>
      </c>
      <c r="BW78" s="98">
        <v>434.86856643781232</v>
      </c>
      <c r="BX78" s="98">
        <v>0.89606623869591107</v>
      </c>
      <c r="BY78" s="98">
        <v>494.62856376014292</v>
      </c>
      <c r="BZ78" s="98">
        <v>0.88234144696885586</v>
      </c>
      <c r="CA78" s="98">
        <v>487.05247872680843</v>
      </c>
      <c r="CB78" s="98">
        <v>0.97688534831738616</v>
      </c>
      <c r="CC78" s="98">
        <v>539.24071227119714</v>
      </c>
      <c r="CD78" s="98">
        <v>0.88673247222477758</v>
      </c>
      <c r="CE78" s="98">
        <v>489.47632466807721</v>
      </c>
      <c r="CF78" s="98">
        <v>0.81574661171622209</v>
      </c>
      <c r="CG78" s="98">
        <v>450.29212966735457</v>
      </c>
      <c r="CH78" s="98">
        <v>0.86087962897529757</v>
      </c>
      <c r="CI78" s="98">
        <v>475.20555519436425</v>
      </c>
      <c r="CJ78" s="98">
        <v>0.95323274897628574</v>
      </c>
      <c r="CK78" s="98">
        <v>526.1844774349097</v>
      </c>
      <c r="CL78" s="98">
        <v>0.80758231762909394</v>
      </c>
      <c r="CM78" s="98">
        <v>445.78543933125985</v>
      </c>
      <c r="CN78" s="98">
        <v>0.80177053944518106</v>
      </c>
      <c r="CO78" s="98">
        <v>442.57733777373994</v>
      </c>
      <c r="CP78" s="98">
        <v>0.83095658517697257</v>
      </c>
      <c r="CQ78" s="98">
        <v>458.68803501768883</v>
      </c>
      <c r="CR78" s="98">
        <v>0.91922813759380395</v>
      </c>
      <c r="CS78" s="98">
        <v>507.41393195177977</v>
      </c>
      <c r="CT78" s="98">
        <v>0.9165053744209315</v>
      </c>
      <c r="CU78" s="98">
        <v>505.91096668035419</v>
      </c>
    </row>
    <row r="79" spans="2:99">
      <c r="C79" s="97" t="s">
        <v>246</v>
      </c>
      <c r="D79" s="98">
        <v>5</v>
      </c>
      <c r="E79" s="98">
        <v>3785.9999999999995</v>
      </c>
      <c r="F79" s="98">
        <v>5</v>
      </c>
      <c r="G79" s="98">
        <v>3785.9999999999995</v>
      </c>
      <c r="H79" s="98">
        <v>6</v>
      </c>
      <c r="I79" s="98">
        <v>4543.2</v>
      </c>
      <c r="J79" s="98">
        <v>5</v>
      </c>
      <c r="K79" s="98">
        <v>3785.9999999999995</v>
      </c>
      <c r="L79" s="98">
        <v>5</v>
      </c>
      <c r="M79" s="98">
        <v>3785.9999999999995</v>
      </c>
      <c r="N79" s="98">
        <v>5</v>
      </c>
      <c r="O79" s="98">
        <v>3785.9999999999995</v>
      </c>
      <c r="P79" s="98">
        <v>5</v>
      </c>
      <c r="Q79" s="98">
        <v>3785.9999999999995</v>
      </c>
      <c r="R79" s="98">
        <v>7</v>
      </c>
      <c r="S79" s="98">
        <v>5300.4</v>
      </c>
      <c r="T79" s="98">
        <v>7</v>
      </c>
      <c r="U79" s="98">
        <v>5300.4</v>
      </c>
      <c r="V79" s="98">
        <v>6</v>
      </c>
      <c r="W79" s="98">
        <v>4543.2</v>
      </c>
      <c r="X79" s="98">
        <v>7</v>
      </c>
      <c r="Y79" s="98">
        <v>5300.4</v>
      </c>
      <c r="Z79" s="98">
        <v>6.3198113631730966</v>
      </c>
      <c r="AA79" s="98">
        <v>4785.3611641946682</v>
      </c>
      <c r="AB79" s="98">
        <v>6.4419806947704625</v>
      </c>
      <c r="AC79" s="98">
        <v>4877.867782080194</v>
      </c>
      <c r="AD79" s="98">
        <v>5.6179078527909878</v>
      </c>
      <c r="AE79" s="98">
        <v>4253.8798261333359</v>
      </c>
      <c r="AF79" s="98">
        <v>6.5281289739586867</v>
      </c>
      <c r="AG79" s="98">
        <v>4943.0992590815167</v>
      </c>
      <c r="AH79" s="98">
        <v>7.6997404170972334</v>
      </c>
      <c r="AI79" s="98">
        <v>5830.2434438260243</v>
      </c>
      <c r="AJ79" s="98">
        <v>5.4232076366218802</v>
      </c>
      <c r="AK79" s="98">
        <v>4106.4528224500873</v>
      </c>
      <c r="AL79" s="98">
        <v>0.82447435560816995</v>
      </c>
      <c r="AM79" s="98">
        <v>624.29198206650619</v>
      </c>
      <c r="AN79" s="98">
        <v>0.87515997127898615</v>
      </c>
      <c r="AO79" s="98">
        <v>662.67113025244828</v>
      </c>
      <c r="AP79" s="98">
        <v>0.80936960715262174</v>
      </c>
      <c r="AQ79" s="98">
        <v>612.85466653596518</v>
      </c>
      <c r="AR79" s="98">
        <v>0.84944819408552863</v>
      </c>
      <c r="AS79" s="98">
        <v>643.20217256156218</v>
      </c>
      <c r="AT79" s="98">
        <v>0.86603169537230951</v>
      </c>
      <c r="AU79" s="98">
        <v>655.75919973591272</v>
      </c>
      <c r="AV79" s="98">
        <v>0.79445090902729287</v>
      </c>
      <c r="AW79" s="98">
        <v>601.55822831546607</v>
      </c>
      <c r="AX79" s="98">
        <v>0.81958294823615307</v>
      </c>
      <c r="AY79" s="98">
        <v>620.58820840441501</v>
      </c>
      <c r="AZ79" s="98">
        <v>0.79126040899766592</v>
      </c>
      <c r="BA79" s="98">
        <v>599.14238169303258</v>
      </c>
      <c r="BB79" s="98">
        <v>0.77696292094039721</v>
      </c>
      <c r="BC79" s="98">
        <v>588.31632373606874</v>
      </c>
      <c r="BD79" s="98">
        <v>0.79799687715544643</v>
      </c>
      <c r="BE79" s="98">
        <v>604.24323538210399</v>
      </c>
      <c r="BF79" s="98">
        <v>0.93527606332314905</v>
      </c>
      <c r="BG79" s="98">
        <v>708.19103514828839</v>
      </c>
      <c r="BH79" s="98">
        <v>0.74277055562352956</v>
      </c>
      <c r="BI79" s="98">
        <v>562.42586471813649</v>
      </c>
      <c r="BJ79" s="98">
        <v>0.84857918323933079</v>
      </c>
      <c r="BK79" s="98">
        <v>642.5441575488212</v>
      </c>
      <c r="BL79" s="98">
        <v>0.7779820628711972</v>
      </c>
      <c r="BM79" s="98">
        <v>589.08801800607046</v>
      </c>
      <c r="BN79" s="98">
        <v>0.95643377138706198</v>
      </c>
      <c r="BO79" s="98">
        <v>724.21165169428332</v>
      </c>
      <c r="BP79" s="98">
        <v>0.83087876651105208</v>
      </c>
      <c r="BQ79" s="98">
        <v>629.14140200216855</v>
      </c>
      <c r="BR79" s="98">
        <v>0.78549196577902269</v>
      </c>
      <c r="BS79" s="98">
        <v>594.77451648787599</v>
      </c>
      <c r="BT79" s="98">
        <v>0.72762423985204361</v>
      </c>
      <c r="BU79" s="98">
        <v>550.95707441596733</v>
      </c>
      <c r="BV79" s="98">
        <v>0.78302217512908312</v>
      </c>
      <c r="BW79" s="98">
        <v>592.90439100774165</v>
      </c>
      <c r="BX79" s="98">
        <v>0.89127783721215592</v>
      </c>
      <c r="BY79" s="98">
        <v>674.87557833704443</v>
      </c>
      <c r="BZ79" s="98">
        <v>0.87443430180727244</v>
      </c>
      <c r="CA79" s="98">
        <v>662.12165332846666</v>
      </c>
      <c r="CB79" s="98">
        <v>0.86538753552971581</v>
      </c>
      <c r="CC79" s="98">
        <v>655.27144190310071</v>
      </c>
      <c r="CD79" s="98">
        <v>0.88673247222477758</v>
      </c>
      <c r="CE79" s="98">
        <v>671.43382796860158</v>
      </c>
      <c r="CF79" s="98">
        <v>0.82489146255316415</v>
      </c>
      <c r="CG79" s="98">
        <v>624.60781544525582</v>
      </c>
      <c r="CH79" s="98">
        <v>0.86087962897529757</v>
      </c>
      <c r="CI79" s="98">
        <v>651.85805506009524</v>
      </c>
      <c r="CJ79" s="98">
        <v>0.83229526244809771</v>
      </c>
      <c r="CK79" s="98">
        <v>630.21397272569948</v>
      </c>
      <c r="CL79" s="98">
        <v>0.80758231762909394</v>
      </c>
      <c r="CM79" s="98">
        <v>611.50133090874988</v>
      </c>
      <c r="CN79" s="98">
        <v>0.92684031574284864</v>
      </c>
      <c r="CO79" s="98">
        <v>701.80348708048496</v>
      </c>
      <c r="CP79" s="98">
        <v>0.8361536174538724</v>
      </c>
      <c r="CQ79" s="98">
        <v>633.13551913607216</v>
      </c>
      <c r="CR79" s="98">
        <v>0.9119601572538647</v>
      </c>
      <c r="CS79" s="98">
        <v>690.53623107262626</v>
      </c>
      <c r="CT79" s="98">
        <v>0.79194710320813522</v>
      </c>
      <c r="CU79" s="98">
        <v>599.66234654919992</v>
      </c>
    </row>
    <row r="80" spans="2:99">
      <c r="C80" s="97" t="s">
        <v>247</v>
      </c>
      <c r="D80" s="98">
        <v>5</v>
      </c>
      <c r="E80" s="98">
        <v>4025.9999999999995</v>
      </c>
      <c r="F80" s="98">
        <v>5</v>
      </c>
      <c r="G80" s="98">
        <v>4025.9999999999995</v>
      </c>
      <c r="H80" s="98">
        <v>5</v>
      </c>
      <c r="I80" s="98">
        <v>4025.9999999999995</v>
      </c>
      <c r="J80" s="98">
        <v>5</v>
      </c>
      <c r="K80" s="98">
        <v>4025.9999999999995</v>
      </c>
      <c r="L80" s="98">
        <v>5</v>
      </c>
      <c r="M80" s="98">
        <v>4025.9999999999995</v>
      </c>
      <c r="N80" s="98">
        <v>5</v>
      </c>
      <c r="O80" s="98">
        <v>4025.9999999999995</v>
      </c>
      <c r="P80" s="98">
        <v>6</v>
      </c>
      <c r="Q80" s="98">
        <v>4831.2</v>
      </c>
      <c r="R80" s="98">
        <v>7</v>
      </c>
      <c r="S80" s="98">
        <v>5636.4</v>
      </c>
      <c r="T80" s="98">
        <v>6</v>
      </c>
      <c r="U80" s="98">
        <v>4831.2</v>
      </c>
      <c r="V80" s="98">
        <v>6</v>
      </c>
      <c r="W80" s="98">
        <v>4831.2</v>
      </c>
      <c r="X80" s="98">
        <v>7</v>
      </c>
      <c r="Y80" s="98">
        <v>5636.4</v>
      </c>
      <c r="Z80" s="98">
        <v>6.3198113631730966</v>
      </c>
      <c r="AA80" s="98">
        <v>5088.7121096269766</v>
      </c>
      <c r="AB80" s="98">
        <v>6.5303768337245547</v>
      </c>
      <c r="AC80" s="98">
        <v>5258.259426515011</v>
      </c>
      <c r="AD80" s="98">
        <v>5.5767139959382552</v>
      </c>
      <c r="AE80" s="98">
        <v>4490.3701095294828</v>
      </c>
      <c r="AF80" s="98">
        <v>6.5281289739586867</v>
      </c>
      <c r="AG80" s="98">
        <v>5256.4494498315344</v>
      </c>
      <c r="AH80" s="98">
        <v>6.6497589587331456</v>
      </c>
      <c r="AI80" s="98">
        <v>5354.3859135719285</v>
      </c>
      <c r="AJ80" s="98">
        <v>5.4579687905383745</v>
      </c>
      <c r="AK80" s="98">
        <v>4394.7564701414985</v>
      </c>
      <c r="AL80" s="98">
        <v>0.82447435560816995</v>
      </c>
      <c r="AM80" s="98">
        <v>663.86675113569834</v>
      </c>
      <c r="AN80" s="98">
        <v>0.74178094658290938</v>
      </c>
      <c r="AO80" s="98">
        <v>597.2820181885586</v>
      </c>
      <c r="AP80" s="98">
        <v>0.80936960715262174</v>
      </c>
      <c r="AQ80" s="98">
        <v>651.70440767929097</v>
      </c>
      <c r="AR80" s="98">
        <v>0.85645940908540164</v>
      </c>
      <c r="AS80" s="98">
        <v>689.62111619556538</v>
      </c>
      <c r="AT80" s="98">
        <v>0.73088638119267724</v>
      </c>
      <c r="AU80" s="98">
        <v>588.50971413634363</v>
      </c>
      <c r="AV80" s="98">
        <v>0.93264359398236762</v>
      </c>
      <c r="AW80" s="98">
        <v>750.96462187460236</v>
      </c>
      <c r="AX80" s="98">
        <v>0.82706927462908919</v>
      </c>
      <c r="AY80" s="98">
        <v>665.9561799313426</v>
      </c>
      <c r="AZ80" s="98">
        <v>0.79504965856247267</v>
      </c>
      <c r="BA80" s="98">
        <v>640.17398507450298</v>
      </c>
      <c r="BB80" s="98">
        <v>0.77696292094039721</v>
      </c>
      <c r="BC80" s="98">
        <v>625.61054394120777</v>
      </c>
      <c r="BD80" s="98">
        <v>0.79211159579439572</v>
      </c>
      <c r="BE80" s="98">
        <v>637.80825693364739</v>
      </c>
      <c r="BF80" s="98">
        <v>0.93527606332314905</v>
      </c>
      <c r="BG80" s="98">
        <v>753.08428618779953</v>
      </c>
      <c r="BH80" s="98">
        <v>0.91648043344212293</v>
      </c>
      <c r="BI80" s="98">
        <v>737.95004500759728</v>
      </c>
      <c r="BJ80" s="98">
        <v>0.74004065759710624</v>
      </c>
      <c r="BK80" s="98">
        <v>595.8807374971899</v>
      </c>
      <c r="BL80" s="98">
        <v>0.7779820628711972</v>
      </c>
      <c r="BM80" s="98">
        <v>626.43115702388798</v>
      </c>
      <c r="BN80" s="98">
        <v>0.86039001503450052</v>
      </c>
      <c r="BO80" s="98">
        <v>692.78604010577976</v>
      </c>
      <c r="BP80" s="98">
        <v>0.82652976646640874</v>
      </c>
      <c r="BQ80" s="98">
        <v>665.52176795875232</v>
      </c>
      <c r="BR80" s="98">
        <v>0.79347688502763314</v>
      </c>
      <c r="BS80" s="98">
        <v>638.90758782425019</v>
      </c>
      <c r="BT80" s="98">
        <v>0.87616821620495988</v>
      </c>
      <c r="BU80" s="98">
        <v>705.49064768823359</v>
      </c>
      <c r="BV80" s="98">
        <v>0.79258857283400497</v>
      </c>
      <c r="BW80" s="98">
        <v>638.19231884594069</v>
      </c>
      <c r="BX80" s="98">
        <v>0.89606623869591107</v>
      </c>
      <c r="BY80" s="98">
        <v>721.51253539794754</v>
      </c>
      <c r="BZ80" s="98">
        <v>0.88234144696885586</v>
      </c>
      <c r="CA80" s="98">
        <v>710.4613330993227</v>
      </c>
      <c r="CB80" s="98">
        <v>0.86982002999165675</v>
      </c>
      <c r="CC80" s="98">
        <v>700.37908814928198</v>
      </c>
      <c r="CD80" s="98">
        <v>0.88673247222477758</v>
      </c>
      <c r="CE80" s="98">
        <v>713.99698663539084</v>
      </c>
      <c r="CF80" s="98">
        <v>0.82489146255316415</v>
      </c>
      <c r="CG80" s="98">
        <v>664.20260564780767</v>
      </c>
      <c r="CH80" s="98">
        <v>0.85597342751139249</v>
      </c>
      <c r="CI80" s="98">
        <v>689.22980383217316</v>
      </c>
      <c r="CJ80" s="98">
        <v>0.94847703455987986</v>
      </c>
      <c r="CK80" s="98">
        <v>763.71370822761514</v>
      </c>
      <c r="CL80" s="98">
        <v>0.81316900138429116</v>
      </c>
      <c r="CM80" s="98">
        <v>654.76367991463121</v>
      </c>
      <c r="CN80" s="98">
        <v>0.93254608037164599</v>
      </c>
      <c r="CO80" s="98">
        <v>750.88610391524924</v>
      </c>
      <c r="CP80" s="98">
        <v>0.94817980240885447</v>
      </c>
      <c r="CQ80" s="98">
        <v>763.47437689960952</v>
      </c>
      <c r="CR80" s="98">
        <v>0.70486556141772394</v>
      </c>
      <c r="CS80" s="98">
        <v>567.55775005355122</v>
      </c>
      <c r="CT80" s="98">
        <v>0.92146064952441564</v>
      </c>
      <c r="CU80" s="98">
        <v>741.96011499705946</v>
      </c>
    </row>
    <row r="81" spans="2:99">
      <c r="C81" s="97" t="s">
        <v>248</v>
      </c>
      <c r="D81" s="98">
        <v>5</v>
      </c>
      <c r="E81" s="98">
        <v>3768</v>
      </c>
      <c r="F81" s="98">
        <v>5</v>
      </c>
      <c r="G81" s="98">
        <v>3768</v>
      </c>
      <c r="H81" s="98">
        <v>6</v>
      </c>
      <c r="I81" s="98">
        <v>4521.6000000000004</v>
      </c>
      <c r="J81" s="98">
        <v>5</v>
      </c>
      <c r="K81" s="98">
        <v>3768</v>
      </c>
      <c r="L81" s="98">
        <v>6</v>
      </c>
      <c r="M81" s="98">
        <v>4521.6000000000004</v>
      </c>
      <c r="N81" s="98">
        <v>5</v>
      </c>
      <c r="O81" s="98">
        <v>3768</v>
      </c>
      <c r="P81" s="98">
        <v>6</v>
      </c>
      <c r="Q81" s="98">
        <v>4521.6000000000004</v>
      </c>
      <c r="R81" s="98">
        <v>8</v>
      </c>
      <c r="S81" s="98">
        <v>6028.8</v>
      </c>
      <c r="T81" s="98">
        <v>7</v>
      </c>
      <c r="U81" s="98">
        <v>5275.2</v>
      </c>
      <c r="V81" s="98">
        <v>6</v>
      </c>
      <c r="W81" s="98">
        <v>4521.6000000000004</v>
      </c>
      <c r="X81" s="98">
        <v>7</v>
      </c>
      <c r="Y81" s="98">
        <v>5275.2</v>
      </c>
      <c r="Z81" s="98">
        <v>6.3597877835697334</v>
      </c>
      <c r="AA81" s="98">
        <v>4792.7360736981509</v>
      </c>
      <c r="AB81" s="98">
        <v>6.4861787642475086</v>
      </c>
      <c r="AC81" s="98">
        <v>4887.9843167369227</v>
      </c>
      <c r="AD81" s="98">
        <v>5.5767139959382552</v>
      </c>
      <c r="AE81" s="98">
        <v>4202.6116673390688</v>
      </c>
      <c r="AF81" s="98">
        <v>5.5281289739586867</v>
      </c>
      <c r="AG81" s="98">
        <v>4165.9979947752663</v>
      </c>
      <c r="AH81" s="98">
        <v>6.6497589587331456</v>
      </c>
      <c r="AI81" s="98">
        <v>5011.2583513012987</v>
      </c>
      <c r="AJ81" s="98">
        <v>5.4232076366218802</v>
      </c>
      <c r="AK81" s="98">
        <v>4086.9292749582492</v>
      </c>
      <c r="AL81" s="98">
        <v>0.82447435560816995</v>
      </c>
      <c r="AM81" s="98">
        <v>621.3238743863169</v>
      </c>
      <c r="AN81" s="98">
        <v>0.87515997127898615</v>
      </c>
      <c r="AO81" s="98">
        <v>659.52055435584396</v>
      </c>
      <c r="AP81" s="98">
        <v>0.80815579900299428</v>
      </c>
      <c r="AQ81" s="98">
        <v>609.02621012865654</v>
      </c>
      <c r="AR81" s="98">
        <v>0.69498322826814385</v>
      </c>
      <c r="AS81" s="98">
        <v>523.73936082287321</v>
      </c>
      <c r="AT81" s="98">
        <v>0.86603169537230951</v>
      </c>
      <c r="AU81" s="98">
        <v>652.64148563257243</v>
      </c>
      <c r="AV81" s="98">
        <v>0.93264359398236762</v>
      </c>
      <c r="AW81" s="98">
        <v>702.84021242511221</v>
      </c>
      <c r="AX81" s="98">
        <v>0.82706927462908919</v>
      </c>
      <c r="AY81" s="98">
        <v>623.27940536048163</v>
      </c>
      <c r="AZ81" s="98">
        <v>0.79315503378006924</v>
      </c>
      <c r="BA81" s="98">
        <v>597.72163345666024</v>
      </c>
      <c r="BB81" s="98">
        <v>0.9196607967529552</v>
      </c>
      <c r="BC81" s="98">
        <v>693.05637643302703</v>
      </c>
      <c r="BD81" s="98">
        <v>0.93640923968675305</v>
      </c>
      <c r="BE81" s="98">
        <v>705.67800302793717</v>
      </c>
      <c r="BF81" s="98">
        <v>0.81785990373257955</v>
      </c>
      <c r="BG81" s="98">
        <v>616.33922345287192</v>
      </c>
      <c r="BH81" s="98">
        <v>0.74277055562352956</v>
      </c>
      <c r="BI81" s="98">
        <v>559.75189071789191</v>
      </c>
      <c r="BJ81" s="98">
        <v>0.74004065759710624</v>
      </c>
      <c r="BK81" s="98">
        <v>557.69463956517927</v>
      </c>
      <c r="BL81" s="98">
        <v>0.7779820628711972</v>
      </c>
      <c r="BM81" s="98">
        <v>586.28728257973421</v>
      </c>
      <c r="BN81" s="98">
        <v>0.85238653988545621</v>
      </c>
      <c r="BO81" s="98">
        <v>642.35849645767985</v>
      </c>
      <c r="BP81" s="98">
        <v>0.83087876651105208</v>
      </c>
      <c r="BQ81" s="98">
        <v>626.15023844272889</v>
      </c>
      <c r="BR81" s="98">
        <v>0.78549196577902269</v>
      </c>
      <c r="BS81" s="98">
        <v>591.94674541107156</v>
      </c>
      <c r="BT81" s="98">
        <v>0.71357704675305633</v>
      </c>
      <c r="BU81" s="98">
        <v>537.75166243310332</v>
      </c>
      <c r="BV81" s="98">
        <v>0.79258857283400497</v>
      </c>
      <c r="BW81" s="98">
        <v>597.29474848770622</v>
      </c>
      <c r="BX81" s="98">
        <v>0.89606623869591107</v>
      </c>
      <c r="BY81" s="98">
        <v>675.27551748123858</v>
      </c>
      <c r="BZ81" s="98">
        <v>0.88234144696885586</v>
      </c>
      <c r="CA81" s="98">
        <v>664.93251443572979</v>
      </c>
      <c r="CB81" s="98">
        <v>0.86538753552971581</v>
      </c>
      <c r="CC81" s="98">
        <v>652.15604677519389</v>
      </c>
      <c r="CD81" s="98">
        <v>0.88673247222477758</v>
      </c>
      <c r="CE81" s="98">
        <v>668.24159106859236</v>
      </c>
      <c r="CF81" s="98">
        <v>0.81574661171622209</v>
      </c>
      <c r="CG81" s="98">
        <v>614.746646589345</v>
      </c>
      <c r="CH81" s="98">
        <v>0.73947759740032137</v>
      </c>
      <c r="CI81" s="98">
        <v>557.27031740088216</v>
      </c>
      <c r="CJ81" s="98">
        <v>0.83705097686450336</v>
      </c>
      <c r="CK81" s="98">
        <v>630.80161616508974</v>
      </c>
      <c r="CL81" s="98">
        <v>0.80758231762909394</v>
      </c>
      <c r="CM81" s="98">
        <v>608.59403456528526</v>
      </c>
      <c r="CN81" s="98">
        <v>0.81318206870277565</v>
      </c>
      <c r="CO81" s="98">
        <v>612.81400697441177</v>
      </c>
      <c r="CP81" s="98">
        <v>0.8361536174538724</v>
      </c>
      <c r="CQ81" s="98">
        <v>630.12536611323821</v>
      </c>
      <c r="CR81" s="98">
        <v>0.9119601572538647</v>
      </c>
      <c r="CS81" s="98">
        <v>687.25317450651244</v>
      </c>
      <c r="CT81" s="98">
        <v>0.79690237831161925</v>
      </c>
      <c r="CU81" s="98">
        <v>600.54563229563632</v>
      </c>
    </row>
    <row r="82" spans="2:99">
      <c r="C82" s="97" t="s">
        <v>249</v>
      </c>
      <c r="D82" s="98">
        <v>5</v>
      </c>
      <c r="E82" s="98">
        <v>2543.9999999999995</v>
      </c>
      <c r="F82" s="98">
        <v>5</v>
      </c>
      <c r="G82" s="98">
        <v>2543.9999999999995</v>
      </c>
      <c r="H82" s="98">
        <v>5</v>
      </c>
      <c r="I82" s="98">
        <v>2543.9999999999995</v>
      </c>
      <c r="J82" s="98">
        <v>5</v>
      </c>
      <c r="K82" s="98">
        <v>2543.9999999999995</v>
      </c>
      <c r="L82" s="98">
        <v>6</v>
      </c>
      <c r="M82" s="98">
        <v>3052.7999999999993</v>
      </c>
      <c r="N82" s="98">
        <v>4</v>
      </c>
      <c r="O82" s="98">
        <v>2035.1999999999996</v>
      </c>
      <c r="P82" s="98">
        <v>6</v>
      </c>
      <c r="Q82" s="98">
        <v>3052.7999999999993</v>
      </c>
      <c r="R82" s="98">
        <v>8</v>
      </c>
      <c r="S82" s="98">
        <v>4070.3999999999992</v>
      </c>
      <c r="T82" s="98">
        <v>6</v>
      </c>
      <c r="U82" s="98">
        <v>3052.7999999999993</v>
      </c>
      <c r="V82" s="98">
        <v>6</v>
      </c>
      <c r="W82" s="98">
        <v>3052.7999999999993</v>
      </c>
      <c r="X82" s="98">
        <v>7</v>
      </c>
      <c r="Y82" s="98">
        <v>3561.5999999999995</v>
      </c>
      <c r="Z82" s="98">
        <v>6.3597877835697334</v>
      </c>
      <c r="AA82" s="98">
        <v>3235.8600242802795</v>
      </c>
      <c r="AB82" s="98">
        <v>6.5303768337245547</v>
      </c>
      <c r="AC82" s="98">
        <v>3322.6557329990528</v>
      </c>
      <c r="AD82" s="98">
        <v>5.5355201390855227</v>
      </c>
      <c r="AE82" s="98">
        <v>2816.4726467667133</v>
      </c>
      <c r="AF82" s="98">
        <v>5.5633375722225988</v>
      </c>
      <c r="AG82" s="98">
        <v>2830.6261567468578</v>
      </c>
      <c r="AH82" s="98">
        <v>6.6997404170972334</v>
      </c>
      <c r="AI82" s="98">
        <v>3408.8279242190715</v>
      </c>
      <c r="AJ82" s="98">
        <v>5.4579687905383745</v>
      </c>
      <c r="AK82" s="98">
        <v>2777.0145206259244</v>
      </c>
      <c r="AL82" s="98">
        <v>0.82447435560816995</v>
      </c>
      <c r="AM82" s="98">
        <v>419.49255213343679</v>
      </c>
      <c r="AN82" s="98">
        <v>0.86981098391452005</v>
      </c>
      <c r="AO82" s="98">
        <v>442.55982861570772</v>
      </c>
      <c r="AP82" s="98">
        <v>0.92325982510352844</v>
      </c>
      <c r="AQ82" s="98">
        <v>469.75459901267516</v>
      </c>
      <c r="AR82" s="98">
        <v>0.69498322826814385</v>
      </c>
      <c r="AS82" s="98">
        <v>353.6074665428315</v>
      </c>
      <c r="AT82" s="98">
        <v>0.8599028275618078</v>
      </c>
      <c r="AU82" s="98">
        <v>437.51855866344772</v>
      </c>
      <c r="AV82" s="98">
        <v>0.94644192521595694</v>
      </c>
      <c r="AW82" s="98">
        <v>481.54965154987877</v>
      </c>
      <c r="AX82" s="98">
        <v>0.81958294823615307</v>
      </c>
      <c r="AY82" s="98">
        <v>417.00380406255459</v>
      </c>
      <c r="AZ82" s="98">
        <v>0.91871635267166907</v>
      </c>
      <c r="BA82" s="98">
        <v>467.44288023934513</v>
      </c>
      <c r="BB82" s="98">
        <v>0.77696292094039721</v>
      </c>
      <c r="BC82" s="98">
        <v>395.318734174474</v>
      </c>
      <c r="BD82" s="98">
        <v>0.79211159579439572</v>
      </c>
      <c r="BE82" s="98">
        <v>403.02637994018846</v>
      </c>
      <c r="BF82" s="98">
        <v>0.93527606332314905</v>
      </c>
      <c r="BG82" s="98">
        <v>475.86846101881815</v>
      </c>
      <c r="BH82" s="98">
        <v>0.74277055562352956</v>
      </c>
      <c r="BI82" s="98">
        <v>377.92165870125177</v>
      </c>
      <c r="BJ82" s="98">
        <v>0.83871467229009788</v>
      </c>
      <c r="BK82" s="98">
        <v>426.7380252612017</v>
      </c>
      <c r="BL82" s="98">
        <v>0.92206400599812643</v>
      </c>
      <c r="BM82" s="98">
        <v>469.14616625184664</v>
      </c>
      <c r="BN82" s="98">
        <v>0.76034452110741679</v>
      </c>
      <c r="BO82" s="98">
        <v>386.86329233945361</v>
      </c>
      <c r="BP82" s="98">
        <v>0.94460544739018149</v>
      </c>
      <c r="BQ82" s="98">
        <v>480.61525163212423</v>
      </c>
      <c r="BR82" s="98">
        <v>0.78549196577902269</v>
      </c>
      <c r="BS82" s="98">
        <v>399.65831218836666</v>
      </c>
      <c r="BT82" s="98">
        <v>0.72762423985204361</v>
      </c>
      <c r="BU82" s="98">
        <v>370.21521323671971</v>
      </c>
      <c r="BV82" s="98">
        <v>0.91432307079267383</v>
      </c>
      <c r="BW82" s="98">
        <v>465.20757841931237</v>
      </c>
      <c r="BX82" s="98">
        <v>0.75390446780555864</v>
      </c>
      <c r="BY82" s="98">
        <v>383.58659321946817</v>
      </c>
      <c r="BZ82" s="98">
        <v>0.87443430180727244</v>
      </c>
      <c r="CA82" s="98">
        <v>444.91217275954011</v>
      </c>
      <c r="CB82" s="98">
        <v>0.87425252445359791</v>
      </c>
      <c r="CC82" s="98">
        <v>444.81968444199055</v>
      </c>
      <c r="CD82" s="98">
        <v>0.76858881051133987</v>
      </c>
      <c r="CE82" s="98">
        <v>391.05798678816967</v>
      </c>
      <c r="CF82" s="98">
        <v>0.81574661171622209</v>
      </c>
      <c r="CG82" s="98">
        <v>415.05187604121375</v>
      </c>
      <c r="CH82" s="98">
        <v>0.86087962897529757</v>
      </c>
      <c r="CI82" s="98">
        <v>438.01555522263129</v>
      </c>
      <c r="CJ82" s="98">
        <v>0.94847703455987986</v>
      </c>
      <c r="CK82" s="98">
        <v>482.58511518406675</v>
      </c>
      <c r="CL82" s="98">
        <v>0.80199563387389672</v>
      </c>
      <c r="CM82" s="98">
        <v>408.05537851503857</v>
      </c>
      <c r="CN82" s="98">
        <v>0.93254608037164599</v>
      </c>
      <c r="CO82" s="98">
        <v>474.4794456930934</v>
      </c>
      <c r="CP82" s="98">
        <v>0.84135064973077223</v>
      </c>
      <c r="CQ82" s="98">
        <v>428.07921058301685</v>
      </c>
      <c r="CR82" s="98">
        <v>0.91922813759380395</v>
      </c>
      <c r="CS82" s="98">
        <v>467.70327640772734</v>
      </c>
      <c r="CT82" s="98">
        <v>0.9165053744209315</v>
      </c>
      <c r="CU82" s="98">
        <v>466.31793450536986</v>
      </c>
    </row>
    <row r="83" spans="2:99">
      <c r="C83" s="97" t="s">
        <v>250</v>
      </c>
      <c r="D83" s="98">
        <v>4</v>
      </c>
      <c r="E83" s="98">
        <v>3441.6</v>
      </c>
      <c r="F83" s="98">
        <v>5</v>
      </c>
      <c r="G83" s="98">
        <v>4302</v>
      </c>
      <c r="H83" s="98">
        <v>5</v>
      </c>
      <c r="I83" s="98">
        <v>4302</v>
      </c>
      <c r="J83" s="98">
        <v>5</v>
      </c>
      <c r="K83" s="98">
        <v>4302</v>
      </c>
      <c r="L83" s="98">
        <v>5</v>
      </c>
      <c r="M83" s="98">
        <v>4302</v>
      </c>
      <c r="N83" s="98">
        <v>5</v>
      </c>
      <c r="O83" s="98">
        <v>4302</v>
      </c>
      <c r="P83" s="98">
        <v>5</v>
      </c>
      <c r="Q83" s="98">
        <v>4302</v>
      </c>
      <c r="R83" s="98">
        <v>7</v>
      </c>
      <c r="S83" s="98">
        <v>6022.8</v>
      </c>
      <c r="T83" s="98">
        <v>6</v>
      </c>
      <c r="U83" s="98">
        <v>5162.3999999999996</v>
      </c>
      <c r="V83" s="98">
        <v>7</v>
      </c>
      <c r="W83" s="98">
        <v>6022.8</v>
      </c>
      <c r="X83" s="98">
        <v>7</v>
      </c>
      <c r="Y83" s="98">
        <v>6022.8</v>
      </c>
      <c r="Z83" s="98">
        <v>6.3198113631730966</v>
      </c>
      <c r="AA83" s="98">
        <v>5437.5656968741323</v>
      </c>
      <c r="AB83" s="98">
        <v>7.4861787642475086</v>
      </c>
      <c r="AC83" s="98">
        <v>6441.1082087585564</v>
      </c>
      <c r="AD83" s="98">
        <v>5.6179078527909878</v>
      </c>
      <c r="AE83" s="98">
        <v>4833.6479165413657</v>
      </c>
      <c r="AF83" s="98">
        <v>6.5281289739586867</v>
      </c>
      <c r="AG83" s="98">
        <v>5616.8021691940539</v>
      </c>
      <c r="AH83" s="98">
        <v>6.6997404170972334</v>
      </c>
      <c r="AI83" s="98">
        <v>5764.4566548704597</v>
      </c>
      <c r="AJ83" s="98">
        <v>5.4232076366218802</v>
      </c>
      <c r="AK83" s="98">
        <v>4666.1278505494656</v>
      </c>
      <c r="AL83" s="98">
        <v>0.72276573483214179</v>
      </c>
      <c r="AM83" s="98">
        <v>621.86763824957484</v>
      </c>
      <c r="AN83" s="98">
        <v>0.86981098391452005</v>
      </c>
      <c r="AO83" s="98">
        <v>748.38537056005305</v>
      </c>
      <c r="AP83" s="98">
        <v>0.80815579900299428</v>
      </c>
      <c r="AQ83" s="98">
        <v>695.33724946217626</v>
      </c>
      <c r="AR83" s="98">
        <v>0.84944819408552863</v>
      </c>
      <c r="AS83" s="98">
        <v>730.86522619118887</v>
      </c>
      <c r="AT83" s="98">
        <v>0.86603169537230951</v>
      </c>
      <c r="AU83" s="98">
        <v>745.1336706983351</v>
      </c>
      <c r="AV83" s="98">
        <v>0.78755174341049838</v>
      </c>
      <c r="AW83" s="98">
        <v>677.60952003039279</v>
      </c>
      <c r="AX83" s="98">
        <v>0.82706927462908919</v>
      </c>
      <c r="AY83" s="98">
        <v>711.61040389086827</v>
      </c>
      <c r="AZ83" s="98">
        <v>0.79315503378006924</v>
      </c>
      <c r="BA83" s="98">
        <v>682.43059106437158</v>
      </c>
      <c r="BB83" s="98">
        <v>0.77696292094039721</v>
      </c>
      <c r="BC83" s="98">
        <v>668.49889717711778</v>
      </c>
      <c r="BD83" s="98">
        <v>0.93640923968675305</v>
      </c>
      <c r="BE83" s="98">
        <v>805.68650982648228</v>
      </c>
      <c r="BF83" s="98">
        <v>0.81785990373257955</v>
      </c>
      <c r="BG83" s="98">
        <v>703.68666117151145</v>
      </c>
      <c r="BH83" s="98">
        <v>0.92047468713788594</v>
      </c>
      <c r="BI83" s="98">
        <v>791.97642081343702</v>
      </c>
      <c r="BJ83" s="98">
        <v>0.83871467229009788</v>
      </c>
      <c r="BK83" s="98">
        <v>721.63010403840019</v>
      </c>
      <c r="BL83" s="98">
        <v>0.7779820628711972</v>
      </c>
      <c r="BM83" s="98">
        <v>669.3757668943781</v>
      </c>
      <c r="BN83" s="98">
        <v>0.86039001503450052</v>
      </c>
      <c r="BO83" s="98">
        <v>740.27956893568421</v>
      </c>
      <c r="BP83" s="98">
        <v>0.83522776655569508</v>
      </c>
      <c r="BQ83" s="98">
        <v>718.62997034452007</v>
      </c>
      <c r="BR83" s="98">
        <v>0.78948442540332786</v>
      </c>
      <c r="BS83" s="98">
        <v>679.27239961702332</v>
      </c>
      <c r="BT83" s="98">
        <v>0.72060064330254991</v>
      </c>
      <c r="BU83" s="98">
        <v>620.0047934975139</v>
      </c>
      <c r="BV83" s="98">
        <v>0.90953987194021291</v>
      </c>
      <c r="BW83" s="98">
        <v>782.5681058173592</v>
      </c>
      <c r="BX83" s="98">
        <v>0.89606623869591107</v>
      </c>
      <c r="BY83" s="98">
        <v>770.97539177396186</v>
      </c>
      <c r="BZ83" s="98">
        <v>0.71378030273666837</v>
      </c>
      <c r="CA83" s="98">
        <v>614.13657247462947</v>
      </c>
      <c r="CB83" s="98">
        <v>0.86538753552971581</v>
      </c>
      <c r="CC83" s="98">
        <v>744.5794355697675</v>
      </c>
      <c r="CD83" s="98">
        <v>0.89216218497302435</v>
      </c>
      <c r="CE83" s="98">
        <v>767.61634395079011</v>
      </c>
      <c r="CF83" s="98">
        <v>0.81574661171622209</v>
      </c>
      <c r="CG83" s="98">
        <v>701.86838472063744</v>
      </c>
      <c r="CH83" s="98">
        <v>0.87069203190310795</v>
      </c>
      <c r="CI83" s="98">
        <v>749.14342424943402</v>
      </c>
      <c r="CJ83" s="98">
        <v>0.83705097686450336</v>
      </c>
      <c r="CK83" s="98">
        <v>720.19866049421864</v>
      </c>
      <c r="CL83" s="98">
        <v>0.81316900138429116</v>
      </c>
      <c r="CM83" s="98">
        <v>699.65060879104408</v>
      </c>
      <c r="CN83" s="98">
        <v>0.80747630407397841</v>
      </c>
      <c r="CO83" s="98">
        <v>694.75261202525098</v>
      </c>
      <c r="CP83" s="98">
        <v>0.8361536174538724</v>
      </c>
      <c r="CQ83" s="98">
        <v>719.42657245731175</v>
      </c>
      <c r="CR83" s="98">
        <v>0.80477886916582475</v>
      </c>
      <c r="CS83" s="98">
        <v>692.43173903027559</v>
      </c>
      <c r="CT83" s="98">
        <v>0.79690237831161925</v>
      </c>
      <c r="CU83" s="98">
        <v>685.65480629931722</v>
      </c>
    </row>
    <row r="84" spans="2:99">
      <c r="C84" s="97" t="s">
        <v>251</v>
      </c>
      <c r="D84" s="98">
        <v>5</v>
      </c>
      <c r="E84" s="98">
        <v>3905.9999999999995</v>
      </c>
      <c r="F84" s="98">
        <v>5</v>
      </c>
      <c r="G84" s="98">
        <v>3905.9999999999995</v>
      </c>
      <c r="H84" s="98">
        <v>5</v>
      </c>
      <c r="I84" s="98">
        <v>3905.9999999999995</v>
      </c>
      <c r="J84" s="98">
        <v>5</v>
      </c>
      <c r="K84" s="98">
        <v>3905.9999999999995</v>
      </c>
      <c r="L84" s="98">
        <v>6</v>
      </c>
      <c r="M84" s="98">
        <v>4687.2</v>
      </c>
      <c r="N84" s="98">
        <v>5</v>
      </c>
      <c r="O84" s="98">
        <v>3905.9999999999995</v>
      </c>
      <c r="P84" s="98">
        <v>6</v>
      </c>
      <c r="Q84" s="98">
        <v>4687.2</v>
      </c>
      <c r="R84" s="98">
        <v>7</v>
      </c>
      <c r="S84" s="98">
        <v>5468.4</v>
      </c>
      <c r="T84" s="98">
        <v>7</v>
      </c>
      <c r="U84" s="98">
        <v>5468.4</v>
      </c>
      <c r="V84" s="98">
        <v>7</v>
      </c>
      <c r="W84" s="98">
        <v>5468.4</v>
      </c>
      <c r="X84" s="98">
        <v>8</v>
      </c>
      <c r="Y84" s="98">
        <v>6249.5999999999995</v>
      </c>
      <c r="Z84" s="98">
        <v>6.3597877835697334</v>
      </c>
      <c r="AA84" s="98">
        <v>4968.2662165246757</v>
      </c>
      <c r="AB84" s="98">
        <v>6.4419806947704625</v>
      </c>
      <c r="AC84" s="98">
        <v>5032.4753187546848</v>
      </c>
      <c r="AD84" s="98">
        <v>5.5767139959382552</v>
      </c>
      <c r="AE84" s="98">
        <v>4356.5289736269642</v>
      </c>
      <c r="AF84" s="98">
        <v>6.5281289739586867</v>
      </c>
      <c r="AG84" s="98">
        <v>5099.7743544565255</v>
      </c>
      <c r="AH84" s="98">
        <v>7.6497589587331456</v>
      </c>
      <c r="AI84" s="98">
        <v>5975.9916985623331</v>
      </c>
      <c r="AJ84" s="98">
        <v>5.4232076366218802</v>
      </c>
      <c r="AK84" s="98">
        <v>4236.6098057290128</v>
      </c>
      <c r="AL84" s="98">
        <v>0.82447435560816995</v>
      </c>
      <c r="AM84" s="98">
        <v>644.07936660110227</v>
      </c>
      <c r="AN84" s="98">
        <v>0.88050895864345236</v>
      </c>
      <c r="AO84" s="98">
        <v>687.85359849226495</v>
      </c>
      <c r="AP84" s="98">
        <v>0.92325982510352844</v>
      </c>
      <c r="AQ84" s="98">
        <v>721.25057537087639</v>
      </c>
      <c r="AR84" s="98">
        <v>0.69498322826814385</v>
      </c>
      <c r="AS84" s="98">
        <v>542.92089792307388</v>
      </c>
      <c r="AT84" s="98">
        <v>0.86603169537230951</v>
      </c>
      <c r="AU84" s="98">
        <v>676.54396042484814</v>
      </c>
      <c r="AV84" s="98">
        <v>0.93264359398236762</v>
      </c>
      <c r="AW84" s="98">
        <v>728.58117561902554</v>
      </c>
      <c r="AX84" s="98">
        <v>0.82706927462908919</v>
      </c>
      <c r="AY84" s="98">
        <v>646.10651734024441</v>
      </c>
      <c r="AZ84" s="98">
        <v>0.79126040899766592</v>
      </c>
      <c r="BA84" s="98">
        <v>618.1326315089766</v>
      </c>
      <c r="BB84" s="98">
        <v>0.7840155367045758</v>
      </c>
      <c r="BC84" s="98">
        <v>612.47293727361455</v>
      </c>
      <c r="BD84" s="98">
        <v>0.79799687715544643</v>
      </c>
      <c r="BE84" s="98">
        <v>623.39516043383469</v>
      </c>
      <c r="BF84" s="98">
        <v>0.93122284992174187</v>
      </c>
      <c r="BG84" s="98">
        <v>727.47129035886474</v>
      </c>
      <c r="BH84" s="98">
        <v>0.92247181398576739</v>
      </c>
      <c r="BI84" s="98">
        <v>720.63498108568137</v>
      </c>
      <c r="BJ84" s="98">
        <v>0.93738868698308953</v>
      </c>
      <c r="BK84" s="98">
        <v>732.28804227118951</v>
      </c>
      <c r="BL84" s="98">
        <v>0.77078551946662832</v>
      </c>
      <c r="BM84" s="98">
        <v>602.13764780733004</v>
      </c>
      <c r="BN84" s="98">
        <v>0.96043550896158425</v>
      </c>
      <c r="BO84" s="98">
        <v>750.29221960078951</v>
      </c>
      <c r="BP84" s="98">
        <v>0.94460544739018149</v>
      </c>
      <c r="BQ84" s="98">
        <v>737.92577550120973</v>
      </c>
      <c r="BR84" s="98">
        <v>0.78948442540332786</v>
      </c>
      <c r="BS84" s="98">
        <v>616.74523312507972</v>
      </c>
      <c r="BT84" s="98">
        <v>0.88319181275445358</v>
      </c>
      <c r="BU84" s="98">
        <v>689.94944412377902</v>
      </c>
      <c r="BV84" s="98">
        <v>0.79258857283400497</v>
      </c>
      <c r="BW84" s="98">
        <v>619.17019309792465</v>
      </c>
      <c r="BX84" s="98">
        <v>0.75390446780555864</v>
      </c>
      <c r="BY84" s="98">
        <v>588.95017024970241</v>
      </c>
      <c r="BZ84" s="98">
        <v>0.87443430180727244</v>
      </c>
      <c r="CA84" s="98">
        <v>683.10807657184114</v>
      </c>
      <c r="CB84" s="98">
        <v>0.87425252445359791</v>
      </c>
      <c r="CC84" s="98">
        <v>682.96607210315062</v>
      </c>
      <c r="CD84" s="98">
        <v>0.88673247222477758</v>
      </c>
      <c r="CE84" s="98">
        <v>692.71540730199615</v>
      </c>
      <c r="CF84" s="98">
        <v>0.81574661171622209</v>
      </c>
      <c r="CG84" s="98">
        <v>637.26125307271263</v>
      </c>
      <c r="CH84" s="98">
        <v>0.72966519447251099</v>
      </c>
      <c r="CI84" s="98">
        <v>570.01444992192557</v>
      </c>
      <c r="CJ84" s="98">
        <v>0.94372132014347421</v>
      </c>
      <c r="CK84" s="98">
        <v>737.23509529608202</v>
      </c>
      <c r="CL84" s="98">
        <v>0.81316900138429116</v>
      </c>
      <c r="CM84" s="98">
        <v>635.24762388140823</v>
      </c>
      <c r="CN84" s="98">
        <v>0.80747630407397841</v>
      </c>
      <c r="CO84" s="98">
        <v>630.80048874259182</v>
      </c>
      <c r="CP84" s="98">
        <v>0.83095658517697257</v>
      </c>
      <c r="CQ84" s="98">
        <v>649.14328434025094</v>
      </c>
      <c r="CR84" s="98">
        <v>0.812046849505764</v>
      </c>
      <c r="CS84" s="98">
        <v>634.37099883390283</v>
      </c>
      <c r="CT84" s="98">
        <v>0.92146064952441564</v>
      </c>
      <c r="CU84" s="98">
        <v>719.84505940847339</v>
      </c>
    </row>
    <row r="85" spans="2:99">
      <c r="C85" s="97" t="s">
        <v>252</v>
      </c>
      <c r="D85" s="98">
        <v>5</v>
      </c>
      <c r="E85" s="98">
        <v>750</v>
      </c>
      <c r="F85" s="98">
        <v>5</v>
      </c>
      <c r="G85" s="98">
        <v>750</v>
      </c>
      <c r="H85" s="98">
        <v>6</v>
      </c>
      <c r="I85" s="98">
        <v>900</v>
      </c>
      <c r="J85" s="98">
        <v>5</v>
      </c>
      <c r="K85" s="98">
        <v>750</v>
      </c>
      <c r="L85" s="98">
        <v>5</v>
      </c>
      <c r="M85" s="98">
        <v>750</v>
      </c>
      <c r="N85" s="98">
        <v>5</v>
      </c>
      <c r="O85" s="98">
        <v>750</v>
      </c>
      <c r="P85" s="98">
        <v>5</v>
      </c>
      <c r="Q85" s="98">
        <v>750</v>
      </c>
      <c r="R85" s="98">
        <v>8</v>
      </c>
      <c r="S85" s="98">
        <v>1200</v>
      </c>
      <c r="T85" s="98">
        <v>6</v>
      </c>
      <c r="U85" s="98">
        <v>900</v>
      </c>
      <c r="V85" s="98">
        <v>7</v>
      </c>
      <c r="W85" s="98">
        <v>1050</v>
      </c>
      <c r="X85" s="98">
        <v>8</v>
      </c>
      <c r="Y85" s="98">
        <v>1200</v>
      </c>
      <c r="Z85" s="98">
        <v>6.3597877835697334</v>
      </c>
      <c r="AA85" s="98">
        <v>953.96816753546</v>
      </c>
      <c r="AB85" s="98">
        <v>7.5303768337245547</v>
      </c>
      <c r="AC85" s="98">
        <v>1129.5565250586833</v>
      </c>
      <c r="AD85" s="98">
        <v>5.6179078527909878</v>
      </c>
      <c r="AE85" s="98">
        <v>842.68617791864813</v>
      </c>
      <c r="AF85" s="98">
        <v>6.5281289739586867</v>
      </c>
      <c r="AG85" s="98">
        <v>979.21934609380298</v>
      </c>
      <c r="AH85" s="98">
        <v>7.6497589587331456</v>
      </c>
      <c r="AI85" s="98">
        <v>1147.4638438099719</v>
      </c>
      <c r="AJ85" s="98">
        <v>5.4232076366218802</v>
      </c>
      <c r="AK85" s="98">
        <v>813.48114549328204</v>
      </c>
      <c r="AL85" s="98">
        <v>0.92738357520641412</v>
      </c>
      <c r="AM85" s="98">
        <v>139.10753628096211</v>
      </c>
      <c r="AN85" s="98">
        <v>0.86981098391452005</v>
      </c>
      <c r="AO85" s="98">
        <v>130.47164758717801</v>
      </c>
      <c r="AP85" s="98">
        <v>0.92204601695390087</v>
      </c>
      <c r="AQ85" s="98">
        <v>138.30690254308513</v>
      </c>
      <c r="AR85" s="98">
        <v>0.84944819408552863</v>
      </c>
      <c r="AS85" s="98">
        <v>127.41722911282929</v>
      </c>
      <c r="AT85" s="98">
        <v>0.72475751338217553</v>
      </c>
      <c r="AU85" s="98">
        <v>108.71362700732632</v>
      </c>
      <c r="AV85" s="98">
        <v>0.80135007464408758</v>
      </c>
      <c r="AW85" s="98">
        <v>120.20251119661313</v>
      </c>
      <c r="AX85" s="98">
        <v>0.82706927462908919</v>
      </c>
      <c r="AY85" s="98">
        <v>124.06039119436338</v>
      </c>
      <c r="AZ85" s="98">
        <v>0.92061097745407239</v>
      </c>
      <c r="BA85" s="98">
        <v>138.09164661811087</v>
      </c>
      <c r="BB85" s="98">
        <v>0.7840155367045758</v>
      </c>
      <c r="BC85" s="98">
        <v>117.60233050568637</v>
      </c>
      <c r="BD85" s="98">
        <v>0.79799687715544643</v>
      </c>
      <c r="BE85" s="98">
        <v>119.69953157331696</v>
      </c>
      <c r="BF85" s="98">
        <v>0.83001954393680111</v>
      </c>
      <c r="BG85" s="98">
        <v>124.50293159052016</v>
      </c>
      <c r="BH85" s="98">
        <v>0.73877630192776655</v>
      </c>
      <c r="BI85" s="98">
        <v>110.81644528916499</v>
      </c>
      <c r="BJ85" s="98">
        <v>0.84857918323933079</v>
      </c>
      <c r="BK85" s="98">
        <v>127.28687748589962</v>
      </c>
      <c r="BL85" s="98">
        <v>0.92926054940269542</v>
      </c>
      <c r="BM85" s="98">
        <v>139.38908241040431</v>
      </c>
      <c r="BN85" s="98">
        <v>0.86039001503450052</v>
      </c>
      <c r="BO85" s="98">
        <v>129.05850225517509</v>
      </c>
      <c r="BP85" s="98">
        <v>0.94460544739018149</v>
      </c>
      <c r="BQ85" s="98">
        <v>141.69081710852723</v>
      </c>
      <c r="BR85" s="98">
        <v>0.79347688502763314</v>
      </c>
      <c r="BS85" s="98">
        <v>119.02153275414497</v>
      </c>
      <c r="BT85" s="98">
        <v>0.88319181275445358</v>
      </c>
      <c r="BU85" s="98">
        <v>132.47877191316803</v>
      </c>
      <c r="BV85" s="98">
        <v>0.90953987194021291</v>
      </c>
      <c r="BW85" s="98">
        <v>136.43098079103194</v>
      </c>
      <c r="BX85" s="98">
        <v>0.75390446780555864</v>
      </c>
      <c r="BY85" s="98">
        <v>113.08567017083379</v>
      </c>
      <c r="BZ85" s="98">
        <v>0.87443430180727244</v>
      </c>
      <c r="CA85" s="98">
        <v>131.16514527109086</v>
      </c>
      <c r="CB85" s="98">
        <v>0.77161970058980967</v>
      </c>
      <c r="CC85" s="98">
        <v>115.74295508847145</v>
      </c>
      <c r="CD85" s="98">
        <v>0.89216218497302435</v>
      </c>
      <c r="CE85" s="98">
        <v>133.82432774595367</v>
      </c>
      <c r="CF85" s="98">
        <v>0.95475266394790659</v>
      </c>
      <c r="CG85" s="98">
        <v>143.21289959218598</v>
      </c>
      <c r="CH85" s="98">
        <v>0.72966519447251099</v>
      </c>
      <c r="CI85" s="98">
        <v>109.44977917087665</v>
      </c>
      <c r="CJ85" s="98">
        <v>0.94847703455987986</v>
      </c>
      <c r="CK85" s="98">
        <v>142.27155518398197</v>
      </c>
      <c r="CL85" s="98">
        <v>0.81316900138429116</v>
      </c>
      <c r="CM85" s="98">
        <v>121.97535020764367</v>
      </c>
      <c r="CN85" s="98">
        <v>0.93254608037164599</v>
      </c>
      <c r="CO85" s="98">
        <v>139.88191205574691</v>
      </c>
      <c r="CP85" s="98">
        <v>0.8361536174538724</v>
      </c>
      <c r="CQ85" s="98">
        <v>125.42304261808086</v>
      </c>
      <c r="CR85" s="98">
        <v>0.9119601572538647</v>
      </c>
      <c r="CS85" s="98">
        <v>136.79402358807971</v>
      </c>
      <c r="CT85" s="98">
        <v>0.92146064952441564</v>
      </c>
      <c r="CU85" s="98">
        <v>138.21909742866234</v>
      </c>
    </row>
    <row r="86" spans="2:99">
      <c r="C86" s="97" t="s">
        <v>253</v>
      </c>
      <c r="D86" s="98">
        <v>5</v>
      </c>
      <c r="E86" s="98">
        <v>2700</v>
      </c>
      <c r="F86" s="98">
        <v>5</v>
      </c>
      <c r="G86" s="98">
        <v>2700</v>
      </c>
      <c r="H86" s="98">
        <v>5</v>
      </c>
      <c r="I86" s="98">
        <v>2700</v>
      </c>
      <c r="J86" s="98">
        <v>5</v>
      </c>
      <c r="K86" s="98">
        <v>2700</v>
      </c>
      <c r="L86" s="98">
        <v>5</v>
      </c>
      <c r="M86" s="98">
        <v>2700</v>
      </c>
      <c r="N86" s="98">
        <v>5</v>
      </c>
      <c r="O86" s="98">
        <v>2700</v>
      </c>
      <c r="P86" s="98">
        <v>6</v>
      </c>
      <c r="Q86" s="98">
        <v>3240</v>
      </c>
      <c r="R86" s="98">
        <v>8</v>
      </c>
      <c r="S86" s="98">
        <v>4320</v>
      </c>
      <c r="T86" s="98">
        <v>6</v>
      </c>
      <c r="U86" s="98">
        <v>3240</v>
      </c>
      <c r="V86" s="98">
        <v>6</v>
      </c>
      <c r="W86" s="98">
        <v>3240</v>
      </c>
      <c r="X86" s="98">
        <v>7</v>
      </c>
      <c r="Y86" s="98">
        <v>3780</v>
      </c>
      <c r="Z86" s="98">
        <v>6.3597877835697334</v>
      </c>
      <c r="AA86" s="98">
        <v>3434.2854031276561</v>
      </c>
      <c r="AB86" s="98">
        <v>6.4419806947704625</v>
      </c>
      <c r="AC86" s="98">
        <v>3478.6695751760499</v>
      </c>
      <c r="AD86" s="98">
        <v>5.6591017096437204</v>
      </c>
      <c r="AE86" s="98">
        <v>3055.9149232076088</v>
      </c>
      <c r="AF86" s="98">
        <v>6.5633375722225988</v>
      </c>
      <c r="AG86" s="98">
        <v>3544.2022890002036</v>
      </c>
      <c r="AH86" s="98">
        <v>6.7497218754613222</v>
      </c>
      <c r="AI86" s="98">
        <v>3644.8498127491139</v>
      </c>
      <c r="AJ86" s="98">
        <v>6.1929857055797921</v>
      </c>
      <c r="AK86" s="98">
        <v>3344.2122810130877</v>
      </c>
      <c r="AL86" s="98">
        <v>0.92738357520641412</v>
      </c>
      <c r="AM86" s="98">
        <v>500.78713061146362</v>
      </c>
      <c r="AN86" s="98">
        <v>0.73108297185397719</v>
      </c>
      <c r="AO86" s="98">
        <v>394.78480480114769</v>
      </c>
      <c r="AP86" s="98">
        <v>0.92204601695390087</v>
      </c>
      <c r="AQ86" s="98">
        <v>497.90484915510649</v>
      </c>
      <c r="AR86" s="98">
        <v>0.84944819408552863</v>
      </c>
      <c r="AS86" s="98">
        <v>458.70202480618548</v>
      </c>
      <c r="AT86" s="98">
        <v>0.86603169537230951</v>
      </c>
      <c r="AU86" s="98">
        <v>467.65711550104714</v>
      </c>
      <c r="AV86" s="98">
        <v>0.79445090902729287</v>
      </c>
      <c r="AW86" s="98">
        <v>429.00349087473813</v>
      </c>
      <c r="AX86" s="98">
        <v>0.81958294823615307</v>
      </c>
      <c r="AY86" s="98">
        <v>442.57479204752264</v>
      </c>
      <c r="AZ86" s="98">
        <v>0.78936578421526249</v>
      </c>
      <c r="BA86" s="98">
        <v>426.25752347624177</v>
      </c>
      <c r="BB86" s="98">
        <v>0.7840155367045758</v>
      </c>
      <c r="BC86" s="98">
        <v>423.36838982047095</v>
      </c>
      <c r="BD86" s="98">
        <v>0.94817980240885447</v>
      </c>
      <c r="BE86" s="98">
        <v>512.01709330078143</v>
      </c>
      <c r="BF86" s="98">
        <v>0.82596633053539392</v>
      </c>
      <c r="BG86" s="98">
        <v>446.02181848911272</v>
      </c>
      <c r="BH86" s="98">
        <v>0.73877630192776655</v>
      </c>
      <c r="BI86" s="98">
        <v>398.93920304099396</v>
      </c>
      <c r="BJ86" s="98">
        <v>0.84857918323933079</v>
      </c>
      <c r="BK86" s="98">
        <v>458.23275894923864</v>
      </c>
      <c r="BL86" s="98">
        <v>0.77078551946662832</v>
      </c>
      <c r="BM86" s="98">
        <v>416.22418051197928</v>
      </c>
      <c r="BN86" s="98">
        <v>0.95643377138706198</v>
      </c>
      <c r="BO86" s="98">
        <v>516.47423654901343</v>
      </c>
      <c r="BP86" s="98">
        <v>0.83087876651105208</v>
      </c>
      <c r="BQ86" s="98">
        <v>448.67453391596814</v>
      </c>
      <c r="BR86" s="98">
        <v>0.78149950615471742</v>
      </c>
      <c r="BS86" s="98">
        <v>422.00973332354738</v>
      </c>
      <c r="BT86" s="98">
        <v>0.88319181275445358</v>
      </c>
      <c r="BU86" s="98">
        <v>476.92357888740491</v>
      </c>
      <c r="BV86" s="98">
        <v>0.78780537398154404</v>
      </c>
      <c r="BW86" s="98">
        <v>425.41490195003377</v>
      </c>
      <c r="BX86" s="98">
        <v>0.89127783721215592</v>
      </c>
      <c r="BY86" s="98">
        <v>481.2900320945642</v>
      </c>
      <c r="BZ86" s="98">
        <v>0.71378030273666837</v>
      </c>
      <c r="CA86" s="98">
        <v>385.44136347780091</v>
      </c>
      <c r="CB86" s="98">
        <v>0.77161970058980967</v>
      </c>
      <c r="CC86" s="98">
        <v>416.67463831849722</v>
      </c>
      <c r="CD86" s="98">
        <v>0.76858881051133987</v>
      </c>
      <c r="CE86" s="98">
        <v>415.03795767612354</v>
      </c>
      <c r="CF86" s="98">
        <v>0.82489146255316415</v>
      </c>
      <c r="CG86" s="98">
        <v>445.44138977870864</v>
      </c>
      <c r="CH86" s="98">
        <v>0.87069203190310795</v>
      </c>
      <c r="CI86" s="98">
        <v>470.1736972276783</v>
      </c>
      <c r="CJ86" s="98">
        <v>0.83705097686450336</v>
      </c>
      <c r="CK86" s="98">
        <v>452.00752750683182</v>
      </c>
      <c r="CL86" s="98">
        <v>0.81875568513948838</v>
      </c>
      <c r="CM86" s="98">
        <v>442.12806997532374</v>
      </c>
      <c r="CN86" s="98">
        <v>0.93254608037164599</v>
      </c>
      <c r="CO86" s="98">
        <v>503.57488340068886</v>
      </c>
      <c r="CP86" s="98">
        <v>0.8361536174538724</v>
      </c>
      <c r="CQ86" s="98">
        <v>451.52295342509109</v>
      </c>
      <c r="CR86" s="98">
        <v>0.91559414742383427</v>
      </c>
      <c r="CS86" s="98">
        <v>494.42083960887049</v>
      </c>
      <c r="CT86" s="98">
        <v>0.79690237831161925</v>
      </c>
      <c r="CU86" s="98">
        <v>430.32728428827437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0.89233784811111871</v>
      </c>
      <c r="G87" s="98">
        <v>958.37084887134154</v>
      </c>
      <c r="H87" s="98">
        <v>1.1332939464337131</v>
      </c>
      <c r="I87" s="98">
        <v>1217.1576984698079</v>
      </c>
      <c r="J87" s="98">
        <v>1.2205777195734278</v>
      </c>
      <c r="K87" s="98">
        <v>1310.9004708218615</v>
      </c>
      <c r="L87" s="98">
        <v>1.1396891534170184</v>
      </c>
      <c r="M87" s="98">
        <v>1224.0261507698776</v>
      </c>
      <c r="N87" s="98">
        <v>0.87712509243282866</v>
      </c>
      <c r="O87" s="98">
        <v>942.03234927285803</v>
      </c>
      <c r="P87" s="98">
        <v>1.1772479260682458</v>
      </c>
      <c r="Q87" s="98">
        <v>1264.3642725972959</v>
      </c>
      <c r="R87" s="98">
        <v>0.64603320983153922</v>
      </c>
      <c r="S87" s="98">
        <v>693.83966735907313</v>
      </c>
      <c r="T87" s="98">
        <v>1.4187276967561175</v>
      </c>
      <c r="U87" s="98">
        <v>1523.7135463160703</v>
      </c>
      <c r="V87" s="98">
        <v>1.0128806309608871</v>
      </c>
      <c r="W87" s="98">
        <v>1087.8337976519927</v>
      </c>
      <c r="X87" s="98">
        <v>1.1660473667360944</v>
      </c>
      <c r="Y87" s="98">
        <v>1252.3348718745654</v>
      </c>
      <c r="Z87" s="98">
        <v>0.7523708038065513</v>
      </c>
      <c r="AA87" s="98">
        <v>808.04624328823616</v>
      </c>
      <c r="AB87" s="98">
        <v>0.96000174888338718</v>
      </c>
      <c r="AC87" s="98">
        <v>1031.0418783007578</v>
      </c>
      <c r="AD87" s="98">
        <v>0.90773583146967607</v>
      </c>
      <c r="AE87" s="98">
        <v>974.90828299843213</v>
      </c>
      <c r="AF87" s="98">
        <v>0.91832774491760272</v>
      </c>
      <c r="AG87" s="98">
        <v>986.28399804150536</v>
      </c>
      <c r="AH87" s="98">
        <v>1.4653544188043421</v>
      </c>
      <c r="AI87" s="98">
        <v>1573.7906457958634</v>
      </c>
      <c r="AJ87" s="98">
        <v>1.0483157155193534</v>
      </c>
      <c r="AK87" s="98">
        <v>1125.8910784677855</v>
      </c>
      <c r="AL87" s="98">
        <v>1.1346735388425579</v>
      </c>
      <c r="AM87" s="98">
        <v>1218.6393807169072</v>
      </c>
      <c r="AN87" s="98">
        <v>1.2142306237210938</v>
      </c>
      <c r="AO87" s="98">
        <v>1304.0836898764549</v>
      </c>
      <c r="AP87" s="98">
        <v>1.2359977627828236</v>
      </c>
      <c r="AQ87" s="98">
        <v>1327.4615972287525</v>
      </c>
      <c r="AR87" s="98">
        <v>0.9986578006535608</v>
      </c>
      <c r="AS87" s="98">
        <v>1072.5584779019243</v>
      </c>
      <c r="AT87" s="98">
        <v>1.0729021332139776</v>
      </c>
      <c r="AU87" s="98">
        <v>1152.2968910718121</v>
      </c>
      <c r="AV87" s="98">
        <v>0.7798755704226733</v>
      </c>
      <c r="AW87" s="98">
        <v>837.58636263395113</v>
      </c>
      <c r="AX87" s="98">
        <v>0.93145809815447234</v>
      </c>
      <c r="AY87" s="98">
        <v>1000.3859974179032</v>
      </c>
      <c r="AZ87" s="98">
        <v>0.73863840859812979</v>
      </c>
      <c r="BA87" s="98">
        <v>793.29765083439145</v>
      </c>
      <c r="BB87" s="98">
        <v>0.90297618617845754</v>
      </c>
      <c r="BC87" s="98">
        <v>969.79642395566339</v>
      </c>
      <c r="BD87" s="98">
        <v>1.15068258071817</v>
      </c>
      <c r="BE87" s="98">
        <v>1235.8330916913146</v>
      </c>
      <c r="BF87" s="98">
        <v>1.10175528424275</v>
      </c>
      <c r="BG87" s="98">
        <v>1183.2851752767135</v>
      </c>
      <c r="BH87" s="98">
        <v>1.0152014540939223</v>
      </c>
      <c r="BI87" s="98">
        <v>1090.3263616968725</v>
      </c>
      <c r="BJ87" s="98">
        <v>1.3823839608988027</v>
      </c>
      <c r="BK87" s="98">
        <v>1484.680374005314</v>
      </c>
      <c r="BL87" s="98">
        <v>1.0875548576134035</v>
      </c>
      <c r="BM87" s="98">
        <v>1168.0339170767954</v>
      </c>
      <c r="BN87" s="98">
        <v>1.0461004833270686</v>
      </c>
      <c r="BO87" s="98">
        <v>1123.5119190932717</v>
      </c>
      <c r="BP87" s="98">
        <v>0.98994619281637364</v>
      </c>
      <c r="BQ87" s="98">
        <v>1063.2022110847852</v>
      </c>
      <c r="BR87" s="98">
        <v>1.2001909700934641</v>
      </c>
      <c r="BS87" s="98">
        <v>1289.0051018803804</v>
      </c>
      <c r="BT87" s="98">
        <v>1.0191114696038575</v>
      </c>
      <c r="BU87" s="98">
        <v>1094.525718354543</v>
      </c>
      <c r="BV87" s="98">
        <v>0.80323057406966125</v>
      </c>
      <c r="BW87" s="98">
        <v>862.66963655081622</v>
      </c>
      <c r="BX87" s="98">
        <v>1.3802271329564517</v>
      </c>
      <c r="BY87" s="98">
        <v>1482.3639407952292</v>
      </c>
      <c r="BZ87" s="98">
        <v>0.72627675051076168</v>
      </c>
      <c r="CA87" s="98">
        <v>780.0212300485581</v>
      </c>
      <c r="CB87" s="98">
        <v>0.86948077419019032</v>
      </c>
      <c r="CC87" s="98">
        <v>933.82235148026439</v>
      </c>
      <c r="CD87" s="98">
        <v>0.80415775606866036</v>
      </c>
      <c r="CE87" s="98">
        <v>863.66543001774119</v>
      </c>
      <c r="CF87" s="98">
        <v>1.2544758580393025</v>
      </c>
      <c r="CG87" s="98">
        <v>1347.307071534211</v>
      </c>
      <c r="CH87" s="98">
        <v>1.0022329236211005</v>
      </c>
      <c r="CI87" s="98">
        <v>1076.3981599690619</v>
      </c>
      <c r="CJ87" s="98">
        <v>1.2005286084407165</v>
      </c>
      <c r="CK87" s="98">
        <v>1289.3677254653296</v>
      </c>
      <c r="CL87" s="98">
        <v>1.0145258157392372</v>
      </c>
      <c r="CM87" s="98">
        <v>1089.6007261039408</v>
      </c>
      <c r="CN87" s="98">
        <v>1.1836760682130636</v>
      </c>
      <c r="CO87" s="98">
        <v>1271.2680972608302</v>
      </c>
      <c r="CP87" s="98">
        <v>0.97817704547923512</v>
      </c>
      <c r="CQ87" s="98">
        <v>1050.5621468446984</v>
      </c>
      <c r="CR87" s="98">
        <v>0.99302505432406751</v>
      </c>
      <c r="CS87" s="98">
        <v>1066.5089083440485</v>
      </c>
      <c r="CT87" s="98">
        <v>1.0012011170568562</v>
      </c>
      <c r="CU87" s="98">
        <v>1075.2899997190636</v>
      </c>
    </row>
    <row r="88" spans="2:99">
      <c r="C88" s="97" t="s">
        <v>255</v>
      </c>
      <c r="D88" s="98">
        <v>0</v>
      </c>
      <c r="E88" s="98">
        <v>0</v>
      </c>
      <c r="F88" s="98">
        <v>0.89233784811111871</v>
      </c>
      <c r="G88" s="98">
        <v>885.55608046547422</v>
      </c>
      <c r="H88" s="98">
        <v>1.1252347171382224</v>
      </c>
      <c r="I88" s="98">
        <v>1116.682933287972</v>
      </c>
      <c r="J88" s="98">
        <v>1.3949459652267744</v>
      </c>
      <c r="K88" s="98">
        <v>1384.344375891051</v>
      </c>
      <c r="L88" s="98">
        <v>1.293910803570512</v>
      </c>
      <c r="M88" s="98">
        <v>1284.0770814633761</v>
      </c>
      <c r="N88" s="98">
        <v>0.87712509243282866</v>
      </c>
      <c r="O88" s="98">
        <v>870.45894173033912</v>
      </c>
      <c r="P88" s="98">
        <v>1.3653731128230935</v>
      </c>
      <c r="Q88" s="98">
        <v>1354.996277165638</v>
      </c>
      <c r="R88" s="98">
        <v>0.64377532864063891</v>
      </c>
      <c r="S88" s="98">
        <v>638.88263614297</v>
      </c>
      <c r="T88" s="98">
        <v>1.4187276967561175</v>
      </c>
      <c r="U88" s="98">
        <v>1407.9453662607709</v>
      </c>
      <c r="V88" s="98">
        <v>0.8549963919835758</v>
      </c>
      <c r="W88" s="98">
        <v>848.49841940450062</v>
      </c>
      <c r="X88" s="98">
        <v>1.1660473667360944</v>
      </c>
      <c r="Y88" s="98">
        <v>1157.1854067489</v>
      </c>
      <c r="Z88" s="98">
        <v>0.75723846213847901</v>
      </c>
      <c r="AA88" s="98">
        <v>751.48344982622655</v>
      </c>
      <c r="AB88" s="98">
        <v>0.96000174888338718</v>
      </c>
      <c r="AC88" s="98">
        <v>952.70573559187346</v>
      </c>
      <c r="AD88" s="98">
        <v>1.0314744720849054</v>
      </c>
      <c r="AE88" s="98">
        <v>1023.6352660970601</v>
      </c>
      <c r="AF88" s="98">
        <v>0.91832774491760272</v>
      </c>
      <c r="AG88" s="98">
        <v>911.34845405622889</v>
      </c>
      <c r="AH88" s="98">
        <v>1.4775241077065222</v>
      </c>
      <c r="AI88" s="98">
        <v>1466.2949244879526</v>
      </c>
      <c r="AJ88" s="98">
        <v>1.0483157155193534</v>
      </c>
      <c r="AK88" s="98">
        <v>1040.3485160814064</v>
      </c>
      <c r="AL88" s="98">
        <v>1.1327143068478578</v>
      </c>
      <c r="AM88" s="98">
        <v>1124.105678115814</v>
      </c>
      <c r="AN88" s="98">
        <v>1.2010454827958954</v>
      </c>
      <c r="AO88" s="98">
        <v>1191.9175371266465</v>
      </c>
      <c r="AP88" s="98">
        <v>1.2359977627828236</v>
      </c>
      <c r="AQ88" s="98">
        <v>1226.6041797856742</v>
      </c>
      <c r="AR88" s="98">
        <v>0.87529651372576289</v>
      </c>
      <c r="AS88" s="98">
        <v>868.6442602214471</v>
      </c>
      <c r="AT88" s="98">
        <v>1.0769595060689472</v>
      </c>
      <c r="AU88" s="98">
        <v>1068.7746138228231</v>
      </c>
      <c r="AV88" s="98">
        <v>0.91592171751917884</v>
      </c>
      <c r="AW88" s="98">
        <v>908.9607124660331</v>
      </c>
      <c r="AX88" s="98">
        <v>1.0989067990596209</v>
      </c>
      <c r="AY88" s="98">
        <v>1090.5551073867678</v>
      </c>
      <c r="AZ88" s="98">
        <v>0.74220759839541273</v>
      </c>
      <c r="BA88" s="98">
        <v>736.56682064760753</v>
      </c>
      <c r="BB88" s="98">
        <v>0.89499404139069683</v>
      </c>
      <c r="BC88" s="98">
        <v>888.19208667612747</v>
      </c>
      <c r="BD88" s="98">
        <v>1.1481743229770431</v>
      </c>
      <c r="BE88" s="98">
        <v>1139.4481981224176</v>
      </c>
      <c r="BF88" s="98">
        <v>1.0910552028874372</v>
      </c>
      <c r="BG88" s="98">
        <v>1082.7631833454927</v>
      </c>
      <c r="BH88" s="98">
        <v>1.0152014540939223</v>
      </c>
      <c r="BI88" s="98">
        <v>1007.4859230428084</v>
      </c>
      <c r="BJ88" s="98">
        <v>1.2131259627487352</v>
      </c>
      <c r="BK88" s="98">
        <v>1203.9062054318447</v>
      </c>
      <c r="BL88" s="98">
        <v>0.9707036010200436</v>
      </c>
      <c r="BM88" s="98">
        <v>963.32625365229126</v>
      </c>
      <c r="BN88" s="98">
        <v>1.0461004833270686</v>
      </c>
      <c r="BO88" s="98">
        <v>1038.1501196537829</v>
      </c>
      <c r="BP88" s="98">
        <v>0.98495777039568588</v>
      </c>
      <c r="BQ88" s="98">
        <v>977.47209134067862</v>
      </c>
      <c r="BR88" s="98">
        <v>1.2001909700934641</v>
      </c>
      <c r="BS88" s="98">
        <v>1191.0695187207536</v>
      </c>
      <c r="BT88" s="98">
        <v>1.0152603038466417</v>
      </c>
      <c r="BU88" s="98">
        <v>1007.5443255374072</v>
      </c>
      <c r="BV88" s="98">
        <v>0.80489842314414317</v>
      </c>
      <c r="BW88" s="98">
        <v>798.78119512824765</v>
      </c>
      <c r="BX88" s="98">
        <v>1.3802271329564517</v>
      </c>
      <c r="BY88" s="98">
        <v>1369.7374067459828</v>
      </c>
      <c r="BZ88" s="98">
        <v>0.72627675051076168</v>
      </c>
      <c r="CA88" s="98">
        <v>720.75704720687986</v>
      </c>
      <c r="CB88" s="98">
        <v>0.86948077419019032</v>
      </c>
      <c r="CC88" s="98">
        <v>862.87272030634483</v>
      </c>
      <c r="CD88" s="98">
        <v>0.80415775606866036</v>
      </c>
      <c r="CE88" s="98">
        <v>798.04615712253849</v>
      </c>
      <c r="CF88" s="98">
        <v>1.4077756536942592</v>
      </c>
      <c r="CG88" s="98">
        <v>1397.0765587261828</v>
      </c>
      <c r="CH88" s="98">
        <v>0.99693076558093552</v>
      </c>
      <c r="CI88" s="98">
        <v>989.3540917625204</v>
      </c>
      <c r="CJ88" s="98">
        <v>1.0912222005115979</v>
      </c>
      <c r="CK88" s="98">
        <v>1082.9289117877097</v>
      </c>
      <c r="CL88" s="98">
        <v>1.0194113571222592</v>
      </c>
      <c r="CM88" s="98">
        <v>1011.66383080813</v>
      </c>
      <c r="CN88" s="98">
        <v>1.1793421095256764</v>
      </c>
      <c r="CO88" s="98">
        <v>1170.3791094932812</v>
      </c>
      <c r="CP88" s="98">
        <v>0.98315416769459596</v>
      </c>
      <c r="CQ88" s="98">
        <v>975.68219602011698</v>
      </c>
      <c r="CR88" s="98">
        <v>0.99547790292706373</v>
      </c>
      <c r="CS88" s="98">
        <v>987.91227086481797</v>
      </c>
      <c r="CT88" s="98">
        <v>0.9995036976196241</v>
      </c>
      <c r="CU88" s="98">
        <v>991.90746951771496</v>
      </c>
    </row>
    <row r="89" spans="2:99">
      <c r="C89" s="97" t="s">
        <v>256</v>
      </c>
      <c r="D89" s="98">
        <v>0</v>
      </c>
      <c r="E89" s="98">
        <v>0</v>
      </c>
      <c r="F89" s="98">
        <v>0.75071781314497921</v>
      </c>
      <c r="G89" s="98">
        <v>797.26231755996787</v>
      </c>
      <c r="H89" s="98">
        <v>0.94978444155842157</v>
      </c>
      <c r="I89" s="98">
        <v>1008.6710769350437</v>
      </c>
      <c r="J89" s="98">
        <v>1.2260610387332742</v>
      </c>
      <c r="K89" s="98">
        <v>1302.0768231347372</v>
      </c>
      <c r="L89" s="98">
        <v>1.2896152605460434</v>
      </c>
      <c r="M89" s="98">
        <v>1369.571406699898</v>
      </c>
      <c r="N89" s="98">
        <v>0.73230793583367682</v>
      </c>
      <c r="O89" s="98">
        <v>777.71102785536482</v>
      </c>
      <c r="P89" s="98">
        <v>1.3653731128230935</v>
      </c>
      <c r="Q89" s="98">
        <v>1450.0262458181253</v>
      </c>
      <c r="R89" s="98">
        <v>0.79907445782354813</v>
      </c>
      <c r="S89" s="98">
        <v>848.61707420860807</v>
      </c>
      <c r="T89" s="98">
        <v>1.4187276967561175</v>
      </c>
      <c r="U89" s="98">
        <v>1506.6888139549969</v>
      </c>
      <c r="V89" s="98">
        <v>0.84562850668400158</v>
      </c>
      <c r="W89" s="98">
        <v>898.05747409840967</v>
      </c>
      <c r="X89" s="98">
        <v>1.1660473667360944</v>
      </c>
      <c r="Y89" s="98">
        <v>1238.3423034737323</v>
      </c>
      <c r="Z89" s="98">
        <v>0.7523708038065513</v>
      </c>
      <c r="AA89" s="98">
        <v>799.01779364255754</v>
      </c>
      <c r="AB89" s="98">
        <v>0.96242864815056894</v>
      </c>
      <c r="AC89" s="98">
        <v>1022.0992243359042</v>
      </c>
      <c r="AD89" s="98">
        <v>1.0314744720849054</v>
      </c>
      <c r="AE89" s="98">
        <v>1095.4258893541696</v>
      </c>
      <c r="AF89" s="98">
        <v>0.92192891958022816</v>
      </c>
      <c r="AG89" s="98">
        <v>979.08851259420226</v>
      </c>
      <c r="AH89" s="98">
        <v>1.4775241077065222</v>
      </c>
      <c r="AI89" s="98">
        <v>1569.1306023843265</v>
      </c>
      <c r="AJ89" s="98">
        <v>1.0514304594298363</v>
      </c>
      <c r="AK89" s="98">
        <v>1116.6191479144861</v>
      </c>
      <c r="AL89" s="98">
        <v>1.1327143068478578</v>
      </c>
      <c r="AM89" s="98">
        <v>1202.942593872425</v>
      </c>
      <c r="AN89" s="98">
        <v>1.2010454827958954</v>
      </c>
      <c r="AO89" s="98">
        <v>1275.5103027292409</v>
      </c>
      <c r="AP89" s="98">
        <v>1.1023986023389294</v>
      </c>
      <c r="AQ89" s="98">
        <v>1170.747315683943</v>
      </c>
      <c r="AR89" s="98">
        <v>0.87921901546948855</v>
      </c>
      <c r="AS89" s="98">
        <v>933.73059442859687</v>
      </c>
      <c r="AT89" s="98">
        <v>0.93470064193043922</v>
      </c>
      <c r="AU89" s="98">
        <v>992.6520817301265</v>
      </c>
      <c r="AV89" s="98">
        <v>0.91990751091678458</v>
      </c>
      <c r="AW89" s="98">
        <v>976.94177659362526</v>
      </c>
      <c r="AX89" s="98">
        <v>1.0926258261510389</v>
      </c>
      <c r="AY89" s="98">
        <v>1160.3686273724034</v>
      </c>
      <c r="AZ89" s="98">
        <v>0.73863840859812979</v>
      </c>
      <c r="BA89" s="98">
        <v>784.43398993121389</v>
      </c>
      <c r="BB89" s="98">
        <v>0.89499404139069683</v>
      </c>
      <c r="BC89" s="98">
        <v>950.48367195692003</v>
      </c>
      <c r="BD89" s="98">
        <v>1.1481743229770431</v>
      </c>
      <c r="BE89" s="98">
        <v>1219.3611310016199</v>
      </c>
      <c r="BF89" s="98">
        <v>1.10175528424275</v>
      </c>
      <c r="BG89" s="98">
        <v>1170.0641118658004</v>
      </c>
      <c r="BH89" s="98">
        <v>1.0196527719723165</v>
      </c>
      <c r="BI89" s="98">
        <v>1082.8712438346001</v>
      </c>
      <c r="BJ89" s="98">
        <v>1.2225659546481573</v>
      </c>
      <c r="BK89" s="98">
        <v>1298.3650438363431</v>
      </c>
      <c r="BL89" s="98">
        <v>1.085665723493763</v>
      </c>
      <c r="BM89" s="98">
        <v>1152.9769983503763</v>
      </c>
      <c r="BN89" s="98">
        <v>1.0461004833270686</v>
      </c>
      <c r="BO89" s="98">
        <v>1110.9587132933468</v>
      </c>
      <c r="BP89" s="98">
        <v>0.98495777039568588</v>
      </c>
      <c r="BQ89" s="98">
        <v>1046.0251521602183</v>
      </c>
      <c r="BR89" s="98">
        <v>1.0798245411662339</v>
      </c>
      <c r="BS89" s="98">
        <v>1146.7736627185404</v>
      </c>
      <c r="BT89" s="98">
        <v>1.0152603038466417</v>
      </c>
      <c r="BU89" s="98">
        <v>1078.2064426851334</v>
      </c>
      <c r="BV89" s="98">
        <v>0.80323057406966125</v>
      </c>
      <c r="BW89" s="98">
        <v>853.0308696619802</v>
      </c>
      <c r="BX89" s="98">
        <v>1.3849808454033563</v>
      </c>
      <c r="BY89" s="98">
        <v>1470.8496578183644</v>
      </c>
      <c r="BZ89" s="98">
        <v>0.72627675051076168</v>
      </c>
      <c r="CA89" s="98">
        <v>771.30590904242888</v>
      </c>
      <c r="CB89" s="98">
        <v>0.98578101088678904</v>
      </c>
      <c r="CC89" s="98">
        <v>1046.8994335617699</v>
      </c>
      <c r="CD89" s="98">
        <v>0.80415775606866036</v>
      </c>
      <c r="CE89" s="98">
        <v>854.01553694491724</v>
      </c>
      <c r="CF89" s="98">
        <v>1.4037645832943095</v>
      </c>
      <c r="CG89" s="98">
        <v>1490.7979874585567</v>
      </c>
      <c r="CH89" s="98">
        <v>1.0022329236211005</v>
      </c>
      <c r="CI89" s="98">
        <v>1064.3713648856087</v>
      </c>
      <c r="CJ89" s="98">
        <v>1.2005286084407165</v>
      </c>
      <c r="CK89" s="98">
        <v>1274.961382164041</v>
      </c>
      <c r="CL89" s="98">
        <v>1.009640274356215</v>
      </c>
      <c r="CM89" s="98">
        <v>1072.2379713663004</v>
      </c>
      <c r="CN89" s="98">
        <v>1.3428664581009018</v>
      </c>
      <c r="CO89" s="98">
        <v>1426.1241785031577</v>
      </c>
      <c r="CP89" s="98">
        <v>0.82924938417621785</v>
      </c>
      <c r="CQ89" s="98">
        <v>880.66284599514336</v>
      </c>
      <c r="CR89" s="98">
        <v>0.99302505432406751</v>
      </c>
      <c r="CS89" s="98">
        <v>1054.5926076921596</v>
      </c>
      <c r="CT89" s="98">
        <v>0.9995036976196241</v>
      </c>
      <c r="CU89" s="98">
        <v>1061.4729268720407</v>
      </c>
    </row>
    <row r="90" spans="2:99">
      <c r="C90" s="97" t="s">
        <v>257</v>
      </c>
      <c r="D90" s="98">
        <v>0</v>
      </c>
      <c r="E90" s="98">
        <v>0</v>
      </c>
      <c r="F90" s="98">
        <v>0.75680604718987632</v>
      </c>
      <c r="G90" s="98">
        <v>839.14654512413483</v>
      </c>
      <c r="H90" s="98">
        <v>1.1332939464337131</v>
      </c>
      <c r="I90" s="98">
        <v>1256.5963278057011</v>
      </c>
      <c r="J90" s="98">
        <v>1.3949459652267744</v>
      </c>
      <c r="K90" s="98">
        <v>1546.7160862434473</v>
      </c>
      <c r="L90" s="98">
        <v>1.1439846964414868</v>
      </c>
      <c r="M90" s="98">
        <v>1268.4502314143206</v>
      </c>
      <c r="N90" s="98">
        <v>0.73230793583367682</v>
      </c>
      <c r="O90" s="98">
        <v>811.98303925238076</v>
      </c>
      <c r="P90" s="98">
        <v>1.1772479260682458</v>
      </c>
      <c r="Q90" s="98">
        <v>1305.3325004244709</v>
      </c>
      <c r="R90" s="98">
        <v>0.64603320983153922</v>
      </c>
      <c r="S90" s="98">
        <v>716.32162306121063</v>
      </c>
      <c r="T90" s="98">
        <v>1.4187276967561175</v>
      </c>
      <c r="U90" s="98">
        <v>1573.0852701631832</v>
      </c>
      <c r="V90" s="98">
        <v>0.85031244933378858</v>
      </c>
      <c r="W90" s="98">
        <v>942.82644382130479</v>
      </c>
      <c r="X90" s="98">
        <v>1.0086870901092604</v>
      </c>
      <c r="Y90" s="98">
        <v>1118.4322455131478</v>
      </c>
      <c r="Z90" s="98">
        <v>0.60871136470993981</v>
      </c>
      <c r="AA90" s="98">
        <v>674.93916119038124</v>
      </c>
      <c r="AB90" s="98">
        <v>1.1187885907303607</v>
      </c>
      <c r="AC90" s="98">
        <v>1240.512789401824</v>
      </c>
      <c r="AD90" s="98">
        <v>0.90773583146967607</v>
      </c>
      <c r="AE90" s="98">
        <v>1006.4974899335767</v>
      </c>
      <c r="AF90" s="98">
        <v>0.91832774491760272</v>
      </c>
      <c r="AG90" s="98">
        <v>1018.2418035646378</v>
      </c>
      <c r="AH90" s="98">
        <v>1.4653544188043421</v>
      </c>
      <c r="AI90" s="98">
        <v>1624.7849795702546</v>
      </c>
      <c r="AJ90" s="98">
        <v>1.1927355424612907</v>
      </c>
      <c r="AK90" s="98">
        <v>1322.5051694810791</v>
      </c>
      <c r="AL90" s="98">
        <v>1.1327143068478578</v>
      </c>
      <c r="AM90" s="98">
        <v>1255.9536234329046</v>
      </c>
      <c r="AN90" s="98">
        <v>1.2142306237210938</v>
      </c>
      <c r="AO90" s="98">
        <v>1346.3389155819489</v>
      </c>
      <c r="AP90" s="98">
        <v>1.2378647249376999</v>
      </c>
      <c r="AQ90" s="98">
        <v>1372.5444070109215</v>
      </c>
      <c r="AR90" s="98">
        <v>0.99081279716610937</v>
      </c>
      <c r="AS90" s="98">
        <v>1098.613229497782</v>
      </c>
      <c r="AT90" s="98">
        <v>1.0769595060689472</v>
      </c>
      <c r="AU90" s="98">
        <v>1194.1327003292486</v>
      </c>
      <c r="AV90" s="98">
        <v>0.91592171751917884</v>
      </c>
      <c r="AW90" s="98">
        <v>1015.5740003852654</v>
      </c>
      <c r="AX90" s="98">
        <v>0.92517712524589046</v>
      </c>
      <c r="AY90" s="98">
        <v>1025.8363964726434</v>
      </c>
      <c r="AZ90" s="98">
        <v>0.91794422605173809</v>
      </c>
      <c r="BA90" s="98">
        <v>1017.8165578461671</v>
      </c>
      <c r="BB90" s="98">
        <v>0.77454974135208932</v>
      </c>
      <c r="BC90" s="98">
        <v>858.82075321119657</v>
      </c>
      <c r="BD90" s="98">
        <v>1.1531908384592966</v>
      </c>
      <c r="BE90" s="98">
        <v>1278.6580016836681</v>
      </c>
      <c r="BF90" s="98">
        <v>1.10175528424275</v>
      </c>
      <c r="BG90" s="98">
        <v>1221.6262591683612</v>
      </c>
      <c r="BH90" s="98">
        <v>1.0152014540939223</v>
      </c>
      <c r="BI90" s="98">
        <v>1125.655372299341</v>
      </c>
      <c r="BJ90" s="98">
        <v>1.2131259627487352</v>
      </c>
      <c r="BK90" s="98">
        <v>1345.1140674957976</v>
      </c>
      <c r="BL90" s="98">
        <v>1.085665723493763</v>
      </c>
      <c r="BM90" s="98">
        <v>1203.7861542098844</v>
      </c>
      <c r="BN90" s="98">
        <v>1.0461004833270686</v>
      </c>
      <c r="BO90" s="98">
        <v>1159.9162159130537</v>
      </c>
      <c r="BP90" s="98">
        <v>0.97996934797499846</v>
      </c>
      <c r="BQ90" s="98">
        <v>1086.5900130346783</v>
      </c>
      <c r="BR90" s="98">
        <v>1.1967176509146307</v>
      </c>
      <c r="BS90" s="98">
        <v>1326.9205313341424</v>
      </c>
      <c r="BT90" s="98">
        <v>0.89364811878198291</v>
      </c>
      <c r="BU90" s="98">
        <v>990.8770341054626</v>
      </c>
      <c r="BV90" s="98">
        <v>0.80323057406966125</v>
      </c>
      <c r="BW90" s="98">
        <v>890.62206052844033</v>
      </c>
      <c r="BX90" s="98">
        <v>1.5272474200224069</v>
      </c>
      <c r="BY90" s="98">
        <v>1693.4119393208446</v>
      </c>
      <c r="BZ90" s="98">
        <v>0.72627675051076168</v>
      </c>
      <c r="CA90" s="98">
        <v>805.29566096633255</v>
      </c>
      <c r="CB90" s="98">
        <v>0.98578101088678904</v>
      </c>
      <c r="CC90" s="98">
        <v>1093.0339848712717</v>
      </c>
      <c r="CD90" s="98">
        <v>0.80415775606866036</v>
      </c>
      <c r="CE90" s="98">
        <v>891.65011992893062</v>
      </c>
      <c r="CF90" s="98">
        <v>1.2504647876393529</v>
      </c>
      <c r="CG90" s="98">
        <v>1386.5153565345145</v>
      </c>
      <c r="CH90" s="98">
        <v>0.99693076558093552</v>
      </c>
      <c r="CI90" s="98">
        <v>1105.3968328761412</v>
      </c>
      <c r="CJ90" s="98">
        <v>1.0878639339756748</v>
      </c>
      <c r="CK90" s="98">
        <v>1206.2235299922281</v>
      </c>
      <c r="CL90" s="98">
        <v>0.88893147411758788</v>
      </c>
      <c r="CM90" s="98">
        <v>985.64721850158139</v>
      </c>
      <c r="CN90" s="98">
        <v>1.3428664581009018</v>
      </c>
      <c r="CO90" s="98">
        <v>1488.9703287422799</v>
      </c>
      <c r="CP90" s="98">
        <v>0.97817704547923512</v>
      </c>
      <c r="CQ90" s="98">
        <v>1084.6027080273759</v>
      </c>
      <c r="CR90" s="98">
        <v>0.85396758782405335</v>
      </c>
      <c r="CS90" s="98">
        <v>946.87926137931026</v>
      </c>
      <c r="CT90" s="98">
        <v>0.99780627818239176</v>
      </c>
      <c r="CU90" s="98">
        <v>1106.367601248636</v>
      </c>
    </row>
    <row r="91" spans="2:99">
      <c r="C91" s="97" t="s">
        <v>258</v>
      </c>
      <c r="D91" s="98">
        <v>0</v>
      </c>
      <c r="E91" s="98">
        <v>0</v>
      </c>
      <c r="F91" s="98">
        <v>0.75680604718987632</v>
      </c>
      <c r="G91" s="98">
        <v>860.03439202657535</v>
      </c>
      <c r="H91" s="98">
        <v>1.1332939464337131</v>
      </c>
      <c r="I91" s="98">
        <v>1287.8752407272714</v>
      </c>
      <c r="J91" s="98">
        <v>1.3894626460669279</v>
      </c>
      <c r="K91" s="98">
        <v>1578.9853509904567</v>
      </c>
      <c r="L91" s="98">
        <v>1.2896152605460434</v>
      </c>
      <c r="M91" s="98">
        <v>1465.5187820845235</v>
      </c>
      <c r="N91" s="98">
        <v>0.73230793583367682</v>
      </c>
      <c r="O91" s="98">
        <v>832.19473828139019</v>
      </c>
      <c r="P91" s="98">
        <v>1.1718593921194504</v>
      </c>
      <c r="Q91" s="98">
        <v>1331.7010132045434</v>
      </c>
      <c r="R91" s="98">
        <v>0.79907445782354813</v>
      </c>
      <c r="S91" s="98">
        <v>908.06821387067998</v>
      </c>
      <c r="T91" s="98">
        <v>1.4187276967561175</v>
      </c>
      <c r="U91" s="98">
        <v>1612.2421545936518</v>
      </c>
      <c r="V91" s="98">
        <v>0.84094456403421447</v>
      </c>
      <c r="W91" s="98">
        <v>955.64940256848126</v>
      </c>
      <c r="X91" s="98">
        <v>1.1660473667360944</v>
      </c>
      <c r="Y91" s="98">
        <v>1325.0962275588975</v>
      </c>
      <c r="Z91" s="98">
        <v>0.75723846213847901</v>
      </c>
      <c r="AA91" s="98">
        <v>860.5257883741674</v>
      </c>
      <c r="AB91" s="98">
        <v>0.96000174888338718</v>
      </c>
      <c r="AC91" s="98">
        <v>1090.945987431081</v>
      </c>
      <c r="AD91" s="98">
        <v>0.90773583146967607</v>
      </c>
      <c r="AE91" s="98">
        <v>1031.5509988821398</v>
      </c>
      <c r="AF91" s="98">
        <v>1.0647802155223898</v>
      </c>
      <c r="AG91" s="98">
        <v>1210.0162369196437</v>
      </c>
      <c r="AH91" s="98">
        <v>1.4653544188043421</v>
      </c>
      <c r="AI91" s="98">
        <v>1665.2287615292541</v>
      </c>
      <c r="AJ91" s="98">
        <v>1.1989650302822561</v>
      </c>
      <c r="AK91" s="98">
        <v>1362.5038604127556</v>
      </c>
      <c r="AL91" s="98">
        <v>1.1346735388425579</v>
      </c>
      <c r="AM91" s="98">
        <v>1289.4430095406826</v>
      </c>
      <c r="AN91" s="98">
        <v>1.2142306237210938</v>
      </c>
      <c r="AO91" s="98">
        <v>1379.8516807966507</v>
      </c>
      <c r="AP91" s="98">
        <v>1.1023986023389294</v>
      </c>
      <c r="AQ91" s="98">
        <v>1252.7657716979593</v>
      </c>
      <c r="AR91" s="98">
        <v>0.87137401198203712</v>
      </c>
      <c r="AS91" s="98">
        <v>990.22942721638685</v>
      </c>
      <c r="AT91" s="98">
        <v>1.0729021332139776</v>
      </c>
      <c r="AU91" s="98">
        <v>1219.245984184364</v>
      </c>
      <c r="AV91" s="98">
        <v>0.7798755704226733</v>
      </c>
      <c r="AW91" s="98">
        <v>886.25059822832588</v>
      </c>
      <c r="AX91" s="98">
        <v>1.0926258261510389</v>
      </c>
      <c r="AY91" s="98">
        <v>1241.6599888380404</v>
      </c>
      <c r="AZ91" s="98">
        <v>0.91437503625445526</v>
      </c>
      <c r="BA91" s="98">
        <v>1039.0957911995629</v>
      </c>
      <c r="BB91" s="98">
        <v>0.89499404139069683</v>
      </c>
      <c r="BC91" s="98">
        <v>1017.0712286363878</v>
      </c>
      <c r="BD91" s="98">
        <v>1.1481743229770431</v>
      </c>
      <c r="BE91" s="98">
        <v>1304.7853006311116</v>
      </c>
      <c r="BF91" s="98">
        <v>1.0964052435650937</v>
      </c>
      <c r="BG91" s="98">
        <v>1245.9549187873724</v>
      </c>
      <c r="BH91" s="98">
        <v>1.0107501362155282</v>
      </c>
      <c r="BI91" s="98">
        <v>1148.616454795326</v>
      </c>
      <c r="BJ91" s="98">
        <v>1.217845958698446</v>
      </c>
      <c r="BK91" s="98">
        <v>1383.9601474649139</v>
      </c>
      <c r="BL91" s="98">
        <v>0.9688144669004034</v>
      </c>
      <c r="BM91" s="98">
        <v>1100.9607601856183</v>
      </c>
      <c r="BN91" s="98">
        <v>1.0411454056343077</v>
      </c>
      <c r="BO91" s="98">
        <v>1183.1576389628271</v>
      </c>
      <c r="BP91" s="98">
        <v>0.98994619281637364</v>
      </c>
      <c r="BQ91" s="98">
        <v>1124.9748535165268</v>
      </c>
      <c r="BR91" s="98">
        <v>1.0832978603450674</v>
      </c>
      <c r="BS91" s="98">
        <v>1231.0596884961344</v>
      </c>
      <c r="BT91" s="98">
        <v>1.0191114696038575</v>
      </c>
      <c r="BU91" s="98">
        <v>1158.1182740578236</v>
      </c>
      <c r="BV91" s="98">
        <v>0.80156272499517933</v>
      </c>
      <c r="BW91" s="98">
        <v>910.89588068452167</v>
      </c>
      <c r="BX91" s="98">
        <v>1.3849808454033563</v>
      </c>
      <c r="BY91" s="98">
        <v>1573.8922327163739</v>
      </c>
      <c r="BZ91" s="98">
        <v>0.72627675051076168</v>
      </c>
      <c r="CA91" s="98">
        <v>825.34089928042943</v>
      </c>
      <c r="CB91" s="98">
        <v>0.98869570127173656</v>
      </c>
      <c r="CC91" s="98">
        <v>1123.5537949252014</v>
      </c>
      <c r="CD91" s="98">
        <v>0.80415775606866036</v>
      </c>
      <c r="CE91" s="98">
        <v>913.84487399642546</v>
      </c>
      <c r="CF91" s="98">
        <v>1.2504647876393529</v>
      </c>
      <c r="CG91" s="98">
        <v>1421.0281846733603</v>
      </c>
      <c r="CH91" s="98">
        <v>0.99693076558093552</v>
      </c>
      <c r="CI91" s="98">
        <v>1132.912122006175</v>
      </c>
      <c r="CJ91" s="98">
        <v>1.2072451415125622</v>
      </c>
      <c r="CK91" s="98">
        <v>1371.9133788148756</v>
      </c>
      <c r="CL91" s="98">
        <v>0.89381701550060988</v>
      </c>
      <c r="CM91" s="98">
        <v>1015.7336564148929</v>
      </c>
      <c r="CN91" s="98">
        <v>1.1793421095256764</v>
      </c>
      <c r="CO91" s="98">
        <v>1340.2043732649786</v>
      </c>
      <c r="CP91" s="98">
        <v>0.97817704547923512</v>
      </c>
      <c r="CQ91" s="98">
        <v>1111.6003944826027</v>
      </c>
      <c r="CR91" s="98">
        <v>1.1320825208240817</v>
      </c>
      <c r="CS91" s="98">
        <v>1286.4985766644863</v>
      </c>
      <c r="CT91" s="98">
        <v>1.0012011170568562</v>
      </c>
      <c r="CU91" s="98">
        <v>1137.7649494234113</v>
      </c>
    </row>
    <row r="92" spans="2:99">
      <c r="C92" s="97" t="s">
        <v>259</v>
      </c>
      <c r="D92" s="98">
        <v>0</v>
      </c>
      <c r="E92" s="98">
        <v>0</v>
      </c>
      <c r="F92" s="98">
        <v>0.75680604718987632</v>
      </c>
      <c r="G92" s="98">
        <v>593.94138583461495</v>
      </c>
      <c r="H92" s="98">
        <v>0.95784367085391242</v>
      </c>
      <c r="I92" s="98">
        <v>751.71571288615041</v>
      </c>
      <c r="J92" s="98">
        <v>1.3894626460669279</v>
      </c>
      <c r="K92" s="98">
        <v>1090.4502846333251</v>
      </c>
      <c r="L92" s="98">
        <v>1.1353936103925497</v>
      </c>
      <c r="M92" s="98">
        <v>891.05690543607295</v>
      </c>
      <c r="N92" s="98">
        <v>0.87301401601386985</v>
      </c>
      <c r="O92" s="98">
        <v>685.14139976768502</v>
      </c>
      <c r="P92" s="98">
        <v>1.3653731128230935</v>
      </c>
      <c r="Q92" s="98">
        <v>1071.5448189435638</v>
      </c>
      <c r="R92" s="98">
        <v>0.64603320983153922</v>
      </c>
      <c r="S92" s="98">
        <v>507.00686307579195</v>
      </c>
      <c r="T92" s="98">
        <v>1.4231003681155401</v>
      </c>
      <c r="U92" s="98">
        <v>1116.8491688970757</v>
      </c>
      <c r="V92" s="98">
        <v>0.8549963919835758</v>
      </c>
      <c r="W92" s="98">
        <v>671.00116842871023</v>
      </c>
      <c r="X92" s="98">
        <v>1.0145530383227384</v>
      </c>
      <c r="Y92" s="98">
        <v>796.22122447568506</v>
      </c>
      <c r="Z92" s="98">
        <v>0.75723846213847901</v>
      </c>
      <c r="AA92" s="98">
        <v>594.28074508627833</v>
      </c>
      <c r="AB92" s="98">
        <v>1.1163616914631791</v>
      </c>
      <c r="AC92" s="98">
        <v>876.12065546030294</v>
      </c>
      <c r="AD92" s="98">
        <v>0.90773583146967607</v>
      </c>
      <c r="AE92" s="98">
        <v>712.39108053740176</v>
      </c>
      <c r="AF92" s="98">
        <v>1.0683813901850152</v>
      </c>
      <c r="AG92" s="98">
        <v>838.46571501719984</v>
      </c>
      <c r="AH92" s="98">
        <v>1.2973972275815246</v>
      </c>
      <c r="AI92" s="98">
        <v>1018.1973442059805</v>
      </c>
      <c r="AJ92" s="98">
        <v>1.0483157155193534</v>
      </c>
      <c r="AK92" s="98">
        <v>822.71817353958852</v>
      </c>
      <c r="AL92" s="98">
        <v>1.1346735388425579</v>
      </c>
      <c r="AM92" s="98">
        <v>890.49179328363948</v>
      </c>
      <c r="AN92" s="98">
        <v>1.015155138332211</v>
      </c>
      <c r="AO92" s="98">
        <v>796.69375256311923</v>
      </c>
      <c r="AP92" s="98">
        <v>1.3733308475364709</v>
      </c>
      <c r="AQ92" s="98">
        <v>1077.7900491466223</v>
      </c>
      <c r="AR92" s="98">
        <v>0.87529651372576289</v>
      </c>
      <c r="AS92" s="98">
        <v>686.93270397197864</v>
      </c>
      <c r="AT92" s="98">
        <v>1.0810168789239167</v>
      </c>
      <c r="AU92" s="98">
        <v>848.38204657948984</v>
      </c>
      <c r="AV92" s="98">
        <v>0.7798755704226733</v>
      </c>
      <c r="AW92" s="98">
        <v>612.04634766771392</v>
      </c>
      <c r="AX92" s="98">
        <v>0.91889615233730837</v>
      </c>
      <c r="AY92" s="98">
        <v>721.14970035431952</v>
      </c>
      <c r="AZ92" s="98">
        <v>0.91794422605173809</v>
      </c>
      <c r="BA92" s="98">
        <v>720.40262860540406</v>
      </c>
      <c r="BB92" s="98">
        <v>0.89499404139069683</v>
      </c>
      <c r="BC92" s="98">
        <v>702.39132368341882</v>
      </c>
      <c r="BD92" s="98">
        <v>1.0256159136840697</v>
      </c>
      <c r="BE92" s="98">
        <v>804.90336905925778</v>
      </c>
      <c r="BF92" s="98">
        <v>0.96604213896652735</v>
      </c>
      <c r="BG92" s="98">
        <v>758.14987066093067</v>
      </c>
      <c r="BH92" s="98">
        <v>0.85861327906705176</v>
      </c>
      <c r="BI92" s="98">
        <v>673.83970141182215</v>
      </c>
      <c r="BJ92" s="98">
        <v>1.3871039568485133</v>
      </c>
      <c r="BK92" s="98">
        <v>1088.5991853347132</v>
      </c>
      <c r="BL92" s="98">
        <v>1.2081843824460436</v>
      </c>
      <c r="BM92" s="98">
        <v>948.18310334365503</v>
      </c>
      <c r="BN92" s="98">
        <v>1.1941276730330039</v>
      </c>
      <c r="BO92" s="98">
        <v>937.15139779630147</v>
      </c>
      <c r="BP92" s="98">
        <v>0.97996934797499846</v>
      </c>
      <c r="BQ92" s="98">
        <v>769.07994429077871</v>
      </c>
      <c r="BR92" s="98">
        <v>1.0832978603450674</v>
      </c>
      <c r="BS92" s="98">
        <v>850.17216079880882</v>
      </c>
      <c r="BT92" s="98">
        <v>1.0191114696038575</v>
      </c>
      <c r="BU92" s="98">
        <v>799.7986813451073</v>
      </c>
      <c r="BV92" s="98">
        <v>0.93348866341989378</v>
      </c>
      <c r="BW92" s="98">
        <v>732.6019030519326</v>
      </c>
      <c r="BX92" s="98">
        <v>1.3849808454033563</v>
      </c>
      <c r="BY92" s="98">
        <v>1086.9329674725539</v>
      </c>
      <c r="BZ92" s="98">
        <v>0.72627675051076168</v>
      </c>
      <c r="CA92" s="98">
        <v>569.98199380084577</v>
      </c>
      <c r="CB92" s="98">
        <v>0.98578101088678904</v>
      </c>
      <c r="CC92" s="98">
        <v>773.64093734395203</v>
      </c>
      <c r="CD92" s="98">
        <v>0.80415775606866036</v>
      </c>
      <c r="CE92" s="98">
        <v>631.10300696268462</v>
      </c>
      <c r="CF92" s="98">
        <v>1.4037645832943095</v>
      </c>
      <c r="CG92" s="98">
        <v>1101.674444969374</v>
      </c>
      <c r="CH92" s="98">
        <v>0.99693076558093552</v>
      </c>
      <c r="CI92" s="98">
        <v>782.39126482791812</v>
      </c>
      <c r="CJ92" s="98">
        <v>1.0845056674397522</v>
      </c>
      <c r="CK92" s="98">
        <v>851.12004780671748</v>
      </c>
      <c r="CL92" s="98">
        <v>0.88893147411758788</v>
      </c>
      <c r="CM92" s="98">
        <v>697.63342088748288</v>
      </c>
      <c r="CN92" s="98">
        <v>1.3472004167882889</v>
      </c>
      <c r="CO92" s="98">
        <v>1057.282887095449</v>
      </c>
      <c r="CP92" s="98">
        <v>0.97817704547923512</v>
      </c>
      <c r="CQ92" s="98">
        <v>767.6733452921037</v>
      </c>
      <c r="CR92" s="98">
        <v>0.99547790292706373</v>
      </c>
      <c r="CS92" s="98">
        <v>781.25105821715954</v>
      </c>
      <c r="CT92" s="98">
        <v>1.0028985364940886</v>
      </c>
      <c r="CU92" s="98">
        <v>787.07477144056065</v>
      </c>
    </row>
    <row r="93" spans="2:99">
      <c r="C93" s="97" t="s">
        <v>260</v>
      </c>
      <c r="D93" s="98">
        <v>0</v>
      </c>
      <c r="E93" s="98">
        <v>0</v>
      </c>
      <c r="F93" s="98">
        <v>0.89233784811111871</v>
      </c>
      <c r="G93" s="98">
        <v>618.92553144987198</v>
      </c>
      <c r="H93" s="98">
        <v>1.1252347171382224</v>
      </c>
      <c r="I93" s="98">
        <v>780.46279980707106</v>
      </c>
      <c r="J93" s="98">
        <v>1.5583475725604281</v>
      </c>
      <c r="K93" s="98">
        <v>1080.8698763279131</v>
      </c>
      <c r="L93" s="98">
        <v>1.293910803570512</v>
      </c>
      <c r="M93" s="98">
        <v>897.45653335650718</v>
      </c>
      <c r="N93" s="98">
        <v>0.87712509243282866</v>
      </c>
      <c r="O93" s="98">
        <v>608.37396411141003</v>
      </c>
      <c r="P93" s="98">
        <v>1.1772479260682458</v>
      </c>
      <c r="Q93" s="98">
        <v>816.53916152093529</v>
      </c>
      <c r="R93" s="98">
        <v>0.80133233901444845</v>
      </c>
      <c r="S93" s="98">
        <v>555.80411034042152</v>
      </c>
      <c r="T93" s="98">
        <v>1.4187276967561175</v>
      </c>
      <c r="U93" s="98">
        <v>984.02953047004314</v>
      </c>
      <c r="V93" s="98">
        <v>0.85031244933378858</v>
      </c>
      <c r="W93" s="98">
        <v>589.77671485791575</v>
      </c>
      <c r="X93" s="98">
        <v>1.1719133149495722</v>
      </c>
      <c r="Y93" s="98">
        <v>812.83907524902327</v>
      </c>
      <c r="Z93" s="98">
        <v>0.75723846213847901</v>
      </c>
      <c r="AA93" s="98">
        <v>525.22059733924903</v>
      </c>
      <c r="AB93" s="98">
        <v>0.96485554741775093</v>
      </c>
      <c r="AC93" s="98">
        <v>669.22380768895209</v>
      </c>
      <c r="AD93" s="98">
        <v>0.90773583146967607</v>
      </c>
      <c r="AE93" s="98">
        <v>629.60557270736729</v>
      </c>
      <c r="AF93" s="98">
        <v>1.2112326861271769</v>
      </c>
      <c r="AG93" s="98">
        <v>840.11099109780992</v>
      </c>
      <c r="AH93" s="98">
        <v>1.3034820720326146</v>
      </c>
      <c r="AI93" s="98">
        <v>904.09516516182146</v>
      </c>
      <c r="AJ93" s="98">
        <v>1.0545452033403189</v>
      </c>
      <c r="AK93" s="98">
        <v>731.43255303684521</v>
      </c>
      <c r="AL93" s="98">
        <v>1.0083810087495293</v>
      </c>
      <c r="AM93" s="98">
        <v>699.41306766867353</v>
      </c>
      <c r="AN93" s="98">
        <v>1.2076380532584947</v>
      </c>
      <c r="AO93" s="98">
        <v>837.61775374009198</v>
      </c>
      <c r="AP93" s="98">
        <v>1.2378647249376999</v>
      </c>
      <c r="AQ93" s="98">
        <v>858.58297321678867</v>
      </c>
      <c r="AR93" s="98">
        <v>0.99081279716610937</v>
      </c>
      <c r="AS93" s="98">
        <v>687.22775611441352</v>
      </c>
      <c r="AT93" s="98">
        <v>0.93064326907546968</v>
      </c>
      <c r="AU93" s="98">
        <v>645.49417143074584</v>
      </c>
      <c r="AV93" s="98">
        <v>0.77588977702506745</v>
      </c>
      <c r="AW93" s="98">
        <v>538.15714934458686</v>
      </c>
      <c r="AX93" s="98">
        <v>0.92517712524589046</v>
      </c>
      <c r="AY93" s="98">
        <v>641.70285407054962</v>
      </c>
      <c r="AZ93" s="98">
        <v>0.91794422605173809</v>
      </c>
      <c r="BA93" s="98">
        <v>636.68611518948558</v>
      </c>
      <c r="BB93" s="98">
        <v>0.89898511378457713</v>
      </c>
      <c r="BC93" s="98">
        <v>623.53607492098274</v>
      </c>
      <c r="BD93" s="98">
        <v>1.15068258071817</v>
      </c>
      <c r="BE93" s="98">
        <v>798.11343798612268</v>
      </c>
      <c r="BF93" s="98">
        <v>0.96604213896652735</v>
      </c>
      <c r="BG93" s="98">
        <v>670.04682758718343</v>
      </c>
      <c r="BH93" s="98">
        <v>1.0241040898507106</v>
      </c>
      <c r="BI93" s="98">
        <v>710.31859672045289</v>
      </c>
      <c r="BJ93" s="98">
        <v>1.2225659546481573</v>
      </c>
      <c r="BK93" s="98">
        <v>847.97174614396192</v>
      </c>
      <c r="BL93" s="98">
        <v>1.0875548576134035</v>
      </c>
      <c r="BM93" s="98">
        <v>754.3280492406567</v>
      </c>
      <c r="BN93" s="98">
        <v>1.0461004833270686</v>
      </c>
      <c r="BO93" s="98">
        <v>725.57529523565483</v>
      </c>
      <c r="BP93" s="98">
        <v>0.98495777039568588</v>
      </c>
      <c r="BQ93" s="98">
        <v>683.16670954644781</v>
      </c>
      <c r="BR93" s="98">
        <v>1.2001909700934641</v>
      </c>
      <c r="BS93" s="98">
        <v>832.45245685682676</v>
      </c>
      <c r="BT93" s="98">
        <v>0.89749928453919814</v>
      </c>
      <c r="BU93" s="98">
        <v>622.50550375638784</v>
      </c>
      <c r="BV93" s="98">
        <v>0.93348866341989378</v>
      </c>
      <c r="BW93" s="98">
        <v>647.46773694803835</v>
      </c>
      <c r="BX93" s="98">
        <v>1.3802271329564517</v>
      </c>
      <c r="BY93" s="98">
        <v>957.32553941859499</v>
      </c>
      <c r="BZ93" s="98">
        <v>0.7251566252014271</v>
      </c>
      <c r="CA93" s="98">
        <v>502.96863523970984</v>
      </c>
      <c r="CB93" s="98">
        <v>0.98578101088678904</v>
      </c>
      <c r="CC93" s="98">
        <v>683.73770915107696</v>
      </c>
      <c r="CD93" s="98">
        <v>0.95312616016301555</v>
      </c>
      <c r="CE93" s="98">
        <v>661.08830468906763</v>
      </c>
      <c r="CF93" s="98">
        <v>1.2544758580393025</v>
      </c>
      <c r="CG93" s="98">
        <v>870.10445513606021</v>
      </c>
      <c r="CH93" s="98">
        <v>1.0075350816612656</v>
      </c>
      <c r="CI93" s="98">
        <v>698.8263326402539</v>
      </c>
      <c r="CJ93" s="98">
        <v>1.2038868749766392</v>
      </c>
      <c r="CK93" s="98">
        <v>835.01593648379696</v>
      </c>
      <c r="CL93" s="98">
        <v>1.0145258157392372</v>
      </c>
      <c r="CM93" s="98">
        <v>703.6751057967349</v>
      </c>
      <c r="CN93" s="98">
        <v>1.1793421095256764</v>
      </c>
      <c r="CO93" s="98">
        <v>817.99168716700922</v>
      </c>
      <c r="CP93" s="98">
        <v>0.82427226196085712</v>
      </c>
      <c r="CQ93" s="98">
        <v>571.71524089605055</v>
      </c>
      <c r="CR93" s="98">
        <v>1.1345353694270777</v>
      </c>
      <c r="CS93" s="98">
        <v>786.91373223462108</v>
      </c>
      <c r="CT93" s="98">
        <v>1.1229564178144986</v>
      </c>
      <c r="CU93" s="98">
        <v>778.88257139613631</v>
      </c>
    </row>
    <row r="94" spans="2:99">
      <c r="C94" s="97" t="s">
        <v>261</v>
      </c>
      <c r="D94" s="98">
        <v>0</v>
      </c>
      <c r="E94" s="98">
        <v>0</v>
      </c>
      <c r="F94" s="98">
        <v>0.75680604718987632</v>
      </c>
      <c r="G94" s="98">
        <v>902.71825308808445</v>
      </c>
      <c r="H94" s="98">
        <v>0.94978444155842157</v>
      </c>
      <c r="I94" s="98">
        <v>1132.9028818908853</v>
      </c>
      <c r="J94" s="98">
        <v>1.2260610387332742</v>
      </c>
      <c r="K94" s="98">
        <v>1462.4456070010494</v>
      </c>
      <c r="L94" s="98">
        <v>1.293910803570512</v>
      </c>
      <c r="M94" s="98">
        <v>1543.3768064989067</v>
      </c>
      <c r="N94" s="98">
        <v>0.87712509243282866</v>
      </c>
      <c r="O94" s="98">
        <v>1046.2348102538781</v>
      </c>
      <c r="P94" s="98">
        <v>1.1772479260682458</v>
      </c>
      <c r="Q94" s="98">
        <v>1404.2213262142036</v>
      </c>
      <c r="R94" s="98">
        <v>0.80133233901444845</v>
      </c>
      <c r="S94" s="98">
        <v>955.82921397643406</v>
      </c>
      <c r="T94" s="98">
        <v>1.246305989940953</v>
      </c>
      <c r="U94" s="98">
        <v>1486.5937848015687</v>
      </c>
      <c r="V94" s="98">
        <v>1.0128806309608871</v>
      </c>
      <c r="W94" s="98">
        <v>1208.1640166101461</v>
      </c>
      <c r="X94" s="98">
        <v>1.0028211418957824</v>
      </c>
      <c r="Y94" s="98">
        <v>1196.1650580532892</v>
      </c>
      <c r="Z94" s="98">
        <v>0.7523708038065513</v>
      </c>
      <c r="AA94" s="98">
        <v>897.42789478045438</v>
      </c>
      <c r="AB94" s="98">
        <v>0.96242864815056894</v>
      </c>
      <c r="AC94" s="98">
        <v>1147.9848915139985</v>
      </c>
      <c r="AD94" s="98">
        <v>0.90357929675336901</v>
      </c>
      <c r="AE94" s="98">
        <v>1077.7893851674185</v>
      </c>
      <c r="AF94" s="98">
        <v>1.0647802155223898</v>
      </c>
      <c r="AG94" s="98">
        <v>1270.0698410751065</v>
      </c>
      <c r="AH94" s="98">
        <v>1.2913123831304345</v>
      </c>
      <c r="AI94" s="98">
        <v>1540.2774105979822</v>
      </c>
      <c r="AJ94" s="98">
        <v>1.0545452033403189</v>
      </c>
      <c r="AK94" s="98">
        <v>1257.8615185443323</v>
      </c>
      <c r="AL94" s="98">
        <v>1.0083810087495293</v>
      </c>
      <c r="AM94" s="98">
        <v>1202.7968672364384</v>
      </c>
      <c r="AN94" s="98">
        <v>1.015155138332211</v>
      </c>
      <c r="AO94" s="98">
        <v>1210.8770490026614</v>
      </c>
      <c r="AP94" s="98">
        <v>1.1023986023389294</v>
      </c>
      <c r="AQ94" s="98">
        <v>1314.941052869875</v>
      </c>
      <c r="AR94" s="98">
        <v>0.99473529890983514</v>
      </c>
      <c r="AS94" s="98">
        <v>1186.5202645396514</v>
      </c>
      <c r="AT94" s="98">
        <v>1.0769595060689472</v>
      </c>
      <c r="AU94" s="98">
        <v>1284.5972988390401</v>
      </c>
      <c r="AV94" s="98">
        <v>0.91592171751917884</v>
      </c>
      <c r="AW94" s="98">
        <v>1092.5114246568764</v>
      </c>
      <c r="AX94" s="98">
        <v>1.0926258261510389</v>
      </c>
      <c r="AY94" s="98">
        <v>1303.284085432959</v>
      </c>
      <c r="AZ94" s="98">
        <v>0.74220759839541273</v>
      </c>
      <c r="BA94" s="98">
        <v>885.30522336604827</v>
      </c>
      <c r="BB94" s="98">
        <v>0.89499404139069683</v>
      </c>
      <c r="BC94" s="98">
        <v>1067.5488925708232</v>
      </c>
      <c r="BD94" s="98">
        <v>1.0256159136840697</v>
      </c>
      <c r="BE94" s="98">
        <v>1223.3546618423582</v>
      </c>
      <c r="BF94" s="98">
        <v>1.10175528424275</v>
      </c>
      <c r="BG94" s="98">
        <v>1314.1737030447523</v>
      </c>
      <c r="BH94" s="98">
        <v>1.0196527719723165</v>
      </c>
      <c r="BI94" s="98">
        <v>1216.2418264085791</v>
      </c>
      <c r="BJ94" s="98">
        <v>1.2131259627487352</v>
      </c>
      <c r="BK94" s="98">
        <v>1447.0166483666912</v>
      </c>
      <c r="BL94" s="98">
        <v>0.9688144669004034</v>
      </c>
      <c r="BM94" s="98">
        <v>1155.6018961188011</v>
      </c>
      <c r="BN94" s="98">
        <v>1.1842175176474816</v>
      </c>
      <c r="BO94" s="98">
        <v>1412.534655049916</v>
      </c>
      <c r="BP94" s="98">
        <v>1.0968535412485996</v>
      </c>
      <c r="BQ94" s="98">
        <v>1308.3269040013295</v>
      </c>
      <c r="BR94" s="98">
        <v>1.0798245411662339</v>
      </c>
      <c r="BS94" s="98">
        <v>1288.0147127030839</v>
      </c>
      <c r="BT94" s="98">
        <v>1.0191114696038575</v>
      </c>
      <c r="BU94" s="98">
        <v>1215.5961609434812</v>
      </c>
      <c r="BV94" s="98">
        <v>0.80489842314414317</v>
      </c>
      <c r="BW94" s="98">
        <v>960.08283912633397</v>
      </c>
      <c r="BX94" s="98">
        <v>1.5272474200224069</v>
      </c>
      <c r="BY94" s="98">
        <v>1821.700722602727</v>
      </c>
      <c r="BZ94" s="98">
        <v>0.7251566252014271</v>
      </c>
      <c r="CA94" s="98">
        <v>864.96682254026223</v>
      </c>
      <c r="CB94" s="98">
        <v>0.86948077419019032</v>
      </c>
      <c r="CC94" s="98">
        <v>1037.1166674540589</v>
      </c>
      <c r="CD94" s="98">
        <v>0.80415775606866036</v>
      </c>
      <c r="CE94" s="98">
        <v>959.19937143869799</v>
      </c>
      <c r="CF94" s="98">
        <v>1.4037645832943095</v>
      </c>
      <c r="CG94" s="98">
        <v>1674.4103949534524</v>
      </c>
      <c r="CH94" s="98">
        <v>1.0022329236211005</v>
      </c>
      <c r="CI94" s="98">
        <v>1195.4634312952487</v>
      </c>
      <c r="CJ94" s="98">
        <v>1.2038868749766392</v>
      </c>
      <c r="CK94" s="98">
        <v>1435.9962644721352</v>
      </c>
      <c r="CL94" s="98">
        <v>1.0145258157392372</v>
      </c>
      <c r="CM94" s="98">
        <v>1210.126393013762</v>
      </c>
      <c r="CN94" s="98">
        <v>1.1793421095256764</v>
      </c>
      <c r="CO94" s="98">
        <v>1406.7192682422267</v>
      </c>
      <c r="CP94" s="98">
        <v>0.97817704547923512</v>
      </c>
      <c r="CQ94" s="98">
        <v>1166.7695798476316</v>
      </c>
      <c r="CR94" s="98">
        <v>1.1345353694270777</v>
      </c>
      <c r="CS94" s="98">
        <v>1353.2737886526181</v>
      </c>
      <c r="CT94" s="98">
        <v>1.0012011170568562</v>
      </c>
      <c r="CU94" s="98">
        <v>1194.232692425418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2.0877711202227114</v>
      </c>
      <c r="G95" s="98">
        <v>686.45914432922757</v>
      </c>
      <c r="H95" s="98">
        <v>1.6354670852866431</v>
      </c>
      <c r="I95" s="98">
        <v>537.74157764224822</v>
      </c>
      <c r="J95" s="98">
        <v>1.5967308066793544</v>
      </c>
      <c r="K95" s="98">
        <v>525.00508923617178</v>
      </c>
      <c r="L95" s="98">
        <v>1.589467474804094</v>
      </c>
      <c r="M95" s="98">
        <v>522.61690571558609</v>
      </c>
      <c r="N95" s="98">
        <v>1.741916955608781</v>
      </c>
      <c r="O95" s="98">
        <v>572.7422950041672</v>
      </c>
      <c r="P95" s="98">
        <v>1.5534982995779414</v>
      </c>
      <c r="Q95" s="98">
        <v>510.79024090122715</v>
      </c>
      <c r="R95" s="98">
        <v>2.0414674912868209</v>
      </c>
      <c r="S95" s="98">
        <v>671.23451113510669</v>
      </c>
      <c r="T95" s="98">
        <v>1.246305989940953</v>
      </c>
      <c r="U95" s="98">
        <v>409.78540949258536</v>
      </c>
      <c r="V95" s="98">
        <v>1.9273984662762458</v>
      </c>
      <c r="W95" s="98">
        <v>633.72861571162969</v>
      </c>
      <c r="X95" s="98">
        <v>1.5042317128436737</v>
      </c>
      <c r="Y95" s="98">
        <v>494.59138718299994</v>
      </c>
      <c r="Z95" s="98">
        <v>1.9308522665710097</v>
      </c>
      <c r="AA95" s="98">
        <v>634.864225248548</v>
      </c>
      <c r="AB95" s="98">
        <v>1.7539359581182554</v>
      </c>
      <c r="AC95" s="98">
        <v>576.69414302928237</v>
      </c>
      <c r="AD95" s="98">
        <v>2.0338532011556616</v>
      </c>
      <c r="AE95" s="98">
        <v>668.73093253998161</v>
      </c>
      <c r="AF95" s="98">
        <v>1.6541912726041634</v>
      </c>
      <c r="AG95" s="98">
        <v>543.89809043224898</v>
      </c>
      <c r="AH95" s="98">
        <v>1.4836089521576123</v>
      </c>
      <c r="AI95" s="98">
        <v>487.81062346942298</v>
      </c>
      <c r="AJ95" s="98">
        <v>1.4846899402556475</v>
      </c>
      <c r="AK95" s="98">
        <v>488.16605235605692</v>
      </c>
      <c r="AL95" s="98">
        <v>1.6378844272199726</v>
      </c>
      <c r="AM95" s="98">
        <v>538.53639966992705</v>
      </c>
      <c r="AN95" s="98">
        <v>1.60578902403626</v>
      </c>
      <c r="AO95" s="98">
        <v>527.98343110312226</v>
      </c>
      <c r="AP95" s="98">
        <v>1.5087969701352415</v>
      </c>
      <c r="AQ95" s="98">
        <v>496.09244378046742</v>
      </c>
      <c r="AR95" s="98">
        <v>1.9424005768949619</v>
      </c>
      <c r="AS95" s="98">
        <v>638.66130968306345</v>
      </c>
      <c r="AT95" s="98">
        <v>1.796368572471426</v>
      </c>
      <c r="AU95" s="98">
        <v>590.64598662860487</v>
      </c>
      <c r="AV95" s="98">
        <v>2.0680635886529162</v>
      </c>
      <c r="AW95" s="98">
        <v>679.97930794907882</v>
      </c>
      <c r="AX95" s="98">
        <v>1.5510051185064104</v>
      </c>
      <c r="AY95" s="98">
        <v>509.97048296490777</v>
      </c>
      <c r="AZ95" s="98">
        <v>1.6173215468797566</v>
      </c>
      <c r="BA95" s="98">
        <v>531.77532461406395</v>
      </c>
      <c r="BB95" s="98">
        <v>1.7301219968731889</v>
      </c>
      <c r="BC95" s="98">
        <v>568.86411257190457</v>
      </c>
      <c r="BD95" s="98">
        <v>1.6534575065956978</v>
      </c>
      <c r="BE95" s="98">
        <v>543.65682816866547</v>
      </c>
      <c r="BF95" s="98">
        <v>1.7589208479132379</v>
      </c>
      <c r="BG95" s="98">
        <v>578.33317479387267</v>
      </c>
      <c r="BH95" s="98">
        <v>1.6727133793501632</v>
      </c>
      <c r="BI95" s="98">
        <v>549.98815913033366</v>
      </c>
      <c r="BJ95" s="98">
        <v>1.528041979300315</v>
      </c>
      <c r="BK95" s="98">
        <v>502.42020279394359</v>
      </c>
      <c r="BL95" s="98">
        <v>1.6888133476569649</v>
      </c>
      <c r="BM95" s="98">
        <v>555.28182870961007</v>
      </c>
      <c r="BN95" s="98">
        <v>1.7713711987784611</v>
      </c>
      <c r="BO95" s="98">
        <v>582.42685015835798</v>
      </c>
      <c r="BP95" s="98">
        <v>1.7532628991040171</v>
      </c>
      <c r="BQ95" s="98">
        <v>576.47284122540088</v>
      </c>
      <c r="BR95" s="98">
        <v>1.6781833666235497</v>
      </c>
      <c r="BS95" s="98">
        <v>551.78669094582312</v>
      </c>
      <c r="BT95" s="98">
        <v>1.6117677318982913</v>
      </c>
      <c r="BU95" s="98">
        <v>529.94923024815819</v>
      </c>
      <c r="BV95" s="98">
        <v>1.8452952888715215</v>
      </c>
      <c r="BW95" s="98">
        <v>606.73309098095626</v>
      </c>
      <c r="BX95" s="98">
        <v>1.5272474200224069</v>
      </c>
      <c r="BY95" s="98">
        <v>502.15895170336739</v>
      </c>
      <c r="BZ95" s="98">
        <v>2.0167730217901143</v>
      </c>
      <c r="CA95" s="98">
        <v>663.11496956458961</v>
      </c>
      <c r="CB95" s="98">
        <v>1.7098146445309073</v>
      </c>
      <c r="CC95" s="98">
        <v>562.18705512176234</v>
      </c>
      <c r="CD95" s="98">
        <v>1.8469365847291457</v>
      </c>
      <c r="CE95" s="98">
        <v>607.27274905894308</v>
      </c>
      <c r="CF95" s="98">
        <v>1.4017590480943345</v>
      </c>
      <c r="CG95" s="98">
        <v>460.89837501341719</v>
      </c>
      <c r="CH95" s="98">
        <v>1.7234264603074714</v>
      </c>
      <c r="CI95" s="98">
        <v>566.6626201490966</v>
      </c>
      <c r="CJ95" s="98">
        <v>1.7772850469096149</v>
      </c>
      <c r="CK95" s="98">
        <v>584.37132342388134</v>
      </c>
      <c r="CL95" s="98">
        <v>1.7436641585540216</v>
      </c>
      <c r="CM95" s="98">
        <v>573.31677533256232</v>
      </c>
      <c r="CN95" s="98">
        <v>1.5237266414256763</v>
      </c>
      <c r="CO95" s="98">
        <v>501.00131970076239</v>
      </c>
      <c r="CP95" s="98">
        <v>1.9165371132355855</v>
      </c>
      <c r="CQ95" s="98">
        <v>630.15740283186051</v>
      </c>
      <c r="CR95" s="98">
        <v>1.6932180840301303</v>
      </c>
      <c r="CS95" s="98">
        <v>556.73010602910688</v>
      </c>
      <c r="CT95" s="98">
        <v>1.7249432438537819</v>
      </c>
      <c r="CU95" s="98">
        <v>567.16133857912348</v>
      </c>
    </row>
    <row r="96" spans="2:99">
      <c r="C96" s="97" t="s">
        <v>263</v>
      </c>
      <c r="D96" s="98">
        <v>0</v>
      </c>
      <c r="E96" s="98">
        <v>0</v>
      </c>
      <c r="F96" s="98">
        <v>1.8167075183802266</v>
      </c>
      <c r="G96" s="98">
        <v>1262.2483837705813</v>
      </c>
      <c r="H96" s="98">
        <v>1.6354670852866431</v>
      </c>
      <c r="I96" s="98">
        <v>1136.3225308571596</v>
      </c>
      <c r="J96" s="98">
        <v>1.4223625610260076</v>
      </c>
      <c r="K96" s="98">
        <v>988.25750740086994</v>
      </c>
      <c r="L96" s="98">
        <v>1.4352458246506001</v>
      </c>
      <c r="M96" s="98">
        <v>997.20879896723693</v>
      </c>
      <c r="N96" s="98">
        <v>2.0192180395502084</v>
      </c>
      <c r="O96" s="98">
        <v>1402.9526938794847</v>
      </c>
      <c r="P96" s="98">
        <v>1.5534982995779414</v>
      </c>
      <c r="Q96" s="98">
        <v>1079.3706185467536</v>
      </c>
      <c r="R96" s="98">
        <v>1.8839104809130118</v>
      </c>
      <c r="S96" s="98">
        <v>1308.9410021383605</v>
      </c>
      <c r="T96" s="98">
        <v>1.4187276967561175</v>
      </c>
      <c r="U96" s="98">
        <v>985.73200370615041</v>
      </c>
      <c r="V96" s="98">
        <v>1.6163139309714101</v>
      </c>
      <c r="W96" s="98">
        <v>1123.0149192389356</v>
      </c>
      <c r="X96" s="98">
        <v>1.4983657646301958</v>
      </c>
      <c r="Y96" s="98">
        <v>1041.0645332650599</v>
      </c>
      <c r="Z96" s="98">
        <v>1.9211169499071543</v>
      </c>
      <c r="AA96" s="98">
        <v>1334.7920567954907</v>
      </c>
      <c r="AB96" s="98">
        <v>1.5927222170040998</v>
      </c>
      <c r="AC96" s="98">
        <v>1106.6233963744485</v>
      </c>
      <c r="AD96" s="98">
        <v>1.9101145605404324</v>
      </c>
      <c r="AE96" s="98">
        <v>1327.1475966634923</v>
      </c>
      <c r="AF96" s="98">
        <v>1.650590097941538</v>
      </c>
      <c r="AG96" s="98">
        <v>1146.8300000497804</v>
      </c>
      <c r="AH96" s="98">
        <v>1.4714392632554323</v>
      </c>
      <c r="AI96" s="98">
        <v>1022.3560001098742</v>
      </c>
      <c r="AJ96" s="98">
        <v>1.4878046841661305</v>
      </c>
      <c r="AK96" s="98">
        <v>1033.7266945586275</v>
      </c>
      <c r="AL96" s="98">
        <v>1.6359251952252722</v>
      </c>
      <c r="AM96" s="98">
        <v>1136.6408256425191</v>
      </c>
      <c r="AN96" s="98">
        <v>1.5991964535736609</v>
      </c>
      <c r="AO96" s="98">
        <v>1111.1216959429796</v>
      </c>
      <c r="AP96" s="98">
        <v>1.5106639322901179</v>
      </c>
      <c r="AQ96" s="98">
        <v>1049.6093001551737</v>
      </c>
      <c r="AR96" s="98">
        <v>1.8229617917108898</v>
      </c>
      <c r="AS96" s="98">
        <v>1266.5938528807262</v>
      </c>
      <c r="AT96" s="98">
        <v>1.6459949626229788</v>
      </c>
      <c r="AU96" s="98">
        <v>1143.6373000304457</v>
      </c>
      <c r="AV96" s="98">
        <v>1.77205653407427</v>
      </c>
      <c r="AW96" s="98">
        <v>1231.2248798748028</v>
      </c>
      <c r="AX96" s="98">
        <v>1.5510051185064104</v>
      </c>
      <c r="AY96" s="98">
        <v>1077.638356338254</v>
      </c>
      <c r="AZ96" s="98">
        <v>1.796627364333365</v>
      </c>
      <c r="BA96" s="98">
        <v>1248.296692738822</v>
      </c>
      <c r="BB96" s="98">
        <v>1.9710105969504037</v>
      </c>
      <c r="BC96" s="98">
        <v>1369.4581627611403</v>
      </c>
      <c r="BD96" s="98">
        <v>1.7810324313709249</v>
      </c>
      <c r="BE96" s="98">
        <v>1237.4613333165184</v>
      </c>
      <c r="BF96" s="98">
        <v>1.7535708072355816</v>
      </c>
      <c r="BG96" s="98">
        <v>1218.380996867282</v>
      </c>
      <c r="BH96" s="98">
        <v>1.6682620614717689</v>
      </c>
      <c r="BI96" s="98">
        <v>1159.108480310585</v>
      </c>
      <c r="BJ96" s="98">
        <v>1.5233219833506042</v>
      </c>
      <c r="BK96" s="98">
        <v>1058.4041140319998</v>
      </c>
      <c r="BL96" s="98">
        <v>1.8037754701306841</v>
      </c>
      <c r="BM96" s="98">
        <v>1253.2631966467993</v>
      </c>
      <c r="BN96" s="98">
        <v>1.6282990867652873</v>
      </c>
      <c r="BO96" s="98">
        <v>1131.3422054845216</v>
      </c>
      <c r="BP96" s="98">
        <v>1.8031471233108938</v>
      </c>
      <c r="BQ96" s="98">
        <v>1252.826621276409</v>
      </c>
      <c r="BR96" s="98">
        <v>1.6781833666235497</v>
      </c>
      <c r="BS96" s="98">
        <v>1166.0018031300422</v>
      </c>
      <c r="BT96" s="98">
        <v>1.7372310827201656</v>
      </c>
      <c r="BU96" s="98">
        <v>1207.028156273971</v>
      </c>
      <c r="BV96" s="98">
        <v>1.8469631379460034</v>
      </c>
      <c r="BW96" s="98">
        <v>1283.2699882448831</v>
      </c>
      <c r="BX96" s="98">
        <v>1.5320011324693115</v>
      </c>
      <c r="BY96" s="98">
        <v>1064.4343868396775</v>
      </c>
      <c r="BZ96" s="98">
        <v>2.0190132724087837</v>
      </c>
      <c r="CA96" s="98">
        <v>1402.8104216696229</v>
      </c>
      <c r="CB96" s="98">
        <v>1.7068999541459597</v>
      </c>
      <c r="CC96" s="98">
        <v>1185.9540881406128</v>
      </c>
      <c r="CD96" s="98">
        <v>1.8395221177795351</v>
      </c>
      <c r="CE96" s="98">
        <v>1278.0999674332209</v>
      </c>
      <c r="CF96" s="98">
        <v>1.5550588437492912</v>
      </c>
      <c r="CG96" s="98">
        <v>1080.4548846370074</v>
      </c>
      <c r="CH96" s="98">
        <v>1.7234264603074714</v>
      </c>
      <c r="CI96" s="98">
        <v>1197.436704621631</v>
      </c>
      <c r="CJ96" s="98">
        <v>1.6612621059086508</v>
      </c>
      <c r="CK96" s="98">
        <v>1154.2449111853305</v>
      </c>
      <c r="CL96" s="98">
        <v>1.6278408996984164</v>
      </c>
      <c r="CM96" s="98">
        <v>1131.0238571104596</v>
      </c>
      <c r="CN96" s="98">
        <v>1.5237266414256763</v>
      </c>
      <c r="CO96" s="98">
        <v>1058.6852704625599</v>
      </c>
      <c r="CP96" s="98">
        <v>1.7576552075018468</v>
      </c>
      <c r="CQ96" s="98">
        <v>1221.2188381722831</v>
      </c>
      <c r="CR96" s="98">
        <v>1.5517077689271201</v>
      </c>
      <c r="CS96" s="98">
        <v>1078.1265578505629</v>
      </c>
      <c r="CT96" s="98">
        <v>1.7249432438537819</v>
      </c>
      <c r="CU96" s="98">
        <v>1198.4905658296077</v>
      </c>
    </row>
    <row r="97" spans="2:99">
      <c r="C97" s="97" t="s">
        <v>264</v>
      </c>
      <c r="D97" s="98">
        <v>0</v>
      </c>
      <c r="E97" s="98">
        <v>0</v>
      </c>
      <c r="F97" s="98">
        <v>1.8167075183802266</v>
      </c>
      <c r="G97" s="98">
        <v>712.87603021240091</v>
      </c>
      <c r="H97" s="98">
        <v>1.6354670852866431</v>
      </c>
      <c r="I97" s="98">
        <v>641.75728426647868</v>
      </c>
      <c r="J97" s="98">
        <v>1.4168792418661609</v>
      </c>
      <c r="K97" s="98">
        <v>555.9834145082815</v>
      </c>
      <c r="L97" s="98">
        <v>1.5937630178285624</v>
      </c>
      <c r="M97" s="98">
        <v>625.39260819592789</v>
      </c>
      <c r="N97" s="98">
        <v>2.0233291159691671</v>
      </c>
      <c r="O97" s="98">
        <v>793.95434510630116</v>
      </c>
      <c r="P97" s="98">
        <v>1.558886833526737</v>
      </c>
      <c r="Q97" s="98">
        <v>611.70719347589159</v>
      </c>
      <c r="R97" s="98">
        <v>1.8839104809130118</v>
      </c>
      <c r="S97" s="98">
        <v>739.24647271026583</v>
      </c>
      <c r="T97" s="98">
        <v>1.2550513326597981</v>
      </c>
      <c r="U97" s="98">
        <v>492.48214293570476</v>
      </c>
      <c r="V97" s="98">
        <v>1.6116299883216232</v>
      </c>
      <c r="W97" s="98">
        <v>632.40360741740494</v>
      </c>
      <c r="X97" s="98">
        <v>1.4983657646301958</v>
      </c>
      <c r="Y97" s="98">
        <v>587.95872604088879</v>
      </c>
      <c r="Z97" s="98">
        <v>2.0696440473356934</v>
      </c>
      <c r="AA97" s="98">
        <v>812.12832417452603</v>
      </c>
      <c r="AB97" s="98">
        <v>1.9054421021636834</v>
      </c>
      <c r="AC97" s="98">
        <v>747.69548088902934</v>
      </c>
      <c r="AD97" s="98">
        <v>1.7905324546415096</v>
      </c>
      <c r="AE97" s="98">
        <v>702.60493520132832</v>
      </c>
      <c r="AF97" s="98">
        <v>1.8006437432089508</v>
      </c>
      <c r="AG97" s="98">
        <v>706.57260483519224</v>
      </c>
      <c r="AH97" s="98">
        <v>1.2973972275815246</v>
      </c>
      <c r="AI97" s="98">
        <v>509.09867210299024</v>
      </c>
      <c r="AJ97" s="98">
        <v>1.7766443380500045</v>
      </c>
      <c r="AK97" s="98">
        <v>697.15523825082175</v>
      </c>
      <c r="AL97" s="98">
        <v>1.6378844272199726</v>
      </c>
      <c r="AM97" s="98">
        <v>642.70584924111722</v>
      </c>
      <c r="AN97" s="98">
        <v>1.60578902403626</v>
      </c>
      <c r="AO97" s="98">
        <v>630.11161303182837</v>
      </c>
      <c r="AP97" s="98">
        <v>1.5106639322901179</v>
      </c>
      <c r="AQ97" s="98">
        <v>592.78452703064227</v>
      </c>
      <c r="AR97" s="98">
        <v>1.8268842934546157</v>
      </c>
      <c r="AS97" s="98">
        <v>716.86939675159113</v>
      </c>
      <c r="AT97" s="98">
        <v>1.796368572471426</v>
      </c>
      <c r="AU97" s="98">
        <v>704.89502783778755</v>
      </c>
      <c r="AV97" s="98">
        <v>1.776042327471876</v>
      </c>
      <c r="AW97" s="98">
        <v>696.91900929996405</v>
      </c>
      <c r="AX97" s="98">
        <v>1.724734792320141</v>
      </c>
      <c r="AY97" s="98">
        <v>676.78593250642325</v>
      </c>
      <c r="AZ97" s="98">
        <v>1.7930581745360819</v>
      </c>
      <c r="BA97" s="98">
        <v>703.59602768795844</v>
      </c>
      <c r="BB97" s="98">
        <v>1.7261309244793086</v>
      </c>
      <c r="BC97" s="98">
        <v>677.33377476568069</v>
      </c>
      <c r="BD97" s="98">
        <v>1.7785241736297983</v>
      </c>
      <c r="BE97" s="98">
        <v>697.89288573233284</v>
      </c>
      <c r="BF97" s="98">
        <v>1.7589208479132379</v>
      </c>
      <c r="BG97" s="98">
        <v>690.20054072115454</v>
      </c>
      <c r="BH97" s="98">
        <v>1.838204190133822</v>
      </c>
      <c r="BI97" s="98">
        <v>721.31132420851168</v>
      </c>
      <c r="BJ97" s="98">
        <v>1.5186019874008936</v>
      </c>
      <c r="BK97" s="98">
        <v>595.89941985611063</v>
      </c>
      <c r="BL97" s="98">
        <v>1.9225158608436841</v>
      </c>
      <c r="BM97" s="98">
        <v>754.39522379506161</v>
      </c>
      <c r="BN97" s="98">
        <v>1.7763262764712224</v>
      </c>
      <c r="BO97" s="98">
        <v>697.0304308873076</v>
      </c>
      <c r="BP97" s="98">
        <v>1.6862629300372929</v>
      </c>
      <c r="BQ97" s="98">
        <v>661.68957374663364</v>
      </c>
      <c r="BR97" s="98">
        <v>1.6851300049812159</v>
      </c>
      <c r="BS97" s="98">
        <v>661.24501395462903</v>
      </c>
      <c r="BT97" s="98">
        <v>1.7295287512057351</v>
      </c>
      <c r="BU97" s="98">
        <v>678.66708197313039</v>
      </c>
      <c r="BV97" s="98">
        <v>1.7183728976702528</v>
      </c>
      <c r="BW97" s="98">
        <v>674.28952504580718</v>
      </c>
      <c r="BX97" s="98">
        <v>1.5272474200224069</v>
      </c>
      <c r="BY97" s="98">
        <v>599.29188761679245</v>
      </c>
      <c r="BZ97" s="98">
        <v>2.1597881212735976</v>
      </c>
      <c r="CA97" s="98">
        <v>847.50085878775963</v>
      </c>
      <c r="CB97" s="98">
        <v>1.9482444986939988</v>
      </c>
      <c r="CC97" s="98">
        <v>764.49114128752512</v>
      </c>
      <c r="CD97" s="98">
        <v>1.9884905218738902</v>
      </c>
      <c r="CE97" s="98">
        <v>780.28368078331448</v>
      </c>
      <c r="CF97" s="98">
        <v>1.5550588437492912</v>
      </c>
      <c r="CG97" s="98">
        <v>610.20509028722176</v>
      </c>
      <c r="CH97" s="98">
        <v>1.7234264603074714</v>
      </c>
      <c r="CI97" s="98">
        <v>676.27254302465178</v>
      </c>
      <c r="CJ97" s="98">
        <v>1.6612621059086508</v>
      </c>
      <c r="CK97" s="98">
        <v>651.87925035855449</v>
      </c>
      <c r="CL97" s="98">
        <v>1.8643729587926485</v>
      </c>
      <c r="CM97" s="98">
        <v>731.57994903023518</v>
      </c>
      <c r="CN97" s="98">
        <v>1.6872509900009016</v>
      </c>
      <c r="CO97" s="98">
        <v>662.07728847635371</v>
      </c>
      <c r="CP97" s="98">
        <v>1.7576552075018468</v>
      </c>
      <c r="CQ97" s="98">
        <v>689.70390342372468</v>
      </c>
      <c r="CR97" s="98">
        <v>1.6932180840301303</v>
      </c>
      <c r="CS97" s="98">
        <v>664.41877617342311</v>
      </c>
      <c r="CT97" s="98">
        <v>1.6031879430961395</v>
      </c>
      <c r="CU97" s="98">
        <v>629.0909488709251</v>
      </c>
    </row>
    <row r="98" spans="2:99">
      <c r="C98" s="97" t="s">
        <v>265</v>
      </c>
      <c r="D98" s="98">
        <v>0</v>
      </c>
      <c r="E98" s="98">
        <v>0</v>
      </c>
      <c r="F98" s="98">
        <v>2.0877711202227114</v>
      </c>
      <c r="G98" s="98">
        <v>1097.3325007890571</v>
      </c>
      <c r="H98" s="98">
        <v>1.8109173608664439</v>
      </c>
      <c r="I98" s="98">
        <v>951.81816487140293</v>
      </c>
      <c r="J98" s="98">
        <v>1.4223625610260076</v>
      </c>
      <c r="K98" s="98">
        <v>747.59376207526964</v>
      </c>
      <c r="L98" s="98">
        <v>1.589467474804094</v>
      </c>
      <c r="M98" s="98">
        <v>835.42410475703184</v>
      </c>
      <c r="N98" s="98">
        <v>1.8826230357889739</v>
      </c>
      <c r="O98" s="98">
        <v>989.50666761068476</v>
      </c>
      <c r="P98" s="98">
        <v>1.558886833526737</v>
      </c>
      <c r="Q98" s="98">
        <v>819.35091970165297</v>
      </c>
      <c r="R98" s="98">
        <v>1.886168362103912</v>
      </c>
      <c r="S98" s="98">
        <v>991.37009112181624</v>
      </c>
      <c r="T98" s="98">
        <v>1.4274730394749624</v>
      </c>
      <c r="U98" s="98">
        <v>750.27982954804031</v>
      </c>
      <c r="V98" s="98">
        <v>1.7741981699487215</v>
      </c>
      <c r="W98" s="98">
        <v>932.518558125048</v>
      </c>
      <c r="X98" s="98">
        <v>1.6498600930435521</v>
      </c>
      <c r="Y98" s="98">
        <v>867.16646490369101</v>
      </c>
      <c r="Z98" s="98">
        <v>1.9211169499071543</v>
      </c>
      <c r="AA98" s="98">
        <v>1009.7390688712004</v>
      </c>
      <c r="AB98" s="98">
        <v>1.5927222170040998</v>
      </c>
      <c r="AC98" s="98">
        <v>837.13479725735488</v>
      </c>
      <c r="AD98" s="98">
        <v>1.6667938140262806</v>
      </c>
      <c r="AE98" s="98">
        <v>876.06682865221308</v>
      </c>
      <c r="AF98" s="98">
        <v>1.650590097941538</v>
      </c>
      <c r="AG98" s="98">
        <v>867.55015547807238</v>
      </c>
      <c r="AH98" s="98">
        <v>1.2973972275815246</v>
      </c>
      <c r="AI98" s="98">
        <v>681.91198281684933</v>
      </c>
      <c r="AJ98" s="98">
        <v>1.7735295941395219</v>
      </c>
      <c r="AK98" s="98">
        <v>932.16715467973279</v>
      </c>
      <c r="AL98" s="98">
        <v>1.6378844272199726</v>
      </c>
      <c r="AM98" s="98">
        <v>860.87205494681768</v>
      </c>
      <c r="AN98" s="98">
        <v>1.7916793684999441</v>
      </c>
      <c r="AO98" s="98">
        <v>941.70667608357064</v>
      </c>
      <c r="AP98" s="98">
        <v>1.6461300548888884</v>
      </c>
      <c r="AQ98" s="98">
        <v>865.20595684959983</v>
      </c>
      <c r="AR98" s="98">
        <v>1.5840842213427451</v>
      </c>
      <c r="AS98" s="98">
        <v>832.59466673774682</v>
      </c>
      <c r="AT98" s="98">
        <v>1.6459949626229788</v>
      </c>
      <c r="AU98" s="98">
        <v>865.13495235463768</v>
      </c>
      <c r="AV98" s="98">
        <v>1.776042327471876</v>
      </c>
      <c r="AW98" s="98">
        <v>933.48784731921808</v>
      </c>
      <c r="AX98" s="98">
        <v>1.8859025203167075</v>
      </c>
      <c r="AY98" s="98">
        <v>991.23036467846146</v>
      </c>
      <c r="AZ98" s="98">
        <v>1.7930581745360819</v>
      </c>
      <c r="BA98" s="98">
        <v>942.43137653616463</v>
      </c>
      <c r="BB98" s="98">
        <v>1.9710105969504037</v>
      </c>
      <c r="BC98" s="98">
        <v>1035.9631697571322</v>
      </c>
      <c r="BD98" s="98">
        <v>1.6559657643368246</v>
      </c>
      <c r="BE98" s="98">
        <v>870.3756057354351</v>
      </c>
      <c r="BF98" s="98">
        <v>1.7589208479132379</v>
      </c>
      <c r="BG98" s="98">
        <v>924.48879766319783</v>
      </c>
      <c r="BH98" s="98">
        <v>1.5161252043232925</v>
      </c>
      <c r="BI98" s="98">
        <v>796.87540739232259</v>
      </c>
      <c r="BJ98" s="98">
        <v>1.5233219833506042</v>
      </c>
      <c r="BK98" s="98">
        <v>800.6580344490776</v>
      </c>
      <c r="BL98" s="98">
        <v>1.5681838228243246</v>
      </c>
      <c r="BM98" s="98">
        <v>824.23741727646507</v>
      </c>
      <c r="BN98" s="98">
        <v>1.6332541644580483</v>
      </c>
      <c r="BO98" s="98">
        <v>858.43838883915021</v>
      </c>
      <c r="BP98" s="98">
        <v>1.8081355457315815</v>
      </c>
      <c r="BQ98" s="98">
        <v>950.35604283651924</v>
      </c>
      <c r="BR98" s="98">
        <v>1.5647635760539862</v>
      </c>
      <c r="BS98" s="98">
        <v>822.43973557397521</v>
      </c>
      <c r="BT98" s="98">
        <v>1.8549921020276094</v>
      </c>
      <c r="BU98" s="98">
        <v>974.98384882571156</v>
      </c>
      <c r="BV98" s="98">
        <v>1.977221227296236</v>
      </c>
      <c r="BW98" s="98">
        <v>1039.2274770669017</v>
      </c>
      <c r="BX98" s="98">
        <v>1.3897345578502609</v>
      </c>
      <c r="BY98" s="98">
        <v>730.44448360609715</v>
      </c>
      <c r="BZ98" s="98">
        <v>1.8748780476159657</v>
      </c>
      <c r="CA98" s="98">
        <v>985.43590182695164</v>
      </c>
      <c r="CB98" s="98">
        <v>1.7039852637610124</v>
      </c>
      <c r="CC98" s="98">
        <v>895.61465463278819</v>
      </c>
      <c r="CD98" s="98">
        <v>1.8395221177795351</v>
      </c>
      <c r="CE98" s="98">
        <v>966.85282510492368</v>
      </c>
      <c r="CF98" s="98">
        <v>1.4037645832943095</v>
      </c>
      <c r="CG98" s="98">
        <v>737.81866497948909</v>
      </c>
      <c r="CH98" s="98">
        <v>1.7234264603074714</v>
      </c>
      <c r="CI98" s="98">
        <v>905.83294753760697</v>
      </c>
      <c r="CJ98" s="98">
        <v>1.5452391649076864</v>
      </c>
      <c r="CK98" s="98">
        <v>812.17770507548005</v>
      </c>
      <c r="CL98" s="98">
        <v>1.6229553583153944</v>
      </c>
      <c r="CM98" s="98">
        <v>853.02533633057135</v>
      </c>
      <c r="CN98" s="98">
        <v>1.6915849486882888</v>
      </c>
      <c r="CO98" s="98">
        <v>889.09704903056468</v>
      </c>
      <c r="CP98" s="98">
        <v>1.7526780852864861</v>
      </c>
      <c r="CQ98" s="98">
        <v>921.20760162657712</v>
      </c>
      <c r="CR98" s="98">
        <v>1.5517077689271201</v>
      </c>
      <c r="CS98" s="98">
        <v>815.57760334809439</v>
      </c>
      <c r="CT98" s="98">
        <v>1.7266406632910143</v>
      </c>
      <c r="CU98" s="98">
        <v>907.52233262575714</v>
      </c>
    </row>
    <row r="99" spans="2:99">
      <c r="C99" s="97" t="s">
        <v>266</v>
      </c>
      <c r="D99" s="98">
        <v>0</v>
      </c>
      <c r="E99" s="98">
        <v>0</v>
      </c>
      <c r="F99" s="98">
        <v>1.4040238815716022</v>
      </c>
      <c r="G99" s="98">
        <v>5908.6941032059303</v>
      </c>
      <c r="H99" s="98">
        <v>1.2765073048315505</v>
      </c>
      <c r="I99" s="98">
        <v>5372.053341653097</v>
      </c>
      <c r="J99" s="98">
        <v>1.2370276770529676</v>
      </c>
      <c r="K99" s="98">
        <v>5205.9072761097086</v>
      </c>
      <c r="L99" s="98">
        <v>1.2767286314726376</v>
      </c>
      <c r="M99" s="98">
        <v>5372.9847726894477</v>
      </c>
      <c r="N99" s="98">
        <v>1.5847665697527527</v>
      </c>
      <c r="O99" s="98">
        <v>6669.331632147484</v>
      </c>
      <c r="P99" s="98">
        <v>1.1718593921194504</v>
      </c>
      <c r="Q99" s="98">
        <v>4931.6530657954945</v>
      </c>
      <c r="R99" s="98">
        <v>1.4157552121733838</v>
      </c>
      <c r="S99" s="98">
        <v>5958.0642349104683</v>
      </c>
      <c r="T99" s="98">
        <v>1.2419333185815307</v>
      </c>
      <c r="U99" s="98">
        <v>5226.5521779185128</v>
      </c>
      <c r="V99" s="98">
        <v>1.4490618066945249</v>
      </c>
      <c r="W99" s="98">
        <v>6098.2317072932383</v>
      </c>
      <c r="X99" s="98">
        <v>1.3292735915764065</v>
      </c>
      <c r="Y99" s="98">
        <v>5594.1149827901481</v>
      </c>
      <c r="Z99" s="98">
        <v>1.3464791935207083</v>
      </c>
      <c r="AA99" s="98">
        <v>5666.5230380125486</v>
      </c>
      <c r="AB99" s="98">
        <v>1.4315084758899443</v>
      </c>
      <c r="AC99" s="98">
        <v>6024.3602699352414</v>
      </c>
      <c r="AD99" s="98">
        <v>1.5264290345458229</v>
      </c>
      <c r="AE99" s="98">
        <v>6423.8239489826401</v>
      </c>
      <c r="AF99" s="98">
        <v>1.3504828074067132</v>
      </c>
      <c r="AG99" s="98">
        <v>5683.3718466904111</v>
      </c>
      <c r="AH99" s="98">
        <v>1.2852275386793446</v>
      </c>
      <c r="AI99" s="98">
        <v>5408.7515737781532</v>
      </c>
      <c r="AJ99" s="98">
        <v>1.478460452434682</v>
      </c>
      <c r="AK99" s="98">
        <v>6221.9529680261157</v>
      </c>
      <c r="AL99" s="98">
        <v>1.5076734331375432</v>
      </c>
      <c r="AM99" s="98">
        <v>6344.8928760160361</v>
      </c>
      <c r="AN99" s="98">
        <v>1.2076380532584947</v>
      </c>
      <c r="AO99" s="98">
        <v>5082.2239833330486</v>
      </c>
      <c r="AP99" s="98">
        <v>1.3714638853815941</v>
      </c>
      <c r="AQ99" s="98">
        <v>5771.6686152399006</v>
      </c>
      <c r="AR99" s="98">
        <v>1.3412841492308749</v>
      </c>
      <c r="AS99" s="98">
        <v>5644.6602136232132</v>
      </c>
      <c r="AT99" s="98">
        <v>1.3493051157810541</v>
      </c>
      <c r="AU99" s="98">
        <v>5678.4156492529874</v>
      </c>
      <c r="AV99" s="98">
        <v>1.476049479495624</v>
      </c>
      <c r="AW99" s="98">
        <v>6211.806629509384</v>
      </c>
      <c r="AX99" s="98">
        <v>1.2098267437875314</v>
      </c>
      <c r="AY99" s="98">
        <v>5091.4348685554469</v>
      </c>
      <c r="AZ99" s="98">
        <v>1.4380157294261484</v>
      </c>
      <c r="BA99" s="98">
        <v>6051.7453957170028</v>
      </c>
      <c r="BB99" s="98">
        <v>1.4772601796143328</v>
      </c>
      <c r="BC99" s="98">
        <v>6216.9017398889573</v>
      </c>
      <c r="BD99" s="98">
        <v>1.2732409900111437</v>
      </c>
      <c r="BE99" s="98">
        <v>5358.3073823628965</v>
      </c>
      <c r="BF99" s="98">
        <v>1.3517814120845699</v>
      </c>
      <c r="BG99" s="98">
        <v>5688.8368946167038</v>
      </c>
      <c r="BH99" s="98">
        <v>1.3372804399044516</v>
      </c>
      <c r="BI99" s="98">
        <v>5627.811003293893</v>
      </c>
      <c r="BJ99" s="98">
        <v>1.0202679848501139</v>
      </c>
      <c r="BK99" s="98">
        <v>4293.6957874432192</v>
      </c>
      <c r="BL99" s="98">
        <v>1.5625164204654036</v>
      </c>
      <c r="BM99" s="98">
        <v>6575.6941038866044</v>
      </c>
      <c r="BN99" s="98">
        <v>1.4753168193665909</v>
      </c>
      <c r="BO99" s="98">
        <v>6208.7233026223603</v>
      </c>
      <c r="BP99" s="98">
        <v>1.325633505375114</v>
      </c>
      <c r="BQ99" s="98">
        <v>5578.7960440206298</v>
      </c>
      <c r="BR99" s="98">
        <v>1.3205573990206936</v>
      </c>
      <c r="BS99" s="98">
        <v>5557.4337580386864</v>
      </c>
      <c r="BT99" s="98">
        <v>1.3608410302545422</v>
      </c>
      <c r="BU99" s="98">
        <v>5726.963391723215</v>
      </c>
      <c r="BV99" s="98">
        <v>1.5814434120220924</v>
      </c>
      <c r="BW99" s="98">
        <v>6655.3464551537727</v>
      </c>
      <c r="BX99" s="98">
        <v>1.2236994209966872</v>
      </c>
      <c r="BY99" s="98">
        <v>5149.8166433224578</v>
      </c>
      <c r="BZ99" s="98">
        <v>1.5854874727209955</v>
      </c>
      <c r="CA99" s="98">
        <v>6672.3654801990369</v>
      </c>
      <c r="CB99" s="98">
        <v>1.343425792131427</v>
      </c>
      <c r="CC99" s="98">
        <v>5653.6731036058973</v>
      </c>
      <c r="CD99" s="98">
        <v>1.5341708426412144</v>
      </c>
      <c r="CE99" s="98">
        <v>6456.4045741712862</v>
      </c>
      <c r="CF99" s="98">
        <v>1.2444481820394278</v>
      </c>
      <c r="CG99" s="98">
        <v>5237.1357292947278</v>
      </c>
      <c r="CH99" s="98">
        <v>1.3416210598036253</v>
      </c>
      <c r="CI99" s="98">
        <v>5646.0780680775761</v>
      </c>
      <c r="CJ99" s="98">
        <v>1.1938120753688708</v>
      </c>
      <c r="CK99" s="98">
        <v>5024.0387379823551</v>
      </c>
      <c r="CL99" s="98">
        <v>1.3717666750720963</v>
      </c>
      <c r="CM99" s="98">
        <v>5772.9428753734092</v>
      </c>
      <c r="CN99" s="98">
        <v>1.1836760682130636</v>
      </c>
      <c r="CO99" s="98">
        <v>4981.3823654678563</v>
      </c>
      <c r="CP99" s="98">
        <v>1.4349142738190088</v>
      </c>
      <c r="CQ99" s="98">
        <v>6038.6932299399159</v>
      </c>
      <c r="CR99" s="98">
        <v>1.2711399873240961</v>
      </c>
      <c r="CS99" s="98">
        <v>5349.4655226547256</v>
      </c>
      <c r="CT99" s="98">
        <v>1.4763403840268003</v>
      </c>
      <c r="CU99" s="98">
        <v>6213.0308721383863</v>
      </c>
    </row>
    <row r="100" spans="2:99">
      <c r="C100" s="97" t="s">
        <v>267</v>
      </c>
      <c r="D100" s="98">
        <v>0</v>
      </c>
      <c r="E100" s="98">
        <v>0</v>
      </c>
      <c r="F100" s="98">
        <v>1.8167075183802266</v>
      </c>
      <c r="G100" s="98">
        <v>588.61323595519343</v>
      </c>
      <c r="H100" s="98">
        <v>1.6435263145821339</v>
      </c>
      <c r="I100" s="98">
        <v>532.5025259246114</v>
      </c>
      <c r="J100" s="98">
        <v>1.5857641683596613</v>
      </c>
      <c r="K100" s="98">
        <v>513.78759054853026</v>
      </c>
      <c r="L100" s="98">
        <v>1.4395413676750686</v>
      </c>
      <c r="M100" s="98">
        <v>466.41140312672223</v>
      </c>
      <c r="N100" s="98">
        <v>1.7336948027708632</v>
      </c>
      <c r="O100" s="98">
        <v>561.71711609775969</v>
      </c>
      <c r="P100" s="98">
        <v>1.7470120202815846</v>
      </c>
      <c r="Q100" s="98">
        <v>566.03189457123347</v>
      </c>
      <c r="R100" s="98">
        <v>1.886168362103912</v>
      </c>
      <c r="S100" s="98">
        <v>611.1185493216675</v>
      </c>
      <c r="T100" s="98">
        <v>1.5998947462901267</v>
      </c>
      <c r="U100" s="98">
        <v>518.36589779800101</v>
      </c>
      <c r="V100" s="98">
        <v>1.6163139309714101</v>
      </c>
      <c r="W100" s="98">
        <v>523.68571363473689</v>
      </c>
      <c r="X100" s="98">
        <v>1.4983657646301958</v>
      </c>
      <c r="Y100" s="98">
        <v>485.47050774018345</v>
      </c>
      <c r="Z100" s="98">
        <v>2.0696440473356934</v>
      </c>
      <c r="AA100" s="98">
        <v>670.56467133676472</v>
      </c>
      <c r="AB100" s="98">
        <v>1.7515090588510733</v>
      </c>
      <c r="AC100" s="98">
        <v>567.48893506774778</v>
      </c>
      <c r="AD100" s="98">
        <v>1.9059580258241251</v>
      </c>
      <c r="AE100" s="98">
        <v>617.53040036701657</v>
      </c>
      <c r="AF100" s="98">
        <v>1.8042449178715765</v>
      </c>
      <c r="AG100" s="98">
        <v>584.57535339039077</v>
      </c>
      <c r="AH100" s="98">
        <v>1.4714392632554323</v>
      </c>
      <c r="AI100" s="98">
        <v>476.74632129476004</v>
      </c>
      <c r="AJ100" s="98">
        <v>1.7704148502290391</v>
      </c>
      <c r="AK100" s="98">
        <v>573.61441147420862</v>
      </c>
      <c r="AL100" s="98">
        <v>1.6378844272199726</v>
      </c>
      <c r="AM100" s="98">
        <v>530.67455441927109</v>
      </c>
      <c r="AN100" s="98">
        <v>1.5991964535736609</v>
      </c>
      <c r="AO100" s="98">
        <v>518.13965095786614</v>
      </c>
      <c r="AP100" s="98">
        <v>1.5106639322901179</v>
      </c>
      <c r="AQ100" s="98">
        <v>489.45511406199819</v>
      </c>
      <c r="AR100" s="98">
        <v>1.9424005768949619</v>
      </c>
      <c r="AS100" s="98">
        <v>629.33778691396765</v>
      </c>
      <c r="AT100" s="98">
        <v>1.7923111996164565</v>
      </c>
      <c r="AU100" s="98">
        <v>580.70882867573187</v>
      </c>
      <c r="AV100" s="98">
        <v>1.916074267965987</v>
      </c>
      <c r="AW100" s="98">
        <v>620.80806282097979</v>
      </c>
      <c r="AX100" s="98">
        <v>1.724734792320141</v>
      </c>
      <c r="AY100" s="98">
        <v>558.81407271172566</v>
      </c>
      <c r="AZ100" s="98">
        <v>1.97236399198969</v>
      </c>
      <c r="BA100" s="98">
        <v>639.04593340465954</v>
      </c>
      <c r="BB100" s="98">
        <v>1.7261309244793086</v>
      </c>
      <c r="BC100" s="98">
        <v>559.26641953129604</v>
      </c>
      <c r="BD100" s="98">
        <v>1.6559657643368246</v>
      </c>
      <c r="BE100" s="98">
        <v>536.53290764513122</v>
      </c>
      <c r="BF100" s="98">
        <v>1.7589208479132379</v>
      </c>
      <c r="BG100" s="98">
        <v>569.89035472388912</v>
      </c>
      <c r="BH100" s="98">
        <v>1.6771646972285572</v>
      </c>
      <c r="BI100" s="98">
        <v>543.40136190205249</v>
      </c>
      <c r="BJ100" s="98">
        <v>1.358783981150248</v>
      </c>
      <c r="BK100" s="98">
        <v>440.24600989268038</v>
      </c>
      <c r="BL100" s="98">
        <v>1.6888133476569649</v>
      </c>
      <c r="BM100" s="98">
        <v>547.17552464085668</v>
      </c>
      <c r="BN100" s="98">
        <v>1.7812813541639834</v>
      </c>
      <c r="BO100" s="98">
        <v>577.1351587491306</v>
      </c>
      <c r="BP100" s="98">
        <v>1.6912513524579804</v>
      </c>
      <c r="BQ100" s="98">
        <v>547.96543819638566</v>
      </c>
      <c r="BR100" s="98">
        <v>1.6816566858023829</v>
      </c>
      <c r="BS100" s="98">
        <v>544.85676619997207</v>
      </c>
      <c r="BT100" s="98">
        <v>1.8588432677848248</v>
      </c>
      <c r="BU100" s="98">
        <v>602.26521876228321</v>
      </c>
      <c r="BV100" s="98">
        <v>1.8452952888715215</v>
      </c>
      <c r="BW100" s="98">
        <v>597.87567359437298</v>
      </c>
      <c r="BX100" s="98">
        <v>1.5272474200224069</v>
      </c>
      <c r="BY100" s="98">
        <v>494.82816408725984</v>
      </c>
      <c r="BZ100" s="98">
        <v>1.873757922306631</v>
      </c>
      <c r="CA100" s="98">
        <v>607.09756682734849</v>
      </c>
      <c r="CB100" s="98">
        <v>1.8261148812275056</v>
      </c>
      <c r="CC100" s="98">
        <v>591.66122151771185</v>
      </c>
      <c r="CD100" s="98">
        <v>1.69055371368518</v>
      </c>
      <c r="CE100" s="98">
        <v>547.73940323399836</v>
      </c>
      <c r="CF100" s="98">
        <v>1.4017590480943345</v>
      </c>
      <c r="CG100" s="98">
        <v>454.1699315825644</v>
      </c>
      <c r="CH100" s="98">
        <v>1.7234264603074714</v>
      </c>
      <c r="CI100" s="98">
        <v>558.39017313962074</v>
      </c>
      <c r="CJ100" s="98">
        <v>1.7806433134455377</v>
      </c>
      <c r="CK100" s="98">
        <v>576.92843355635421</v>
      </c>
      <c r="CL100" s="98">
        <v>1.7436641585540216</v>
      </c>
      <c r="CM100" s="98">
        <v>564.94718737150299</v>
      </c>
      <c r="CN100" s="98">
        <v>1.5280606001130632</v>
      </c>
      <c r="CO100" s="98">
        <v>495.09163443663249</v>
      </c>
      <c r="CP100" s="98">
        <v>1.7626323297172075</v>
      </c>
      <c r="CQ100" s="98">
        <v>571.09287482837522</v>
      </c>
      <c r="CR100" s="98">
        <v>1.8322755505301445</v>
      </c>
      <c r="CS100" s="98">
        <v>593.65727837176678</v>
      </c>
      <c r="CT100" s="98">
        <v>1.7249432438537819</v>
      </c>
      <c r="CU100" s="98">
        <v>558.88161100862533</v>
      </c>
    </row>
    <row r="101" spans="2:99">
      <c r="C101" s="97" t="s">
        <v>268</v>
      </c>
      <c r="D101" s="98">
        <v>0</v>
      </c>
      <c r="E101" s="98">
        <v>0</v>
      </c>
      <c r="F101" s="98">
        <v>1.9583275533463664</v>
      </c>
      <c r="G101" s="98">
        <v>1417.0458176014308</v>
      </c>
      <c r="H101" s="98">
        <v>1.8189765901619346</v>
      </c>
      <c r="I101" s="98">
        <v>1316.211460641176</v>
      </c>
      <c r="J101" s="98">
        <v>1.4168792418661609</v>
      </c>
      <c r="K101" s="98">
        <v>1025.253819414354</v>
      </c>
      <c r="L101" s="98">
        <v>1.4352458246506001</v>
      </c>
      <c r="M101" s="98">
        <v>1038.5438787171743</v>
      </c>
      <c r="N101" s="98">
        <v>2.0192180395502084</v>
      </c>
      <c r="O101" s="98">
        <v>1461.1061734185309</v>
      </c>
      <c r="P101" s="98">
        <v>1.5534982995779414</v>
      </c>
      <c r="Q101" s="98">
        <v>1124.1113695745985</v>
      </c>
      <c r="R101" s="98">
        <v>1.7331271141119031</v>
      </c>
      <c r="S101" s="98">
        <v>1254.090779771373</v>
      </c>
      <c r="T101" s="98">
        <v>1.4231003681155401</v>
      </c>
      <c r="U101" s="98">
        <v>1029.7554263684049</v>
      </c>
      <c r="V101" s="98">
        <v>1.9273984662762458</v>
      </c>
      <c r="W101" s="98">
        <v>1394.6655301974915</v>
      </c>
      <c r="X101" s="98">
        <v>1.4866338682032403</v>
      </c>
      <c r="Y101" s="98">
        <v>1075.7282670318648</v>
      </c>
      <c r="Z101" s="98">
        <v>1.7823251691424702</v>
      </c>
      <c r="AA101" s="98">
        <v>1289.6904923914915</v>
      </c>
      <c r="AB101" s="98">
        <v>1.7515090588510733</v>
      </c>
      <c r="AC101" s="98">
        <v>1267.3919549846366</v>
      </c>
      <c r="AD101" s="98">
        <v>1.6584807445936665</v>
      </c>
      <c r="AE101" s="98">
        <v>1200.076666787977</v>
      </c>
      <c r="AF101" s="98">
        <v>1.5077388019993765</v>
      </c>
      <c r="AG101" s="98">
        <v>1090.9997971267489</v>
      </c>
      <c r="AH101" s="98">
        <v>1.4836089521576123</v>
      </c>
      <c r="AI101" s="98">
        <v>1073.5394377812484</v>
      </c>
      <c r="AJ101" s="98">
        <v>1.7766443380500045</v>
      </c>
      <c r="AK101" s="98">
        <v>1285.5798430129832</v>
      </c>
      <c r="AL101" s="98">
        <v>1.7622177253183011</v>
      </c>
      <c r="AM101" s="98">
        <v>1275.1407460403227</v>
      </c>
      <c r="AN101" s="98">
        <v>1.5991964535736609</v>
      </c>
      <c r="AO101" s="98">
        <v>1157.1785538059012</v>
      </c>
      <c r="AP101" s="98">
        <v>1.5106639322901179</v>
      </c>
      <c r="AQ101" s="98">
        <v>1093.1164214051294</v>
      </c>
      <c r="AR101" s="98">
        <v>1.8268842934546157</v>
      </c>
      <c r="AS101" s="98">
        <v>1321.9334747437599</v>
      </c>
      <c r="AT101" s="98">
        <v>1.796368572471426</v>
      </c>
      <c r="AU101" s="98">
        <v>1299.8522990403239</v>
      </c>
      <c r="AV101" s="98">
        <v>1.920060061363593</v>
      </c>
      <c r="AW101" s="98">
        <v>1389.3554604026958</v>
      </c>
      <c r="AX101" s="98">
        <v>1.5572860914149926</v>
      </c>
      <c r="AY101" s="98">
        <v>1126.8522157478887</v>
      </c>
      <c r="AZ101" s="98">
        <v>1.7930581745360819</v>
      </c>
      <c r="BA101" s="98">
        <v>1297.4568950943089</v>
      </c>
      <c r="BB101" s="98">
        <v>1.8505662969117966</v>
      </c>
      <c r="BC101" s="98">
        <v>1339.0697724453762</v>
      </c>
      <c r="BD101" s="98">
        <v>1.6559657643368246</v>
      </c>
      <c r="BE101" s="98">
        <v>1198.2568270741262</v>
      </c>
      <c r="BF101" s="98">
        <v>1.7589208479132379</v>
      </c>
      <c r="BG101" s="98">
        <v>1272.7551255500189</v>
      </c>
      <c r="BH101" s="98">
        <v>1.8337528722554279</v>
      </c>
      <c r="BI101" s="98">
        <v>1326.9035783640277</v>
      </c>
      <c r="BJ101" s="98">
        <v>1.5233219833506042</v>
      </c>
      <c r="BK101" s="98">
        <v>1102.2757871524973</v>
      </c>
      <c r="BL101" s="98">
        <v>1.8056646042503246</v>
      </c>
      <c r="BM101" s="98">
        <v>1306.578907635535</v>
      </c>
      <c r="BN101" s="98">
        <v>1.6282990867652873</v>
      </c>
      <c r="BO101" s="98">
        <v>1178.237219183362</v>
      </c>
      <c r="BP101" s="98">
        <v>1.8081355457315815</v>
      </c>
      <c r="BQ101" s="98">
        <v>1308.3668808913724</v>
      </c>
      <c r="BR101" s="98">
        <v>1.6816566858023829</v>
      </c>
      <c r="BS101" s="98">
        <v>1216.8467778466043</v>
      </c>
      <c r="BT101" s="98">
        <v>1.8549921020276094</v>
      </c>
      <c r="BU101" s="98">
        <v>1342.2722850271782</v>
      </c>
      <c r="BV101" s="98">
        <v>1.7167050485957709</v>
      </c>
      <c r="BW101" s="98">
        <v>1242.2077731638999</v>
      </c>
      <c r="BX101" s="98">
        <v>1.2427142707843057</v>
      </c>
      <c r="BY101" s="98">
        <v>899.22804633952364</v>
      </c>
      <c r="BZ101" s="98">
        <v>1.8748780476159657</v>
      </c>
      <c r="CA101" s="98">
        <v>1356.6617552549128</v>
      </c>
      <c r="CB101" s="98">
        <v>1.8290295716124529</v>
      </c>
      <c r="CC101" s="98">
        <v>1323.485798018771</v>
      </c>
      <c r="CD101" s="98">
        <v>1.69055371368518</v>
      </c>
      <c r="CE101" s="98">
        <v>1223.2846672225962</v>
      </c>
      <c r="CF101" s="98">
        <v>1.5570643789492662</v>
      </c>
      <c r="CG101" s="98">
        <v>1126.691784607689</v>
      </c>
      <c r="CH101" s="98">
        <v>1.7234264603074714</v>
      </c>
      <c r="CI101" s="98">
        <v>1247.0713866784863</v>
      </c>
      <c r="CJ101" s="98">
        <v>1.6579038393727279</v>
      </c>
      <c r="CK101" s="98">
        <v>1199.659218170106</v>
      </c>
      <c r="CL101" s="98">
        <v>1.8692585001756703</v>
      </c>
      <c r="CM101" s="98">
        <v>1352.5954507271151</v>
      </c>
      <c r="CN101" s="98">
        <v>1.6915849486882888</v>
      </c>
      <c r="CO101" s="98">
        <v>1224.0308688708458</v>
      </c>
      <c r="CP101" s="98">
        <v>1.6087275461988293</v>
      </c>
      <c r="CQ101" s="98">
        <v>1164.0752524294728</v>
      </c>
      <c r="CR101" s="98">
        <v>1.8298227019271482</v>
      </c>
      <c r="CS101" s="98">
        <v>1324.0597071144846</v>
      </c>
      <c r="CT101" s="98">
        <v>1.8450011251741925</v>
      </c>
      <c r="CU101" s="98">
        <v>1335.0428141760458</v>
      </c>
    </row>
    <row r="102" spans="2:99">
      <c r="C102" s="97" t="s">
        <v>269</v>
      </c>
      <c r="D102" s="98">
        <v>0</v>
      </c>
      <c r="E102" s="98">
        <v>0</v>
      </c>
      <c r="F102" s="98">
        <v>2.0877711202227114</v>
      </c>
      <c r="G102" s="98">
        <v>1109.8591275103934</v>
      </c>
      <c r="H102" s="98">
        <v>1.6435263145821339</v>
      </c>
      <c r="I102" s="98">
        <v>873.69858883186248</v>
      </c>
      <c r="J102" s="98">
        <v>1.4223625610260076</v>
      </c>
      <c r="K102" s="98">
        <v>756.12793744142562</v>
      </c>
      <c r="L102" s="98">
        <v>1.4395413676750686</v>
      </c>
      <c r="M102" s="98">
        <v>765.26019105606645</v>
      </c>
      <c r="N102" s="98">
        <v>2.0233291159691671</v>
      </c>
      <c r="O102" s="98">
        <v>1075.6017580492094</v>
      </c>
      <c r="P102" s="98">
        <v>1.3707616467718891</v>
      </c>
      <c r="Q102" s="98">
        <v>728.69689142393622</v>
      </c>
      <c r="R102" s="98">
        <v>1.886168362103912</v>
      </c>
      <c r="S102" s="98">
        <v>1002.6871012944397</v>
      </c>
      <c r="T102" s="98">
        <v>1.4231003681155401</v>
      </c>
      <c r="U102" s="98">
        <v>756.52015569022115</v>
      </c>
      <c r="V102" s="98">
        <v>1.9273984662762458</v>
      </c>
      <c r="W102" s="98">
        <v>1024.6050246724524</v>
      </c>
      <c r="X102" s="98">
        <v>1.6557260412570298</v>
      </c>
      <c r="Y102" s="98">
        <v>880.18396353223704</v>
      </c>
      <c r="Z102" s="98">
        <v>1.9211169499071543</v>
      </c>
      <c r="AA102" s="98">
        <v>1021.2657705706433</v>
      </c>
      <c r="AB102" s="98">
        <v>1.9102959006980469</v>
      </c>
      <c r="AC102" s="98">
        <v>1015.5133008110818</v>
      </c>
      <c r="AD102" s="98">
        <v>1.6626372793099733</v>
      </c>
      <c r="AE102" s="98">
        <v>883.85797768118186</v>
      </c>
      <c r="AF102" s="98">
        <v>1.6577924472667893</v>
      </c>
      <c r="AG102" s="98">
        <v>881.28246496702525</v>
      </c>
      <c r="AH102" s="98">
        <v>1.4714392632554323</v>
      </c>
      <c r="AI102" s="98">
        <v>782.21711234658778</v>
      </c>
      <c r="AJ102" s="98">
        <v>1.7766443380500045</v>
      </c>
      <c r="AK102" s="98">
        <v>944.4641301073824</v>
      </c>
      <c r="AL102" s="98">
        <v>1.7602584933236005</v>
      </c>
      <c r="AM102" s="98">
        <v>935.75341505082611</v>
      </c>
      <c r="AN102" s="98">
        <v>1.4067135386473775</v>
      </c>
      <c r="AO102" s="98">
        <v>747.80891714494589</v>
      </c>
      <c r="AP102" s="98">
        <v>1.5069300079803651</v>
      </c>
      <c r="AQ102" s="98">
        <v>801.08399224236211</v>
      </c>
      <c r="AR102" s="98">
        <v>1.9424005768949619</v>
      </c>
      <c r="AS102" s="98">
        <v>1032.5801466773619</v>
      </c>
      <c r="AT102" s="98">
        <v>1.796368572471426</v>
      </c>
      <c r="AU102" s="98">
        <v>954.94953312581015</v>
      </c>
      <c r="AV102" s="98">
        <v>2.0720493820505221</v>
      </c>
      <c r="AW102" s="98">
        <v>1101.5014514980576</v>
      </c>
      <c r="AX102" s="98">
        <v>1.7184538194115588</v>
      </c>
      <c r="AY102" s="98">
        <v>913.53005039918469</v>
      </c>
      <c r="AZ102" s="98">
        <v>1.6208907366770395</v>
      </c>
      <c r="BA102" s="98">
        <v>861.6655156175143</v>
      </c>
      <c r="BB102" s="98">
        <v>1.6056866244407009</v>
      </c>
      <c r="BC102" s="98">
        <v>853.58300955267657</v>
      </c>
      <c r="BD102" s="98">
        <v>1.6534575065956978</v>
      </c>
      <c r="BE102" s="98">
        <v>878.97801050627299</v>
      </c>
      <c r="BF102" s="98">
        <v>1.7535708072355816</v>
      </c>
      <c r="BG102" s="98">
        <v>932.19824112643516</v>
      </c>
      <c r="BH102" s="98">
        <v>1.8337528722554279</v>
      </c>
      <c r="BI102" s="98">
        <v>974.82302689098549</v>
      </c>
      <c r="BJ102" s="98">
        <v>1.5233219833506042</v>
      </c>
      <c r="BK102" s="98">
        <v>809.79796634918125</v>
      </c>
      <c r="BL102" s="98">
        <v>1.6869242135373244</v>
      </c>
      <c r="BM102" s="98">
        <v>896.76891191644165</v>
      </c>
      <c r="BN102" s="98">
        <v>1.6382092421508094</v>
      </c>
      <c r="BO102" s="98">
        <v>870.87203312737029</v>
      </c>
      <c r="BP102" s="98">
        <v>1.9250197390051829</v>
      </c>
      <c r="BQ102" s="98">
        <v>1023.3404932551553</v>
      </c>
      <c r="BR102" s="98">
        <v>1.6781833666235497</v>
      </c>
      <c r="BS102" s="98">
        <v>892.12227769707908</v>
      </c>
      <c r="BT102" s="98">
        <v>1.7333799169629502</v>
      </c>
      <c r="BU102" s="98">
        <v>921.46476385750441</v>
      </c>
      <c r="BV102" s="98">
        <v>1.8452952888715215</v>
      </c>
      <c r="BW102" s="98">
        <v>980.95897556410091</v>
      </c>
      <c r="BX102" s="98">
        <v>1.5320011324693115</v>
      </c>
      <c r="BY102" s="98">
        <v>814.41180202068597</v>
      </c>
      <c r="BZ102" s="98">
        <v>1.873757922306631</v>
      </c>
      <c r="CA102" s="98">
        <v>996.08971149820502</v>
      </c>
      <c r="CB102" s="98">
        <v>1.942415117924104</v>
      </c>
      <c r="CC102" s="98">
        <v>1032.5878766884537</v>
      </c>
      <c r="CD102" s="98">
        <v>1.69055371368518</v>
      </c>
      <c r="CE102" s="98">
        <v>898.6983541950417</v>
      </c>
      <c r="CF102" s="98">
        <v>1.4017590480943345</v>
      </c>
      <c r="CG102" s="98">
        <v>745.1751099669483</v>
      </c>
      <c r="CH102" s="98">
        <v>1.5325237600555486</v>
      </c>
      <c r="CI102" s="98">
        <v>814.68963084552968</v>
      </c>
      <c r="CJ102" s="98">
        <v>1.6646203724445736</v>
      </c>
      <c r="CK102" s="98">
        <v>884.91218999153534</v>
      </c>
      <c r="CL102" s="98">
        <v>1.8594874174096265</v>
      </c>
      <c r="CM102" s="98">
        <v>988.5035110949575</v>
      </c>
      <c r="CN102" s="98">
        <v>1.5280606001130632</v>
      </c>
      <c r="CO102" s="98">
        <v>812.31701502010446</v>
      </c>
      <c r="CP102" s="98">
        <v>1.7626323297172075</v>
      </c>
      <c r="CQ102" s="98">
        <v>937.01534647766755</v>
      </c>
      <c r="CR102" s="98">
        <v>1.6907652354271343</v>
      </c>
      <c r="CS102" s="98">
        <v>898.81079915306464</v>
      </c>
      <c r="CT102" s="98">
        <v>1.7232458244165498</v>
      </c>
      <c r="CU102" s="98">
        <v>916.0774802598379</v>
      </c>
    </row>
    <row r="103" spans="2:99">
      <c r="C103" s="97" t="s">
        <v>270</v>
      </c>
      <c r="D103" s="98">
        <v>0</v>
      </c>
      <c r="E103" s="98">
        <v>0</v>
      </c>
      <c r="F103" s="98">
        <v>1.8167075183802266</v>
      </c>
      <c r="G103" s="98">
        <v>1070.4040698296294</v>
      </c>
      <c r="H103" s="98">
        <v>1.8109173608664439</v>
      </c>
      <c r="I103" s="98">
        <v>1066.9925090225086</v>
      </c>
      <c r="J103" s="98">
        <v>1.5912474875195077</v>
      </c>
      <c r="K103" s="98">
        <v>937.5630196464939</v>
      </c>
      <c r="L103" s="98">
        <v>1.4438369106995372</v>
      </c>
      <c r="M103" s="98">
        <v>850.70870778416725</v>
      </c>
      <c r="N103" s="98">
        <v>1.8867341122079329</v>
      </c>
      <c r="O103" s="98">
        <v>1111.6637389129139</v>
      </c>
      <c r="P103" s="98">
        <v>1.7416234863327889</v>
      </c>
      <c r="Q103" s="98">
        <v>1026.164558147279</v>
      </c>
      <c r="R103" s="98">
        <v>2.0414674912868209</v>
      </c>
      <c r="S103" s="98">
        <v>1202.8326458661948</v>
      </c>
      <c r="T103" s="98">
        <v>1.2506786613003755</v>
      </c>
      <c r="U103" s="98">
        <v>736.89986723818117</v>
      </c>
      <c r="V103" s="98">
        <v>1.7741981699487215</v>
      </c>
      <c r="W103" s="98">
        <v>1045.3575617337865</v>
      </c>
      <c r="X103" s="98">
        <v>1.6615919894705076</v>
      </c>
      <c r="Y103" s="98">
        <v>979.01000019602293</v>
      </c>
      <c r="Z103" s="98">
        <v>1.9259846082390821</v>
      </c>
      <c r="AA103" s="98">
        <v>1134.790131174467</v>
      </c>
      <c r="AB103" s="98">
        <v>1.9054421021636834</v>
      </c>
      <c r="AC103" s="98">
        <v>1122.6864865948421</v>
      </c>
      <c r="AD103" s="98">
        <v>1.7822193852088959</v>
      </c>
      <c r="AE103" s="98">
        <v>1050.0836617650814</v>
      </c>
      <c r="AF103" s="98">
        <v>1.6541912726041634</v>
      </c>
      <c r="AG103" s="98">
        <v>974.64949781837299</v>
      </c>
      <c r="AH103" s="98">
        <v>1.3095669164837047</v>
      </c>
      <c r="AI103" s="98">
        <v>771.5968271921987</v>
      </c>
      <c r="AJ103" s="98">
        <v>1.6322245111080675</v>
      </c>
      <c r="AK103" s="98">
        <v>961.70668194487325</v>
      </c>
      <c r="AL103" s="98">
        <v>1.5135511291216441</v>
      </c>
      <c r="AM103" s="98">
        <v>891.78432527847258</v>
      </c>
      <c r="AN103" s="98">
        <v>1.5991964535736609</v>
      </c>
      <c r="AO103" s="98">
        <v>942.24655044560086</v>
      </c>
      <c r="AP103" s="98">
        <v>1.7815961774876592</v>
      </c>
      <c r="AQ103" s="98">
        <v>1049.7164677757287</v>
      </c>
      <c r="AR103" s="98">
        <v>1.8268842934546157</v>
      </c>
      <c r="AS103" s="98">
        <v>1076.4002257034595</v>
      </c>
      <c r="AT103" s="98">
        <v>1.6459949626229788</v>
      </c>
      <c r="AU103" s="98">
        <v>969.820231977459</v>
      </c>
      <c r="AV103" s="98">
        <v>1.9240458547611989</v>
      </c>
      <c r="AW103" s="98">
        <v>1133.6478176252983</v>
      </c>
      <c r="AX103" s="98">
        <v>1.7184538194115588</v>
      </c>
      <c r="AY103" s="98">
        <v>1012.5129903972903</v>
      </c>
      <c r="AZ103" s="98">
        <v>1.8001965541306475</v>
      </c>
      <c r="BA103" s="98">
        <v>1060.6758096937774</v>
      </c>
      <c r="BB103" s="98">
        <v>1.9670195245565236</v>
      </c>
      <c r="BC103" s="98">
        <v>1158.9679038687036</v>
      </c>
      <c r="BD103" s="98">
        <v>1.5283908395615975</v>
      </c>
      <c r="BE103" s="98">
        <v>900.5278826696931</v>
      </c>
      <c r="BF103" s="98">
        <v>1.4981946387161051</v>
      </c>
      <c r="BG103" s="98">
        <v>882.73628113152904</v>
      </c>
      <c r="BH103" s="98">
        <v>1.5116738864448984</v>
      </c>
      <c r="BI103" s="98">
        <v>890.67825389333404</v>
      </c>
      <c r="BJ103" s="98">
        <v>1.5186019874008936</v>
      </c>
      <c r="BK103" s="98">
        <v>894.76029097660637</v>
      </c>
      <c r="BL103" s="98">
        <v>1.5681838228243246</v>
      </c>
      <c r="BM103" s="98">
        <v>923.97390840809192</v>
      </c>
      <c r="BN103" s="98">
        <v>1.6332541644580483</v>
      </c>
      <c r="BO103" s="98">
        <v>962.31335369868191</v>
      </c>
      <c r="BP103" s="98">
        <v>1.8031471233108938</v>
      </c>
      <c r="BQ103" s="98">
        <v>1062.4142850547785</v>
      </c>
      <c r="BR103" s="98">
        <v>1.6816566858023829</v>
      </c>
      <c r="BS103" s="98">
        <v>990.83211927476395</v>
      </c>
      <c r="BT103" s="98">
        <v>1.8549921020276094</v>
      </c>
      <c r="BU103" s="98">
        <v>1092.9613465146674</v>
      </c>
      <c r="BV103" s="98">
        <v>1.8452952888715215</v>
      </c>
      <c r="BW103" s="98">
        <v>1087.2479842031003</v>
      </c>
      <c r="BX103" s="98">
        <v>1.5272474200224069</v>
      </c>
      <c r="BY103" s="98">
        <v>899.854179877202</v>
      </c>
      <c r="BZ103" s="98">
        <v>2.1620283718922666</v>
      </c>
      <c r="CA103" s="98">
        <v>1273.8671167189234</v>
      </c>
      <c r="CB103" s="98">
        <v>1.8232001908425586</v>
      </c>
      <c r="CC103" s="98">
        <v>1074.2295524444353</v>
      </c>
      <c r="CD103" s="98">
        <v>1.9884905218738902</v>
      </c>
      <c r="CE103" s="98">
        <v>1171.6186154880959</v>
      </c>
      <c r="CF103" s="98">
        <v>1.4037645832943095</v>
      </c>
      <c r="CG103" s="98">
        <v>827.09809247700707</v>
      </c>
      <c r="CH103" s="98">
        <v>1.5378259180957135</v>
      </c>
      <c r="CI103" s="98">
        <v>906.08703094199427</v>
      </c>
      <c r="CJ103" s="98">
        <v>1.7772850469096149</v>
      </c>
      <c r="CK103" s="98">
        <v>1047.176349639145</v>
      </c>
      <c r="CL103" s="98">
        <v>1.7436641585540216</v>
      </c>
      <c r="CM103" s="98">
        <v>1027.3669222200294</v>
      </c>
      <c r="CN103" s="98">
        <v>1.5193926827382889</v>
      </c>
      <c r="CO103" s="98">
        <v>895.22616866939973</v>
      </c>
      <c r="CP103" s="98">
        <v>1.7526780852864861</v>
      </c>
      <c r="CQ103" s="98">
        <v>1032.6779278507975</v>
      </c>
      <c r="CR103" s="98">
        <v>1.6932180840301303</v>
      </c>
      <c r="CS103" s="98">
        <v>997.64409511055271</v>
      </c>
      <c r="CT103" s="98">
        <v>1.8483959640486567</v>
      </c>
      <c r="CU103" s="98">
        <v>1089.0749020174685</v>
      </c>
    </row>
    <row r="104" spans="2:99">
      <c r="C104" s="97" t="s">
        <v>271</v>
      </c>
      <c r="D104" s="98">
        <v>0</v>
      </c>
      <c r="E104" s="98">
        <v>0</v>
      </c>
      <c r="F104" s="98">
        <v>1.9583275533463664</v>
      </c>
      <c r="G104" s="98">
        <v>1238.4463447362421</v>
      </c>
      <c r="H104" s="98">
        <v>1.6354670852866431</v>
      </c>
      <c r="I104" s="98">
        <v>1034.269384735273</v>
      </c>
      <c r="J104" s="98">
        <v>1.427845880185854</v>
      </c>
      <c r="K104" s="98">
        <v>902.96973462953406</v>
      </c>
      <c r="L104" s="98">
        <v>1.589467474804094</v>
      </c>
      <c r="M104" s="98">
        <v>1005.179231066109</v>
      </c>
      <c r="N104" s="98">
        <v>2.0192180395502084</v>
      </c>
      <c r="O104" s="98">
        <v>1276.9534882115518</v>
      </c>
      <c r="P104" s="98">
        <v>1.558886833526737</v>
      </c>
      <c r="Q104" s="98">
        <v>985.84003352230843</v>
      </c>
      <c r="R104" s="98">
        <v>2.0414674912868209</v>
      </c>
      <c r="S104" s="98">
        <v>1291.0240414897855</v>
      </c>
      <c r="T104" s="98">
        <v>1.4231003681155401</v>
      </c>
      <c r="U104" s="98">
        <v>899.96867279626747</v>
      </c>
      <c r="V104" s="98">
        <v>1.6163139309714101</v>
      </c>
      <c r="W104" s="98">
        <v>1022.1569299463197</v>
      </c>
      <c r="X104" s="98">
        <v>1.6439941448300741</v>
      </c>
      <c r="Y104" s="98">
        <v>1039.6618971905389</v>
      </c>
      <c r="Z104" s="98">
        <v>1.7823251691424702</v>
      </c>
      <c r="AA104" s="98">
        <v>1127.1424369656982</v>
      </c>
      <c r="AB104" s="98">
        <v>1.9054421021636834</v>
      </c>
      <c r="AC104" s="98">
        <v>1205.0015854083133</v>
      </c>
      <c r="AD104" s="98">
        <v>1.7863759199252027</v>
      </c>
      <c r="AE104" s="98">
        <v>1129.7041317606981</v>
      </c>
      <c r="AF104" s="98">
        <v>1.6577924472667893</v>
      </c>
      <c r="AG104" s="98">
        <v>1048.3879436515176</v>
      </c>
      <c r="AH104" s="98">
        <v>1.4775241077065222</v>
      </c>
      <c r="AI104" s="98">
        <v>934.38624571360458</v>
      </c>
      <c r="AJ104" s="98">
        <v>1.7735295941395219</v>
      </c>
      <c r="AK104" s="98">
        <v>1121.5801153338336</v>
      </c>
      <c r="AL104" s="98">
        <v>1.6359251952252722</v>
      </c>
      <c r="AM104" s="98">
        <v>1034.5590934604622</v>
      </c>
      <c r="AN104" s="98">
        <v>1.5991964535736609</v>
      </c>
      <c r="AO104" s="98">
        <v>1011.3318372399831</v>
      </c>
      <c r="AP104" s="98">
        <v>1.6442630927340121</v>
      </c>
      <c r="AQ104" s="98">
        <v>1039.8319798449893</v>
      </c>
      <c r="AR104" s="98">
        <v>1.7074455082705431</v>
      </c>
      <c r="AS104" s="98">
        <v>1079.7885394302914</v>
      </c>
      <c r="AT104" s="98">
        <v>1.6419375897680091</v>
      </c>
      <c r="AU104" s="98">
        <v>1038.3613317692889</v>
      </c>
      <c r="AV104" s="98">
        <v>1.7800281208694817</v>
      </c>
      <c r="AW104" s="98">
        <v>1125.6897836378603</v>
      </c>
      <c r="AX104" s="98">
        <v>1.7184538194115588</v>
      </c>
      <c r="AY104" s="98">
        <v>1086.7501953958697</v>
      </c>
      <c r="AZ104" s="98">
        <v>1.6208907366770395</v>
      </c>
      <c r="BA104" s="98">
        <v>1025.0513018745598</v>
      </c>
      <c r="BB104" s="98">
        <v>1.8505662969117966</v>
      </c>
      <c r="BC104" s="98">
        <v>1170.2981261670202</v>
      </c>
      <c r="BD104" s="98">
        <v>1.6559657643368246</v>
      </c>
      <c r="BE104" s="98">
        <v>1047.2327493666078</v>
      </c>
      <c r="BF104" s="98">
        <v>1.6232077026370155</v>
      </c>
      <c r="BG104" s="98">
        <v>1026.5165511476487</v>
      </c>
      <c r="BH104" s="98">
        <v>1.8293015543770339</v>
      </c>
      <c r="BI104" s="98">
        <v>1156.8503029880362</v>
      </c>
      <c r="BJ104" s="98">
        <v>1.358783981150248</v>
      </c>
      <c r="BK104" s="98">
        <v>859.29498967941686</v>
      </c>
      <c r="BL104" s="98">
        <v>1.8037754701306841</v>
      </c>
      <c r="BM104" s="98">
        <v>1140.7076073106446</v>
      </c>
      <c r="BN104" s="98">
        <v>1.7713711987784611</v>
      </c>
      <c r="BO104" s="98">
        <v>1120.2151461074986</v>
      </c>
      <c r="BP104" s="98">
        <v>1.5743671591843793</v>
      </c>
      <c r="BQ104" s="98">
        <v>995.62979146820146</v>
      </c>
      <c r="BR104" s="98">
        <v>1.6781833666235497</v>
      </c>
      <c r="BS104" s="98">
        <v>1061.2831610527328</v>
      </c>
      <c r="BT104" s="98">
        <v>1.8549921020276094</v>
      </c>
      <c r="BU104" s="98">
        <v>1173.0970053222602</v>
      </c>
      <c r="BV104" s="98">
        <v>1.8452952888715215</v>
      </c>
      <c r="BW104" s="98">
        <v>1166.9647406823501</v>
      </c>
      <c r="BX104" s="98">
        <v>1.3802271329564517</v>
      </c>
      <c r="BY104" s="98">
        <v>872.85563888166007</v>
      </c>
      <c r="BZ104" s="98">
        <v>2.158667995964263</v>
      </c>
      <c r="CA104" s="98">
        <v>1365.1416406477999</v>
      </c>
      <c r="CB104" s="98">
        <v>1.9453298083090518</v>
      </c>
      <c r="CC104" s="98">
        <v>1230.2265707746442</v>
      </c>
      <c r="CD104" s="98">
        <v>1.995904988823501</v>
      </c>
      <c r="CE104" s="98">
        <v>1262.2103149319819</v>
      </c>
      <c r="CF104" s="98">
        <v>1.2504647876393529</v>
      </c>
      <c r="CG104" s="98">
        <v>790.79393170312676</v>
      </c>
      <c r="CH104" s="98">
        <v>1.5431280761358785</v>
      </c>
      <c r="CI104" s="98">
        <v>975.87419534832952</v>
      </c>
      <c r="CJ104" s="98">
        <v>1.6612621059086508</v>
      </c>
      <c r="CK104" s="98">
        <v>1050.5821557766308</v>
      </c>
      <c r="CL104" s="98">
        <v>1.8692585001756703</v>
      </c>
      <c r="CM104" s="98">
        <v>1182.1190755110938</v>
      </c>
      <c r="CN104" s="98">
        <v>1.5280606001130632</v>
      </c>
      <c r="CO104" s="98">
        <v>966.34552351150114</v>
      </c>
      <c r="CP104" s="98">
        <v>1.7526780852864861</v>
      </c>
      <c r="CQ104" s="98">
        <v>1108.3936211351738</v>
      </c>
      <c r="CR104" s="98">
        <v>1.8322755505301445</v>
      </c>
      <c r="CS104" s="98">
        <v>1158.7310581552633</v>
      </c>
      <c r="CT104" s="98">
        <v>1.7232458244165498</v>
      </c>
      <c r="CU104" s="98">
        <v>1089.780659361026</v>
      </c>
    </row>
    <row r="105" spans="2:99">
      <c r="C105" s="97" t="s">
        <v>272</v>
      </c>
      <c r="D105" s="98">
        <v>0</v>
      </c>
      <c r="E105" s="98">
        <v>0</v>
      </c>
      <c r="F105" s="98">
        <v>1.9583275533463664</v>
      </c>
      <c r="G105" s="98">
        <v>1090.3967817032567</v>
      </c>
      <c r="H105" s="98">
        <v>1.6354670852866431</v>
      </c>
      <c r="I105" s="98">
        <v>910.62807308760284</v>
      </c>
      <c r="J105" s="98">
        <v>1.5912474875195077</v>
      </c>
      <c r="K105" s="98">
        <v>886.00660105086183</v>
      </c>
      <c r="L105" s="98">
        <v>1.5937630178285624</v>
      </c>
      <c r="M105" s="98">
        <v>887.40724832694355</v>
      </c>
      <c r="N105" s="98">
        <v>1.7378058791898221</v>
      </c>
      <c r="O105" s="98">
        <v>967.61031353289286</v>
      </c>
      <c r="P105" s="98">
        <v>1.3707616467718891</v>
      </c>
      <c r="Q105" s="98">
        <v>763.24008492258781</v>
      </c>
      <c r="R105" s="98">
        <v>2.0414674912868209</v>
      </c>
      <c r="S105" s="98">
        <v>1136.6890991485018</v>
      </c>
      <c r="T105" s="98">
        <v>1.2506786613003755</v>
      </c>
      <c r="U105" s="98">
        <v>696.37787861204902</v>
      </c>
      <c r="V105" s="98">
        <v>1.7741981699487215</v>
      </c>
      <c r="W105" s="98">
        <v>987.87354102744803</v>
      </c>
      <c r="X105" s="98">
        <v>1.4983657646301958</v>
      </c>
      <c r="Y105" s="98">
        <v>834.29005774609288</v>
      </c>
      <c r="Z105" s="98">
        <v>1.7823251691424702</v>
      </c>
      <c r="AA105" s="98">
        <v>992.39865417852729</v>
      </c>
      <c r="AB105" s="98">
        <v>1.7490821595838915</v>
      </c>
      <c r="AC105" s="98">
        <v>973.88894645631069</v>
      </c>
      <c r="AD105" s="98">
        <v>1.9059580258241251</v>
      </c>
      <c r="AE105" s="98">
        <v>1061.2374287788728</v>
      </c>
      <c r="AF105" s="98">
        <v>1.6541912726041634</v>
      </c>
      <c r="AG105" s="98">
        <v>921.05370058599817</v>
      </c>
      <c r="AH105" s="98">
        <v>1.4775241077065222</v>
      </c>
      <c r="AI105" s="98">
        <v>822.6854231709915</v>
      </c>
      <c r="AJ105" s="98">
        <v>1.6291097671975847</v>
      </c>
      <c r="AK105" s="98">
        <v>907.08831837561513</v>
      </c>
      <c r="AL105" s="98">
        <v>1.6359251952252722</v>
      </c>
      <c r="AM105" s="98">
        <v>910.88314870143154</v>
      </c>
      <c r="AN105" s="98">
        <v>1.7982719389625434</v>
      </c>
      <c r="AO105" s="98">
        <v>1001.2778156143441</v>
      </c>
      <c r="AP105" s="98">
        <v>1.5106639322901179</v>
      </c>
      <c r="AQ105" s="98">
        <v>841.13767749913757</v>
      </c>
      <c r="AR105" s="98">
        <v>1.588006723086471</v>
      </c>
      <c r="AS105" s="98">
        <v>884.20214341454698</v>
      </c>
      <c r="AT105" s="98">
        <v>1.6500523354779484</v>
      </c>
      <c r="AU105" s="98">
        <v>918.74914039412158</v>
      </c>
      <c r="AV105" s="98">
        <v>1.7800281208694817</v>
      </c>
      <c r="AW105" s="98">
        <v>991.11965770012728</v>
      </c>
      <c r="AX105" s="98">
        <v>1.5572860914149926</v>
      </c>
      <c r="AY105" s="98">
        <v>867.09689569986779</v>
      </c>
      <c r="AZ105" s="98">
        <v>1.97236399198969</v>
      </c>
      <c r="BA105" s="98">
        <v>1098.2122707398594</v>
      </c>
      <c r="BB105" s="98">
        <v>1.7221398520854281</v>
      </c>
      <c r="BC105" s="98">
        <v>958.88746964116626</v>
      </c>
      <c r="BD105" s="98">
        <v>1.7810324313709249</v>
      </c>
      <c r="BE105" s="98">
        <v>991.67885778733091</v>
      </c>
      <c r="BF105" s="98">
        <v>1.6232077026370155</v>
      </c>
      <c r="BG105" s="98">
        <v>903.80204882829014</v>
      </c>
      <c r="BH105" s="98">
        <v>1.8293015543770339</v>
      </c>
      <c r="BI105" s="98">
        <v>1018.5551054771324</v>
      </c>
      <c r="BJ105" s="98">
        <v>1.3540639852005372</v>
      </c>
      <c r="BK105" s="98">
        <v>753.94282695965899</v>
      </c>
      <c r="BL105" s="98">
        <v>1.6869242135373244</v>
      </c>
      <c r="BM105" s="98">
        <v>939.27940209758208</v>
      </c>
      <c r="BN105" s="98">
        <v>1.4951371301376355</v>
      </c>
      <c r="BO105" s="98">
        <v>832.49235406063542</v>
      </c>
      <c r="BP105" s="98">
        <v>1.6962397748786684</v>
      </c>
      <c r="BQ105" s="98">
        <v>944.46630665244254</v>
      </c>
      <c r="BR105" s="98">
        <v>1.4513437854844229</v>
      </c>
      <c r="BS105" s="98">
        <v>808.1082197577266</v>
      </c>
      <c r="BT105" s="98">
        <v>1.6117677318982913</v>
      </c>
      <c r="BU105" s="98">
        <v>897.43227312096849</v>
      </c>
      <c r="BV105" s="98">
        <v>1.977221227296236</v>
      </c>
      <c r="BW105" s="98">
        <v>1100.9167793585441</v>
      </c>
      <c r="BX105" s="98">
        <v>1.3897345578502609</v>
      </c>
      <c r="BY105" s="98">
        <v>773.80420181102522</v>
      </c>
      <c r="BZ105" s="98">
        <v>1.8759981729253004</v>
      </c>
      <c r="CA105" s="98">
        <v>1044.5557826848071</v>
      </c>
      <c r="CB105" s="98">
        <v>1.8261148812275056</v>
      </c>
      <c r="CC105" s="98">
        <v>1016.7807658674751</v>
      </c>
      <c r="CD105" s="98">
        <v>1.8469365847291457</v>
      </c>
      <c r="CE105" s="98">
        <v>1028.3742903771881</v>
      </c>
      <c r="CF105" s="98">
        <v>1.5550588437492912</v>
      </c>
      <c r="CG105" s="98">
        <v>865.85676419960521</v>
      </c>
      <c r="CH105" s="98">
        <v>1.7234264603074714</v>
      </c>
      <c r="CI105" s="98">
        <v>959.60385309920002</v>
      </c>
      <c r="CJ105" s="98">
        <v>1.7806433134455377</v>
      </c>
      <c r="CK105" s="98">
        <v>991.46219692647537</v>
      </c>
      <c r="CL105" s="98">
        <v>1.7485496999370433</v>
      </c>
      <c r="CM105" s="98">
        <v>973.5924729249457</v>
      </c>
      <c r="CN105" s="98">
        <v>1.6872509900009016</v>
      </c>
      <c r="CO105" s="98">
        <v>939.4613512325019</v>
      </c>
      <c r="CP105" s="98">
        <v>1.7576552075018468</v>
      </c>
      <c r="CQ105" s="98">
        <v>978.6624195370282</v>
      </c>
      <c r="CR105" s="98">
        <v>1.6932180840301303</v>
      </c>
      <c r="CS105" s="98">
        <v>942.78382918797649</v>
      </c>
      <c r="CT105" s="98">
        <v>1.8466985446114244</v>
      </c>
      <c r="CU105" s="98">
        <v>1028.2417496396411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431</v>
      </c>
      <c r="E109" s="98">
        <f>SUM(L$6:L$19)+SUM(N$6:N$19)+SUM(P$6:P$19)+SUM(R$6:R$19)</f>
        <v>602</v>
      </c>
      <c r="F109" s="98">
        <f>SUM(T$6:T$19)+SUM(V$6:V$19)+SUM(X$6:X$19)+SUM(Z$6:Z$19)</f>
        <v>504.67269553401263</v>
      </c>
      <c r="G109" s="98">
        <f>SUM(AB$6:AB$19)+SUM(AD$6:AD$19)+SUM(AF$6:AF$19)+SUM(AH$6:AH$19)</f>
        <v>86.031697801610932</v>
      </c>
      <c r="H109" s="98">
        <f>SUM(AJ$6:AJ$19)+SUM(AL$6:AL$19)+SUM(AN$6:AN$19)+SUM(AP$6:AP$19)</f>
        <v>93.677513966709427</v>
      </c>
      <c r="I109" s="98">
        <f>SUM(AR$6:AR$19)+SUM(AT$6:AT$19)+SUM(AV$6:AV$19)+SUM(AX$6:AX$19)</f>
        <v>75.602817989776412</v>
      </c>
      <c r="J109" s="98">
        <f>SUM(AZ$6:AZ$19)+SUM(BB$6:BB$19)+SUM(BD$6:BD$19)+SUM(BF$6:BF$19)</f>
        <v>85.139383619444516</v>
      </c>
      <c r="K109" s="98">
        <f>SUM(BH$6:BH$19)+SUM(BJ$6:BJ$19)+SUM(BL$6:BL$19)+SUM(BN$6:BN$19)</f>
        <v>84.903927095586653</v>
      </c>
      <c r="L109" s="98">
        <f>SUM(BP$6:BP$19)+SUM(BR$6:BR$19)+SUM(BT$6:BT$19)+SUM(BV$6:BV$19)</f>
        <v>78.722488797613266</v>
      </c>
      <c r="M109" s="98">
        <f>SUM(BX$6:BX$19)+SUM(BZ$6:BZ$19)+SUM(CB$6:CB$19)+SUM(CD$6:CD$19)</f>
        <v>87.962658656226623</v>
      </c>
      <c r="N109" s="98">
        <f>SUM(CF$6:CF$19)+SUM(CH$6:CH$19)+SUM(CJ$6:CJ$19)+SUM(CL$6:CL$19)</f>
        <v>85.134252164232151</v>
      </c>
      <c r="O109" s="98">
        <f>SUM(CN$6:CN$19)+SUM(CP$6:CP$19)+SUM(CR$6:CR$19)+SUM(CT$6:CT$19)</f>
        <v>72.132746573007395</v>
      </c>
    </row>
    <row r="110" spans="2:99">
      <c r="C110" s="97" t="s">
        <v>127</v>
      </c>
      <c r="D110" s="98">
        <f>SUM(D$20:D$36)+SUM(F$20:F$36)+SUM(H$20:H$36)+SUM(J$20:J$36)</f>
        <v>901</v>
      </c>
      <c r="E110" s="98">
        <f>SUM(L$20:L$36)+SUM(N$20:N$36)+SUM(P$20:P$36)+SUM(R$20:R$36)</f>
        <v>879</v>
      </c>
      <c r="F110" s="98">
        <f>SUM(T$20:T$36)+SUM(V$20:V$36)+SUM(X$20:X$36)+SUM(Z$20:Z$36)</f>
        <v>849.38239577859372</v>
      </c>
      <c r="G110" s="98">
        <f>SUM(AB$20:AB$36)+SUM(AD$20:AD$36)+SUM(AF$20:AF$36)+SUM(AH$20:AH$36)</f>
        <v>134.19212634268118</v>
      </c>
      <c r="H110" s="98">
        <f>SUM(AJ$20:AJ$36)+SUM(AL$20:AL$36)+SUM(AN$20:AN$36)+SUM(AP$20:AP$36)</f>
        <v>133.12494091833295</v>
      </c>
      <c r="I110" s="98">
        <f>SUM(AR$20:AR$36)+SUM(AT$20:AT$36)+SUM(AV$20:AV$36)+SUM(AX$20:AX$36)</f>
        <v>140.57117534189194</v>
      </c>
      <c r="J110" s="98">
        <f>SUM(AZ$20:AZ$36)+SUM(BB$20:BB$36)+SUM(BD$20:BD$36)+SUM(BF$20:BF$36)</f>
        <v>138.49125774386687</v>
      </c>
      <c r="K110" s="98">
        <f>SUM(BH$20:BH$36)+SUM(BJ$20:BJ$36)+SUM(BL$20:BL$36)+SUM(BN$20:BN$36)</f>
        <v>150.12627624596774</v>
      </c>
      <c r="L110" s="98">
        <f>SUM(BP$20:BP$36)+SUM(BR$20:BR$36)+SUM(BT$20:BT$36)+SUM(BV$20:BV$36)</f>
        <v>143.81914226436132</v>
      </c>
      <c r="M110" s="98">
        <f>SUM(BX$20:BX$36)+SUM(BZ$20:BZ$36)+SUM(CB$20:CB$36)+SUM(CD$20:CD$36)</f>
        <v>153.36756006031919</v>
      </c>
      <c r="N110" s="98">
        <f>SUM(CF$20:CF$36)+SUM(CH$20:CH$36)+SUM(CJ$20:CJ$36)+SUM(CL$20:CL$36)</f>
        <v>144.11518374494844</v>
      </c>
      <c r="O110" s="98">
        <f>SUM(CN$20:CN$36)+SUM(CP$20:CP$36)+SUM(CR$20:CR$36)+SUM(CT$20:CT$36)</f>
        <v>155.0252438531663</v>
      </c>
    </row>
    <row r="111" spans="2:99">
      <c r="C111" s="97" t="s">
        <v>128</v>
      </c>
      <c r="D111" s="98">
        <f>SUM(D$37:D$48)+SUM(F$37:F$48)+SUM(H$37:H$48)+SUM(J$37:J$48)</f>
        <v>394</v>
      </c>
      <c r="E111" s="98">
        <f>SUM(L$37:L$48)+SUM(N$37:N$48)+SUM(P$37:P$48)+SUM(R$37:R$48)</f>
        <v>421</v>
      </c>
      <c r="F111" s="98">
        <f>SUM(T$37:T$48)+SUM(V$37:V$48)+SUM(X$37:X$48)+SUM(Z$37:Z$48)</f>
        <v>425.63363271129265</v>
      </c>
      <c r="G111" s="98">
        <f>SUM(AB$37:AB$48)+SUM(AD$37:AD$48)+SUM(AF$37:AF$48)+SUM(AH$37:AH$48)</f>
        <v>72.654835290322154</v>
      </c>
      <c r="H111" s="98">
        <f>SUM(AJ$37:AJ$48)+SUM(AL$37:AL$48)+SUM(AN$37:AN$48)+SUM(AP$37:AP$48)</f>
        <v>62.842898491532566</v>
      </c>
      <c r="I111" s="98">
        <f>SUM(AR$37:AR$48)+SUM(AT$37:AT$48)+SUM(AV$37:AV$48)+SUM(AX$37:AX$48)</f>
        <v>66.821872319939814</v>
      </c>
      <c r="J111" s="98">
        <f>SUM(AZ$37:AZ$48)+SUM(BB$37:BB$48)+SUM(BD$37:BD$48)+SUM(BF$37:BF$48)</f>
        <v>60.747246676571528</v>
      </c>
      <c r="K111" s="98">
        <f>SUM(BH$37:BH$48)+SUM(BJ$37:BJ$48)+SUM(BL$37:BL$48)+SUM(BN$37:BN$48)</f>
        <v>53.542925735027474</v>
      </c>
      <c r="L111" s="98">
        <f>SUM(BP$37:BP$48)+SUM(BR$37:BR$48)+SUM(BT$37:BT$48)+SUM(BV$37:BV$48)</f>
        <v>55.521691546385966</v>
      </c>
      <c r="M111" s="98">
        <f>SUM(BX$37:BX$48)+SUM(BZ$37:BZ$48)+SUM(CB$37:CB$48)+SUM(CD$37:CD$48)</f>
        <v>56.773091649964925</v>
      </c>
      <c r="N111" s="98">
        <f>SUM(CF$37:CF$48)+SUM(CH$37:CH$48)+SUM(CJ$37:CJ$48)+SUM(CL$37:CL$48)</f>
        <v>57.838876779478582</v>
      </c>
      <c r="O111" s="98">
        <f>SUM(CN$37:CN$48)+SUM(CP$37:CP$48)+SUM(CR$37:CR$48)+SUM(CT$37:CT$48)</f>
        <v>64.319137478027358</v>
      </c>
    </row>
    <row r="112" spans="2:99">
      <c r="C112" s="97" t="s">
        <v>129</v>
      </c>
      <c r="D112" s="98">
        <f>SUM(D$49:D$70)+SUM(F$49:F$70)+SUM(H$49:H$70)+SUM(J$49:J$70)</f>
        <v>444.97412030552528</v>
      </c>
      <c r="E112" s="98">
        <f>SUM(L$49:L$70)+SUM(N$49:N$70)+SUM(P$49:P$70)+SUM(R$49:R$70)</f>
        <v>491.6813925290632</v>
      </c>
      <c r="F112" s="98">
        <f>SUM(T$49:T$70)+SUM(V$49:V$70)+SUM(X$49:X$70)+SUM(Z$49:Z$70)</f>
        <v>583.75135224531437</v>
      </c>
      <c r="G112" s="98">
        <f>SUM(AB$49:AB$70)+SUM(AD$49:AD$70)+SUM(AF$49:AF$70)+SUM(AH$49:AH$70)</f>
        <v>113.66876882750071</v>
      </c>
      <c r="H112" s="98">
        <f>SUM(AJ$49:AJ$70)+SUM(AL$49:AL$70)+SUM(AN$49:AN$70)+SUM(AP$49:AP$70)</f>
        <v>84.14608255296659</v>
      </c>
      <c r="I112" s="98">
        <f>SUM(AR$49:AR$70)+SUM(AT$49:AT$70)+SUM(AV$49:AV$70)+SUM(AX$49:AX$70)</f>
        <v>86.581721640646208</v>
      </c>
      <c r="J112" s="98">
        <f>SUM(AZ$49:AZ$70)+SUM(BB$49:BB$70)+SUM(BD$49:BD$70)+SUM(BF$49:BF$70)</f>
        <v>85.42813463669016</v>
      </c>
      <c r="K112" s="98">
        <f>SUM(BH$49:BH$70)+SUM(BJ$49:BJ$70)+SUM(BL$49:BL$70)+SUM(BN$49:BN$70)</f>
        <v>80.928030162094544</v>
      </c>
      <c r="L112" s="98">
        <f>SUM(BP$49:BP$70)+SUM(BR$49:BR$70)+SUM(BT$49:BT$70)+SUM(BV$49:BV$70)</f>
        <v>91.129118666555797</v>
      </c>
      <c r="M112" s="98">
        <f>SUM(BX$49:BX$70)+SUM(BZ$49:BZ$70)+SUM(CB$49:CB$70)+SUM(CD$49:CD$70)</f>
        <v>68.255209139898412</v>
      </c>
      <c r="N112" s="98">
        <f>SUM(CF$49:CF$70)+SUM(CH$49:CH$70)+SUM(CJ$49:CJ$70)+SUM(CL$49:CL$70)</f>
        <v>82.207382570074643</v>
      </c>
      <c r="O112" s="98">
        <f>SUM(CN$49:CN$70)+SUM(CP$49:CP$70)+SUM(CR$49:CR$70)+SUM(CT$49:CT$70)</f>
        <v>76.011040004371409</v>
      </c>
    </row>
    <row r="113" spans="2:15">
      <c r="C113" s="97" t="s">
        <v>130</v>
      </c>
      <c r="D113" s="98">
        <f>SUM(D$71:D$86)+SUM(F$71:F$86)+SUM(H$71:H$86)+SUM(J$71:J$86)</f>
        <v>329</v>
      </c>
      <c r="E113" s="98">
        <f>SUM(L$71:L$86)+SUM(N$71:N$86)+SUM(P$71:P$86)+SUM(R$71:R$86)</f>
        <v>376</v>
      </c>
      <c r="F113" s="98">
        <f>SUM(T$71:T$86)+SUM(V$71:V$86)+SUM(X$71:X$86)+SUM(Z$71:Z$86)</f>
        <v>424.43679317394265</v>
      </c>
      <c r="G113" s="98">
        <f>SUM(AB$71:AB$86)+SUM(AD$71:AD$86)+SUM(AF$71:AF$86)+SUM(AH$71:AH$86)</f>
        <v>409.81092227008412</v>
      </c>
      <c r="H113" s="98">
        <f>SUM(AJ$71:AJ$86)+SUM(AL$71:AL$86)+SUM(AN$71:AN$86)+SUM(AP$71:AP$86)</f>
        <v>126.86704278360652</v>
      </c>
      <c r="I113" s="98">
        <f>SUM(AR$71:AR$86)+SUM(AT$71:AT$86)+SUM(AV$71:AV$86)+SUM(AX$71:AX$86)</f>
        <v>53.194084239161633</v>
      </c>
      <c r="J113" s="98">
        <f>SUM(AZ$71:AZ$86)+SUM(BB$71:BB$86)+SUM(BD$71:BD$86)+SUM(BF$71:BF$86)</f>
        <v>53.267081452650288</v>
      </c>
      <c r="K113" s="98">
        <f>SUM(BH$71:BH$86)+SUM(BJ$71:BJ$86)+SUM(BL$71:BL$86)+SUM(BN$71:BN$86)</f>
        <v>53.537478735415007</v>
      </c>
      <c r="L113" s="98">
        <f>SUM(BP$71:BP$86)+SUM(BR$71:BR$86)+SUM(BT$71:BT$86)+SUM(BV$71:BV$86)</f>
        <v>52.862477613496935</v>
      </c>
      <c r="M113" s="98">
        <f>SUM(BX$71:BX$86)+SUM(BZ$71:BZ$86)+SUM(CB$71:CB$86)+SUM(CD$71:CD$86)</f>
        <v>55.048542164987566</v>
      </c>
      <c r="N113" s="98">
        <f>SUM(CF$71:CF$86)+SUM(CH$71:CH$86)+SUM(CJ$71:CJ$86)+SUM(CL$71:CL$86)</f>
        <v>53.592661976017844</v>
      </c>
      <c r="O113" s="98">
        <f>SUM(CN$71:CN$86)+SUM(CP$71:CP$86)+SUM(CR$71:CR$86)+SUM(CT$71:CT$86)</f>
        <v>54.800909383059391</v>
      </c>
    </row>
    <row r="114" spans="2:15">
      <c r="C114" s="97" t="s">
        <v>131</v>
      </c>
      <c r="D114" s="98">
        <f>SUM(D$87:D$94)+SUM(F$87:F$94)+SUM(H$87:H$94)+SUM(J$87:J$94)</f>
        <v>25.762583965973988</v>
      </c>
      <c r="E114" s="98">
        <f>SUM(L$87:L$94)+SUM(N$87:N$94)+SUM(P$87:P$94)+SUM(R$87:R$94)</f>
        <v>32.218127571973852</v>
      </c>
      <c r="F114" s="98">
        <f>SUM(T$87:T$94)+SUM(V$87:V$94)+SUM(X$87:X$94)+SUM(Z$87:Z$94)</f>
        <v>33.061666230773156</v>
      </c>
      <c r="G114" s="98">
        <f>SUM(AB$87:AB$94)+SUM(AD$87:AD$94)+SUM(AF$87:AF$94)+SUM(AH$87:AH$94)</f>
        <v>34.839465587094807</v>
      </c>
      <c r="H114" s="98">
        <f>SUM(AJ$87:AJ$94)+SUM(AL$87:AL$94)+SUM(AN$87:AN$94)+SUM(AP$87:AP$94)</f>
        <v>36.427076936654686</v>
      </c>
      <c r="I114" s="98">
        <f>SUM(AR$87:AR$94)+SUM(AT$87:AT$94)+SUM(AV$87:AV$94)+SUM(AX$87:AX$94)</f>
        <v>30.659930253626996</v>
      </c>
      <c r="J114" s="98">
        <f>SUM(AZ$87:AZ$94)+SUM(BB$87:BB$94)+SUM(BD$87:BD$94)+SUM(BF$87:BF$94)</f>
        <v>31.158257634216852</v>
      </c>
      <c r="K114" s="98">
        <f>SUM(BH$87:BH$94)+SUM(BJ$87:BJ$94)+SUM(BL$87:BL$94)+SUM(BN$87:BN$94)</f>
        <v>35.16317217777933</v>
      </c>
      <c r="L114" s="98">
        <f>SUM(BP$87:BP$94)+SUM(BR$87:BR$94)+SUM(BT$87:BT$94)+SUM(BV$87:BV$94)</f>
        <v>31.701235807998156</v>
      </c>
      <c r="M114" s="98">
        <f>SUM(BX$87:BX$94)+SUM(BZ$87:BZ$94)+SUM(CB$87:CB$94)+SUM(CD$87:CD$94)</f>
        <v>31.280585048624765</v>
      </c>
      <c r="N114" s="98">
        <f>SUM(CF$87:CF$94)+SUM(CH$87:CH$94)+SUM(CJ$87:CJ$94)+SUM(CL$87:CL$94)</f>
        <v>35.65488456248908</v>
      </c>
      <c r="O114" s="98">
        <f>SUM(CN$87:CN$94)+SUM(CP$87:CP$94)+SUM(CR$87:CR$94)+SUM(CT$87:CT$94)</f>
        <v>33.81993762143906</v>
      </c>
    </row>
    <row r="115" spans="2:15">
      <c r="C115" s="97" t="s">
        <v>132</v>
      </c>
      <c r="D115" s="98">
        <f>SUM(D$95:D$105)+SUM(F$95:F$105)+SUM(H$95:H$105)+SUM(J$95:J$105)</f>
        <v>55.121566322250793</v>
      </c>
      <c r="E115" s="98">
        <f>SUM(L$95:L$105)+SUM(N$95:N$105)+SUM(P$95:P$105)+SUM(R$95:R$105)</f>
        <v>74.578174023962958</v>
      </c>
      <c r="F115" s="98">
        <f>SUM(T$95:T$105)+SUM(V$95:V$105)+SUM(X$95:X$105)+SUM(Z$95:Z$105)</f>
        <v>71.352173067152478</v>
      </c>
      <c r="G115" s="98">
        <f>SUM(AB$95:AB$105)+SUM(AD$95:AD$105)+SUM(AF$95:AF$105)+SUM(AH$95:AH$105)</f>
        <v>72.447585796623642</v>
      </c>
      <c r="H115" s="98">
        <f>SUM(AJ$95:AJ$105)+SUM(AL$95:AL$105)+SUM(AN$95:AN$105)+SUM(AP$95:AP$105)</f>
        <v>70.787073548644543</v>
      </c>
      <c r="I115" s="98">
        <f>SUM(AR$95:AR$105)+SUM(AT$95:AT$105)+SUM(AV$95:AV$105)+SUM(AX$95:AX$105)</f>
        <v>76.08638521495719</v>
      </c>
      <c r="J115" s="98">
        <f>SUM(AZ$95:AZ$105)+SUM(BB$95:BB$105)+SUM(BD$95:BD$105)+SUM(BF$95:BF$105)</f>
        <v>75.286625236559956</v>
      </c>
      <c r="K115" s="98">
        <f>SUM(BH$95:BH$105)+SUM(BJ$95:BJ$105)+SUM(BL$95:BL$105)+SUM(BN$95:BN$105)</f>
        <v>71.316176848129373</v>
      </c>
      <c r="L115" s="98">
        <f>SUM(BP$95:BP$105)+SUM(BR$95:BR$105)+SUM(BT$95:BT$105)+SUM(BV$95:BV$105)</f>
        <v>75.76183230358869</v>
      </c>
      <c r="M115" s="98">
        <f>SUM(BX$95:BX$105)+SUM(BZ$95:BZ$105)+SUM(CB$95:CB$105)+SUM(CD$95:CD$105)</f>
        <v>76.830340279978614</v>
      </c>
      <c r="N115" s="98">
        <f>SUM(CF$95:CF$105)+SUM(CH$95:CH$105)+SUM(CJ$95:CJ$105)+SUM(CL$95:CL$105)</f>
        <v>70.974745202759365</v>
      </c>
      <c r="O115" s="98">
        <f>SUM(CN$95:CN$105)+SUM(CP$95:CP$105)+SUM(CR$95:CR$105)+SUM(CT$95:CT$105)</f>
        <v>73.408972086929211</v>
      </c>
    </row>
    <row r="116" spans="2:15">
      <c r="C116" s="97" t="s">
        <v>279</v>
      </c>
      <c r="D116" s="98">
        <f t="shared" ref="D116:O116" si="0">SUM(D$109:D$115)</f>
        <v>2580.8582705937501</v>
      </c>
      <c r="E116" s="98">
        <f t="shared" si="0"/>
        <v>2876.4776941250002</v>
      </c>
      <c r="F116" s="98">
        <f t="shared" si="0"/>
        <v>2892.2907087410808</v>
      </c>
      <c r="G116" s="98">
        <f t="shared" si="0"/>
        <v>923.64540191591755</v>
      </c>
      <c r="H116" s="98">
        <f t="shared" si="0"/>
        <v>607.87262919844727</v>
      </c>
      <c r="I116" s="98">
        <f t="shared" si="0"/>
        <v>529.51798700000018</v>
      </c>
      <c r="J116" s="98">
        <f t="shared" si="0"/>
        <v>529.51798700000018</v>
      </c>
      <c r="K116" s="98">
        <f t="shared" si="0"/>
        <v>529.51798700000018</v>
      </c>
      <c r="L116" s="98">
        <f t="shared" si="0"/>
        <v>529.51798700000006</v>
      </c>
      <c r="M116" s="98">
        <f t="shared" si="0"/>
        <v>529.51798700000006</v>
      </c>
      <c r="N116" s="98">
        <f t="shared" si="0"/>
        <v>529.51798700000006</v>
      </c>
      <c r="O116" s="98">
        <f t="shared" si="0"/>
        <v>529.51798700000006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D109*pricing!D24*2000</f>
        <v>2844600</v>
      </c>
      <c r="E120" s="98">
        <f>E109*pricing!E24*2000</f>
        <v>3973200</v>
      </c>
      <c r="F120" s="98">
        <f>F109*pricing!F24*2000</f>
        <v>3330839.7905244832</v>
      </c>
      <c r="G120" s="98">
        <f>G109*pricing!G24*2000</f>
        <v>567809.20549063222</v>
      </c>
      <c r="H120" s="98">
        <f>H109*pricing!H24*2000</f>
        <v>618271.59218028211</v>
      </c>
      <c r="I120" s="98">
        <f>I109*pricing!I24*2000</f>
        <v>498978.59873252432</v>
      </c>
      <c r="J120" s="98">
        <f>J109*pricing!J24*2000</f>
        <v>561919.93188833375</v>
      </c>
      <c r="K120" s="98">
        <f>K109*pricing!K24*2000</f>
        <v>560365.91883087193</v>
      </c>
      <c r="L120" s="98">
        <f>L109*pricing!L24*2000</f>
        <v>519568.42606424756</v>
      </c>
      <c r="M120" s="98">
        <f>M109*pricing!M24*2000</f>
        <v>580553.54713109566</v>
      </c>
      <c r="N120" s="98">
        <f>N109*pricing!N24*2000</f>
        <v>561886.06428393209</v>
      </c>
      <c r="O120" s="98">
        <f>O109*pricing!O24*2000</f>
        <v>476076.12738184875</v>
      </c>
    </row>
    <row r="121" spans="2:15">
      <c r="C121" s="97" t="s">
        <v>127</v>
      </c>
      <c r="D121" s="98">
        <f>D110*pricing!D25*2000</f>
        <v>5946599.9999999991</v>
      </c>
      <c r="E121" s="98">
        <f>E110*pricing!E25*2000</f>
        <v>5801400</v>
      </c>
      <c r="F121" s="98">
        <f>F110*pricing!F25*2000</f>
        <v>5605923.8121387176</v>
      </c>
      <c r="G121" s="98">
        <f>G110*pricing!G25*2000</f>
        <v>885668.03386169567</v>
      </c>
      <c r="H121" s="98">
        <f>H110*pricing!H25*2000</f>
        <v>878624.61006099754</v>
      </c>
      <c r="I121" s="98">
        <f>I110*pricing!I25*2000</f>
        <v>927769.75725648669</v>
      </c>
      <c r="J121" s="98">
        <f>J110*pricing!J25*2000</f>
        <v>914042.3011095213</v>
      </c>
      <c r="K121" s="98">
        <f>K110*pricing!K25*2000</f>
        <v>990833.4232233871</v>
      </c>
      <c r="L121" s="98">
        <f>L110*pricing!L25*2000</f>
        <v>949206.3389447846</v>
      </c>
      <c r="M121" s="98">
        <f>M110*pricing!M25*2000</f>
        <v>1012225.8963981067</v>
      </c>
      <c r="N121" s="98">
        <f>N110*pricing!N25*2000</f>
        <v>951160.21271665965</v>
      </c>
      <c r="O121" s="98">
        <f>O110*pricing!O25*2000</f>
        <v>1023166.6094308975</v>
      </c>
    </row>
    <row r="122" spans="2:15">
      <c r="C122" s="97" t="s">
        <v>128</v>
      </c>
      <c r="D122" s="98">
        <f>D111*pricing!D26*2000</f>
        <v>2679200</v>
      </c>
      <c r="E122" s="98">
        <f>E111*pricing!E26*2000</f>
        <v>2862799.9999999995</v>
      </c>
      <c r="F122" s="98">
        <f>F111*pricing!F26*2000</f>
        <v>2894308.7024367899</v>
      </c>
      <c r="G122" s="98">
        <f>G111*pricing!G26*2000</f>
        <v>494052.87997419067</v>
      </c>
      <c r="H122" s="98">
        <f>H111*pricing!H26*2000</f>
        <v>427331.7097424214</v>
      </c>
      <c r="I122" s="98">
        <f>I111*pricing!I26*2000</f>
        <v>454388.73177559068</v>
      </c>
      <c r="J122" s="98">
        <f>J111*pricing!J26*2000</f>
        <v>413081.27740068635</v>
      </c>
      <c r="K122" s="98">
        <f>K111*pricing!K26*2000</f>
        <v>364091.89499818685</v>
      </c>
      <c r="L122" s="98">
        <f>L111*pricing!L26*2000</f>
        <v>377547.50251542457</v>
      </c>
      <c r="M122" s="98">
        <f>M111*pricing!M26*2000</f>
        <v>386057.0232197615</v>
      </c>
      <c r="N122" s="98">
        <f>N111*pricing!N26*2000</f>
        <v>393304.36210045434</v>
      </c>
      <c r="O122" s="98">
        <f>O111*pricing!O26*2000</f>
        <v>437370.13485058601</v>
      </c>
    </row>
    <row r="123" spans="2:15">
      <c r="C123" s="97" t="s">
        <v>129</v>
      </c>
      <c r="D123" s="98">
        <f>D112*pricing!D27*2000</f>
        <v>3025824.0180775719</v>
      </c>
      <c r="E123" s="98">
        <f>E112*pricing!E27*2000</f>
        <v>3343433.4691976295</v>
      </c>
      <c r="F123" s="98">
        <f>F112*pricing!F27*2000</f>
        <v>3969509.1952681378</v>
      </c>
      <c r="G123" s="98">
        <f>G112*pricing!G27*2000</f>
        <v>772947.62802700489</v>
      </c>
      <c r="H123" s="98">
        <f>H112*pricing!H27*2000</f>
        <v>572193.36136017286</v>
      </c>
      <c r="I123" s="98">
        <f>I112*pricing!I27*2000</f>
        <v>588755.70715639426</v>
      </c>
      <c r="J123" s="98">
        <f>J112*pricing!J27*2000</f>
        <v>580911.31552949315</v>
      </c>
      <c r="K123" s="98">
        <f>K112*pricing!K27*2000</f>
        <v>550310.6051022429</v>
      </c>
      <c r="L123" s="98">
        <f>L112*pricing!L27*2000</f>
        <v>619678.00693257933</v>
      </c>
      <c r="M123" s="98">
        <f>M112*pricing!M27*2000</f>
        <v>464135.42215130915</v>
      </c>
      <c r="N123" s="98">
        <f>N112*pricing!N27*2000</f>
        <v>559010.20147650747</v>
      </c>
      <c r="O123" s="98">
        <f>O112*pricing!O27*2000</f>
        <v>516875.07202972553</v>
      </c>
    </row>
    <row r="124" spans="2:15">
      <c r="C124" s="97" t="s">
        <v>130</v>
      </c>
      <c r="D124" s="98">
        <f>D113*pricing!D28*2000</f>
        <v>2171400</v>
      </c>
      <c r="E124" s="98">
        <f>E113*pricing!E28*2000</f>
        <v>2481600</v>
      </c>
      <c r="F124" s="98">
        <f>F113*pricing!F28*2000</f>
        <v>2801282.8349480215</v>
      </c>
      <c r="G124" s="98">
        <f>G113*pricing!G28*2000</f>
        <v>2704752.0869825548</v>
      </c>
      <c r="H124" s="98">
        <f>H113*pricing!H28*2000</f>
        <v>837322.48237180291</v>
      </c>
      <c r="I124" s="98">
        <f>I113*pricing!I28*2000</f>
        <v>351080.95597846678</v>
      </c>
      <c r="J124" s="98">
        <f>J113*pricing!J28*2000</f>
        <v>351562.73758749187</v>
      </c>
      <c r="K124" s="98">
        <f>K113*pricing!K28*2000</f>
        <v>353347.35965373903</v>
      </c>
      <c r="L124" s="98">
        <f>L113*pricing!L28*2000</f>
        <v>348892.35224907973</v>
      </c>
      <c r="M124" s="98">
        <f>M113*pricing!M28*2000</f>
        <v>363320.37828891794</v>
      </c>
      <c r="N124" s="98">
        <f>N113*pricing!N28*2000</f>
        <v>353711.56904171774</v>
      </c>
      <c r="O124" s="98">
        <f>O113*pricing!O28*2000</f>
        <v>361686.00192819198</v>
      </c>
    </row>
    <row r="125" spans="2:15">
      <c r="C125" s="97" t="s">
        <v>131</v>
      </c>
      <c r="D125" s="98">
        <f>D114*pricing!D29*2000</f>
        <v>170033.05417542832</v>
      </c>
      <c r="E125" s="98">
        <f>E114*pricing!E29*2000</f>
        <v>212639.64197502742</v>
      </c>
      <c r="F125" s="98">
        <f>F114*pricing!F29*2000</f>
        <v>218206.9971231028</v>
      </c>
      <c r="G125" s="98">
        <f>G114*pricing!G29*2000</f>
        <v>229940.4728748257</v>
      </c>
      <c r="H125" s="98">
        <f>H114*pricing!H29*2000</f>
        <v>240418.70778192091</v>
      </c>
      <c r="I125" s="98">
        <f>I114*pricing!I29*2000</f>
        <v>202355.53967393815</v>
      </c>
      <c r="J125" s="98">
        <f>J114*pricing!J29*2000</f>
        <v>205644.5003858312</v>
      </c>
      <c r="K125" s="98">
        <f>K114*pricing!K29*2000</f>
        <v>232076.93637334355</v>
      </c>
      <c r="L125" s="98">
        <f>L114*pricing!L29*2000</f>
        <v>209228.15633278782</v>
      </c>
      <c r="M125" s="98">
        <f>M114*pricing!M29*2000</f>
        <v>206451.86132092343</v>
      </c>
      <c r="N125" s="98">
        <f>N114*pricing!N29*2000</f>
        <v>235322.23811242793</v>
      </c>
      <c r="O125" s="98">
        <f>O114*pricing!O29*2000</f>
        <v>223211.58830149777</v>
      </c>
    </row>
    <row r="126" spans="2:15">
      <c r="C126" s="97" t="s">
        <v>132</v>
      </c>
      <c r="D126" s="98">
        <f>D115*pricing!D30*2000</f>
        <v>363802.33772685524</v>
      </c>
      <c r="E126" s="98">
        <f>E115*pricing!E30*2000</f>
        <v>492215.94855815551</v>
      </c>
      <c r="F126" s="98">
        <f>F115*pricing!F30*2000</f>
        <v>470924.34224320634</v>
      </c>
      <c r="G126" s="98">
        <f>G115*pricing!G30*2000</f>
        <v>478154.06625771598</v>
      </c>
      <c r="H126" s="98">
        <f>H115*pricing!H30*2000</f>
        <v>467194.68542105396</v>
      </c>
      <c r="I126" s="98">
        <f>I115*pricing!I30*2000</f>
        <v>502170.14241871744</v>
      </c>
      <c r="J126" s="98">
        <f>J115*pricing!J30*2000</f>
        <v>496891.72656129568</v>
      </c>
      <c r="K126" s="98">
        <f>K115*pricing!K30*2000</f>
        <v>470686.76719765388</v>
      </c>
      <c r="L126" s="98">
        <f>L115*pricing!L30*2000</f>
        <v>500028.0932036853</v>
      </c>
      <c r="M126" s="98">
        <f>M115*pricing!M30*2000</f>
        <v>507080.24584785878</v>
      </c>
      <c r="N126" s="98">
        <f>N115*pricing!N30*2000</f>
        <v>468433.3183382118</v>
      </c>
      <c r="O126" s="98">
        <f>O115*pricing!O30*2000</f>
        <v>484499.21577373275</v>
      </c>
    </row>
    <row r="127" spans="2:15">
      <c r="C127" s="97" t="s">
        <v>279</v>
      </c>
      <c r="D127" s="98">
        <f t="shared" ref="D127:O127" si="1">SUM(D$120:D$126)</f>
        <v>17201459.409979854</v>
      </c>
      <c r="E127" s="98">
        <f t="shared" si="1"/>
        <v>19167289.059730813</v>
      </c>
      <c r="F127" s="98">
        <f t="shared" si="1"/>
        <v>19290995.674682457</v>
      </c>
      <c r="G127" s="98">
        <f t="shared" si="1"/>
        <v>6133324.3734686198</v>
      </c>
      <c r="H127" s="98">
        <f t="shared" si="1"/>
        <v>4041357.1489186515</v>
      </c>
      <c r="I127" s="98">
        <f t="shared" si="1"/>
        <v>3525499.4329921179</v>
      </c>
      <c r="J127" s="98">
        <f t="shared" si="1"/>
        <v>3524053.7904626536</v>
      </c>
      <c r="K127" s="98">
        <f t="shared" si="1"/>
        <v>3521712.9053794248</v>
      </c>
      <c r="L127" s="98">
        <f t="shared" si="1"/>
        <v>3524148.8762425892</v>
      </c>
      <c r="M127" s="98">
        <f t="shared" si="1"/>
        <v>3519824.3743579732</v>
      </c>
      <c r="N127" s="98">
        <f t="shared" si="1"/>
        <v>3522827.9660699107</v>
      </c>
      <c r="O127" s="98">
        <f t="shared" si="1"/>
        <v>3522884.7496964806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217712.39999999997</v>
      </c>
      <c r="E131" s="104">
        <f>SUM(M$6:M$19)+SUM(O$6:O$19)+SUM(Q$6:Q$19)+SUM(S$6:S$19)</f>
        <v>305428.8</v>
      </c>
      <c r="F131" s="104">
        <f>SUM(U$6:U$19)+SUM(W$6:W$19)+SUM(Y$6:Y$19)+SUM(AA$6:AA$19)</f>
        <v>254799.23246208736</v>
      </c>
      <c r="G131" s="104">
        <f>SUM(AC$6:AC$19)+SUM(AE$6:AE$19)+SUM(AG$6:AG$19)+SUM(AI$6:AI$19)</f>
        <v>43522.265753093481</v>
      </c>
      <c r="H131" s="104">
        <f>SUM(AK$6:AK$19)+SUM(AM$6:AM$19)+SUM(AO$6:AO$19)+SUM(AQ$6:AQ$19)</f>
        <v>47489.831461900947</v>
      </c>
      <c r="I131" s="104">
        <f>SUM(AS$6:AS$19)+SUM(AU$6:AU$19)+SUM(AW$6:AW$19)+SUM(AY$6:AY$19)</f>
        <v>38220.285732316217</v>
      </c>
      <c r="J131" s="104">
        <f>SUM(BA$6:BA$19)+SUM(BC$6:BC$19)+SUM(BE$6:BE$19)+SUM(BG$6:BG$19)</f>
        <v>43350.564278840451</v>
      </c>
      <c r="K131" s="104">
        <f>SUM(BI$6:BI$19)+SUM(BK$6:BK$19)+SUM(BM$6:BM$19)+SUM(BO$6:BO$19)</f>
        <v>42780.007230568517</v>
      </c>
      <c r="L131" s="104">
        <f>SUM(BQ$6:BQ$19)+SUM(BS$6:BS$19)+SUM(BU$6:BU$19)+SUM(BW$6:BW$19)</f>
        <v>39654.244893038791</v>
      </c>
      <c r="M131" s="104">
        <f>SUM(BY$6:BY$19)+SUM(CA$6:CA$19)+SUM(CC$6:CC$19)+SUM(CE$6:CE$19)</f>
        <v>44548.624757350291</v>
      </c>
      <c r="N131" s="104">
        <f>SUM(CG$6:CG$19)+SUM(CI$6:CI$19)+SUM(CK$6:CK$19)+SUM(CM$6:CM$19)</f>
        <v>43013.464674355455</v>
      </c>
      <c r="O131" s="104">
        <f>SUM(CO$6:CO$19)+SUM(CQ$6:CQ$19)+SUM(CS$6:CS$19)+SUM(CU$6:CU$19)</f>
        <v>36427.40259127121</v>
      </c>
    </row>
    <row r="132" spans="2:15">
      <c r="C132" s="103" t="s">
        <v>127</v>
      </c>
      <c r="D132" s="104">
        <f>SUM(E$20:E$36)+SUM(G$20:G$36)+SUM(I$20:I$36)+SUM(K$20:K$36)</f>
        <v>384674.4</v>
      </c>
      <c r="E132" s="104">
        <f>SUM(M$20:M$36)+SUM(O$20:O$36)+SUM(Q$20:Q$36)+SUM(S$20:S$36)</f>
        <v>377518.8</v>
      </c>
      <c r="F132" s="104">
        <f>SUM(U$20:U$36)+SUM(W$20:W$36)+SUM(Y$20:Y$36)+SUM(AA$20:AA$36)</f>
        <v>363836.24317388842</v>
      </c>
      <c r="G132" s="104">
        <f>SUM(AC$20:AC$36)+SUM(AE$20:AE$36)+SUM(AG$20:AG$36)+SUM(AI$20:AI$36)</f>
        <v>57719.573440603184</v>
      </c>
      <c r="H132" s="104">
        <f>SUM(AK$20:AK$36)+SUM(AM$20:AM$36)+SUM(AO$20:AO$36)+SUM(AQ$20:AQ$36)</f>
        <v>57444.381282573217</v>
      </c>
      <c r="I132" s="104">
        <f>SUM(AS$20:AS$36)+SUM(AU$20:AU$36)+SUM(AW$20:AW$36)+SUM(AY$20:AY$36)</f>
        <v>60009.368683183617</v>
      </c>
      <c r="J132" s="104">
        <f>SUM(BA$20:BA$36)+SUM(BC$20:BC$36)+SUM(BE$20:BE$36)+SUM(BG$20:BG$36)</f>
        <v>59222.679104709867</v>
      </c>
      <c r="K132" s="104">
        <f>SUM(BI$20:BI$36)+SUM(BK$20:BK$36)+SUM(BM$20:BM$36)+SUM(BO$20:BO$36)</f>
        <v>63942.546058800552</v>
      </c>
      <c r="L132" s="104">
        <f>SUM(BQ$20:BQ$36)+SUM(BS$20:BS$36)+SUM(BU$20:BU$36)+SUM(BW$20:BW$36)</f>
        <v>61714.928254612962</v>
      </c>
      <c r="M132" s="104">
        <f>SUM(BY$20:BY$36)+SUM(CA$20:CA$36)+SUM(CC$20:CC$36)+SUM(CE$20:CE$36)</f>
        <v>65796.418891589681</v>
      </c>
      <c r="N132" s="104">
        <f>SUM(CG$20:CG$36)+SUM(CI$20:CI$36)+SUM(CK$20:CK$36)+SUM(CM$20:CM$36)</f>
        <v>61678.279700631982</v>
      </c>
      <c r="O132" s="104">
        <f>SUM(CO$20:CO$36)+SUM(CQ$20:CQ$36)+SUM(CS$20:CS$36)+SUM(CU$20:CU$36)</f>
        <v>66560.828165257481</v>
      </c>
    </row>
    <row r="133" spans="2:15">
      <c r="C133" s="103" t="s">
        <v>128</v>
      </c>
      <c r="D133" s="104">
        <f>SUM(E$37:E$48)+SUM(G$37:G$48)+SUM(I$37:I$48)+SUM(K$37:K$48)</f>
        <v>413478</v>
      </c>
      <c r="E133" s="104">
        <f>SUM(M$37:M$48)+SUM(O$37:O$48)+SUM(Q$37:Q$48)+SUM(S$37:S$48)</f>
        <v>442532.39999999997</v>
      </c>
      <c r="F133" s="104">
        <f>SUM(U$37:U$48)+SUM(W$37:W$48)+SUM(Y$37:Y$48)+SUM(AA$37:AA$48)</f>
        <v>447596.90546572674</v>
      </c>
      <c r="G133" s="104">
        <f>SUM(AC$37:AC$48)+SUM(AE$37:AE$48)+SUM(AG$37:AG$48)+SUM(AI$37:AI$48)</f>
        <v>76349.697353812051</v>
      </c>
      <c r="H133" s="104">
        <f>SUM(AK$37:AK$48)+SUM(AM$37:AM$48)+SUM(AO$37:AO$48)+SUM(AQ$37:AQ$48)</f>
        <v>65905.94819703688</v>
      </c>
      <c r="I133" s="104">
        <f>SUM(AS$37:AS$48)+SUM(AU$37:AU$48)+SUM(AW$37:AW$48)+SUM(AY$37:AY$48)</f>
        <v>70134.646452693298</v>
      </c>
      <c r="J133" s="104">
        <f>SUM(BA$37:BA$48)+SUM(BC$37:BC$48)+SUM(BE$37:BE$48)+SUM(BG$37:BG$48)</f>
        <v>63600.977167918267</v>
      </c>
      <c r="K133" s="104">
        <f>SUM(BI$37:BI$48)+SUM(BK$37:BK$48)+SUM(BM$37:BM$48)+SUM(BO$37:BO$48)</f>
        <v>56322.902901462847</v>
      </c>
      <c r="L133" s="104">
        <f>SUM(BQ$37:BQ$48)+SUM(BS$37:BS$48)+SUM(BU$37:BU$48)+SUM(BW$37:BW$48)</f>
        <v>58171.098336078576</v>
      </c>
      <c r="M133" s="104">
        <f>SUM(BY$37:BY$48)+SUM(CA$37:CA$48)+SUM(CC$37:CC$48)+SUM(CE$37:CE$48)</f>
        <v>59934.584367722578</v>
      </c>
      <c r="N133" s="104">
        <f>SUM(CG$37:CG$48)+SUM(CI$37:CI$48)+SUM(CK$37:CK$48)+SUM(CM$37:CM$48)</f>
        <v>60634.332493744354</v>
      </c>
      <c r="O133" s="104">
        <f>SUM(CO$37:CO$48)+SUM(CQ$37:CQ$48)+SUM(CS$37:CS$48)+SUM(CU$37:CU$48)</f>
        <v>67551.539023347257</v>
      </c>
    </row>
    <row r="134" spans="2:15">
      <c r="C134" s="103" t="s">
        <v>129</v>
      </c>
      <c r="D134" s="104">
        <f>SUM(E$49:E$70)+SUM(G$49:G$70)+SUM(I$49:I$70)+SUM(K$49:K$70)</f>
        <v>356926.37924819876</v>
      </c>
      <c r="E134" s="104">
        <f>SUM(M$49:M$70)+SUM(O$49:O$70)+SUM(Q$49:Q$70)+SUM(S$49:S$70)</f>
        <v>394883.06494471966</v>
      </c>
      <c r="F134" s="104">
        <f>SUM(U$49:U$70)+SUM(W$49:W$70)+SUM(Y$49:Y$70)+SUM(AA$49:AA$70)</f>
        <v>470846.35074413294</v>
      </c>
      <c r="G134" s="104">
        <f>SUM(AC$49:AC$70)+SUM(AE$49:AE$70)+SUM(AG$49:AG$70)+SUM(AI$49:AI$70)</f>
        <v>105259.13484126645</v>
      </c>
      <c r="H134" s="104">
        <f>SUM(AK$49:AK$70)+SUM(AM$49:AM$70)+SUM(AO$49:AO$70)+SUM(AQ$49:AQ$70)</f>
        <v>72368.023581081958</v>
      </c>
      <c r="I134" s="104">
        <f>SUM(AS$49:AS$70)+SUM(AU$49:AU$70)+SUM(AW$49:AW$70)+SUM(AY$49:AY$70)</f>
        <v>72383.973712976382</v>
      </c>
      <c r="J134" s="104">
        <f>SUM(BA$49:BA$70)+SUM(BC$49:BC$70)+SUM(BE$49:BE$70)+SUM(BG$49:BG$70)</f>
        <v>71781.388292563483</v>
      </c>
      <c r="K134" s="104">
        <f>SUM(BI$49:BI$70)+SUM(BK$49:BK$70)+SUM(BM$49:BM$70)+SUM(BO$49:BO$70)</f>
        <v>68640.324060538667</v>
      </c>
      <c r="L134" s="104">
        <f>SUM(BQ$49:BQ$70)+SUM(BS$49:BS$70)+SUM(BU$49:BU$70)+SUM(BW$49:BW$70)</f>
        <v>76048.594870453264</v>
      </c>
      <c r="M134" s="104">
        <f>SUM(BY$49:BY$70)+SUM(CA$49:CA$70)+SUM(CC$49:CC$70)+SUM(CE$49:CE$70)</f>
        <v>57508.927966034877</v>
      </c>
      <c r="N134" s="104">
        <f>SUM(CG$49:CG$70)+SUM(CI$49:CI$70)+SUM(CK$49:CK$70)+SUM(CM$49:CM$70)</f>
        <v>69759.470006105417</v>
      </c>
      <c r="O134" s="104">
        <f>SUM(CO$49:CO$70)+SUM(CQ$49:CQ$70)+SUM(CS$49:CS$70)+SUM(CU$49:CU$70)</f>
        <v>63969.662449133277</v>
      </c>
    </row>
    <row r="135" spans="2:15">
      <c r="C135" s="103" t="s">
        <v>130</v>
      </c>
      <c r="D135" s="104">
        <f>SUM(E$71:E$86)+SUM(G$71:G$86)+SUM(I$71:I$86)+SUM(K$71:K$86)</f>
        <v>183793.2</v>
      </c>
      <c r="E135" s="104">
        <f>SUM(M$71:M$86)+SUM(O$71:O$86)+SUM(Q$71:Q$86)+SUM(S$71:S$86)</f>
        <v>211136.4</v>
      </c>
      <c r="F135" s="104">
        <f>SUM(U$71:U$86)+SUM(W$71:W$86)+SUM(Y$71:Y$86)+SUM(AA$71:AA$86)</f>
        <v>238805.26851515559</v>
      </c>
      <c r="G135" s="104">
        <f>SUM(AC$71:AC$86)+SUM(AE$71:AE$86)+SUM(AG$71:AG$86)+SUM(AI$71:AI$86)</f>
        <v>230313.23912036995</v>
      </c>
      <c r="H135" s="104">
        <f>SUM(AK$71:AK$86)+SUM(AM$71:AM$86)+SUM(AO$71:AO$86)+SUM(AQ$71:AQ$86)</f>
        <v>71126.421676987753</v>
      </c>
      <c r="I135" s="104">
        <f>SUM(AS$71:AS$86)+SUM(AU$71:AU$86)+SUM(AW$71:AW$86)+SUM(AY$71:AY$86)</f>
        <v>29885.520613188011</v>
      </c>
      <c r="J135" s="104">
        <f>SUM(BA$71:BA$86)+SUM(BC$71:BC$86)+SUM(BE$71:BE$86)+SUM(BG$71:BG$86)</f>
        <v>29889.421954958143</v>
      </c>
      <c r="K135" s="104">
        <f>SUM(BI$71:BI$86)+SUM(BK$71:BK$86)+SUM(BM$71:BM$86)+SUM(BO$71:BO$86)</f>
        <v>30000.007061160657</v>
      </c>
      <c r="L135" s="104">
        <f>SUM(BQ$71:BQ$86)+SUM(BS$71:BS$86)+SUM(BU$71:BU$86)+SUM(BW$71:BW$86)</f>
        <v>29491.3909929806</v>
      </c>
      <c r="M135" s="104">
        <f>SUM(BY$71:BY$86)+SUM(CA$71:CA$86)+SUM(CC$71:CC$86)+SUM(CE$71:CE$86)</f>
        <v>31003.405253940113</v>
      </c>
      <c r="N135" s="104">
        <f>SUM(CG$71:CG$86)+SUM(CI$71:CI$86)+SUM(CK$71:CK$86)+SUM(CM$71:CM$86)</f>
        <v>29862.946982823487</v>
      </c>
      <c r="O135" s="104">
        <f>SUM(CO$71:CO$86)+SUM(CQ$71:CQ$86)+SUM(CS$71:CS$86)+SUM(CU$71:CU$86)</f>
        <v>30695.592309337044</v>
      </c>
    </row>
    <row r="136" spans="2:15">
      <c r="C136" s="103" t="s">
        <v>131</v>
      </c>
      <c r="D136" s="104">
        <f>SUM(E$87:E$94)+SUM(G$87:G$94)+SUM(I$87:I$94)+SUM(K$87:K$94)</f>
        <v>25764.808901273813</v>
      </c>
      <c r="E136" s="104">
        <f>SUM(M$87:M$94)+SUM(O$87:O$94)+SUM(Q$87:Q$94)+SUM(S$87:S$94)</f>
        <v>32340.759186172756</v>
      </c>
      <c r="F136" s="104">
        <f>SUM(U$87:U$94)+SUM(W$87:W$94)+SUM(Y$87:Y$94)+SUM(AA$87:AA$94)</f>
        <v>33220.513159373615</v>
      </c>
      <c r="G136" s="104">
        <f>SUM(AC$87:AC$94)+SUM(AE$87:AE$94)+SUM(AG$87:AG$94)+SUM(AI$87:AI$94)</f>
        <v>34997.864321502027</v>
      </c>
      <c r="H136" s="104">
        <f>SUM(AK$87:AK$94)+SUM(AM$87:AM$94)+SUM(AO$87:AO$94)+SUM(AQ$87:AQ$94)</f>
        <v>36607.994059403114</v>
      </c>
      <c r="I136" s="104">
        <f>SUM(AS$87:AS$94)+SUM(AU$87:AU$94)+SUM(AW$87:AW$94)+SUM(AY$87:AY$94)</f>
        <v>30983.003631201795</v>
      </c>
      <c r="J136" s="104">
        <f>SUM(BA$87:BA$94)+SUM(BC$87:BC$94)+SUM(BE$87:BE$94)+SUM(BG$87:BG$94)</f>
        <v>31341.966474985875</v>
      </c>
      <c r="K136" s="104">
        <f>SUM(BI$87:BI$94)+SUM(BK$87:BK$94)+SUM(BM$87:BM$94)+SUM(BO$87:BO$94)</f>
        <v>35293.121985465608</v>
      </c>
      <c r="L136" s="104">
        <f>SUM(BQ$87:BQ$94)+SUM(BS$87:BS$94)+SUM(BU$87:BU$94)+SUM(BW$87:BW$94)</f>
        <v>31837.629974949774</v>
      </c>
      <c r="M136" s="104">
        <f>SUM(BY$87:BY$94)+SUM(CA$87:CA$94)+SUM(CC$87:CC$94)+SUM(CE$87:CE$94)</f>
        <v>31424.143005211063</v>
      </c>
      <c r="N136" s="104">
        <f>SUM(CG$87:CG$94)+SUM(CI$87:CI$94)+SUM(CK$87:CK$94)+SUM(CM$87:CM$94)</f>
        <v>35867.873554128302</v>
      </c>
      <c r="O136" s="104">
        <f>SUM(CO$87:CO$94)+SUM(CQ$87:CQ$94)+SUM(CS$87:CS$94)+SUM(CU$87:CU$94)</f>
        <v>33985.031573267137</v>
      </c>
    </row>
    <row r="137" spans="2:15">
      <c r="C137" s="103" t="s">
        <v>132</v>
      </c>
      <c r="D137" s="104">
        <f>SUM(E$95:E$105)+SUM(G$95:G$105)+SUM(I$95:I$105)+SUM(K$95:K$105)</f>
        <v>43600.826733238267</v>
      </c>
      <c r="E137" s="104">
        <f>SUM(M$95:M$105)+SUM(O$95:O$105)+SUM(Q$95:Q$105)+SUM(S$95:S$105)</f>
        <v>59564.533471864343</v>
      </c>
      <c r="F137" s="104">
        <f>SUM(U$95:U$105)+SUM(W$95:W$105)+SUM(Y$95:Y$105)+SUM(AA$95:AA$105)</f>
        <v>57494.100828442242</v>
      </c>
      <c r="G137" s="104">
        <f>SUM(AC$95:AC$105)+SUM(AE$95:AE$105)+SUM(AG$95:AG$105)+SUM(AI$95:AI$105)</f>
        <v>58805.61548079121</v>
      </c>
      <c r="H137" s="104">
        <f>SUM(AK$95:AK$105)+SUM(AM$95:AM$105)+SUM(AO$95:AO$105)+SUM(AQ$95:AQ$105)</f>
        <v>58030.478117175779</v>
      </c>
      <c r="I137" s="104">
        <f>SUM(AS$95:AS$105)+SUM(AU$95:AU$105)+SUM(AW$95:AW$105)+SUM(AY$95:AY$105)</f>
        <v>59896.948370679711</v>
      </c>
      <c r="J137" s="104">
        <f>SUM(BA$95:BA$105)+SUM(BC$95:BC$105)+SUM(BE$95:BE$105)+SUM(BG$95:BG$105)</f>
        <v>60317.586482204773</v>
      </c>
      <c r="K137" s="104">
        <f>SUM(BI$95:BI$105)+SUM(BK$95:BK$105)+SUM(BM$95:BM$105)+SUM(BO$95:BO$105)</f>
        <v>57614.28390867768</v>
      </c>
      <c r="L137" s="104">
        <f>SUM(BQ$95:BQ$105)+SUM(BS$95:BS$105)+SUM(BU$95:BU$105)+SUM(BW$95:BW$105)</f>
        <v>60757.4037068037</v>
      </c>
      <c r="M137" s="104">
        <f>SUM(BY$95:BY$105)+SUM(CA$95:CA$105)+SUM(CC$95:CC$105)+SUM(CE$95:CE$105)</f>
        <v>61567.500861886379</v>
      </c>
      <c r="N137" s="104">
        <f>SUM(CG$95:CG$105)+SUM(CI$95:CI$105)+SUM(CK$95:CK$105)+SUM(CM$95:CM$105)</f>
        <v>56518.743397325263</v>
      </c>
      <c r="O137" s="104">
        <f>SUM(CO$95:CO$105)+SUM(CQ$95:CQ$105)+SUM(CS$95:CS$105)+SUM(CU$95:CU$105)</f>
        <v>58630.014880787421</v>
      </c>
    </row>
    <row r="138" spans="2:15">
      <c r="C138" s="103" t="s">
        <v>279</v>
      </c>
      <c r="D138" s="98">
        <f t="shared" ref="D138:O138" si="2">SUM(D$131:D$137)</f>
        <v>1625950.014882711</v>
      </c>
      <c r="E138" s="98">
        <f t="shared" si="2"/>
        <v>1823404.7576027568</v>
      </c>
      <c r="F138" s="98">
        <f t="shared" si="2"/>
        <v>1866598.6143488069</v>
      </c>
      <c r="G138" s="98">
        <f t="shared" si="2"/>
        <v>606967.39031143836</v>
      </c>
      <c r="H138" s="98">
        <f t="shared" si="2"/>
        <v>408973.07837615965</v>
      </c>
      <c r="I138" s="98">
        <f t="shared" si="2"/>
        <v>361513.74719623901</v>
      </c>
      <c r="J138" s="98">
        <f t="shared" si="2"/>
        <v>359504.58375618083</v>
      </c>
      <c r="K138" s="98">
        <f t="shared" si="2"/>
        <v>354593.19320667454</v>
      </c>
      <c r="L138" s="98">
        <f t="shared" si="2"/>
        <v>357675.29102891765</v>
      </c>
      <c r="M138" s="98">
        <f t="shared" si="2"/>
        <v>351783.605103735</v>
      </c>
      <c r="N138" s="98">
        <f t="shared" si="2"/>
        <v>357335.11080911424</v>
      </c>
      <c r="O138" s="98">
        <f t="shared" si="2"/>
        <v>357820.07099240081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1" spans="1:99">
      <c r="A1" s="99"/>
    </row>
    <row r="2" spans="1:99">
      <c r="B2" s="100" t="s">
        <v>273</v>
      </c>
    </row>
    <row r="3" spans="1:99">
      <c r="B3" s="101" t="s">
        <v>274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5</v>
      </c>
      <c r="E6" s="98">
        <v>2892</v>
      </c>
      <c r="F6" s="98">
        <v>2.6279086884285094</v>
      </c>
      <c r="G6" s="98">
        <v>1519.9823853870498</v>
      </c>
      <c r="H6" s="98">
        <v>3.1466509132257863</v>
      </c>
      <c r="I6" s="98">
        <v>1820.0228882097947</v>
      </c>
      <c r="J6" s="98">
        <v>0.72256238366539305</v>
      </c>
      <c r="K6" s="98">
        <v>417.93008271206332</v>
      </c>
      <c r="L6" s="98">
        <v>0.66186714343750008</v>
      </c>
      <c r="M6" s="98">
        <v>382.82395576425006</v>
      </c>
      <c r="N6" s="98">
        <v>0.96089887258638207</v>
      </c>
      <c r="O6" s="98">
        <v>555.78390790396338</v>
      </c>
      <c r="P6" s="98">
        <v>0.7633992427191465</v>
      </c>
      <c r="Q6" s="98">
        <v>441.55012198875431</v>
      </c>
      <c r="R6" s="98">
        <v>0.84854761979166671</v>
      </c>
      <c r="S6" s="98">
        <v>490.79994328750001</v>
      </c>
      <c r="T6" s="98">
        <v>1.1210486846841126</v>
      </c>
      <c r="U6" s="98">
        <v>648.41455922129069</v>
      </c>
      <c r="V6" s="98">
        <v>1.06477983178491</v>
      </c>
      <c r="W6" s="98">
        <v>615.86865470439193</v>
      </c>
      <c r="X6" s="98">
        <v>0.84529647948595144</v>
      </c>
      <c r="Y6" s="98">
        <v>488.91948373467432</v>
      </c>
      <c r="Z6" s="98">
        <v>0.71372723987521025</v>
      </c>
      <c r="AA6" s="98">
        <v>412.81983554382157</v>
      </c>
      <c r="AB6" s="98">
        <v>0.94916466665741461</v>
      </c>
      <c r="AC6" s="98">
        <v>548.99684319464859</v>
      </c>
      <c r="AD6" s="98">
        <v>0.95090038773726959</v>
      </c>
      <c r="AE6" s="98">
        <v>550.00078426723667</v>
      </c>
      <c r="AF6" s="98">
        <v>0.70478070297175666</v>
      </c>
      <c r="AG6" s="98">
        <v>407.64515859886404</v>
      </c>
      <c r="AH6" s="98">
        <v>0.79630157773989507</v>
      </c>
      <c r="AI6" s="98">
        <v>460.58083256475527</v>
      </c>
      <c r="AJ6" s="98">
        <v>1.0909653151715941</v>
      </c>
      <c r="AK6" s="98">
        <v>631.01433829525001</v>
      </c>
      <c r="AL6" s="98">
        <v>0.73944757555300533</v>
      </c>
      <c r="AM6" s="98">
        <v>427.69647769985829</v>
      </c>
      <c r="AN6" s="98">
        <v>0.95781112586945227</v>
      </c>
      <c r="AO6" s="98">
        <v>553.99795520289115</v>
      </c>
      <c r="AP6" s="98">
        <v>0.90126453672936291</v>
      </c>
      <c r="AQ6" s="98">
        <v>521.29140804426345</v>
      </c>
      <c r="AR6" s="98">
        <v>0.94733897426695768</v>
      </c>
      <c r="AS6" s="98">
        <v>547.94086271600827</v>
      </c>
      <c r="AT6" s="98">
        <v>0.7166277498271546</v>
      </c>
      <c r="AU6" s="98">
        <v>414.49749050002623</v>
      </c>
      <c r="AV6" s="98">
        <v>1.0715285193148005</v>
      </c>
      <c r="AW6" s="98">
        <v>619.77209557168055</v>
      </c>
      <c r="AX6" s="98">
        <v>0.89432575721736007</v>
      </c>
      <c r="AY6" s="98">
        <v>517.27801797452105</v>
      </c>
      <c r="AZ6" s="98">
        <v>1.0981893088972685</v>
      </c>
      <c r="BA6" s="98">
        <v>635.19269626618006</v>
      </c>
      <c r="BB6" s="98">
        <v>1.0260729814933347</v>
      </c>
      <c r="BC6" s="98">
        <v>593.48061249574482</v>
      </c>
      <c r="BD6" s="98">
        <v>1.1382871298402593</v>
      </c>
      <c r="BE6" s="98">
        <v>658.38527589960597</v>
      </c>
      <c r="BF6" s="98">
        <v>0.73273560857471576</v>
      </c>
      <c r="BG6" s="98">
        <v>423.81427599961557</v>
      </c>
      <c r="BH6" s="98">
        <v>0.97579318502579582</v>
      </c>
      <c r="BI6" s="98">
        <v>564.39877821892026</v>
      </c>
      <c r="BJ6" s="98">
        <v>0.85542477552830587</v>
      </c>
      <c r="BK6" s="98">
        <v>494.7776901655721</v>
      </c>
      <c r="BL6" s="98">
        <v>0.87770814924539531</v>
      </c>
      <c r="BM6" s="98">
        <v>507.66639352353661</v>
      </c>
      <c r="BN6" s="98">
        <v>1.1264617537773549</v>
      </c>
      <c r="BO6" s="98">
        <v>651.5454783848221</v>
      </c>
      <c r="BP6" s="98">
        <v>1.2033367479767558</v>
      </c>
      <c r="BQ6" s="98">
        <v>696.00997502975554</v>
      </c>
      <c r="BR6" s="98">
        <v>1.0855854311017945</v>
      </c>
      <c r="BS6" s="98">
        <v>627.90261334927789</v>
      </c>
      <c r="BT6" s="98">
        <v>0.73004178810636555</v>
      </c>
      <c r="BU6" s="98">
        <v>422.25617024072181</v>
      </c>
      <c r="BV6" s="98">
        <v>1.0702913100905016</v>
      </c>
      <c r="BW6" s="98">
        <v>619.05649375634607</v>
      </c>
      <c r="BX6" s="98">
        <v>0.8826055148953037</v>
      </c>
      <c r="BY6" s="98">
        <v>510.49902981544363</v>
      </c>
      <c r="BZ6" s="98">
        <v>0.89997839874237062</v>
      </c>
      <c r="CA6" s="98">
        <v>520.54750583258715</v>
      </c>
      <c r="CB6" s="98">
        <v>1.0819925006132256</v>
      </c>
      <c r="CC6" s="98">
        <v>625.82446235468967</v>
      </c>
      <c r="CD6" s="98">
        <v>0.93357819756014626</v>
      </c>
      <c r="CE6" s="98">
        <v>539.98162946878858</v>
      </c>
      <c r="CF6" s="98">
        <v>0.66254194257186894</v>
      </c>
      <c r="CG6" s="98">
        <v>383.214259583569</v>
      </c>
      <c r="CH6" s="98">
        <v>0.96277359005856322</v>
      </c>
      <c r="CI6" s="98">
        <v>556.86824448987295</v>
      </c>
      <c r="CJ6" s="98">
        <v>0.83880825777527668</v>
      </c>
      <c r="CK6" s="98">
        <v>485.16669629722003</v>
      </c>
      <c r="CL6" s="98">
        <v>0.95335206920791338</v>
      </c>
      <c r="CM6" s="98">
        <v>551.41883682985713</v>
      </c>
      <c r="CN6" s="98">
        <v>1.1208340603691356</v>
      </c>
      <c r="CO6" s="98">
        <v>648.29042051750798</v>
      </c>
      <c r="CP6" s="98">
        <v>1.2472530740629648</v>
      </c>
      <c r="CQ6" s="98">
        <v>721.41117803801887</v>
      </c>
      <c r="CR6" s="98">
        <v>1.0525574182201274</v>
      </c>
      <c r="CS6" s="98">
        <v>608.79921069852162</v>
      </c>
      <c r="CT6" s="98">
        <v>0.76994487333899153</v>
      </c>
      <c r="CU6" s="98">
        <v>445.33611473927266</v>
      </c>
    </row>
    <row r="7" spans="1:99">
      <c r="C7" s="97" t="s">
        <v>174</v>
      </c>
      <c r="D7" s="98">
        <v>5</v>
      </c>
      <c r="E7" s="98">
        <v>3942</v>
      </c>
      <c r="F7" s="98">
        <v>2.6279086884285094</v>
      </c>
      <c r="G7" s="98">
        <v>2071.8432099570368</v>
      </c>
      <c r="H7" s="98">
        <v>3.1466509132257863</v>
      </c>
      <c r="I7" s="98">
        <v>2480.8195799872096</v>
      </c>
      <c r="J7" s="98">
        <v>0.96341651155385732</v>
      </c>
      <c r="K7" s="98">
        <v>759.55757770906109</v>
      </c>
      <c r="L7" s="98">
        <v>0.66186714343750008</v>
      </c>
      <c r="M7" s="98">
        <v>521.81605588612501</v>
      </c>
      <c r="N7" s="98">
        <v>0.76871909806910577</v>
      </c>
      <c r="O7" s="98">
        <v>606.05813691768299</v>
      </c>
      <c r="P7" s="98">
        <v>0.95424905339893318</v>
      </c>
      <c r="Q7" s="98">
        <v>752.32995369971889</v>
      </c>
      <c r="R7" s="98">
        <v>0.84854761979166671</v>
      </c>
      <c r="S7" s="98">
        <v>668.99494344375</v>
      </c>
      <c r="T7" s="98">
        <v>0.89683894774729012</v>
      </c>
      <c r="U7" s="98">
        <v>707.06782640396352</v>
      </c>
      <c r="V7" s="98">
        <v>1.06477983178491</v>
      </c>
      <c r="W7" s="98">
        <v>839.47241937922297</v>
      </c>
      <c r="X7" s="98">
        <v>0.84529647948595144</v>
      </c>
      <c r="Y7" s="98">
        <v>666.43174442672409</v>
      </c>
      <c r="Z7" s="98">
        <v>0.85471272210921323</v>
      </c>
      <c r="AA7" s="98">
        <v>673.85551011090365</v>
      </c>
      <c r="AB7" s="98">
        <v>0.94916466665741461</v>
      </c>
      <c r="AC7" s="98">
        <v>748.32142319270565</v>
      </c>
      <c r="AD7" s="98">
        <v>0.93690250894851212</v>
      </c>
      <c r="AE7" s="98">
        <v>738.65393805500696</v>
      </c>
      <c r="AF7" s="98">
        <v>0.70478070297175666</v>
      </c>
      <c r="AG7" s="98">
        <v>555.64910622293291</v>
      </c>
      <c r="AH7" s="98">
        <v>0.81182760844859381</v>
      </c>
      <c r="AI7" s="98">
        <v>640.04488650087137</v>
      </c>
      <c r="AJ7" s="98">
        <v>1.0787499474581963</v>
      </c>
      <c r="AK7" s="98">
        <v>850.48645857604197</v>
      </c>
      <c r="AL7" s="98">
        <v>0.72430489717174307</v>
      </c>
      <c r="AM7" s="98">
        <v>571.04198093020227</v>
      </c>
      <c r="AN7" s="98">
        <v>0.77092650527106421</v>
      </c>
      <c r="AO7" s="98">
        <v>607.79845675570698</v>
      </c>
      <c r="AP7" s="98">
        <v>0.68776153938386964</v>
      </c>
      <c r="AQ7" s="98">
        <v>542.23119765024285</v>
      </c>
      <c r="AR7" s="98">
        <v>0.77720429775276922</v>
      </c>
      <c r="AS7" s="98">
        <v>612.74786834828319</v>
      </c>
      <c r="AT7" s="98">
        <v>0.69901855611454178</v>
      </c>
      <c r="AU7" s="98">
        <v>551.10622964070467</v>
      </c>
      <c r="AV7" s="98">
        <v>1.0546994054267209</v>
      </c>
      <c r="AW7" s="98">
        <v>831.52501123842671</v>
      </c>
      <c r="AX7" s="98">
        <v>0.89432575721736007</v>
      </c>
      <c r="AY7" s="98">
        <v>705.08642699016661</v>
      </c>
      <c r="AZ7" s="98">
        <v>1.1094890674815476</v>
      </c>
      <c r="BA7" s="98">
        <v>874.72118080245218</v>
      </c>
      <c r="BB7" s="98">
        <v>1.0392622059148777</v>
      </c>
      <c r="BC7" s="98">
        <v>819.35432314328955</v>
      </c>
      <c r="BD7" s="98">
        <v>1.1382871298402593</v>
      </c>
      <c r="BE7" s="98">
        <v>897.42557316606042</v>
      </c>
      <c r="BF7" s="98">
        <v>0.73273560857471576</v>
      </c>
      <c r="BG7" s="98">
        <v>577.6887538003059</v>
      </c>
      <c r="BH7" s="98">
        <v>0.97579318502579582</v>
      </c>
      <c r="BI7" s="98">
        <v>769.31534707433741</v>
      </c>
      <c r="BJ7" s="98">
        <v>0.867819292108438</v>
      </c>
      <c r="BK7" s="98">
        <v>684.18872989829254</v>
      </c>
      <c r="BL7" s="98">
        <v>0.89337289647260498</v>
      </c>
      <c r="BM7" s="98">
        <v>704.33519157900173</v>
      </c>
      <c r="BN7" s="98">
        <v>0.95532403961864054</v>
      </c>
      <c r="BO7" s="98">
        <v>753.17747283533618</v>
      </c>
      <c r="BP7" s="98">
        <v>1.2033367479767558</v>
      </c>
      <c r="BQ7" s="98">
        <v>948.71069210487428</v>
      </c>
      <c r="BR7" s="98">
        <v>1.0988023173668882</v>
      </c>
      <c r="BS7" s="98">
        <v>866.29574701205456</v>
      </c>
      <c r="BT7" s="98">
        <v>0.87088023748032761</v>
      </c>
      <c r="BU7" s="98">
        <v>686.60197922949033</v>
      </c>
      <c r="BV7" s="98">
        <v>1.0702913100905016</v>
      </c>
      <c r="BW7" s="98">
        <v>843.81766887535139</v>
      </c>
      <c r="BX7" s="98">
        <v>0.86759051787067343</v>
      </c>
      <c r="BY7" s="98">
        <v>684.0083642892389</v>
      </c>
      <c r="BZ7" s="98">
        <v>0.88508008690138884</v>
      </c>
      <c r="CA7" s="98">
        <v>697.79714051305496</v>
      </c>
      <c r="CB7" s="98">
        <v>1.2381356842597702</v>
      </c>
      <c r="CC7" s="98">
        <v>976.1461734704028</v>
      </c>
      <c r="CD7" s="98">
        <v>0.92075943064677923</v>
      </c>
      <c r="CE7" s="98">
        <v>725.92673512192073</v>
      </c>
      <c r="CF7" s="98">
        <v>0.63520074127594306</v>
      </c>
      <c r="CG7" s="98">
        <v>500.79226442195352</v>
      </c>
      <c r="CH7" s="98">
        <v>0.94900436792791865</v>
      </c>
      <c r="CI7" s="98">
        <v>748.19504367437105</v>
      </c>
      <c r="CJ7" s="98">
        <v>0.81461781785704179</v>
      </c>
      <c r="CK7" s="98">
        <v>642.24468759849174</v>
      </c>
      <c r="CL7" s="98">
        <v>1.1160231056817465</v>
      </c>
      <c r="CM7" s="98">
        <v>879.87261651948893</v>
      </c>
      <c r="CN7" s="98">
        <v>1.1038497298117975</v>
      </c>
      <c r="CO7" s="98">
        <v>870.27512698362113</v>
      </c>
      <c r="CP7" s="98">
        <v>1.0898341652418644</v>
      </c>
      <c r="CQ7" s="98">
        <v>859.22525587668588</v>
      </c>
      <c r="CR7" s="98">
        <v>1.0391832151754079</v>
      </c>
      <c r="CS7" s="98">
        <v>819.29204684429158</v>
      </c>
      <c r="CT7" s="98">
        <v>0.78535235253601943</v>
      </c>
      <c r="CU7" s="98">
        <v>619.17179473939768</v>
      </c>
    </row>
    <row r="8" spans="1:99">
      <c r="C8" s="97" t="s">
        <v>175</v>
      </c>
      <c r="D8" s="98">
        <v>5</v>
      </c>
      <c r="E8" s="98">
        <v>1547.9999999999998</v>
      </c>
      <c r="F8" s="98">
        <v>2.6279086884285094</v>
      </c>
      <c r="G8" s="98">
        <v>813.60052993746649</v>
      </c>
      <c r="H8" s="98">
        <v>3.1466509132257863</v>
      </c>
      <c r="I8" s="98">
        <v>974.20312273470336</v>
      </c>
      <c r="J8" s="98">
        <v>0.96341651155385732</v>
      </c>
      <c r="K8" s="98">
        <v>298.2737519770742</v>
      </c>
      <c r="L8" s="98">
        <v>0.66186714343750008</v>
      </c>
      <c r="M8" s="98">
        <v>204.91406760825001</v>
      </c>
      <c r="N8" s="98">
        <v>0.76871909806910577</v>
      </c>
      <c r="O8" s="98">
        <v>237.99543276219512</v>
      </c>
      <c r="P8" s="98">
        <v>0.7633992427191465</v>
      </c>
      <c r="Q8" s="98">
        <v>236.34840554584773</v>
      </c>
      <c r="R8" s="98">
        <v>0.84854761979166671</v>
      </c>
      <c r="S8" s="98">
        <v>262.71034308750001</v>
      </c>
      <c r="T8" s="98">
        <v>1.1210486846841126</v>
      </c>
      <c r="U8" s="98">
        <v>347.07667277820121</v>
      </c>
      <c r="V8" s="98">
        <v>1.06477983178491</v>
      </c>
      <c r="W8" s="98">
        <v>329.65583592060807</v>
      </c>
      <c r="X8" s="98">
        <v>1.0566205993574393</v>
      </c>
      <c r="Y8" s="98">
        <v>327.12973756106317</v>
      </c>
      <c r="Z8" s="98">
        <v>0.87611062367195591</v>
      </c>
      <c r="AA8" s="98">
        <v>271.24384908883752</v>
      </c>
      <c r="AB8" s="98">
        <v>1.1384812422586199</v>
      </c>
      <c r="AC8" s="98">
        <v>352.47379260326869</v>
      </c>
      <c r="AD8" s="98">
        <v>0.95090038773726959</v>
      </c>
      <c r="AE8" s="98">
        <v>294.39876004345865</v>
      </c>
      <c r="AF8" s="98">
        <v>0.70478070297175666</v>
      </c>
      <c r="AG8" s="98">
        <v>218.20010564005582</v>
      </c>
      <c r="AH8" s="98">
        <v>0.79630157773989507</v>
      </c>
      <c r="AI8" s="98">
        <v>246.5349684682715</v>
      </c>
      <c r="AJ8" s="98">
        <v>1.0909653151715941</v>
      </c>
      <c r="AK8" s="98">
        <v>337.76286157712548</v>
      </c>
      <c r="AL8" s="98">
        <v>0.92535938721229127</v>
      </c>
      <c r="AM8" s="98">
        <v>286.49126628092534</v>
      </c>
      <c r="AN8" s="98">
        <v>0.97533384615911067</v>
      </c>
      <c r="AO8" s="98">
        <v>301.96335877086062</v>
      </c>
      <c r="AP8" s="98">
        <v>0.90126453672936291</v>
      </c>
      <c r="AQ8" s="98">
        <v>279.03150057141073</v>
      </c>
      <c r="AR8" s="98">
        <v>1.1036642805388579</v>
      </c>
      <c r="AS8" s="98">
        <v>341.69446125483034</v>
      </c>
      <c r="AT8" s="98">
        <v>0.7166277498271546</v>
      </c>
      <c r="AU8" s="98">
        <v>221.86795134648705</v>
      </c>
      <c r="AV8" s="98">
        <v>0.91537925127977282</v>
      </c>
      <c r="AW8" s="98">
        <v>283.40141619621761</v>
      </c>
      <c r="AX8" s="98">
        <v>0.91099340468912759</v>
      </c>
      <c r="AY8" s="98">
        <v>282.04355809175388</v>
      </c>
      <c r="AZ8" s="98">
        <v>1.0868895503129896</v>
      </c>
      <c r="BA8" s="98">
        <v>336.50100477690154</v>
      </c>
      <c r="BB8" s="98">
        <v>1.1860941247242711</v>
      </c>
      <c r="BC8" s="98">
        <v>367.21474101463428</v>
      </c>
      <c r="BD8" s="98">
        <v>1.1220508535268661</v>
      </c>
      <c r="BE8" s="98">
        <v>347.38694425191767</v>
      </c>
      <c r="BF8" s="98">
        <v>0.73273560857471576</v>
      </c>
      <c r="BG8" s="98">
        <v>226.85494441473196</v>
      </c>
      <c r="BH8" s="98">
        <v>0.97579318502579582</v>
      </c>
      <c r="BI8" s="98">
        <v>302.10557008398638</v>
      </c>
      <c r="BJ8" s="98">
        <v>0.71408666021496148</v>
      </c>
      <c r="BK8" s="98">
        <v>221.08123000255205</v>
      </c>
      <c r="BL8" s="98">
        <v>0.90903764369981477</v>
      </c>
      <c r="BM8" s="98">
        <v>281.43805448946262</v>
      </c>
      <c r="BN8" s="98">
        <v>1.1122281153737736</v>
      </c>
      <c r="BO8" s="98">
        <v>344.34582451972028</v>
      </c>
      <c r="BP8" s="98">
        <v>1.1878070074569118</v>
      </c>
      <c r="BQ8" s="98">
        <v>367.74504950865986</v>
      </c>
      <c r="BR8" s="98">
        <v>1.248893821265302</v>
      </c>
      <c r="BS8" s="98">
        <v>386.65752706373746</v>
      </c>
      <c r="BT8" s="98">
        <v>0.73004178810636555</v>
      </c>
      <c r="BU8" s="98">
        <v>226.02093759773075</v>
      </c>
      <c r="BV8" s="98">
        <v>1.0702913100905016</v>
      </c>
      <c r="BW8" s="98">
        <v>331.36218960401925</v>
      </c>
      <c r="BX8" s="98">
        <v>0.86759051787067343</v>
      </c>
      <c r="BY8" s="98">
        <v>268.60602433276046</v>
      </c>
      <c r="BZ8" s="98">
        <v>0.88508008690138884</v>
      </c>
      <c r="CA8" s="98">
        <v>274.02079490466997</v>
      </c>
      <c r="CB8" s="98">
        <v>1.2381356842597702</v>
      </c>
      <c r="CC8" s="98">
        <v>383.32680784682481</v>
      </c>
      <c r="CD8" s="98">
        <v>1.0844012897147481</v>
      </c>
      <c r="CE8" s="98">
        <v>335.73063929568599</v>
      </c>
      <c r="CF8" s="98">
        <v>0.81047938664002317</v>
      </c>
      <c r="CG8" s="98">
        <v>250.92441810375115</v>
      </c>
      <c r="CH8" s="98">
        <v>0.94900436792791865</v>
      </c>
      <c r="CI8" s="98">
        <v>293.8117523104836</v>
      </c>
      <c r="CJ8" s="98">
        <v>0.81461781785704179</v>
      </c>
      <c r="CK8" s="98">
        <v>252.20567640854011</v>
      </c>
      <c r="CL8" s="98">
        <v>0.95335206920791338</v>
      </c>
      <c r="CM8" s="98">
        <v>295.15780062676993</v>
      </c>
      <c r="CN8" s="98">
        <v>1.1038497298117975</v>
      </c>
      <c r="CO8" s="98">
        <v>341.75187634973247</v>
      </c>
      <c r="CP8" s="98">
        <v>1.2340421002161228</v>
      </c>
      <c r="CQ8" s="98">
        <v>382.05943422691161</v>
      </c>
      <c r="CR8" s="98">
        <v>1.0525574182201274</v>
      </c>
      <c r="CS8" s="98">
        <v>325.87177668095143</v>
      </c>
      <c r="CT8" s="98">
        <v>0.78535235253601943</v>
      </c>
      <c r="CU8" s="98">
        <v>243.14508834515158</v>
      </c>
    </row>
    <row r="9" spans="1:99">
      <c r="C9" s="97" t="s">
        <v>176</v>
      </c>
      <c r="D9" s="98">
        <v>5</v>
      </c>
      <c r="E9" s="98">
        <v>3510</v>
      </c>
      <c r="F9" s="98">
        <v>2.6279086884285094</v>
      </c>
      <c r="G9" s="98">
        <v>1844.7918992768136</v>
      </c>
      <c r="H9" s="98">
        <v>3.1466509132257863</v>
      </c>
      <c r="I9" s="98">
        <v>2208.9489410845022</v>
      </c>
      <c r="J9" s="98">
        <v>0.96341651155385732</v>
      </c>
      <c r="K9" s="98">
        <v>676.31839111080785</v>
      </c>
      <c r="L9" s="98">
        <v>0.66186714343750008</v>
      </c>
      <c r="M9" s="98">
        <v>464.63073469312508</v>
      </c>
      <c r="N9" s="98">
        <v>0.76871909806910577</v>
      </c>
      <c r="O9" s="98">
        <v>539.64080684451221</v>
      </c>
      <c r="P9" s="98">
        <v>0.95424905339893318</v>
      </c>
      <c r="Q9" s="98">
        <v>669.88283548605114</v>
      </c>
      <c r="R9" s="98">
        <v>0.84854761979166671</v>
      </c>
      <c r="S9" s="98">
        <v>595.68042909375004</v>
      </c>
      <c r="T9" s="98">
        <v>1.1210486846841126</v>
      </c>
      <c r="U9" s="98">
        <v>786.97617664824702</v>
      </c>
      <c r="V9" s="98">
        <v>1.06477983178491</v>
      </c>
      <c r="W9" s="98">
        <v>747.47544191300676</v>
      </c>
      <c r="X9" s="98">
        <v>0.84529647948595144</v>
      </c>
      <c r="Y9" s="98">
        <v>593.39812859913786</v>
      </c>
      <c r="Z9" s="98">
        <v>0.8975085252346986</v>
      </c>
      <c r="AA9" s="98">
        <v>630.05098471475844</v>
      </c>
      <c r="AB9" s="98">
        <v>0.94916466665741461</v>
      </c>
      <c r="AC9" s="98">
        <v>666.31359599350503</v>
      </c>
      <c r="AD9" s="98">
        <v>0.95090038773726959</v>
      </c>
      <c r="AE9" s="98">
        <v>667.5320721915632</v>
      </c>
      <c r="AF9" s="98">
        <v>0.71849590216894055</v>
      </c>
      <c r="AG9" s="98">
        <v>504.38412332259628</v>
      </c>
      <c r="AH9" s="98">
        <v>0.9604434030802963</v>
      </c>
      <c r="AI9" s="98">
        <v>674.23126896236795</v>
      </c>
      <c r="AJ9" s="98">
        <v>1.0665345797447983</v>
      </c>
      <c r="AK9" s="98">
        <v>748.70727498084841</v>
      </c>
      <c r="AL9" s="98">
        <v>0.72430489717174307</v>
      </c>
      <c r="AM9" s="98">
        <v>508.46203781456364</v>
      </c>
      <c r="AN9" s="98">
        <v>0.78844922556072261</v>
      </c>
      <c r="AO9" s="98">
        <v>553.49135634362722</v>
      </c>
      <c r="AP9" s="98">
        <v>0.8855136876135663</v>
      </c>
      <c r="AQ9" s="98">
        <v>621.6306087047235</v>
      </c>
      <c r="AR9" s="98">
        <v>0.93352960402466967</v>
      </c>
      <c r="AS9" s="98">
        <v>655.33778202531812</v>
      </c>
      <c r="AT9" s="98">
        <v>0.69901855611454178</v>
      </c>
      <c r="AU9" s="98">
        <v>490.71102639240831</v>
      </c>
      <c r="AV9" s="98">
        <v>1.0546994054267209</v>
      </c>
      <c r="AW9" s="98">
        <v>740.39898260955806</v>
      </c>
      <c r="AX9" s="98">
        <v>0.91099340468912759</v>
      </c>
      <c r="AY9" s="98">
        <v>639.51737009176759</v>
      </c>
      <c r="AZ9" s="98">
        <v>1.0981893088972685</v>
      </c>
      <c r="BA9" s="98">
        <v>770.9288948458825</v>
      </c>
      <c r="BB9" s="98">
        <v>1.0260729814933347</v>
      </c>
      <c r="BC9" s="98">
        <v>720.30323300832094</v>
      </c>
      <c r="BD9" s="98">
        <v>1.1382871298402593</v>
      </c>
      <c r="BE9" s="98">
        <v>799.07756514786195</v>
      </c>
      <c r="BF9" s="98">
        <v>0.73273560857471576</v>
      </c>
      <c r="BG9" s="98">
        <v>514.38039721945051</v>
      </c>
      <c r="BH9" s="98">
        <v>0.98839462663630084</v>
      </c>
      <c r="BI9" s="98">
        <v>693.85302789868319</v>
      </c>
      <c r="BJ9" s="98">
        <v>0.70169214363482946</v>
      </c>
      <c r="BK9" s="98">
        <v>492.58788483165029</v>
      </c>
      <c r="BL9" s="98">
        <v>0.87770814924539531</v>
      </c>
      <c r="BM9" s="98">
        <v>616.15112077026754</v>
      </c>
      <c r="BN9" s="98">
        <v>1.1122281153737736</v>
      </c>
      <c r="BO9" s="98">
        <v>780.78413699238911</v>
      </c>
      <c r="BP9" s="98">
        <v>1.1878070074569118</v>
      </c>
      <c r="BQ9" s="98">
        <v>833.84051923475204</v>
      </c>
      <c r="BR9" s="98">
        <v>1.0723685448367009</v>
      </c>
      <c r="BS9" s="98">
        <v>752.80271847536403</v>
      </c>
      <c r="BT9" s="98">
        <v>0.7181355030627572</v>
      </c>
      <c r="BU9" s="98">
        <v>504.13112315005554</v>
      </c>
      <c r="BV9" s="98">
        <v>1.0702913100905016</v>
      </c>
      <c r="BW9" s="98">
        <v>751.34449968353215</v>
      </c>
      <c r="BX9" s="98">
        <v>0.68072288245226531</v>
      </c>
      <c r="BY9" s="98">
        <v>477.86746348149023</v>
      </c>
      <c r="BZ9" s="98">
        <v>0.88508008690138884</v>
      </c>
      <c r="CA9" s="98">
        <v>621.32622100477499</v>
      </c>
      <c r="CB9" s="98">
        <v>1.2381356842597702</v>
      </c>
      <c r="CC9" s="98">
        <v>869.1712503503586</v>
      </c>
      <c r="CD9" s="98">
        <v>0.92075943064677923</v>
      </c>
      <c r="CE9" s="98">
        <v>646.37312031403906</v>
      </c>
      <c r="CF9" s="98">
        <v>0.63520074127594306</v>
      </c>
      <c r="CG9" s="98">
        <v>445.91092037571201</v>
      </c>
      <c r="CH9" s="98">
        <v>0.94900436792791865</v>
      </c>
      <c r="CI9" s="98">
        <v>666.20106628539884</v>
      </c>
      <c r="CJ9" s="98">
        <v>0.80252259789792435</v>
      </c>
      <c r="CK9" s="98">
        <v>563.37086372434294</v>
      </c>
      <c r="CL9" s="98">
        <v>0.95335206920791338</v>
      </c>
      <c r="CM9" s="98">
        <v>669.25315258395517</v>
      </c>
      <c r="CN9" s="98">
        <v>1.1038497298117975</v>
      </c>
      <c r="CO9" s="98">
        <v>774.90251032788183</v>
      </c>
      <c r="CP9" s="98">
        <v>1.2472530740629648</v>
      </c>
      <c r="CQ9" s="98">
        <v>875.57165799220127</v>
      </c>
      <c r="CR9" s="98">
        <v>1.0525574182201274</v>
      </c>
      <c r="CS9" s="98">
        <v>738.89530759052946</v>
      </c>
      <c r="CT9" s="98">
        <v>0.76994487333899153</v>
      </c>
      <c r="CU9" s="98">
        <v>540.50130108397207</v>
      </c>
    </row>
    <row r="10" spans="1:99">
      <c r="C10" s="97" t="s">
        <v>177</v>
      </c>
      <c r="D10" s="98">
        <v>5</v>
      </c>
      <c r="E10" s="98">
        <v>2724</v>
      </c>
      <c r="F10" s="98">
        <v>2.6279086884285094</v>
      </c>
      <c r="G10" s="98">
        <v>1431.6846534558517</v>
      </c>
      <c r="H10" s="98">
        <v>3.1466509132257863</v>
      </c>
      <c r="I10" s="98">
        <v>1714.2954175254083</v>
      </c>
      <c r="J10" s="98">
        <v>0.96341651155385732</v>
      </c>
      <c r="K10" s="98">
        <v>524.86931549454141</v>
      </c>
      <c r="L10" s="98">
        <v>0.66186714343750008</v>
      </c>
      <c r="M10" s="98">
        <v>360.58521974475002</v>
      </c>
      <c r="N10" s="98">
        <v>0.76871909806910577</v>
      </c>
      <c r="O10" s="98">
        <v>418.79816462804877</v>
      </c>
      <c r="P10" s="98">
        <v>0.7633992427191465</v>
      </c>
      <c r="Q10" s="98">
        <v>415.89990743339098</v>
      </c>
      <c r="R10" s="98">
        <v>0.84854761979166671</v>
      </c>
      <c r="S10" s="98">
        <v>462.28874326249996</v>
      </c>
      <c r="T10" s="98">
        <v>1.1210486846841126</v>
      </c>
      <c r="U10" s="98">
        <v>610.74732341590448</v>
      </c>
      <c r="V10" s="98">
        <v>1.277735798141892</v>
      </c>
      <c r="W10" s="98">
        <v>696.11046282770269</v>
      </c>
      <c r="X10" s="98">
        <v>1.0566205993574393</v>
      </c>
      <c r="Y10" s="98">
        <v>575.64690252993296</v>
      </c>
      <c r="Z10" s="98">
        <v>0.87611062367195591</v>
      </c>
      <c r="AA10" s="98">
        <v>477.30506777648156</v>
      </c>
      <c r="AB10" s="98">
        <v>0.94916466665741461</v>
      </c>
      <c r="AC10" s="98">
        <v>517.10491039495946</v>
      </c>
      <c r="AD10" s="98">
        <v>0.93690250894851212</v>
      </c>
      <c r="AE10" s="98">
        <v>510.42448687514934</v>
      </c>
      <c r="AF10" s="98">
        <v>0.88484680717360698</v>
      </c>
      <c r="AG10" s="98">
        <v>482.06454054818101</v>
      </c>
      <c r="AH10" s="98">
        <v>0.81182760844859381</v>
      </c>
      <c r="AI10" s="98">
        <v>442.28368108279386</v>
      </c>
      <c r="AJ10" s="98">
        <v>0.92338902497529285</v>
      </c>
      <c r="AK10" s="98">
        <v>503.06234080653951</v>
      </c>
      <c r="AL10" s="98">
        <v>0.72430489717174307</v>
      </c>
      <c r="AM10" s="98">
        <v>394.6013079791656</v>
      </c>
      <c r="AN10" s="98">
        <v>0.97533384615911067</v>
      </c>
      <c r="AO10" s="98">
        <v>531.36187938748344</v>
      </c>
      <c r="AP10" s="98">
        <v>0.90126453672936291</v>
      </c>
      <c r="AQ10" s="98">
        <v>491.00891961015685</v>
      </c>
      <c r="AR10" s="98">
        <v>0.93352960402466967</v>
      </c>
      <c r="AS10" s="98">
        <v>508.58692827263997</v>
      </c>
      <c r="AT10" s="98">
        <v>0.7166277498271546</v>
      </c>
      <c r="AU10" s="98">
        <v>390.41879810583379</v>
      </c>
      <c r="AV10" s="98">
        <v>1.0715285193148005</v>
      </c>
      <c r="AW10" s="98">
        <v>583.76873732270326</v>
      </c>
      <c r="AX10" s="98">
        <v>0.877658109745593</v>
      </c>
      <c r="AY10" s="98">
        <v>478.14813818939905</v>
      </c>
      <c r="AZ10" s="98">
        <v>1.1094890674815476</v>
      </c>
      <c r="BA10" s="98">
        <v>604.4496439639471</v>
      </c>
      <c r="BB10" s="98">
        <v>1.0392622059148777</v>
      </c>
      <c r="BC10" s="98">
        <v>566.19004978242538</v>
      </c>
      <c r="BD10" s="98">
        <v>1.1220508535268661</v>
      </c>
      <c r="BE10" s="98">
        <v>611.29330500143658</v>
      </c>
      <c r="BF10" s="98">
        <v>0.73273560857471576</v>
      </c>
      <c r="BG10" s="98">
        <v>399.1943595515051</v>
      </c>
      <c r="BH10" s="98">
        <v>0.98839462663630084</v>
      </c>
      <c r="BI10" s="98">
        <v>538.47739259145669</v>
      </c>
      <c r="BJ10" s="98">
        <v>0.70169214363482946</v>
      </c>
      <c r="BK10" s="98">
        <v>382.28187985225503</v>
      </c>
      <c r="BL10" s="98">
        <v>0.90903764369981477</v>
      </c>
      <c r="BM10" s="98">
        <v>495.24370828765905</v>
      </c>
      <c r="BN10" s="98">
        <v>1.1122281153737736</v>
      </c>
      <c r="BO10" s="98">
        <v>605.94187725563188</v>
      </c>
      <c r="BP10" s="98">
        <v>1.0183103638338071</v>
      </c>
      <c r="BQ10" s="98">
        <v>554.77548621665812</v>
      </c>
      <c r="BR10" s="98">
        <v>1.0855854311017945</v>
      </c>
      <c r="BS10" s="98">
        <v>591.42694286425763</v>
      </c>
      <c r="BT10" s="98">
        <v>0.88278652252393597</v>
      </c>
      <c r="BU10" s="98">
        <v>480.94209747104026</v>
      </c>
      <c r="BV10" s="98">
        <v>1.0702913100905016</v>
      </c>
      <c r="BW10" s="98">
        <v>583.09470573730528</v>
      </c>
      <c r="BX10" s="98">
        <v>0.86759051787067343</v>
      </c>
      <c r="BY10" s="98">
        <v>472.66331413594287</v>
      </c>
      <c r="BZ10" s="98">
        <v>0.88508008690138884</v>
      </c>
      <c r="CA10" s="98">
        <v>482.19163134387662</v>
      </c>
      <c r="CB10" s="98">
        <v>1.0819925006132256</v>
      </c>
      <c r="CC10" s="98">
        <v>589.46951433408526</v>
      </c>
      <c r="CD10" s="98">
        <v>1.0844012897147481</v>
      </c>
      <c r="CE10" s="98">
        <v>590.78182263659471</v>
      </c>
      <c r="CF10" s="98">
        <v>0.64887134192390616</v>
      </c>
      <c r="CG10" s="98">
        <v>353.50510708014406</v>
      </c>
      <c r="CH10" s="98">
        <v>0.96277359005856322</v>
      </c>
      <c r="CI10" s="98">
        <v>524.51905186390525</v>
      </c>
      <c r="CJ10" s="98">
        <v>0.81461781785704179</v>
      </c>
      <c r="CK10" s="98">
        <v>443.80378716851635</v>
      </c>
      <c r="CL10" s="98">
        <v>0.94062507949530005</v>
      </c>
      <c r="CM10" s="98">
        <v>512.45254330903947</v>
      </c>
      <c r="CN10" s="98">
        <v>1.1208340603691356</v>
      </c>
      <c r="CO10" s="98">
        <v>610.63039608910503</v>
      </c>
      <c r="CP10" s="98">
        <v>1.260464047909807</v>
      </c>
      <c r="CQ10" s="98">
        <v>686.70081330126277</v>
      </c>
      <c r="CR10" s="98">
        <v>1.0391832151754079</v>
      </c>
      <c r="CS10" s="98">
        <v>566.14701562756215</v>
      </c>
      <c r="CT10" s="98">
        <v>0.60442174359904233</v>
      </c>
      <c r="CU10" s="98">
        <v>329.28896591275821</v>
      </c>
    </row>
    <row r="11" spans="1:99">
      <c r="C11" s="97" t="s">
        <v>178</v>
      </c>
      <c r="D11" s="98">
        <v>5</v>
      </c>
      <c r="E11" s="98">
        <v>2664</v>
      </c>
      <c r="F11" s="98">
        <v>2.6279086884285094</v>
      </c>
      <c r="G11" s="98">
        <v>1400.1497491947098</v>
      </c>
      <c r="H11" s="98">
        <v>3.7759810958709434</v>
      </c>
      <c r="I11" s="98">
        <v>2011.8427278800384</v>
      </c>
      <c r="J11" s="98">
        <v>0.96341651155385732</v>
      </c>
      <c r="K11" s="98">
        <v>513.30831735589516</v>
      </c>
      <c r="L11" s="98">
        <v>0.66186714343750008</v>
      </c>
      <c r="M11" s="98">
        <v>352.64281402350002</v>
      </c>
      <c r="N11" s="98">
        <v>0.96089887258638207</v>
      </c>
      <c r="O11" s="98">
        <v>511.96691931402432</v>
      </c>
      <c r="P11" s="98">
        <v>0.95424905339893318</v>
      </c>
      <c r="Q11" s="98">
        <v>508.42389565095158</v>
      </c>
      <c r="R11" s="98">
        <v>0.84854761979166671</v>
      </c>
      <c r="S11" s="98">
        <v>452.10617182499999</v>
      </c>
      <c r="T11" s="98">
        <v>1.1210486846841126</v>
      </c>
      <c r="U11" s="98">
        <v>597.29473919969507</v>
      </c>
      <c r="V11" s="98">
        <v>1.06477983178491</v>
      </c>
      <c r="W11" s="98">
        <v>567.31469437500004</v>
      </c>
      <c r="X11" s="98">
        <v>0.84529647948595144</v>
      </c>
      <c r="Y11" s="98">
        <v>450.37396427011487</v>
      </c>
      <c r="Z11" s="98">
        <v>0.85471272210921323</v>
      </c>
      <c r="AA11" s="98">
        <v>455.39093833978876</v>
      </c>
      <c r="AB11" s="98">
        <v>1.1384812422586199</v>
      </c>
      <c r="AC11" s="98">
        <v>606.58280587539264</v>
      </c>
      <c r="AD11" s="98">
        <v>1.0990868289184512</v>
      </c>
      <c r="AE11" s="98">
        <v>585.59346244775077</v>
      </c>
      <c r="AF11" s="98">
        <v>0.70478070297175666</v>
      </c>
      <c r="AG11" s="98">
        <v>375.50715854335192</v>
      </c>
      <c r="AH11" s="98">
        <v>0.79630157773989507</v>
      </c>
      <c r="AI11" s="98">
        <v>424.26948061981608</v>
      </c>
      <c r="AJ11" s="98">
        <v>1.0909653151715941</v>
      </c>
      <c r="AK11" s="98">
        <v>581.26631992342527</v>
      </c>
      <c r="AL11" s="98">
        <v>0.75459025393426771</v>
      </c>
      <c r="AM11" s="98">
        <v>402.04568729617779</v>
      </c>
      <c r="AN11" s="98">
        <v>0.8059719458503809</v>
      </c>
      <c r="AO11" s="98">
        <v>429.42185274908292</v>
      </c>
      <c r="AP11" s="98">
        <v>0.70351238849966624</v>
      </c>
      <c r="AQ11" s="98">
        <v>374.83140059262212</v>
      </c>
      <c r="AR11" s="98">
        <v>0.93352960402466967</v>
      </c>
      <c r="AS11" s="98">
        <v>497.38457302434398</v>
      </c>
      <c r="AT11" s="98">
        <v>0.69901855611454178</v>
      </c>
      <c r="AU11" s="98">
        <v>372.43708669782785</v>
      </c>
      <c r="AV11" s="98">
        <v>0.91537925127977282</v>
      </c>
      <c r="AW11" s="98">
        <v>487.71406508186294</v>
      </c>
      <c r="AX11" s="98">
        <v>0.89432575721736007</v>
      </c>
      <c r="AY11" s="98">
        <v>476.49676344540939</v>
      </c>
      <c r="AZ11" s="98">
        <v>1.0868895503129896</v>
      </c>
      <c r="BA11" s="98">
        <v>579.09475240676079</v>
      </c>
      <c r="BB11" s="98">
        <v>1.0392622059148777</v>
      </c>
      <c r="BC11" s="98">
        <v>553.71890331144675</v>
      </c>
      <c r="BD11" s="98">
        <v>1.1382871298402593</v>
      </c>
      <c r="BE11" s="98">
        <v>606.47938277889011</v>
      </c>
      <c r="BF11" s="98">
        <v>0.73273560857471576</v>
      </c>
      <c r="BG11" s="98">
        <v>390.40153224860853</v>
      </c>
      <c r="BH11" s="98">
        <v>0.98839462663630084</v>
      </c>
      <c r="BI11" s="98">
        <v>526.61665707182101</v>
      </c>
      <c r="BJ11" s="98">
        <v>0.71408666021496148</v>
      </c>
      <c r="BK11" s="98">
        <v>380.46537256253146</v>
      </c>
      <c r="BL11" s="98">
        <v>0.87770814924539531</v>
      </c>
      <c r="BM11" s="98">
        <v>467.64290191794657</v>
      </c>
      <c r="BN11" s="98">
        <v>1.1264617537773549</v>
      </c>
      <c r="BO11" s="98">
        <v>600.17882241257462</v>
      </c>
      <c r="BP11" s="98">
        <v>1.1878070074569118</v>
      </c>
      <c r="BQ11" s="98">
        <v>632.86357357304257</v>
      </c>
      <c r="BR11" s="98">
        <v>1.0855854311017945</v>
      </c>
      <c r="BS11" s="98">
        <v>578.39991769103608</v>
      </c>
      <c r="BT11" s="98">
        <v>0.88278652252393597</v>
      </c>
      <c r="BU11" s="98">
        <v>470.34865920075305</v>
      </c>
      <c r="BV11" s="98">
        <v>1.0859247111634271</v>
      </c>
      <c r="BW11" s="98">
        <v>578.58068610787393</v>
      </c>
      <c r="BX11" s="98">
        <v>0.85257552084604316</v>
      </c>
      <c r="BY11" s="98">
        <v>454.25223750677173</v>
      </c>
      <c r="BZ11" s="98">
        <v>0.88508008690138884</v>
      </c>
      <c r="CA11" s="98">
        <v>471.57067030105992</v>
      </c>
      <c r="CB11" s="98">
        <v>1.2526490241331658</v>
      </c>
      <c r="CC11" s="98">
        <v>667.41140005815066</v>
      </c>
      <c r="CD11" s="98">
        <v>1.0844012897147481</v>
      </c>
      <c r="CE11" s="98">
        <v>577.76900716001774</v>
      </c>
      <c r="CF11" s="98">
        <v>0.79680878599206006</v>
      </c>
      <c r="CG11" s="98">
        <v>424.53972117656957</v>
      </c>
      <c r="CH11" s="98">
        <v>1.0888127997417123</v>
      </c>
      <c r="CI11" s="98">
        <v>580.11945970238423</v>
      </c>
      <c r="CJ11" s="98">
        <v>0.82671303781615924</v>
      </c>
      <c r="CK11" s="98">
        <v>440.47270654844959</v>
      </c>
      <c r="CL11" s="98">
        <v>0.95335206920791338</v>
      </c>
      <c r="CM11" s="98">
        <v>507.94598247397619</v>
      </c>
      <c r="CN11" s="98">
        <v>1.1038497298117975</v>
      </c>
      <c r="CO11" s="98">
        <v>588.13113604372563</v>
      </c>
      <c r="CP11" s="98">
        <v>1.2340421002161228</v>
      </c>
      <c r="CQ11" s="98">
        <v>657.49763099515019</v>
      </c>
      <c r="CR11" s="98">
        <v>1.0391832151754079</v>
      </c>
      <c r="CS11" s="98">
        <v>553.67681704545726</v>
      </c>
      <c r="CT11" s="98">
        <v>0.78535235253601943</v>
      </c>
      <c r="CU11" s="98">
        <v>418.43573343119112</v>
      </c>
    </row>
    <row r="12" spans="1:99">
      <c r="C12" s="97" t="s">
        <v>179</v>
      </c>
      <c r="D12" s="98">
        <v>5</v>
      </c>
      <c r="E12" s="98">
        <v>2814</v>
      </c>
      <c r="F12" s="98">
        <v>2.6279086884285094</v>
      </c>
      <c r="G12" s="98">
        <v>1478.9870098475651</v>
      </c>
      <c r="H12" s="98">
        <v>3.1466509132257863</v>
      </c>
      <c r="I12" s="98">
        <v>1770.9351339634725</v>
      </c>
      <c r="J12" s="98">
        <v>0.96341651155385732</v>
      </c>
      <c r="K12" s="98">
        <v>542.21081270251091</v>
      </c>
      <c r="L12" s="98">
        <v>0.66186714343750008</v>
      </c>
      <c r="M12" s="98">
        <v>372.49882832662502</v>
      </c>
      <c r="N12" s="98">
        <v>0.76871909806910577</v>
      </c>
      <c r="O12" s="98">
        <v>432.63510839329268</v>
      </c>
      <c r="P12" s="98">
        <v>0.7633992427191465</v>
      </c>
      <c r="Q12" s="98">
        <v>429.6410938023356</v>
      </c>
      <c r="R12" s="98">
        <v>1.0606845247395835</v>
      </c>
      <c r="S12" s="98">
        <v>596.95325052343753</v>
      </c>
      <c r="T12" s="98">
        <v>1.1210486846841126</v>
      </c>
      <c r="U12" s="98">
        <v>630.92619974021852</v>
      </c>
      <c r="V12" s="98">
        <v>1.06477983178491</v>
      </c>
      <c r="W12" s="98">
        <v>599.25808932854727</v>
      </c>
      <c r="X12" s="98">
        <v>0.84529647948595144</v>
      </c>
      <c r="Y12" s="98">
        <v>475.73285865469342</v>
      </c>
      <c r="Z12" s="98">
        <v>0.87611062367195591</v>
      </c>
      <c r="AA12" s="98">
        <v>493.07505900257672</v>
      </c>
      <c r="AB12" s="98">
        <v>0.94916466665741461</v>
      </c>
      <c r="AC12" s="98">
        <v>534.18987439479292</v>
      </c>
      <c r="AD12" s="98">
        <v>0.95090038773726959</v>
      </c>
      <c r="AE12" s="98">
        <v>535.16673821853533</v>
      </c>
      <c r="AF12" s="98">
        <v>0.70478070297175666</v>
      </c>
      <c r="AG12" s="98">
        <v>396.65057963250462</v>
      </c>
      <c r="AH12" s="98">
        <v>0.97596943378899514</v>
      </c>
      <c r="AI12" s="98">
        <v>549.27559733644637</v>
      </c>
      <c r="AJ12" s="98">
        <v>0.93560439268869056</v>
      </c>
      <c r="AK12" s="98">
        <v>526.55815220519503</v>
      </c>
      <c r="AL12" s="98">
        <v>0.75459025393426771</v>
      </c>
      <c r="AM12" s="98">
        <v>424.68339491420585</v>
      </c>
      <c r="AN12" s="98">
        <v>0.99285656644876896</v>
      </c>
      <c r="AO12" s="98">
        <v>558.77967559736715</v>
      </c>
      <c r="AP12" s="98">
        <v>0.90126453672936291</v>
      </c>
      <c r="AQ12" s="98">
        <v>507.23168127128542</v>
      </c>
      <c r="AR12" s="98">
        <v>0.94733897426695768</v>
      </c>
      <c r="AS12" s="98">
        <v>533.16237471744375</v>
      </c>
      <c r="AT12" s="98">
        <v>0.69901855611454178</v>
      </c>
      <c r="AU12" s="98">
        <v>393.40764338126411</v>
      </c>
      <c r="AV12" s="98">
        <v>1.0715285193148005</v>
      </c>
      <c r="AW12" s="98">
        <v>603.05625067036965</v>
      </c>
      <c r="AX12" s="98">
        <v>0.91099340468912759</v>
      </c>
      <c r="AY12" s="98">
        <v>512.70708815904095</v>
      </c>
      <c r="AZ12" s="98">
        <v>0.93964056768032855</v>
      </c>
      <c r="BA12" s="98">
        <v>528.82971149048888</v>
      </c>
      <c r="BB12" s="98">
        <v>1.0260729814933347</v>
      </c>
      <c r="BC12" s="98">
        <v>577.47387398444869</v>
      </c>
      <c r="BD12" s="98">
        <v>0.95669074635691298</v>
      </c>
      <c r="BE12" s="98">
        <v>538.42555204967061</v>
      </c>
      <c r="BF12" s="98">
        <v>0.73273560857471576</v>
      </c>
      <c r="BG12" s="98">
        <v>412.38360050584998</v>
      </c>
      <c r="BH12" s="98">
        <v>0.97579318502579582</v>
      </c>
      <c r="BI12" s="98">
        <v>549.17640453251784</v>
      </c>
      <c r="BJ12" s="98">
        <v>0.71408666021496148</v>
      </c>
      <c r="BK12" s="98">
        <v>401.88797236898029</v>
      </c>
      <c r="BL12" s="98">
        <v>0.87770814924539531</v>
      </c>
      <c r="BM12" s="98">
        <v>493.97414639530842</v>
      </c>
      <c r="BN12" s="98">
        <v>0.95532403961864054</v>
      </c>
      <c r="BO12" s="98">
        <v>537.65636949737086</v>
      </c>
      <c r="BP12" s="98">
        <v>1.1722772669370676</v>
      </c>
      <c r="BQ12" s="98">
        <v>659.75764583218154</v>
      </c>
      <c r="BR12" s="98">
        <v>1.0855854311017945</v>
      </c>
      <c r="BS12" s="98">
        <v>610.96748062408994</v>
      </c>
      <c r="BT12" s="98">
        <v>0.7181355030627572</v>
      </c>
      <c r="BU12" s="98">
        <v>404.16666112371973</v>
      </c>
      <c r="BV12" s="98">
        <v>1.0702913100905016</v>
      </c>
      <c r="BW12" s="98">
        <v>602.35994931893424</v>
      </c>
      <c r="BX12" s="98">
        <v>0.86759051787067343</v>
      </c>
      <c r="BY12" s="98">
        <v>488.27994345761499</v>
      </c>
      <c r="BZ12" s="98">
        <v>0.88508008690138884</v>
      </c>
      <c r="CA12" s="98">
        <v>498.12307290810162</v>
      </c>
      <c r="CB12" s="98">
        <v>1.2236223443863745</v>
      </c>
      <c r="CC12" s="98">
        <v>688.65465542065147</v>
      </c>
      <c r="CD12" s="98">
        <v>0.93357819756014626</v>
      </c>
      <c r="CE12" s="98">
        <v>525.41780958685024</v>
      </c>
      <c r="CF12" s="98">
        <v>0.63520074127594306</v>
      </c>
      <c r="CG12" s="98">
        <v>357.49097719010075</v>
      </c>
      <c r="CH12" s="98">
        <v>0.96277359005856322</v>
      </c>
      <c r="CI12" s="98">
        <v>541.84897648495939</v>
      </c>
      <c r="CJ12" s="98">
        <v>0.82671303781615924</v>
      </c>
      <c r="CK12" s="98">
        <v>465.27409768293438</v>
      </c>
      <c r="CL12" s="98">
        <v>0.95335206920791338</v>
      </c>
      <c r="CM12" s="98">
        <v>536.54654455021364</v>
      </c>
      <c r="CN12" s="98">
        <v>1.1038497298117975</v>
      </c>
      <c r="CO12" s="98">
        <v>621.24662793807954</v>
      </c>
      <c r="CP12" s="98">
        <v>1.0898341652418644</v>
      </c>
      <c r="CQ12" s="98">
        <v>613.35866819812122</v>
      </c>
      <c r="CR12" s="98">
        <v>1.0391832151754079</v>
      </c>
      <c r="CS12" s="98">
        <v>584.85231350071956</v>
      </c>
      <c r="CT12" s="98">
        <v>0.78535235253601943</v>
      </c>
      <c r="CU12" s="98">
        <v>441.9963040072717</v>
      </c>
    </row>
    <row r="13" spans="1:99">
      <c r="C13" s="97" t="s">
        <v>180</v>
      </c>
      <c r="D13" s="98">
        <v>5</v>
      </c>
      <c r="E13" s="98">
        <v>426</v>
      </c>
      <c r="F13" s="98">
        <v>2.6279086884285094</v>
      </c>
      <c r="G13" s="98">
        <v>223.89782025410901</v>
      </c>
      <c r="H13" s="98">
        <v>3.1466509132257863</v>
      </c>
      <c r="I13" s="98">
        <v>268.09465780683701</v>
      </c>
      <c r="J13" s="98">
        <v>0.96341651155385732</v>
      </c>
      <c r="K13" s="98">
        <v>82.083086784388641</v>
      </c>
      <c r="L13" s="98">
        <v>0.66186714343750008</v>
      </c>
      <c r="M13" s="98">
        <v>56.391080620875009</v>
      </c>
      <c r="N13" s="98">
        <v>0.96089887258638207</v>
      </c>
      <c r="O13" s="98">
        <v>81.868583944359756</v>
      </c>
      <c r="P13" s="98">
        <v>0.95424905339893318</v>
      </c>
      <c r="Q13" s="98">
        <v>81.302019349589116</v>
      </c>
      <c r="R13" s="98">
        <v>0.84854761979166671</v>
      </c>
      <c r="S13" s="98">
        <v>72.296257206250004</v>
      </c>
      <c r="T13" s="98">
        <v>1.1210486846841126</v>
      </c>
      <c r="U13" s="98">
        <v>95.513347935086387</v>
      </c>
      <c r="V13" s="98">
        <v>1.277735798141892</v>
      </c>
      <c r="W13" s="98">
        <v>108.8630900016892</v>
      </c>
      <c r="X13" s="98">
        <v>0.84529647948595144</v>
      </c>
      <c r="Y13" s="98">
        <v>72.019260052203066</v>
      </c>
      <c r="Z13" s="98">
        <v>0.87611062367195591</v>
      </c>
      <c r="AA13" s="98">
        <v>74.644625136850649</v>
      </c>
      <c r="AB13" s="98">
        <v>0.94916466665741461</v>
      </c>
      <c r="AC13" s="98">
        <v>80.868829599211722</v>
      </c>
      <c r="AD13" s="98">
        <v>0.96489826652602695</v>
      </c>
      <c r="AE13" s="98">
        <v>82.209332308017494</v>
      </c>
      <c r="AF13" s="98">
        <v>0.71849590216894055</v>
      </c>
      <c r="AG13" s="98">
        <v>61.215850864793737</v>
      </c>
      <c r="AH13" s="98">
        <v>0.9604434030802963</v>
      </c>
      <c r="AI13" s="98">
        <v>81.829777942441254</v>
      </c>
      <c r="AJ13" s="98">
        <v>1.0787499474581963</v>
      </c>
      <c r="AK13" s="98">
        <v>91.909495523438324</v>
      </c>
      <c r="AL13" s="98">
        <v>0.92535938721229127</v>
      </c>
      <c r="AM13" s="98">
        <v>78.840619790487224</v>
      </c>
      <c r="AN13" s="98">
        <v>0.77092650527106421</v>
      </c>
      <c r="AO13" s="98">
        <v>65.682938249094676</v>
      </c>
      <c r="AP13" s="98">
        <v>0.8855136876135663</v>
      </c>
      <c r="AQ13" s="98">
        <v>75.445766184675847</v>
      </c>
      <c r="AR13" s="98">
        <v>0.94733897426695768</v>
      </c>
      <c r="AS13" s="98">
        <v>80.713280607544803</v>
      </c>
      <c r="AT13" s="98">
        <v>0.69901855611454178</v>
      </c>
      <c r="AU13" s="98">
        <v>59.556380980958963</v>
      </c>
      <c r="AV13" s="98">
        <v>1.0546994054267209</v>
      </c>
      <c r="AW13" s="98">
        <v>89.860389342356626</v>
      </c>
      <c r="AX13" s="98">
        <v>0.89432575721736007</v>
      </c>
      <c r="AY13" s="98">
        <v>76.196554514919086</v>
      </c>
      <c r="AZ13" s="98">
        <v>1.0868895503129896</v>
      </c>
      <c r="BA13" s="98">
        <v>92.602989686666717</v>
      </c>
      <c r="BB13" s="98">
        <v>1.1729049003027283</v>
      </c>
      <c r="BC13" s="98">
        <v>99.93149750579245</v>
      </c>
      <c r="BD13" s="98">
        <v>0.97292702267030629</v>
      </c>
      <c r="BE13" s="98">
        <v>82.893382331510097</v>
      </c>
      <c r="BF13" s="98">
        <v>0.7178147463291189</v>
      </c>
      <c r="BG13" s="98">
        <v>61.157816387240935</v>
      </c>
      <c r="BH13" s="98">
        <v>1.1558300920983495</v>
      </c>
      <c r="BI13" s="98">
        <v>98.476723846779379</v>
      </c>
      <c r="BJ13" s="98">
        <v>0.867819292108438</v>
      </c>
      <c r="BK13" s="98">
        <v>73.938203687638918</v>
      </c>
      <c r="BL13" s="98">
        <v>0.89337289647260498</v>
      </c>
      <c r="BM13" s="98">
        <v>76.115370779465948</v>
      </c>
      <c r="BN13" s="98">
        <v>1.1264617537773549</v>
      </c>
      <c r="BO13" s="98">
        <v>95.974541421830637</v>
      </c>
      <c r="BP13" s="98">
        <v>1.2188664884965998</v>
      </c>
      <c r="BQ13" s="98">
        <v>103.84742481991032</v>
      </c>
      <c r="BR13" s="98">
        <v>1.0855854311017945</v>
      </c>
      <c r="BS13" s="98">
        <v>92.491878729872894</v>
      </c>
      <c r="BT13" s="98">
        <v>0.88278652252393597</v>
      </c>
      <c r="BU13" s="98">
        <v>75.213411719039343</v>
      </c>
      <c r="BV13" s="98">
        <v>1.2499560897481663</v>
      </c>
      <c r="BW13" s="98">
        <v>106.49625884654377</v>
      </c>
      <c r="BX13" s="98">
        <v>0.86759051787067343</v>
      </c>
      <c r="BY13" s="98">
        <v>73.918712122581383</v>
      </c>
      <c r="BZ13" s="98">
        <v>0.88508008690138884</v>
      </c>
      <c r="CA13" s="98">
        <v>75.408823403998326</v>
      </c>
      <c r="CB13" s="98">
        <v>1.0819925006132256</v>
      </c>
      <c r="CC13" s="98">
        <v>92.185761052246818</v>
      </c>
      <c r="CD13" s="98">
        <v>1.0972200566281149</v>
      </c>
      <c r="CE13" s="98">
        <v>93.4831488247154</v>
      </c>
      <c r="CF13" s="98">
        <v>0.79680878599206006</v>
      </c>
      <c r="CG13" s="98">
        <v>67.888108566523513</v>
      </c>
      <c r="CH13" s="98">
        <v>1.0888127997417123</v>
      </c>
      <c r="CI13" s="98">
        <v>92.766850537993889</v>
      </c>
      <c r="CJ13" s="98">
        <v>0.83880825777527668</v>
      </c>
      <c r="CK13" s="98">
        <v>71.466463562453569</v>
      </c>
      <c r="CL13" s="98">
        <v>0.96607905892052692</v>
      </c>
      <c r="CM13" s="98">
        <v>82.309935820028898</v>
      </c>
      <c r="CN13" s="98">
        <v>1.1038497298117975</v>
      </c>
      <c r="CO13" s="98">
        <v>94.047996979965149</v>
      </c>
      <c r="CP13" s="98">
        <v>1.2340421002161228</v>
      </c>
      <c r="CQ13" s="98">
        <v>105.14038693841367</v>
      </c>
      <c r="CR13" s="98">
        <v>1.0391832151754079</v>
      </c>
      <c r="CS13" s="98">
        <v>88.538409932944759</v>
      </c>
      <c r="CT13" s="98">
        <v>0.78535235253601943</v>
      </c>
      <c r="CU13" s="98">
        <v>66.912020436068858</v>
      </c>
    </row>
    <row r="14" spans="1:99">
      <c r="C14" s="97" t="s">
        <v>181</v>
      </c>
      <c r="D14" s="98">
        <v>5</v>
      </c>
      <c r="E14" s="98">
        <v>2442</v>
      </c>
      <c r="F14" s="98">
        <v>2.6279086884285094</v>
      </c>
      <c r="G14" s="98">
        <v>1283.4706034284839</v>
      </c>
      <c r="H14" s="98">
        <v>3.1466509132257863</v>
      </c>
      <c r="I14" s="98">
        <v>1536.8243060194739</v>
      </c>
      <c r="J14" s="98">
        <v>0.96341651155385732</v>
      </c>
      <c r="K14" s="98">
        <v>470.53262424290392</v>
      </c>
      <c r="L14" s="98">
        <v>0.66186714343750008</v>
      </c>
      <c r="M14" s="98">
        <v>323.25591285487502</v>
      </c>
      <c r="N14" s="98">
        <v>0.76871909806910577</v>
      </c>
      <c r="O14" s="98">
        <v>375.44240749695126</v>
      </c>
      <c r="P14" s="98">
        <v>0.95424905339893318</v>
      </c>
      <c r="Q14" s="98">
        <v>466.05523768003894</v>
      </c>
      <c r="R14" s="98">
        <v>0.84854761979166671</v>
      </c>
      <c r="S14" s="98">
        <v>414.43065750624999</v>
      </c>
      <c r="T14" s="98">
        <v>1.1210486846841126</v>
      </c>
      <c r="U14" s="98">
        <v>547.52017759972057</v>
      </c>
      <c r="V14" s="98">
        <v>1.06477983178491</v>
      </c>
      <c r="W14" s="98">
        <v>520.03846984375002</v>
      </c>
      <c r="X14" s="98">
        <v>0.84529647948595144</v>
      </c>
      <c r="Y14" s="98">
        <v>412.84280058093867</v>
      </c>
      <c r="Z14" s="98">
        <v>0.87611062367195591</v>
      </c>
      <c r="AA14" s="98">
        <v>427.89242860138324</v>
      </c>
      <c r="AB14" s="98">
        <v>1.1559265480997647</v>
      </c>
      <c r="AC14" s="98">
        <v>564.55452609192503</v>
      </c>
      <c r="AD14" s="98">
        <v>0.93690250894851212</v>
      </c>
      <c r="AE14" s="98">
        <v>457.58318537045329</v>
      </c>
      <c r="AF14" s="98">
        <v>0.71849590216894055</v>
      </c>
      <c r="AG14" s="98">
        <v>350.91339861931056</v>
      </c>
      <c r="AH14" s="98">
        <v>0.9604434030802963</v>
      </c>
      <c r="AI14" s="98">
        <v>469.08055806441666</v>
      </c>
      <c r="AJ14" s="98">
        <v>1.0909653151715941</v>
      </c>
      <c r="AK14" s="98">
        <v>532.82745992980654</v>
      </c>
      <c r="AL14" s="98">
        <v>0.72430489717174307</v>
      </c>
      <c r="AM14" s="98">
        <v>353.75051177867931</v>
      </c>
      <c r="AN14" s="98">
        <v>0.77092650527106421</v>
      </c>
      <c r="AO14" s="98">
        <v>376.52050517438772</v>
      </c>
      <c r="AP14" s="98">
        <v>0.90126453672936291</v>
      </c>
      <c r="AQ14" s="98">
        <v>440.17759973862081</v>
      </c>
      <c r="AR14" s="98">
        <v>0.94733897426695768</v>
      </c>
      <c r="AS14" s="98">
        <v>462.68035503198212</v>
      </c>
      <c r="AT14" s="98">
        <v>0.68140936240192895</v>
      </c>
      <c r="AU14" s="98">
        <v>332.80033259710211</v>
      </c>
      <c r="AV14" s="98">
        <v>0.89855013739169354</v>
      </c>
      <c r="AW14" s="98">
        <v>438.85188710210309</v>
      </c>
      <c r="AX14" s="98">
        <v>0.877658109745593</v>
      </c>
      <c r="AY14" s="98">
        <v>428.64822079974761</v>
      </c>
      <c r="AZ14" s="98">
        <v>1.0981893088972685</v>
      </c>
      <c r="BA14" s="98">
        <v>536.3556584654259</v>
      </c>
      <c r="BB14" s="98">
        <v>1.0392622059148777</v>
      </c>
      <c r="BC14" s="98">
        <v>507.57566136882627</v>
      </c>
      <c r="BD14" s="98">
        <v>1.1220508535268661</v>
      </c>
      <c r="BE14" s="98">
        <v>548.00963686252135</v>
      </c>
      <c r="BF14" s="98">
        <v>0.73273560857471576</v>
      </c>
      <c r="BG14" s="98">
        <v>357.86807122789116</v>
      </c>
      <c r="BH14" s="98">
        <v>0.98839462663630084</v>
      </c>
      <c r="BI14" s="98">
        <v>482.73193564916932</v>
      </c>
      <c r="BJ14" s="98">
        <v>0.71408666021496148</v>
      </c>
      <c r="BK14" s="98">
        <v>348.75992484898717</v>
      </c>
      <c r="BL14" s="98">
        <v>0.87770814924539531</v>
      </c>
      <c r="BM14" s="98">
        <v>428.67266009145106</v>
      </c>
      <c r="BN14" s="98">
        <v>1.2691321911289066</v>
      </c>
      <c r="BO14" s="98">
        <v>619.84416214735802</v>
      </c>
      <c r="BP14" s="98">
        <v>1.3728333915998601</v>
      </c>
      <c r="BQ14" s="98">
        <v>670.49182845737164</v>
      </c>
      <c r="BR14" s="98">
        <v>1.0723685448367009</v>
      </c>
      <c r="BS14" s="98">
        <v>523.74479729824463</v>
      </c>
      <c r="BT14" s="98">
        <v>0.87088023748032761</v>
      </c>
      <c r="BU14" s="98">
        <v>425.33790798539201</v>
      </c>
      <c r="BV14" s="98">
        <v>1.0859247111634271</v>
      </c>
      <c r="BW14" s="98">
        <v>530.36562893221776</v>
      </c>
      <c r="BX14" s="98">
        <v>0.86759051787067343</v>
      </c>
      <c r="BY14" s="98">
        <v>423.73120892803689</v>
      </c>
      <c r="BZ14" s="98">
        <v>0.89997839874237062</v>
      </c>
      <c r="CA14" s="98">
        <v>439.5494499457738</v>
      </c>
      <c r="CB14" s="98">
        <v>1.2381356842597702</v>
      </c>
      <c r="CC14" s="98">
        <v>604.7054681924717</v>
      </c>
      <c r="CD14" s="98">
        <v>1.0972200566281149</v>
      </c>
      <c r="CE14" s="98">
        <v>535.88227565717136</v>
      </c>
      <c r="CF14" s="98">
        <v>0.82414998728798605</v>
      </c>
      <c r="CG14" s="98">
        <v>402.51485379145237</v>
      </c>
      <c r="CH14" s="98">
        <v>0.94900436792791865</v>
      </c>
      <c r="CI14" s="98">
        <v>463.49373329599547</v>
      </c>
      <c r="CJ14" s="98">
        <v>0.81461781785704179</v>
      </c>
      <c r="CK14" s="98">
        <v>397.85934224137918</v>
      </c>
      <c r="CL14" s="98">
        <v>0.94062507949530005</v>
      </c>
      <c r="CM14" s="98">
        <v>459.40128882550454</v>
      </c>
      <c r="CN14" s="98">
        <v>1.1038497298117975</v>
      </c>
      <c r="CO14" s="98">
        <v>539.12020804008193</v>
      </c>
      <c r="CP14" s="98">
        <v>1.0898341652418644</v>
      </c>
      <c r="CQ14" s="98">
        <v>532.27500630412658</v>
      </c>
      <c r="CR14" s="98">
        <v>1.2202714521210509</v>
      </c>
      <c r="CS14" s="98">
        <v>595.98057721592124</v>
      </c>
      <c r="CT14" s="98">
        <v>0.61982922279607022</v>
      </c>
      <c r="CU14" s="98">
        <v>302.7245924136007</v>
      </c>
    </row>
    <row r="15" spans="1:99">
      <c r="C15" s="97" t="s">
        <v>182</v>
      </c>
      <c r="D15" s="98">
        <v>5</v>
      </c>
      <c r="E15" s="98">
        <v>3815.9999999999995</v>
      </c>
      <c r="F15" s="98">
        <v>2.6279086884285094</v>
      </c>
      <c r="G15" s="98">
        <v>2005.6199110086382</v>
      </c>
      <c r="H15" s="98">
        <v>3.1466509132257863</v>
      </c>
      <c r="I15" s="98">
        <v>2401.5239769739201</v>
      </c>
      <c r="J15" s="98">
        <v>0.96341651155385732</v>
      </c>
      <c r="K15" s="98">
        <v>735.2794816179038</v>
      </c>
      <c r="L15" s="98">
        <v>0.66186714343750008</v>
      </c>
      <c r="M15" s="98">
        <v>505.13700387150004</v>
      </c>
      <c r="N15" s="98">
        <v>0.96089887258638207</v>
      </c>
      <c r="O15" s="98">
        <v>733.3580195579267</v>
      </c>
      <c r="P15" s="98">
        <v>0.7633992427191465</v>
      </c>
      <c r="Q15" s="98">
        <v>582.62630204325251</v>
      </c>
      <c r="R15" s="98">
        <v>0.84854761979166671</v>
      </c>
      <c r="S15" s="98">
        <v>647.61154342499992</v>
      </c>
      <c r="T15" s="98">
        <v>1.1210486846841126</v>
      </c>
      <c r="U15" s="98">
        <v>855.58435615091469</v>
      </c>
      <c r="V15" s="98">
        <v>1.06477983178491</v>
      </c>
      <c r="W15" s="98">
        <v>812.63996761824319</v>
      </c>
      <c r="X15" s="98">
        <v>0.84529647948595144</v>
      </c>
      <c r="Y15" s="98">
        <v>645.1302731436781</v>
      </c>
      <c r="Z15" s="98">
        <v>0.85471272210921323</v>
      </c>
      <c r="AA15" s="98">
        <v>652.31674951375146</v>
      </c>
      <c r="AB15" s="98">
        <v>0.93171936081626971</v>
      </c>
      <c r="AC15" s="98">
        <v>711.08821617497699</v>
      </c>
      <c r="AD15" s="98">
        <v>0.95090038773726959</v>
      </c>
      <c r="AE15" s="98">
        <v>725.72717592108404</v>
      </c>
      <c r="AF15" s="98">
        <v>0.69106550377457288</v>
      </c>
      <c r="AG15" s="98">
        <v>527.42119248075392</v>
      </c>
      <c r="AH15" s="98">
        <v>0.79630157773989507</v>
      </c>
      <c r="AI15" s="98">
        <v>607.73736413108782</v>
      </c>
      <c r="AJ15" s="98">
        <v>0.93560439268869056</v>
      </c>
      <c r="AK15" s="98">
        <v>714.05327250000857</v>
      </c>
      <c r="AL15" s="98">
        <v>0.73944757555300533</v>
      </c>
      <c r="AM15" s="98">
        <v>564.34638966205364</v>
      </c>
      <c r="AN15" s="98">
        <v>0.95781112586945227</v>
      </c>
      <c r="AO15" s="98">
        <v>731.00145126356585</v>
      </c>
      <c r="AP15" s="98">
        <v>0.71926323761546296</v>
      </c>
      <c r="AQ15" s="98">
        <v>548.94170294812125</v>
      </c>
      <c r="AR15" s="98">
        <v>0.91972023378238177</v>
      </c>
      <c r="AS15" s="98">
        <v>701.93048242271368</v>
      </c>
      <c r="AT15" s="98">
        <v>0.69901855611454178</v>
      </c>
      <c r="AU15" s="98">
        <v>533.49096202661826</v>
      </c>
      <c r="AV15" s="98">
        <v>0.89855013739169354</v>
      </c>
      <c r="AW15" s="98">
        <v>685.7734648573404</v>
      </c>
      <c r="AX15" s="98">
        <v>0.91099340468912759</v>
      </c>
      <c r="AY15" s="98">
        <v>695.2701664587421</v>
      </c>
      <c r="AZ15" s="98">
        <v>1.0868895503129896</v>
      </c>
      <c r="BA15" s="98">
        <v>829.51410479887363</v>
      </c>
      <c r="BB15" s="98">
        <v>1.0392622059148777</v>
      </c>
      <c r="BC15" s="98">
        <v>793.16491555423465</v>
      </c>
      <c r="BD15" s="98">
        <v>0.97292702267030629</v>
      </c>
      <c r="BE15" s="98">
        <v>742.53790370197771</v>
      </c>
      <c r="BF15" s="98">
        <v>0.73273560857471576</v>
      </c>
      <c r="BG15" s="98">
        <v>559.22381646422298</v>
      </c>
      <c r="BH15" s="98">
        <v>0.98839462663630084</v>
      </c>
      <c r="BI15" s="98">
        <v>754.3427790488247</v>
      </c>
      <c r="BJ15" s="98">
        <v>0.85542477552830587</v>
      </c>
      <c r="BK15" s="98">
        <v>652.86018868320298</v>
      </c>
      <c r="BL15" s="98">
        <v>0.89337289647260498</v>
      </c>
      <c r="BM15" s="98">
        <v>681.82219458789211</v>
      </c>
      <c r="BN15" s="98">
        <v>0.95532403961864054</v>
      </c>
      <c r="BO15" s="98">
        <v>729.10330703694638</v>
      </c>
      <c r="BP15" s="98">
        <v>1.1878070074569118</v>
      </c>
      <c r="BQ15" s="98">
        <v>906.53430809111501</v>
      </c>
      <c r="BR15" s="98">
        <v>1.2356769350002084</v>
      </c>
      <c r="BS15" s="98">
        <v>943.06863679215894</v>
      </c>
      <c r="BT15" s="98">
        <v>0.88278652252393597</v>
      </c>
      <c r="BU15" s="98">
        <v>673.74267399026792</v>
      </c>
      <c r="BV15" s="98">
        <v>1.0702913100905016</v>
      </c>
      <c r="BW15" s="98">
        <v>816.84632786107079</v>
      </c>
      <c r="BX15" s="98">
        <v>0.85257552084604316</v>
      </c>
      <c r="BY15" s="98">
        <v>650.68563750970009</v>
      </c>
      <c r="BZ15" s="98">
        <v>0.88508008690138884</v>
      </c>
      <c r="CA15" s="98">
        <v>675.49312232313991</v>
      </c>
      <c r="CB15" s="98">
        <v>1.0819925006132256</v>
      </c>
      <c r="CC15" s="98">
        <v>825.77667646801376</v>
      </c>
      <c r="CD15" s="98">
        <v>0.92075943064677923</v>
      </c>
      <c r="CE15" s="98">
        <v>702.72359746962184</v>
      </c>
      <c r="CF15" s="98">
        <v>0.81047938664002317</v>
      </c>
      <c r="CG15" s="98">
        <v>618.55786788366561</v>
      </c>
      <c r="CH15" s="98">
        <v>0.80919593611412488</v>
      </c>
      <c r="CI15" s="98">
        <v>617.57833844230004</v>
      </c>
      <c r="CJ15" s="98">
        <v>0.82671303781615924</v>
      </c>
      <c r="CK15" s="98">
        <v>630.94739046129268</v>
      </c>
      <c r="CL15" s="98">
        <v>0.95335206920791338</v>
      </c>
      <c r="CM15" s="98">
        <v>727.59829921947937</v>
      </c>
      <c r="CN15" s="98">
        <v>1.0868653992544595</v>
      </c>
      <c r="CO15" s="98">
        <v>829.49567271100341</v>
      </c>
      <c r="CP15" s="98">
        <v>1.2472530740629648</v>
      </c>
      <c r="CQ15" s="98">
        <v>951.90354612485464</v>
      </c>
      <c r="CR15" s="98">
        <v>1.0258090121306886</v>
      </c>
      <c r="CS15" s="98">
        <v>782.89743805814146</v>
      </c>
      <c r="CT15" s="98">
        <v>0.76994487333899153</v>
      </c>
      <c r="CU15" s="98">
        <v>587.62192733231825</v>
      </c>
    </row>
    <row r="16" spans="1:99">
      <c r="C16" s="97" t="s">
        <v>183</v>
      </c>
      <c r="D16" s="98">
        <v>5</v>
      </c>
      <c r="E16" s="98">
        <v>1704</v>
      </c>
      <c r="F16" s="98">
        <v>2.6279086884285094</v>
      </c>
      <c r="G16" s="98">
        <v>895.59128101643603</v>
      </c>
      <c r="H16" s="98">
        <v>3.1466509132257863</v>
      </c>
      <c r="I16" s="98">
        <v>1072.378631227348</v>
      </c>
      <c r="J16" s="98">
        <v>0.96341651155385732</v>
      </c>
      <c r="K16" s="98">
        <v>328.33234713755456</v>
      </c>
      <c r="L16" s="98">
        <v>0.66186714343750008</v>
      </c>
      <c r="M16" s="98">
        <v>225.56432248350004</v>
      </c>
      <c r="N16" s="98">
        <v>0.96089887258638207</v>
      </c>
      <c r="O16" s="98">
        <v>327.47433577743902</v>
      </c>
      <c r="P16" s="98">
        <v>0.95424905339893318</v>
      </c>
      <c r="Q16" s="98">
        <v>325.20807739835647</v>
      </c>
      <c r="R16" s="98">
        <v>0.84854761979166671</v>
      </c>
      <c r="S16" s="98">
        <v>289.18502882500002</v>
      </c>
      <c r="T16" s="98">
        <v>1.1210486846841126</v>
      </c>
      <c r="U16" s="98">
        <v>382.05339174034555</v>
      </c>
      <c r="V16" s="98">
        <v>1.277735798141892</v>
      </c>
      <c r="W16" s="98">
        <v>435.45236000675681</v>
      </c>
      <c r="X16" s="98">
        <v>0.84529647948595144</v>
      </c>
      <c r="Y16" s="98">
        <v>288.07704020881226</v>
      </c>
      <c r="Z16" s="98">
        <v>0.87611062367195591</v>
      </c>
      <c r="AA16" s="98">
        <v>298.5785005474026</v>
      </c>
      <c r="AB16" s="98">
        <v>0.93171936081626971</v>
      </c>
      <c r="AC16" s="98">
        <v>317.52995816618471</v>
      </c>
      <c r="AD16" s="98">
        <v>0.93690250894851212</v>
      </c>
      <c r="AE16" s="98">
        <v>319.29637504965297</v>
      </c>
      <c r="AF16" s="98">
        <v>0.71849590216894055</v>
      </c>
      <c r="AG16" s="98">
        <v>244.86340345917495</v>
      </c>
      <c r="AH16" s="98">
        <v>0.9604434030802963</v>
      </c>
      <c r="AI16" s="98">
        <v>327.31911176976502</v>
      </c>
      <c r="AJ16" s="98">
        <v>1.0665345797447983</v>
      </c>
      <c r="AK16" s="98">
        <v>363.47498477702726</v>
      </c>
      <c r="AL16" s="98">
        <v>0.92535938721229127</v>
      </c>
      <c r="AM16" s="98">
        <v>315.3624791619489</v>
      </c>
      <c r="AN16" s="98">
        <v>0.95781112586945227</v>
      </c>
      <c r="AO16" s="98">
        <v>326.42203169630932</v>
      </c>
      <c r="AP16" s="98">
        <v>0.90126453672936291</v>
      </c>
      <c r="AQ16" s="98">
        <v>307.15095411736689</v>
      </c>
      <c r="AR16" s="98">
        <v>0.94733897426695768</v>
      </c>
      <c r="AS16" s="98">
        <v>322.85312243017921</v>
      </c>
      <c r="AT16" s="98">
        <v>0.69901855611454178</v>
      </c>
      <c r="AU16" s="98">
        <v>238.22552392383585</v>
      </c>
      <c r="AV16" s="98">
        <v>1.0715285193148005</v>
      </c>
      <c r="AW16" s="98">
        <v>365.17691938248402</v>
      </c>
      <c r="AX16" s="98">
        <v>0.89432575721736007</v>
      </c>
      <c r="AY16" s="98">
        <v>304.78621805967634</v>
      </c>
      <c r="AZ16" s="98">
        <v>1.0981893088972685</v>
      </c>
      <c r="BA16" s="98">
        <v>374.26291647218915</v>
      </c>
      <c r="BB16" s="98">
        <v>1.0260729814933347</v>
      </c>
      <c r="BC16" s="98">
        <v>349.68567209292848</v>
      </c>
      <c r="BD16" s="98">
        <v>1.1382871298402593</v>
      </c>
      <c r="BE16" s="98">
        <v>387.92825384956035</v>
      </c>
      <c r="BF16" s="98">
        <v>0.7178147463291189</v>
      </c>
      <c r="BG16" s="98">
        <v>244.63126554896374</v>
      </c>
      <c r="BH16" s="98">
        <v>0.98839462663630084</v>
      </c>
      <c r="BI16" s="98">
        <v>336.84488875765135</v>
      </c>
      <c r="BJ16" s="98">
        <v>0.85542477552830587</v>
      </c>
      <c r="BK16" s="98">
        <v>291.52876350004664</v>
      </c>
      <c r="BL16" s="98">
        <v>0.89337289647260498</v>
      </c>
      <c r="BM16" s="98">
        <v>304.46148311786379</v>
      </c>
      <c r="BN16" s="98">
        <v>1.1264617537773549</v>
      </c>
      <c r="BO16" s="98">
        <v>383.89816568732255</v>
      </c>
      <c r="BP16" s="98">
        <v>1.3728333915998601</v>
      </c>
      <c r="BQ16" s="98">
        <v>467.86161985723231</v>
      </c>
      <c r="BR16" s="98">
        <v>1.2356769350002084</v>
      </c>
      <c r="BS16" s="98">
        <v>421.11869944807103</v>
      </c>
      <c r="BT16" s="98">
        <v>0.7181355030627572</v>
      </c>
      <c r="BU16" s="98">
        <v>244.74057944378765</v>
      </c>
      <c r="BV16" s="98">
        <v>1.0859247111634271</v>
      </c>
      <c r="BW16" s="98">
        <v>370.08314156449597</v>
      </c>
      <c r="BX16" s="98">
        <v>0.85257552084604316</v>
      </c>
      <c r="BY16" s="98">
        <v>290.5577375043315</v>
      </c>
      <c r="BZ16" s="98">
        <v>0.89997839874237062</v>
      </c>
      <c r="CA16" s="98">
        <v>306.71263829139991</v>
      </c>
      <c r="CB16" s="98">
        <v>1.2381356842597702</v>
      </c>
      <c r="CC16" s="98">
        <v>421.95664119572967</v>
      </c>
      <c r="CD16" s="98">
        <v>1.0844012897147481</v>
      </c>
      <c r="CE16" s="98">
        <v>369.56395953478619</v>
      </c>
      <c r="CF16" s="98">
        <v>0.82414998728798605</v>
      </c>
      <c r="CG16" s="98">
        <v>280.87031566774567</v>
      </c>
      <c r="CH16" s="98">
        <v>0.94900436792791865</v>
      </c>
      <c r="CI16" s="98">
        <v>323.4206885898347</v>
      </c>
      <c r="CJ16" s="98">
        <v>0.83880825777527668</v>
      </c>
      <c r="CK16" s="98">
        <v>285.86585424981428</v>
      </c>
      <c r="CL16" s="98">
        <v>1.103296115969133</v>
      </c>
      <c r="CM16" s="98">
        <v>376.00331632228057</v>
      </c>
      <c r="CN16" s="98">
        <v>1.1208340603691356</v>
      </c>
      <c r="CO16" s="98">
        <v>381.98024777380141</v>
      </c>
      <c r="CP16" s="98">
        <v>1.2472530740629648</v>
      </c>
      <c r="CQ16" s="98">
        <v>425.06384764065842</v>
      </c>
      <c r="CR16" s="98">
        <v>1.2202714521210509</v>
      </c>
      <c r="CS16" s="98">
        <v>415.8685108828542</v>
      </c>
      <c r="CT16" s="98">
        <v>0.78535235253601943</v>
      </c>
      <c r="CU16" s="98">
        <v>267.64808174427543</v>
      </c>
    </row>
    <row r="17" spans="2:99">
      <c r="C17" s="97" t="s">
        <v>184</v>
      </c>
      <c r="D17" s="98">
        <v>5</v>
      </c>
      <c r="E17" s="98">
        <v>2112</v>
      </c>
      <c r="F17" s="98">
        <v>2.6279086884285094</v>
      </c>
      <c r="G17" s="98">
        <v>1110.0286299922022</v>
      </c>
      <c r="H17" s="98">
        <v>3.1466509132257863</v>
      </c>
      <c r="I17" s="98">
        <v>1329.145345746572</v>
      </c>
      <c r="J17" s="98">
        <v>0.96341651155385732</v>
      </c>
      <c r="K17" s="98">
        <v>406.94713448034929</v>
      </c>
      <c r="L17" s="98">
        <v>0.66186714343750008</v>
      </c>
      <c r="M17" s="98">
        <v>279.57268138800003</v>
      </c>
      <c r="N17" s="98">
        <v>0.96089887258638207</v>
      </c>
      <c r="O17" s="98">
        <v>405.88368378048779</v>
      </c>
      <c r="P17" s="98">
        <v>0.95424905339893318</v>
      </c>
      <c r="Q17" s="98">
        <v>403.07480015570934</v>
      </c>
      <c r="R17" s="98">
        <v>0.84854761979166671</v>
      </c>
      <c r="S17" s="98">
        <v>358.42651460000002</v>
      </c>
      <c r="T17" s="98">
        <v>1.1210486846841126</v>
      </c>
      <c r="U17" s="98">
        <v>473.53096441056914</v>
      </c>
      <c r="V17" s="98">
        <v>1.277735798141892</v>
      </c>
      <c r="W17" s="98">
        <v>539.7156011351351</v>
      </c>
      <c r="X17" s="98">
        <v>0.84529647948595144</v>
      </c>
      <c r="Y17" s="98">
        <v>357.05323293486589</v>
      </c>
      <c r="Z17" s="98">
        <v>0.87611062367195591</v>
      </c>
      <c r="AA17" s="98">
        <v>370.06912743903416</v>
      </c>
      <c r="AB17" s="98">
        <v>0.94916466665741461</v>
      </c>
      <c r="AC17" s="98">
        <v>400.92715519609192</v>
      </c>
      <c r="AD17" s="98">
        <v>0.95090038773726959</v>
      </c>
      <c r="AE17" s="98">
        <v>401.66032378022265</v>
      </c>
      <c r="AF17" s="98">
        <v>0.71849590216894055</v>
      </c>
      <c r="AG17" s="98">
        <v>303.4926690761605</v>
      </c>
      <c r="AH17" s="98">
        <v>0.9604434030802963</v>
      </c>
      <c r="AI17" s="98">
        <v>405.69129346111714</v>
      </c>
      <c r="AJ17" s="98">
        <v>0.91117365726189481</v>
      </c>
      <c r="AK17" s="98">
        <v>384.87975282742434</v>
      </c>
      <c r="AL17" s="98">
        <v>0.72430489717174307</v>
      </c>
      <c r="AM17" s="98">
        <v>305.94638856534425</v>
      </c>
      <c r="AN17" s="98">
        <v>0.97533384615911067</v>
      </c>
      <c r="AO17" s="98">
        <v>411.9810166176083</v>
      </c>
      <c r="AP17" s="98">
        <v>0.8855136876135663</v>
      </c>
      <c r="AQ17" s="98">
        <v>374.0409816479704</v>
      </c>
      <c r="AR17" s="98">
        <v>0.93352960402466967</v>
      </c>
      <c r="AS17" s="98">
        <v>394.32290474002042</v>
      </c>
      <c r="AT17" s="98">
        <v>0.69901855611454178</v>
      </c>
      <c r="AU17" s="98">
        <v>295.26543810278241</v>
      </c>
      <c r="AV17" s="98">
        <v>1.0715285193148005</v>
      </c>
      <c r="AW17" s="98">
        <v>452.6136465585717</v>
      </c>
      <c r="AX17" s="98">
        <v>0.89432575721736007</v>
      </c>
      <c r="AY17" s="98">
        <v>377.76319984861289</v>
      </c>
      <c r="AZ17" s="98">
        <v>1.1094890674815476</v>
      </c>
      <c r="BA17" s="98">
        <v>468.64818210420572</v>
      </c>
      <c r="BB17" s="98">
        <v>1.0392622059148777</v>
      </c>
      <c r="BC17" s="98">
        <v>438.98435577844435</v>
      </c>
      <c r="BD17" s="98">
        <v>1.1220508535268661</v>
      </c>
      <c r="BE17" s="98">
        <v>473.95428052974819</v>
      </c>
      <c r="BF17" s="98">
        <v>0.73273560857471576</v>
      </c>
      <c r="BG17" s="98">
        <v>309.50752106195989</v>
      </c>
      <c r="BH17" s="98">
        <v>0.98839462663630084</v>
      </c>
      <c r="BI17" s="98">
        <v>417.49789029117346</v>
      </c>
      <c r="BJ17" s="98">
        <v>0.70169214363482946</v>
      </c>
      <c r="BK17" s="98">
        <v>296.39476147135196</v>
      </c>
      <c r="BL17" s="98">
        <v>0.89337289647260498</v>
      </c>
      <c r="BM17" s="98">
        <v>377.36071147002832</v>
      </c>
      <c r="BN17" s="98">
        <v>1.2833658295324881</v>
      </c>
      <c r="BO17" s="98">
        <v>542.09372639452295</v>
      </c>
      <c r="BP17" s="98">
        <v>1.2033367479767558</v>
      </c>
      <c r="BQ17" s="98">
        <v>508.28944234538164</v>
      </c>
      <c r="BR17" s="98">
        <v>1.0723685448367009</v>
      </c>
      <c r="BS17" s="98">
        <v>452.96847333902241</v>
      </c>
      <c r="BT17" s="98">
        <v>0.87088023748032761</v>
      </c>
      <c r="BU17" s="98">
        <v>367.85981231169035</v>
      </c>
      <c r="BV17" s="98">
        <v>1.0702913100905016</v>
      </c>
      <c r="BW17" s="98">
        <v>452.09104938222788</v>
      </c>
      <c r="BX17" s="98">
        <v>0.8826055148953037</v>
      </c>
      <c r="BY17" s="98">
        <v>372.81256949177629</v>
      </c>
      <c r="BZ17" s="98">
        <v>0.89997839874237062</v>
      </c>
      <c r="CA17" s="98">
        <v>380.15087562877733</v>
      </c>
      <c r="CB17" s="98">
        <v>1.2381356842597702</v>
      </c>
      <c r="CC17" s="98">
        <v>522.98851303132687</v>
      </c>
      <c r="CD17" s="98">
        <v>1.0844012897147481</v>
      </c>
      <c r="CE17" s="98">
        <v>458.0511047755096</v>
      </c>
      <c r="CF17" s="98">
        <v>0.64887134192390616</v>
      </c>
      <c r="CG17" s="98">
        <v>274.08325482865797</v>
      </c>
      <c r="CH17" s="98">
        <v>0.96277359005856322</v>
      </c>
      <c r="CI17" s="98">
        <v>406.67556444073711</v>
      </c>
      <c r="CJ17" s="98">
        <v>0.81461781785704179</v>
      </c>
      <c r="CK17" s="98">
        <v>344.09456626281445</v>
      </c>
      <c r="CL17" s="98">
        <v>0.95335206920791338</v>
      </c>
      <c r="CM17" s="98">
        <v>402.69591403342258</v>
      </c>
      <c r="CN17" s="98">
        <v>1.1208340603691356</v>
      </c>
      <c r="CO17" s="98">
        <v>473.44030709992285</v>
      </c>
      <c r="CP17" s="98">
        <v>1.0766231913950224</v>
      </c>
      <c r="CQ17" s="98">
        <v>454.76563604525745</v>
      </c>
      <c r="CR17" s="98">
        <v>1.2336456551657702</v>
      </c>
      <c r="CS17" s="98">
        <v>521.09192474202132</v>
      </c>
      <c r="CT17" s="98">
        <v>0.80075983173304721</v>
      </c>
      <c r="CU17" s="98">
        <v>338.24095292403911</v>
      </c>
    </row>
    <row r="18" spans="2:99">
      <c r="C18" s="97" t="s">
        <v>185</v>
      </c>
      <c r="D18" s="98">
        <v>5</v>
      </c>
      <c r="E18" s="98">
        <v>3264</v>
      </c>
      <c r="F18" s="98">
        <v>2.6279086884285094</v>
      </c>
      <c r="G18" s="98">
        <v>1715.4987918061308</v>
      </c>
      <c r="H18" s="98">
        <v>3.1466509132257863</v>
      </c>
      <c r="I18" s="98">
        <v>2054.1337161537931</v>
      </c>
      <c r="J18" s="98">
        <v>0.96341651155385732</v>
      </c>
      <c r="K18" s="98">
        <v>628.91829874235805</v>
      </c>
      <c r="L18" s="98">
        <v>0.66186714343750008</v>
      </c>
      <c r="M18" s="98">
        <v>432.066871236</v>
      </c>
      <c r="N18" s="98">
        <v>0.76871909806910577</v>
      </c>
      <c r="O18" s="98">
        <v>501.81982721951221</v>
      </c>
      <c r="P18" s="98">
        <v>0.7633992427191465</v>
      </c>
      <c r="Q18" s="98">
        <v>498.34702564705879</v>
      </c>
      <c r="R18" s="98">
        <v>0.84854761979166671</v>
      </c>
      <c r="S18" s="98">
        <v>553.93188620000001</v>
      </c>
      <c r="T18" s="98">
        <v>1.1210486846841126</v>
      </c>
      <c r="U18" s="98">
        <v>731.82058136178864</v>
      </c>
      <c r="V18" s="98">
        <v>1.06477983178491</v>
      </c>
      <c r="W18" s="98">
        <v>695.08827418918918</v>
      </c>
      <c r="X18" s="98">
        <v>0.84529647948595144</v>
      </c>
      <c r="Y18" s="98">
        <v>551.809541808429</v>
      </c>
      <c r="Z18" s="98">
        <v>0.87611062367195591</v>
      </c>
      <c r="AA18" s="98">
        <v>571.92501513305274</v>
      </c>
      <c r="AB18" s="98">
        <v>0.94916466665741461</v>
      </c>
      <c r="AC18" s="98">
        <v>619.61469439396024</v>
      </c>
      <c r="AD18" s="98">
        <v>0.95090038773726959</v>
      </c>
      <c r="AE18" s="98">
        <v>620.74777311488958</v>
      </c>
      <c r="AF18" s="98">
        <v>0.71849590216894055</v>
      </c>
      <c r="AG18" s="98">
        <v>469.03412493588434</v>
      </c>
      <c r="AH18" s="98">
        <v>0.97596943378899514</v>
      </c>
      <c r="AI18" s="98">
        <v>637.11284637745598</v>
      </c>
      <c r="AJ18" s="98">
        <v>1.0787499474581963</v>
      </c>
      <c r="AK18" s="98">
        <v>704.20796570071047</v>
      </c>
      <c r="AL18" s="98">
        <v>0.72430489717174307</v>
      </c>
      <c r="AM18" s="98">
        <v>472.82623687371387</v>
      </c>
      <c r="AN18" s="98">
        <v>0.97533384615911067</v>
      </c>
      <c r="AO18" s="98">
        <v>636.6979347726674</v>
      </c>
      <c r="AP18" s="98">
        <v>0.90126453672936291</v>
      </c>
      <c r="AQ18" s="98">
        <v>588.34548957692812</v>
      </c>
      <c r="AR18" s="98">
        <v>0.93352960402466967</v>
      </c>
      <c r="AS18" s="98">
        <v>609.40812550730436</v>
      </c>
      <c r="AT18" s="98">
        <v>0.69901855611454178</v>
      </c>
      <c r="AU18" s="98">
        <v>456.31931343157282</v>
      </c>
      <c r="AV18" s="98">
        <v>1.0546994054267209</v>
      </c>
      <c r="AW18" s="98">
        <v>688.50777186256335</v>
      </c>
      <c r="AX18" s="98">
        <v>0.89432575721736007</v>
      </c>
      <c r="AY18" s="98">
        <v>583.81585431149267</v>
      </c>
      <c r="AZ18" s="98">
        <v>1.0868895503129896</v>
      </c>
      <c r="BA18" s="98">
        <v>709.5214984443196</v>
      </c>
      <c r="BB18" s="98">
        <v>1.0392622059148777</v>
      </c>
      <c r="BC18" s="98">
        <v>678.43036802123208</v>
      </c>
      <c r="BD18" s="98">
        <v>0.97292702267030629</v>
      </c>
      <c r="BE18" s="98">
        <v>635.12676039917585</v>
      </c>
      <c r="BF18" s="98">
        <v>0.70289388408352216</v>
      </c>
      <c r="BG18" s="98">
        <v>458.84912752972321</v>
      </c>
      <c r="BH18" s="98">
        <v>0.96319174341529123</v>
      </c>
      <c r="BI18" s="98">
        <v>628.77157010150211</v>
      </c>
      <c r="BJ18" s="98">
        <v>0.70169214363482946</v>
      </c>
      <c r="BK18" s="98">
        <v>458.06463136481665</v>
      </c>
      <c r="BL18" s="98">
        <v>0.89337289647260498</v>
      </c>
      <c r="BM18" s="98">
        <v>583.19382681731645</v>
      </c>
      <c r="BN18" s="98">
        <v>1.1122281153737736</v>
      </c>
      <c r="BO18" s="98">
        <v>726.06251371599933</v>
      </c>
      <c r="BP18" s="98">
        <v>1.1722772669370676</v>
      </c>
      <c r="BQ18" s="98">
        <v>765.26259985651768</v>
      </c>
      <c r="BR18" s="98">
        <v>1.0723685448367009</v>
      </c>
      <c r="BS18" s="98">
        <v>700.04218606939821</v>
      </c>
      <c r="BT18" s="98">
        <v>0.87088023748032761</v>
      </c>
      <c r="BU18" s="98">
        <v>568.51061902715787</v>
      </c>
      <c r="BV18" s="98">
        <v>1.0546579090175763</v>
      </c>
      <c r="BW18" s="98">
        <v>688.48068300667376</v>
      </c>
      <c r="BX18" s="98">
        <v>0.8826055148953037</v>
      </c>
      <c r="BY18" s="98">
        <v>576.16488012365426</v>
      </c>
      <c r="BZ18" s="98">
        <v>0.88508008690138884</v>
      </c>
      <c r="CA18" s="98">
        <v>577.78028072922655</v>
      </c>
      <c r="CB18" s="98">
        <v>1.2381356842597702</v>
      </c>
      <c r="CC18" s="98">
        <v>808.25497468477795</v>
      </c>
      <c r="CD18" s="98">
        <v>0.92075943064677923</v>
      </c>
      <c r="CE18" s="98">
        <v>601.0717563262175</v>
      </c>
      <c r="CF18" s="98">
        <v>0.81047938664002317</v>
      </c>
      <c r="CG18" s="98">
        <v>529.08094359860706</v>
      </c>
      <c r="CH18" s="98">
        <v>0.93523514579727429</v>
      </c>
      <c r="CI18" s="98">
        <v>610.52150317646067</v>
      </c>
      <c r="CJ18" s="98">
        <v>0.81461781785704179</v>
      </c>
      <c r="CK18" s="98">
        <v>531.78251149707683</v>
      </c>
      <c r="CL18" s="98">
        <v>1.1287500953943599</v>
      </c>
      <c r="CM18" s="98">
        <v>736.84806227343813</v>
      </c>
      <c r="CN18" s="98">
        <v>1.1038497298117975</v>
      </c>
      <c r="CO18" s="98">
        <v>720.59310362114138</v>
      </c>
      <c r="CP18" s="98">
        <v>1.2340421002161228</v>
      </c>
      <c r="CQ18" s="98">
        <v>805.5826830210849</v>
      </c>
      <c r="CR18" s="98">
        <v>1.0391832151754079</v>
      </c>
      <c r="CS18" s="98">
        <v>678.37880286650625</v>
      </c>
      <c r="CT18" s="98">
        <v>0.60442174359904233</v>
      </c>
      <c r="CU18" s="98">
        <v>394.56651422145478</v>
      </c>
    </row>
    <row r="19" spans="2:99">
      <c r="C19" s="97" t="s">
        <v>186</v>
      </c>
      <c r="D19" s="98">
        <v>5</v>
      </c>
      <c r="E19" s="98">
        <v>1650</v>
      </c>
      <c r="F19" s="98">
        <v>2.6279086884285094</v>
      </c>
      <c r="G19" s="98">
        <v>867.20986718140807</v>
      </c>
      <c r="H19" s="98">
        <v>3.7759810958709434</v>
      </c>
      <c r="I19" s="98">
        <v>1246.0737616374113</v>
      </c>
      <c r="J19" s="98">
        <v>0.96341651155385732</v>
      </c>
      <c r="K19" s="98">
        <v>317.92744881277292</v>
      </c>
      <c r="L19" s="98">
        <v>0.88248952458333341</v>
      </c>
      <c r="M19" s="98">
        <v>291.2215431125</v>
      </c>
      <c r="N19" s="98">
        <v>0.96089887258638207</v>
      </c>
      <c r="O19" s="98">
        <v>317.09662795350607</v>
      </c>
      <c r="P19" s="98">
        <v>0.7633992427191465</v>
      </c>
      <c r="Q19" s="98">
        <v>251.92175009731835</v>
      </c>
      <c r="R19" s="98">
        <v>1.0606845247395835</v>
      </c>
      <c r="S19" s="98">
        <v>350.02589316406255</v>
      </c>
      <c r="T19" s="98">
        <v>1.1210486846841126</v>
      </c>
      <c r="U19" s="98">
        <v>369.94606594575714</v>
      </c>
      <c r="V19" s="98">
        <v>1.06477983178491</v>
      </c>
      <c r="W19" s="98">
        <v>351.37734448902029</v>
      </c>
      <c r="X19" s="98">
        <v>0.84529647948595144</v>
      </c>
      <c r="Y19" s="98">
        <v>278.94783823036397</v>
      </c>
      <c r="Z19" s="98">
        <v>0.85471272210921323</v>
      </c>
      <c r="AA19" s="98">
        <v>282.05519829604037</v>
      </c>
      <c r="AB19" s="98">
        <v>1.1384812422586199</v>
      </c>
      <c r="AC19" s="98">
        <v>375.69880994534458</v>
      </c>
      <c r="AD19" s="98">
        <v>1.1270825864959662</v>
      </c>
      <c r="AE19" s="98">
        <v>371.93725354366882</v>
      </c>
      <c r="AF19" s="98">
        <v>0.88484680717360698</v>
      </c>
      <c r="AG19" s="98">
        <v>291.99944636729032</v>
      </c>
      <c r="AH19" s="98">
        <v>0.79630157773989507</v>
      </c>
      <c r="AI19" s="98">
        <v>262.77952065416537</v>
      </c>
      <c r="AJ19" s="98">
        <v>1.0787499474581963</v>
      </c>
      <c r="AK19" s="98">
        <v>355.98748266120475</v>
      </c>
      <c r="AL19" s="98">
        <v>0.75459025393426771</v>
      </c>
      <c r="AM19" s="98">
        <v>249.01478379830834</v>
      </c>
      <c r="AN19" s="98">
        <v>0.95781112586945227</v>
      </c>
      <c r="AO19" s="98">
        <v>316.07767153691924</v>
      </c>
      <c r="AP19" s="98">
        <v>0.70351238849966624</v>
      </c>
      <c r="AQ19" s="98">
        <v>232.15908820488985</v>
      </c>
      <c r="AR19" s="98">
        <v>0.91972023378238177</v>
      </c>
      <c r="AS19" s="98">
        <v>303.50767714818596</v>
      </c>
      <c r="AT19" s="98">
        <v>0.89093662282329233</v>
      </c>
      <c r="AU19" s="98">
        <v>294.00908553168648</v>
      </c>
      <c r="AV19" s="98">
        <v>0.89855013739169354</v>
      </c>
      <c r="AW19" s="98">
        <v>296.52154533925886</v>
      </c>
      <c r="AX19" s="98">
        <v>0.89432575721736007</v>
      </c>
      <c r="AY19" s="98">
        <v>295.12749988172885</v>
      </c>
      <c r="AZ19" s="98">
        <v>1.0981893088972685</v>
      </c>
      <c r="BA19" s="98">
        <v>362.40247193609861</v>
      </c>
      <c r="BB19" s="98">
        <v>1.0392622059148777</v>
      </c>
      <c r="BC19" s="98">
        <v>342.95652795190966</v>
      </c>
      <c r="BD19" s="98">
        <v>1.1382871298402593</v>
      </c>
      <c r="BE19" s="98">
        <v>375.63475284728554</v>
      </c>
      <c r="BF19" s="98">
        <v>0.73273560857471576</v>
      </c>
      <c r="BG19" s="98">
        <v>241.80275082965619</v>
      </c>
      <c r="BH19" s="98">
        <v>0.97579318502579582</v>
      </c>
      <c r="BI19" s="98">
        <v>322.01175105851263</v>
      </c>
      <c r="BJ19" s="98">
        <v>0.867819292108438</v>
      </c>
      <c r="BK19" s="98">
        <v>286.38036639578456</v>
      </c>
      <c r="BL19" s="98">
        <v>0.89337289647260498</v>
      </c>
      <c r="BM19" s="98">
        <v>294.81305583595963</v>
      </c>
      <c r="BN19" s="98">
        <v>1.1264617537773549</v>
      </c>
      <c r="BO19" s="98">
        <v>371.7323787465271</v>
      </c>
      <c r="BP19" s="98">
        <v>1.1878070074569118</v>
      </c>
      <c r="BQ19" s="98">
        <v>391.97631246078089</v>
      </c>
      <c r="BR19" s="98">
        <v>1.0988023173668882</v>
      </c>
      <c r="BS19" s="98">
        <v>362.60476473107309</v>
      </c>
      <c r="BT19" s="98">
        <v>0.7181355030627572</v>
      </c>
      <c r="BU19" s="98">
        <v>236.98471601070989</v>
      </c>
      <c r="BV19" s="98">
        <v>1.2655894908210916</v>
      </c>
      <c r="BW19" s="98">
        <v>417.64453197096026</v>
      </c>
      <c r="BX19" s="98">
        <v>0.85257552084604316</v>
      </c>
      <c r="BY19" s="98">
        <v>281.34992187919426</v>
      </c>
      <c r="BZ19" s="98">
        <v>0.87018177506040684</v>
      </c>
      <c r="CA19" s="98">
        <v>287.15998576993428</v>
      </c>
      <c r="CB19" s="98">
        <v>1.0819925006132256</v>
      </c>
      <c r="CC19" s="98">
        <v>357.05752520236445</v>
      </c>
      <c r="CD19" s="98">
        <v>1.0972200566281149</v>
      </c>
      <c r="CE19" s="98">
        <v>362.08261868727794</v>
      </c>
      <c r="CF19" s="98">
        <v>0.82414998728798605</v>
      </c>
      <c r="CG19" s="98">
        <v>271.96949580503542</v>
      </c>
      <c r="CH19" s="98">
        <v>0.94900436792791865</v>
      </c>
      <c r="CI19" s="98">
        <v>313.17144141621316</v>
      </c>
      <c r="CJ19" s="98">
        <v>0.81461781785704179</v>
      </c>
      <c r="CK19" s="98">
        <v>268.82387989282381</v>
      </c>
      <c r="CL19" s="98">
        <v>0.94062507949530005</v>
      </c>
      <c r="CM19" s="98">
        <v>310.40627623344903</v>
      </c>
      <c r="CN19" s="98">
        <v>1.1208340603691356</v>
      </c>
      <c r="CO19" s="98">
        <v>369.87523992181474</v>
      </c>
      <c r="CP19" s="98">
        <v>1.0898341652418644</v>
      </c>
      <c r="CQ19" s="98">
        <v>359.64527452981525</v>
      </c>
      <c r="CR19" s="98">
        <v>1.0391832151754079</v>
      </c>
      <c r="CS19" s="98">
        <v>342.93046100788462</v>
      </c>
      <c r="CT19" s="98">
        <v>0.78535235253601943</v>
      </c>
      <c r="CU19" s="98">
        <v>259.16627633688643</v>
      </c>
    </row>
    <row r="20" spans="2:99">
      <c r="B20" s="97" t="s">
        <v>127</v>
      </c>
      <c r="C20" s="97" t="s">
        <v>187</v>
      </c>
      <c r="D20" s="98">
        <v>4</v>
      </c>
      <c r="E20" s="98">
        <v>1147.2</v>
      </c>
      <c r="F20" s="98">
        <v>2.6279086884285094</v>
      </c>
      <c r="G20" s="98">
        <v>753.68421184129659</v>
      </c>
      <c r="H20" s="98">
        <v>2.5173207305806291</v>
      </c>
      <c r="I20" s="98">
        <v>721.9675855305245</v>
      </c>
      <c r="J20" s="98">
        <v>0.72256238366539305</v>
      </c>
      <c r="K20" s="98">
        <v>207.23089163523474</v>
      </c>
      <c r="L20" s="98">
        <v>0.88248952458333341</v>
      </c>
      <c r="M20" s="98">
        <v>253.09799565050002</v>
      </c>
      <c r="N20" s="98">
        <v>0.57653932355182935</v>
      </c>
      <c r="O20" s="98">
        <v>165.35147799466466</v>
      </c>
      <c r="P20" s="98">
        <v>0.95424905339893318</v>
      </c>
      <c r="Q20" s="98">
        <v>273.67862851481402</v>
      </c>
      <c r="R20" s="98">
        <v>0.63641071484375011</v>
      </c>
      <c r="S20" s="98">
        <v>182.52259301718755</v>
      </c>
      <c r="T20" s="98">
        <v>0.67262921081046756</v>
      </c>
      <c r="U20" s="98">
        <v>192.91005766044211</v>
      </c>
      <c r="V20" s="98">
        <v>0.63886789907094599</v>
      </c>
      <c r="W20" s="98">
        <v>183.22731345354731</v>
      </c>
      <c r="X20" s="98">
        <v>0.63397235961446363</v>
      </c>
      <c r="Y20" s="98">
        <v>181.82327273742817</v>
      </c>
      <c r="Z20" s="98">
        <v>0.82951657639411835</v>
      </c>
      <c r="AA20" s="98">
        <v>237.90535410983316</v>
      </c>
      <c r="AB20" s="98">
        <v>0.96660997249855962</v>
      </c>
      <c r="AC20" s="98">
        <v>277.22374011258694</v>
      </c>
      <c r="AD20" s="98">
        <v>0.85870546171111772</v>
      </c>
      <c r="AE20" s="98">
        <v>246.27672641874858</v>
      </c>
      <c r="AF20" s="98">
        <v>1.1060585089670087</v>
      </c>
      <c r="AG20" s="98">
        <v>317.21758037173811</v>
      </c>
      <c r="AH20" s="98">
        <v>0.82735363915729276</v>
      </c>
      <c r="AI20" s="98">
        <v>237.28502371031158</v>
      </c>
      <c r="AJ20" s="98">
        <v>0.9966812312556802</v>
      </c>
      <c r="AK20" s="98">
        <v>285.84817712412911</v>
      </c>
      <c r="AL20" s="98">
        <v>0.94050206559355365</v>
      </c>
      <c r="AM20" s="98">
        <v>269.73599241223121</v>
      </c>
      <c r="AN20" s="98">
        <v>1.1096503058885236</v>
      </c>
      <c r="AO20" s="98">
        <v>318.24770772882857</v>
      </c>
      <c r="AP20" s="98">
        <v>0.93276623496095612</v>
      </c>
      <c r="AQ20" s="98">
        <v>267.5173561868022</v>
      </c>
      <c r="AR20" s="98">
        <v>0.93352960402466967</v>
      </c>
      <c r="AS20" s="98">
        <v>267.73629043427525</v>
      </c>
      <c r="AT20" s="98">
        <v>1.2941650140833973</v>
      </c>
      <c r="AU20" s="98">
        <v>371.16652603911837</v>
      </c>
      <c r="AV20" s="98">
        <v>0.96586659294401112</v>
      </c>
      <c r="AW20" s="98">
        <v>277.01053885634241</v>
      </c>
      <c r="AX20" s="98">
        <v>0.82075314515892572</v>
      </c>
      <c r="AY20" s="98">
        <v>235.39200203157992</v>
      </c>
      <c r="AZ20" s="98">
        <v>0.99613936060172403</v>
      </c>
      <c r="BA20" s="98">
        <v>285.69276862057444</v>
      </c>
      <c r="BB20" s="98">
        <v>0.73240914387454747</v>
      </c>
      <c r="BC20" s="98">
        <v>210.05494246322021</v>
      </c>
      <c r="BD20" s="98">
        <v>0.70715191358397445</v>
      </c>
      <c r="BE20" s="98">
        <v>202.81116881588389</v>
      </c>
      <c r="BF20" s="98">
        <v>1.0416378811638736</v>
      </c>
      <c r="BG20" s="98">
        <v>298.74174431779898</v>
      </c>
      <c r="BH20" s="98">
        <v>0.88396636922677552</v>
      </c>
      <c r="BI20" s="98">
        <v>253.52155469423923</v>
      </c>
      <c r="BJ20" s="98">
        <v>0.83803182601628112</v>
      </c>
      <c r="BK20" s="98">
        <v>240.34752770146943</v>
      </c>
      <c r="BL20" s="98">
        <v>0.73268866126329257</v>
      </c>
      <c r="BM20" s="98">
        <v>210.13510805031231</v>
      </c>
      <c r="BN20" s="98">
        <v>0.669983164915537</v>
      </c>
      <c r="BO20" s="98">
        <v>192.15117169777602</v>
      </c>
      <c r="BP20" s="98">
        <v>0.66378733606775431</v>
      </c>
      <c r="BQ20" s="98">
        <v>190.37420798423193</v>
      </c>
      <c r="BR20" s="98">
        <v>0.74104600952730248</v>
      </c>
      <c r="BS20" s="98">
        <v>212.53199553243036</v>
      </c>
      <c r="BT20" s="98">
        <v>0.98994308791641139</v>
      </c>
      <c r="BU20" s="98">
        <v>283.91567761442678</v>
      </c>
      <c r="BV20" s="98">
        <v>0.74222855292102352</v>
      </c>
      <c r="BW20" s="98">
        <v>212.87114897774956</v>
      </c>
      <c r="BX20" s="98">
        <v>1.0694731503137116</v>
      </c>
      <c r="BY20" s="98">
        <v>306.72489950997249</v>
      </c>
      <c r="BZ20" s="98">
        <v>1.0877272188255087</v>
      </c>
      <c r="CA20" s="98">
        <v>311.96016635915589</v>
      </c>
      <c r="CB20" s="98">
        <v>0.84227283268711417</v>
      </c>
      <c r="CC20" s="98">
        <v>241.56384841466436</v>
      </c>
      <c r="CD20" s="98">
        <v>1.1002221674339157</v>
      </c>
      <c r="CE20" s="98">
        <v>315.543717620047</v>
      </c>
      <c r="CF20" s="98">
        <v>0.98575803200410306</v>
      </c>
      <c r="CG20" s="98">
        <v>282.71540357877677</v>
      </c>
      <c r="CH20" s="98">
        <v>0.86427282463670307</v>
      </c>
      <c r="CI20" s="98">
        <v>247.87344610580647</v>
      </c>
      <c r="CJ20" s="98">
        <v>0.86299869769351145</v>
      </c>
      <c r="CK20" s="98">
        <v>247.50802649849911</v>
      </c>
      <c r="CL20" s="98">
        <v>0.90522394014760199</v>
      </c>
      <c r="CM20" s="98">
        <v>259.61822603433228</v>
      </c>
      <c r="CN20" s="98">
        <v>0.88650300124393999</v>
      </c>
      <c r="CO20" s="98">
        <v>254.24906075676199</v>
      </c>
      <c r="CP20" s="98">
        <v>0.81462926914019018</v>
      </c>
      <c r="CQ20" s="98">
        <v>233.63567438940655</v>
      </c>
      <c r="CR20" s="98">
        <v>1.0185854147663975</v>
      </c>
      <c r="CS20" s="98">
        <v>292.13029695500285</v>
      </c>
      <c r="CT20" s="98">
        <v>0.86238974852115846</v>
      </c>
      <c r="CU20" s="98">
        <v>247.33337987586825</v>
      </c>
    </row>
    <row r="21" spans="2:99">
      <c r="C21" s="97" t="s">
        <v>188</v>
      </c>
      <c r="D21" s="98">
        <v>4</v>
      </c>
      <c r="E21" s="98">
        <v>249.6</v>
      </c>
      <c r="F21" s="98">
        <v>2.6279086884285094</v>
      </c>
      <c r="G21" s="98">
        <v>163.98150215793899</v>
      </c>
      <c r="H21" s="98">
        <v>2.5173207305806291</v>
      </c>
      <c r="I21" s="98">
        <v>157.08081358823125</v>
      </c>
      <c r="J21" s="98">
        <v>0.72256238366539305</v>
      </c>
      <c r="K21" s="98">
        <v>45.087892740720527</v>
      </c>
      <c r="L21" s="98">
        <v>0.88248952458333341</v>
      </c>
      <c r="M21" s="98">
        <v>55.067346334</v>
      </c>
      <c r="N21" s="98">
        <v>0.57653932355182935</v>
      </c>
      <c r="O21" s="98">
        <v>35.97605378963415</v>
      </c>
      <c r="P21" s="98">
        <v>0.7633992427191465</v>
      </c>
      <c r="Q21" s="98">
        <v>47.636112745674737</v>
      </c>
      <c r="R21" s="98">
        <v>0.42427380989583335</v>
      </c>
      <c r="S21" s="98">
        <v>26.4746857375</v>
      </c>
      <c r="T21" s="98">
        <v>0.67262921081046756</v>
      </c>
      <c r="U21" s="98">
        <v>41.972062754573173</v>
      </c>
      <c r="V21" s="98">
        <v>0.85182386542792798</v>
      </c>
      <c r="W21" s="98">
        <v>53.153809202702703</v>
      </c>
      <c r="X21" s="98">
        <v>0.84529647948595144</v>
      </c>
      <c r="Y21" s="98">
        <v>52.746500319923371</v>
      </c>
      <c r="Z21" s="98">
        <v>0.85091447795686104</v>
      </c>
      <c r="AA21" s="98">
        <v>53.097063424508129</v>
      </c>
      <c r="AB21" s="98">
        <v>0.94916466665741461</v>
      </c>
      <c r="AC21" s="98">
        <v>59.22787519942267</v>
      </c>
      <c r="AD21" s="98">
        <v>0.85870546171111772</v>
      </c>
      <c r="AE21" s="98">
        <v>53.583220810773746</v>
      </c>
      <c r="AF21" s="98">
        <v>1.1060585089670087</v>
      </c>
      <c r="AG21" s="98">
        <v>69.018050959541341</v>
      </c>
      <c r="AH21" s="98">
        <v>0.99149546449769399</v>
      </c>
      <c r="AI21" s="98">
        <v>61.869316984656102</v>
      </c>
      <c r="AJ21" s="98">
        <v>0.97225049582888445</v>
      </c>
      <c r="AK21" s="98">
        <v>60.668430939722391</v>
      </c>
      <c r="AL21" s="98">
        <v>0.97078742235607829</v>
      </c>
      <c r="AM21" s="98">
        <v>60.577135155019285</v>
      </c>
      <c r="AN21" s="98">
        <v>1.127173026178182</v>
      </c>
      <c r="AO21" s="98">
        <v>70.335596833518565</v>
      </c>
      <c r="AP21" s="98">
        <v>0.94851708407675273</v>
      </c>
      <c r="AQ21" s="98">
        <v>59.187466046389368</v>
      </c>
      <c r="AR21" s="98">
        <v>0.93352960402466967</v>
      </c>
      <c r="AS21" s="98">
        <v>58.252247291139383</v>
      </c>
      <c r="AT21" s="98">
        <v>1.2413374329455586</v>
      </c>
      <c r="AU21" s="98">
        <v>77.459455815802855</v>
      </c>
      <c r="AV21" s="98">
        <v>0.96586659294401112</v>
      </c>
      <c r="AW21" s="98">
        <v>60.270075399706293</v>
      </c>
      <c r="AX21" s="98">
        <v>0.82075314515892572</v>
      </c>
      <c r="AY21" s="98">
        <v>51.214996257916965</v>
      </c>
      <c r="AZ21" s="98">
        <v>1.0074391191860033</v>
      </c>
      <c r="BA21" s="98">
        <v>62.864201037206605</v>
      </c>
      <c r="BB21" s="98">
        <v>0.57238800064361084</v>
      </c>
      <c r="BC21" s="98">
        <v>35.717011240161312</v>
      </c>
      <c r="BD21" s="98">
        <v>0.70715191358397445</v>
      </c>
      <c r="BE21" s="98">
        <v>44.126279407640006</v>
      </c>
      <c r="BF21" s="98">
        <v>1.0416378811638736</v>
      </c>
      <c r="BG21" s="98">
        <v>64.998203784625716</v>
      </c>
      <c r="BH21" s="98">
        <v>0.92177069405828982</v>
      </c>
      <c r="BI21" s="98">
        <v>57.518491309237284</v>
      </c>
      <c r="BJ21" s="98">
        <v>0.69669371070293662</v>
      </c>
      <c r="BK21" s="98">
        <v>43.473687547863243</v>
      </c>
      <c r="BL21" s="98">
        <v>0.90903764369981477</v>
      </c>
      <c r="BM21" s="98">
        <v>56.723948966868441</v>
      </c>
      <c r="BN21" s="98">
        <v>0.68421680331911816</v>
      </c>
      <c r="BO21" s="98">
        <v>42.695128527112971</v>
      </c>
      <c r="BP21" s="98">
        <v>0.86434346073054691</v>
      </c>
      <c r="BQ21" s="98">
        <v>53.935031949586126</v>
      </c>
      <c r="BR21" s="98">
        <v>0.72782912326220883</v>
      </c>
      <c r="BS21" s="98">
        <v>45.416537291561831</v>
      </c>
      <c r="BT21" s="98">
        <v>0.98994308791641139</v>
      </c>
      <c r="BU21" s="98">
        <v>61.772448685984067</v>
      </c>
      <c r="BV21" s="98">
        <v>0.75786195399394896</v>
      </c>
      <c r="BW21" s="98">
        <v>47.290585929222416</v>
      </c>
      <c r="BX21" s="98">
        <v>1.0694731503137116</v>
      </c>
      <c r="BY21" s="98">
        <v>66.735124579575597</v>
      </c>
      <c r="BZ21" s="98">
        <v>0.94467333426531652</v>
      </c>
      <c r="CA21" s="98">
        <v>58.947616058155752</v>
      </c>
      <c r="CB21" s="98">
        <v>0.82775949281371863</v>
      </c>
      <c r="CC21" s="98">
        <v>51.652192351576041</v>
      </c>
      <c r="CD21" s="98">
        <v>1.0874034005205486</v>
      </c>
      <c r="CE21" s="98">
        <v>67.853972192482232</v>
      </c>
      <c r="CF21" s="98">
        <v>0.98575803200410306</v>
      </c>
      <c r="CG21" s="98">
        <v>61.511301197056028</v>
      </c>
      <c r="CH21" s="98">
        <v>0.86427282463670307</v>
      </c>
      <c r="CI21" s="98">
        <v>53.930624257330273</v>
      </c>
      <c r="CJ21" s="98">
        <v>0.88718913761174634</v>
      </c>
      <c r="CK21" s="98">
        <v>55.360602186972969</v>
      </c>
      <c r="CL21" s="98">
        <v>0.74255290367376903</v>
      </c>
      <c r="CM21" s="98">
        <v>46.335301189243189</v>
      </c>
      <c r="CN21" s="98">
        <v>0.90348733180127805</v>
      </c>
      <c r="CO21" s="98">
        <v>56.37760950439975</v>
      </c>
      <c r="CP21" s="98">
        <v>0.9588372041144485</v>
      </c>
      <c r="CQ21" s="98">
        <v>59.831441536741586</v>
      </c>
      <c r="CR21" s="98">
        <v>1.1729252456226018</v>
      </c>
      <c r="CS21" s="98">
        <v>73.190535326850352</v>
      </c>
      <c r="CT21" s="98">
        <v>0.86238974852115846</v>
      </c>
      <c r="CU21" s="98">
        <v>53.81312030772029</v>
      </c>
    </row>
    <row r="22" spans="2:99">
      <c r="C22" s="97" t="s">
        <v>189</v>
      </c>
      <c r="D22" s="98">
        <v>4</v>
      </c>
      <c r="E22" s="98">
        <v>748.8</v>
      </c>
      <c r="F22" s="98">
        <v>2.6279086884285094</v>
      </c>
      <c r="G22" s="98">
        <v>491.94450647381694</v>
      </c>
      <c r="H22" s="98">
        <v>2.5173207305806291</v>
      </c>
      <c r="I22" s="98">
        <v>471.24244076469375</v>
      </c>
      <c r="J22" s="98">
        <v>0.96341651155385732</v>
      </c>
      <c r="K22" s="98">
        <v>180.35157096288208</v>
      </c>
      <c r="L22" s="98">
        <v>1.1031119057291667</v>
      </c>
      <c r="M22" s="98">
        <v>206.50254875249999</v>
      </c>
      <c r="N22" s="98">
        <v>0.76871909806910577</v>
      </c>
      <c r="O22" s="98">
        <v>143.9042151585366</v>
      </c>
      <c r="P22" s="98">
        <v>0.95424905339893318</v>
      </c>
      <c r="Q22" s="98">
        <v>178.63542279628027</v>
      </c>
      <c r="R22" s="98">
        <v>0.63641071484375011</v>
      </c>
      <c r="S22" s="98">
        <v>119.13608581875002</v>
      </c>
      <c r="T22" s="98">
        <v>0.67262921081046756</v>
      </c>
      <c r="U22" s="98">
        <v>125.91618826371952</v>
      </c>
      <c r="V22" s="98">
        <v>0.85182386542792798</v>
      </c>
      <c r="W22" s="98">
        <v>159.4614276081081</v>
      </c>
      <c r="X22" s="98">
        <v>0.63397235961446363</v>
      </c>
      <c r="Y22" s="98">
        <v>118.67962571982758</v>
      </c>
      <c r="Z22" s="98">
        <v>0.85091447795686104</v>
      </c>
      <c r="AA22" s="98">
        <v>159.29119027352436</v>
      </c>
      <c r="AB22" s="98">
        <v>0.98405527833970463</v>
      </c>
      <c r="AC22" s="98">
        <v>184.2151481051927</v>
      </c>
      <c r="AD22" s="98">
        <v>0.87270334049987508</v>
      </c>
      <c r="AE22" s="98">
        <v>163.37006534157661</v>
      </c>
      <c r="AF22" s="98">
        <v>0.92599240476515843</v>
      </c>
      <c r="AG22" s="98">
        <v>173.34577817203765</v>
      </c>
      <c r="AH22" s="98">
        <v>1.0380735566237906</v>
      </c>
      <c r="AI22" s="98">
        <v>194.32736979997358</v>
      </c>
      <c r="AJ22" s="98">
        <v>0.82910494105937893</v>
      </c>
      <c r="AK22" s="98">
        <v>155.20844496631574</v>
      </c>
      <c r="AL22" s="98">
        <v>0.94050206559355365</v>
      </c>
      <c r="AM22" s="98">
        <v>176.06198667911323</v>
      </c>
      <c r="AN22" s="98">
        <v>0.94028840557979398</v>
      </c>
      <c r="AO22" s="98">
        <v>176.02198952453742</v>
      </c>
      <c r="AP22" s="98">
        <v>0.93276623496095612</v>
      </c>
      <c r="AQ22" s="98">
        <v>174.61383918469099</v>
      </c>
      <c r="AR22" s="98">
        <v>0.91972023378238177</v>
      </c>
      <c r="AS22" s="98">
        <v>172.17162776406187</v>
      </c>
      <c r="AT22" s="98">
        <v>1.0846377536620335</v>
      </c>
      <c r="AU22" s="98">
        <v>203.04418748553266</v>
      </c>
      <c r="AV22" s="98">
        <v>0.98269570683209051</v>
      </c>
      <c r="AW22" s="98">
        <v>183.96063631896735</v>
      </c>
      <c r="AX22" s="98">
        <v>0.82075314515892572</v>
      </c>
      <c r="AY22" s="98">
        <v>153.6449887737509</v>
      </c>
      <c r="AZ22" s="98">
        <v>0.98483960201744503</v>
      </c>
      <c r="BA22" s="98">
        <v>184.3619734976657</v>
      </c>
      <c r="BB22" s="98">
        <v>0.59876644948669699</v>
      </c>
      <c r="BC22" s="98">
        <v>112.08907934390967</v>
      </c>
      <c r="BD22" s="98">
        <v>0.6909156372705807</v>
      </c>
      <c r="BE22" s="98">
        <v>129.3394072970527</v>
      </c>
      <c r="BF22" s="98">
        <v>0.86702336878508657</v>
      </c>
      <c r="BG22" s="98">
        <v>162.30677463656821</v>
      </c>
      <c r="BH22" s="98">
        <v>0.89656781083728021</v>
      </c>
      <c r="BI22" s="98">
        <v>167.83749418873884</v>
      </c>
      <c r="BJ22" s="98">
        <v>0.85042634259641303</v>
      </c>
      <c r="BK22" s="98">
        <v>159.19981133404852</v>
      </c>
      <c r="BL22" s="98">
        <v>0.92470239092702444</v>
      </c>
      <c r="BM22" s="98">
        <v>173.10428758153896</v>
      </c>
      <c r="BN22" s="98">
        <v>0.69845044172269943</v>
      </c>
      <c r="BO22" s="98">
        <v>130.74992269048931</v>
      </c>
      <c r="BP22" s="98">
        <v>0.86434346073054691</v>
      </c>
      <c r="BQ22" s="98">
        <v>161.80509584875838</v>
      </c>
      <c r="BR22" s="98">
        <v>0.74104600952730248</v>
      </c>
      <c r="BS22" s="98">
        <v>138.72381298351101</v>
      </c>
      <c r="BT22" s="98">
        <v>0.97803680287280292</v>
      </c>
      <c r="BU22" s="98">
        <v>183.08848949778869</v>
      </c>
      <c r="BV22" s="98">
        <v>0.75786195399394896</v>
      </c>
      <c r="BW22" s="98">
        <v>141.87175778766724</v>
      </c>
      <c r="BX22" s="98">
        <v>1.0544581532890815</v>
      </c>
      <c r="BY22" s="98">
        <v>197.39456629571606</v>
      </c>
      <c r="BZ22" s="98">
        <v>1.0728289069845265</v>
      </c>
      <c r="CA22" s="98">
        <v>200.83357138750335</v>
      </c>
      <c r="CB22" s="98">
        <v>0.82775949281371863</v>
      </c>
      <c r="CC22" s="98">
        <v>154.95657705472811</v>
      </c>
      <c r="CD22" s="98">
        <v>1.061765866693815</v>
      </c>
      <c r="CE22" s="98">
        <v>198.76257024508214</v>
      </c>
      <c r="CF22" s="98">
        <v>0.98575803200410306</v>
      </c>
      <c r="CG22" s="98">
        <v>184.53390359116807</v>
      </c>
      <c r="CH22" s="98">
        <v>0.87804204676734754</v>
      </c>
      <c r="CI22" s="98">
        <v>164.36947115484745</v>
      </c>
      <c r="CJ22" s="98">
        <v>0.91137957752998111</v>
      </c>
      <c r="CK22" s="98">
        <v>170.61025691361246</v>
      </c>
      <c r="CL22" s="98">
        <v>0.75527989338638246</v>
      </c>
      <c r="CM22" s="98">
        <v>141.38839604193078</v>
      </c>
      <c r="CN22" s="98">
        <v>0.88650300124393999</v>
      </c>
      <c r="CO22" s="98">
        <v>165.95336183286557</v>
      </c>
      <c r="CP22" s="98">
        <v>0.80141829529334818</v>
      </c>
      <c r="CQ22" s="98">
        <v>150.02550487891477</v>
      </c>
      <c r="CR22" s="98">
        <v>1.005211211721678</v>
      </c>
      <c r="CS22" s="98">
        <v>188.17553883429812</v>
      </c>
      <c r="CT22" s="98">
        <v>0.84698226932413079</v>
      </c>
      <c r="CU22" s="98">
        <v>158.55508081747726</v>
      </c>
    </row>
    <row r="23" spans="2:99">
      <c r="C23" s="97" t="s">
        <v>190</v>
      </c>
      <c r="D23" s="98">
        <v>4</v>
      </c>
      <c r="E23" s="98">
        <v>1176</v>
      </c>
      <c r="F23" s="98">
        <v>1.9709315163213821</v>
      </c>
      <c r="G23" s="98">
        <v>579.45386579848628</v>
      </c>
      <c r="H23" s="98">
        <v>2.5173207305806291</v>
      </c>
      <c r="I23" s="98">
        <v>740.09229479070495</v>
      </c>
      <c r="J23" s="98">
        <v>0.96341651155385732</v>
      </c>
      <c r="K23" s="98">
        <v>283.24445439683404</v>
      </c>
      <c r="L23" s="98">
        <v>0.88248952458333341</v>
      </c>
      <c r="M23" s="98">
        <v>259.45192022750001</v>
      </c>
      <c r="N23" s="98">
        <v>0.57653932355182935</v>
      </c>
      <c r="O23" s="98">
        <v>169.50256112423784</v>
      </c>
      <c r="P23" s="98">
        <v>0.95424905339893318</v>
      </c>
      <c r="Q23" s="98">
        <v>280.54922169928636</v>
      </c>
      <c r="R23" s="98">
        <v>0.42427380989583335</v>
      </c>
      <c r="S23" s="98">
        <v>124.736500109375</v>
      </c>
      <c r="T23" s="98">
        <v>0.89683894774729012</v>
      </c>
      <c r="U23" s="98">
        <v>263.67065063770332</v>
      </c>
      <c r="V23" s="98">
        <v>0.85182386542792798</v>
      </c>
      <c r="W23" s="98">
        <v>250.43621643581082</v>
      </c>
      <c r="X23" s="98">
        <v>0.84529647948595144</v>
      </c>
      <c r="Y23" s="98">
        <v>248.51716496886974</v>
      </c>
      <c r="Z23" s="98">
        <v>0.80811867483137589</v>
      </c>
      <c r="AA23" s="98">
        <v>237.58689040042452</v>
      </c>
      <c r="AB23" s="98">
        <v>0.96660997249855962</v>
      </c>
      <c r="AC23" s="98">
        <v>284.18333191457651</v>
      </c>
      <c r="AD23" s="98">
        <v>0.84470758292236026</v>
      </c>
      <c r="AE23" s="98">
        <v>248.34402937917392</v>
      </c>
      <c r="AF23" s="98">
        <v>1.1197737081641927</v>
      </c>
      <c r="AG23" s="98">
        <v>329.2134702002727</v>
      </c>
      <c r="AH23" s="98">
        <v>0.99149546449769399</v>
      </c>
      <c r="AI23" s="98">
        <v>291.49966656232203</v>
      </c>
      <c r="AJ23" s="98">
        <v>0.816889573345981</v>
      </c>
      <c r="AK23" s="98">
        <v>240.16553456371841</v>
      </c>
      <c r="AL23" s="98">
        <v>0.97078742235607829</v>
      </c>
      <c r="AM23" s="98">
        <v>285.41150217268699</v>
      </c>
      <c r="AN23" s="98">
        <v>1.1096503058885236</v>
      </c>
      <c r="AO23" s="98">
        <v>326.23718993122594</v>
      </c>
      <c r="AP23" s="98">
        <v>0.96426793319254933</v>
      </c>
      <c r="AQ23" s="98">
        <v>283.49477235860951</v>
      </c>
      <c r="AR23" s="98">
        <v>0.93352960402466967</v>
      </c>
      <c r="AS23" s="98">
        <v>274.45770358325291</v>
      </c>
      <c r="AT23" s="98">
        <v>1.2413374329455586</v>
      </c>
      <c r="AU23" s="98">
        <v>364.95320528599422</v>
      </c>
      <c r="AV23" s="98">
        <v>0.80971732490898363</v>
      </c>
      <c r="AW23" s="98">
        <v>238.0568935232412</v>
      </c>
      <c r="AX23" s="98">
        <v>0.78741785021539112</v>
      </c>
      <c r="AY23" s="98">
        <v>231.50084796332499</v>
      </c>
      <c r="AZ23" s="98">
        <v>1.0074391191860033</v>
      </c>
      <c r="BA23" s="98">
        <v>296.18710104068498</v>
      </c>
      <c r="BB23" s="98">
        <v>0.74559836829609061</v>
      </c>
      <c r="BC23" s="98">
        <v>219.20592027905064</v>
      </c>
      <c r="BD23" s="98">
        <v>0.6909156372705807</v>
      </c>
      <c r="BE23" s="98">
        <v>203.12919735755074</v>
      </c>
      <c r="BF23" s="98">
        <v>1.0117961566726801</v>
      </c>
      <c r="BG23" s="98">
        <v>297.46807006176795</v>
      </c>
      <c r="BH23" s="98">
        <v>0.92177069405828982</v>
      </c>
      <c r="BI23" s="98">
        <v>271.00058405313723</v>
      </c>
      <c r="BJ23" s="98">
        <v>0.8256373094361491</v>
      </c>
      <c r="BK23" s="98">
        <v>242.73736897422785</v>
      </c>
      <c r="BL23" s="98">
        <v>0.92470239092702444</v>
      </c>
      <c r="BM23" s="98">
        <v>271.86250293254517</v>
      </c>
      <c r="BN23" s="98">
        <v>0.669983164915537</v>
      </c>
      <c r="BO23" s="98">
        <v>196.97505048516788</v>
      </c>
      <c r="BP23" s="98">
        <v>0.83328397969085877</v>
      </c>
      <c r="BQ23" s="98">
        <v>244.98549002911247</v>
      </c>
      <c r="BR23" s="98">
        <v>0.71461223699711507</v>
      </c>
      <c r="BS23" s="98">
        <v>210.09599767715184</v>
      </c>
      <c r="BT23" s="98">
        <v>0.96613051782919446</v>
      </c>
      <c r="BU23" s="98">
        <v>284.0423722417832</v>
      </c>
      <c r="BV23" s="98">
        <v>0.75786195399394896</v>
      </c>
      <c r="BW23" s="98">
        <v>222.81141447422098</v>
      </c>
      <c r="BX23" s="98">
        <v>1.0694731503137116</v>
      </c>
      <c r="BY23" s="98">
        <v>314.42510619223123</v>
      </c>
      <c r="BZ23" s="98">
        <v>0.94467333426531652</v>
      </c>
      <c r="CA23" s="98">
        <v>277.73396027400304</v>
      </c>
      <c r="CB23" s="98">
        <v>0.81324615294032288</v>
      </c>
      <c r="CC23" s="98">
        <v>239.09436896445493</v>
      </c>
      <c r="CD23" s="98">
        <v>0.92376154145257994</v>
      </c>
      <c r="CE23" s="98">
        <v>271.5858931870585</v>
      </c>
      <c r="CF23" s="98">
        <v>0.98575803200410306</v>
      </c>
      <c r="CG23" s="98">
        <v>289.81286140920628</v>
      </c>
      <c r="CH23" s="98">
        <v>0.87804204676734754</v>
      </c>
      <c r="CI23" s="98">
        <v>258.14436174960019</v>
      </c>
      <c r="CJ23" s="98">
        <v>0.87509391765262878</v>
      </c>
      <c r="CK23" s="98">
        <v>257.27761178987288</v>
      </c>
      <c r="CL23" s="98">
        <v>0.86704297100976147</v>
      </c>
      <c r="CM23" s="98">
        <v>254.91063347686986</v>
      </c>
      <c r="CN23" s="98">
        <v>0.90348733180127805</v>
      </c>
      <c r="CO23" s="98">
        <v>265.62527554957575</v>
      </c>
      <c r="CP23" s="98">
        <v>0.9456262302676065</v>
      </c>
      <c r="CQ23" s="98">
        <v>278.01411169867629</v>
      </c>
      <c r="CR23" s="98">
        <v>1.0453338208558365</v>
      </c>
      <c r="CS23" s="98">
        <v>307.32814333161593</v>
      </c>
      <c r="CT23" s="98">
        <v>0.86238974852115846</v>
      </c>
      <c r="CU23" s="98">
        <v>253.54258606522058</v>
      </c>
    </row>
    <row r="24" spans="2:99">
      <c r="C24" s="97" t="s">
        <v>191</v>
      </c>
      <c r="D24" s="98">
        <v>4</v>
      </c>
      <c r="E24" s="98">
        <v>1468.8</v>
      </c>
      <c r="F24" s="98">
        <v>1.9709315163213821</v>
      </c>
      <c r="G24" s="98">
        <v>723.72605279321147</v>
      </c>
      <c r="H24" s="98">
        <v>2.5173207305806291</v>
      </c>
      <c r="I24" s="98">
        <v>924.36017226920694</v>
      </c>
      <c r="J24" s="98">
        <v>0.72256238366539305</v>
      </c>
      <c r="K24" s="98">
        <v>265.32490728193233</v>
      </c>
      <c r="L24" s="98">
        <v>1.1031119057291667</v>
      </c>
      <c r="M24" s="98">
        <v>405.06269178374998</v>
      </c>
      <c r="N24" s="98">
        <v>0.76871909806910577</v>
      </c>
      <c r="O24" s="98">
        <v>282.27365281097565</v>
      </c>
      <c r="P24" s="98">
        <v>0.95424905339893318</v>
      </c>
      <c r="Q24" s="98">
        <v>350.40025240808825</v>
      </c>
      <c r="R24" s="98">
        <v>0.63641071484375011</v>
      </c>
      <c r="S24" s="98">
        <v>233.69001449062503</v>
      </c>
      <c r="T24" s="98">
        <v>0.67262921081046756</v>
      </c>
      <c r="U24" s="98">
        <v>246.98944620960367</v>
      </c>
      <c r="V24" s="98">
        <v>0.63886789907094599</v>
      </c>
      <c r="W24" s="98">
        <v>234.59229253885135</v>
      </c>
      <c r="X24" s="98">
        <v>0.84529647948595144</v>
      </c>
      <c r="Y24" s="98">
        <v>310.39286726724134</v>
      </c>
      <c r="Z24" s="98">
        <v>0.82951657639411835</v>
      </c>
      <c r="AA24" s="98">
        <v>304.59848685192026</v>
      </c>
      <c r="AB24" s="98">
        <v>0.94916466665741461</v>
      </c>
      <c r="AC24" s="98">
        <v>348.53326559660263</v>
      </c>
      <c r="AD24" s="98">
        <v>0.88670121928863255</v>
      </c>
      <c r="AE24" s="98">
        <v>325.59668772278587</v>
      </c>
      <c r="AF24" s="98">
        <v>0.93970760396234232</v>
      </c>
      <c r="AG24" s="98">
        <v>345.06063217497211</v>
      </c>
      <c r="AH24" s="98">
        <v>1.0225475259150918</v>
      </c>
      <c r="AI24" s="98">
        <v>375.4794515160217</v>
      </c>
      <c r="AJ24" s="98">
        <v>0.97225049582888445</v>
      </c>
      <c r="AK24" s="98">
        <v>357.01038206836637</v>
      </c>
      <c r="AL24" s="98">
        <v>0.98593010073734055</v>
      </c>
      <c r="AM24" s="98">
        <v>362.03353299075144</v>
      </c>
      <c r="AN24" s="98">
        <v>1.1096503058885236</v>
      </c>
      <c r="AO24" s="98">
        <v>407.46359232226587</v>
      </c>
      <c r="AP24" s="98">
        <v>0.96426793319254933</v>
      </c>
      <c r="AQ24" s="98">
        <v>354.07918506830413</v>
      </c>
      <c r="AR24" s="98">
        <v>0.93352960402466967</v>
      </c>
      <c r="AS24" s="98">
        <v>342.7920705978587</v>
      </c>
      <c r="AT24" s="98">
        <v>1.2237282392329458</v>
      </c>
      <c r="AU24" s="98">
        <v>449.35300944633769</v>
      </c>
      <c r="AV24" s="98">
        <v>0.98269570683209051</v>
      </c>
      <c r="AW24" s="98">
        <v>360.84586354874364</v>
      </c>
      <c r="AX24" s="98">
        <v>0.78741785021539112</v>
      </c>
      <c r="AY24" s="98">
        <v>289.13983459909161</v>
      </c>
      <c r="AZ24" s="98">
        <v>1.0187388777702822</v>
      </c>
      <c r="BA24" s="98">
        <v>374.08091591724758</v>
      </c>
      <c r="BB24" s="98">
        <v>0.57238800064361084</v>
      </c>
      <c r="BC24" s="98">
        <v>210.18087383633389</v>
      </c>
      <c r="BD24" s="98">
        <v>0.70715191358397445</v>
      </c>
      <c r="BE24" s="98">
        <v>259.66618266803539</v>
      </c>
      <c r="BF24" s="98">
        <v>1.0117961566726801</v>
      </c>
      <c r="BG24" s="98">
        <v>371.5315487302081</v>
      </c>
      <c r="BH24" s="98">
        <v>0.74173378698573622</v>
      </c>
      <c r="BI24" s="98">
        <v>272.36464658116233</v>
      </c>
      <c r="BJ24" s="98">
        <v>0.83803182601628112</v>
      </c>
      <c r="BK24" s="98">
        <v>307.72528651317845</v>
      </c>
      <c r="BL24" s="98">
        <v>0.76401815571771214</v>
      </c>
      <c r="BM24" s="98">
        <v>280.54746677954387</v>
      </c>
      <c r="BN24" s="98">
        <v>0.68421680331911816</v>
      </c>
      <c r="BO24" s="98">
        <v>251.24441017878019</v>
      </c>
      <c r="BP24" s="98">
        <v>0.83328397969085877</v>
      </c>
      <c r="BQ24" s="98">
        <v>305.98187734248336</v>
      </c>
      <c r="BR24" s="98">
        <v>0.72782912326220883</v>
      </c>
      <c r="BS24" s="98">
        <v>267.25885406188308</v>
      </c>
      <c r="BT24" s="98">
        <v>0.82529206845523251</v>
      </c>
      <c r="BU24" s="98">
        <v>303.04724753676135</v>
      </c>
      <c r="BV24" s="98">
        <v>0.75786195399394896</v>
      </c>
      <c r="BW24" s="98">
        <v>278.28690950657807</v>
      </c>
      <c r="BX24" s="98">
        <v>1.0694731503137116</v>
      </c>
      <c r="BY24" s="98">
        <v>392.7105407951949</v>
      </c>
      <c r="BZ24" s="98">
        <v>1.1175238425074723</v>
      </c>
      <c r="CA24" s="98">
        <v>410.3547549687438</v>
      </c>
      <c r="CB24" s="98">
        <v>0.67161630916717385</v>
      </c>
      <c r="CC24" s="98">
        <v>246.61750872618623</v>
      </c>
      <c r="CD24" s="98">
        <v>1.0874034005205486</v>
      </c>
      <c r="CE24" s="98">
        <v>399.29452867114543</v>
      </c>
      <c r="CF24" s="98">
        <v>0.97208743135614017</v>
      </c>
      <c r="CG24" s="98">
        <v>356.95050479397469</v>
      </c>
      <c r="CH24" s="98">
        <v>0.86427282463670307</v>
      </c>
      <c r="CI24" s="98">
        <v>317.36098120659739</v>
      </c>
      <c r="CJ24" s="98">
        <v>0.89928435757086367</v>
      </c>
      <c r="CK24" s="98">
        <v>330.21721610002112</v>
      </c>
      <c r="CL24" s="98">
        <v>0.72982591396115548</v>
      </c>
      <c r="CM24" s="98">
        <v>267.99207560653628</v>
      </c>
      <c r="CN24" s="98">
        <v>0.86951867068660194</v>
      </c>
      <c r="CO24" s="98">
        <v>319.28725587612024</v>
      </c>
      <c r="CP24" s="98">
        <v>0.80141829529334818</v>
      </c>
      <c r="CQ24" s="98">
        <v>294.28079803171744</v>
      </c>
      <c r="CR24" s="98">
        <v>1.0185854147663975</v>
      </c>
      <c r="CS24" s="98">
        <v>374.02456430222117</v>
      </c>
      <c r="CT24" s="98">
        <v>0.86238974852115846</v>
      </c>
      <c r="CU24" s="98">
        <v>316.66951565696939</v>
      </c>
    </row>
    <row r="25" spans="2:99">
      <c r="C25" s="97" t="s">
        <v>192</v>
      </c>
      <c r="D25" s="98">
        <v>4</v>
      </c>
      <c r="E25" s="98">
        <v>2121.6</v>
      </c>
      <c r="F25" s="98">
        <v>2.6279086884285094</v>
      </c>
      <c r="G25" s="98">
        <v>1393.8427683424813</v>
      </c>
      <c r="H25" s="98">
        <v>2.5173207305806291</v>
      </c>
      <c r="I25" s="98">
        <v>1335.1869154999656</v>
      </c>
      <c r="J25" s="98">
        <v>0.96341651155385732</v>
      </c>
      <c r="K25" s="98">
        <v>510.99611772816593</v>
      </c>
      <c r="L25" s="98">
        <v>1.1031119057291667</v>
      </c>
      <c r="M25" s="98">
        <v>585.09055479874996</v>
      </c>
      <c r="N25" s="98">
        <v>0.57653932355182935</v>
      </c>
      <c r="O25" s="98">
        <v>305.7964572118903</v>
      </c>
      <c r="P25" s="98">
        <v>0.95424905339893318</v>
      </c>
      <c r="Q25" s="98">
        <v>506.13369792279411</v>
      </c>
      <c r="R25" s="98">
        <v>0.42427380989583335</v>
      </c>
      <c r="S25" s="98">
        <v>225.03482876875</v>
      </c>
      <c r="T25" s="98">
        <v>0.67262921081046756</v>
      </c>
      <c r="U25" s="98">
        <v>356.76253341387201</v>
      </c>
      <c r="V25" s="98">
        <v>0.85182386542792798</v>
      </c>
      <c r="W25" s="98">
        <v>451.807378222973</v>
      </c>
      <c r="X25" s="98">
        <v>0.84529647948595144</v>
      </c>
      <c r="Y25" s="98">
        <v>448.34525271934865</v>
      </c>
      <c r="Z25" s="98">
        <v>0.87231237951960383</v>
      </c>
      <c r="AA25" s="98">
        <v>462.67448609719787</v>
      </c>
      <c r="AB25" s="98">
        <v>0.98405527833970463</v>
      </c>
      <c r="AC25" s="98">
        <v>521.94291963137937</v>
      </c>
      <c r="AD25" s="98">
        <v>0.85870546171111772</v>
      </c>
      <c r="AE25" s="98">
        <v>455.45737689157681</v>
      </c>
      <c r="AF25" s="98">
        <v>0.92599240476515843</v>
      </c>
      <c r="AG25" s="98">
        <v>491.14637148744004</v>
      </c>
      <c r="AH25" s="98">
        <v>0.99149546449769399</v>
      </c>
      <c r="AI25" s="98">
        <v>525.8891943695769</v>
      </c>
      <c r="AJ25" s="98">
        <v>0.816889573345981</v>
      </c>
      <c r="AK25" s="98">
        <v>433.2782297027083</v>
      </c>
      <c r="AL25" s="98">
        <v>0.95564474397481591</v>
      </c>
      <c r="AM25" s="98">
        <v>506.87397220424236</v>
      </c>
      <c r="AN25" s="98">
        <v>1.1446957464678404</v>
      </c>
      <c r="AO25" s="98">
        <v>607.14662392654259</v>
      </c>
      <c r="AP25" s="98">
        <v>0.93276623496095612</v>
      </c>
      <c r="AQ25" s="98">
        <v>494.73921102329109</v>
      </c>
      <c r="AR25" s="98">
        <v>0.91972023378238177</v>
      </c>
      <c r="AS25" s="98">
        <v>487.81961199817528</v>
      </c>
      <c r="AT25" s="98">
        <v>1.2765558203707843</v>
      </c>
      <c r="AU25" s="98">
        <v>677.08520712466395</v>
      </c>
      <c r="AV25" s="98">
        <v>0.94903747905593161</v>
      </c>
      <c r="AW25" s="98">
        <v>503.36947889126611</v>
      </c>
      <c r="AX25" s="98">
        <v>0.59717170585458557</v>
      </c>
      <c r="AY25" s="98">
        <v>316.73987278527215</v>
      </c>
      <c r="AZ25" s="98">
        <v>0.99613936060172403</v>
      </c>
      <c r="BA25" s="98">
        <v>528.35231686315444</v>
      </c>
      <c r="BB25" s="98">
        <v>0.59876644948669699</v>
      </c>
      <c r="BC25" s="98">
        <v>317.5857248077441</v>
      </c>
      <c r="BD25" s="98">
        <v>0.6909156372705807</v>
      </c>
      <c r="BE25" s="98">
        <v>366.46165400831597</v>
      </c>
      <c r="BF25" s="98">
        <v>0.99687529442708323</v>
      </c>
      <c r="BG25" s="98">
        <v>528.74265616412492</v>
      </c>
      <c r="BH25" s="98">
        <v>0.90916925244778501</v>
      </c>
      <c r="BI25" s="98">
        <v>482.22337149830514</v>
      </c>
      <c r="BJ25" s="98">
        <v>0.85042634259641303</v>
      </c>
      <c r="BK25" s="98">
        <v>451.06613211313743</v>
      </c>
      <c r="BL25" s="98">
        <v>0.90903764369981477</v>
      </c>
      <c r="BM25" s="98">
        <v>482.15356621838174</v>
      </c>
      <c r="BN25" s="98">
        <v>0.68421680331911816</v>
      </c>
      <c r="BO25" s="98">
        <v>362.90859248046024</v>
      </c>
      <c r="BP25" s="98">
        <v>0.66378733606775431</v>
      </c>
      <c r="BQ25" s="98">
        <v>352.07280305033686</v>
      </c>
      <c r="BR25" s="98">
        <v>0.72782912326220883</v>
      </c>
      <c r="BS25" s="98">
        <v>386.04056697827554</v>
      </c>
      <c r="BT25" s="98">
        <v>0.97803680287280292</v>
      </c>
      <c r="BU25" s="98">
        <v>518.75072024373469</v>
      </c>
      <c r="BV25" s="98">
        <v>0.7265951518480982</v>
      </c>
      <c r="BW25" s="98">
        <v>385.38606854023129</v>
      </c>
      <c r="BX25" s="98">
        <v>1.0694731503137116</v>
      </c>
      <c r="BY25" s="98">
        <v>567.24855892639266</v>
      </c>
      <c r="BZ25" s="98">
        <v>1.0728289069845265</v>
      </c>
      <c r="CA25" s="98">
        <v>569.02845226459283</v>
      </c>
      <c r="CB25" s="98">
        <v>0.65710296929377809</v>
      </c>
      <c r="CC25" s="98">
        <v>348.52741491341988</v>
      </c>
      <c r="CD25" s="98">
        <v>0.89812400762584621</v>
      </c>
      <c r="CE25" s="98">
        <v>476.36497364474883</v>
      </c>
      <c r="CF25" s="98">
        <v>0.97208743135614017</v>
      </c>
      <c r="CG25" s="98">
        <v>515.59517359129677</v>
      </c>
      <c r="CH25" s="98">
        <v>0.86427282463670307</v>
      </c>
      <c r="CI25" s="98">
        <v>458.4103061873073</v>
      </c>
      <c r="CJ25" s="98">
        <v>0.87509391765262878</v>
      </c>
      <c r="CK25" s="98">
        <v>464.14981392295431</v>
      </c>
      <c r="CL25" s="98">
        <v>0.71709892424854205</v>
      </c>
      <c r="CM25" s="98">
        <v>380.3492694214267</v>
      </c>
      <c r="CN25" s="98">
        <v>0.92047166235861588</v>
      </c>
      <c r="CO25" s="98">
        <v>488.21816971500982</v>
      </c>
      <c r="CP25" s="98">
        <v>0.80141829529334818</v>
      </c>
      <c r="CQ25" s="98">
        <v>425.07226382359187</v>
      </c>
      <c r="CR25" s="98">
        <v>1.0185854147663975</v>
      </c>
      <c r="CS25" s="98">
        <v>540.25770399209728</v>
      </c>
      <c r="CT25" s="98">
        <v>0.86238974852115846</v>
      </c>
      <c r="CU25" s="98">
        <v>457.4115226156224</v>
      </c>
    </row>
    <row r="26" spans="2:99">
      <c r="C26" s="97" t="s">
        <v>193</v>
      </c>
      <c r="D26" s="98">
        <v>5</v>
      </c>
      <c r="E26" s="98">
        <v>2430</v>
      </c>
      <c r="F26" s="98">
        <v>1.9709315163213821</v>
      </c>
      <c r="G26" s="98">
        <v>957.87271693219168</v>
      </c>
      <c r="H26" s="98">
        <v>2.5173207305806291</v>
      </c>
      <c r="I26" s="98">
        <v>1223.4178750621857</v>
      </c>
      <c r="J26" s="98">
        <v>0.96341651155385732</v>
      </c>
      <c r="K26" s="98">
        <v>468.22042461517464</v>
      </c>
      <c r="L26" s="98">
        <v>1.1031119057291667</v>
      </c>
      <c r="M26" s="98">
        <v>536.11238618437505</v>
      </c>
      <c r="N26" s="98">
        <v>0.57653932355182935</v>
      </c>
      <c r="O26" s="98">
        <v>280.19811124618906</v>
      </c>
      <c r="P26" s="98">
        <v>0.95424905339893318</v>
      </c>
      <c r="Q26" s="98">
        <v>463.76503995188153</v>
      </c>
      <c r="R26" s="98">
        <v>0.42427380989583335</v>
      </c>
      <c r="S26" s="98">
        <v>206.197071609375</v>
      </c>
      <c r="T26" s="98">
        <v>0.67262921081046756</v>
      </c>
      <c r="U26" s="98">
        <v>326.89779645388722</v>
      </c>
      <c r="V26" s="98">
        <v>0.85182386542792798</v>
      </c>
      <c r="W26" s="98">
        <v>413.98639859797299</v>
      </c>
      <c r="X26" s="98">
        <v>0.84529647948595144</v>
      </c>
      <c r="Y26" s="98">
        <v>410.8140890301724</v>
      </c>
      <c r="Z26" s="98">
        <v>0.80811867483137589</v>
      </c>
      <c r="AA26" s="98">
        <v>392.74567596804866</v>
      </c>
      <c r="AB26" s="98">
        <v>0.96660997249855962</v>
      </c>
      <c r="AC26" s="98">
        <v>469.77244663429997</v>
      </c>
      <c r="AD26" s="98">
        <v>0.85870546171111772</v>
      </c>
      <c r="AE26" s="98">
        <v>417.33085439160322</v>
      </c>
      <c r="AF26" s="98">
        <v>0.91227720556797465</v>
      </c>
      <c r="AG26" s="98">
        <v>443.36672190603565</v>
      </c>
      <c r="AH26" s="98">
        <v>0.82735363915729276</v>
      </c>
      <c r="AI26" s="98">
        <v>402.09386863044426</v>
      </c>
      <c r="AJ26" s="98">
        <v>0.84132030877277686</v>
      </c>
      <c r="AK26" s="98">
        <v>408.88167006356957</v>
      </c>
      <c r="AL26" s="98">
        <v>0.97078742235607829</v>
      </c>
      <c r="AM26" s="98">
        <v>471.80268726505403</v>
      </c>
      <c r="AN26" s="98">
        <v>1.1096503058885236</v>
      </c>
      <c r="AO26" s="98">
        <v>539.29004866182254</v>
      </c>
      <c r="AP26" s="98">
        <v>0.96426793319254933</v>
      </c>
      <c r="AQ26" s="98">
        <v>468.634215531579</v>
      </c>
      <c r="AR26" s="98">
        <v>0.93352960402466967</v>
      </c>
      <c r="AS26" s="98">
        <v>453.69538755598944</v>
      </c>
      <c r="AT26" s="98">
        <v>1.0494193662368081</v>
      </c>
      <c r="AU26" s="98">
        <v>510.01781199108871</v>
      </c>
      <c r="AV26" s="98">
        <v>0.79288821102090412</v>
      </c>
      <c r="AW26" s="98">
        <v>385.3436705561594</v>
      </c>
      <c r="AX26" s="98">
        <v>0.61383935332635287</v>
      </c>
      <c r="AY26" s="98">
        <v>298.32592571660751</v>
      </c>
      <c r="AZ26" s="98">
        <v>1.0074391191860033</v>
      </c>
      <c r="BA26" s="98">
        <v>489.61541192439756</v>
      </c>
      <c r="BB26" s="98">
        <v>0.59876644948669699</v>
      </c>
      <c r="BC26" s="98">
        <v>291.00049445053475</v>
      </c>
      <c r="BD26" s="98">
        <v>0.67467936095718739</v>
      </c>
      <c r="BE26" s="98">
        <v>327.89416942519307</v>
      </c>
      <c r="BF26" s="98">
        <v>1.0117961566726801</v>
      </c>
      <c r="BG26" s="98">
        <v>491.73293214292249</v>
      </c>
      <c r="BH26" s="98">
        <v>0.88396636922677552</v>
      </c>
      <c r="BI26" s="98">
        <v>429.60765544421292</v>
      </c>
      <c r="BJ26" s="98">
        <v>0.8256373094361491</v>
      </c>
      <c r="BK26" s="98">
        <v>401.25973238596845</v>
      </c>
      <c r="BL26" s="98">
        <v>0.92470239092702444</v>
      </c>
      <c r="BM26" s="98">
        <v>449.40536199053389</v>
      </c>
      <c r="BN26" s="98">
        <v>0.65574952651195573</v>
      </c>
      <c r="BO26" s="98">
        <v>318.69426988481047</v>
      </c>
      <c r="BP26" s="98">
        <v>0.66378733606775431</v>
      </c>
      <c r="BQ26" s="98">
        <v>322.60064532892858</v>
      </c>
      <c r="BR26" s="98">
        <v>0.74104600952730248</v>
      </c>
      <c r="BS26" s="98">
        <v>360.148360630269</v>
      </c>
      <c r="BT26" s="98">
        <v>0.8610109235860578</v>
      </c>
      <c r="BU26" s="98">
        <v>418.45130886282408</v>
      </c>
      <c r="BV26" s="98">
        <v>0.75786195399394896</v>
      </c>
      <c r="BW26" s="98">
        <v>368.32090964105919</v>
      </c>
      <c r="BX26" s="98">
        <v>1.0694731503137116</v>
      </c>
      <c r="BY26" s="98">
        <v>519.76395105246388</v>
      </c>
      <c r="BZ26" s="98">
        <v>1.0877272188255087</v>
      </c>
      <c r="CA26" s="98">
        <v>528.63542834919724</v>
      </c>
      <c r="CB26" s="98">
        <v>0.67161630916717385</v>
      </c>
      <c r="CC26" s="98">
        <v>326.40552625524651</v>
      </c>
      <c r="CD26" s="98">
        <v>0.91094277453921302</v>
      </c>
      <c r="CE26" s="98">
        <v>442.71818842605751</v>
      </c>
      <c r="CF26" s="98">
        <v>0.97208743135614017</v>
      </c>
      <c r="CG26" s="98">
        <v>472.43449163908411</v>
      </c>
      <c r="CH26" s="98">
        <v>0.87804204676734754</v>
      </c>
      <c r="CI26" s="98">
        <v>426.72843472893089</v>
      </c>
      <c r="CJ26" s="98">
        <v>0.88718913761174634</v>
      </c>
      <c r="CK26" s="98">
        <v>431.1739208793087</v>
      </c>
      <c r="CL26" s="98">
        <v>0.72982591396115548</v>
      </c>
      <c r="CM26" s="98">
        <v>354.69539418512159</v>
      </c>
      <c r="CN26" s="98">
        <v>0.92047166235861588</v>
      </c>
      <c r="CO26" s="98">
        <v>447.3492279062873</v>
      </c>
      <c r="CP26" s="98">
        <v>0.80141829529334818</v>
      </c>
      <c r="CQ26" s="98">
        <v>389.48929151256721</v>
      </c>
      <c r="CR26" s="98">
        <v>1.031959617811117</v>
      </c>
      <c r="CS26" s="98">
        <v>501.53237425620284</v>
      </c>
      <c r="CT26" s="98">
        <v>0.86238974852115846</v>
      </c>
      <c r="CU26" s="98">
        <v>419.12141778128301</v>
      </c>
    </row>
    <row r="27" spans="2:99">
      <c r="C27" s="97" t="s">
        <v>194</v>
      </c>
      <c r="D27" s="98">
        <v>4</v>
      </c>
      <c r="E27" s="98">
        <v>1708.8</v>
      </c>
      <c r="F27" s="98">
        <v>2.6279086884285094</v>
      </c>
      <c r="G27" s="98">
        <v>1122.6425916966591</v>
      </c>
      <c r="H27" s="98">
        <v>2.5173207305806291</v>
      </c>
      <c r="I27" s="98">
        <v>1075.3994161040448</v>
      </c>
      <c r="J27" s="98">
        <v>0.72256238366539305</v>
      </c>
      <c r="K27" s="98">
        <v>308.6786503018559</v>
      </c>
      <c r="L27" s="98">
        <v>0.88248952458333341</v>
      </c>
      <c r="M27" s="98">
        <v>376.99952490200002</v>
      </c>
      <c r="N27" s="98">
        <v>0.57653932355182935</v>
      </c>
      <c r="O27" s="98">
        <v>246.29759902134148</v>
      </c>
      <c r="P27" s="98">
        <v>0.95424905339893318</v>
      </c>
      <c r="Q27" s="98">
        <v>407.65519561202422</v>
      </c>
      <c r="R27" s="98">
        <v>0.42427380989583335</v>
      </c>
      <c r="S27" s="98">
        <v>181.24977158749999</v>
      </c>
      <c r="T27" s="98">
        <v>0.67262921081046756</v>
      </c>
      <c r="U27" s="98">
        <v>287.34719885823171</v>
      </c>
      <c r="V27" s="98">
        <v>0.63886789907094599</v>
      </c>
      <c r="W27" s="98">
        <v>272.92436648310814</v>
      </c>
      <c r="X27" s="98">
        <v>0.84529647948595144</v>
      </c>
      <c r="Y27" s="98">
        <v>361.11065603639844</v>
      </c>
      <c r="Z27" s="98">
        <v>0.87231237951960383</v>
      </c>
      <c r="AA27" s="98">
        <v>372.65184853077477</v>
      </c>
      <c r="AB27" s="98">
        <v>0.94916466665741461</v>
      </c>
      <c r="AC27" s="98">
        <v>405.48314559604751</v>
      </c>
      <c r="AD27" s="98">
        <v>0.85870546171111772</v>
      </c>
      <c r="AE27" s="98">
        <v>366.83897324298948</v>
      </c>
      <c r="AF27" s="98">
        <v>1.1197737081641927</v>
      </c>
      <c r="AG27" s="98">
        <v>478.36732812774312</v>
      </c>
      <c r="AH27" s="98">
        <v>0.85840570057469046</v>
      </c>
      <c r="AI27" s="98">
        <v>366.71091528550778</v>
      </c>
      <c r="AJ27" s="98">
        <v>0.9966812312556802</v>
      </c>
      <c r="AK27" s="98">
        <v>425.78222199242657</v>
      </c>
      <c r="AL27" s="98">
        <v>0.98593010073734055</v>
      </c>
      <c r="AM27" s="98">
        <v>421.18933903499186</v>
      </c>
      <c r="AN27" s="98">
        <v>1.127173026178182</v>
      </c>
      <c r="AO27" s="98">
        <v>481.52831678331938</v>
      </c>
      <c r="AP27" s="98">
        <v>0.94851708407675273</v>
      </c>
      <c r="AQ27" s="98">
        <v>405.20649831758874</v>
      </c>
      <c r="AR27" s="98">
        <v>0.93352960402466967</v>
      </c>
      <c r="AS27" s="98">
        <v>398.80384683933886</v>
      </c>
      <c r="AT27" s="98">
        <v>1.2589466266581715</v>
      </c>
      <c r="AU27" s="98">
        <v>537.8219989083708</v>
      </c>
      <c r="AV27" s="98">
        <v>0.96586659294401112</v>
      </c>
      <c r="AW27" s="98">
        <v>412.61820850568154</v>
      </c>
      <c r="AX27" s="98">
        <v>0.80408549768715831</v>
      </c>
      <c r="AY27" s="98">
        <v>343.50532461195399</v>
      </c>
      <c r="AZ27" s="98">
        <v>0.98483960201744503</v>
      </c>
      <c r="BA27" s="98">
        <v>420.72347798185251</v>
      </c>
      <c r="BB27" s="98">
        <v>0.73240914387454747</v>
      </c>
      <c r="BC27" s="98">
        <v>312.88518626320666</v>
      </c>
      <c r="BD27" s="98">
        <v>0.52555553010062783</v>
      </c>
      <c r="BE27" s="98">
        <v>224.51732245898822</v>
      </c>
      <c r="BF27" s="98">
        <v>1.0267170189182768</v>
      </c>
      <c r="BG27" s="98">
        <v>438.61351048188783</v>
      </c>
      <c r="BH27" s="98">
        <v>0.71653090376472672</v>
      </c>
      <c r="BI27" s="98">
        <v>306.10200208829127</v>
      </c>
      <c r="BJ27" s="98">
        <v>0.81324279285601708</v>
      </c>
      <c r="BK27" s="98">
        <v>347.4173211080905</v>
      </c>
      <c r="BL27" s="98">
        <v>0.73268866126329257</v>
      </c>
      <c r="BM27" s="98">
        <v>313.00459609167859</v>
      </c>
      <c r="BN27" s="98">
        <v>0.669983164915537</v>
      </c>
      <c r="BO27" s="98">
        <v>286.21680805191738</v>
      </c>
      <c r="BP27" s="98">
        <v>0.83328397969085877</v>
      </c>
      <c r="BQ27" s="98">
        <v>355.97891612393488</v>
      </c>
      <c r="BR27" s="98">
        <v>0.75426289579239614</v>
      </c>
      <c r="BS27" s="98">
        <v>322.22110908251165</v>
      </c>
      <c r="BT27" s="98">
        <v>0.97803680287280292</v>
      </c>
      <c r="BU27" s="98">
        <v>417.81732218726142</v>
      </c>
      <c r="BV27" s="98">
        <v>0.74222855292102352</v>
      </c>
      <c r="BW27" s="98">
        <v>317.08003780786123</v>
      </c>
      <c r="BX27" s="98">
        <v>1.0694731503137116</v>
      </c>
      <c r="BY27" s="98">
        <v>456.87892981401757</v>
      </c>
      <c r="BZ27" s="98">
        <v>1.1026255306664905</v>
      </c>
      <c r="CA27" s="98">
        <v>471.04162670072475</v>
      </c>
      <c r="CB27" s="98">
        <v>0.65710296929377809</v>
      </c>
      <c r="CC27" s="98">
        <v>280.71438848230201</v>
      </c>
      <c r="CD27" s="98">
        <v>0.91094277453921302</v>
      </c>
      <c r="CE27" s="98">
        <v>389.15475328315176</v>
      </c>
      <c r="CF27" s="98">
        <v>0.97208743135614017</v>
      </c>
      <c r="CG27" s="98">
        <v>415.27575067534309</v>
      </c>
      <c r="CH27" s="98">
        <v>0.71069517069226473</v>
      </c>
      <c r="CI27" s="98">
        <v>303.60897691973548</v>
      </c>
      <c r="CJ27" s="98">
        <v>0.87509391765262878</v>
      </c>
      <c r="CK27" s="98">
        <v>373.84012162120302</v>
      </c>
      <c r="CL27" s="98">
        <v>0.72982591396115548</v>
      </c>
      <c r="CM27" s="98">
        <v>311.78163044420563</v>
      </c>
      <c r="CN27" s="98">
        <v>0.88650300124393999</v>
      </c>
      <c r="CO27" s="98">
        <v>378.71408213141115</v>
      </c>
      <c r="CP27" s="98">
        <v>0.9588372041144485</v>
      </c>
      <c r="CQ27" s="98">
        <v>409.6152535976924</v>
      </c>
      <c r="CR27" s="98">
        <v>1.0185854147663975</v>
      </c>
      <c r="CS27" s="98">
        <v>435.13968918820501</v>
      </c>
      <c r="CT27" s="98">
        <v>0.84698226932413079</v>
      </c>
      <c r="CU27" s="98">
        <v>361.83082545526867</v>
      </c>
    </row>
    <row r="28" spans="2:99">
      <c r="C28" s="97" t="s">
        <v>195</v>
      </c>
      <c r="D28" s="98">
        <v>4</v>
      </c>
      <c r="E28" s="98">
        <v>2952</v>
      </c>
      <c r="F28" s="98">
        <v>1.9709315163213821</v>
      </c>
      <c r="G28" s="98">
        <v>1454.5474590451799</v>
      </c>
      <c r="H28" s="98">
        <v>2.5173207305806291</v>
      </c>
      <c r="I28" s="98">
        <v>1857.7826991685042</v>
      </c>
      <c r="J28" s="98">
        <v>0.96341651155385732</v>
      </c>
      <c r="K28" s="98">
        <v>711.00138552674673</v>
      </c>
      <c r="L28" s="98">
        <v>0.88248952458333341</v>
      </c>
      <c r="M28" s="98">
        <v>651.27726914250002</v>
      </c>
      <c r="N28" s="98">
        <v>0.57653932355182935</v>
      </c>
      <c r="O28" s="98">
        <v>425.48602078125009</v>
      </c>
      <c r="P28" s="98">
        <v>0.95424905339893318</v>
      </c>
      <c r="Q28" s="98">
        <v>704.23580140841273</v>
      </c>
      <c r="R28" s="98">
        <v>0.42427380989583335</v>
      </c>
      <c r="S28" s="98">
        <v>313.11407170312503</v>
      </c>
      <c r="T28" s="98">
        <v>0.67262921081046756</v>
      </c>
      <c r="U28" s="98">
        <v>496.40035757812507</v>
      </c>
      <c r="V28" s="98">
        <v>0.85182386542792798</v>
      </c>
      <c r="W28" s="98">
        <v>628.64601268581089</v>
      </c>
      <c r="X28" s="98">
        <v>0.84529647948595144</v>
      </c>
      <c r="Y28" s="98">
        <v>623.82880186063221</v>
      </c>
      <c r="Z28" s="98">
        <v>0.78672077326863321</v>
      </c>
      <c r="AA28" s="98">
        <v>580.59993067225128</v>
      </c>
      <c r="AB28" s="98">
        <v>0.96660997249855962</v>
      </c>
      <c r="AC28" s="98">
        <v>713.35815970393696</v>
      </c>
      <c r="AD28" s="98">
        <v>0.87270334049987508</v>
      </c>
      <c r="AE28" s="98">
        <v>644.05506528890783</v>
      </c>
      <c r="AF28" s="98">
        <v>0.92599240476515843</v>
      </c>
      <c r="AG28" s="98">
        <v>683.38239471668692</v>
      </c>
      <c r="AH28" s="98">
        <v>1.0070214952063929</v>
      </c>
      <c r="AI28" s="98">
        <v>743.18186346231801</v>
      </c>
      <c r="AJ28" s="98">
        <v>0.98446586354228249</v>
      </c>
      <c r="AK28" s="98">
        <v>726.53580729420446</v>
      </c>
      <c r="AL28" s="98">
        <v>0.97078742235607829</v>
      </c>
      <c r="AM28" s="98">
        <v>716.44111769878577</v>
      </c>
      <c r="AN28" s="98">
        <v>0.9227656852901357</v>
      </c>
      <c r="AO28" s="98">
        <v>681.00107574412016</v>
      </c>
      <c r="AP28" s="98">
        <v>0.94851708407675273</v>
      </c>
      <c r="AQ28" s="98">
        <v>700.00560804864347</v>
      </c>
      <c r="AR28" s="98">
        <v>0.77720429775276922</v>
      </c>
      <c r="AS28" s="98">
        <v>573.57677174154367</v>
      </c>
      <c r="AT28" s="98">
        <v>1.2237282392329458</v>
      </c>
      <c r="AU28" s="98">
        <v>903.11144055391401</v>
      </c>
      <c r="AV28" s="98">
        <v>0.79288821102090412</v>
      </c>
      <c r="AW28" s="98">
        <v>585.15149973342727</v>
      </c>
      <c r="AX28" s="98">
        <v>0.61383935332635287</v>
      </c>
      <c r="AY28" s="98">
        <v>453.01344275484843</v>
      </c>
      <c r="AZ28" s="98">
        <v>0.98483960201744503</v>
      </c>
      <c r="BA28" s="98">
        <v>726.81162628887444</v>
      </c>
      <c r="BB28" s="98">
        <v>0.71921991945300456</v>
      </c>
      <c r="BC28" s="98">
        <v>530.78430055631736</v>
      </c>
      <c r="BD28" s="98">
        <v>0.6909156372705807</v>
      </c>
      <c r="BE28" s="98">
        <v>509.89574030568855</v>
      </c>
      <c r="BF28" s="98">
        <v>0.99687529442708323</v>
      </c>
      <c r="BG28" s="98">
        <v>735.69396728718743</v>
      </c>
      <c r="BH28" s="98">
        <v>0.90916925244778501</v>
      </c>
      <c r="BI28" s="98">
        <v>670.96690830646537</v>
      </c>
      <c r="BJ28" s="98">
        <v>0.67190467754267269</v>
      </c>
      <c r="BK28" s="98">
        <v>495.86565202649246</v>
      </c>
      <c r="BL28" s="98">
        <v>0.90903764369981477</v>
      </c>
      <c r="BM28" s="98">
        <v>670.8697810504633</v>
      </c>
      <c r="BN28" s="98">
        <v>0.65574952651195573</v>
      </c>
      <c r="BO28" s="98">
        <v>483.94315056582332</v>
      </c>
      <c r="BP28" s="98">
        <v>0.67931707658759832</v>
      </c>
      <c r="BQ28" s="98">
        <v>501.33600252164757</v>
      </c>
      <c r="BR28" s="98">
        <v>0.75426289579239614</v>
      </c>
      <c r="BS28" s="98">
        <v>556.64601709478836</v>
      </c>
      <c r="BT28" s="98">
        <v>0.83719835349884086</v>
      </c>
      <c r="BU28" s="98">
        <v>617.85238488214452</v>
      </c>
      <c r="BV28" s="98">
        <v>0.74222855292102352</v>
      </c>
      <c r="BW28" s="98">
        <v>547.76467205571532</v>
      </c>
      <c r="BX28" s="98">
        <v>1.0544581532890815</v>
      </c>
      <c r="BY28" s="98">
        <v>778.19011712734221</v>
      </c>
      <c r="BZ28" s="98">
        <v>1.0877272188255087</v>
      </c>
      <c r="CA28" s="98">
        <v>802.74268749322539</v>
      </c>
      <c r="CB28" s="98">
        <v>0.82775949281371863</v>
      </c>
      <c r="CC28" s="98">
        <v>610.8865056965243</v>
      </c>
      <c r="CD28" s="98">
        <v>0.88530524071247929</v>
      </c>
      <c r="CE28" s="98">
        <v>653.3552676458097</v>
      </c>
      <c r="CF28" s="98">
        <v>0.81047938664002317</v>
      </c>
      <c r="CG28" s="98">
        <v>598.13378734033711</v>
      </c>
      <c r="CH28" s="98">
        <v>0.87804204676734754</v>
      </c>
      <c r="CI28" s="98">
        <v>647.99503051430247</v>
      </c>
      <c r="CJ28" s="98">
        <v>0.87509391765262878</v>
      </c>
      <c r="CK28" s="98">
        <v>645.81931122764001</v>
      </c>
      <c r="CL28" s="98">
        <v>0.71709892424854205</v>
      </c>
      <c r="CM28" s="98">
        <v>529.21900609542399</v>
      </c>
      <c r="CN28" s="98">
        <v>0.92047166235861588</v>
      </c>
      <c r="CO28" s="98">
        <v>679.30808682065856</v>
      </c>
      <c r="CP28" s="98">
        <v>0.80141829529334818</v>
      </c>
      <c r="CQ28" s="98">
        <v>591.44670192649096</v>
      </c>
      <c r="CR28" s="98">
        <v>1.005211211721678</v>
      </c>
      <c r="CS28" s="98">
        <v>741.8458742505984</v>
      </c>
      <c r="CT28" s="98">
        <v>0.84698226932413079</v>
      </c>
      <c r="CU28" s="98">
        <v>625.07291476120849</v>
      </c>
    </row>
    <row r="29" spans="2:99">
      <c r="C29" s="97" t="s">
        <v>196</v>
      </c>
      <c r="D29" s="98">
        <v>4</v>
      </c>
      <c r="E29" s="98">
        <v>1353.6</v>
      </c>
      <c r="F29" s="98">
        <v>2.6279086884285094</v>
      </c>
      <c r="G29" s="98">
        <v>889.28430016420748</v>
      </c>
      <c r="H29" s="98">
        <v>2.5173207305806291</v>
      </c>
      <c r="I29" s="98">
        <v>851.86133522848479</v>
      </c>
      <c r="J29" s="98">
        <v>0.96341651155385732</v>
      </c>
      <c r="K29" s="98">
        <v>326.02014750982528</v>
      </c>
      <c r="L29" s="98">
        <v>0.88248952458333341</v>
      </c>
      <c r="M29" s="98">
        <v>298.63445511899999</v>
      </c>
      <c r="N29" s="98">
        <v>0.57653932355182935</v>
      </c>
      <c r="O29" s="98">
        <v>195.10090708993903</v>
      </c>
      <c r="P29" s="98">
        <v>0.95424905339893318</v>
      </c>
      <c r="Q29" s="98">
        <v>322.91787967019894</v>
      </c>
      <c r="R29" s="98">
        <v>0.63641071484375011</v>
      </c>
      <c r="S29" s="98">
        <v>215.36138590312501</v>
      </c>
      <c r="T29" s="98">
        <v>0.67262921081046756</v>
      </c>
      <c r="U29" s="98">
        <v>227.6177249382622</v>
      </c>
      <c r="V29" s="98">
        <v>0.63886789907094599</v>
      </c>
      <c r="W29" s="98">
        <v>216.19289704560811</v>
      </c>
      <c r="X29" s="98">
        <v>0.63397235961446363</v>
      </c>
      <c r="Y29" s="98">
        <v>214.53624649353449</v>
      </c>
      <c r="Z29" s="98">
        <v>0.82951657639411835</v>
      </c>
      <c r="AA29" s="98">
        <v>280.70840945176963</v>
      </c>
      <c r="AB29" s="98">
        <v>0.96660997249855962</v>
      </c>
      <c r="AC29" s="98">
        <v>327.10081469351258</v>
      </c>
      <c r="AD29" s="98">
        <v>0.87270334049987508</v>
      </c>
      <c r="AE29" s="98">
        <v>295.32281042515768</v>
      </c>
      <c r="AF29" s="98">
        <v>1.092343309769825</v>
      </c>
      <c r="AG29" s="98">
        <v>369.64897602610876</v>
      </c>
      <c r="AH29" s="98">
        <v>1.0070214952063929</v>
      </c>
      <c r="AI29" s="98">
        <v>340.77607397784334</v>
      </c>
      <c r="AJ29" s="98">
        <v>0.96003512811548652</v>
      </c>
      <c r="AK29" s="98">
        <v>324.87588735428062</v>
      </c>
      <c r="AL29" s="98">
        <v>0.97078742235607829</v>
      </c>
      <c r="AM29" s="98">
        <v>328.51446372529688</v>
      </c>
      <c r="AN29" s="98">
        <v>1.1096503058885236</v>
      </c>
      <c r="AO29" s="98">
        <v>375.50566351267639</v>
      </c>
      <c r="AP29" s="98">
        <v>0.93276623496095612</v>
      </c>
      <c r="AQ29" s="98">
        <v>315.64809391078751</v>
      </c>
      <c r="AR29" s="98">
        <v>0.93352960402466967</v>
      </c>
      <c r="AS29" s="98">
        <v>315.90641800194817</v>
      </c>
      <c r="AT29" s="98">
        <v>1.0846377536620335</v>
      </c>
      <c r="AU29" s="98">
        <v>367.04141583923212</v>
      </c>
      <c r="AV29" s="98">
        <v>0.96586659294401112</v>
      </c>
      <c r="AW29" s="98">
        <v>326.84925505225334</v>
      </c>
      <c r="AX29" s="98">
        <v>0.80408549768715831</v>
      </c>
      <c r="AY29" s="98">
        <v>272.10253241733437</v>
      </c>
      <c r="AZ29" s="98">
        <v>1.0074391191860033</v>
      </c>
      <c r="BA29" s="98">
        <v>340.91739793254351</v>
      </c>
      <c r="BB29" s="98">
        <v>0.58557722506515397</v>
      </c>
      <c r="BC29" s="98">
        <v>198.1593329620481</v>
      </c>
      <c r="BD29" s="98">
        <v>0.67467936095718739</v>
      </c>
      <c r="BE29" s="98">
        <v>228.3114957479122</v>
      </c>
      <c r="BF29" s="98">
        <v>0.82226078204829622</v>
      </c>
      <c r="BG29" s="98">
        <v>278.25304864514345</v>
      </c>
      <c r="BH29" s="98">
        <v>0.90916925244778501</v>
      </c>
      <c r="BI29" s="98">
        <v>307.6628750283304</v>
      </c>
      <c r="BJ29" s="98">
        <v>0.83803182601628112</v>
      </c>
      <c r="BK29" s="98">
        <v>283.58996992390951</v>
      </c>
      <c r="BL29" s="98">
        <v>0.94036713815423434</v>
      </c>
      <c r="BM29" s="98">
        <v>318.22023955139286</v>
      </c>
      <c r="BN29" s="98">
        <v>0.69845044172269943</v>
      </c>
      <c r="BO29" s="98">
        <v>236.35562947896148</v>
      </c>
      <c r="BP29" s="98">
        <v>0.84881372021070278</v>
      </c>
      <c r="BQ29" s="98">
        <v>287.23856291930178</v>
      </c>
      <c r="BR29" s="98">
        <v>0.74104600952730248</v>
      </c>
      <c r="BS29" s="98">
        <v>250.76996962403913</v>
      </c>
      <c r="BT29" s="98">
        <v>1.0137556580036282</v>
      </c>
      <c r="BU29" s="98">
        <v>343.05491466842778</v>
      </c>
      <c r="BV29" s="98">
        <v>0.7265951518480982</v>
      </c>
      <c r="BW29" s="98">
        <v>245.87979938539641</v>
      </c>
      <c r="BX29" s="98">
        <v>1.0394431562644515</v>
      </c>
      <c r="BY29" s="98">
        <v>351.74756407989037</v>
      </c>
      <c r="BZ29" s="98">
        <v>0.92977502242433463</v>
      </c>
      <c r="CA29" s="98">
        <v>314.63586758839483</v>
      </c>
      <c r="CB29" s="98">
        <v>0.67161630916717385</v>
      </c>
      <c r="CC29" s="98">
        <v>227.27495902217163</v>
      </c>
      <c r="CD29" s="98">
        <v>1.074584633607182</v>
      </c>
      <c r="CE29" s="98">
        <v>363.63944001267038</v>
      </c>
      <c r="CF29" s="98">
        <v>0.98575803200410306</v>
      </c>
      <c r="CG29" s="98">
        <v>333.58051803018844</v>
      </c>
      <c r="CH29" s="98">
        <v>0.87804204676734754</v>
      </c>
      <c r="CI29" s="98">
        <v>297.12942862607036</v>
      </c>
      <c r="CJ29" s="98">
        <v>0.88718913761174634</v>
      </c>
      <c r="CK29" s="98">
        <v>300.22480416781497</v>
      </c>
      <c r="CL29" s="98">
        <v>0.7043719345359285</v>
      </c>
      <c r="CM29" s="98">
        <v>238.35946264695818</v>
      </c>
      <c r="CN29" s="98">
        <v>0.86951867068660194</v>
      </c>
      <c r="CO29" s="98">
        <v>294.24511816034607</v>
      </c>
      <c r="CP29" s="98">
        <v>0.9720481779612905</v>
      </c>
      <c r="CQ29" s="98">
        <v>328.9411034221007</v>
      </c>
      <c r="CR29" s="98">
        <v>1.031959617811117</v>
      </c>
      <c r="CS29" s="98">
        <v>349.21513466728197</v>
      </c>
      <c r="CT29" s="98">
        <v>1.0279128782611076</v>
      </c>
      <c r="CU29" s="98">
        <v>347.84571800355877</v>
      </c>
    </row>
    <row r="30" spans="2:99">
      <c r="C30" s="97" t="s">
        <v>197</v>
      </c>
      <c r="D30" s="98">
        <v>4</v>
      </c>
      <c r="E30" s="98">
        <v>556.79999999999995</v>
      </c>
      <c r="F30" s="98">
        <v>2.6279086884285094</v>
      </c>
      <c r="G30" s="98">
        <v>365.80488942924848</v>
      </c>
      <c r="H30" s="98">
        <v>2.5173207305806291</v>
      </c>
      <c r="I30" s="98">
        <v>350.41104569682352</v>
      </c>
      <c r="J30" s="98">
        <v>0.72256238366539305</v>
      </c>
      <c r="K30" s="98">
        <v>100.58068380622271</v>
      </c>
      <c r="L30" s="98">
        <v>0.88248952458333341</v>
      </c>
      <c r="M30" s="98">
        <v>122.842541822</v>
      </c>
      <c r="N30" s="98">
        <v>0.76871909806910577</v>
      </c>
      <c r="O30" s="98">
        <v>107.00569845121952</v>
      </c>
      <c r="P30" s="98">
        <v>0.7633992427191465</v>
      </c>
      <c r="Q30" s="98">
        <v>106.26517458650518</v>
      </c>
      <c r="R30" s="98">
        <v>0.42427380989583335</v>
      </c>
      <c r="S30" s="98">
        <v>59.058914337499999</v>
      </c>
      <c r="T30" s="98">
        <v>0.67262921081046756</v>
      </c>
      <c r="U30" s="98">
        <v>93.629986144817082</v>
      </c>
      <c r="V30" s="98">
        <v>0.85182386542792798</v>
      </c>
      <c r="W30" s="98">
        <v>118.57388206756757</v>
      </c>
      <c r="X30" s="98">
        <v>0.84529647948595144</v>
      </c>
      <c r="Y30" s="98">
        <v>117.66526994444443</v>
      </c>
      <c r="Z30" s="98">
        <v>0.80811867483137589</v>
      </c>
      <c r="AA30" s="98">
        <v>112.49011953652752</v>
      </c>
      <c r="AB30" s="98">
        <v>0.98405527833970463</v>
      </c>
      <c r="AC30" s="98">
        <v>136.98049474488687</v>
      </c>
      <c r="AD30" s="98">
        <v>0.84470758292236026</v>
      </c>
      <c r="AE30" s="98">
        <v>117.58329554279254</v>
      </c>
      <c r="AF30" s="98">
        <v>0.93970760396234232</v>
      </c>
      <c r="AG30" s="98">
        <v>130.80729847155803</v>
      </c>
      <c r="AH30" s="98">
        <v>1.0225475259150918</v>
      </c>
      <c r="AI30" s="98">
        <v>142.33861560738077</v>
      </c>
      <c r="AJ30" s="98">
        <v>0.9966812312556802</v>
      </c>
      <c r="AK30" s="98">
        <v>138.73802739079068</v>
      </c>
      <c r="AL30" s="98">
        <v>0.95564474397481591</v>
      </c>
      <c r="AM30" s="98">
        <v>133.02574836129438</v>
      </c>
      <c r="AN30" s="98">
        <v>1.1096503058885236</v>
      </c>
      <c r="AO30" s="98">
        <v>154.46332257968248</v>
      </c>
      <c r="AP30" s="98">
        <v>0.96426793319254933</v>
      </c>
      <c r="AQ30" s="98">
        <v>134.22609630040284</v>
      </c>
      <c r="AR30" s="98">
        <v>0.77720429775276922</v>
      </c>
      <c r="AS30" s="98">
        <v>108.18683824718546</v>
      </c>
      <c r="AT30" s="98">
        <v>1.0670285599494209</v>
      </c>
      <c r="AU30" s="98">
        <v>148.53037554495938</v>
      </c>
      <c r="AV30" s="98">
        <v>0.98269570683209051</v>
      </c>
      <c r="AW30" s="98">
        <v>136.791242391027</v>
      </c>
      <c r="AX30" s="98">
        <v>0.80408549768715831</v>
      </c>
      <c r="AY30" s="98">
        <v>111.92870127805243</v>
      </c>
      <c r="AZ30" s="98">
        <v>1.0187388777702822</v>
      </c>
      <c r="BA30" s="98">
        <v>141.80845178562328</v>
      </c>
      <c r="BB30" s="98">
        <v>0.71921991945300456</v>
      </c>
      <c r="BC30" s="98">
        <v>100.11541278785823</v>
      </c>
      <c r="BD30" s="98">
        <v>0.70715191358397445</v>
      </c>
      <c r="BE30" s="98">
        <v>98.435546370889242</v>
      </c>
      <c r="BF30" s="98">
        <v>1.0267170189182768</v>
      </c>
      <c r="BG30" s="98">
        <v>142.91900903342412</v>
      </c>
      <c r="BH30" s="98">
        <v>0.90916925244778501</v>
      </c>
      <c r="BI30" s="98">
        <v>126.55635994073167</v>
      </c>
      <c r="BJ30" s="98">
        <v>0.65951016096254078</v>
      </c>
      <c r="BK30" s="98">
        <v>91.803814405985676</v>
      </c>
      <c r="BL30" s="98">
        <v>0.92470239092702444</v>
      </c>
      <c r="BM30" s="98">
        <v>128.7185728170418</v>
      </c>
      <c r="BN30" s="98">
        <v>0.68421680331911816</v>
      </c>
      <c r="BO30" s="98">
        <v>95.242979022021245</v>
      </c>
      <c r="BP30" s="98">
        <v>0.84881372021070278</v>
      </c>
      <c r="BQ30" s="98">
        <v>118.15486985332981</v>
      </c>
      <c r="BR30" s="98">
        <v>0.75426289579239614</v>
      </c>
      <c r="BS30" s="98">
        <v>104.99339509430153</v>
      </c>
      <c r="BT30" s="98">
        <v>0.97803680287280292</v>
      </c>
      <c r="BU30" s="98">
        <v>136.14272295989414</v>
      </c>
      <c r="BV30" s="98">
        <v>0.74222855292102352</v>
      </c>
      <c r="BW30" s="98">
        <v>103.31821456660647</v>
      </c>
      <c r="BX30" s="98">
        <v>1.0844881473383419</v>
      </c>
      <c r="BY30" s="98">
        <v>150.96075010949718</v>
      </c>
      <c r="BZ30" s="98">
        <v>1.0877272188255087</v>
      </c>
      <c r="CA30" s="98">
        <v>151.4116288605108</v>
      </c>
      <c r="CB30" s="98">
        <v>0.68612964904056939</v>
      </c>
      <c r="CC30" s="98">
        <v>95.509247146447251</v>
      </c>
      <c r="CD30" s="98">
        <v>0.92376154145257994</v>
      </c>
      <c r="CE30" s="98">
        <v>128.58760657019911</v>
      </c>
      <c r="CF30" s="98">
        <v>0.97208743135614017</v>
      </c>
      <c r="CG30" s="98">
        <v>135.31457044477469</v>
      </c>
      <c r="CH30" s="98">
        <v>0.86427282463670307</v>
      </c>
      <c r="CI30" s="98">
        <v>120.30677718942906</v>
      </c>
      <c r="CJ30" s="98">
        <v>0.87509391765262878</v>
      </c>
      <c r="CK30" s="98">
        <v>121.81307333724591</v>
      </c>
      <c r="CL30" s="98">
        <v>0.91795092986021554</v>
      </c>
      <c r="CM30" s="98">
        <v>127.77876943654199</v>
      </c>
      <c r="CN30" s="98">
        <v>0.90348733180127805</v>
      </c>
      <c r="CO30" s="98">
        <v>125.76543658673789</v>
      </c>
      <c r="CP30" s="98">
        <v>0.9720481779612905</v>
      </c>
      <c r="CQ30" s="98">
        <v>135.30910637221163</v>
      </c>
      <c r="CR30" s="98">
        <v>0.99183700867695879</v>
      </c>
      <c r="CS30" s="98">
        <v>138.06371160783266</v>
      </c>
      <c r="CT30" s="98">
        <v>0.86238974852115846</v>
      </c>
      <c r="CU30" s="98">
        <v>120.04465299414525</v>
      </c>
    </row>
    <row r="31" spans="2:99">
      <c r="C31" s="97" t="s">
        <v>198</v>
      </c>
      <c r="D31" s="98">
        <v>4</v>
      </c>
      <c r="E31" s="98">
        <v>1363.2</v>
      </c>
      <c r="F31" s="98">
        <v>1.9709315163213821</v>
      </c>
      <c r="G31" s="98">
        <v>671.69346076232705</v>
      </c>
      <c r="H31" s="98">
        <v>2.5173207305806291</v>
      </c>
      <c r="I31" s="98">
        <v>857.90290498187846</v>
      </c>
      <c r="J31" s="98">
        <v>0.96341651155385732</v>
      </c>
      <c r="K31" s="98">
        <v>328.33234713755456</v>
      </c>
      <c r="L31" s="98">
        <v>0.88248952458333341</v>
      </c>
      <c r="M31" s="98">
        <v>300.75242997800001</v>
      </c>
      <c r="N31" s="98">
        <v>0.57653932355182935</v>
      </c>
      <c r="O31" s="98">
        <v>196.48460146646346</v>
      </c>
      <c r="P31" s="98">
        <v>0.7633992427191465</v>
      </c>
      <c r="Q31" s="98">
        <v>260.16646191868512</v>
      </c>
      <c r="R31" s="98">
        <v>0.42427380989583335</v>
      </c>
      <c r="S31" s="98">
        <v>144.59251441250001</v>
      </c>
      <c r="T31" s="98">
        <v>0.67262921081046756</v>
      </c>
      <c r="U31" s="98">
        <v>229.23203504420735</v>
      </c>
      <c r="V31" s="98">
        <v>0.85182386542792798</v>
      </c>
      <c r="W31" s="98">
        <v>290.30157333783785</v>
      </c>
      <c r="X31" s="98">
        <v>0.63397235961446363</v>
      </c>
      <c r="Y31" s="98">
        <v>216.05778015660923</v>
      </c>
      <c r="Z31" s="98">
        <v>0.80811867483137589</v>
      </c>
      <c r="AA31" s="98">
        <v>275.40684438253294</v>
      </c>
      <c r="AB31" s="98">
        <v>0.94916466665741461</v>
      </c>
      <c r="AC31" s="98">
        <v>323.47531839684689</v>
      </c>
      <c r="AD31" s="98">
        <v>0.85870546171111772</v>
      </c>
      <c r="AE31" s="98">
        <v>292.64682135114896</v>
      </c>
      <c r="AF31" s="98">
        <v>0.92599240476515843</v>
      </c>
      <c r="AG31" s="98">
        <v>315.57821154396601</v>
      </c>
      <c r="AH31" s="98">
        <v>0.85840570057469046</v>
      </c>
      <c r="AI31" s="98">
        <v>292.54466275585452</v>
      </c>
      <c r="AJ31" s="98">
        <v>0.82910494105937893</v>
      </c>
      <c r="AK31" s="98">
        <v>282.55896391303634</v>
      </c>
      <c r="AL31" s="98">
        <v>0.98593010073734055</v>
      </c>
      <c r="AM31" s="98">
        <v>336.00497833128566</v>
      </c>
      <c r="AN31" s="98">
        <v>1.127173026178182</v>
      </c>
      <c r="AO31" s="98">
        <v>384.14056732152443</v>
      </c>
      <c r="AP31" s="98">
        <v>0.94851708407675273</v>
      </c>
      <c r="AQ31" s="98">
        <v>323.25462225335735</v>
      </c>
      <c r="AR31" s="98">
        <v>0.91972023378238177</v>
      </c>
      <c r="AS31" s="98">
        <v>313.44065567303574</v>
      </c>
      <c r="AT31" s="98">
        <v>1.2237282392329458</v>
      </c>
      <c r="AU31" s="98">
        <v>417.04658393058793</v>
      </c>
      <c r="AV31" s="98">
        <v>0.94903747905593161</v>
      </c>
      <c r="AW31" s="98">
        <v>323.43197286226149</v>
      </c>
      <c r="AX31" s="98">
        <v>0.80408549768715831</v>
      </c>
      <c r="AY31" s="98">
        <v>274.03233761178359</v>
      </c>
      <c r="AZ31" s="98">
        <v>0.98483960201744503</v>
      </c>
      <c r="BA31" s="98">
        <v>335.63333636754527</v>
      </c>
      <c r="BB31" s="98">
        <v>0.73240914387454747</v>
      </c>
      <c r="BC31" s="98">
        <v>249.6050362324458</v>
      </c>
      <c r="BD31" s="98">
        <v>0.67467936095718739</v>
      </c>
      <c r="BE31" s="98">
        <v>229.93072621420947</v>
      </c>
      <c r="BF31" s="98">
        <v>1.0565587434094703</v>
      </c>
      <c r="BG31" s="98">
        <v>360.07521975394752</v>
      </c>
      <c r="BH31" s="98">
        <v>0.92177069405828982</v>
      </c>
      <c r="BI31" s="98">
        <v>314.13945253506517</v>
      </c>
      <c r="BJ31" s="98">
        <v>0.83803182601628112</v>
      </c>
      <c r="BK31" s="98">
        <v>285.60124630634863</v>
      </c>
      <c r="BL31" s="98">
        <v>0.90903764369981477</v>
      </c>
      <c r="BM31" s="98">
        <v>309.80002897289688</v>
      </c>
      <c r="BN31" s="98">
        <v>0.669983164915537</v>
      </c>
      <c r="BO31" s="98">
        <v>228.330262603215</v>
      </c>
      <c r="BP31" s="98">
        <v>0.67931707658759832</v>
      </c>
      <c r="BQ31" s="98">
        <v>231.51125970105352</v>
      </c>
      <c r="BR31" s="98">
        <v>0.75426289579239614</v>
      </c>
      <c r="BS31" s="98">
        <v>257.05279488604862</v>
      </c>
      <c r="BT31" s="98">
        <v>0.98994308791641139</v>
      </c>
      <c r="BU31" s="98">
        <v>337.37260436191303</v>
      </c>
      <c r="BV31" s="98">
        <v>0.7265951518480982</v>
      </c>
      <c r="BW31" s="98">
        <v>247.62362774983188</v>
      </c>
      <c r="BX31" s="98">
        <v>1.0394431562644515</v>
      </c>
      <c r="BY31" s="98">
        <v>354.2422276549251</v>
      </c>
      <c r="BZ31" s="98">
        <v>1.1026255306664905</v>
      </c>
      <c r="CA31" s="98">
        <v>375.77478085113995</v>
      </c>
      <c r="CB31" s="98">
        <v>0.65710296929377809</v>
      </c>
      <c r="CC31" s="98">
        <v>223.94069193531959</v>
      </c>
      <c r="CD31" s="98">
        <v>1.074584633607182</v>
      </c>
      <c r="CE31" s="98">
        <v>366.21844313332764</v>
      </c>
      <c r="CF31" s="98">
        <v>0.97208743135614017</v>
      </c>
      <c r="CG31" s="98">
        <v>331.28739660617259</v>
      </c>
      <c r="CH31" s="98">
        <v>0.87804204676734754</v>
      </c>
      <c r="CI31" s="98">
        <v>299.23672953831203</v>
      </c>
      <c r="CJ31" s="98">
        <v>0.88718913761174634</v>
      </c>
      <c r="CK31" s="98">
        <v>302.35405809808316</v>
      </c>
      <c r="CL31" s="98">
        <v>0.72982591396115548</v>
      </c>
      <c r="CM31" s="98">
        <v>248.72467147796181</v>
      </c>
      <c r="CN31" s="98">
        <v>0.90348733180127805</v>
      </c>
      <c r="CO31" s="98">
        <v>307.90848267787555</v>
      </c>
      <c r="CP31" s="98">
        <v>0.9588372041144485</v>
      </c>
      <c r="CQ31" s="98">
        <v>326.77171916220408</v>
      </c>
      <c r="CR31" s="98">
        <v>1.0185854147663975</v>
      </c>
      <c r="CS31" s="98">
        <v>347.13390935238829</v>
      </c>
      <c r="CT31" s="98">
        <v>0.87779722771818647</v>
      </c>
      <c r="CU31" s="98">
        <v>299.15329520635794</v>
      </c>
    </row>
    <row r="32" spans="2:99">
      <c r="C32" s="97" t="s">
        <v>199</v>
      </c>
      <c r="D32" s="98">
        <v>4</v>
      </c>
      <c r="E32" s="98">
        <v>3360</v>
      </c>
      <c r="F32" s="98">
        <v>1.9709315163213821</v>
      </c>
      <c r="G32" s="98">
        <v>1655.5824737099611</v>
      </c>
      <c r="H32" s="98">
        <v>2.5173207305806291</v>
      </c>
      <c r="I32" s="98">
        <v>2114.5494136877282</v>
      </c>
      <c r="J32" s="98">
        <v>0.72256238366539305</v>
      </c>
      <c r="K32" s="98">
        <v>606.95240227893021</v>
      </c>
      <c r="L32" s="98">
        <v>0.88248952458333341</v>
      </c>
      <c r="M32" s="98">
        <v>741.29120065000006</v>
      </c>
      <c r="N32" s="98">
        <v>0.57653932355182935</v>
      </c>
      <c r="O32" s="98">
        <v>484.29303178353666</v>
      </c>
      <c r="P32" s="98">
        <v>0.95424905339893318</v>
      </c>
      <c r="Q32" s="98">
        <v>801.56920485510386</v>
      </c>
      <c r="R32" s="98">
        <v>0.63641071484375011</v>
      </c>
      <c r="S32" s="98">
        <v>534.58500046875008</v>
      </c>
      <c r="T32" s="98">
        <v>0.67262921081046756</v>
      </c>
      <c r="U32" s="98">
        <v>565.00853708079273</v>
      </c>
      <c r="V32" s="98">
        <v>0.85182386542792798</v>
      </c>
      <c r="W32" s="98">
        <v>715.53204695945954</v>
      </c>
      <c r="X32" s="98">
        <v>0.84529647948595144</v>
      </c>
      <c r="Y32" s="98">
        <v>710.04904276819923</v>
      </c>
      <c r="Z32" s="98">
        <v>0.68853109416011538</v>
      </c>
      <c r="AA32" s="98">
        <v>578.36611909449687</v>
      </c>
      <c r="AB32" s="98">
        <v>0.96660997249855962</v>
      </c>
      <c r="AC32" s="98">
        <v>811.95237689879013</v>
      </c>
      <c r="AD32" s="98">
        <v>0.87270334049987508</v>
      </c>
      <c r="AE32" s="98">
        <v>733.07080601989503</v>
      </c>
      <c r="AF32" s="98">
        <v>0.89856200637079076</v>
      </c>
      <c r="AG32" s="98">
        <v>754.79208535146427</v>
      </c>
      <c r="AH32" s="98">
        <v>1.0070214952063929</v>
      </c>
      <c r="AI32" s="98">
        <v>845.89805597337011</v>
      </c>
      <c r="AJ32" s="98">
        <v>0.97225049582888445</v>
      </c>
      <c r="AK32" s="98">
        <v>816.69041649626297</v>
      </c>
      <c r="AL32" s="98">
        <v>0.95564474397481591</v>
      </c>
      <c r="AM32" s="98">
        <v>802.74158493884534</v>
      </c>
      <c r="AN32" s="98">
        <v>0.94028840557979398</v>
      </c>
      <c r="AO32" s="98">
        <v>789.84226068702696</v>
      </c>
      <c r="AP32" s="98">
        <v>0.96426793319254933</v>
      </c>
      <c r="AQ32" s="98">
        <v>809.98506388174144</v>
      </c>
      <c r="AR32" s="98">
        <v>0.76339492751048132</v>
      </c>
      <c r="AS32" s="98">
        <v>641.25173910880426</v>
      </c>
      <c r="AT32" s="98">
        <v>1.2589466266581715</v>
      </c>
      <c r="AU32" s="98">
        <v>1057.5151663928641</v>
      </c>
      <c r="AV32" s="98">
        <v>0.80971732490898363</v>
      </c>
      <c r="AW32" s="98">
        <v>680.16255292354629</v>
      </c>
      <c r="AX32" s="98">
        <v>0.61383935332635287</v>
      </c>
      <c r="AY32" s="98">
        <v>515.62505679413641</v>
      </c>
      <c r="AZ32" s="98">
        <v>1.0074391191860033</v>
      </c>
      <c r="BA32" s="98">
        <v>846.24886011624278</v>
      </c>
      <c r="BB32" s="98">
        <v>0.59876644948669699</v>
      </c>
      <c r="BC32" s="98">
        <v>502.96381756882545</v>
      </c>
      <c r="BD32" s="98">
        <v>0.67467936095718739</v>
      </c>
      <c r="BE32" s="98">
        <v>566.73066320403746</v>
      </c>
      <c r="BF32" s="98">
        <v>0.85210250653948971</v>
      </c>
      <c r="BG32" s="98">
        <v>715.76610549317138</v>
      </c>
      <c r="BH32" s="98">
        <v>0.72913234537523142</v>
      </c>
      <c r="BI32" s="98">
        <v>612.47117011519435</v>
      </c>
      <c r="BJ32" s="98">
        <v>0.65951016096254078</v>
      </c>
      <c r="BK32" s="98">
        <v>553.98853520853424</v>
      </c>
      <c r="BL32" s="98">
        <v>0.73268866126329257</v>
      </c>
      <c r="BM32" s="98">
        <v>615.45847546116579</v>
      </c>
      <c r="BN32" s="98">
        <v>0.669983164915537</v>
      </c>
      <c r="BO32" s="98">
        <v>562.7858585290511</v>
      </c>
      <c r="BP32" s="98">
        <v>0.67931707658759832</v>
      </c>
      <c r="BQ32" s="98">
        <v>570.62634433358255</v>
      </c>
      <c r="BR32" s="98">
        <v>0.71461223699711507</v>
      </c>
      <c r="BS32" s="98">
        <v>600.27427907757669</v>
      </c>
      <c r="BT32" s="98">
        <v>1.0018493729600197</v>
      </c>
      <c r="BU32" s="98">
        <v>841.55347328641653</v>
      </c>
      <c r="BV32" s="98">
        <v>0.7265951518480982</v>
      </c>
      <c r="BW32" s="98">
        <v>610.33992755240251</v>
      </c>
      <c r="BX32" s="98">
        <v>0.8826055148953037</v>
      </c>
      <c r="BY32" s="98">
        <v>741.3886325120551</v>
      </c>
      <c r="BZ32" s="98">
        <v>0.91487671058335263</v>
      </c>
      <c r="CA32" s="98">
        <v>768.49643689001618</v>
      </c>
      <c r="CB32" s="98">
        <v>0.67161630916717385</v>
      </c>
      <c r="CC32" s="98">
        <v>564.15769970042606</v>
      </c>
      <c r="CD32" s="98">
        <v>0.93658030836594675</v>
      </c>
      <c r="CE32" s="98">
        <v>786.7274590273953</v>
      </c>
      <c r="CF32" s="98">
        <v>0.97208743135614017</v>
      </c>
      <c r="CG32" s="98">
        <v>816.55344233915775</v>
      </c>
      <c r="CH32" s="98">
        <v>0.87804204676734754</v>
      </c>
      <c r="CI32" s="98">
        <v>737.55531928457196</v>
      </c>
      <c r="CJ32" s="98">
        <v>0.89928435757086367</v>
      </c>
      <c r="CK32" s="98">
        <v>755.39886035952543</v>
      </c>
      <c r="CL32" s="98">
        <v>0.72982591396115548</v>
      </c>
      <c r="CM32" s="98">
        <v>613.05376772737065</v>
      </c>
      <c r="CN32" s="98">
        <v>0.86951867068660194</v>
      </c>
      <c r="CO32" s="98">
        <v>730.39568337674564</v>
      </c>
      <c r="CP32" s="98">
        <v>0.81462926914019018</v>
      </c>
      <c r="CQ32" s="98">
        <v>684.28858607775976</v>
      </c>
      <c r="CR32" s="98">
        <v>0.99183700867695879</v>
      </c>
      <c r="CS32" s="98">
        <v>833.14308728864535</v>
      </c>
      <c r="CT32" s="98">
        <v>0.86238974852115846</v>
      </c>
      <c r="CU32" s="98">
        <v>724.40738875777311</v>
      </c>
    </row>
    <row r="33" spans="2:99">
      <c r="C33" s="97" t="s">
        <v>200</v>
      </c>
      <c r="D33" s="98">
        <v>4</v>
      </c>
      <c r="E33" s="98">
        <v>1896</v>
      </c>
      <c r="F33" s="98">
        <v>2.6279086884285094</v>
      </c>
      <c r="G33" s="98">
        <v>1245.6287183151135</v>
      </c>
      <c r="H33" s="98">
        <v>2.5173207305806291</v>
      </c>
      <c r="I33" s="98">
        <v>1193.2100262952181</v>
      </c>
      <c r="J33" s="98">
        <v>0.72256238366539305</v>
      </c>
      <c r="K33" s="98">
        <v>342.4945698573963</v>
      </c>
      <c r="L33" s="98">
        <v>0.88248952458333341</v>
      </c>
      <c r="M33" s="98">
        <v>418.30003465250002</v>
      </c>
      <c r="N33" s="98">
        <v>0.57653932355182935</v>
      </c>
      <c r="O33" s="98">
        <v>273.27963936356713</v>
      </c>
      <c r="P33" s="98">
        <v>0.7633992427191465</v>
      </c>
      <c r="Q33" s="98">
        <v>361.85124104887547</v>
      </c>
      <c r="R33" s="98">
        <v>0.63641071484375011</v>
      </c>
      <c r="S33" s="98">
        <v>301.65867883593756</v>
      </c>
      <c r="T33" s="98">
        <v>0.67262921081046756</v>
      </c>
      <c r="U33" s="98">
        <v>318.82624592416164</v>
      </c>
      <c r="V33" s="98">
        <v>0.85182386542792798</v>
      </c>
      <c r="W33" s="98">
        <v>403.76451221283787</v>
      </c>
      <c r="X33" s="98">
        <v>0.84529647948595144</v>
      </c>
      <c r="Y33" s="98">
        <v>400.67053127634097</v>
      </c>
      <c r="Z33" s="98">
        <v>0.82951657639411835</v>
      </c>
      <c r="AA33" s="98">
        <v>393.19085721081211</v>
      </c>
      <c r="AB33" s="98">
        <v>0.96660997249855962</v>
      </c>
      <c r="AC33" s="98">
        <v>458.17312696431725</v>
      </c>
      <c r="AD33" s="98">
        <v>0.87270334049987508</v>
      </c>
      <c r="AE33" s="98">
        <v>413.66138339694078</v>
      </c>
      <c r="AF33" s="98">
        <v>1.1197737081641927</v>
      </c>
      <c r="AG33" s="98">
        <v>530.77273766982739</v>
      </c>
      <c r="AH33" s="98">
        <v>1.0225475259150918</v>
      </c>
      <c r="AI33" s="98">
        <v>484.68752728375352</v>
      </c>
      <c r="AJ33" s="98">
        <v>0.98446586354228249</v>
      </c>
      <c r="AK33" s="98">
        <v>466.63681931904188</v>
      </c>
      <c r="AL33" s="98">
        <v>0.95564474397481591</v>
      </c>
      <c r="AM33" s="98">
        <v>452.97560864406273</v>
      </c>
      <c r="AN33" s="98">
        <v>0.9227656852901357</v>
      </c>
      <c r="AO33" s="98">
        <v>437.39093482752435</v>
      </c>
      <c r="AP33" s="98">
        <v>0.93276623496095612</v>
      </c>
      <c r="AQ33" s="98">
        <v>442.13119537149322</v>
      </c>
      <c r="AR33" s="98">
        <v>0.74958555726819331</v>
      </c>
      <c r="AS33" s="98">
        <v>355.30355414512366</v>
      </c>
      <c r="AT33" s="98">
        <v>1.2589466266581715</v>
      </c>
      <c r="AU33" s="98">
        <v>596.7407010359733</v>
      </c>
      <c r="AV33" s="98">
        <v>0.96586659294401112</v>
      </c>
      <c r="AW33" s="98">
        <v>457.82076505546127</v>
      </c>
      <c r="AX33" s="98">
        <v>0.82075314515892572</v>
      </c>
      <c r="AY33" s="98">
        <v>389.03699080533079</v>
      </c>
      <c r="AZ33" s="98">
        <v>1.1659878604029432</v>
      </c>
      <c r="BA33" s="98">
        <v>552.67824583099514</v>
      </c>
      <c r="BB33" s="98">
        <v>0.74559836829609061</v>
      </c>
      <c r="BC33" s="98">
        <v>353.41362657234697</v>
      </c>
      <c r="BD33" s="98">
        <v>0.6909156372705807</v>
      </c>
      <c r="BE33" s="98">
        <v>327.49401206625527</v>
      </c>
      <c r="BF33" s="98">
        <v>0.83718164429389308</v>
      </c>
      <c r="BG33" s="98">
        <v>396.82409939530532</v>
      </c>
      <c r="BH33" s="98">
        <v>0.90916925244778501</v>
      </c>
      <c r="BI33" s="98">
        <v>430.94622566025009</v>
      </c>
      <c r="BJ33" s="98">
        <v>0.83803182601628112</v>
      </c>
      <c r="BK33" s="98">
        <v>397.22708553171725</v>
      </c>
      <c r="BL33" s="98">
        <v>0.92470239092702444</v>
      </c>
      <c r="BM33" s="98">
        <v>438.3089332994096</v>
      </c>
      <c r="BN33" s="98">
        <v>0.669983164915537</v>
      </c>
      <c r="BO33" s="98">
        <v>317.57202016996456</v>
      </c>
      <c r="BP33" s="98">
        <v>0.66378733606775431</v>
      </c>
      <c r="BQ33" s="98">
        <v>314.63519729611556</v>
      </c>
      <c r="BR33" s="98">
        <v>0.75426289579239614</v>
      </c>
      <c r="BS33" s="98">
        <v>357.52061260559577</v>
      </c>
      <c r="BT33" s="98">
        <v>0.97803680287280292</v>
      </c>
      <c r="BU33" s="98">
        <v>463.5894445617086</v>
      </c>
      <c r="BV33" s="98">
        <v>0.75786195399394896</v>
      </c>
      <c r="BW33" s="98">
        <v>359.22656619313182</v>
      </c>
      <c r="BX33" s="98">
        <v>1.0394431562644515</v>
      </c>
      <c r="BY33" s="98">
        <v>492.69605606934999</v>
      </c>
      <c r="BZ33" s="98">
        <v>1.1026255306664905</v>
      </c>
      <c r="CA33" s="98">
        <v>522.64450153591645</v>
      </c>
      <c r="CB33" s="98">
        <v>0.68612964904056939</v>
      </c>
      <c r="CC33" s="98">
        <v>325.22545364522989</v>
      </c>
      <c r="CD33" s="98">
        <v>1.0874034005205486</v>
      </c>
      <c r="CE33" s="98">
        <v>515.42921184674003</v>
      </c>
      <c r="CF33" s="98">
        <v>0.95841683070817707</v>
      </c>
      <c r="CG33" s="98">
        <v>454.28957775567591</v>
      </c>
      <c r="CH33" s="98">
        <v>0.86427282463670307</v>
      </c>
      <c r="CI33" s="98">
        <v>409.66531887779723</v>
      </c>
      <c r="CJ33" s="98">
        <v>0.88718913761174634</v>
      </c>
      <c r="CK33" s="98">
        <v>420.52765122796774</v>
      </c>
      <c r="CL33" s="98">
        <v>0.87976996072237501</v>
      </c>
      <c r="CM33" s="98">
        <v>417.01096138240575</v>
      </c>
      <c r="CN33" s="98">
        <v>0.86951867068660194</v>
      </c>
      <c r="CO33" s="98">
        <v>412.1518499054493</v>
      </c>
      <c r="CP33" s="98">
        <v>0.80141829529334818</v>
      </c>
      <c r="CQ33" s="98">
        <v>379.87227196904706</v>
      </c>
      <c r="CR33" s="98">
        <v>1.1862994486673211</v>
      </c>
      <c r="CS33" s="98">
        <v>562.3059386683102</v>
      </c>
      <c r="CT33" s="98">
        <v>0.86238974852115846</v>
      </c>
      <c r="CU33" s="98">
        <v>408.77274079902912</v>
      </c>
    </row>
    <row r="34" spans="2:99">
      <c r="C34" s="97" t="s">
        <v>201</v>
      </c>
      <c r="D34" s="98">
        <v>4</v>
      </c>
      <c r="E34" s="98">
        <v>2193.6</v>
      </c>
      <c r="F34" s="98">
        <v>1.9709315163213821</v>
      </c>
      <c r="G34" s="98">
        <v>1080.8588435506458</v>
      </c>
      <c r="H34" s="98">
        <v>2.5173207305806291</v>
      </c>
      <c r="I34" s="98">
        <v>1380.4986886504169</v>
      </c>
      <c r="J34" s="98">
        <v>0.72256238366539305</v>
      </c>
      <c r="K34" s="98">
        <v>396.25321120210151</v>
      </c>
      <c r="L34" s="98">
        <v>0.88248952458333341</v>
      </c>
      <c r="M34" s="98">
        <v>483.95725528150001</v>
      </c>
      <c r="N34" s="98">
        <v>0.57653932355182935</v>
      </c>
      <c r="O34" s="98">
        <v>316.17416503582319</v>
      </c>
      <c r="P34" s="98">
        <v>0.95424905339893318</v>
      </c>
      <c r="Q34" s="98">
        <v>523.31018088397491</v>
      </c>
      <c r="R34" s="98">
        <v>0.63641071484375011</v>
      </c>
      <c r="S34" s="98">
        <v>349.00763602031253</v>
      </c>
      <c r="T34" s="98">
        <v>0.67262921081046756</v>
      </c>
      <c r="U34" s="98">
        <v>368.86985920846041</v>
      </c>
      <c r="V34" s="98">
        <v>0.85182386542792798</v>
      </c>
      <c r="W34" s="98">
        <v>467.14020780067568</v>
      </c>
      <c r="X34" s="98">
        <v>0.63397235961446363</v>
      </c>
      <c r="Y34" s="98">
        <v>347.67044201257187</v>
      </c>
      <c r="Z34" s="98">
        <v>0.87231237951960383</v>
      </c>
      <c r="AA34" s="98">
        <v>478.37610892855071</v>
      </c>
      <c r="AB34" s="98">
        <v>0.96660997249855962</v>
      </c>
      <c r="AC34" s="98">
        <v>530.08890891821011</v>
      </c>
      <c r="AD34" s="98">
        <v>0.85870546171111772</v>
      </c>
      <c r="AE34" s="98">
        <v>470.91407520237692</v>
      </c>
      <c r="AF34" s="98">
        <v>0.93970760396234232</v>
      </c>
      <c r="AG34" s="98">
        <v>515.33565001294846</v>
      </c>
      <c r="AH34" s="98">
        <v>0.99149546449769399</v>
      </c>
      <c r="AI34" s="98">
        <v>543.73611273053541</v>
      </c>
      <c r="AJ34" s="98">
        <v>0.816889573345981</v>
      </c>
      <c r="AK34" s="98">
        <v>447.98224202293596</v>
      </c>
      <c r="AL34" s="98">
        <v>0.95564474397481591</v>
      </c>
      <c r="AM34" s="98">
        <v>524.07557759578901</v>
      </c>
      <c r="AN34" s="98">
        <v>1.1096503058885236</v>
      </c>
      <c r="AO34" s="98">
        <v>608.53222774926633</v>
      </c>
      <c r="AP34" s="98">
        <v>0.96426793319254933</v>
      </c>
      <c r="AQ34" s="98">
        <v>528.80453456279406</v>
      </c>
      <c r="AR34" s="98">
        <v>0.76339492751048132</v>
      </c>
      <c r="AS34" s="98">
        <v>418.64577824674797</v>
      </c>
      <c r="AT34" s="98">
        <v>1.2589466266581715</v>
      </c>
      <c r="AU34" s="98">
        <v>690.40633005934126</v>
      </c>
      <c r="AV34" s="98">
        <v>0.79288821102090412</v>
      </c>
      <c r="AW34" s="98">
        <v>434.81989492386379</v>
      </c>
      <c r="AX34" s="98">
        <v>0.80408549768715831</v>
      </c>
      <c r="AY34" s="98">
        <v>440.9604869316376</v>
      </c>
      <c r="AZ34" s="98">
        <v>1.0074391191860033</v>
      </c>
      <c r="BA34" s="98">
        <v>552.47961296160418</v>
      </c>
      <c r="BB34" s="98">
        <v>0.58557722506515397</v>
      </c>
      <c r="BC34" s="98">
        <v>321.13055022573042</v>
      </c>
      <c r="BD34" s="98">
        <v>0.6909156372705807</v>
      </c>
      <c r="BE34" s="98">
        <v>378.89813547918646</v>
      </c>
      <c r="BF34" s="98">
        <v>1.0416378811638736</v>
      </c>
      <c r="BG34" s="98">
        <v>571.23421403026828</v>
      </c>
      <c r="BH34" s="98">
        <v>0.90916925244778501</v>
      </c>
      <c r="BI34" s="98">
        <v>498.58841804236528</v>
      </c>
      <c r="BJ34" s="98">
        <v>0.8256373094361491</v>
      </c>
      <c r="BK34" s="98">
        <v>452.77950049478414</v>
      </c>
      <c r="BL34" s="98">
        <v>0.94036713815423434</v>
      </c>
      <c r="BM34" s="98">
        <v>515.69733856378207</v>
      </c>
      <c r="BN34" s="98">
        <v>0.669983164915537</v>
      </c>
      <c r="BO34" s="98">
        <v>367.41876763968048</v>
      </c>
      <c r="BP34" s="98">
        <v>0.66378733606775431</v>
      </c>
      <c r="BQ34" s="98">
        <v>364.02097509955644</v>
      </c>
      <c r="BR34" s="98">
        <v>0.74104600952730248</v>
      </c>
      <c r="BS34" s="98">
        <v>406.38963162477268</v>
      </c>
      <c r="BT34" s="98">
        <v>0.98994308791641139</v>
      </c>
      <c r="BU34" s="98">
        <v>542.88478941335995</v>
      </c>
      <c r="BV34" s="98">
        <v>0.7265951518480982</v>
      </c>
      <c r="BW34" s="98">
        <v>398.46478127349701</v>
      </c>
      <c r="BX34" s="98">
        <v>1.0694731503137116</v>
      </c>
      <c r="BY34" s="98">
        <v>586.49907563203942</v>
      </c>
      <c r="BZ34" s="98">
        <v>1.0877272188255087</v>
      </c>
      <c r="CA34" s="98">
        <v>596.50960680390892</v>
      </c>
      <c r="CB34" s="98">
        <v>0.68612964904056939</v>
      </c>
      <c r="CC34" s="98">
        <v>376.27349953384822</v>
      </c>
      <c r="CD34" s="98">
        <v>0.92376154145257994</v>
      </c>
      <c r="CE34" s="98">
        <v>506.59082933259481</v>
      </c>
      <c r="CF34" s="98">
        <v>0.95841683070817707</v>
      </c>
      <c r="CG34" s="98">
        <v>525.5957899603643</v>
      </c>
      <c r="CH34" s="98">
        <v>0.86427282463670307</v>
      </c>
      <c r="CI34" s="98">
        <v>473.96721703076793</v>
      </c>
      <c r="CJ34" s="98">
        <v>0.91137957752998111</v>
      </c>
      <c r="CK34" s="98">
        <v>499.80056031744164</v>
      </c>
      <c r="CL34" s="98">
        <v>0.74255290367376903</v>
      </c>
      <c r="CM34" s="98">
        <v>407.21601237469491</v>
      </c>
      <c r="CN34" s="98">
        <v>0.88650300124393999</v>
      </c>
      <c r="CO34" s="98">
        <v>486.15824588217669</v>
      </c>
      <c r="CP34" s="98">
        <v>0.80141829529334818</v>
      </c>
      <c r="CQ34" s="98">
        <v>439.49779313887211</v>
      </c>
      <c r="CR34" s="98">
        <v>1.005211211721678</v>
      </c>
      <c r="CS34" s="98">
        <v>551.25782850816825</v>
      </c>
      <c r="CT34" s="98">
        <v>1.0279128782611076</v>
      </c>
      <c r="CU34" s="98">
        <v>563.7074224383914</v>
      </c>
    </row>
    <row r="35" spans="2:99">
      <c r="C35" s="97" t="s">
        <v>202</v>
      </c>
      <c r="D35" s="98">
        <v>4</v>
      </c>
      <c r="E35" s="98">
        <v>2011.1999999999996</v>
      </c>
      <c r="F35" s="98">
        <v>2.6279086884285094</v>
      </c>
      <c r="G35" s="98">
        <v>1321.3124885418542</v>
      </c>
      <c r="H35" s="98">
        <v>2.5173207305806291</v>
      </c>
      <c r="I35" s="98">
        <v>1265.7088633359401</v>
      </c>
      <c r="J35" s="98">
        <v>0.96341651155385732</v>
      </c>
      <c r="K35" s="98">
        <v>484.40582200927935</v>
      </c>
      <c r="L35" s="98">
        <v>0.88248952458333341</v>
      </c>
      <c r="M35" s="98">
        <v>443.71573296049996</v>
      </c>
      <c r="N35" s="98">
        <v>0.57653932355182935</v>
      </c>
      <c r="O35" s="98">
        <v>289.88397188185974</v>
      </c>
      <c r="P35" s="98">
        <v>0.7633992427191465</v>
      </c>
      <c r="Q35" s="98">
        <v>383.8371392391868</v>
      </c>
      <c r="R35" s="98">
        <v>0.63641071484375011</v>
      </c>
      <c r="S35" s="98">
        <v>319.98730742343747</v>
      </c>
      <c r="T35" s="98">
        <v>0.67262921081046756</v>
      </c>
      <c r="U35" s="98">
        <v>338.197967195503</v>
      </c>
      <c r="V35" s="98">
        <v>0.85182386542792798</v>
      </c>
      <c r="W35" s="98">
        <v>428.29703953716211</v>
      </c>
      <c r="X35" s="98">
        <v>0.84529647948595144</v>
      </c>
      <c r="Y35" s="98">
        <v>425.01506988553632</v>
      </c>
      <c r="Z35" s="98">
        <v>0.68853109416011538</v>
      </c>
      <c r="AA35" s="98">
        <v>346.19343414370593</v>
      </c>
      <c r="AB35" s="98">
        <v>0.94916466665741461</v>
      </c>
      <c r="AC35" s="98">
        <v>477.23999439534799</v>
      </c>
      <c r="AD35" s="98">
        <v>0.87270334049987508</v>
      </c>
      <c r="AE35" s="98">
        <v>438.79523960333711</v>
      </c>
      <c r="AF35" s="98">
        <v>0.93970760396234232</v>
      </c>
      <c r="AG35" s="98">
        <v>472.48498327226559</v>
      </c>
      <c r="AH35" s="98">
        <v>1.0070214952063929</v>
      </c>
      <c r="AI35" s="98">
        <v>506.33040778977426</v>
      </c>
      <c r="AJ35" s="98">
        <v>0.98446586354228249</v>
      </c>
      <c r="AK35" s="98">
        <v>494.98943618905952</v>
      </c>
      <c r="AL35" s="98">
        <v>0.97078742235607829</v>
      </c>
      <c r="AM35" s="98">
        <v>488.11191596063605</v>
      </c>
      <c r="AN35" s="98">
        <v>1.127173026178182</v>
      </c>
      <c r="AO35" s="98">
        <v>566.74259756238985</v>
      </c>
      <c r="AP35" s="98">
        <v>0.93276623496095612</v>
      </c>
      <c r="AQ35" s="98">
        <v>468.99486293836867</v>
      </c>
      <c r="AR35" s="98">
        <v>0.77720429775276922</v>
      </c>
      <c r="AS35" s="98">
        <v>390.7783209100923</v>
      </c>
      <c r="AT35" s="98">
        <v>1.2413374329455586</v>
      </c>
      <c r="AU35" s="98">
        <v>624.14446128502675</v>
      </c>
      <c r="AV35" s="98">
        <v>0.96586659294401112</v>
      </c>
      <c r="AW35" s="98">
        <v>485.63772293224866</v>
      </c>
      <c r="AX35" s="98">
        <v>0.80408549768715831</v>
      </c>
      <c r="AY35" s="98">
        <v>404.29418823710313</v>
      </c>
      <c r="AZ35" s="98">
        <v>1.1772876189872221</v>
      </c>
      <c r="BA35" s="98">
        <v>591.9402148267751</v>
      </c>
      <c r="BB35" s="98">
        <v>0.74559836829609061</v>
      </c>
      <c r="BC35" s="98">
        <v>374.8868595792743</v>
      </c>
      <c r="BD35" s="98">
        <v>0.6909156372705807</v>
      </c>
      <c r="BE35" s="98">
        <v>347.3923824196479</v>
      </c>
      <c r="BF35" s="98">
        <v>1.0267170189182768</v>
      </c>
      <c r="BG35" s="98">
        <v>516.23331711210949</v>
      </c>
      <c r="BH35" s="98">
        <v>0.72913234537523142</v>
      </c>
      <c r="BI35" s="98">
        <v>366.60774325466627</v>
      </c>
      <c r="BJ35" s="98">
        <v>0.83803182601628112</v>
      </c>
      <c r="BK35" s="98">
        <v>421.36240212098608</v>
      </c>
      <c r="BL35" s="98">
        <v>0.74835340849050236</v>
      </c>
      <c r="BM35" s="98">
        <v>376.2720937890245</v>
      </c>
      <c r="BN35" s="98">
        <v>0.669983164915537</v>
      </c>
      <c r="BO35" s="98">
        <v>336.86753531953195</v>
      </c>
      <c r="BP35" s="98">
        <v>0.66378733606775431</v>
      </c>
      <c r="BQ35" s="98">
        <v>333.75227257486682</v>
      </c>
      <c r="BR35" s="98">
        <v>0.75426289579239614</v>
      </c>
      <c r="BS35" s="98">
        <v>379.24338400441673</v>
      </c>
      <c r="BT35" s="98">
        <v>1.0018493729600197</v>
      </c>
      <c r="BU35" s="98">
        <v>503.72986472429784</v>
      </c>
      <c r="BV35" s="98">
        <v>0.74222855292102352</v>
      </c>
      <c r="BW35" s="98">
        <v>373.19251640869055</v>
      </c>
      <c r="BX35" s="98">
        <v>1.0544581532890815</v>
      </c>
      <c r="BY35" s="98">
        <v>530.1815594737501</v>
      </c>
      <c r="BZ35" s="98">
        <v>0.91487671058335263</v>
      </c>
      <c r="CA35" s="98">
        <v>460.0000100813096</v>
      </c>
      <c r="CB35" s="98">
        <v>0.67161630916717385</v>
      </c>
      <c r="CC35" s="98">
        <v>337.68868024925496</v>
      </c>
      <c r="CD35" s="98">
        <v>0.89812400762584621</v>
      </c>
      <c r="CE35" s="98">
        <v>451.57675103427539</v>
      </c>
      <c r="CF35" s="98">
        <v>0.95841683070817707</v>
      </c>
      <c r="CG35" s="98">
        <v>481.89198248007131</v>
      </c>
      <c r="CH35" s="98">
        <v>0.87804204676734754</v>
      </c>
      <c r="CI35" s="98">
        <v>441.47954111462224</v>
      </c>
      <c r="CJ35" s="98">
        <v>0.89928435757086367</v>
      </c>
      <c r="CK35" s="98">
        <v>452.16017498663018</v>
      </c>
      <c r="CL35" s="98">
        <v>0.87976996072237501</v>
      </c>
      <c r="CM35" s="98">
        <v>442.34833625121007</v>
      </c>
      <c r="CN35" s="98">
        <v>0.86951867068660194</v>
      </c>
      <c r="CO35" s="98">
        <v>437.19398762122336</v>
      </c>
      <c r="CP35" s="98">
        <v>0.78820732144650618</v>
      </c>
      <c r="CQ35" s="98">
        <v>396.31064122330321</v>
      </c>
      <c r="CR35" s="98">
        <v>1.0185854147663975</v>
      </c>
      <c r="CS35" s="98">
        <v>512.14474654454455</v>
      </c>
      <c r="CT35" s="98">
        <v>0.86238974852115846</v>
      </c>
      <c r="CU35" s="98">
        <v>433.60956555643838</v>
      </c>
    </row>
    <row r="36" spans="2:99">
      <c r="C36" s="97" t="s">
        <v>203</v>
      </c>
      <c r="D36" s="98">
        <v>4</v>
      </c>
      <c r="E36" s="98">
        <v>3043.2</v>
      </c>
      <c r="F36" s="98">
        <v>2.6279086884285094</v>
      </c>
      <c r="G36" s="98">
        <v>1999.3129301564099</v>
      </c>
      <c r="H36" s="98">
        <v>2.5173207305806291</v>
      </c>
      <c r="I36" s="98">
        <v>1915.1776118257426</v>
      </c>
      <c r="J36" s="98">
        <v>0.72256238366539305</v>
      </c>
      <c r="K36" s="98">
        <v>549.72546149263098</v>
      </c>
      <c r="L36" s="98">
        <v>0.88248952458333341</v>
      </c>
      <c r="M36" s="98">
        <v>671.39803030300004</v>
      </c>
      <c r="N36" s="98">
        <v>0.57653932355182935</v>
      </c>
      <c r="O36" s="98">
        <v>438.63111735823173</v>
      </c>
      <c r="P36" s="98">
        <v>0.7633992427191465</v>
      </c>
      <c r="Q36" s="98">
        <v>580.79414386072665</v>
      </c>
      <c r="R36" s="98">
        <v>0.63641071484375011</v>
      </c>
      <c r="S36" s="98">
        <v>484.18127185312505</v>
      </c>
      <c r="T36" s="98">
        <v>0.67262921081046756</v>
      </c>
      <c r="U36" s="98">
        <v>511.73630358460366</v>
      </c>
      <c r="V36" s="98">
        <v>0.85182386542792798</v>
      </c>
      <c r="W36" s="98">
        <v>648.06759681756762</v>
      </c>
      <c r="X36" s="98">
        <v>0.84529647948595144</v>
      </c>
      <c r="Y36" s="98">
        <v>643.10156159291182</v>
      </c>
      <c r="Z36" s="98">
        <v>0.85091447795686104</v>
      </c>
      <c r="AA36" s="98">
        <v>647.37573482957987</v>
      </c>
      <c r="AB36" s="98">
        <v>0.98405527833970463</v>
      </c>
      <c r="AC36" s="98">
        <v>748.66925576084725</v>
      </c>
      <c r="AD36" s="98">
        <v>0.87270334049987508</v>
      </c>
      <c r="AE36" s="98">
        <v>663.95270145230495</v>
      </c>
      <c r="AF36" s="98">
        <v>0.91227720556797465</v>
      </c>
      <c r="AG36" s="98">
        <v>694.06049799611503</v>
      </c>
      <c r="AH36" s="98">
        <v>0.82735363915729276</v>
      </c>
      <c r="AI36" s="98">
        <v>629.4506486708683</v>
      </c>
      <c r="AJ36" s="98">
        <v>0.98446586354228249</v>
      </c>
      <c r="AK36" s="98">
        <v>748.98162898296846</v>
      </c>
      <c r="AL36" s="98">
        <v>0.97078742235607829</v>
      </c>
      <c r="AM36" s="98">
        <v>738.57507092850437</v>
      </c>
      <c r="AN36" s="98">
        <v>1.1096503058885236</v>
      </c>
      <c r="AO36" s="98">
        <v>844.22195271998874</v>
      </c>
      <c r="AP36" s="98">
        <v>0.96426793319254933</v>
      </c>
      <c r="AQ36" s="98">
        <v>733.61504357289152</v>
      </c>
      <c r="AR36" s="98">
        <v>0.77720429775276922</v>
      </c>
      <c r="AS36" s="98">
        <v>591.2970297303068</v>
      </c>
      <c r="AT36" s="98">
        <v>1.0670285599494209</v>
      </c>
      <c r="AU36" s="98">
        <v>811.79532840951936</v>
      </c>
      <c r="AV36" s="98">
        <v>0.77605909713282484</v>
      </c>
      <c r="AW36" s="98">
        <v>590.42576109865308</v>
      </c>
      <c r="AX36" s="98">
        <v>0.80408549768715831</v>
      </c>
      <c r="AY36" s="98">
        <v>611.74824664038999</v>
      </c>
      <c r="AZ36" s="98">
        <v>0.98483960201744503</v>
      </c>
      <c r="BA36" s="98">
        <v>749.26596921487214</v>
      </c>
      <c r="BB36" s="98">
        <v>0.58557722506515397</v>
      </c>
      <c r="BC36" s="98">
        <v>445.50715282956912</v>
      </c>
      <c r="BD36" s="98">
        <v>0.67467936095718739</v>
      </c>
      <c r="BE36" s="98">
        <v>513.29605781622809</v>
      </c>
      <c r="BF36" s="98">
        <v>1.0117961566726801</v>
      </c>
      <c r="BG36" s="98">
        <v>769.77451599657491</v>
      </c>
      <c r="BH36" s="98">
        <v>0.88396636922677552</v>
      </c>
      <c r="BI36" s="98">
        <v>672.52161370773081</v>
      </c>
      <c r="BJ36" s="98">
        <v>0.81324279285601708</v>
      </c>
      <c r="BK36" s="98">
        <v>618.71511680485776</v>
      </c>
      <c r="BL36" s="98">
        <v>0.90903764369981477</v>
      </c>
      <c r="BM36" s="98">
        <v>691.59583932681903</v>
      </c>
      <c r="BN36" s="98">
        <v>0.669983164915537</v>
      </c>
      <c r="BO36" s="98">
        <v>509.72319186774052</v>
      </c>
      <c r="BP36" s="98">
        <v>0.66378733606775431</v>
      </c>
      <c r="BQ36" s="98">
        <v>505.00940528034744</v>
      </c>
      <c r="BR36" s="98">
        <v>0.72782912326220883</v>
      </c>
      <c r="BS36" s="98">
        <v>553.73239697788847</v>
      </c>
      <c r="BT36" s="98">
        <v>0.98994308791641139</v>
      </c>
      <c r="BU36" s="98">
        <v>753.1487012868057</v>
      </c>
      <c r="BV36" s="98">
        <v>0.74222855292102352</v>
      </c>
      <c r="BW36" s="98">
        <v>564.68748306231464</v>
      </c>
      <c r="BX36" s="98">
        <v>1.0694731503137116</v>
      </c>
      <c r="BY36" s="98">
        <v>813.65517275867171</v>
      </c>
      <c r="BZ36" s="98">
        <v>0.91487671058335263</v>
      </c>
      <c r="CA36" s="98">
        <v>696.03820141181461</v>
      </c>
      <c r="CB36" s="98">
        <v>0.67161630916717385</v>
      </c>
      <c r="CC36" s="98">
        <v>510.96568801438582</v>
      </c>
      <c r="CD36" s="98">
        <v>0.93658030836594675</v>
      </c>
      <c r="CE36" s="98">
        <v>712.55029860481227</v>
      </c>
      <c r="CF36" s="98">
        <v>0.95841683070817707</v>
      </c>
      <c r="CG36" s="98">
        <v>729.16352480278113</v>
      </c>
      <c r="CH36" s="98">
        <v>0.8505036025060585</v>
      </c>
      <c r="CI36" s="98">
        <v>647.06314078660921</v>
      </c>
      <c r="CJ36" s="98">
        <v>0.88718913761174634</v>
      </c>
      <c r="CK36" s="98">
        <v>674.97349589501653</v>
      </c>
      <c r="CL36" s="98">
        <v>0.71709892424854205</v>
      </c>
      <c r="CM36" s="98">
        <v>545.5688615682908</v>
      </c>
      <c r="CN36" s="98">
        <v>0.86951867068660194</v>
      </c>
      <c r="CO36" s="98">
        <v>661.52980465836674</v>
      </c>
      <c r="CP36" s="98">
        <v>0.80141829529334818</v>
      </c>
      <c r="CQ36" s="98">
        <v>609.71903905917929</v>
      </c>
      <c r="CR36" s="98">
        <v>1.005211211721678</v>
      </c>
      <c r="CS36" s="98">
        <v>764.76468987785256</v>
      </c>
      <c r="CT36" s="98">
        <v>0.84698226932413079</v>
      </c>
      <c r="CU36" s="98">
        <v>644.38411050179866</v>
      </c>
    </row>
    <row r="37" spans="2:99">
      <c r="B37" s="97" t="s">
        <v>128</v>
      </c>
      <c r="C37" s="97" t="s">
        <v>204</v>
      </c>
      <c r="D37" s="98">
        <v>6</v>
      </c>
      <c r="E37" s="98">
        <v>5162.3999999999996</v>
      </c>
      <c r="F37" s="98">
        <v>3.2848858605356366</v>
      </c>
      <c r="G37" s="98">
        <v>2826.3157944048617</v>
      </c>
      <c r="H37" s="98">
        <v>3.7759810958709434</v>
      </c>
      <c r="I37" s="98">
        <v>3248.8541348873596</v>
      </c>
      <c r="J37" s="98">
        <v>0.96341651155385732</v>
      </c>
      <c r="K37" s="98">
        <v>828.92356654093885</v>
      </c>
      <c r="L37" s="98">
        <v>1.1031119057291667</v>
      </c>
      <c r="M37" s="98">
        <v>949.11748368937504</v>
      </c>
      <c r="N37" s="98">
        <v>1.3452584216209351</v>
      </c>
      <c r="O37" s="98">
        <v>1157.4603459626526</v>
      </c>
      <c r="P37" s="98">
        <v>1.526798485438293</v>
      </c>
      <c r="Q37" s="98">
        <v>1313.6574168711072</v>
      </c>
      <c r="R37" s="98">
        <v>1.4849583346354169</v>
      </c>
      <c r="S37" s="98">
        <v>1277.6581511203126</v>
      </c>
      <c r="T37" s="98">
        <v>1.3452584216209351</v>
      </c>
      <c r="U37" s="98">
        <v>1157.4603459626526</v>
      </c>
      <c r="V37" s="98">
        <v>1.277735798141892</v>
      </c>
      <c r="W37" s="98">
        <v>1099.3638807212837</v>
      </c>
      <c r="X37" s="98">
        <v>1.2679447192289273</v>
      </c>
      <c r="Y37" s="98">
        <v>1090.939636424569</v>
      </c>
      <c r="Z37" s="98">
        <v>1.3632607750621928</v>
      </c>
      <c r="AA37" s="98">
        <v>1172.9495708635106</v>
      </c>
      <c r="AB37" s="98">
        <v>0.94916466665741461</v>
      </c>
      <c r="AC37" s="98">
        <v>816.6612791920395</v>
      </c>
      <c r="AD37" s="98">
        <v>1.0990868289184512</v>
      </c>
      <c r="AE37" s="98">
        <v>945.65430760143545</v>
      </c>
      <c r="AF37" s="98">
        <v>1.4250451197791578</v>
      </c>
      <c r="AG37" s="98">
        <v>1226.1088210579874</v>
      </c>
      <c r="AH37" s="98">
        <v>0.81182760844859381</v>
      </c>
      <c r="AI37" s="98">
        <v>698.49647430917014</v>
      </c>
      <c r="AJ37" s="98">
        <v>1.2341108699410999</v>
      </c>
      <c r="AK37" s="98">
        <v>1061.8289924973224</v>
      </c>
      <c r="AL37" s="98">
        <v>0.89507403044976674</v>
      </c>
      <c r="AM37" s="98">
        <v>770.12169579897932</v>
      </c>
      <c r="AN37" s="98">
        <v>1.0746048653092068</v>
      </c>
      <c r="AO37" s="98">
        <v>924.59002611204153</v>
      </c>
      <c r="AP37" s="98">
        <v>1.2337654367255695</v>
      </c>
      <c r="AQ37" s="98">
        <v>1061.5317817586799</v>
      </c>
      <c r="AR37" s="98">
        <v>0.93352960402466967</v>
      </c>
      <c r="AS37" s="98">
        <v>803.20887130282574</v>
      </c>
      <c r="AT37" s="98">
        <v>1.0828546895320428</v>
      </c>
      <c r="AU37" s="98">
        <v>931.68817487336958</v>
      </c>
      <c r="AV37" s="98">
        <v>1.0715285193148005</v>
      </c>
      <c r="AW37" s="98">
        <v>921.94313801845431</v>
      </c>
      <c r="AX37" s="98">
        <v>1.1345748439934675</v>
      </c>
      <c r="AY37" s="98">
        <v>976.18819577197939</v>
      </c>
      <c r="AZ37" s="98">
        <v>0.78109182646338848</v>
      </c>
      <c r="BA37" s="98">
        <v>672.05140748909946</v>
      </c>
      <c r="BB37" s="98">
        <v>1.1333372270380992</v>
      </c>
      <c r="BC37" s="98">
        <v>975.12335014358052</v>
      </c>
      <c r="BD37" s="98">
        <v>1.1220508535268661</v>
      </c>
      <c r="BE37" s="98">
        <v>965.41255437451559</v>
      </c>
      <c r="BF37" s="98">
        <v>0.89242925870790613</v>
      </c>
      <c r="BG37" s="98">
        <v>767.84613419228242</v>
      </c>
      <c r="BH37" s="98">
        <v>1.452896698190933</v>
      </c>
      <c r="BI37" s="98">
        <v>1250.0723191234788</v>
      </c>
      <c r="BJ37" s="98">
        <v>1.3538062209491311</v>
      </c>
      <c r="BK37" s="98">
        <v>1164.8148725046324</v>
      </c>
      <c r="BL37" s="98">
        <v>1.536109837309855</v>
      </c>
      <c r="BM37" s="98">
        <v>1321.6689040213992</v>
      </c>
      <c r="BN37" s="98">
        <v>1.183730360707419</v>
      </c>
      <c r="BO37" s="98">
        <v>1018.4816023526632</v>
      </c>
      <c r="BP37" s="98">
        <v>1.310714429520484</v>
      </c>
      <c r="BQ37" s="98">
        <v>1127.7386951594244</v>
      </c>
      <c r="BR37" s="98">
        <v>1.0988023173668882</v>
      </c>
      <c r="BS37" s="98">
        <v>945.40951386247059</v>
      </c>
      <c r="BT37" s="98">
        <v>0.87088023748032761</v>
      </c>
      <c r="BU37" s="98">
        <v>749.30535632807391</v>
      </c>
      <c r="BV37" s="98">
        <v>1.0390245079446507</v>
      </c>
      <c r="BW37" s="98">
        <v>893.97668663557749</v>
      </c>
      <c r="BX37" s="98">
        <v>1.1812658006089687</v>
      </c>
      <c r="BY37" s="98">
        <v>1016.3610948439566</v>
      </c>
      <c r="BZ37" s="98">
        <v>1.3142417405819649</v>
      </c>
      <c r="CA37" s="98">
        <v>1130.7735935967225</v>
      </c>
      <c r="CB37" s="98">
        <v>1.0384524809930384</v>
      </c>
      <c r="CC37" s="98">
        <v>893.48451464641028</v>
      </c>
      <c r="CD37" s="98">
        <v>0.94639696447351307</v>
      </c>
      <c r="CE37" s="98">
        <v>814.2799482330106</v>
      </c>
      <c r="CF37" s="98">
        <v>1.2816329201404111</v>
      </c>
      <c r="CG37" s="98">
        <v>1102.7169644888097</v>
      </c>
      <c r="CH37" s="98">
        <v>1.2148520094248616</v>
      </c>
      <c r="CI37" s="98">
        <v>1045.2586689091509</v>
      </c>
      <c r="CJ37" s="98">
        <v>1.1433077970512995</v>
      </c>
      <c r="CK37" s="98">
        <v>983.70202858293806</v>
      </c>
      <c r="CL37" s="98">
        <v>1.2277861833051256</v>
      </c>
      <c r="CM37" s="98">
        <v>1056.3872321157301</v>
      </c>
      <c r="CN37" s="98">
        <v>1.1208340603691356</v>
      </c>
      <c r="CO37" s="98">
        <v>964.36562554160423</v>
      </c>
      <c r="CP37" s="98">
        <v>1.0898341652418644</v>
      </c>
      <c r="CQ37" s="98">
        <v>937.69331577410014</v>
      </c>
      <c r="CR37" s="98">
        <v>1.0124348090859692</v>
      </c>
      <c r="CS37" s="98">
        <v>871.09890973756785</v>
      </c>
      <c r="CT37" s="98">
        <v>1.3281441793469504</v>
      </c>
      <c r="CU37" s="98">
        <v>1142.7352519101162</v>
      </c>
    </row>
    <row r="38" spans="2:99">
      <c r="C38" s="97" t="s">
        <v>205</v>
      </c>
      <c r="D38" s="98">
        <v>5</v>
      </c>
      <c r="E38" s="98">
        <v>6210</v>
      </c>
      <c r="F38" s="98">
        <v>3.2848858605356366</v>
      </c>
      <c r="G38" s="98">
        <v>4079.8282387852605</v>
      </c>
      <c r="H38" s="98">
        <v>4.405311278516101</v>
      </c>
      <c r="I38" s="98">
        <v>5471.3966079169977</v>
      </c>
      <c r="J38" s="98">
        <v>1.2042706394423217</v>
      </c>
      <c r="K38" s="98">
        <v>1495.7041341873635</v>
      </c>
      <c r="L38" s="98">
        <v>1.3237342868750002</v>
      </c>
      <c r="M38" s="98">
        <v>1644.0779842987502</v>
      </c>
      <c r="N38" s="98">
        <v>1.3452584216209351</v>
      </c>
      <c r="O38" s="98">
        <v>1670.8109596532015</v>
      </c>
      <c r="P38" s="98">
        <v>1.3359486747585063</v>
      </c>
      <c r="Q38" s="98">
        <v>1659.2482540500648</v>
      </c>
      <c r="R38" s="98">
        <v>1.2728214296875002</v>
      </c>
      <c r="S38" s="98">
        <v>1580.8442156718752</v>
      </c>
      <c r="T38" s="98">
        <v>1.1210486846841126</v>
      </c>
      <c r="U38" s="98">
        <v>1392.3424663776677</v>
      </c>
      <c r="V38" s="98">
        <v>1.277735798141892</v>
      </c>
      <c r="W38" s="98">
        <v>1586.9478612922298</v>
      </c>
      <c r="X38" s="98">
        <v>1.2679447192289273</v>
      </c>
      <c r="Y38" s="98">
        <v>1574.7873412823276</v>
      </c>
      <c r="Z38" s="98">
        <v>1.3632607750621928</v>
      </c>
      <c r="AA38" s="98">
        <v>1693.1698826272434</v>
      </c>
      <c r="AB38" s="98">
        <v>1.1384812422586199</v>
      </c>
      <c r="AC38" s="98">
        <v>1413.9937028852059</v>
      </c>
      <c r="AD38" s="98">
        <v>1.1130847077072086</v>
      </c>
      <c r="AE38" s="98">
        <v>1382.451206972353</v>
      </c>
      <c r="AF38" s="98">
        <v>1.2312638163801237</v>
      </c>
      <c r="AG38" s="98">
        <v>1529.2296599441136</v>
      </c>
      <c r="AH38" s="98">
        <v>0.81182760844859381</v>
      </c>
      <c r="AI38" s="98">
        <v>1008.2898896931536</v>
      </c>
      <c r="AJ38" s="98">
        <v>1.2341108699410999</v>
      </c>
      <c r="AK38" s="98">
        <v>1532.7657004668461</v>
      </c>
      <c r="AL38" s="98">
        <v>0.87993135206850448</v>
      </c>
      <c r="AM38" s="98">
        <v>1092.8747392690825</v>
      </c>
      <c r="AN38" s="98">
        <v>1.2439667656179367</v>
      </c>
      <c r="AO38" s="98">
        <v>1545.0067228974774</v>
      </c>
      <c r="AP38" s="98">
        <v>1.4000158867236729</v>
      </c>
      <c r="AQ38" s="98">
        <v>1738.8197313108019</v>
      </c>
      <c r="AR38" s="98">
        <v>0.93352960402466967</v>
      </c>
      <c r="AS38" s="98">
        <v>1159.4437681986396</v>
      </c>
      <c r="AT38" s="98">
        <v>1.1004638832446558</v>
      </c>
      <c r="AU38" s="98">
        <v>1366.7761429898626</v>
      </c>
      <c r="AV38" s="98">
        <v>1.0546994054267209</v>
      </c>
      <c r="AW38" s="98">
        <v>1309.9366615399874</v>
      </c>
      <c r="AX38" s="98">
        <v>1.1345748439934675</v>
      </c>
      <c r="AY38" s="98">
        <v>1409.1419562398867</v>
      </c>
      <c r="AZ38" s="98">
        <v>0.91704105051177043</v>
      </c>
      <c r="BA38" s="98">
        <v>1138.9649847356188</v>
      </c>
      <c r="BB38" s="98">
        <v>1.2801691458474926</v>
      </c>
      <c r="BC38" s="98">
        <v>1589.9700791425857</v>
      </c>
      <c r="BD38" s="98">
        <v>1.1058145772134724</v>
      </c>
      <c r="BE38" s="98">
        <v>1373.4217048991327</v>
      </c>
      <c r="BF38" s="98">
        <v>1.0968854955778866</v>
      </c>
      <c r="BG38" s="98">
        <v>1362.3317855077353</v>
      </c>
      <c r="BH38" s="98">
        <v>1.2980626743393888</v>
      </c>
      <c r="BI38" s="98">
        <v>1612.193841529521</v>
      </c>
      <c r="BJ38" s="98">
        <v>1.1876790724755226</v>
      </c>
      <c r="BK38" s="98">
        <v>1475.0974080145991</v>
      </c>
      <c r="BL38" s="98">
        <v>1.3440961076461231</v>
      </c>
      <c r="BM38" s="98">
        <v>1669.367365696485</v>
      </c>
      <c r="BN38" s="98">
        <v>1.3406344364625522</v>
      </c>
      <c r="BO38" s="98">
        <v>1665.0679700864898</v>
      </c>
      <c r="BP38" s="98">
        <v>1.2951846890006398</v>
      </c>
      <c r="BQ38" s="98">
        <v>1608.6193837387946</v>
      </c>
      <c r="BR38" s="98">
        <v>0.93549392720338065</v>
      </c>
      <c r="BS38" s="98">
        <v>1161.8834575865988</v>
      </c>
      <c r="BT38" s="98">
        <v>1.0355312569415065</v>
      </c>
      <c r="BU38" s="98">
        <v>1286.1298211213511</v>
      </c>
      <c r="BV38" s="98">
        <v>1.0077577057988001</v>
      </c>
      <c r="BW38" s="98">
        <v>1251.6350706021096</v>
      </c>
      <c r="BX38" s="98">
        <v>1.1812658006089687</v>
      </c>
      <c r="BY38" s="98">
        <v>1467.1321243563391</v>
      </c>
      <c r="BZ38" s="98">
        <v>1.1562895441807908</v>
      </c>
      <c r="CA38" s="98">
        <v>1436.1116138725422</v>
      </c>
      <c r="CB38" s="98">
        <v>1.0239391411196428</v>
      </c>
      <c r="CC38" s="98">
        <v>1271.7324132705965</v>
      </c>
      <c r="CD38" s="98">
        <v>0.93357819756014626</v>
      </c>
      <c r="CE38" s="98">
        <v>1159.5041213697016</v>
      </c>
      <c r="CF38" s="98">
        <v>1.2816329201404111</v>
      </c>
      <c r="CG38" s="98">
        <v>1591.7880868143905</v>
      </c>
      <c r="CH38" s="98">
        <v>1.2010827872942171</v>
      </c>
      <c r="CI38" s="98">
        <v>1491.7448218194177</v>
      </c>
      <c r="CJ38" s="98">
        <v>1.1312125770921821</v>
      </c>
      <c r="CK38" s="98">
        <v>1404.9660207484903</v>
      </c>
      <c r="CL38" s="98">
        <v>1.2277861833051256</v>
      </c>
      <c r="CM38" s="98">
        <v>1524.9104396649659</v>
      </c>
      <c r="CN38" s="98">
        <v>1.1038497298117975</v>
      </c>
      <c r="CO38" s="98">
        <v>1370.9813644262524</v>
      </c>
      <c r="CP38" s="98">
        <v>1.2472530740629648</v>
      </c>
      <c r="CQ38" s="98">
        <v>1549.0883179862024</v>
      </c>
      <c r="CR38" s="98">
        <v>0.81797236909560711</v>
      </c>
      <c r="CS38" s="98">
        <v>1015.921682416744</v>
      </c>
      <c r="CT38" s="98">
        <v>1.1318060912129455</v>
      </c>
      <c r="CU38" s="98">
        <v>1405.7031652864782</v>
      </c>
    </row>
    <row r="39" spans="2:99">
      <c r="C39" s="97" t="s">
        <v>206</v>
      </c>
      <c r="D39" s="98">
        <v>6</v>
      </c>
      <c r="E39" s="98">
        <v>8539.2000000000007</v>
      </c>
      <c r="F39" s="98">
        <v>2.6279086884285094</v>
      </c>
      <c r="G39" s="98">
        <v>3740.0396453714548</v>
      </c>
      <c r="H39" s="98">
        <v>3.7759810958709434</v>
      </c>
      <c r="I39" s="98">
        <v>5373.976295643527</v>
      </c>
      <c r="J39" s="98">
        <v>0.96341651155385732</v>
      </c>
      <c r="K39" s="98">
        <v>1371.1343792434498</v>
      </c>
      <c r="L39" s="98">
        <v>1.1031119057291667</v>
      </c>
      <c r="M39" s="98">
        <v>1569.9488642337501</v>
      </c>
      <c r="N39" s="98">
        <v>1.3452584216209351</v>
      </c>
      <c r="O39" s="98">
        <v>1914.571785650915</v>
      </c>
      <c r="P39" s="98">
        <v>1.526798485438293</v>
      </c>
      <c r="Q39" s="98">
        <v>2172.9396044757787</v>
      </c>
      <c r="R39" s="98">
        <v>1.6970952395833334</v>
      </c>
      <c r="S39" s="98">
        <v>2415.3059449750003</v>
      </c>
      <c r="T39" s="98">
        <v>1.1210486846841126</v>
      </c>
      <c r="U39" s="98">
        <v>1595.4764880424291</v>
      </c>
      <c r="V39" s="98">
        <v>1.06477983178491</v>
      </c>
      <c r="W39" s="98">
        <v>1515.394656596284</v>
      </c>
      <c r="X39" s="98">
        <v>1.2679447192289273</v>
      </c>
      <c r="Y39" s="98">
        <v>1804.5389244066093</v>
      </c>
      <c r="Z39" s="98">
        <v>1.3418628734994502</v>
      </c>
      <c r="AA39" s="98">
        <v>1909.7392415644176</v>
      </c>
      <c r="AB39" s="98">
        <v>0.93171936081626971</v>
      </c>
      <c r="AC39" s="98">
        <v>1326.0229943137151</v>
      </c>
      <c r="AD39" s="98">
        <v>1.2472732700996327</v>
      </c>
      <c r="AE39" s="98">
        <v>1775.1193180057974</v>
      </c>
      <c r="AF39" s="98">
        <v>1.3976147213847903</v>
      </c>
      <c r="AG39" s="98">
        <v>1989.0852714748335</v>
      </c>
      <c r="AH39" s="98">
        <v>0.99149546449769399</v>
      </c>
      <c r="AI39" s="98">
        <v>1411.0963450731181</v>
      </c>
      <c r="AJ39" s="98">
        <v>1.0665345797447983</v>
      </c>
      <c r="AK39" s="98">
        <v>1517.892013892797</v>
      </c>
      <c r="AL39" s="98">
        <v>0.87993135206850448</v>
      </c>
      <c r="AM39" s="98">
        <v>1252.3183002638957</v>
      </c>
      <c r="AN39" s="98">
        <v>1.0746048653092068</v>
      </c>
      <c r="AO39" s="98">
        <v>1529.3776443080633</v>
      </c>
      <c r="AP39" s="98">
        <v>1.2337654367255695</v>
      </c>
      <c r="AQ39" s="98">
        <v>1755.8949695478304</v>
      </c>
      <c r="AR39" s="98">
        <v>0.93352960402466967</v>
      </c>
      <c r="AS39" s="98">
        <v>1328.59933244791</v>
      </c>
      <c r="AT39" s="98">
        <v>0.89093662282329233</v>
      </c>
      <c r="AU39" s="98">
        <v>1267.9810016021097</v>
      </c>
      <c r="AV39" s="98">
        <v>1.0546994054267209</v>
      </c>
      <c r="AW39" s="98">
        <v>1501.0481938033092</v>
      </c>
      <c r="AX39" s="98">
        <v>1.1012395490499332</v>
      </c>
      <c r="AY39" s="98">
        <v>1567.2841262078648</v>
      </c>
      <c r="AZ39" s="98">
        <v>0.76979206787910937</v>
      </c>
      <c r="BA39" s="98">
        <v>1095.5680710055485</v>
      </c>
      <c r="BB39" s="98">
        <v>1.1201480026165562</v>
      </c>
      <c r="BC39" s="98">
        <v>1594.1946373238829</v>
      </c>
      <c r="BD39" s="98">
        <v>1.1058145772134724</v>
      </c>
      <c r="BE39" s="98">
        <v>1573.7953062902141</v>
      </c>
      <c r="BF39" s="98">
        <v>0.89242925870790613</v>
      </c>
      <c r="BG39" s="98">
        <v>1270.1053209930919</v>
      </c>
      <c r="BH39" s="98">
        <v>1.2980626743393888</v>
      </c>
      <c r="BI39" s="98">
        <v>1847.4027981198183</v>
      </c>
      <c r="BJ39" s="98">
        <v>1.3414117043689993</v>
      </c>
      <c r="BK39" s="98">
        <v>1909.0971376579598</v>
      </c>
      <c r="BL39" s="98">
        <v>1.3440961076461231</v>
      </c>
      <c r="BM39" s="98">
        <v>1912.9175804019624</v>
      </c>
      <c r="BN39" s="98">
        <v>1.183730360707419</v>
      </c>
      <c r="BO39" s="98">
        <v>1684.6850493587988</v>
      </c>
      <c r="BP39" s="98">
        <v>1.1101583048576911</v>
      </c>
      <c r="BQ39" s="98">
        <v>1579.977299473466</v>
      </c>
      <c r="BR39" s="98">
        <v>1.0855854311017945</v>
      </c>
      <c r="BS39" s="98">
        <v>1545.005185544074</v>
      </c>
      <c r="BT39" s="98">
        <v>0.88278652252393597</v>
      </c>
      <c r="BU39" s="98">
        <v>1256.3817788560657</v>
      </c>
      <c r="BV39" s="98">
        <v>1.0233911068717256</v>
      </c>
      <c r="BW39" s="98">
        <v>1456.49022329984</v>
      </c>
      <c r="BX39" s="98">
        <v>1.1812658006089687</v>
      </c>
      <c r="BY39" s="98">
        <v>1681.1774874266844</v>
      </c>
      <c r="BZ39" s="98">
        <v>1.1562895441807908</v>
      </c>
      <c r="CA39" s="98">
        <v>1645.6312792781014</v>
      </c>
      <c r="CB39" s="98">
        <v>0.86779595747309801</v>
      </c>
      <c r="CC39" s="98">
        <v>1235.0472066757131</v>
      </c>
      <c r="CD39" s="98">
        <v>0.93357819756014626</v>
      </c>
      <c r="CE39" s="98">
        <v>1328.6684907676001</v>
      </c>
      <c r="CF39" s="98">
        <v>1.2816329201404111</v>
      </c>
      <c r="CG39" s="98">
        <v>1824.0199719438331</v>
      </c>
      <c r="CH39" s="98">
        <v>1.2010827872942171</v>
      </c>
      <c r="CI39" s="98">
        <v>1709.3810228771299</v>
      </c>
      <c r="CJ39" s="98">
        <v>1.1312125770921821</v>
      </c>
      <c r="CK39" s="98">
        <v>1609.9417397175937</v>
      </c>
      <c r="CL39" s="98">
        <v>1.2277861833051256</v>
      </c>
      <c r="CM39" s="98">
        <v>1747.3852960798547</v>
      </c>
      <c r="CN39" s="98">
        <v>1.1038497298117975</v>
      </c>
      <c r="CO39" s="98">
        <v>1570.9989354681502</v>
      </c>
      <c r="CP39" s="98">
        <v>1.1030451390887066</v>
      </c>
      <c r="CQ39" s="98">
        <v>1569.8538419510473</v>
      </c>
      <c r="CR39" s="98">
        <v>0.83134657214032637</v>
      </c>
      <c r="CS39" s="98">
        <v>1183.1724414701125</v>
      </c>
      <c r="CT39" s="98">
        <v>1.3127367001499226</v>
      </c>
      <c r="CU39" s="98">
        <v>1868.2868716533699</v>
      </c>
    </row>
    <row r="40" spans="2:99">
      <c r="C40" s="97" t="s">
        <v>207</v>
      </c>
      <c r="D40" s="98">
        <v>6</v>
      </c>
      <c r="E40" s="98">
        <v>4348.7999999999993</v>
      </c>
      <c r="F40" s="98">
        <v>3.2848858605356366</v>
      </c>
      <c r="G40" s="98">
        <v>2380.8852717162295</v>
      </c>
      <c r="H40" s="98">
        <v>4.405311278516101</v>
      </c>
      <c r="I40" s="98">
        <v>3192.9696146684701</v>
      </c>
      <c r="J40" s="98">
        <v>0.96341651155385732</v>
      </c>
      <c r="K40" s="98">
        <v>698.28428757423569</v>
      </c>
      <c r="L40" s="98">
        <v>1.1031119057291667</v>
      </c>
      <c r="M40" s="98">
        <v>799.53550927250001</v>
      </c>
      <c r="N40" s="98">
        <v>1.3452584216209351</v>
      </c>
      <c r="O40" s="98">
        <v>975.0433039908537</v>
      </c>
      <c r="P40" s="98">
        <v>1.526798485438293</v>
      </c>
      <c r="Q40" s="98">
        <v>1106.6235422456748</v>
      </c>
      <c r="R40" s="98">
        <v>1.4849583346354169</v>
      </c>
      <c r="S40" s="98">
        <v>1076.2978009437502</v>
      </c>
      <c r="T40" s="98">
        <v>1.1210486846841126</v>
      </c>
      <c r="U40" s="98">
        <v>812.53608665904471</v>
      </c>
      <c r="V40" s="98">
        <v>1.277735798141892</v>
      </c>
      <c r="W40" s="98">
        <v>926.10290649324327</v>
      </c>
      <c r="X40" s="98">
        <v>1.2679447192289273</v>
      </c>
      <c r="Y40" s="98">
        <v>919.00633249712644</v>
      </c>
      <c r="Z40" s="98">
        <v>1.3418628734994502</v>
      </c>
      <c r="AA40" s="98">
        <v>972.58221071240143</v>
      </c>
      <c r="AB40" s="98">
        <v>1.1384812422586199</v>
      </c>
      <c r="AC40" s="98">
        <v>825.1712043890476</v>
      </c>
      <c r="AD40" s="98">
        <v>1.0990868289184512</v>
      </c>
      <c r="AE40" s="98">
        <v>796.61813360009342</v>
      </c>
      <c r="AF40" s="98">
        <v>1.3976147213847903</v>
      </c>
      <c r="AG40" s="98">
        <v>1012.9911500596959</v>
      </c>
      <c r="AH40" s="98">
        <v>0.97596943378899514</v>
      </c>
      <c r="AI40" s="98">
        <v>707.38264561026358</v>
      </c>
      <c r="AJ40" s="98">
        <v>1.2218955022277018</v>
      </c>
      <c r="AK40" s="98">
        <v>885.62986001463821</v>
      </c>
      <c r="AL40" s="98">
        <v>1.0809858421090528</v>
      </c>
      <c r="AM40" s="98">
        <v>783.49853836064142</v>
      </c>
      <c r="AN40" s="98">
        <v>1.0746048653092068</v>
      </c>
      <c r="AO40" s="98">
        <v>778.87360637611312</v>
      </c>
      <c r="AP40" s="98">
        <v>1.2337654367255695</v>
      </c>
      <c r="AQ40" s="98">
        <v>894.23318853869273</v>
      </c>
      <c r="AR40" s="98">
        <v>0.91972023378238177</v>
      </c>
      <c r="AS40" s="98">
        <v>666.61322544547022</v>
      </c>
      <c r="AT40" s="98">
        <v>0.90854581653590516</v>
      </c>
      <c r="AU40" s="98">
        <v>658.51400782522398</v>
      </c>
      <c r="AV40" s="98">
        <v>1.0715285193148005</v>
      </c>
      <c r="AW40" s="98">
        <v>776.64387079936739</v>
      </c>
      <c r="AX40" s="98">
        <v>1.1345748439934675</v>
      </c>
      <c r="AY40" s="98">
        <v>822.33984692646527</v>
      </c>
      <c r="AZ40" s="98">
        <v>0.93964056768032855</v>
      </c>
      <c r="BA40" s="98">
        <v>681.05148345470207</v>
      </c>
      <c r="BB40" s="98">
        <v>1.2933583702690359</v>
      </c>
      <c r="BC40" s="98">
        <v>937.42614677099721</v>
      </c>
      <c r="BD40" s="98">
        <v>1.1058145772134724</v>
      </c>
      <c r="BE40" s="98">
        <v>801.49440556432478</v>
      </c>
      <c r="BF40" s="98">
        <v>0.89242925870790613</v>
      </c>
      <c r="BG40" s="98">
        <v>646.8327267114903</v>
      </c>
      <c r="BH40" s="98">
        <v>1.2854612327288841</v>
      </c>
      <c r="BI40" s="98">
        <v>931.70230148189512</v>
      </c>
      <c r="BJ40" s="98">
        <v>1.4951443362624757</v>
      </c>
      <c r="BK40" s="98">
        <v>1083.6806149230422</v>
      </c>
      <c r="BL40" s="98">
        <v>1.3597608548733326</v>
      </c>
      <c r="BM40" s="98">
        <v>985.55466761219145</v>
      </c>
      <c r="BN40" s="98">
        <v>1.183730360707419</v>
      </c>
      <c r="BO40" s="98">
        <v>857.96776544073725</v>
      </c>
      <c r="BP40" s="98">
        <v>1.1256880453775353</v>
      </c>
      <c r="BQ40" s="98">
        <v>815.89869528963754</v>
      </c>
      <c r="BR40" s="98">
        <v>1.2621107075303957</v>
      </c>
      <c r="BS40" s="98">
        <v>914.77784081803077</v>
      </c>
      <c r="BT40" s="98">
        <v>1.0355312569415065</v>
      </c>
      <c r="BU40" s="98">
        <v>750.55305503120383</v>
      </c>
      <c r="BV40" s="98">
        <v>1.0233911068717256</v>
      </c>
      <c r="BW40" s="98">
        <v>741.75387426062673</v>
      </c>
      <c r="BX40" s="98">
        <v>1.1662508035843386</v>
      </c>
      <c r="BY40" s="98">
        <v>845.29858243792864</v>
      </c>
      <c r="BZ40" s="98">
        <v>1.3142417405819649</v>
      </c>
      <c r="CA40" s="98">
        <v>952.56241357380804</v>
      </c>
      <c r="CB40" s="98">
        <v>1.0384524809930384</v>
      </c>
      <c r="CC40" s="98">
        <v>752.67035822375419</v>
      </c>
      <c r="CD40" s="98">
        <v>0.93357819756014626</v>
      </c>
      <c r="CE40" s="98">
        <v>676.65747759159399</v>
      </c>
      <c r="CF40" s="98">
        <v>1.2953035207883741</v>
      </c>
      <c r="CG40" s="98">
        <v>938.83599186741344</v>
      </c>
      <c r="CH40" s="98">
        <v>1.3408912191080109</v>
      </c>
      <c r="CI40" s="98">
        <v>971.87795560948621</v>
      </c>
      <c r="CJ40" s="98">
        <v>1.1312125770921821</v>
      </c>
      <c r="CK40" s="98">
        <v>819.90287587641353</v>
      </c>
      <c r="CL40" s="98">
        <v>1.0651151468312925</v>
      </c>
      <c r="CM40" s="98">
        <v>771.99545842332077</v>
      </c>
      <c r="CN40" s="98">
        <v>1.1208340603691356</v>
      </c>
      <c r="CO40" s="98">
        <v>812.38052695554939</v>
      </c>
      <c r="CP40" s="98">
        <v>1.1030451390887066</v>
      </c>
      <c r="CQ40" s="98">
        <v>799.4871168114945</v>
      </c>
      <c r="CR40" s="98">
        <v>0.83134657214032637</v>
      </c>
      <c r="CS40" s="98">
        <v>602.55999548730847</v>
      </c>
      <c r="CT40" s="98">
        <v>1.3127367001499226</v>
      </c>
      <c r="CU40" s="98">
        <v>951.47156026866389</v>
      </c>
    </row>
    <row r="41" spans="2:99">
      <c r="C41" s="97" t="s">
        <v>208</v>
      </c>
      <c r="D41" s="98">
        <v>5</v>
      </c>
      <c r="E41" s="98">
        <v>3300</v>
      </c>
      <c r="F41" s="98">
        <v>3.2848858605356366</v>
      </c>
      <c r="G41" s="98">
        <v>2168.0246679535203</v>
      </c>
      <c r="H41" s="98">
        <v>3.7759810958709434</v>
      </c>
      <c r="I41" s="98">
        <v>2492.1475232748226</v>
      </c>
      <c r="J41" s="98">
        <v>0.96341651155385732</v>
      </c>
      <c r="K41" s="98">
        <v>635.85489762554585</v>
      </c>
      <c r="L41" s="98">
        <v>1.1031119057291667</v>
      </c>
      <c r="M41" s="98">
        <v>728.05385778125003</v>
      </c>
      <c r="N41" s="98">
        <v>1.3452584216209351</v>
      </c>
      <c r="O41" s="98">
        <v>887.87055826981714</v>
      </c>
      <c r="P41" s="98">
        <v>1.526798485438293</v>
      </c>
      <c r="Q41" s="98">
        <v>1007.6870003892734</v>
      </c>
      <c r="R41" s="98">
        <v>1.6970952395833334</v>
      </c>
      <c r="S41" s="98">
        <v>1120.082858125</v>
      </c>
      <c r="T41" s="98">
        <v>1.1210486846841126</v>
      </c>
      <c r="U41" s="98">
        <v>739.89213189151428</v>
      </c>
      <c r="V41" s="98">
        <v>1.277735798141892</v>
      </c>
      <c r="W41" s="98">
        <v>843.30562677364867</v>
      </c>
      <c r="X41" s="98">
        <v>1.2679447192289273</v>
      </c>
      <c r="Y41" s="98">
        <v>836.84351469109197</v>
      </c>
      <c r="Z41" s="98">
        <v>1.3632607750621928</v>
      </c>
      <c r="AA41" s="98">
        <v>899.75211154104727</v>
      </c>
      <c r="AB41" s="98">
        <v>1.1210359364174747</v>
      </c>
      <c r="AC41" s="98">
        <v>739.88371803553332</v>
      </c>
      <c r="AD41" s="98">
        <v>1.2752690276771477</v>
      </c>
      <c r="AE41" s="98">
        <v>841.67755826691746</v>
      </c>
      <c r="AF41" s="98">
        <v>1.2175486171829399</v>
      </c>
      <c r="AG41" s="98">
        <v>803.58208734074037</v>
      </c>
      <c r="AH41" s="98">
        <v>1.0070214952063929</v>
      </c>
      <c r="AI41" s="98">
        <v>664.63418683621933</v>
      </c>
      <c r="AJ41" s="98">
        <v>1.0909653151715941</v>
      </c>
      <c r="AK41" s="98">
        <v>720.03710801325212</v>
      </c>
      <c r="AL41" s="98">
        <v>1.0658431637277903</v>
      </c>
      <c r="AM41" s="98">
        <v>703.4564880603416</v>
      </c>
      <c r="AN41" s="98">
        <v>1.2790122061972533</v>
      </c>
      <c r="AO41" s="98">
        <v>844.1480560901872</v>
      </c>
      <c r="AP41" s="98">
        <v>1.2337654367255695</v>
      </c>
      <c r="AQ41" s="98">
        <v>814.28518823887589</v>
      </c>
      <c r="AR41" s="98">
        <v>0.91972023378238177</v>
      </c>
      <c r="AS41" s="98">
        <v>607.01535429637192</v>
      </c>
      <c r="AT41" s="98">
        <v>1.0828546895320428</v>
      </c>
      <c r="AU41" s="98">
        <v>714.68409509114827</v>
      </c>
      <c r="AV41" s="98">
        <v>1.0546994054267209</v>
      </c>
      <c r="AW41" s="98">
        <v>696.10160758163579</v>
      </c>
      <c r="AX41" s="98">
        <v>1.3081533408825059</v>
      </c>
      <c r="AY41" s="98">
        <v>863.38120498245394</v>
      </c>
      <c r="AZ41" s="98">
        <v>0.92834080909604932</v>
      </c>
      <c r="BA41" s="98">
        <v>612.70493400339251</v>
      </c>
      <c r="BB41" s="98">
        <v>1.1333372270380992</v>
      </c>
      <c r="BC41" s="98">
        <v>748.00256984514556</v>
      </c>
      <c r="BD41" s="98">
        <v>1.2874109606968189</v>
      </c>
      <c r="BE41" s="98">
        <v>849.69123405990047</v>
      </c>
      <c r="BF41" s="98">
        <v>1.1118063578234834</v>
      </c>
      <c r="BG41" s="98">
        <v>733.79219616349906</v>
      </c>
      <c r="BH41" s="98">
        <v>1.4654981398014375</v>
      </c>
      <c r="BI41" s="98">
        <v>967.22877226894877</v>
      </c>
      <c r="BJ41" s="98">
        <v>1.3662007375292633</v>
      </c>
      <c r="BK41" s="98">
        <v>901.69248676931375</v>
      </c>
      <c r="BL41" s="98">
        <v>1.3440961076461231</v>
      </c>
      <c r="BM41" s="98">
        <v>887.10343104644119</v>
      </c>
      <c r="BN41" s="98">
        <v>1.183730360707419</v>
      </c>
      <c r="BO41" s="98">
        <v>781.26203806689648</v>
      </c>
      <c r="BP41" s="98">
        <v>1.2951846890006398</v>
      </c>
      <c r="BQ41" s="98">
        <v>854.82189474042229</v>
      </c>
      <c r="BR41" s="98">
        <v>1.0855854311017945</v>
      </c>
      <c r="BS41" s="98">
        <v>716.48638452718433</v>
      </c>
      <c r="BT41" s="98">
        <v>1.0474375419851147</v>
      </c>
      <c r="BU41" s="98">
        <v>691.30877771017572</v>
      </c>
      <c r="BV41" s="98">
        <v>0.84372632721406116</v>
      </c>
      <c r="BW41" s="98">
        <v>556.85937596128031</v>
      </c>
      <c r="BX41" s="98">
        <v>1.1812658006089687</v>
      </c>
      <c r="BY41" s="98">
        <v>779.63542840191928</v>
      </c>
      <c r="BZ41" s="98">
        <v>1.3142417405819649</v>
      </c>
      <c r="CA41" s="98">
        <v>867.39954878409685</v>
      </c>
      <c r="CB41" s="98">
        <v>1.0384524809930384</v>
      </c>
      <c r="CC41" s="98">
        <v>685.3786374554054</v>
      </c>
      <c r="CD41" s="98">
        <v>1.0972200566281149</v>
      </c>
      <c r="CE41" s="98">
        <v>724.16523737455589</v>
      </c>
      <c r="CF41" s="98">
        <v>1.2679623194924483</v>
      </c>
      <c r="CG41" s="98">
        <v>836.85513086501589</v>
      </c>
      <c r="CH41" s="98">
        <v>1.2148520094248616</v>
      </c>
      <c r="CI41" s="98">
        <v>801.80232622040864</v>
      </c>
      <c r="CJ41" s="98">
        <v>1.1312125770921821</v>
      </c>
      <c r="CK41" s="98">
        <v>746.60030088084022</v>
      </c>
      <c r="CL41" s="98">
        <v>1.2277861833051256</v>
      </c>
      <c r="CM41" s="98">
        <v>810.33888098138289</v>
      </c>
      <c r="CN41" s="98">
        <v>1.1208340603691356</v>
      </c>
      <c r="CO41" s="98">
        <v>739.75047984362948</v>
      </c>
      <c r="CP41" s="98">
        <v>1.0898341652418644</v>
      </c>
      <c r="CQ41" s="98">
        <v>719.29054905963051</v>
      </c>
      <c r="CR41" s="98">
        <v>0.84472077518504585</v>
      </c>
      <c r="CS41" s="98">
        <v>557.51571162213031</v>
      </c>
      <c r="CT41" s="98">
        <v>1.3127367001499226</v>
      </c>
      <c r="CU41" s="98">
        <v>866.40622209894889</v>
      </c>
    </row>
    <row r="42" spans="2:99">
      <c r="C42" s="97" t="s">
        <v>209</v>
      </c>
      <c r="D42" s="98">
        <v>6</v>
      </c>
      <c r="E42" s="98">
        <v>5076</v>
      </c>
      <c r="F42" s="98">
        <v>3.2848858605356366</v>
      </c>
      <c r="G42" s="98">
        <v>2779.0134380131485</v>
      </c>
      <c r="H42" s="98">
        <v>4.405311278516101</v>
      </c>
      <c r="I42" s="98">
        <v>3726.8933416246214</v>
      </c>
      <c r="J42" s="98">
        <v>0.96341651155385732</v>
      </c>
      <c r="K42" s="98">
        <v>815.05036877456325</v>
      </c>
      <c r="L42" s="98">
        <v>1.3237342868750002</v>
      </c>
      <c r="M42" s="98">
        <v>1119.8792066962501</v>
      </c>
      <c r="N42" s="98">
        <v>1.3452584216209351</v>
      </c>
      <c r="O42" s="98">
        <v>1138.088624691311</v>
      </c>
      <c r="P42" s="98">
        <v>1.526798485438293</v>
      </c>
      <c r="Q42" s="98">
        <v>1291.6715186807958</v>
      </c>
      <c r="R42" s="98">
        <v>1.6970952395833334</v>
      </c>
      <c r="S42" s="98">
        <v>1435.7425726875001</v>
      </c>
      <c r="T42" s="98">
        <v>1.1210486846841126</v>
      </c>
      <c r="U42" s="98">
        <v>948.40718724275928</v>
      </c>
      <c r="V42" s="98">
        <v>1.277735798141892</v>
      </c>
      <c r="W42" s="98">
        <v>1080.9644852280405</v>
      </c>
      <c r="X42" s="98">
        <v>1.0566205993574393</v>
      </c>
      <c r="Y42" s="98">
        <v>893.90102705639367</v>
      </c>
      <c r="Z42" s="98">
        <v>1.3632607750621928</v>
      </c>
      <c r="AA42" s="98">
        <v>1153.318615702615</v>
      </c>
      <c r="AB42" s="98">
        <v>1.1384812422586199</v>
      </c>
      <c r="AC42" s="98">
        <v>963.15513095079245</v>
      </c>
      <c r="AD42" s="98">
        <v>1.2752690276771477</v>
      </c>
      <c r="AE42" s="98">
        <v>1078.8775974148668</v>
      </c>
      <c r="AF42" s="98">
        <v>1.411329920581974</v>
      </c>
      <c r="AG42" s="98">
        <v>1193.9851128123501</v>
      </c>
      <c r="AH42" s="98">
        <v>0.82735363915729276</v>
      </c>
      <c r="AI42" s="98">
        <v>699.94117872706965</v>
      </c>
      <c r="AJ42" s="98">
        <v>1.0787499474581963</v>
      </c>
      <c r="AK42" s="98">
        <v>912.62245554963408</v>
      </c>
      <c r="AL42" s="98">
        <v>0.89507403044976674</v>
      </c>
      <c r="AM42" s="98">
        <v>757.23262976050262</v>
      </c>
      <c r="AN42" s="98">
        <v>1.0746048653092068</v>
      </c>
      <c r="AO42" s="98">
        <v>909.11571605158895</v>
      </c>
      <c r="AP42" s="98">
        <v>1.4157667358394692</v>
      </c>
      <c r="AQ42" s="98">
        <v>1197.7386585201909</v>
      </c>
      <c r="AR42" s="98">
        <v>0.93352960402466967</v>
      </c>
      <c r="AS42" s="98">
        <v>789.76604500487053</v>
      </c>
      <c r="AT42" s="98">
        <v>1.0828546895320428</v>
      </c>
      <c r="AU42" s="98">
        <v>916.0950673441082</v>
      </c>
      <c r="AV42" s="98">
        <v>1.0546994054267209</v>
      </c>
      <c r="AW42" s="98">
        <v>892.27569699100593</v>
      </c>
      <c r="AX42" s="98">
        <v>1.1345748439934675</v>
      </c>
      <c r="AY42" s="98">
        <v>959.85031801847356</v>
      </c>
      <c r="AZ42" s="98">
        <v>0.75849230929483025</v>
      </c>
      <c r="BA42" s="98">
        <v>641.68449366342634</v>
      </c>
      <c r="BB42" s="98">
        <v>1.2801691458474926</v>
      </c>
      <c r="BC42" s="98">
        <v>1083.0230973869789</v>
      </c>
      <c r="BD42" s="98">
        <v>1.1220508535268661</v>
      </c>
      <c r="BE42" s="98">
        <v>949.2550220837287</v>
      </c>
      <c r="BF42" s="98">
        <v>0.92227098319909961</v>
      </c>
      <c r="BG42" s="98">
        <v>780.24125178643828</v>
      </c>
      <c r="BH42" s="98">
        <v>1.4654981398014375</v>
      </c>
      <c r="BI42" s="98">
        <v>1239.8114262720162</v>
      </c>
      <c r="BJ42" s="98">
        <v>1.3414117043689993</v>
      </c>
      <c r="BK42" s="98">
        <v>1134.8343018961734</v>
      </c>
      <c r="BL42" s="98">
        <v>1.3597608548733326</v>
      </c>
      <c r="BM42" s="98">
        <v>1150.3576832228393</v>
      </c>
      <c r="BN42" s="98">
        <v>1.3406344364625522</v>
      </c>
      <c r="BO42" s="98">
        <v>1134.1767332473191</v>
      </c>
      <c r="BP42" s="98">
        <v>1.310714429520484</v>
      </c>
      <c r="BQ42" s="98">
        <v>1108.8644073743294</v>
      </c>
      <c r="BR42" s="98">
        <v>1.248893821265302</v>
      </c>
      <c r="BS42" s="98">
        <v>1056.5641727904456</v>
      </c>
      <c r="BT42" s="98">
        <v>0.87088023748032761</v>
      </c>
      <c r="BU42" s="98">
        <v>736.76468090835715</v>
      </c>
      <c r="BV42" s="98">
        <v>1.0233911068717256</v>
      </c>
      <c r="BW42" s="98">
        <v>865.7888764134799</v>
      </c>
      <c r="BX42" s="98">
        <v>1.1662508035843386</v>
      </c>
      <c r="BY42" s="98">
        <v>986.64817983235048</v>
      </c>
      <c r="BZ42" s="98">
        <v>1.1562895441807908</v>
      </c>
      <c r="CA42" s="98">
        <v>978.22095437694895</v>
      </c>
      <c r="CB42" s="98">
        <v>1.0384524809930384</v>
      </c>
      <c r="CC42" s="98">
        <v>878.53079892011056</v>
      </c>
      <c r="CD42" s="98">
        <v>1.0972200566281149</v>
      </c>
      <c r="CE42" s="98">
        <v>928.24816790738521</v>
      </c>
      <c r="CF42" s="98">
        <v>1.2816329201404111</v>
      </c>
      <c r="CG42" s="98">
        <v>1084.2614504387877</v>
      </c>
      <c r="CH42" s="98">
        <v>1.2148520094248616</v>
      </c>
      <c r="CI42" s="98">
        <v>1027.7647999734329</v>
      </c>
      <c r="CJ42" s="98">
        <v>1.1312125770921821</v>
      </c>
      <c r="CK42" s="98">
        <v>957.00584021998611</v>
      </c>
      <c r="CL42" s="98">
        <v>1.2150591935925121</v>
      </c>
      <c r="CM42" s="98">
        <v>1027.9400777792653</v>
      </c>
      <c r="CN42" s="98">
        <v>1.1038497298117975</v>
      </c>
      <c r="CO42" s="98">
        <v>933.85687142078075</v>
      </c>
      <c r="CP42" s="98">
        <v>1.0898341652418644</v>
      </c>
      <c r="CQ42" s="98">
        <v>921.99970379461729</v>
      </c>
      <c r="CR42" s="98">
        <v>0.81797236909560711</v>
      </c>
      <c r="CS42" s="98">
        <v>692.00462425488365</v>
      </c>
      <c r="CT42" s="98">
        <v>1.4782598298898715</v>
      </c>
      <c r="CU42" s="98">
        <v>1250.6078160868312</v>
      </c>
    </row>
    <row r="43" spans="2:99">
      <c r="C43" s="97" t="s">
        <v>210</v>
      </c>
      <c r="D43" s="98">
        <v>6</v>
      </c>
      <c r="E43" s="98">
        <v>6134.4</v>
      </c>
      <c r="F43" s="98">
        <v>3.2848858605356366</v>
      </c>
      <c r="G43" s="98">
        <v>3358.4673038116348</v>
      </c>
      <c r="H43" s="98">
        <v>3.7759810958709434</v>
      </c>
      <c r="I43" s="98">
        <v>3860.5630724184525</v>
      </c>
      <c r="J43" s="98">
        <v>0.96341651155385732</v>
      </c>
      <c r="K43" s="98">
        <v>984.99704141266375</v>
      </c>
      <c r="L43" s="98">
        <v>1.1031119057291667</v>
      </c>
      <c r="M43" s="98">
        <v>1127.8216124175001</v>
      </c>
      <c r="N43" s="98">
        <v>1.3452584216209351</v>
      </c>
      <c r="O43" s="98">
        <v>1375.3922102652441</v>
      </c>
      <c r="P43" s="98">
        <v>1.3359486747585063</v>
      </c>
      <c r="Q43" s="98">
        <v>1365.8739250730969</v>
      </c>
      <c r="R43" s="98">
        <v>1.4849583346354169</v>
      </c>
      <c r="S43" s="98">
        <v>1518.2214013312503</v>
      </c>
      <c r="T43" s="98">
        <v>1.1210486846841126</v>
      </c>
      <c r="U43" s="98">
        <v>1146.1601752210368</v>
      </c>
      <c r="V43" s="98">
        <v>1.06477983178491</v>
      </c>
      <c r="W43" s="98">
        <v>1088.6309000168919</v>
      </c>
      <c r="X43" s="98">
        <v>1.0566205993574393</v>
      </c>
      <c r="Y43" s="98">
        <v>1080.2889007830461</v>
      </c>
      <c r="Z43" s="98">
        <v>1.3632607750621928</v>
      </c>
      <c r="AA43" s="98">
        <v>1393.7978164235858</v>
      </c>
      <c r="AB43" s="98">
        <v>1.1559265480997647</v>
      </c>
      <c r="AC43" s="98">
        <v>1181.8193027771995</v>
      </c>
      <c r="AD43" s="98">
        <v>1.0990868289184512</v>
      </c>
      <c r="AE43" s="98">
        <v>1123.7063738862246</v>
      </c>
      <c r="AF43" s="98">
        <v>1.3976147213847903</v>
      </c>
      <c r="AG43" s="98">
        <v>1428.9212911438096</v>
      </c>
      <c r="AH43" s="98">
        <v>0.82735363915729276</v>
      </c>
      <c r="AI43" s="98">
        <v>845.8863606744161</v>
      </c>
      <c r="AJ43" s="98">
        <v>1.2218955022277018</v>
      </c>
      <c r="AK43" s="98">
        <v>1249.2659614776023</v>
      </c>
      <c r="AL43" s="98">
        <v>0.87993135206850448</v>
      </c>
      <c r="AM43" s="98">
        <v>899.64181435483897</v>
      </c>
      <c r="AN43" s="98">
        <v>1.0570821450195489</v>
      </c>
      <c r="AO43" s="98">
        <v>1080.7607850679867</v>
      </c>
      <c r="AP43" s="98">
        <v>1.2180145876097728</v>
      </c>
      <c r="AQ43" s="98">
        <v>1245.2981143722316</v>
      </c>
      <c r="AR43" s="98">
        <v>0.91972023378238177</v>
      </c>
      <c r="AS43" s="98">
        <v>940.32196701910709</v>
      </c>
      <c r="AT43" s="98">
        <v>1.0828546895320428</v>
      </c>
      <c r="AU43" s="98">
        <v>1107.1106345775604</v>
      </c>
      <c r="AV43" s="98">
        <v>1.0715285193148005</v>
      </c>
      <c r="AW43" s="98">
        <v>1095.5307581474519</v>
      </c>
      <c r="AX43" s="98">
        <v>1.1179071965217002</v>
      </c>
      <c r="AY43" s="98">
        <v>1142.9483177237862</v>
      </c>
      <c r="AZ43" s="98">
        <v>0.74719255071055124</v>
      </c>
      <c r="BA43" s="98">
        <v>763.92966384646752</v>
      </c>
      <c r="BB43" s="98">
        <v>1.2801691458474926</v>
      </c>
      <c r="BC43" s="98">
        <v>1308.8449347144765</v>
      </c>
      <c r="BD43" s="98">
        <v>1.1220508535268661</v>
      </c>
      <c r="BE43" s="98">
        <v>1147.1847926458679</v>
      </c>
      <c r="BF43" s="98">
        <v>0.90735012095350287</v>
      </c>
      <c r="BG43" s="98">
        <v>927.67476366286132</v>
      </c>
      <c r="BH43" s="98">
        <v>1.2854612327288841</v>
      </c>
      <c r="BI43" s="98">
        <v>1314.2555643420112</v>
      </c>
      <c r="BJ43" s="98">
        <v>1.1876790724755226</v>
      </c>
      <c r="BK43" s="98">
        <v>1214.2830836989742</v>
      </c>
      <c r="BL43" s="98">
        <v>1.3597608548733326</v>
      </c>
      <c r="BM43" s="98">
        <v>1390.2194980224954</v>
      </c>
      <c r="BN43" s="98">
        <v>1.3406344364625522</v>
      </c>
      <c r="BO43" s="98">
        <v>1370.6646478393134</v>
      </c>
      <c r="BP43" s="98">
        <v>1.1256880453775353</v>
      </c>
      <c r="BQ43" s="98">
        <v>1150.903457593992</v>
      </c>
      <c r="BR43" s="98">
        <v>1.0855854311017945</v>
      </c>
      <c r="BS43" s="98">
        <v>1109.9025447584747</v>
      </c>
      <c r="BT43" s="98">
        <v>1.023624971897898</v>
      </c>
      <c r="BU43" s="98">
        <v>1046.554171268411</v>
      </c>
      <c r="BV43" s="98">
        <v>0.82809292614113561</v>
      </c>
      <c r="BW43" s="98">
        <v>846.64220768669702</v>
      </c>
      <c r="BX43" s="98">
        <v>1.1812658006089687</v>
      </c>
      <c r="BY43" s="98">
        <v>1207.7261545426095</v>
      </c>
      <c r="BZ43" s="98">
        <v>1.1413912323398088</v>
      </c>
      <c r="CA43" s="98">
        <v>1166.9583959442205</v>
      </c>
      <c r="CB43" s="98">
        <v>1.0384524809930384</v>
      </c>
      <c r="CC43" s="98">
        <v>1061.7138165672825</v>
      </c>
      <c r="CD43" s="98">
        <v>1.0972200566281149</v>
      </c>
      <c r="CE43" s="98">
        <v>1121.7977858965846</v>
      </c>
      <c r="CF43" s="98">
        <v>1.2679623194924483</v>
      </c>
      <c r="CG43" s="98">
        <v>1296.3646754490792</v>
      </c>
      <c r="CH43" s="98">
        <v>1.2010827872942171</v>
      </c>
      <c r="CI43" s="98">
        <v>1227.9870417296077</v>
      </c>
      <c r="CJ43" s="98">
        <v>1.119117357133065</v>
      </c>
      <c r="CK43" s="98">
        <v>1144.1855859328457</v>
      </c>
      <c r="CL43" s="98">
        <v>1.2277861833051256</v>
      </c>
      <c r="CM43" s="98">
        <v>1255.2885938111604</v>
      </c>
      <c r="CN43" s="98">
        <v>1.1038497298117975</v>
      </c>
      <c r="CO43" s="98">
        <v>1128.5759637595818</v>
      </c>
      <c r="CP43" s="98">
        <v>1.260464047909807</v>
      </c>
      <c r="CQ43" s="98">
        <v>1288.6984425829867</v>
      </c>
      <c r="CR43" s="98">
        <v>0.81797236909560711</v>
      </c>
      <c r="CS43" s="98">
        <v>836.29495016334874</v>
      </c>
      <c r="CT43" s="98">
        <v>1.3127367001499226</v>
      </c>
      <c r="CU43" s="98">
        <v>1342.1420022332809</v>
      </c>
    </row>
    <row r="44" spans="2:99">
      <c r="C44" s="97" t="s">
        <v>211</v>
      </c>
      <c r="D44" s="98">
        <v>5</v>
      </c>
      <c r="E44" s="98">
        <v>5112</v>
      </c>
      <c r="F44" s="98">
        <v>3.2848858605356366</v>
      </c>
      <c r="G44" s="98">
        <v>3358.4673038116348</v>
      </c>
      <c r="H44" s="98">
        <v>3.7759810958709434</v>
      </c>
      <c r="I44" s="98">
        <v>3860.5630724184525</v>
      </c>
      <c r="J44" s="98">
        <v>1.2042706394423217</v>
      </c>
      <c r="K44" s="98">
        <v>1231.2463017658297</v>
      </c>
      <c r="L44" s="98">
        <v>1.3237342868750002</v>
      </c>
      <c r="M44" s="98">
        <v>1353.3859349010002</v>
      </c>
      <c r="N44" s="98">
        <v>1.3452584216209351</v>
      </c>
      <c r="O44" s="98">
        <v>1375.3922102652441</v>
      </c>
      <c r="P44" s="98">
        <v>1.526798485438293</v>
      </c>
      <c r="Q44" s="98">
        <v>1560.9987715121108</v>
      </c>
      <c r="R44" s="98">
        <v>1.4849583346354169</v>
      </c>
      <c r="S44" s="98">
        <v>1518.2214013312503</v>
      </c>
      <c r="T44" s="98">
        <v>1.1210486846841126</v>
      </c>
      <c r="U44" s="98">
        <v>1146.1601752210368</v>
      </c>
      <c r="V44" s="98">
        <v>1.277735798141892</v>
      </c>
      <c r="W44" s="98">
        <v>1306.3570800202704</v>
      </c>
      <c r="X44" s="98">
        <v>1.0566205993574393</v>
      </c>
      <c r="Y44" s="98">
        <v>1080.2889007830461</v>
      </c>
      <c r="Z44" s="98">
        <v>1.2008773912654471</v>
      </c>
      <c r="AA44" s="98">
        <v>1227.7770448297931</v>
      </c>
      <c r="AB44" s="98">
        <v>0.93171936081626971</v>
      </c>
      <c r="AC44" s="98">
        <v>952.58987449855408</v>
      </c>
      <c r="AD44" s="98">
        <v>1.1130847077072086</v>
      </c>
      <c r="AE44" s="98">
        <v>1138.01780515985</v>
      </c>
      <c r="AF44" s="98">
        <v>1.3976147213847903</v>
      </c>
      <c r="AG44" s="98">
        <v>1428.9212911438096</v>
      </c>
      <c r="AH44" s="98">
        <v>0.82735363915729276</v>
      </c>
      <c r="AI44" s="98">
        <v>845.8863606744161</v>
      </c>
      <c r="AJ44" s="98">
        <v>1.0787499474581963</v>
      </c>
      <c r="AK44" s="98">
        <v>1102.9139462812598</v>
      </c>
      <c r="AL44" s="98">
        <v>1.0658431637277903</v>
      </c>
      <c r="AM44" s="98">
        <v>1089.7180505952929</v>
      </c>
      <c r="AN44" s="98">
        <v>1.0570821450195489</v>
      </c>
      <c r="AO44" s="98">
        <v>1080.7607850679867</v>
      </c>
      <c r="AP44" s="98">
        <v>1.2337654367255695</v>
      </c>
      <c r="AQ44" s="98">
        <v>1261.4017825082221</v>
      </c>
      <c r="AR44" s="98">
        <v>0.91972023378238177</v>
      </c>
      <c r="AS44" s="98">
        <v>940.32196701910709</v>
      </c>
      <c r="AT44" s="98">
        <v>1.0828546895320428</v>
      </c>
      <c r="AU44" s="98">
        <v>1107.1106345775604</v>
      </c>
      <c r="AV44" s="98">
        <v>1.0715285193148005</v>
      </c>
      <c r="AW44" s="98">
        <v>1095.5307581474519</v>
      </c>
      <c r="AX44" s="98">
        <v>1.1179071965217002</v>
      </c>
      <c r="AY44" s="98">
        <v>1142.9483177237862</v>
      </c>
      <c r="AZ44" s="98">
        <v>0.76979206787910937</v>
      </c>
      <c r="BA44" s="98">
        <v>787.03541019960142</v>
      </c>
      <c r="BB44" s="98">
        <v>1.1333372270380992</v>
      </c>
      <c r="BC44" s="98">
        <v>1158.7239809237526</v>
      </c>
      <c r="BD44" s="98">
        <v>1.1058145772134724</v>
      </c>
      <c r="BE44" s="98">
        <v>1130.5848237430541</v>
      </c>
      <c r="BF44" s="98">
        <v>1.0819646333322899</v>
      </c>
      <c r="BG44" s="98">
        <v>1106.2006411189332</v>
      </c>
      <c r="BH44" s="98">
        <v>1.2854612327288841</v>
      </c>
      <c r="BI44" s="98">
        <v>1314.2555643420112</v>
      </c>
      <c r="BJ44" s="98">
        <v>1.3538062209491311</v>
      </c>
      <c r="BK44" s="98">
        <v>1384.1314802983916</v>
      </c>
      <c r="BL44" s="98">
        <v>1.5517745845370647</v>
      </c>
      <c r="BM44" s="98">
        <v>1586.534335230695</v>
      </c>
      <c r="BN44" s="98">
        <v>1.3264007980589707</v>
      </c>
      <c r="BO44" s="98">
        <v>1356.1121759354917</v>
      </c>
      <c r="BP44" s="98">
        <v>1.2951846890006398</v>
      </c>
      <c r="BQ44" s="98">
        <v>1324.1968260342542</v>
      </c>
      <c r="BR44" s="98">
        <v>1.0855854311017945</v>
      </c>
      <c r="BS44" s="98">
        <v>1109.9025447584747</v>
      </c>
      <c r="BT44" s="98">
        <v>0.89469280756754421</v>
      </c>
      <c r="BU44" s="98">
        <v>914.73392645705724</v>
      </c>
      <c r="BV44" s="98">
        <v>1.0233911068717256</v>
      </c>
      <c r="BW44" s="98">
        <v>1046.3150676656524</v>
      </c>
      <c r="BX44" s="98">
        <v>1.1812658006089687</v>
      </c>
      <c r="BY44" s="98">
        <v>1207.7261545426095</v>
      </c>
      <c r="BZ44" s="98">
        <v>1.3291400524229469</v>
      </c>
      <c r="CA44" s="98">
        <v>1358.9127895972208</v>
      </c>
      <c r="CB44" s="98">
        <v>1.0239391411196428</v>
      </c>
      <c r="CC44" s="98">
        <v>1046.8753778807227</v>
      </c>
      <c r="CD44" s="98">
        <v>0.93357819756014626</v>
      </c>
      <c r="CE44" s="98">
        <v>954.49034918549353</v>
      </c>
      <c r="CF44" s="98">
        <v>1.2679623194924483</v>
      </c>
      <c r="CG44" s="98">
        <v>1296.3646754490792</v>
      </c>
      <c r="CH44" s="98">
        <v>1.2010827872942171</v>
      </c>
      <c r="CI44" s="98">
        <v>1227.9870417296077</v>
      </c>
      <c r="CJ44" s="98">
        <v>1.119117357133065</v>
      </c>
      <c r="CK44" s="98">
        <v>1144.1855859328457</v>
      </c>
      <c r="CL44" s="98">
        <v>1.2277861833051256</v>
      </c>
      <c r="CM44" s="98">
        <v>1255.2885938111604</v>
      </c>
      <c r="CN44" s="98">
        <v>0.91025471274117886</v>
      </c>
      <c r="CO44" s="98">
        <v>930.6444183065812</v>
      </c>
      <c r="CP44" s="98">
        <v>1.2736750217566488</v>
      </c>
      <c r="CQ44" s="98">
        <v>1302.2053422439976</v>
      </c>
      <c r="CR44" s="98">
        <v>0.83134657214032637</v>
      </c>
      <c r="CS44" s="98">
        <v>849.96873535626969</v>
      </c>
      <c r="CT44" s="98">
        <v>1.4936673090868997</v>
      </c>
      <c r="CU44" s="98">
        <v>1527.1254568104462</v>
      </c>
    </row>
    <row r="45" spans="2:99">
      <c r="C45" s="97" t="s">
        <v>212</v>
      </c>
      <c r="D45" s="98">
        <v>6</v>
      </c>
      <c r="E45" s="98">
        <v>7495.2000000000007</v>
      </c>
      <c r="F45" s="98">
        <v>3.2848858605356366</v>
      </c>
      <c r="G45" s="98">
        <v>4103.4794169811175</v>
      </c>
      <c r="H45" s="98">
        <v>3.7759810958709434</v>
      </c>
      <c r="I45" s="98">
        <v>4716.9555849619828</v>
      </c>
      <c r="J45" s="98">
        <v>1.2042706394423217</v>
      </c>
      <c r="K45" s="98">
        <v>1504.3748827913482</v>
      </c>
      <c r="L45" s="98">
        <v>1.1031119057291667</v>
      </c>
      <c r="M45" s="98">
        <v>1378.0073926368752</v>
      </c>
      <c r="N45" s="98">
        <v>1.3452584216209351</v>
      </c>
      <c r="O45" s="98">
        <v>1680.4968202888722</v>
      </c>
      <c r="P45" s="98">
        <v>1.3359486747585063</v>
      </c>
      <c r="Q45" s="98">
        <v>1668.8670845083261</v>
      </c>
      <c r="R45" s="98">
        <v>1.2728214296875002</v>
      </c>
      <c r="S45" s="98">
        <v>1590.0085299656253</v>
      </c>
      <c r="T45" s="98">
        <v>1.1210486846841126</v>
      </c>
      <c r="U45" s="98">
        <v>1400.4140169073935</v>
      </c>
      <c r="V45" s="98">
        <v>1.277735798141892</v>
      </c>
      <c r="W45" s="98">
        <v>1596.1475590388516</v>
      </c>
      <c r="X45" s="98">
        <v>1.0566205993574393</v>
      </c>
      <c r="Y45" s="98">
        <v>1319.9304527173133</v>
      </c>
      <c r="Z45" s="98">
        <v>1.3632607750621928</v>
      </c>
      <c r="AA45" s="98">
        <v>1702.9853602076912</v>
      </c>
      <c r="AB45" s="98">
        <v>0.94916466665741461</v>
      </c>
      <c r="AC45" s="98">
        <v>1185.6965015884423</v>
      </c>
      <c r="AD45" s="98">
        <v>1.0990868289184512</v>
      </c>
      <c r="AE45" s="98">
        <v>1372.9792666849294</v>
      </c>
      <c r="AF45" s="98">
        <v>1.2175486171829399</v>
      </c>
      <c r="AG45" s="98">
        <v>1520.9617325849285</v>
      </c>
      <c r="AH45" s="98">
        <v>0.97596943378899514</v>
      </c>
      <c r="AI45" s="98">
        <v>1219.1810166892128</v>
      </c>
      <c r="AJ45" s="98">
        <v>1.0543192120314004</v>
      </c>
      <c r="AK45" s="98">
        <v>1317.0555596696254</v>
      </c>
      <c r="AL45" s="98">
        <v>0.87993135206850448</v>
      </c>
      <c r="AM45" s="98">
        <v>1099.2102450039758</v>
      </c>
      <c r="AN45" s="98">
        <v>1.0746048653092068</v>
      </c>
      <c r="AO45" s="98">
        <v>1342.3963977442613</v>
      </c>
      <c r="AP45" s="98">
        <v>1.4157667358394692</v>
      </c>
      <c r="AQ45" s="98">
        <v>1768.5758064106651</v>
      </c>
      <c r="AR45" s="98">
        <v>1.08985491029657</v>
      </c>
      <c r="AS45" s="98">
        <v>1361.4467539424752</v>
      </c>
      <c r="AT45" s="98">
        <v>1.0828546895320428</v>
      </c>
      <c r="AU45" s="98">
        <v>1352.7020781634278</v>
      </c>
      <c r="AV45" s="98">
        <v>1.0546994054267209</v>
      </c>
      <c r="AW45" s="98">
        <v>1317.5304972590598</v>
      </c>
      <c r="AX45" s="98">
        <v>1.1179071965217002</v>
      </c>
      <c r="AY45" s="98">
        <v>1396.489669894908</v>
      </c>
      <c r="AZ45" s="98">
        <v>0.76979206787910937</v>
      </c>
      <c r="BA45" s="98">
        <v>961.62425119458351</v>
      </c>
      <c r="BB45" s="98">
        <v>1.1333372270380992</v>
      </c>
      <c r="BC45" s="98">
        <v>1415.7648640159937</v>
      </c>
      <c r="BD45" s="98">
        <v>1.1058145772134724</v>
      </c>
      <c r="BE45" s="98">
        <v>1381.3835698550697</v>
      </c>
      <c r="BF45" s="98">
        <v>0.90735012095350287</v>
      </c>
      <c r="BG45" s="98">
        <v>1133.4617710951159</v>
      </c>
      <c r="BH45" s="98">
        <v>1.2854612327288841</v>
      </c>
      <c r="BI45" s="98">
        <v>1605.7981719249221</v>
      </c>
      <c r="BJ45" s="98">
        <v>1.1876790724755226</v>
      </c>
      <c r="BK45" s="98">
        <v>1483.6486973364229</v>
      </c>
      <c r="BL45" s="98">
        <v>1.536109837309855</v>
      </c>
      <c r="BM45" s="98">
        <v>1918.908408767471</v>
      </c>
      <c r="BN45" s="98">
        <v>1.3406344364625522</v>
      </c>
      <c r="BO45" s="98">
        <v>1674.7205380290202</v>
      </c>
      <c r="BP45" s="98">
        <v>1.1101583048576911</v>
      </c>
      <c r="BQ45" s="98">
        <v>1386.8097544282277</v>
      </c>
      <c r="BR45" s="98">
        <v>1.0855854311017945</v>
      </c>
      <c r="BS45" s="98">
        <v>1356.1133205323617</v>
      </c>
      <c r="BT45" s="98">
        <v>0.88278652252393597</v>
      </c>
      <c r="BU45" s="98">
        <v>1102.7769239369009</v>
      </c>
      <c r="BV45" s="98">
        <v>1.0077577057988001</v>
      </c>
      <c r="BW45" s="98">
        <v>1258.8909260838611</v>
      </c>
      <c r="BX45" s="98">
        <v>1.196280797633599</v>
      </c>
      <c r="BY45" s="98">
        <v>1494.3939724038919</v>
      </c>
      <c r="BZ45" s="98">
        <v>1.3291400524229469</v>
      </c>
      <c r="CA45" s="98">
        <v>1660.3617534867453</v>
      </c>
      <c r="CB45" s="98">
        <v>0.88230929734649355</v>
      </c>
      <c r="CC45" s="98">
        <v>1102.1807742452397</v>
      </c>
      <c r="CD45" s="98">
        <v>0.93357819756014626</v>
      </c>
      <c r="CE45" s="98">
        <v>1166.2258843921347</v>
      </c>
      <c r="CF45" s="98">
        <v>1.1063542747763313</v>
      </c>
      <c r="CG45" s="98">
        <v>1382.0577600505931</v>
      </c>
      <c r="CH45" s="98">
        <v>1.2010827872942171</v>
      </c>
      <c r="CI45" s="98">
        <v>1500.392617887936</v>
      </c>
      <c r="CJ45" s="98">
        <v>1.1312125770921821</v>
      </c>
      <c r="CK45" s="98">
        <v>1413.110751303554</v>
      </c>
      <c r="CL45" s="98">
        <v>1.0523881571186788</v>
      </c>
      <c r="CM45" s="98">
        <v>1314.6432858726537</v>
      </c>
      <c r="CN45" s="98">
        <v>0.91025471274117886</v>
      </c>
      <c r="CO45" s="98">
        <v>1137.0901871562808</v>
      </c>
      <c r="CP45" s="98">
        <v>1.0898341652418644</v>
      </c>
      <c r="CQ45" s="98">
        <v>1361.4208392201369</v>
      </c>
      <c r="CR45" s="98">
        <v>0.83134657214032637</v>
      </c>
      <c r="CS45" s="98">
        <v>1038.5181379176956</v>
      </c>
      <c r="CT45" s="98">
        <v>1.4936673090868997</v>
      </c>
      <c r="CU45" s="98">
        <v>1865.8892025113553</v>
      </c>
    </row>
    <row r="46" spans="2:99">
      <c r="C46" s="97" t="s">
        <v>213</v>
      </c>
      <c r="D46" s="98">
        <v>5</v>
      </c>
      <c r="E46" s="98">
        <v>6060</v>
      </c>
      <c r="F46" s="98">
        <v>3.2848858605356366</v>
      </c>
      <c r="G46" s="98">
        <v>3981.2816629691915</v>
      </c>
      <c r="H46" s="98">
        <v>3.7759810958709434</v>
      </c>
      <c r="I46" s="98">
        <v>4576.4890881955835</v>
      </c>
      <c r="J46" s="98">
        <v>0.96341651155385732</v>
      </c>
      <c r="K46" s="98">
        <v>1167.6608120032752</v>
      </c>
      <c r="L46" s="98">
        <v>1.1031119057291667</v>
      </c>
      <c r="M46" s="98">
        <v>1336.9716297437501</v>
      </c>
      <c r="N46" s="98">
        <v>1.5374381961382115</v>
      </c>
      <c r="O46" s="98">
        <v>1863.3750937195123</v>
      </c>
      <c r="P46" s="98">
        <v>1.526798485438293</v>
      </c>
      <c r="Q46" s="98">
        <v>1850.4797643512111</v>
      </c>
      <c r="R46" s="98">
        <v>1.4849583346354169</v>
      </c>
      <c r="S46" s="98">
        <v>1799.7695015781253</v>
      </c>
      <c r="T46" s="98">
        <v>1.1210486846841126</v>
      </c>
      <c r="U46" s="98">
        <v>1358.7110058371445</v>
      </c>
      <c r="V46" s="98">
        <v>1.06477983178491</v>
      </c>
      <c r="W46" s="98">
        <v>1290.5131561233109</v>
      </c>
      <c r="X46" s="98">
        <v>1.0566205993574393</v>
      </c>
      <c r="Y46" s="98">
        <v>1280.6241664212164</v>
      </c>
      <c r="Z46" s="98">
        <v>1.2008773912654471</v>
      </c>
      <c r="AA46" s="98">
        <v>1455.4633982137218</v>
      </c>
      <c r="AB46" s="98">
        <v>0.93171936081626971</v>
      </c>
      <c r="AC46" s="98">
        <v>1129.2438653093188</v>
      </c>
      <c r="AD46" s="98">
        <v>1.0990868289184512</v>
      </c>
      <c r="AE46" s="98">
        <v>1332.0932366491629</v>
      </c>
      <c r="AF46" s="98">
        <v>1.411329920581974</v>
      </c>
      <c r="AG46" s="98">
        <v>1710.5318637453524</v>
      </c>
      <c r="AH46" s="98">
        <v>0.99149546449769399</v>
      </c>
      <c r="AI46" s="98">
        <v>1201.6925029712052</v>
      </c>
      <c r="AJ46" s="98">
        <v>1.2218955022277018</v>
      </c>
      <c r="AK46" s="98">
        <v>1480.9373486999746</v>
      </c>
      <c r="AL46" s="98">
        <v>0.87993135206850448</v>
      </c>
      <c r="AM46" s="98">
        <v>1066.4767987070275</v>
      </c>
      <c r="AN46" s="98">
        <v>1.0570821450195489</v>
      </c>
      <c r="AO46" s="98">
        <v>1281.1835597636932</v>
      </c>
      <c r="AP46" s="98">
        <v>1.2180145876097728</v>
      </c>
      <c r="AQ46" s="98">
        <v>1476.2336801830445</v>
      </c>
      <c r="AR46" s="98">
        <v>1.08985491029657</v>
      </c>
      <c r="AS46" s="98">
        <v>1320.9041512794429</v>
      </c>
      <c r="AT46" s="98">
        <v>1.0828546895320428</v>
      </c>
      <c r="AU46" s="98">
        <v>1312.4198837128358</v>
      </c>
      <c r="AV46" s="98">
        <v>1.0546994054267209</v>
      </c>
      <c r="AW46" s="98">
        <v>1278.2956793771857</v>
      </c>
      <c r="AX46" s="98">
        <v>1.1012395490499332</v>
      </c>
      <c r="AY46" s="98">
        <v>1334.7023334485191</v>
      </c>
      <c r="AZ46" s="98">
        <v>0.76979206787910937</v>
      </c>
      <c r="BA46" s="98">
        <v>932.98798626948053</v>
      </c>
      <c r="BB46" s="98">
        <v>1.1333372270380992</v>
      </c>
      <c r="BC46" s="98">
        <v>1373.6047191701764</v>
      </c>
      <c r="BD46" s="98">
        <v>0.94045447004351945</v>
      </c>
      <c r="BE46" s="98">
        <v>1139.8308176927455</v>
      </c>
      <c r="BF46" s="98">
        <v>0.90735012095350287</v>
      </c>
      <c r="BG46" s="98">
        <v>1099.7083465956455</v>
      </c>
      <c r="BH46" s="98">
        <v>1.2980626743393888</v>
      </c>
      <c r="BI46" s="98">
        <v>1573.2519612993392</v>
      </c>
      <c r="BJ46" s="98">
        <v>1.1876790724755226</v>
      </c>
      <c r="BK46" s="98">
        <v>1439.4670358403334</v>
      </c>
      <c r="BL46" s="98">
        <v>1.3597608548733326</v>
      </c>
      <c r="BM46" s="98">
        <v>1648.0301561064791</v>
      </c>
      <c r="BN46" s="98">
        <v>1.183730360707419</v>
      </c>
      <c r="BO46" s="98">
        <v>1434.6811971773918</v>
      </c>
      <c r="BP46" s="98">
        <v>1.1256880453775353</v>
      </c>
      <c r="BQ46" s="98">
        <v>1364.3339109975727</v>
      </c>
      <c r="BR46" s="98">
        <v>1.0988023173668882</v>
      </c>
      <c r="BS46" s="98">
        <v>1331.7484086486684</v>
      </c>
      <c r="BT46" s="98">
        <v>0.88278652252393597</v>
      </c>
      <c r="BU46" s="98">
        <v>1069.9372652990105</v>
      </c>
      <c r="BV46" s="98">
        <v>0.84372632721406116</v>
      </c>
      <c r="BW46" s="98">
        <v>1022.5963085834421</v>
      </c>
      <c r="BX46" s="98">
        <v>1.196280797633599</v>
      </c>
      <c r="BY46" s="98">
        <v>1449.8923267319219</v>
      </c>
      <c r="BZ46" s="98">
        <v>1.3142417405819649</v>
      </c>
      <c r="CA46" s="98">
        <v>1592.8609895853415</v>
      </c>
      <c r="CB46" s="98">
        <v>1.0239391411196428</v>
      </c>
      <c r="CC46" s="98">
        <v>1241.014239037007</v>
      </c>
      <c r="CD46" s="98">
        <v>0.92075943064677923</v>
      </c>
      <c r="CE46" s="98">
        <v>1115.9604299438963</v>
      </c>
      <c r="CF46" s="98">
        <v>1.1063542747763313</v>
      </c>
      <c r="CG46" s="98">
        <v>1340.9013810289136</v>
      </c>
      <c r="CH46" s="98">
        <v>1.2010827872942171</v>
      </c>
      <c r="CI46" s="98">
        <v>1455.7123382005911</v>
      </c>
      <c r="CJ46" s="98">
        <v>1.119117357133065</v>
      </c>
      <c r="CK46" s="98">
        <v>1356.3702368452748</v>
      </c>
      <c r="CL46" s="98">
        <v>1.2277861833051256</v>
      </c>
      <c r="CM46" s="98">
        <v>1488.0768541658122</v>
      </c>
      <c r="CN46" s="98">
        <v>1.1038497298117975</v>
      </c>
      <c r="CO46" s="98">
        <v>1337.8658725318985</v>
      </c>
      <c r="CP46" s="98">
        <v>1.1030451390887066</v>
      </c>
      <c r="CQ46" s="98">
        <v>1336.8907085755125</v>
      </c>
      <c r="CR46" s="98">
        <v>0.83134657214032637</v>
      </c>
      <c r="CS46" s="98">
        <v>1007.5920454340755</v>
      </c>
      <c r="CT46" s="98">
        <v>1.3127367001499226</v>
      </c>
      <c r="CU46" s="98">
        <v>1591.0368805817061</v>
      </c>
    </row>
    <row r="47" spans="2:99">
      <c r="C47" s="97" t="s">
        <v>214</v>
      </c>
      <c r="D47" s="98">
        <v>6</v>
      </c>
      <c r="E47" s="98">
        <v>9165.5999999999985</v>
      </c>
      <c r="F47" s="98">
        <v>3.2848858605356366</v>
      </c>
      <c r="G47" s="98">
        <v>5017.9916405542381</v>
      </c>
      <c r="H47" s="98">
        <v>3.7759810958709434</v>
      </c>
      <c r="I47" s="98">
        <v>5768.1887220524532</v>
      </c>
      <c r="J47" s="98">
        <v>0.96341651155385732</v>
      </c>
      <c r="K47" s="98">
        <v>1471.7150630496724</v>
      </c>
      <c r="L47" s="98">
        <v>1.1031119057291667</v>
      </c>
      <c r="M47" s="98">
        <v>1685.1137471918751</v>
      </c>
      <c r="N47" s="98">
        <v>1.3452584216209351</v>
      </c>
      <c r="O47" s="98">
        <v>2055.0167648681404</v>
      </c>
      <c r="P47" s="98">
        <v>1.3359486747585063</v>
      </c>
      <c r="Q47" s="98">
        <v>2040.795195561094</v>
      </c>
      <c r="R47" s="98">
        <v>1.4849583346354169</v>
      </c>
      <c r="S47" s="98">
        <v>2268.4223519890629</v>
      </c>
      <c r="T47" s="98">
        <v>1.1210486846841126</v>
      </c>
      <c r="U47" s="98">
        <v>1712.5139707234503</v>
      </c>
      <c r="V47" s="98">
        <v>1.06477983178491</v>
      </c>
      <c r="W47" s="98">
        <v>1626.5576710346284</v>
      </c>
      <c r="X47" s="98">
        <v>1.2679447192289273</v>
      </c>
      <c r="Y47" s="98">
        <v>1936.9123530941092</v>
      </c>
      <c r="Z47" s="98">
        <v>1.2008773912654471</v>
      </c>
      <c r="AA47" s="98">
        <v>1834.4603028970969</v>
      </c>
      <c r="AB47" s="98">
        <v>0.93171936081626971</v>
      </c>
      <c r="AC47" s="98">
        <v>1423.2944955829335</v>
      </c>
      <c r="AD47" s="98">
        <v>1.1130847077072086</v>
      </c>
      <c r="AE47" s="98">
        <v>1700.3481994935316</v>
      </c>
      <c r="AF47" s="98">
        <v>1.2312638163801237</v>
      </c>
      <c r="AG47" s="98">
        <v>1880.8786059022768</v>
      </c>
      <c r="AH47" s="98">
        <v>0.81182760844859381</v>
      </c>
      <c r="AI47" s="98">
        <v>1240.1478546660719</v>
      </c>
      <c r="AJ47" s="98">
        <v>1.0787499474581963</v>
      </c>
      <c r="AK47" s="98">
        <v>1647.8984197371406</v>
      </c>
      <c r="AL47" s="98">
        <v>0.89507403044976674</v>
      </c>
      <c r="AM47" s="98">
        <v>1367.3150889150636</v>
      </c>
      <c r="AN47" s="98">
        <v>1.0746048653092068</v>
      </c>
      <c r="AO47" s="98">
        <v>1641.5663922463443</v>
      </c>
      <c r="AP47" s="98">
        <v>1.2180145876097728</v>
      </c>
      <c r="AQ47" s="98">
        <v>1860.6390840326887</v>
      </c>
      <c r="AR47" s="98">
        <v>0.91972023378238177</v>
      </c>
      <c r="AS47" s="98">
        <v>1404.9646291259662</v>
      </c>
      <c r="AT47" s="98">
        <v>1.0828546895320428</v>
      </c>
      <c r="AU47" s="98">
        <v>1654.1688237291485</v>
      </c>
      <c r="AV47" s="98">
        <v>1.0546994054267209</v>
      </c>
      <c r="AW47" s="98">
        <v>1611.1588117298588</v>
      </c>
      <c r="AX47" s="98">
        <v>1.1012395490499332</v>
      </c>
      <c r="AY47" s="98">
        <v>1682.2535351286779</v>
      </c>
      <c r="AZ47" s="98">
        <v>0.75849230929483025</v>
      </c>
      <c r="BA47" s="98">
        <v>1158.6728516787825</v>
      </c>
      <c r="BB47" s="98">
        <v>1.1333372270380992</v>
      </c>
      <c r="BC47" s="98">
        <v>1731.2859480234004</v>
      </c>
      <c r="BD47" s="98">
        <v>1.1058145772134724</v>
      </c>
      <c r="BE47" s="98">
        <v>1689.2423481513003</v>
      </c>
      <c r="BF47" s="98">
        <v>1.0819646333322899</v>
      </c>
      <c r="BG47" s="98">
        <v>1652.809173878406</v>
      </c>
      <c r="BH47" s="98">
        <v>1.2980626743393888</v>
      </c>
      <c r="BI47" s="98">
        <v>1982.9205413208501</v>
      </c>
      <c r="BJ47" s="98">
        <v>1.1876790724755226</v>
      </c>
      <c r="BK47" s="98">
        <v>1814.2985511136083</v>
      </c>
      <c r="BL47" s="98">
        <v>1.3597608548733326</v>
      </c>
      <c r="BM47" s="98">
        <v>2077.170681904503</v>
      </c>
      <c r="BN47" s="98">
        <v>1.3264007980589707</v>
      </c>
      <c r="BO47" s="98">
        <v>2026.2098591148836</v>
      </c>
      <c r="BP47" s="98">
        <v>1.1256880453775353</v>
      </c>
      <c r="BQ47" s="98">
        <v>1719.6010581187229</v>
      </c>
      <c r="BR47" s="98">
        <v>1.0855854311017945</v>
      </c>
      <c r="BS47" s="98">
        <v>1658.3403045511011</v>
      </c>
      <c r="BT47" s="98">
        <v>1.023624971897898</v>
      </c>
      <c r="BU47" s="98">
        <v>1563.6895070712289</v>
      </c>
      <c r="BV47" s="98">
        <v>1.0233911068717256</v>
      </c>
      <c r="BW47" s="98">
        <v>1563.332254857248</v>
      </c>
      <c r="BX47" s="98">
        <v>1.009413162215191</v>
      </c>
      <c r="BY47" s="98">
        <v>1541.9795465999257</v>
      </c>
      <c r="BZ47" s="98">
        <v>1.1562895441807908</v>
      </c>
      <c r="CA47" s="98">
        <v>1766.347907690576</v>
      </c>
      <c r="CB47" s="98">
        <v>1.0239391411196428</v>
      </c>
      <c r="CC47" s="98">
        <v>1564.1694319743663</v>
      </c>
      <c r="CD47" s="98">
        <v>1.0972200566281149</v>
      </c>
      <c r="CE47" s="98">
        <v>1676.1133585051084</v>
      </c>
      <c r="CF47" s="98">
        <v>1.2542917188444853</v>
      </c>
      <c r="CG47" s="98">
        <v>1916.0560297068357</v>
      </c>
      <c r="CH47" s="98">
        <v>1.0750435776110681</v>
      </c>
      <c r="CI47" s="98">
        <v>1642.2365691586674</v>
      </c>
      <c r="CJ47" s="98">
        <v>0.95477236753593608</v>
      </c>
      <c r="CK47" s="98">
        <v>1458.5102686478958</v>
      </c>
      <c r="CL47" s="98">
        <v>1.0523881571186788</v>
      </c>
      <c r="CM47" s="98">
        <v>1607.6281488144937</v>
      </c>
      <c r="CN47" s="98">
        <v>0.91025471274117886</v>
      </c>
      <c r="CO47" s="98">
        <v>1390.5050991834248</v>
      </c>
      <c r="CP47" s="98">
        <v>1.0766231913950224</v>
      </c>
      <c r="CQ47" s="98">
        <v>1644.649587175036</v>
      </c>
      <c r="CR47" s="98">
        <v>0.83134657214032637</v>
      </c>
      <c r="CS47" s="98">
        <v>1269.9650236015625</v>
      </c>
      <c r="CT47" s="98">
        <v>1.1472135704099733</v>
      </c>
      <c r="CU47" s="98">
        <v>1752.483450158275</v>
      </c>
    </row>
    <row r="48" spans="2:99">
      <c r="C48" s="97" t="s">
        <v>215</v>
      </c>
      <c r="D48" s="98">
        <v>5</v>
      </c>
      <c r="E48" s="98">
        <v>4338</v>
      </c>
      <c r="F48" s="98">
        <v>3.2848858605356366</v>
      </c>
      <c r="G48" s="98">
        <v>2849.9669726007182</v>
      </c>
      <c r="H48" s="98">
        <v>4.405311278516101</v>
      </c>
      <c r="I48" s="98">
        <v>3822.0480652405695</v>
      </c>
      <c r="J48" s="98">
        <v>0.96341651155385732</v>
      </c>
      <c r="K48" s="98">
        <v>835.86016542412665</v>
      </c>
      <c r="L48" s="98">
        <v>1.3237342868750002</v>
      </c>
      <c r="M48" s="98">
        <v>1148.4718672927502</v>
      </c>
      <c r="N48" s="98">
        <v>1.5374381961382115</v>
      </c>
      <c r="O48" s="98">
        <v>1333.8813789695123</v>
      </c>
      <c r="P48" s="98">
        <v>1.3359486747585063</v>
      </c>
      <c r="Q48" s="98">
        <v>1159.0690702204802</v>
      </c>
      <c r="R48" s="98">
        <v>1.4849583346354169</v>
      </c>
      <c r="S48" s="98">
        <v>1288.3498511296877</v>
      </c>
      <c r="T48" s="98">
        <v>1.3452584216209351</v>
      </c>
      <c r="U48" s="98">
        <v>1167.1462065983233</v>
      </c>
      <c r="V48" s="98">
        <v>1.06477983178491</v>
      </c>
      <c r="W48" s="98">
        <v>923.80298205658789</v>
      </c>
      <c r="X48" s="98">
        <v>1.0566205993574393</v>
      </c>
      <c r="Y48" s="98">
        <v>916.72403200251438</v>
      </c>
      <c r="Z48" s="98">
        <v>1.3632607750621928</v>
      </c>
      <c r="AA48" s="98">
        <v>1182.7650484439584</v>
      </c>
      <c r="AB48" s="98">
        <v>0.94916466665741461</v>
      </c>
      <c r="AC48" s="98">
        <v>823.49526479197289</v>
      </c>
      <c r="AD48" s="98">
        <v>1.0990868289184512</v>
      </c>
      <c r="AE48" s="98">
        <v>953.56773276964827</v>
      </c>
      <c r="AF48" s="98">
        <v>1.5913960247838244</v>
      </c>
      <c r="AG48" s="98">
        <v>1380.695191102446</v>
      </c>
      <c r="AH48" s="98">
        <v>1.0070214952063929</v>
      </c>
      <c r="AI48" s="98">
        <v>873.69184924106651</v>
      </c>
      <c r="AJ48" s="98">
        <v>1.2341108699410999</v>
      </c>
      <c r="AK48" s="98">
        <v>1070.7145907608983</v>
      </c>
      <c r="AL48" s="98">
        <v>1.0658431637277903</v>
      </c>
      <c r="AM48" s="98">
        <v>924.72552885023094</v>
      </c>
      <c r="AN48" s="98">
        <v>1.0921275855988655</v>
      </c>
      <c r="AO48" s="98">
        <v>947.52989326557565</v>
      </c>
      <c r="AP48" s="98">
        <v>1.4000158867236729</v>
      </c>
      <c r="AQ48" s="98">
        <v>1214.6537833214586</v>
      </c>
      <c r="AR48" s="98">
        <v>0.91972023378238177</v>
      </c>
      <c r="AS48" s="98">
        <v>797.9492748295944</v>
      </c>
      <c r="AT48" s="98">
        <v>1.0828546895320428</v>
      </c>
      <c r="AU48" s="98">
        <v>939.48472863800032</v>
      </c>
      <c r="AV48" s="98">
        <v>1.2276777873498279</v>
      </c>
      <c r="AW48" s="98">
        <v>1065.1332483047108</v>
      </c>
      <c r="AX48" s="98">
        <v>1.1345748439934675</v>
      </c>
      <c r="AY48" s="98">
        <v>984.35713464873243</v>
      </c>
      <c r="AZ48" s="98">
        <v>0.75849230929483025</v>
      </c>
      <c r="BA48" s="98">
        <v>658.06792754419473</v>
      </c>
      <c r="BB48" s="98">
        <v>1.2801691458474926</v>
      </c>
      <c r="BC48" s="98">
        <v>1110.6747509372847</v>
      </c>
      <c r="BD48" s="98">
        <v>1.2874109606968189</v>
      </c>
      <c r="BE48" s="98">
        <v>1116.9577495005601</v>
      </c>
      <c r="BF48" s="98">
        <v>0.90735012095350287</v>
      </c>
      <c r="BG48" s="98">
        <v>787.21696493925913</v>
      </c>
      <c r="BH48" s="98">
        <v>1.4654981398014375</v>
      </c>
      <c r="BI48" s="98">
        <v>1271.4661860917272</v>
      </c>
      <c r="BJ48" s="98">
        <v>1.1876790724755226</v>
      </c>
      <c r="BK48" s="98">
        <v>1030.4303632797635</v>
      </c>
      <c r="BL48" s="98">
        <v>1.3597608548733326</v>
      </c>
      <c r="BM48" s="98">
        <v>1179.7285176881035</v>
      </c>
      <c r="BN48" s="98">
        <v>1.1694967223038377</v>
      </c>
      <c r="BO48" s="98">
        <v>1014.6553562708096</v>
      </c>
      <c r="BP48" s="98">
        <v>1.310714429520484</v>
      </c>
      <c r="BQ48" s="98">
        <v>1137.1758390519719</v>
      </c>
      <c r="BR48" s="98">
        <v>1.0988023173668882</v>
      </c>
      <c r="BS48" s="98">
        <v>953.32089054751214</v>
      </c>
      <c r="BT48" s="98">
        <v>1.0355312569415065</v>
      </c>
      <c r="BU48" s="98">
        <v>898.42691852245105</v>
      </c>
      <c r="BV48" s="98">
        <v>0.85935972828698637</v>
      </c>
      <c r="BW48" s="98">
        <v>745.58050026178944</v>
      </c>
      <c r="BX48" s="98">
        <v>1.1662508035843386</v>
      </c>
      <c r="BY48" s="98">
        <v>1011.8391971897722</v>
      </c>
      <c r="BZ48" s="98">
        <v>1.1562895441807908</v>
      </c>
      <c r="CA48" s="98">
        <v>1003.1968085312541</v>
      </c>
      <c r="CB48" s="98">
        <v>1.0239391411196428</v>
      </c>
      <c r="CC48" s="98">
        <v>888.36959883540214</v>
      </c>
      <c r="CD48" s="98">
        <v>0.94639696447351307</v>
      </c>
      <c r="CE48" s="98">
        <v>821.09400637722001</v>
      </c>
      <c r="CF48" s="98">
        <v>1.2679623194924483</v>
      </c>
      <c r="CG48" s="98">
        <v>1100.0841083916482</v>
      </c>
      <c r="CH48" s="98">
        <v>1.0750435776110681</v>
      </c>
      <c r="CI48" s="98">
        <v>932.70780793536267</v>
      </c>
      <c r="CJ48" s="98">
        <v>1.1312125770921821</v>
      </c>
      <c r="CK48" s="98">
        <v>981.44003188517729</v>
      </c>
      <c r="CL48" s="98">
        <v>1.2277861833051256</v>
      </c>
      <c r="CM48" s="98">
        <v>1065.227292635527</v>
      </c>
      <c r="CN48" s="98">
        <v>1.1038497298117975</v>
      </c>
      <c r="CO48" s="98">
        <v>957.7000255847156</v>
      </c>
      <c r="CP48" s="98">
        <v>1.0898341652418644</v>
      </c>
      <c r="CQ48" s="98">
        <v>945.54012176384151</v>
      </c>
      <c r="CR48" s="98">
        <v>0.83134657214032637</v>
      </c>
      <c r="CS48" s="98">
        <v>721.27628598894717</v>
      </c>
      <c r="CT48" s="98">
        <v>1.4936673090868997</v>
      </c>
      <c r="CU48" s="98">
        <v>1295.9057573637942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5</v>
      </c>
      <c r="G49" s="98">
        <v>4926</v>
      </c>
      <c r="H49" s="98">
        <v>4</v>
      </c>
      <c r="I49" s="98">
        <v>3940.7999999999997</v>
      </c>
      <c r="J49" s="98">
        <v>0.79166627690125946</v>
      </c>
      <c r="K49" s="98">
        <v>779.94961600312081</v>
      </c>
      <c r="L49" s="98">
        <v>0.45810289659090925</v>
      </c>
      <c r="M49" s="98">
        <v>451.32297372136378</v>
      </c>
      <c r="N49" s="98">
        <v>0.46658628356481496</v>
      </c>
      <c r="O49" s="98">
        <v>459.68080656805569</v>
      </c>
      <c r="P49" s="98">
        <v>0.24541226603084423</v>
      </c>
      <c r="Q49" s="98">
        <v>241.78016449358773</v>
      </c>
      <c r="R49" s="98">
        <v>0.54300989897629337</v>
      </c>
      <c r="S49" s="98">
        <v>534.97335247144417</v>
      </c>
      <c r="T49" s="98">
        <v>0.42704507309322048</v>
      </c>
      <c r="U49" s="98">
        <v>420.72480601144082</v>
      </c>
      <c r="V49" s="98">
        <v>0.24864137479440798</v>
      </c>
      <c r="W49" s="98">
        <v>244.96148244745072</v>
      </c>
      <c r="X49" s="98">
        <v>0.44992248772321441</v>
      </c>
      <c r="Y49" s="98">
        <v>443.26363490491082</v>
      </c>
      <c r="Z49" s="98">
        <v>0.35269863319803113</v>
      </c>
      <c r="AA49" s="98">
        <v>347.47869342670026</v>
      </c>
      <c r="AB49" s="98">
        <v>0.24281678075606161</v>
      </c>
      <c r="AC49" s="98">
        <v>239.22309240087188</v>
      </c>
      <c r="AD49" s="98">
        <v>0.38457389889427834</v>
      </c>
      <c r="AE49" s="98">
        <v>378.88220519064299</v>
      </c>
      <c r="AF49" s="98">
        <v>0.33970999676227115</v>
      </c>
      <c r="AG49" s="98">
        <v>334.6822888101895</v>
      </c>
      <c r="AH49" s="98">
        <v>0.37119702610310884</v>
      </c>
      <c r="AI49" s="98">
        <v>365.7033101167828</v>
      </c>
      <c r="AJ49" s="98">
        <v>0.33131424989731911</v>
      </c>
      <c r="AK49" s="98">
        <v>326.41079899883874</v>
      </c>
      <c r="AL49" s="98">
        <v>0.36947447330634908</v>
      </c>
      <c r="AM49" s="98">
        <v>364.0062511014151</v>
      </c>
      <c r="AN49" s="98">
        <v>0.28215902661856612</v>
      </c>
      <c r="AO49" s="98">
        <v>277.98307302461131</v>
      </c>
      <c r="AP49" s="98">
        <v>0.2602319652072434</v>
      </c>
      <c r="AQ49" s="98">
        <v>256.38053212217619</v>
      </c>
      <c r="AR49" s="98">
        <v>0.46606309534759072</v>
      </c>
      <c r="AS49" s="98">
        <v>459.16536153644637</v>
      </c>
      <c r="AT49" s="98">
        <v>0.30462964838298706</v>
      </c>
      <c r="AU49" s="98">
        <v>300.12112958691881</v>
      </c>
      <c r="AV49" s="98">
        <v>0.26971009249658184</v>
      </c>
      <c r="AW49" s="98">
        <v>265.71838312763242</v>
      </c>
      <c r="AX49" s="98">
        <v>0.28191805119901492</v>
      </c>
      <c r="AY49" s="98">
        <v>277.74566404126949</v>
      </c>
      <c r="AZ49" s="98">
        <v>0.33544891314178821</v>
      </c>
      <c r="BA49" s="98">
        <v>330.4842692272897</v>
      </c>
      <c r="BB49" s="98">
        <v>0.47480501042179707</v>
      </c>
      <c r="BC49" s="98">
        <v>467.77789626755447</v>
      </c>
      <c r="BD49" s="98">
        <v>0.27047572495059719</v>
      </c>
      <c r="BE49" s="98">
        <v>266.47268422132834</v>
      </c>
      <c r="BF49" s="98">
        <v>0.32649130066915311</v>
      </c>
      <c r="BG49" s="98">
        <v>321.65922941924964</v>
      </c>
      <c r="BH49" s="98">
        <v>0.28580919931262005</v>
      </c>
      <c r="BI49" s="98">
        <v>281.57922316279326</v>
      </c>
      <c r="BJ49" s="98">
        <v>0.34172878829004499</v>
      </c>
      <c r="BK49" s="98">
        <v>336.67120222335228</v>
      </c>
      <c r="BL49" s="98">
        <v>0.22153851487358159</v>
      </c>
      <c r="BM49" s="98">
        <v>218.25974485345256</v>
      </c>
      <c r="BN49" s="98">
        <v>0.2573547173274241</v>
      </c>
      <c r="BO49" s="98">
        <v>253.54586751097821</v>
      </c>
      <c r="BP49" s="98">
        <v>0.22610879592340791</v>
      </c>
      <c r="BQ49" s="98">
        <v>222.76238574374145</v>
      </c>
      <c r="BR49" s="98">
        <v>0.2889735777720962</v>
      </c>
      <c r="BS49" s="98">
        <v>284.69676882106916</v>
      </c>
      <c r="BT49" s="98">
        <v>0.37421624627871036</v>
      </c>
      <c r="BU49" s="98">
        <v>368.6778458337854</v>
      </c>
      <c r="BV49" s="98">
        <v>0.29429472480445923</v>
      </c>
      <c r="BW49" s="98">
        <v>289.93916287735323</v>
      </c>
      <c r="BX49" s="98">
        <v>0.31810515812192991</v>
      </c>
      <c r="BY49" s="98">
        <v>313.3972017817253</v>
      </c>
      <c r="BZ49" s="98">
        <v>0.25536709290858017</v>
      </c>
      <c r="CA49" s="98">
        <v>251.58765993353316</v>
      </c>
      <c r="CB49" s="98">
        <v>0.33770374806967818</v>
      </c>
      <c r="CC49" s="98">
        <v>332.70573259824693</v>
      </c>
      <c r="CD49" s="98">
        <v>0.28961548177677443</v>
      </c>
      <c r="CE49" s="98">
        <v>285.32917264647813</v>
      </c>
      <c r="CF49" s="98">
        <v>0.28762377138560213</v>
      </c>
      <c r="CG49" s="98">
        <v>283.36693956909522</v>
      </c>
      <c r="CH49" s="98">
        <v>0.45317123213847793</v>
      </c>
      <c r="CI49" s="98">
        <v>446.46429790282843</v>
      </c>
      <c r="CJ49" s="98">
        <v>0.33967086801715307</v>
      </c>
      <c r="CK49" s="98">
        <v>334.6437391704992</v>
      </c>
      <c r="CL49" s="98">
        <v>0.31898322091956122</v>
      </c>
      <c r="CM49" s="98">
        <v>314.26226924995171</v>
      </c>
      <c r="CN49" s="98">
        <v>0.20303486671699655</v>
      </c>
      <c r="CO49" s="98">
        <v>200.02995068958498</v>
      </c>
      <c r="CP49" s="98">
        <v>0.24806865350768398</v>
      </c>
      <c r="CQ49" s="98">
        <v>244.39723743577025</v>
      </c>
      <c r="CR49" s="98">
        <v>0.30132249105462072</v>
      </c>
      <c r="CS49" s="98">
        <v>296.86291818701233</v>
      </c>
      <c r="CT49" s="98">
        <v>0.32376087157409267</v>
      </c>
      <c r="CU49" s="98">
        <v>318.9692106747961</v>
      </c>
    </row>
    <row r="50" spans="2:99">
      <c r="C50" s="97" t="s">
        <v>217</v>
      </c>
      <c r="D50" s="98">
        <v>3</v>
      </c>
      <c r="E50" s="98">
        <v>846</v>
      </c>
      <c r="F50" s="98">
        <v>2.6279086884285094</v>
      </c>
      <c r="G50" s="98">
        <v>741.07025013683972</v>
      </c>
      <c r="H50" s="98">
        <v>2.5173207305806291</v>
      </c>
      <c r="I50" s="98">
        <v>709.88444602373738</v>
      </c>
      <c r="J50" s="98">
        <v>0.96341651155385732</v>
      </c>
      <c r="K50" s="98">
        <v>271.68345625818779</v>
      </c>
      <c r="L50" s="98">
        <v>0.88248952458333341</v>
      </c>
      <c r="M50" s="98">
        <v>248.86204593250002</v>
      </c>
      <c r="N50" s="98">
        <v>0.96089887258638207</v>
      </c>
      <c r="O50" s="98">
        <v>270.97348206935976</v>
      </c>
      <c r="P50" s="98">
        <v>0.7633992427191465</v>
      </c>
      <c r="Q50" s="98">
        <v>215.27858644679932</v>
      </c>
      <c r="R50" s="98">
        <v>0.84854761979166671</v>
      </c>
      <c r="S50" s="98">
        <v>239.29042878125</v>
      </c>
      <c r="T50" s="98">
        <v>0.89683894774729012</v>
      </c>
      <c r="U50" s="98">
        <v>252.90858326473582</v>
      </c>
      <c r="V50" s="98">
        <v>0.63886789907094599</v>
      </c>
      <c r="W50" s="98">
        <v>180.16074753800677</v>
      </c>
      <c r="X50" s="98">
        <v>1.0566205993574393</v>
      </c>
      <c r="Y50" s="98">
        <v>297.96700901879791</v>
      </c>
      <c r="Z50" s="98">
        <v>0.75652304300069551</v>
      </c>
      <c r="AA50" s="98">
        <v>213.33949812619613</v>
      </c>
      <c r="AB50" s="98">
        <v>0.65517625600933993</v>
      </c>
      <c r="AC50" s="98">
        <v>184.75970419463385</v>
      </c>
      <c r="AD50" s="98">
        <v>0.73272455261230085</v>
      </c>
      <c r="AE50" s="98">
        <v>206.62832383666884</v>
      </c>
      <c r="AF50" s="98">
        <v>0.6636351053802052</v>
      </c>
      <c r="AG50" s="98">
        <v>187.14509971721787</v>
      </c>
      <c r="AH50" s="98">
        <v>0.89833928024550092</v>
      </c>
      <c r="AI50" s="98">
        <v>253.33167702923126</v>
      </c>
      <c r="AJ50" s="98">
        <v>0.6947358962120016</v>
      </c>
      <c r="AK50" s="98">
        <v>195.91552273178445</v>
      </c>
      <c r="AL50" s="98">
        <v>1.0507004853465283</v>
      </c>
      <c r="AM50" s="98">
        <v>296.29753686772096</v>
      </c>
      <c r="AN50" s="98">
        <v>0.66579018353311425</v>
      </c>
      <c r="AO50" s="98">
        <v>187.75283175633822</v>
      </c>
      <c r="AP50" s="98">
        <v>0.65625984115227642</v>
      </c>
      <c r="AQ50" s="98">
        <v>185.06527520494194</v>
      </c>
      <c r="AR50" s="98">
        <v>1.0346174293274182</v>
      </c>
      <c r="AS50" s="98">
        <v>291.7621150703319</v>
      </c>
      <c r="AT50" s="98">
        <v>0.68140936240192895</v>
      </c>
      <c r="AU50" s="98">
        <v>192.15744019734396</v>
      </c>
      <c r="AV50" s="98">
        <v>0.72557175546858654</v>
      </c>
      <c r="AW50" s="98">
        <v>204.6112350421414</v>
      </c>
      <c r="AX50" s="98">
        <v>0.877658109745593</v>
      </c>
      <c r="AY50" s="98">
        <v>247.49958694825722</v>
      </c>
      <c r="AZ50" s="98">
        <v>0.724593033541993</v>
      </c>
      <c r="BA50" s="98">
        <v>204.33523545884202</v>
      </c>
      <c r="BB50" s="98">
        <v>0.83967338941931202</v>
      </c>
      <c r="BC50" s="98">
        <v>236.78789581624599</v>
      </c>
      <c r="BD50" s="98">
        <v>0.94045447004351945</v>
      </c>
      <c r="BE50" s="98">
        <v>265.20816055227249</v>
      </c>
      <c r="BF50" s="98">
        <v>1.0521229088410964</v>
      </c>
      <c r="BG50" s="98">
        <v>296.69866029318916</v>
      </c>
      <c r="BH50" s="98">
        <v>0.59051648765967946</v>
      </c>
      <c r="BI50" s="98">
        <v>166.52564952002962</v>
      </c>
      <c r="BJ50" s="98">
        <v>0.867819292108438</v>
      </c>
      <c r="BK50" s="98">
        <v>244.72504037457952</v>
      </c>
      <c r="BL50" s="98">
        <v>0.62303543067282463</v>
      </c>
      <c r="BM50" s="98">
        <v>175.69599144973654</v>
      </c>
      <c r="BN50" s="98">
        <v>0.69878449503843854</v>
      </c>
      <c r="BO50" s="98">
        <v>197.05722760083967</v>
      </c>
      <c r="BP50" s="98">
        <v>0.64825759554791018</v>
      </c>
      <c r="BQ50" s="98">
        <v>182.80864194451067</v>
      </c>
      <c r="BR50" s="98">
        <v>0.74575176450968583</v>
      </c>
      <c r="BS50" s="98">
        <v>210.30199759173141</v>
      </c>
      <c r="BT50" s="98">
        <v>0.99981240181068121</v>
      </c>
      <c r="BU50" s="98">
        <v>281.94709731061209</v>
      </c>
      <c r="BV50" s="98">
        <v>1.0233911068717256</v>
      </c>
      <c r="BW50" s="98">
        <v>288.59629213782665</v>
      </c>
      <c r="BX50" s="98">
        <v>0.77750053572289257</v>
      </c>
      <c r="BY50" s="98">
        <v>219.2551510738557</v>
      </c>
      <c r="BZ50" s="98">
        <v>0.59304308393137739</v>
      </c>
      <c r="CA50" s="98">
        <v>167.23814966864842</v>
      </c>
      <c r="CB50" s="98">
        <v>0.72616611369994888</v>
      </c>
      <c r="CC50" s="98">
        <v>204.77884406338558</v>
      </c>
      <c r="CD50" s="98">
        <v>0.58065694559747472</v>
      </c>
      <c r="CE50" s="98">
        <v>163.74525865848787</v>
      </c>
      <c r="CF50" s="98">
        <v>0.74212638340020842</v>
      </c>
      <c r="CG50" s="98">
        <v>209.27964011885877</v>
      </c>
      <c r="CH50" s="98">
        <v>0.65561828216968665</v>
      </c>
      <c r="CI50" s="98">
        <v>184.88435557185164</v>
      </c>
      <c r="CJ50" s="98">
        <v>0.88220104778123143</v>
      </c>
      <c r="CK50" s="98">
        <v>248.78069547430727</v>
      </c>
      <c r="CL50" s="98">
        <v>0.73977307388362656</v>
      </c>
      <c r="CM50" s="98">
        <v>208.6160068351827</v>
      </c>
      <c r="CN50" s="98">
        <v>0.64872237344120809</v>
      </c>
      <c r="CO50" s="98">
        <v>182.93970931042068</v>
      </c>
      <c r="CP50" s="98">
        <v>0.57794451723803753</v>
      </c>
      <c r="CQ50" s="98">
        <v>162.98035386112659</v>
      </c>
      <c r="CR50" s="98">
        <v>0.65025833519468368</v>
      </c>
      <c r="CS50" s="98">
        <v>183.3728505249008</v>
      </c>
      <c r="CT50" s="98">
        <v>0.75453739414196375</v>
      </c>
      <c r="CU50" s="98">
        <v>212.77954514803378</v>
      </c>
    </row>
    <row r="51" spans="2:99">
      <c r="C51" s="97" t="s">
        <v>218</v>
      </c>
      <c r="D51" s="98">
        <v>4</v>
      </c>
      <c r="E51" s="98">
        <v>3417.6</v>
      </c>
      <c r="F51" s="98">
        <v>2.6279086884285094</v>
      </c>
      <c r="G51" s="98">
        <v>2245.2851833933182</v>
      </c>
      <c r="H51" s="98">
        <v>2.5173207305806291</v>
      </c>
      <c r="I51" s="98">
        <v>2150.7988322080896</v>
      </c>
      <c r="J51" s="98">
        <v>0.96341651155385732</v>
      </c>
      <c r="K51" s="98">
        <v>823.14306747161572</v>
      </c>
      <c r="L51" s="98">
        <v>0.66186714343750008</v>
      </c>
      <c r="M51" s="98">
        <v>565.499287353</v>
      </c>
      <c r="N51" s="98">
        <v>0.96089887258638207</v>
      </c>
      <c r="O51" s="98">
        <v>820.99199673780481</v>
      </c>
      <c r="P51" s="98">
        <v>0.57254943203935982</v>
      </c>
      <c r="Q51" s="98">
        <v>489.18623473442904</v>
      </c>
      <c r="R51" s="98">
        <v>0.84854761979166671</v>
      </c>
      <c r="S51" s="98">
        <v>724.99908634999997</v>
      </c>
      <c r="T51" s="98">
        <v>0.67262921081046756</v>
      </c>
      <c r="U51" s="98">
        <v>574.69439771646341</v>
      </c>
      <c r="V51" s="98">
        <v>0.63886789907094599</v>
      </c>
      <c r="W51" s="98">
        <v>545.84873296621629</v>
      </c>
      <c r="X51" s="98">
        <v>0.84529647948595144</v>
      </c>
      <c r="Y51" s="98">
        <v>722.22131207279688</v>
      </c>
      <c r="Z51" s="98">
        <v>0.73512514143795293</v>
      </c>
      <c r="AA51" s="98">
        <v>628.090920844587</v>
      </c>
      <c r="AB51" s="98">
        <v>0.65517625600933993</v>
      </c>
      <c r="AC51" s="98">
        <v>559.78259313438002</v>
      </c>
      <c r="AD51" s="98">
        <v>0.73272455261230085</v>
      </c>
      <c r="AE51" s="98">
        <v>626.03985775194985</v>
      </c>
      <c r="AF51" s="98">
        <v>0.483569001178355</v>
      </c>
      <c r="AG51" s="98">
        <v>413.16135460678652</v>
      </c>
      <c r="AH51" s="98">
        <v>0.89833928024550092</v>
      </c>
      <c r="AI51" s="98">
        <v>767.541081041756</v>
      </c>
      <c r="AJ51" s="98">
        <v>0.68252052849860367</v>
      </c>
      <c r="AK51" s="98">
        <v>583.145539549207</v>
      </c>
      <c r="AL51" s="98">
        <v>0.84964599530597984</v>
      </c>
      <c r="AM51" s="98">
        <v>725.93753838942916</v>
      </c>
      <c r="AN51" s="98">
        <v>0.66579018353311425</v>
      </c>
      <c r="AO51" s="98">
        <v>568.85113281069277</v>
      </c>
      <c r="AP51" s="98">
        <v>0.64050899203647971</v>
      </c>
      <c r="AQ51" s="98">
        <v>547.25088279596821</v>
      </c>
      <c r="AR51" s="98">
        <v>0.87829212305551785</v>
      </c>
      <c r="AS51" s="98">
        <v>750.41278993863443</v>
      </c>
      <c r="AT51" s="98">
        <v>0.66380016868931602</v>
      </c>
      <c r="AU51" s="98">
        <v>567.15086412815162</v>
      </c>
      <c r="AV51" s="98">
        <v>0.70874264158050715</v>
      </c>
      <c r="AW51" s="98">
        <v>605.5497129663853</v>
      </c>
      <c r="AX51" s="98">
        <v>0.877658109745593</v>
      </c>
      <c r="AY51" s="98">
        <v>749.8710889666346</v>
      </c>
      <c r="AZ51" s="98">
        <v>0.713293274957714</v>
      </c>
      <c r="BA51" s="98">
        <v>609.43777412387078</v>
      </c>
      <c r="BB51" s="98">
        <v>0.83967338941931202</v>
      </c>
      <c r="BC51" s="98">
        <v>717.41694391986016</v>
      </c>
      <c r="BD51" s="98">
        <v>0.92421819373012593</v>
      </c>
      <c r="BE51" s="98">
        <v>789.65202472301962</v>
      </c>
      <c r="BF51" s="98">
        <v>0.84766667197111567</v>
      </c>
      <c r="BG51" s="98">
        <v>724.24640453212123</v>
      </c>
      <c r="BH51" s="98">
        <v>0.59051648765967946</v>
      </c>
      <c r="BI51" s="98">
        <v>504.5372870564301</v>
      </c>
      <c r="BJ51" s="98">
        <v>0.88021380868856969</v>
      </c>
      <c r="BK51" s="98">
        <v>752.05467814351391</v>
      </c>
      <c r="BL51" s="98">
        <v>0.62303543067282463</v>
      </c>
      <c r="BM51" s="98">
        <v>532.3214719668614</v>
      </c>
      <c r="BN51" s="98">
        <v>0.71301813344201992</v>
      </c>
      <c r="BO51" s="98">
        <v>609.20269321286185</v>
      </c>
      <c r="BP51" s="98">
        <v>0.63272785502806617</v>
      </c>
      <c r="BQ51" s="98">
        <v>540.6026793359797</v>
      </c>
      <c r="BR51" s="98">
        <v>0.75896865077477937</v>
      </c>
      <c r="BS51" s="98">
        <v>648.46281522197148</v>
      </c>
      <c r="BT51" s="98">
        <v>0.84706766739311068</v>
      </c>
      <c r="BU51" s="98">
        <v>723.7346150206738</v>
      </c>
      <c r="BV51" s="98">
        <v>0.82809292614113561</v>
      </c>
      <c r="BW51" s="98">
        <v>707.52259609498628</v>
      </c>
      <c r="BX51" s="98">
        <v>0.59063290030448434</v>
      </c>
      <c r="BY51" s="98">
        <v>504.6367500201514</v>
      </c>
      <c r="BZ51" s="98">
        <v>0.59304308393137739</v>
      </c>
      <c r="CA51" s="98">
        <v>506.69601091096882</v>
      </c>
      <c r="CB51" s="98">
        <v>0.69713943395315747</v>
      </c>
      <c r="CC51" s="98">
        <v>595.63593236957774</v>
      </c>
      <c r="CD51" s="98">
        <v>0.74429880466544363</v>
      </c>
      <c r="CE51" s="98">
        <v>635.928898706155</v>
      </c>
      <c r="CF51" s="98">
        <v>0.74212638340020842</v>
      </c>
      <c r="CG51" s="98">
        <v>634.07278197713811</v>
      </c>
      <c r="CH51" s="98">
        <v>0.79542671398348042</v>
      </c>
      <c r="CI51" s="98">
        <v>679.61258442748567</v>
      </c>
      <c r="CJ51" s="98">
        <v>0.88220104778123143</v>
      </c>
      <c r="CK51" s="98">
        <v>753.7525752242841</v>
      </c>
      <c r="CL51" s="98">
        <v>0.75250006359624</v>
      </c>
      <c r="CM51" s="98">
        <v>642.93605433662742</v>
      </c>
      <c r="CN51" s="98">
        <v>0.64872237344120809</v>
      </c>
      <c r="CO51" s="98">
        <v>554.26839586816823</v>
      </c>
      <c r="CP51" s="98">
        <v>0.56473354339119541</v>
      </c>
      <c r="CQ51" s="98">
        <v>482.50833947343733</v>
      </c>
      <c r="CR51" s="98">
        <v>0.65025833519468368</v>
      </c>
      <c r="CS51" s="98">
        <v>555.5807215903377</v>
      </c>
      <c r="CT51" s="98">
        <v>0.76994487333899153</v>
      </c>
      <c r="CU51" s="98">
        <v>657.84089978083432</v>
      </c>
    </row>
    <row r="52" spans="2:99">
      <c r="C52" s="97" t="s">
        <v>219</v>
      </c>
      <c r="D52" s="98">
        <v>4</v>
      </c>
      <c r="E52" s="98">
        <v>2160</v>
      </c>
      <c r="F52" s="98">
        <v>3.2848858605356366</v>
      </c>
      <c r="G52" s="98">
        <v>1773.8383646892437</v>
      </c>
      <c r="H52" s="98">
        <v>2.5173207305806291</v>
      </c>
      <c r="I52" s="98">
        <v>1359.3531945135396</v>
      </c>
      <c r="J52" s="98">
        <v>0.96341651155385732</v>
      </c>
      <c r="K52" s="98">
        <v>520.24491623908295</v>
      </c>
      <c r="L52" s="98">
        <v>0.88248952458333341</v>
      </c>
      <c r="M52" s="98">
        <v>476.54434327500002</v>
      </c>
      <c r="N52" s="98">
        <v>0.96089887258638207</v>
      </c>
      <c r="O52" s="98">
        <v>518.88539119664631</v>
      </c>
      <c r="P52" s="98">
        <v>0.57254943203935982</v>
      </c>
      <c r="Q52" s="98">
        <v>309.17669330125432</v>
      </c>
      <c r="R52" s="98">
        <v>0.84854761979166671</v>
      </c>
      <c r="S52" s="98">
        <v>458.2157146875</v>
      </c>
      <c r="T52" s="98">
        <v>0.89683894774729012</v>
      </c>
      <c r="U52" s="98">
        <v>484.29303178353666</v>
      </c>
      <c r="V52" s="98">
        <v>0.63886789907094599</v>
      </c>
      <c r="W52" s="98">
        <v>344.98866549831081</v>
      </c>
      <c r="X52" s="98">
        <v>0.84529647948595144</v>
      </c>
      <c r="Y52" s="98">
        <v>456.46009892241375</v>
      </c>
      <c r="Z52" s="98">
        <v>0.73512514143795293</v>
      </c>
      <c r="AA52" s="98">
        <v>396.96757637649461</v>
      </c>
      <c r="AB52" s="98">
        <v>0.84449283161054511</v>
      </c>
      <c r="AC52" s="98">
        <v>456.02612906969438</v>
      </c>
      <c r="AD52" s="98">
        <v>0.71872667382354338</v>
      </c>
      <c r="AE52" s="98">
        <v>388.11240386471343</v>
      </c>
      <c r="AF52" s="98">
        <v>0.6636351053802052</v>
      </c>
      <c r="AG52" s="98">
        <v>358.3629569053108</v>
      </c>
      <c r="AH52" s="98">
        <v>0.89833928024550092</v>
      </c>
      <c r="AI52" s="98">
        <v>485.10321133257048</v>
      </c>
      <c r="AJ52" s="98">
        <v>0.6947358962120016</v>
      </c>
      <c r="AK52" s="98">
        <v>375.15738395448085</v>
      </c>
      <c r="AL52" s="98">
        <v>1.035557806965266</v>
      </c>
      <c r="AM52" s="98">
        <v>559.20121576124359</v>
      </c>
      <c r="AN52" s="98">
        <v>0.66579018353311425</v>
      </c>
      <c r="AO52" s="98">
        <v>359.52669910788171</v>
      </c>
      <c r="AP52" s="98">
        <v>0.65625984115227642</v>
      </c>
      <c r="AQ52" s="98">
        <v>354.38031422222929</v>
      </c>
      <c r="AR52" s="98">
        <v>0.87829212305551785</v>
      </c>
      <c r="AS52" s="98">
        <v>474.27774644997965</v>
      </c>
      <c r="AT52" s="98">
        <v>0.68140936240192895</v>
      </c>
      <c r="AU52" s="98">
        <v>367.96105569704162</v>
      </c>
      <c r="AV52" s="98">
        <v>0.70874264158050715</v>
      </c>
      <c r="AW52" s="98">
        <v>382.72102645347388</v>
      </c>
      <c r="AX52" s="98">
        <v>0.89432575721736007</v>
      </c>
      <c r="AY52" s="98">
        <v>482.93590889737442</v>
      </c>
      <c r="AZ52" s="98">
        <v>0.724593033541993</v>
      </c>
      <c r="BA52" s="98">
        <v>391.28023811267622</v>
      </c>
      <c r="BB52" s="98">
        <v>0.83967338941931202</v>
      </c>
      <c r="BC52" s="98">
        <v>453.42363028642848</v>
      </c>
      <c r="BD52" s="98">
        <v>0.94045447004351945</v>
      </c>
      <c r="BE52" s="98">
        <v>507.84541382350051</v>
      </c>
      <c r="BF52" s="98">
        <v>0.84766667197111567</v>
      </c>
      <c r="BG52" s="98">
        <v>457.74000286440247</v>
      </c>
      <c r="BH52" s="98">
        <v>0.59051648765967946</v>
      </c>
      <c r="BI52" s="98">
        <v>318.87890333622693</v>
      </c>
      <c r="BJ52" s="98">
        <v>0.867819292108438</v>
      </c>
      <c r="BK52" s="98">
        <v>468.62241773855652</v>
      </c>
      <c r="BL52" s="98">
        <v>0.62303543067282463</v>
      </c>
      <c r="BM52" s="98">
        <v>336.4391325633253</v>
      </c>
      <c r="BN52" s="98">
        <v>0.69878449503843854</v>
      </c>
      <c r="BO52" s="98">
        <v>377.34362732075681</v>
      </c>
      <c r="BP52" s="98">
        <v>0.63272785502806617</v>
      </c>
      <c r="BQ52" s="98">
        <v>341.6730417151557</v>
      </c>
      <c r="BR52" s="98">
        <v>0.75896865077477937</v>
      </c>
      <c r="BS52" s="98">
        <v>409.84307141838087</v>
      </c>
      <c r="BT52" s="98">
        <v>0.84706766739311068</v>
      </c>
      <c r="BU52" s="98">
        <v>457.41654039227979</v>
      </c>
      <c r="BV52" s="98">
        <v>1.0233911068717256</v>
      </c>
      <c r="BW52" s="98">
        <v>552.63119771073184</v>
      </c>
      <c r="BX52" s="98">
        <v>0.76248553869826241</v>
      </c>
      <c r="BY52" s="98">
        <v>411.74219089706168</v>
      </c>
      <c r="BZ52" s="98">
        <v>0.57814477209039539</v>
      </c>
      <c r="CA52" s="98">
        <v>312.1981769288135</v>
      </c>
      <c r="CB52" s="98">
        <v>0.86779595747309801</v>
      </c>
      <c r="CC52" s="98">
        <v>468.60981703547293</v>
      </c>
      <c r="CD52" s="98">
        <v>0.58065694559747472</v>
      </c>
      <c r="CE52" s="98">
        <v>313.55475062263633</v>
      </c>
      <c r="CF52" s="98">
        <v>0.75579698404817131</v>
      </c>
      <c r="CG52" s="98">
        <v>408.13037138601248</v>
      </c>
      <c r="CH52" s="98">
        <v>0.78165749185283595</v>
      </c>
      <c r="CI52" s="98">
        <v>422.09504560053142</v>
      </c>
      <c r="CJ52" s="98">
        <v>0.88220104778123143</v>
      </c>
      <c r="CK52" s="98">
        <v>476.38856580186496</v>
      </c>
      <c r="CL52" s="98">
        <v>0.91517110007007307</v>
      </c>
      <c r="CM52" s="98">
        <v>494.19239403783945</v>
      </c>
      <c r="CN52" s="98">
        <v>0.66570670399854603</v>
      </c>
      <c r="CO52" s="98">
        <v>359.48162015921486</v>
      </c>
      <c r="CP52" s="98">
        <v>0.56473354339119541</v>
      </c>
      <c r="CQ52" s="98">
        <v>304.95611343124551</v>
      </c>
      <c r="CR52" s="98">
        <v>0.83134657214032637</v>
      </c>
      <c r="CS52" s="98">
        <v>448.92714895577626</v>
      </c>
      <c r="CT52" s="98">
        <v>0.75453739414196375</v>
      </c>
      <c r="CU52" s="98">
        <v>407.45019283666045</v>
      </c>
    </row>
    <row r="53" spans="2:99">
      <c r="C53" s="97" t="s">
        <v>220</v>
      </c>
      <c r="D53" s="98">
        <v>4</v>
      </c>
      <c r="E53" s="98">
        <v>1627.2</v>
      </c>
      <c r="F53" s="98">
        <v>3.2848858605356366</v>
      </c>
      <c r="G53" s="98">
        <v>1336.2915680658971</v>
      </c>
      <c r="H53" s="98">
        <v>2.5173207305806291</v>
      </c>
      <c r="I53" s="98">
        <v>1024.0460732002</v>
      </c>
      <c r="J53" s="98">
        <v>0.96341651155385732</v>
      </c>
      <c r="K53" s="98">
        <v>391.91783690010919</v>
      </c>
      <c r="L53" s="98">
        <v>0.88248952458333341</v>
      </c>
      <c r="M53" s="98">
        <v>358.99673860050007</v>
      </c>
      <c r="N53" s="98">
        <v>0.76871909806910577</v>
      </c>
      <c r="O53" s="98">
        <v>312.71492909451223</v>
      </c>
      <c r="P53" s="98">
        <v>0.57254943203935982</v>
      </c>
      <c r="Q53" s="98">
        <v>232.91310895361158</v>
      </c>
      <c r="R53" s="98">
        <v>0.84854761979166671</v>
      </c>
      <c r="S53" s="98">
        <v>345.18917173125004</v>
      </c>
      <c r="T53" s="98">
        <v>0.67262921081046756</v>
      </c>
      <c r="U53" s="98">
        <v>273.62556295769821</v>
      </c>
      <c r="V53" s="98">
        <v>0.63886789907094599</v>
      </c>
      <c r="W53" s="98">
        <v>259.89146134206084</v>
      </c>
      <c r="X53" s="98">
        <v>0.84529647948595144</v>
      </c>
      <c r="Y53" s="98">
        <v>343.86660785488505</v>
      </c>
      <c r="Z53" s="98">
        <v>0.73512514143795293</v>
      </c>
      <c r="AA53" s="98">
        <v>299.04890753695923</v>
      </c>
      <c r="AB53" s="98">
        <v>0.84449283161054511</v>
      </c>
      <c r="AC53" s="98">
        <v>343.53968389916975</v>
      </c>
      <c r="AD53" s="98">
        <v>0.71872667382354338</v>
      </c>
      <c r="AE53" s="98">
        <v>292.37801091141745</v>
      </c>
      <c r="AF53" s="98">
        <v>0.6636351053802052</v>
      </c>
      <c r="AG53" s="98">
        <v>269.96676086866751</v>
      </c>
      <c r="AH53" s="98">
        <v>0.89833928024550092</v>
      </c>
      <c r="AI53" s="98">
        <v>365.44441920386976</v>
      </c>
      <c r="AJ53" s="98">
        <v>0.52715960601570022</v>
      </c>
      <c r="AK53" s="98">
        <v>214.44852772718684</v>
      </c>
      <c r="AL53" s="98">
        <v>0.84964599530597984</v>
      </c>
      <c r="AM53" s="98">
        <v>345.63599089047261</v>
      </c>
      <c r="AN53" s="98">
        <v>0.66579018353311425</v>
      </c>
      <c r="AO53" s="98">
        <v>270.84344666127089</v>
      </c>
      <c r="AP53" s="98">
        <v>0.65625984115227642</v>
      </c>
      <c r="AQ53" s="98">
        <v>266.96650338074608</v>
      </c>
      <c r="AR53" s="98">
        <v>0.89210149329780575</v>
      </c>
      <c r="AS53" s="98">
        <v>362.90688747354739</v>
      </c>
      <c r="AT53" s="98">
        <v>0.68140936240192895</v>
      </c>
      <c r="AU53" s="98">
        <v>277.19732862510472</v>
      </c>
      <c r="AV53" s="98">
        <v>0.70874264158050715</v>
      </c>
      <c r="AW53" s="98">
        <v>288.31650659495034</v>
      </c>
      <c r="AX53" s="98">
        <v>1.0845719015781656</v>
      </c>
      <c r="AY53" s="98">
        <v>441.2038495619978</v>
      </c>
      <c r="AZ53" s="98">
        <v>0.713293274957714</v>
      </c>
      <c r="BA53" s="98">
        <v>290.16770425279805</v>
      </c>
      <c r="BB53" s="98">
        <v>0.83967338941931202</v>
      </c>
      <c r="BC53" s="98">
        <v>341.57913481577611</v>
      </c>
      <c r="BD53" s="98">
        <v>0.75885808656017284</v>
      </c>
      <c r="BE53" s="98">
        <v>308.7034696126783</v>
      </c>
      <c r="BF53" s="98">
        <v>1.0521229088410964</v>
      </c>
      <c r="BG53" s="98">
        <v>428.003599316558</v>
      </c>
      <c r="BH53" s="98">
        <v>0.60311792927018426</v>
      </c>
      <c r="BI53" s="98">
        <v>245.34837362711096</v>
      </c>
      <c r="BJ53" s="98">
        <v>0.88021380868856969</v>
      </c>
      <c r="BK53" s="98">
        <v>358.07097737451016</v>
      </c>
      <c r="BL53" s="98">
        <v>0.62303543067282463</v>
      </c>
      <c r="BM53" s="98">
        <v>253.45081319770506</v>
      </c>
      <c r="BN53" s="98">
        <v>0.69878449503843854</v>
      </c>
      <c r="BO53" s="98">
        <v>284.26553258163682</v>
      </c>
      <c r="BP53" s="98">
        <v>0.64825759554791018</v>
      </c>
      <c r="BQ53" s="98">
        <v>263.71118986888985</v>
      </c>
      <c r="BR53" s="98">
        <v>0.75896865077477937</v>
      </c>
      <c r="BS53" s="98">
        <v>308.74844713518024</v>
      </c>
      <c r="BT53" s="98">
        <v>0.84706766739311068</v>
      </c>
      <c r="BU53" s="98">
        <v>344.58712709551742</v>
      </c>
      <c r="BV53" s="98">
        <v>0.84372632721406116</v>
      </c>
      <c r="BW53" s="98">
        <v>343.22786991068011</v>
      </c>
      <c r="BX53" s="98">
        <v>0.76248553869826241</v>
      </c>
      <c r="BY53" s="98">
        <v>310.17911714245315</v>
      </c>
      <c r="BZ53" s="98">
        <v>0.59304308393137739</v>
      </c>
      <c r="CA53" s="98">
        <v>241.24992654328432</v>
      </c>
      <c r="CB53" s="98">
        <v>0.86779595747309801</v>
      </c>
      <c r="CC53" s="98">
        <v>353.01939550005631</v>
      </c>
      <c r="CD53" s="98">
        <v>0.73148003775207671</v>
      </c>
      <c r="CE53" s="98">
        <v>297.56607935754482</v>
      </c>
      <c r="CF53" s="98">
        <v>0.75579698404817131</v>
      </c>
      <c r="CG53" s="98">
        <v>307.45821311079612</v>
      </c>
      <c r="CH53" s="98">
        <v>0.64184906003904219</v>
      </c>
      <c r="CI53" s="98">
        <v>261.10419762388238</v>
      </c>
      <c r="CJ53" s="98">
        <v>0.88220104778123143</v>
      </c>
      <c r="CK53" s="98">
        <v>358.87938623740496</v>
      </c>
      <c r="CL53" s="98">
        <v>0.75250006359624</v>
      </c>
      <c r="CM53" s="98">
        <v>306.11702587095044</v>
      </c>
      <c r="CN53" s="98">
        <v>0.66570670399854603</v>
      </c>
      <c r="CO53" s="98">
        <v>270.80948718660852</v>
      </c>
      <c r="CP53" s="98">
        <v>0.56473354339119541</v>
      </c>
      <c r="CQ53" s="98">
        <v>229.7336054515383</v>
      </c>
      <c r="CR53" s="98">
        <v>0.65025833519468368</v>
      </c>
      <c r="CS53" s="98">
        <v>264.52509075719735</v>
      </c>
      <c r="CT53" s="98">
        <v>0.75453739414196375</v>
      </c>
      <c r="CU53" s="98">
        <v>306.94581193695086</v>
      </c>
    </row>
    <row r="54" spans="2:99">
      <c r="C54" s="97" t="s">
        <v>221</v>
      </c>
      <c r="D54" s="98">
        <v>4</v>
      </c>
      <c r="E54" s="98">
        <v>1339.2</v>
      </c>
      <c r="F54" s="98">
        <v>2.6279086884285094</v>
      </c>
      <c r="G54" s="98">
        <v>879.82382888586494</v>
      </c>
      <c r="H54" s="98">
        <v>2.5173207305806291</v>
      </c>
      <c r="I54" s="98">
        <v>842.79898059839468</v>
      </c>
      <c r="J54" s="98">
        <v>0.96341651155385732</v>
      </c>
      <c r="K54" s="98">
        <v>322.55184806823144</v>
      </c>
      <c r="L54" s="98">
        <v>0.88248952458333341</v>
      </c>
      <c r="M54" s="98">
        <v>295.45749283050003</v>
      </c>
      <c r="N54" s="98">
        <v>0.96089887258638207</v>
      </c>
      <c r="O54" s="98">
        <v>321.70894254192075</v>
      </c>
      <c r="P54" s="98">
        <v>0.57254943203935982</v>
      </c>
      <c r="Q54" s="98">
        <v>191.68954984677768</v>
      </c>
      <c r="R54" s="98">
        <v>0.84854761979166671</v>
      </c>
      <c r="S54" s="98">
        <v>284.09374310625003</v>
      </c>
      <c r="T54" s="98">
        <v>0.67262921081046756</v>
      </c>
      <c r="U54" s="98">
        <v>225.19625977934456</v>
      </c>
      <c r="V54" s="98">
        <v>0.63886789907094599</v>
      </c>
      <c r="W54" s="98">
        <v>213.89297260895273</v>
      </c>
      <c r="X54" s="98">
        <v>1.0566205993574393</v>
      </c>
      <c r="Y54" s="98">
        <v>353.75657666487069</v>
      </c>
      <c r="Z54" s="98">
        <v>0.75652304300069551</v>
      </c>
      <c r="AA54" s="98">
        <v>253.28391479663287</v>
      </c>
      <c r="AB54" s="98">
        <v>0.65517625600933993</v>
      </c>
      <c r="AC54" s="98">
        <v>219.35301051192701</v>
      </c>
      <c r="AD54" s="98">
        <v>0.73272455261230085</v>
      </c>
      <c r="AE54" s="98">
        <v>245.31618021459832</v>
      </c>
      <c r="AF54" s="98">
        <v>0.6636351053802052</v>
      </c>
      <c r="AG54" s="98">
        <v>222.1850332812927</v>
      </c>
      <c r="AH54" s="98">
        <v>0.89833928024550092</v>
      </c>
      <c r="AI54" s="98">
        <v>300.76399102619371</v>
      </c>
      <c r="AJ54" s="98">
        <v>0.68252052849860367</v>
      </c>
      <c r="AK54" s="98">
        <v>228.50787294133252</v>
      </c>
      <c r="AL54" s="98">
        <v>0.84964599530597984</v>
      </c>
      <c r="AM54" s="98">
        <v>284.46147922844204</v>
      </c>
      <c r="AN54" s="98">
        <v>0.47890556293472614</v>
      </c>
      <c r="AO54" s="98">
        <v>160.33758247054632</v>
      </c>
      <c r="AP54" s="98">
        <v>0.65625984115227642</v>
      </c>
      <c r="AQ54" s="98">
        <v>219.71579481778215</v>
      </c>
      <c r="AR54" s="98">
        <v>0.89210149329780575</v>
      </c>
      <c r="AS54" s="98">
        <v>298.67557995610537</v>
      </c>
      <c r="AT54" s="98">
        <v>0.68140936240192895</v>
      </c>
      <c r="AU54" s="98">
        <v>228.13585453216581</v>
      </c>
      <c r="AV54" s="98">
        <v>0.70874264158050715</v>
      </c>
      <c r="AW54" s="98">
        <v>237.28703640115381</v>
      </c>
      <c r="AX54" s="98">
        <v>0.89432575721736007</v>
      </c>
      <c r="AY54" s="98">
        <v>299.42026351637219</v>
      </c>
      <c r="AZ54" s="98">
        <v>0.713293274957714</v>
      </c>
      <c r="BA54" s="98">
        <v>238.81058845584266</v>
      </c>
      <c r="BB54" s="98">
        <v>0.83967338941931202</v>
      </c>
      <c r="BC54" s="98">
        <v>281.12265077758565</v>
      </c>
      <c r="BD54" s="98">
        <v>0.75885808656017284</v>
      </c>
      <c r="BE54" s="98">
        <v>254.06568738034588</v>
      </c>
      <c r="BF54" s="98">
        <v>1.0372020465954994</v>
      </c>
      <c r="BG54" s="98">
        <v>347.25524520017319</v>
      </c>
      <c r="BH54" s="98">
        <v>0.60311792927018426</v>
      </c>
      <c r="BI54" s="98">
        <v>201.92388271965768</v>
      </c>
      <c r="BJ54" s="98">
        <v>0.867819292108438</v>
      </c>
      <c r="BK54" s="98">
        <v>290.54589899790506</v>
      </c>
      <c r="BL54" s="98">
        <v>0.60737068344561507</v>
      </c>
      <c r="BM54" s="98">
        <v>203.34770481759193</v>
      </c>
      <c r="BN54" s="98">
        <v>0.86992220919715291</v>
      </c>
      <c r="BO54" s="98">
        <v>291.2499556392068</v>
      </c>
      <c r="BP54" s="98">
        <v>0.63272785502806617</v>
      </c>
      <c r="BQ54" s="98">
        <v>211.83728586339657</v>
      </c>
      <c r="BR54" s="98">
        <v>0.74575176450968583</v>
      </c>
      <c r="BS54" s="98">
        <v>249.67769075784284</v>
      </c>
      <c r="BT54" s="98">
        <v>0.84706766739311068</v>
      </c>
      <c r="BU54" s="98">
        <v>283.59825504321344</v>
      </c>
      <c r="BV54" s="98">
        <v>1.0077577057988001</v>
      </c>
      <c r="BW54" s="98">
        <v>337.39727990143825</v>
      </c>
      <c r="BX54" s="98">
        <v>0.59063290030448434</v>
      </c>
      <c r="BY54" s="98">
        <v>197.74389502194137</v>
      </c>
      <c r="BZ54" s="98">
        <v>0.57814477209039539</v>
      </c>
      <c r="CA54" s="98">
        <v>193.56286969586438</v>
      </c>
      <c r="CB54" s="98">
        <v>0.71165277382655312</v>
      </c>
      <c r="CC54" s="98">
        <v>238.26134867713</v>
      </c>
      <c r="CD54" s="98">
        <v>0.74429880466544363</v>
      </c>
      <c r="CE54" s="98">
        <v>249.19123980199055</v>
      </c>
      <c r="CF54" s="98">
        <v>0.74212638340020842</v>
      </c>
      <c r="CG54" s="98">
        <v>248.46391316238979</v>
      </c>
      <c r="CH54" s="98">
        <v>0.79542671398348042</v>
      </c>
      <c r="CI54" s="98">
        <v>266.30886384166928</v>
      </c>
      <c r="CJ54" s="98">
        <v>0.88220104778123143</v>
      </c>
      <c r="CK54" s="98">
        <v>295.36091079715629</v>
      </c>
      <c r="CL54" s="98">
        <v>0.91517110007007307</v>
      </c>
      <c r="CM54" s="98">
        <v>306.39928430346049</v>
      </c>
      <c r="CN54" s="98">
        <v>0.66570670399854603</v>
      </c>
      <c r="CO54" s="98">
        <v>222.87860449871323</v>
      </c>
      <c r="CP54" s="98">
        <v>0.56473354339119541</v>
      </c>
      <c r="CQ54" s="98">
        <v>189.07279032737222</v>
      </c>
      <c r="CR54" s="98">
        <v>0.66363253823940305</v>
      </c>
      <c r="CS54" s="98">
        <v>222.18417380255215</v>
      </c>
      <c r="CT54" s="98">
        <v>0.76994487333899153</v>
      </c>
      <c r="CU54" s="98">
        <v>257.77754359389439</v>
      </c>
    </row>
    <row r="55" spans="2:99">
      <c r="C55" s="97" t="s">
        <v>222</v>
      </c>
      <c r="D55" s="98">
        <v>3</v>
      </c>
      <c r="E55" s="98">
        <v>1990.8000000000002</v>
      </c>
      <c r="F55" s="98">
        <v>2.6279086884285094</v>
      </c>
      <c r="G55" s="98">
        <v>1743.8802056411589</v>
      </c>
      <c r="H55" s="98">
        <v>2.5173207305806291</v>
      </c>
      <c r="I55" s="98">
        <v>1670.4940368133055</v>
      </c>
      <c r="J55" s="98">
        <v>0.96341651155385732</v>
      </c>
      <c r="K55" s="98">
        <v>639.32319706713974</v>
      </c>
      <c r="L55" s="98">
        <v>0.88248952458333341</v>
      </c>
      <c r="M55" s="98">
        <v>585.62004851350002</v>
      </c>
      <c r="N55" s="98">
        <v>0.96089887258638207</v>
      </c>
      <c r="O55" s="98">
        <v>637.65249184832317</v>
      </c>
      <c r="P55" s="98">
        <v>0.57254943203935982</v>
      </c>
      <c r="Q55" s="98">
        <v>379.94380310131919</v>
      </c>
      <c r="R55" s="98">
        <v>0.84854761979166671</v>
      </c>
      <c r="S55" s="98">
        <v>563.09620049375008</v>
      </c>
      <c r="T55" s="98">
        <v>0.67262921081046756</v>
      </c>
      <c r="U55" s="98">
        <v>446.3567442938263</v>
      </c>
      <c r="V55" s="98">
        <v>0.63886789907094599</v>
      </c>
      <c r="W55" s="98">
        <v>423.95273782347977</v>
      </c>
      <c r="X55" s="98">
        <v>0.84529647948595144</v>
      </c>
      <c r="Y55" s="98">
        <v>560.93874378687735</v>
      </c>
      <c r="Z55" s="98">
        <v>0.75652304300069551</v>
      </c>
      <c r="AA55" s="98">
        <v>502.02869133526156</v>
      </c>
      <c r="AB55" s="98">
        <v>0.63773095016819503</v>
      </c>
      <c r="AC55" s="98">
        <v>423.19825853161421</v>
      </c>
      <c r="AD55" s="98">
        <v>0.73272455261230085</v>
      </c>
      <c r="AE55" s="98">
        <v>486.23601311352286</v>
      </c>
      <c r="AF55" s="98">
        <v>0.64991990618302153</v>
      </c>
      <c r="AG55" s="98">
        <v>431.2868497430531</v>
      </c>
      <c r="AH55" s="98">
        <v>0.89833928024550092</v>
      </c>
      <c r="AI55" s="98">
        <v>596.13794637091439</v>
      </c>
      <c r="AJ55" s="98">
        <v>0.68252052849860367</v>
      </c>
      <c r="AK55" s="98">
        <v>452.92062271167339</v>
      </c>
      <c r="AL55" s="98">
        <v>0.84964599530597984</v>
      </c>
      <c r="AM55" s="98">
        <v>563.82508248504826</v>
      </c>
      <c r="AN55" s="98">
        <v>0.47890556293472614</v>
      </c>
      <c r="AO55" s="98">
        <v>317.80173156348428</v>
      </c>
      <c r="AP55" s="98">
        <v>0.65625984115227642</v>
      </c>
      <c r="AQ55" s="98">
        <v>435.49403058865067</v>
      </c>
      <c r="AR55" s="98">
        <v>0.87829212305551785</v>
      </c>
      <c r="AS55" s="98">
        <v>582.83465285964166</v>
      </c>
      <c r="AT55" s="98">
        <v>0.68140936240192895</v>
      </c>
      <c r="AU55" s="98">
        <v>452.18325288992008</v>
      </c>
      <c r="AV55" s="98">
        <v>0.70874264158050715</v>
      </c>
      <c r="AW55" s="98">
        <v>470.32161695282457</v>
      </c>
      <c r="AX55" s="98">
        <v>0.877658109745593</v>
      </c>
      <c r="AY55" s="98">
        <v>582.41392162717557</v>
      </c>
      <c r="AZ55" s="98">
        <v>0.724593033541993</v>
      </c>
      <c r="BA55" s="98">
        <v>480.83993705846655</v>
      </c>
      <c r="BB55" s="98">
        <v>0.82648416499776911</v>
      </c>
      <c r="BC55" s="98">
        <v>548.45489189251964</v>
      </c>
      <c r="BD55" s="98">
        <v>0.75885808656017284</v>
      </c>
      <c r="BE55" s="98">
        <v>503.5782262413307</v>
      </c>
      <c r="BF55" s="98">
        <v>1.0372020465954994</v>
      </c>
      <c r="BG55" s="98">
        <v>688.28727812077341</v>
      </c>
      <c r="BH55" s="98">
        <v>0.60311792927018426</v>
      </c>
      <c r="BI55" s="98">
        <v>400.22905786369427</v>
      </c>
      <c r="BJ55" s="98">
        <v>0.867819292108438</v>
      </c>
      <c r="BK55" s="98">
        <v>575.8848822431595</v>
      </c>
      <c r="BL55" s="98">
        <v>0.60737068344561507</v>
      </c>
      <c r="BM55" s="98">
        <v>403.05118553451018</v>
      </c>
      <c r="BN55" s="98">
        <v>0.85568857079357163</v>
      </c>
      <c r="BO55" s="98">
        <v>567.83493557861414</v>
      </c>
      <c r="BP55" s="98">
        <v>0.64825759554791018</v>
      </c>
      <c r="BQ55" s="98">
        <v>430.1837404055932</v>
      </c>
      <c r="BR55" s="98">
        <v>0.74575176450968583</v>
      </c>
      <c r="BS55" s="98">
        <v>494.88087092862753</v>
      </c>
      <c r="BT55" s="98">
        <v>0.84706766739311068</v>
      </c>
      <c r="BU55" s="98">
        <v>562.11410408206825</v>
      </c>
      <c r="BV55" s="98">
        <v>0.82809292614113561</v>
      </c>
      <c r="BW55" s="98">
        <v>549.5224657872576</v>
      </c>
      <c r="BX55" s="98">
        <v>0.59063290030448434</v>
      </c>
      <c r="BY55" s="98">
        <v>391.94399264205583</v>
      </c>
      <c r="BZ55" s="98">
        <v>0.57814477209039539</v>
      </c>
      <c r="CA55" s="98">
        <v>383.6568707591864</v>
      </c>
      <c r="CB55" s="98">
        <v>0.71165277382655312</v>
      </c>
      <c r="CC55" s="98">
        <v>472.25278071130066</v>
      </c>
      <c r="CD55" s="98">
        <v>0.5678381786841078</v>
      </c>
      <c r="CE55" s="98">
        <v>376.81741537477393</v>
      </c>
      <c r="CF55" s="98">
        <v>0.74212638340020842</v>
      </c>
      <c r="CG55" s="98">
        <v>492.47506802437834</v>
      </c>
      <c r="CH55" s="98">
        <v>0.64184906003904219</v>
      </c>
      <c r="CI55" s="98">
        <v>425.93103624190843</v>
      </c>
      <c r="CJ55" s="98">
        <v>0.71785605818410259</v>
      </c>
      <c r="CK55" s="98">
        <v>476.36928021097049</v>
      </c>
      <c r="CL55" s="98">
        <v>0.75250006359624</v>
      </c>
      <c r="CM55" s="98">
        <v>499.35904220246488</v>
      </c>
      <c r="CN55" s="98">
        <v>0.64872237344120809</v>
      </c>
      <c r="CO55" s="98">
        <v>430.49216701558572</v>
      </c>
      <c r="CP55" s="98">
        <v>0.56473354339119541</v>
      </c>
      <c r="CQ55" s="98">
        <v>374.75717939439727</v>
      </c>
      <c r="CR55" s="98">
        <v>0.81797236909560711</v>
      </c>
      <c r="CS55" s="98">
        <v>542.8064641318449</v>
      </c>
      <c r="CT55" s="98">
        <v>0.75453739414196375</v>
      </c>
      <c r="CU55" s="98">
        <v>500.71101475260718</v>
      </c>
    </row>
    <row r="56" spans="2:99">
      <c r="C56" s="97" t="s">
        <v>223</v>
      </c>
      <c r="D56" s="98">
        <v>0.63967616773897062</v>
      </c>
      <c r="E56" s="98">
        <v>627.90612625257347</v>
      </c>
      <c r="F56" s="98">
        <v>0.78501747263962451</v>
      </c>
      <c r="G56" s="98">
        <v>770.57315114305538</v>
      </c>
      <c r="H56" s="98">
        <v>0.56768162627281582</v>
      </c>
      <c r="I56" s="98">
        <v>557.23628434939599</v>
      </c>
      <c r="J56" s="98">
        <v>0.58318267379826416</v>
      </c>
      <c r="K56" s="98">
        <v>572.45211260037604</v>
      </c>
      <c r="L56" s="98">
        <v>0.41227578667167103</v>
      </c>
      <c r="M56" s="98">
        <v>404.68991219691225</v>
      </c>
      <c r="N56" s="98">
        <v>0.70941789811760225</v>
      </c>
      <c r="O56" s="98">
        <v>696.3646087922383</v>
      </c>
      <c r="P56" s="98">
        <v>0.59333517861689655</v>
      </c>
      <c r="Q56" s="98">
        <v>582.41781133034556</v>
      </c>
      <c r="R56" s="98">
        <v>0.69133857654435127</v>
      </c>
      <c r="S56" s="98">
        <v>678.61794673593511</v>
      </c>
      <c r="T56" s="98">
        <v>0.52166120045845066</v>
      </c>
      <c r="U56" s="98">
        <v>512.06263437001508</v>
      </c>
      <c r="V56" s="98">
        <v>0.54001473922525256</v>
      </c>
      <c r="W56" s="98">
        <v>530.07846802350787</v>
      </c>
      <c r="X56" s="98">
        <v>0.52541496605910765</v>
      </c>
      <c r="Y56" s="98">
        <v>515.74733068362002</v>
      </c>
      <c r="Z56" s="98">
        <v>0.59957110356468135</v>
      </c>
      <c r="AA56" s="98">
        <v>588.53899525909117</v>
      </c>
      <c r="AB56" s="98">
        <v>0.5159912759802463</v>
      </c>
      <c r="AC56" s="98">
        <v>506.49703650220971</v>
      </c>
      <c r="AD56" s="98">
        <v>0.5168040641358379</v>
      </c>
      <c r="AE56" s="98">
        <v>507.29486935573846</v>
      </c>
      <c r="AF56" s="98">
        <v>0.49253402243776134</v>
      </c>
      <c r="AG56" s="98">
        <v>483.47139642490652</v>
      </c>
      <c r="AH56" s="98">
        <v>0.57598084624634704</v>
      </c>
      <c r="AI56" s="98">
        <v>565.38279867541416</v>
      </c>
      <c r="AJ56" s="98">
        <v>0.49843460210448981</v>
      </c>
      <c r="AK56" s="98">
        <v>489.26340542576713</v>
      </c>
      <c r="AL56" s="98">
        <v>0.74864718230691862</v>
      </c>
      <c r="AM56" s="98">
        <v>734.87207415247121</v>
      </c>
      <c r="AN56" s="98">
        <v>0.49495354989031914</v>
      </c>
      <c r="AO56" s="98">
        <v>485.84640457233724</v>
      </c>
      <c r="AP56" s="98">
        <v>0.58445715069573756</v>
      </c>
      <c r="AQ56" s="98">
        <v>573.70313912293591</v>
      </c>
      <c r="AR56" s="98">
        <v>0.71598466642599312</v>
      </c>
      <c r="AS56" s="98">
        <v>702.81054856375476</v>
      </c>
      <c r="AT56" s="98">
        <v>0.53145719948955739</v>
      </c>
      <c r="AU56" s="98">
        <v>521.67838701894948</v>
      </c>
      <c r="AV56" s="98">
        <v>0.58215733475568832</v>
      </c>
      <c r="AW56" s="98">
        <v>571.44563979618363</v>
      </c>
      <c r="AX56" s="98">
        <v>0.52070436809660459</v>
      </c>
      <c r="AY56" s="98">
        <v>511.123407723627</v>
      </c>
      <c r="AZ56" s="98">
        <v>0.69047318125106327</v>
      </c>
      <c r="BA56" s="98">
        <v>677.76847471604367</v>
      </c>
      <c r="BB56" s="98">
        <v>0.54650632915524389</v>
      </c>
      <c r="BC56" s="98">
        <v>536.45061269878738</v>
      </c>
      <c r="BD56" s="98">
        <v>0.57798943735752228</v>
      </c>
      <c r="BE56" s="98">
        <v>567.35443171014379</v>
      </c>
      <c r="BF56" s="98">
        <v>0.57496958137371756</v>
      </c>
      <c r="BG56" s="98">
        <v>564.39014107644107</v>
      </c>
      <c r="BH56" s="98">
        <v>0.44866478431430351</v>
      </c>
      <c r="BI56" s="98">
        <v>440.40935228292028</v>
      </c>
      <c r="BJ56" s="98">
        <v>0.53819540581360448</v>
      </c>
      <c r="BK56" s="98">
        <v>528.29261034663409</v>
      </c>
      <c r="BL56" s="98">
        <v>0.40706304165498036</v>
      </c>
      <c r="BM56" s="98">
        <v>399.5730816885287</v>
      </c>
      <c r="BN56" s="98">
        <v>0.5793915017666873</v>
      </c>
      <c r="BO56" s="98">
        <v>568.73069813418022</v>
      </c>
      <c r="BP56" s="98">
        <v>0.35482202163933169</v>
      </c>
      <c r="BQ56" s="98">
        <v>348.29329644116797</v>
      </c>
      <c r="BR56" s="98">
        <v>0.45933933359427087</v>
      </c>
      <c r="BS56" s="98">
        <v>450.88748985613626</v>
      </c>
      <c r="BT56" s="98">
        <v>0.81366164479180936</v>
      </c>
      <c r="BU56" s="98">
        <v>798.69027052764</v>
      </c>
      <c r="BV56" s="98">
        <v>0.57860290188384988</v>
      </c>
      <c r="BW56" s="98">
        <v>567.95660848918703</v>
      </c>
      <c r="BX56" s="98">
        <v>0.38422521836508772</v>
      </c>
      <c r="BY56" s="98">
        <v>377.15547434717007</v>
      </c>
      <c r="BZ56" s="98">
        <v>0.56878734422448307</v>
      </c>
      <c r="CA56" s="98">
        <v>558.32165709075252</v>
      </c>
      <c r="CB56" s="98">
        <v>0.53652524408632452</v>
      </c>
      <c r="CC56" s="98">
        <v>526.65317959513607</v>
      </c>
      <c r="CD56" s="98">
        <v>0.41673642196991573</v>
      </c>
      <c r="CE56" s="98">
        <v>409.06847180566922</v>
      </c>
      <c r="CF56" s="98">
        <v>0.56569322092638386</v>
      </c>
      <c r="CG56" s="98">
        <v>555.28446566133834</v>
      </c>
      <c r="CH56" s="98">
        <v>0.62368207966871592</v>
      </c>
      <c r="CI56" s="98">
        <v>612.20632940281143</v>
      </c>
      <c r="CJ56" s="98">
        <v>0.6264981120072457</v>
      </c>
      <c r="CK56" s="98">
        <v>614.97054674631227</v>
      </c>
      <c r="CL56" s="98">
        <v>0.52971169544475327</v>
      </c>
      <c r="CM56" s="98">
        <v>519.96500024856971</v>
      </c>
      <c r="CN56" s="98">
        <v>0.38380166193595983</v>
      </c>
      <c r="CO56" s="98">
        <v>376.73971135633815</v>
      </c>
      <c r="CP56" s="98">
        <v>0.38900740037269121</v>
      </c>
      <c r="CQ56" s="98">
        <v>381.84966420583368</v>
      </c>
      <c r="CR56" s="98">
        <v>0.5159747550784326</v>
      </c>
      <c r="CS56" s="98">
        <v>506.48081958498938</v>
      </c>
      <c r="CT56" s="98">
        <v>0.60251023229507772</v>
      </c>
      <c r="CU56" s="98">
        <v>591.42404402084821</v>
      </c>
    </row>
    <row r="57" spans="2:99">
      <c r="C57" s="97" t="s">
        <v>224</v>
      </c>
      <c r="D57" s="98">
        <v>3</v>
      </c>
      <c r="E57" s="98">
        <v>4233.6000000000004</v>
      </c>
      <c r="F57" s="98">
        <v>2.6279086884285094</v>
      </c>
      <c r="G57" s="98">
        <v>3708.5047411103128</v>
      </c>
      <c r="H57" s="98">
        <v>2.5173207305806291</v>
      </c>
      <c r="I57" s="98">
        <v>3552.4430149953837</v>
      </c>
      <c r="J57" s="98">
        <v>0.72256238366539305</v>
      </c>
      <c r="K57" s="98">
        <v>1019.6800358286027</v>
      </c>
      <c r="L57" s="98">
        <v>0.88248952458333341</v>
      </c>
      <c r="M57" s="98">
        <v>1245.3692170920001</v>
      </c>
      <c r="N57" s="98">
        <v>0.96089887258638207</v>
      </c>
      <c r="O57" s="98">
        <v>1356.0204889939025</v>
      </c>
      <c r="P57" s="98">
        <v>0.57254943203935982</v>
      </c>
      <c r="Q57" s="98">
        <v>807.98175849394465</v>
      </c>
      <c r="R57" s="98">
        <v>0.84854761979166671</v>
      </c>
      <c r="S57" s="98">
        <v>1197.4704010500002</v>
      </c>
      <c r="T57" s="98">
        <v>0.89683894774729012</v>
      </c>
      <c r="U57" s="98">
        <v>1265.6191230609759</v>
      </c>
      <c r="V57" s="98">
        <v>0.63886789907094599</v>
      </c>
      <c r="W57" s="98">
        <v>901.57037916891898</v>
      </c>
      <c r="X57" s="98">
        <v>0.84529647948595144</v>
      </c>
      <c r="Y57" s="98">
        <v>1192.8823918505748</v>
      </c>
      <c r="Z57" s="98">
        <v>0.73512514143795293</v>
      </c>
      <c r="AA57" s="98">
        <v>1037.4085995972391</v>
      </c>
      <c r="AB57" s="98">
        <v>0.65517625600933993</v>
      </c>
      <c r="AC57" s="98">
        <v>924.58473248038058</v>
      </c>
      <c r="AD57" s="98">
        <v>0.73272455261230085</v>
      </c>
      <c r="AE57" s="98">
        <v>1034.0208886464791</v>
      </c>
      <c r="AF57" s="98">
        <v>0.64991990618302153</v>
      </c>
      <c r="AG57" s="98">
        <v>917.16697160548006</v>
      </c>
      <c r="AH57" s="98">
        <v>0.88281324953680207</v>
      </c>
      <c r="AI57" s="98">
        <v>1245.8260577463352</v>
      </c>
      <c r="AJ57" s="98">
        <v>0.51494423830230229</v>
      </c>
      <c r="AK57" s="98">
        <v>726.68930909220899</v>
      </c>
      <c r="AL57" s="98">
        <v>0.86478867368724233</v>
      </c>
      <c r="AM57" s="98">
        <v>1220.3897763074365</v>
      </c>
      <c r="AN57" s="98">
        <v>0.66579018353311425</v>
      </c>
      <c r="AO57" s="98">
        <v>939.56310700193092</v>
      </c>
      <c r="AP57" s="98">
        <v>0.65625984115227642</v>
      </c>
      <c r="AQ57" s="98">
        <v>926.11388783409257</v>
      </c>
      <c r="AR57" s="98">
        <v>0.73577618702590541</v>
      </c>
      <c r="AS57" s="98">
        <v>1038.3273551309578</v>
      </c>
      <c r="AT57" s="98">
        <v>0.66380016868931602</v>
      </c>
      <c r="AU57" s="98">
        <v>936.75479805436282</v>
      </c>
      <c r="AV57" s="98">
        <v>0.69191352769242787</v>
      </c>
      <c r="AW57" s="98">
        <v>976.4283702795542</v>
      </c>
      <c r="AX57" s="98">
        <v>0.877658109745593</v>
      </c>
      <c r="AY57" s="98">
        <v>1238.551124472981</v>
      </c>
      <c r="AZ57" s="98">
        <v>0.724593033541993</v>
      </c>
      <c r="BA57" s="98">
        <v>1022.5456889344606</v>
      </c>
      <c r="BB57" s="98">
        <v>0.6796522461883755</v>
      </c>
      <c r="BC57" s="98">
        <v>959.12524982103548</v>
      </c>
      <c r="BD57" s="98">
        <v>0.75885808656017284</v>
      </c>
      <c r="BE57" s="98">
        <v>1070.900531753716</v>
      </c>
      <c r="BF57" s="98">
        <v>1.0521229088410964</v>
      </c>
      <c r="BG57" s="98">
        <v>1484.7558489565552</v>
      </c>
      <c r="BH57" s="98">
        <v>0.59051648765967946</v>
      </c>
      <c r="BI57" s="98">
        <v>833.3368673853397</v>
      </c>
      <c r="BJ57" s="98">
        <v>0.72648117679509328</v>
      </c>
      <c r="BK57" s="98">
        <v>1025.2102366932356</v>
      </c>
      <c r="BL57" s="98">
        <v>0.62303543067282463</v>
      </c>
      <c r="BM57" s="98">
        <v>879.22759976549014</v>
      </c>
      <c r="BN57" s="98">
        <v>0.69878449503843854</v>
      </c>
      <c r="BO57" s="98">
        <v>986.12467939824444</v>
      </c>
      <c r="BP57" s="98">
        <v>0.63272785502806617</v>
      </c>
      <c r="BQ57" s="98">
        <v>892.90554901560699</v>
      </c>
      <c r="BR57" s="98">
        <v>0.74575176450968583</v>
      </c>
      <c r="BS57" s="98">
        <v>1052.4048900760686</v>
      </c>
      <c r="BT57" s="98">
        <v>0.84706766739311068</v>
      </c>
      <c r="BU57" s="98">
        <v>1195.3818922251578</v>
      </c>
      <c r="BV57" s="98">
        <v>0.81245952506821029</v>
      </c>
      <c r="BW57" s="98">
        <v>1146.5428817762584</v>
      </c>
      <c r="BX57" s="98">
        <v>0.59063290030448434</v>
      </c>
      <c r="BY57" s="98">
        <v>833.50114890968837</v>
      </c>
      <c r="BZ57" s="98">
        <v>0.57814477209039539</v>
      </c>
      <c r="CA57" s="98">
        <v>815.87790237396598</v>
      </c>
      <c r="CB57" s="98">
        <v>0.69713943395315747</v>
      </c>
      <c r="CC57" s="98">
        <v>983.8031691946959</v>
      </c>
      <c r="CD57" s="98">
        <v>0.73148003775207671</v>
      </c>
      <c r="CE57" s="98">
        <v>1032.2646292757306</v>
      </c>
      <c r="CF57" s="98">
        <v>0.74212638340020842</v>
      </c>
      <c r="CG57" s="98">
        <v>1047.2887522543742</v>
      </c>
      <c r="CH57" s="98">
        <v>0.65561828216968665</v>
      </c>
      <c r="CI57" s="98">
        <v>925.20851979786187</v>
      </c>
      <c r="CJ57" s="98">
        <v>0.70576083822498537</v>
      </c>
      <c r="CK57" s="98">
        <v>995.96969490309937</v>
      </c>
      <c r="CL57" s="98">
        <v>0.75250006359624</v>
      </c>
      <c r="CM57" s="98">
        <v>1061.9280897470139</v>
      </c>
      <c r="CN57" s="98">
        <v>0.64872237344120809</v>
      </c>
      <c r="CO57" s="98">
        <v>915.47701340023286</v>
      </c>
      <c r="CP57" s="98">
        <v>0.56473354339119541</v>
      </c>
      <c r="CQ57" s="98">
        <v>796.95197643365498</v>
      </c>
      <c r="CR57" s="98">
        <v>0.6368841321499642</v>
      </c>
      <c r="CS57" s="98">
        <v>898.77088729002946</v>
      </c>
      <c r="CT57" s="98">
        <v>0.75453739414196375</v>
      </c>
      <c r="CU57" s="98">
        <v>1064.8031706131392</v>
      </c>
    </row>
    <row r="58" spans="2:99">
      <c r="C58" s="97" t="s">
        <v>225</v>
      </c>
      <c r="D58" s="98">
        <v>3</v>
      </c>
      <c r="E58" s="98">
        <v>3531.6000000000004</v>
      </c>
      <c r="F58" s="98">
        <v>5</v>
      </c>
      <c r="G58" s="98">
        <v>5886</v>
      </c>
      <c r="H58" s="98">
        <v>4</v>
      </c>
      <c r="I58" s="98">
        <v>4708.8</v>
      </c>
      <c r="J58" s="98">
        <v>0.79166627690125946</v>
      </c>
      <c r="K58" s="98">
        <v>931.94954116816268</v>
      </c>
      <c r="L58" s="98">
        <v>0.34357717244318192</v>
      </c>
      <c r="M58" s="98">
        <v>404.45904740011377</v>
      </c>
      <c r="N58" s="98">
        <v>0.58323285445601869</v>
      </c>
      <c r="O58" s="98">
        <v>686.58171626562523</v>
      </c>
      <c r="P58" s="98">
        <v>0.24541226603084423</v>
      </c>
      <c r="Q58" s="98">
        <v>288.89931957150986</v>
      </c>
      <c r="R58" s="98">
        <v>0.43440791918103461</v>
      </c>
      <c r="S58" s="98">
        <v>511.38500245991395</v>
      </c>
      <c r="T58" s="98">
        <v>0.32028380481991536</v>
      </c>
      <c r="U58" s="98">
        <v>377.03809503400436</v>
      </c>
      <c r="V58" s="98">
        <v>0.24864137479440798</v>
      </c>
      <c r="W58" s="98">
        <v>292.7006264079771</v>
      </c>
      <c r="X58" s="98">
        <v>0.44992248772321441</v>
      </c>
      <c r="Y58" s="98">
        <v>529.64875254776803</v>
      </c>
      <c r="Z58" s="98">
        <v>0.35269863319803113</v>
      </c>
      <c r="AA58" s="98">
        <v>415.19683100072228</v>
      </c>
      <c r="AB58" s="98">
        <v>0.24281678075606161</v>
      </c>
      <c r="AC58" s="98">
        <v>285.84391430603574</v>
      </c>
      <c r="AD58" s="98">
        <v>0.38457389889427834</v>
      </c>
      <c r="AE58" s="98">
        <v>452.72039377834449</v>
      </c>
      <c r="AF58" s="98">
        <v>0.22647333117484744</v>
      </c>
      <c r="AG58" s="98">
        <v>266.60440545903043</v>
      </c>
      <c r="AH58" s="98">
        <v>0.37119702610310884</v>
      </c>
      <c r="AI58" s="98">
        <v>436.97313912857976</v>
      </c>
      <c r="AJ58" s="98">
        <v>0.26107374169776698</v>
      </c>
      <c r="AK58" s="98">
        <v>307.33600872661128</v>
      </c>
      <c r="AL58" s="98">
        <v>0.37484169348618501</v>
      </c>
      <c r="AM58" s="98">
        <v>441.263641571937</v>
      </c>
      <c r="AN58" s="98">
        <v>0.2021342538073487</v>
      </c>
      <c r="AO58" s="98">
        <v>237.95244358201091</v>
      </c>
      <c r="AP58" s="98">
        <v>0.26017539817620827</v>
      </c>
      <c r="AQ58" s="98">
        <v>306.27847873303239</v>
      </c>
      <c r="AR58" s="98">
        <v>0.46606309534759072</v>
      </c>
      <c r="AS58" s="98">
        <v>548.64947584318384</v>
      </c>
      <c r="AT58" s="98">
        <v>0.31870953025607063</v>
      </c>
      <c r="AU58" s="98">
        <v>375.18485901744634</v>
      </c>
      <c r="AV58" s="98">
        <v>0.33007521215990365</v>
      </c>
      <c r="AW58" s="98">
        <v>388.56453975463859</v>
      </c>
      <c r="AX58" s="98">
        <v>0.287754211126306</v>
      </c>
      <c r="AY58" s="98">
        <v>338.74425733788746</v>
      </c>
      <c r="AZ58" s="98">
        <v>0.32957031717060603</v>
      </c>
      <c r="BA58" s="98">
        <v>387.97017737323745</v>
      </c>
      <c r="BB58" s="98">
        <v>0.47480501042179707</v>
      </c>
      <c r="BC58" s="98">
        <v>558.94045826853949</v>
      </c>
      <c r="BD58" s="98">
        <v>0.32447676894407768</v>
      </c>
      <c r="BE58" s="98">
        <v>381.97405240096828</v>
      </c>
      <c r="BF58" s="98">
        <v>0.26643653484382085</v>
      </c>
      <c r="BG58" s="98">
        <v>313.64908881814591</v>
      </c>
      <c r="BH58" s="98">
        <v>0.21024418575983639</v>
      </c>
      <c r="BI58" s="98">
        <v>247.4994554764794</v>
      </c>
      <c r="BJ58" s="98">
        <v>0.34172878829004499</v>
      </c>
      <c r="BK58" s="98">
        <v>402.28312957504096</v>
      </c>
      <c r="BL58" s="98">
        <v>0.22153851487358159</v>
      </c>
      <c r="BM58" s="98">
        <v>260.79513970918026</v>
      </c>
      <c r="BN58" s="98">
        <v>0.25390518979213894</v>
      </c>
      <c r="BO58" s="98">
        <v>298.89718942330597</v>
      </c>
      <c r="BP58" s="98">
        <v>0.22610879592340791</v>
      </c>
      <c r="BQ58" s="98">
        <v>266.17527456103579</v>
      </c>
      <c r="BR58" s="98">
        <v>0.2889735777720962</v>
      </c>
      <c r="BS58" s="98">
        <v>340.17969575331165</v>
      </c>
      <c r="BT58" s="98">
        <v>0.38108155982748487</v>
      </c>
      <c r="BU58" s="98">
        <v>448.60921222891523</v>
      </c>
      <c r="BV58" s="98">
        <v>0.29429472480445923</v>
      </c>
      <c r="BW58" s="98">
        <v>346.4437500398094</v>
      </c>
      <c r="BX58" s="98">
        <v>0.31810515812192991</v>
      </c>
      <c r="BY58" s="98">
        <v>374.47339214113589</v>
      </c>
      <c r="BZ58" s="98">
        <v>0.26304007693902731</v>
      </c>
      <c r="CA58" s="98">
        <v>309.65077857262298</v>
      </c>
      <c r="CB58" s="98">
        <v>0.27526332464780146</v>
      </c>
      <c r="CC58" s="98">
        <v>324.03998577539187</v>
      </c>
      <c r="CD58" s="98">
        <v>0.37963713866789983</v>
      </c>
      <c r="CE58" s="98">
        <v>446.90883963985169</v>
      </c>
      <c r="CF58" s="98">
        <v>0.28250851318476544</v>
      </c>
      <c r="CG58" s="98">
        <v>332.56902172110591</v>
      </c>
      <c r="CH58" s="98">
        <v>0.37373903883858356</v>
      </c>
      <c r="CI58" s="98">
        <v>439.96559652078059</v>
      </c>
      <c r="CJ58" s="98">
        <v>0.28024938053929688</v>
      </c>
      <c r="CK58" s="98">
        <v>329.90957077086028</v>
      </c>
      <c r="CL58" s="98">
        <v>0.31259703879402084</v>
      </c>
      <c r="CM58" s="98">
        <v>367.98923406832137</v>
      </c>
      <c r="CN58" s="98">
        <v>0.20801021790537971</v>
      </c>
      <c r="CO58" s="98">
        <v>244.86962851821301</v>
      </c>
      <c r="CP58" s="98">
        <v>0.25337818686579727</v>
      </c>
      <c r="CQ58" s="98">
        <v>298.27680157841655</v>
      </c>
      <c r="CR58" s="98">
        <v>0.2953059610131164</v>
      </c>
      <c r="CS58" s="98">
        <v>347.63417730464062</v>
      </c>
      <c r="CT58" s="98">
        <v>0.32283961472741202</v>
      </c>
      <c r="CU58" s="98">
        <v>380.04679445710946</v>
      </c>
    </row>
    <row r="59" spans="2:99">
      <c r="C59" s="97" t="s">
        <v>226</v>
      </c>
      <c r="D59" s="98">
        <v>3</v>
      </c>
      <c r="E59" s="98">
        <v>910.8</v>
      </c>
      <c r="F59" s="98">
        <v>2.6279086884285094</v>
      </c>
      <c r="G59" s="98">
        <v>797.8330778068954</v>
      </c>
      <c r="H59" s="98">
        <v>2.5173207305806291</v>
      </c>
      <c r="I59" s="98">
        <v>764.25857380427897</v>
      </c>
      <c r="J59" s="98">
        <v>0.72256238366539305</v>
      </c>
      <c r="K59" s="98">
        <v>219.3699396808133</v>
      </c>
      <c r="L59" s="98">
        <v>0.88248952458333341</v>
      </c>
      <c r="M59" s="98">
        <v>267.92381966350001</v>
      </c>
      <c r="N59" s="98">
        <v>0.96089887258638207</v>
      </c>
      <c r="O59" s="98">
        <v>291.72889771722555</v>
      </c>
      <c r="P59" s="98">
        <v>0.57254943203935982</v>
      </c>
      <c r="Q59" s="98">
        <v>173.82600756714962</v>
      </c>
      <c r="R59" s="98">
        <v>1.0606845247395835</v>
      </c>
      <c r="S59" s="98">
        <v>322.02382171093751</v>
      </c>
      <c r="T59" s="98">
        <v>0.89683894774729012</v>
      </c>
      <c r="U59" s="98">
        <v>272.28030453607727</v>
      </c>
      <c r="V59" s="98">
        <v>0.63886789907094599</v>
      </c>
      <c r="W59" s="98">
        <v>193.96029415793919</v>
      </c>
      <c r="X59" s="98">
        <v>0.84529647948595144</v>
      </c>
      <c r="Y59" s="98">
        <v>256.63201117193483</v>
      </c>
      <c r="Z59" s="98">
        <v>0.75652304300069551</v>
      </c>
      <c r="AA59" s="98">
        <v>229.68039585501114</v>
      </c>
      <c r="AB59" s="98">
        <v>0.63773095016819503</v>
      </c>
      <c r="AC59" s="98">
        <v>193.615116471064</v>
      </c>
      <c r="AD59" s="98">
        <v>0.73272455261230085</v>
      </c>
      <c r="AE59" s="98">
        <v>222.45517417309452</v>
      </c>
      <c r="AF59" s="98">
        <v>0.6636351053802052</v>
      </c>
      <c r="AG59" s="98">
        <v>201.47961799343028</v>
      </c>
      <c r="AH59" s="98">
        <v>0.73419745490509958</v>
      </c>
      <c r="AI59" s="98">
        <v>222.9023473091882</v>
      </c>
      <c r="AJ59" s="98">
        <v>0.52715960601570022</v>
      </c>
      <c r="AK59" s="98">
        <v>160.04565638636657</v>
      </c>
      <c r="AL59" s="98">
        <v>1.0507004853465283</v>
      </c>
      <c r="AM59" s="98">
        <v>318.99266735120597</v>
      </c>
      <c r="AN59" s="98">
        <v>0.66579018353311425</v>
      </c>
      <c r="AO59" s="98">
        <v>202.13389972065346</v>
      </c>
      <c r="AP59" s="98">
        <v>0.65625984115227642</v>
      </c>
      <c r="AQ59" s="98">
        <v>199.24048777383109</v>
      </c>
      <c r="AR59" s="98">
        <v>0.89210149329780575</v>
      </c>
      <c r="AS59" s="98">
        <v>270.8420133652138</v>
      </c>
      <c r="AT59" s="98">
        <v>0.68140936240192895</v>
      </c>
      <c r="AU59" s="98">
        <v>206.8758824252256</v>
      </c>
      <c r="AV59" s="98">
        <v>0.70874264158050715</v>
      </c>
      <c r="AW59" s="98">
        <v>215.17426598384193</v>
      </c>
      <c r="AX59" s="98">
        <v>0.877658109745593</v>
      </c>
      <c r="AY59" s="98">
        <v>266.45700211876198</v>
      </c>
      <c r="AZ59" s="98">
        <v>0.713293274957714</v>
      </c>
      <c r="BA59" s="98">
        <v>216.55583827716194</v>
      </c>
      <c r="BB59" s="98">
        <v>0.83967338941931202</v>
      </c>
      <c r="BC59" s="98">
        <v>254.92484102770311</v>
      </c>
      <c r="BD59" s="98">
        <v>0.77509436287356637</v>
      </c>
      <c r="BE59" s="98">
        <v>235.31864856841472</v>
      </c>
      <c r="BF59" s="98">
        <v>0.86258753421671264</v>
      </c>
      <c r="BG59" s="98">
        <v>261.88157538819394</v>
      </c>
      <c r="BH59" s="98">
        <v>0.59051648765967946</v>
      </c>
      <c r="BI59" s="98">
        <v>179.28080565347867</v>
      </c>
      <c r="BJ59" s="98">
        <v>0.88021380868856969</v>
      </c>
      <c r="BK59" s="98">
        <v>267.23291231784975</v>
      </c>
      <c r="BL59" s="98">
        <v>0.62303543067282463</v>
      </c>
      <c r="BM59" s="98">
        <v>189.15355675226954</v>
      </c>
      <c r="BN59" s="98">
        <v>0.85568857079357163</v>
      </c>
      <c r="BO59" s="98">
        <v>259.78705009292833</v>
      </c>
      <c r="BP59" s="98">
        <v>0.63272785502806617</v>
      </c>
      <c r="BQ59" s="98">
        <v>192.09617678652086</v>
      </c>
      <c r="BR59" s="98">
        <v>0.92227704093828689</v>
      </c>
      <c r="BS59" s="98">
        <v>280.00330962886386</v>
      </c>
      <c r="BT59" s="98">
        <v>0.99981240181068121</v>
      </c>
      <c r="BU59" s="98">
        <v>303.54304518972276</v>
      </c>
      <c r="BV59" s="98">
        <v>0.82809292614113561</v>
      </c>
      <c r="BW59" s="98">
        <v>251.40901237644874</v>
      </c>
      <c r="BX59" s="98">
        <v>0.59063290030448434</v>
      </c>
      <c r="BY59" s="98">
        <v>179.31614853244142</v>
      </c>
      <c r="BZ59" s="98">
        <v>0.57814477209039539</v>
      </c>
      <c r="CA59" s="98">
        <v>175.52475280664402</v>
      </c>
      <c r="CB59" s="98">
        <v>0.71165277382655312</v>
      </c>
      <c r="CC59" s="98">
        <v>216.05778213374151</v>
      </c>
      <c r="CD59" s="98">
        <v>0.73148003775207671</v>
      </c>
      <c r="CE59" s="98">
        <v>222.07733946153047</v>
      </c>
      <c r="CF59" s="98">
        <v>0.75579698404817131</v>
      </c>
      <c r="CG59" s="98">
        <v>229.45996435702477</v>
      </c>
      <c r="CH59" s="98">
        <v>0.65561828216968665</v>
      </c>
      <c r="CI59" s="98">
        <v>199.04571046671686</v>
      </c>
      <c r="CJ59" s="98">
        <v>0.88220104778123143</v>
      </c>
      <c r="CK59" s="98">
        <v>267.83623810638181</v>
      </c>
      <c r="CL59" s="98">
        <v>0.73977307388362656</v>
      </c>
      <c r="CM59" s="98">
        <v>224.595105231069</v>
      </c>
      <c r="CN59" s="98">
        <v>0.64872237344120809</v>
      </c>
      <c r="CO59" s="98">
        <v>196.95211257675075</v>
      </c>
      <c r="CP59" s="98">
        <v>0.56473354339119541</v>
      </c>
      <c r="CQ59" s="98">
        <v>171.45310377356691</v>
      </c>
      <c r="CR59" s="98">
        <v>0.6368841321499642</v>
      </c>
      <c r="CS59" s="98">
        <v>193.35802252072912</v>
      </c>
      <c r="CT59" s="98">
        <v>0.75453739414196375</v>
      </c>
      <c r="CU59" s="98">
        <v>229.07755286150018</v>
      </c>
    </row>
    <row r="60" spans="2:99">
      <c r="C60" s="97" t="s">
        <v>227</v>
      </c>
      <c r="D60" s="98">
        <v>3</v>
      </c>
      <c r="E60" s="98">
        <v>1954.8000000000002</v>
      </c>
      <c r="F60" s="98">
        <v>3.2848858605356366</v>
      </c>
      <c r="G60" s="98">
        <v>2140.431626725021</v>
      </c>
      <c r="H60" s="98">
        <v>2.5173207305806291</v>
      </c>
      <c r="I60" s="98">
        <v>1640.2861880463379</v>
      </c>
      <c r="J60" s="98">
        <v>0.96341651155385732</v>
      </c>
      <c r="K60" s="98">
        <v>627.76219892849349</v>
      </c>
      <c r="L60" s="98">
        <v>0.88248952458333341</v>
      </c>
      <c r="M60" s="98">
        <v>575.03017421850006</v>
      </c>
      <c r="N60" s="98">
        <v>0.96089887258638207</v>
      </c>
      <c r="O60" s="98">
        <v>626.12170537728662</v>
      </c>
      <c r="P60" s="98">
        <v>0.7633992427191465</v>
      </c>
      <c r="Q60" s="98">
        <v>497.43094655579586</v>
      </c>
      <c r="R60" s="98">
        <v>0.84854761979166671</v>
      </c>
      <c r="S60" s="98">
        <v>552.9136290562501</v>
      </c>
      <c r="T60" s="98">
        <v>0.89683894774729012</v>
      </c>
      <c r="U60" s="98">
        <v>584.38025835213421</v>
      </c>
      <c r="V60" s="98">
        <v>0.63886789907094599</v>
      </c>
      <c r="W60" s="98">
        <v>416.28632303462842</v>
      </c>
      <c r="X60" s="98">
        <v>0.84529647948595144</v>
      </c>
      <c r="Y60" s="98">
        <v>550.79518603304598</v>
      </c>
      <c r="Z60" s="98">
        <v>0.75652304300069551</v>
      </c>
      <c r="AA60" s="98">
        <v>492.95041481925318</v>
      </c>
      <c r="AB60" s="98">
        <v>0.84449283161054511</v>
      </c>
      <c r="AC60" s="98">
        <v>550.27152907743118</v>
      </c>
      <c r="AD60" s="98">
        <v>0.73272455261230085</v>
      </c>
      <c r="AE60" s="98">
        <v>477.44331848217524</v>
      </c>
      <c r="AF60" s="98">
        <v>0.6636351053802052</v>
      </c>
      <c r="AG60" s="98">
        <v>432.42463466574173</v>
      </c>
      <c r="AH60" s="98">
        <v>0.89833928024550092</v>
      </c>
      <c r="AI60" s="98">
        <v>585.35787500796846</v>
      </c>
      <c r="AJ60" s="98">
        <v>0.6947358962120016</v>
      </c>
      <c r="AK60" s="98">
        <v>452.68990997174024</v>
      </c>
      <c r="AL60" s="98">
        <v>1.035557806965266</v>
      </c>
      <c r="AM60" s="98">
        <v>674.7694670185673</v>
      </c>
      <c r="AN60" s="98">
        <v>0.66579018353311425</v>
      </c>
      <c r="AO60" s="98">
        <v>433.82888359017727</v>
      </c>
      <c r="AP60" s="98">
        <v>0.65625984115227642</v>
      </c>
      <c r="AQ60" s="98">
        <v>427.61891249482335</v>
      </c>
      <c r="AR60" s="98">
        <v>0.87829212305551785</v>
      </c>
      <c r="AS60" s="98">
        <v>572.29514738297541</v>
      </c>
      <c r="AT60" s="98">
        <v>0.68140936240192895</v>
      </c>
      <c r="AU60" s="98">
        <v>444.0063405410969</v>
      </c>
      <c r="AV60" s="98">
        <v>0.70874264158050715</v>
      </c>
      <c r="AW60" s="98">
        <v>461.81670525385846</v>
      </c>
      <c r="AX60" s="98">
        <v>0.877658109745593</v>
      </c>
      <c r="AY60" s="98">
        <v>571.88202431022842</v>
      </c>
      <c r="AZ60" s="98">
        <v>0.713293274957714</v>
      </c>
      <c r="BA60" s="98">
        <v>464.78189796244646</v>
      </c>
      <c r="BB60" s="98">
        <v>0.83967338941931202</v>
      </c>
      <c r="BC60" s="98">
        <v>547.13118054562369</v>
      </c>
      <c r="BD60" s="98">
        <v>0.94045447004351945</v>
      </c>
      <c r="BE60" s="98">
        <v>612.80013268035725</v>
      </c>
      <c r="BF60" s="98">
        <v>0.84766667197111567</v>
      </c>
      <c r="BG60" s="98">
        <v>552.339603456379</v>
      </c>
      <c r="BH60" s="98">
        <v>0.59051648765967946</v>
      </c>
      <c r="BI60" s="98">
        <v>384.78054335904716</v>
      </c>
      <c r="BJ60" s="98">
        <v>0.88021380868856969</v>
      </c>
      <c r="BK60" s="98">
        <v>573.54731774147206</v>
      </c>
      <c r="BL60" s="98">
        <v>0.62303543067282463</v>
      </c>
      <c r="BM60" s="98">
        <v>405.96988662641252</v>
      </c>
      <c r="BN60" s="98">
        <v>0.69878449503843854</v>
      </c>
      <c r="BO60" s="98">
        <v>455.32797696704654</v>
      </c>
      <c r="BP60" s="98">
        <v>0.63272785502806617</v>
      </c>
      <c r="BQ60" s="98">
        <v>412.28547033628791</v>
      </c>
      <c r="BR60" s="98">
        <v>0.75896865077477937</v>
      </c>
      <c r="BS60" s="98">
        <v>494.54397284484628</v>
      </c>
      <c r="BT60" s="98">
        <v>0.84706766739311068</v>
      </c>
      <c r="BU60" s="98">
        <v>551.94929207335099</v>
      </c>
      <c r="BV60" s="98">
        <v>0.82809292614113561</v>
      </c>
      <c r="BW60" s="98">
        <v>539.58535067356399</v>
      </c>
      <c r="BX60" s="98">
        <v>0.59063290030448434</v>
      </c>
      <c r="BY60" s="98">
        <v>384.85639783840202</v>
      </c>
      <c r="BZ60" s="98">
        <v>0.57814477209039539</v>
      </c>
      <c r="CA60" s="98">
        <v>376.71913349410164</v>
      </c>
      <c r="CB60" s="98">
        <v>0.85328261759970225</v>
      </c>
      <c r="CC60" s="98">
        <v>555.99895362796599</v>
      </c>
      <c r="CD60" s="98">
        <v>0.74429880466544363</v>
      </c>
      <c r="CE60" s="98">
        <v>484.98510112000309</v>
      </c>
      <c r="CF60" s="98">
        <v>0.74212638340020842</v>
      </c>
      <c r="CG60" s="98">
        <v>483.56955142357583</v>
      </c>
      <c r="CH60" s="98">
        <v>0.65561828216968665</v>
      </c>
      <c r="CI60" s="98">
        <v>427.20087266176785</v>
      </c>
      <c r="CJ60" s="98">
        <v>0.88220104778123143</v>
      </c>
      <c r="CK60" s="98">
        <v>574.84220273425046</v>
      </c>
      <c r="CL60" s="98">
        <v>0.73977307388362656</v>
      </c>
      <c r="CM60" s="98">
        <v>482.0361349425711</v>
      </c>
      <c r="CN60" s="98">
        <v>0.64872237344120809</v>
      </c>
      <c r="CO60" s="98">
        <v>422.70749853429123</v>
      </c>
      <c r="CP60" s="98">
        <v>0.56473354339119541</v>
      </c>
      <c r="CQ60" s="98">
        <v>367.98037687370294</v>
      </c>
      <c r="CR60" s="98">
        <v>0.6368841321499642</v>
      </c>
      <c r="CS60" s="98">
        <v>414.99370050891667</v>
      </c>
      <c r="CT60" s="98">
        <v>0.75453739414196375</v>
      </c>
      <c r="CU60" s="98">
        <v>491.65656602290358</v>
      </c>
    </row>
    <row r="61" spans="2:99">
      <c r="C61" s="97" t="s">
        <v>228</v>
      </c>
      <c r="D61" s="98">
        <v>4</v>
      </c>
      <c r="E61" s="98">
        <v>3806.3999999999996</v>
      </c>
      <c r="F61" s="98">
        <v>3.2848858605356366</v>
      </c>
      <c r="G61" s="98">
        <v>3125.8973848857113</v>
      </c>
      <c r="H61" s="98">
        <v>2.5173207305806291</v>
      </c>
      <c r="I61" s="98">
        <v>2395.4824072205265</v>
      </c>
      <c r="J61" s="98">
        <v>0.72256238366539305</v>
      </c>
      <c r="K61" s="98">
        <v>687.59036429598791</v>
      </c>
      <c r="L61" s="98">
        <v>0.88248952458333341</v>
      </c>
      <c r="M61" s="98">
        <v>839.77703159349994</v>
      </c>
      <c r="N61" s="98">
        <v>0.96089887258638207</v>
      </c>
      <c r="O61" s="98">
        <v>914.39136715320114</v>
      </c>
      <c r="P61" s="98">
        <v>0.57254943203935982</v>
      </c>
      <c r="Q61" s="98">
        <v>544.8380395286548</v>
      </c>
      <c r="R61" s="98">
        <v>0.84854761979166671</v>
      </c>
      <c r="S61" s="98">
        <v>807.47791499375001</v>
      </c>
      <c r="T61" s="98">
        <v>0.67262921081046756</v>
      </c>
      <c r="U61" s="98">
        <v>640.07395700724089</v>
      </c>
      <c r="V61" s="98">
        <v>0.63886789907094599</v>
      </c>
      <c r="W61" s="98">
        <v>607.94669275591218</v>
      </c>
      <c r="X61" s="98">
        <v>0.84529647948595144</v>
      </c>
      <c r="Y61" s="98">
        <v>804.38412987883135</v>
      </c>
      <c r="Z61" s="98">
        <v>0.75652304300069551</v>
      </c>
      <c r="AA61" s="98">
        <v>719.90732771946182</v>
      </c>
      <c r="AB61" s="98">
        <v>0.65517625600933993</v>
      </c>
      <c r="AC61" s="98">
        <v>623.46572521848782</v>
      </c>
      <c r="AD61" s="98">
        <v>0.73272455261230085</v>
      </c>
      <c r="AE61" s="98">
        <v>697.26068426586539</v>
      </c>
      <c r="AF61" s="98">
        <v>0.6636351053802052</v>
      </c>
      <c r="AG61" s="98">
        <v>631.51516627980322</v>
      </c>
      <c r="AH61" s="98">
        <v>0.88281324953680207</v>
      </c>
      <c r="AI61" s="98">
        <v>840.08508825922081</v>
      </c>
      <c r="AJ61" s="98">
        <v>0.68252052849860367</v>
      </c>
      <c r="AK61" s="98">
        <v>649.48653491927121</v>
      </c>
      <c r="AL61" s="98">
        <v>0.86478867368724233</v>
      </c>
      <c r="AM61" s="98">
        <v>822.9329018807797</v>
      </c>
      <c r="AN61" s="98">
        <v>0.64826746324345585</v>
      </c>
      <c r="AO61" s="98">
        <v>616.89131802247255</v>
      </c>
      <c r="AP61" s="98">
        <v>0.64050899203647971</v>
      </c>
      <c r="AQ61" s="98">
        <v>609.50835682191405</v>
      </c>
      <c r="AR61" s="98">
        <v>0.87829212305551785</v>
      </c>
      <c r="AS61" s="98">
        <v>835.78278429963075</v>
      </c>
      <c r="AT61" s="98">
        <v>0.66380016868931602</v>
      </c>
      <c r="AU61" s="98">
        <v>631.67224052475308</v>
      </c>
      <c r="AV61" s="98">
        <v>0.70874264158050715</v>
      </c>
      <c r="AW61" s="98">
        <v>674.43949772801056</v>
      </c>
      <c r="AX61" s="98">
        <v>0.877658109745593</v>
      </c>
      <c r="AY61" s="98">
        <v>835.17945723390619</v>
      </c>
      <c r="AZ61" s="98">
        <v>0.724593033541993</v>
      </c>
      <c r="BA61" s="98">
        <v>689.52273071856052</v>
      </c>
      <c r="BB61" s="98">
        <v>0.83967338941931202</v>
      </c>
      <c r="BC61" s="98">
        <v>799.03319737141726</v>
      </c>
      <c r="BD61" s="98">
        <v>0.75885808656017284</v>
      </c>
      <c r="BE61" s="98">
        <v>722.12935517066046</v>
      </c>
      <c r="BF61" s="98">
        <v>0.84766667197111567</v>
      </c>
      <c r="BG61" s="98">
        <v>806.63960504771364</v>
      </c>
      <c r="BH61" s="98">
        <v>0.43568246380813541</v>
      </c>
      <c r="BI61" s="98">
        <v>414.59543255982163</v>
      </c>
      <c r="BJ61" s="98">
        <v>0.867819292108438</v>
      </c>
      <c r="BK61" s="98">
        <v>825.81683837038952</v>
      </c>
      <c r="BL61" s="98">
        <v>0.60737068344561507</v>
      </c>
      <c r="BM61" s="98">
        <v>577.97394236684727</v>
      </c>
      <c r="BN61" s="98">
        <v>0.69878449503843854</v>
      </c>
      <c r="BO61" s="98">
        <v>664.9633254785781</v>
      </c>
      <c r="BP61" s="98">
        <v>0.46323121140496165</v>
      </c>
      <c r="BQ61" s="98">
        <v>440.81082077296145</v>
      </c>
      <c r="BR61" s="98">
        <v>0.75896865077477937</v>
      </c>
      <c r="BS61" s="98">
        <v>722.23456807727996</v>
      </c>
      <c r="BT61" s="98">
        <v>0.83516138234950243</v>
      </c>
      <c r="BU61" s="98">
        <v>794.73957144378642</v>
      </c>
      <c r="BV61" s="98">
        <v>0.84372632721406116</v>
      </c>
      <c r="BW61" s="98">
        <v>802.88997297690048</v>
      </c>
      <c r="BX61" s="98">
        <v>0.60564789732911462</v>
      </c>
      <c r="BY61" s="98">
        <v>576.33453909838545</v>
      </c>
      <c r="BZ61" s="98">
        <v>0.42019257568922147</v>
      </c>
      <c r="CA61" s="98">
        <v>399.85525502586313</v>
      </c>
      <c r="CB61" s="98">
        <v>0.86779595747309801</v>
      </c>
      <c r="CC61" s="98">
        <v>825.79463313140002</v>
      </c>
      <c r="CD61" s="98">
        <v>0.58065694559747472</v>
      </c>
      <c r="CE61" s="98">
        <v>552.55314943055691</v>
      </c>
      <c r="CF61" s="98">
        <v>0.75579698404817131</v>
      </c>
      <c r="CG61" s="98">
        <v>719.21641002023978</v>
      </c>
      <c r="CH61" s="98">
        <v>0.64184906003904219</v>
      </c>
      <c r="CI61" s="98">
        <v>610.78356553315245</v>
      </c>
      <c r="CJ61" s="98">
        <v>0.70576083822498537</v>
      </c>
      <c r="CK61" s="98">
        <v>671.60201365489604</v>
      </c>
      <c r="CL61" s="98">
        <v>0.75250006359624</v>
      </c>
      <c r="CM61" s="98">
        <v>716.0790605181819</v>
      </c>
      <c r="CN61" s="98">
        <v>0.64872237344120809</v>
      </c>
      <c r="CO61" s="98">
        <v>617.32421056665351</v>
      </c>
      <c r="CP61" s="98">
        <v>0.56473354339119541</v>
      </c>
      <c r="CQ61" s="98">
        <v>537.40043989106152</v>
      </c>
      <c r="CR61" s="98">
        <v>0.65025833519468368</v>
      </c>
      <c r="CS61" s="98">
        <v>618.78583177126097</v>
      </c>
      <c r="CT61" s="98">
        <v>0.75453739414196375</v>
      </c>
      <c r="CU61" s="98">
        <v>718.01778426549265</v>
      </c>
    </row>
    <row r="62" spans="2:99">
      <c r="C62" s="97" t="s">
        <v>229</v>
      </c>
      <c r="D62" s="98">
        <v>0.63967616773897062</v>
      </c>
      <c r="E62" s="98">
        <v>1067.7474591898897</v>
      </c>
      <c r="F62" s="98">
        <v>0.64041170826566374</v>
      </c>
      <c r="G62" s="98">
        <v>1068.975223437046</v>
      </c>
      <c r="H62" s="98">
        <v>0.55471356856216281</v>
      </c>
      <c r="I62" s="98">
        <v>925.92788864396221</v>
      </c>
      <c r="J62" s="98">
        <v>0.45389517835545118</v>
      </c>
      <c r="K62" s="98">
        <v>757.64183171091918</v>
      </c>
      <c r="L62" s="98">
        <v>0.40188908786093797</v>
      </c>
      <c r="M62" s="98">
        <v>670.83326545747764</v>
      </c>
      <c r="N62" s="98">
        <v>0.56094884146938995</v>
      </c>
      <c r="O62" s="98">
        <v>936.33580618070573</v>
      </c>
      <c r="P62" s="98">
        <v>0.57455707515588339</v>
      </c>
      <c r="Q62" s="98">
        <v>959.05066985020062</v>
      </c>
      <c r="R62" s="98">
        <v>0.67752028951219478</v>
      </c>
      <c r="S62" s="98">
        <v>1130.9168672537555</v>
      </c>
      <c r="T62" s="98">
        <v>0.5067104559785055</v>
      </c>
      <c r="U62" s="98">
        <v>845.80109311932142</v>
      </c>
      <c r="V62" s="98">
        <v>0.53836572758135481</v>
      </c>
      <c r="W62" s="98">
        <v>898.64007247879749</v>
      </c>
      <c r="X62" s="98">
        <v>0.52541496605910765</v>
      </c>
      <c r="Y62" s="98">
        <v>877.0226613458625</v>
      </c>
      <c r="Z62" s="98">
        <v>0.59744855351139126</v>
      </c>
      <c r="AA62" s="98">
        <v>997.26112552121435</v>
      </c>
      <c r="AB62" s="98">
        <v>0.51621294287141128</v>
      </c>
      <c r="AC62" s="98">
        <v>861.66264424095971</v>
      </c>
      <c r="AD62" s="98">
        <v>0.5168040641358379</v>
      </c>
      <c r="AE62" s="98">
        <v>862.64934385554068</v>
      </c>
      <c r="AF62" s="98">
        <v>0.49282480240280735</v>
      </c>
      <c r="AG62" s="98">
        <v>822.62316017076603</v>
      </c>
      <c r="AH62" s="98">
        <v>0.46623588501183882</v>
      </c>
      <c r="AI62" s="98">
        <v>778.24093926176135</v>
      </c>
      <c r="AJ62" s="98">
        <v>0.49733368259036875</v>
      </c>
      <c r="AK62" s="98">
        <v>830.14938297984349</v>
      </c>
      <c r="AL62" s="98">
        <v>0.74844721649835455</v>
      </c>
      <c r="AM62" s="98">
        <v>1249.3080937790535</v>
      </c>
      <c r="AN62" s="98">
        <v>0.35614179736452545</v>
      </c>
      <c r="AO62" s="98">
        <v>594.47188816086589</v>
      </c>
      <c r="AP62" s="98">
        <v>0.58482904713886086</v>
      </c>
      <c r="AQ62" s="98">
        <v>976.19664548418655</v>
      </c>
      <c r="AR62" s="98">
        <v>0.70635131037086363</v>
      </c>
      <c r="AS62" s="98">
        <v>1179.0416072710457</v>
      </c>
      <c r="AT62" s="98">
        <v>0.51730109418050019</v>
      </c>
      <c r="AU62" s="98">
        <v>863.47898640609094</v>
      </c>
      <c r="AV62" s="98">
        <v>0.58215733475568832</v>
      </c>
      <c r="AW62" s="98">
        <v>971.73702317419497</v>
      </c>
      <c r="AX62" s="98">
        <v>0.50244310930872627</v>
      </c>
      <c r="AY62" s="98">
        <v>838.67803805812594</v>
      </c>
      <c r="AZ62" s="98">
        <v>0.53354804232720099</v>
      </c>
      <c r="BA62" s="98">
        <v>890.59839225256394</v>
      </c>
      <c r="BB62" s="98">
        <v>0.4415534301146411</v>
      </c>
      <c r="BC62" s="98">
        <v>737.0409855473589</v>
      </c>
      <c r="BD62" s="98">
        <v>0.6844943831319622</v>
      </c>
      <c r="BE62" s="98">
        <v>1142.5580243238715</v>
      </c>
      <c r="BF62" s="98">
        <v>0.46338007909246992</v>
      </c>
      <c r="BG62" s="98">
        <v>773.47402802115084</v>
      </c>
      <c r="BH62" s="98">
        <v>0.43670749325593167</v>
      </c>
      <c r="BI62" s="98">
        <v>728.95214774280112</v>
      </c>
      <c r="BJ62" s="98">
        <v>0.63715643804301825</v>
      </c>
      <c r="BK62" s="98">
        <v>1063.5415263814061</v>
      </c>
      <c r="BL62" s="98">
        <v>0.41571364784188208</v>
      </c>
      <c r="BM62" s="98">
        <v>693.90922097766963</v>
      </c>
      <c r="BN62" s="98">
        <v>0.56693829351566527</v>
      </c>
      <c r="BO62" s="98">
        <v>946.33339953634845</v>
      </c>
      <c r="BP62" s="98">
        <v>0.34462358108948199</v>
      </c>
      <c r="BQ62" s="98">
        <v>575.24568155456336</v>
      </c>
      <c r="BR62" s="98">
        <v>0.3495832518520211</v>
      </c>
      <c r="BS62" s="98">
        <v>583.52436399139367</v>
      </c>
      <c r="BT62" s="98">
        <v>0.55108996392142251</v>
      </c>
      <c r="BU62" s="98">
        <v>919.87936777763844</v>
      </c>
      <c r="BV62" s="98">
        <v>0.57860290188384988</v>
      </c>
      <c r="BW62" s="98">
        <v>965.80396382452227</v>
      </c>
      <c r="BX62" s="98">
        <v>0.38422521836508772</v>
      </c>
      <c r="BY62" s="98">
        <v>641.34873449500446</v>
      </c>
      <c r="BZ62" s="98">
        <v>0.5542644636776286</v>
      </c>
      <c r="CA62" s="98">
        <v>925.17824277069769</v>
      </c>
      <c r="CB62" s="98">
        <v>0.54569611531096696</v>
      </c>
      <c r="CC62" s="98">
        <v>910.87595567706603</v>
      </c>
      <c r="CD62" s="98">
        <v>0.41673642196991573</v>
      </c>
      <c r="CE62" s="98">
        <v>695.61643555218336</v>
      </c>
      <c r="CF62" s="98">
        <v>0.56554677070928205</v>
      </c>
      <c r="CG62" s="98">
        <v>944.0106696679336</v>
      </c>
      <c r="CH62" s="98">
        <v>0.60895322148642017</v>
      </c>
      <c r="CI62" s="98">
        <v>1016.4647173051326</v>
      </c>
      <c r="CJ62" s="98">
        <v>0.51739552043737036</v>
      </c>
      <c r="CK62" s="98">
        <v>863.63660271405865</v>
      </c>
      <c r="CL62" s="98">
        <v>0.52088317567387832</v>
      </c>
      <c r="CM62" s="98">
        <v>869.45819683483774</v>
      </c>
      <c r="CN62" s="98">
        <v>0.38099400121988608</v>
      </c>
      <c r="CO62" s="98">
        <v>635.95518683623391</v>
      </c>
      <c r="CP62" s="98">
        <v>0.38380516420141819</v>
      </c>
      <c r="CQ62" s="98">
        <v>640.64758008500723</v>
      </c>
      <c r="CR62" s="98">
        <v>0.51554686659145199</v>
      </c>
      <c r="CS62" s="98">
        <v>860.55082971445165</v>
      </c>
      <c r="CT62" s="98">
        <v>0.60222450523662552</v>
      </c>
      <c r="CU62" s="98">
        <v>1005.2331441409754</v>
      </c>
    </row>
    <row r="63" spans="2:99">
      <c r="C63" s="97" t="s">
        <v>230</v>
      </c>
      <c r="D63" s="98">
        <v>4</v>
      </c>
      <c r="E63" s="98">
        <v>3182.4</v>
      </c>
      <c r="F63" s="98">
        <v>2.6279086884285094</v>
      </c>
      <c r="G63" s="98">
        <v>2090.7641525137224</v>
      </c>
      <c r="H63" s="98">
        <v>2.5173207305806291</v>
      </c>
      <c r="I63" s="98">
        <v>2002.7803732499485</v>
      </c>
      <c r="J63" s="98">
        <v>0.72256238366539305</v>
      </c>
      <c r="K63" s="98">
        <v>574.87063244418675</v>
      </c>
      <c r="L63" s="98">
        <v>0.88248952458333341</v>
      </c>
      <c r="M63" s="98">
        <v>702.10866575850002</v>
      </c>
      <c r="N63" s="98">
        <v>0.96089887258638207</v>
      </c>
      <c r="O63" s="98">
        <v>764.49114302972555</v>
      </c>
      <c r="P63" s="98">
        <v>0.57254943203935982</v>
      </c>
      <c r="Q63" s="98">
        <v>455.52032813051466</v>
      </c>
      <c r="R63" s="98">
        <v>0.84854761979166671</v>
      </c>
      <c r="S63" s="98">
        <v>675.10448630625001</v>
      </c>
      <c r="T63" s="98">
        <v>0.67262921081046756</v>
      </c>
      <c r="U63" s="98">
        <v>535.14380012080801</v>
      </c>
      <c r="V63" s="98">
        <v>0.63886789907094599</v>
      </c>
      <c r="W63" s="98">
        <v>508.28330050084463</v>
      </c>
      <c r="X63" s="98">
        <v>0.84529647948595144</v>
      </c>
      <c r="Y63" s="98">
        <v>672.51787907902303</v>
      </c>
      <c r="Z63" s="98">
        <v>0.75652304300069551</v>
      </c>
      <c r="AA63" s="98">
        <v>601.88973301135331</v>
      </c>
      <c r="AB63" s="98">
        <v>0.63773095016819503</v>
      </c>
      <c r="AC63" s="98">
        <v>507.37874395381596</v>
      </c>
      <c r="AD63" s="98">
        <v>0.73272455261230085</v>
      </c>
      <c r="AE63" s="98">
        <v>582.95565405834657</v>
      </c>
      <c r="AF63" s="98">
        <v>0.64991990618302153</v>
      </c>
      <c r="AG63" s="98">
        <v>517.07627735921199</v>
      </c>
      <c r="AH63" s="98">
        <v>0.89833928024550092</v>
      </c>
      <c r="AI63" s="98">
        <v>714.71873136332056</v>
      </c>
      <c r="AJ63" s="98">
        <v>0.68252052849860367</v>
      </c>
      <c r="AK63" s="98">
        <v>543.01333247348907</v>
      </c>
      <c r="AL63" s="98">
        <v>1.035557806965266</v>
      </c>
      <c r="AM63" s="98">
        <v>823.8897912215657</v>
      </c>
      <c r="AN63" s="98">
        <v>0.66579018353311425</v>
      </c>
      <c r="AO63" s="98">
        <v>529.7026700189457</v>
      </c>
      <c r="AP63" s="98">
        <v>0.65625984115227642</v>
      </c>
      <c r="AQ63" s="98">
        <v>522.12032962075114</v>
      </c>
      <c r="AR63" s="98">
        <v>0.89210149329780575</v>
      </c>
      <c r="AS63" s="98">
        <v>709.75594806773427</v>
      </c>
      <c r="AT63" s="98">
        <v>0.66380016868931602</v>
      </c>
      <c r="AU63" s="98">
        <v>528.11941420921983</v>
      </c>
      <c r="AV63" s="98">
        <v>0.70874264158050715</v>
      </c>
      <c r="AW63" s="98">
        <v>563.87564564145146</v>
      </c>
      <c r="AX63" s="98">
        <v>0.877658109745593</v>
      </c>
      <c r="AY63" s="98">
        <v>698.26479211359378</v>
      </c>
      <c r="AZ63" s="98">
        <v>0.724593033541993</v>
      </c>
      <c r="BA63" s="98">
        <v>576.48621748600965</v>
      </c>
      <c r="BB63" s="98">
        <v>0.83967338941931202</v>
      </c>
      <c r="BC63" s="98">
        <v>668.04414862200463</v>
      </c>
      <c r="BD63" s="98">
        <v>0.92421819373012593</v>
      </c>
      <c r="BE63" s="98">
        <v>735.3079949316882</v>
      </c>
      <c r="BF63" s="98">
        <v>0.86258753421671264</v>
      </c>
      <c r="BG63" s="98">
        <v>686.27464222281662</v>
      </c>
      <c r="BH63" s="98">
        <v>0.60311792927018426</v>
      </c>
      <c r="BI63" s="98">
        <v>479.84062452735861</v>
      </c>
      <c r="BJ63" s="98">
        <v>0.72648117679509328</v>
      </c>
      <c r="BK63" s="98">
        <v>577.98842425817622</v>
      </c>
      <c r="BL63" s="98">
        <v>0.62303543067282463</v>
      </c>
      <c r="BM63" s="98">
        <v>495.68698864329929</v>
      </c>
      <c r="BN63" s="98">
        <v>0.69878449503843854</v>
      </c>
      <c r="BO63" s="98">
        <v>555.95294425258169</v>
      </c>
      <c r="BP63" s="98">
        <v>0.63272785502806617</v>
      </c>
      <c r="BQ63" s="98">
        <v>503.39828146032943</v>
      </c>
      <c r="BR63" s="98">
        <v>0.74575176450968583</v>
      </c>
      <c r="BS63" s="98">
        <v>593.32010384390605</v>
      </c>
      <c r="BT63" s="98">
        <v>0.84706766739311068</v>
      </c>
      <c r="BU63" s="98">
        <v>673.92703617795883</v>
      </c>
      <c r="BV63" s="98">
        <v>0.82809292614113561</v>
      </c>
      <c r="BW63" s="98">
        <v>658.83073203788751</v>
      </c>
      <c r="BX63" s="98">
        <v>0.59063290030448434</v>
      </c>
      <c r="BY63" s="98">
        <v>469.90753548224774</v>
      </c>
      <c r="BZ63" s="98">
        <v>0.57814477209039539</v>
      </c>
      <c r="CA63" s="98">
        <v>459.97198067511857</v>
      </c>
      <c r="CB63" s="98">
        <v>0.86779595747309801</v>
      </c>
      <c r="CC63" s="98">
        <v>690.41846376559681</v>
      </c>
      <c r="CD63" s="98">
        <v>0.73148003775207671</v>
      </c>
      <c r="CE63" s="98">
        <v>581.96551803555224</v>
      </c>
      <c r="CF63" s="98">
        <v>0.75579698404817131</v>
      </c>
      <c r="CG63" s="98">
        <v>601.3120805087251</v>
      </c>
      <c r="CH63" s="98">
        <v>0.65561828216968665</v>
      </c>
      <c r="CI63" s="98">
        <v>521.60990529420269</v>
      </c>
      <c r="CJ63" s="98">
        <v>0.88220104778123143</v>
      </c>
      <c r="CK63" s="98">
        <v>701.87915361474779</v>
      </c>
      <c r="CL63" s="98">
        <v>0.73977307388362656</v>
      </c>
      <c r="CM63" s="98">
        <v>588.56345758181328</v>
      </c>
      <c r="CN63" s="98">
        <v>0.64872237344120809</v>
      </c>
      <c r="CO63" s="98">
        <v>516.12352030982515</v>
      </c>
      <c r="CP63" s="98">
        <v>0.56473354339119541</v>
      </c>
      <c r="CQ63" s="98">
        <v>449.30200712203509</v>
      </c>
      <c r="CR63" s="98">
        <v>0.81797236909560711</v>
      </c>
      <c r="CS63" s="98">
        <v>650.77881685246507</v>
      </c>
      <c r="CT63" s="98">
        <v>0.75453739414196375</v>
      </c>
      <c r="CU63" s="98">
        <v>600.30995077934642</v>
      </c>
    </row>
    <row r="64" spans="2:99">
      <c r="C64" s="97" t="s">
        <v>231</v>
      </c>
      <c r="D64" s="98">
        <v>3</v>
      </c>
      <c r="E64" s="98">
        <v>3027.5999999999995</v>
      </c>
      <c r="F64" s="98">
        <v>2.6279086884285094</v>
      </c>
      <c r="G64" s="98">
        <v>2652.0854483620515</v>
      </c>
      <c r="H64" s="98">
        <v>2.5173207305806291</v>
      </c>
      <c r="I64" s="98">
        <v>2540.4800813019706</v>
      </c>
      <c r="J64" s="98">
        <v>0.72256238366539305</v>
      </c>
      <c r="K64" s="98">
        <v>729.20995759511459</v>
      </c>
      <c r="L64" s="98">
        <v>0.88248952458333341</v>
      </c>
      <c r="M64" s="98">
        <v>890.60842820949995</v>
      </c>
      <c r="N64" s="98">
        <v>0.96089887258638207</v>
      </c>
      <c r="O64" s="98">
        <v>969.73914221417658</v>
      </c>
      <c r="P64" s="98">
        <v>0.57254943203935982</v>
      </c>
      <c r="Q64" s="98">
        <v>577.81688681412186</v>
      </c>
      <c r="R64" s="98">
        <v>0.84854761979166671</v>
      </c>
      <c r="S64" s="98">
        <v>856.35425789374983</v>
      </c>
      <c r="T64" s="98">
        <v>0.67262921081046756</v>
      </c>
      <c r="U64" s="98">
        <v>678.81739954992372</v>
      </c>
      <c r="V64" s="98">
        <v>0.63886789907094599</v>
      </c>
      <c r="W64" s="98">
        <v>644.74548374239862</v>
      </c>
      <c r="X64" s="98">
        <v>0.84529647948595144</v>
      </c>
      <c r="Y64" s="98">
        <v>853.07320709722205</v>
      </c>
      <c r="Z64" s="98">
        <v>0.73512514143795293</v>
      </c>
      <c r="AA64" s="98">
        <v>741.88829273918202</v>
      </c>
      <c r="AB64" s="98">
        <v>0.63773095016819503</v>
      </c>
      <c r="AC64" s="98">
        <v>643.59807490974231</v>
      </c>
      <c r="AD64" s="98">
        <v>0.73272455261230085</v>
      </c>
      <c r="AE64" s="98">
        <v>739.46561849633383</v>
      </c>
      <c r="AF64" s="98">
        <v>0.6636351053802052</v>
      </c>
      <c r="AG64" s="98">
        <v>669.74054834970298</v>
      </c>
      <c r="AH64" s="98">
        <v>0.89833928024550092</v>
      </c>
      <c r="AI64" s="98">
        <v>906.60400162375936</v>
      </c>
      <c r="AJ64" s="98">
        <v>0.52715960601570022</v>
      </c>
      <c r="AK64" s="98">
        <v>532.00947439104459</v>
      </c>
      <c r="AL64" s="98">
        <v>0.84964599530597984</v>
      </c>
      <c r="AM64" s="98">
        <v>857.46273846279473</v>
      </c>
      <c r="AN64" s="98">
        <v>0.47890556293472614</v>
      </c>
      <c r="AO64" s="98">
        <v>483.31149411372553</v>
      </c>
      <c r="AP64" s="98">
        <v>0.65625984115227642</v>
      </c>
      <c r="AQ64" s="98">
        <v>662.29743169087726</v>
      </c>
      <c r="AR64" s="98">
        <v>0.89210149329780575</v>
      </c>
      <c r="AS64" s="98">
        <v>900.30882703614543</v>
      </c>
      <c r="AT64" s="98">
        <v>0.68140936240192895</v>
      </c>
      <c r="AU64" s="98">
        <v>687.67832853602658</v>
      </c>
      <c r="AV64" s="98">
        <v>0.70874264158050715</v>
      </c>
      <c r="AW64" s="98">
        <v>715.2630738830477</v>
      </c>
      <c r="AX64" s="98">
        <v>0.877658109745593</v>
      </c>
      <c r="AY64" s="98">
        <v>885.73256435525229</v>
      </c>
      <c r="AZ64" s="98">
        <v>0.724593033541993</v>
      </c>
      <c r="BA64" s="98">
        <v>731.25928945057922</v>
      </c>
      <c r="BB64" s="98">
        <v>0.82648416499776911</v>
      </c>
      <c r="BC64" s="98">
        <v>834.08781931574845</v>
      </c>
      <c r="BD64" s="98">
        <v>0.75885808656017284</v>
      </c>
      <c r="BE64" s="98">
        <v>765.83958095652633</v>
      </c>
      <c r="BF64" s="98">
        <v>0.84766667197111567</v>
      </c>
      <c r="BG64" s="98">
        <v>855.46520535324976</v>
      </c>
      <c r="BH64" s="98">
        <v>0.59051648765967946</v>
      </c>
      <c r="BI64" s="98">
        <v>595.94923934614837</v>
      </c>
      <c r="BJ64" s="98">
        <v>0.867819292108438</v>
      </c>
      <c r="BK64" s="98">
        <v>875.80322959583543</v>
      </c>
      <c r="BL64" s="98">
        <v>0.60737068344561507</v>
      </c>
      <c r="BM64" s="98">
        <v>612.95849373331464</v>
      </c>
      <c r="BN64" s="98">
        <v>0.69878449503843854</v>
      </c>
      <c r="BO64" s="98">
        <v>705.21331239279209</v>
      </c>
      <c r="BP64" s="98">
        <v>0.63272785502806617</v>
      </c>
      <c r="BQ64" s="98">
        <v>638.5489512943243</v>
      </c>
      <c r="BR64" s="98">
        <v>0.75896865077477937</v>
      </c>
      <c r="BS64" s="98">
        <v>765.95116236190722</v>
      </c>
      <c r="BT64" s="98">
        <v>0.98790611676707296</v>
      </c>
      <c r="BU64" s="98">
        <v>996.99485304132986</v>
      </c>
      <c r="BV64" s="98">
        <v>0.84372632721406116</v>
      </c>
      <c r="BW64" s="98">
        <v>851.48860942443036</v>
      </c>
      <c r="BX64" s="98">
        <v>0.59063290030448434</v>
      </c>
      <c r="BY64" s="98">
        <v>596.06672298728552</v>
      </c>
      <c r="BZ64" s="98">
        <v>0.57814477209039539</v>
      </c>
      <c r="CA64" s="98">
        <v>583.46370399362695</v>
      </c>
      <c r="CB64" s="98">
        <v>0.86779595747309801</v>
      </c>
      <c r="CC64" s="98">
        <v>875.77968028185035</v>
      </c>
      <c r="CD64" s="98">
        <v>0.73148003775207671</v>
      </c>
      <c r="CE64" s="98">
        <v>738.20965409939572</v>
      </c>
      <c r="CF64" s="98">
        <v>0.74212638340020842</v>
      </c>
      <c r="CG64" s="98">
        <v>748.95394612749021</v>
      </c>
      <c r="CH64" s="98">
        <v>0.79542671398348042</v>
      </c>
      <c r="CI64" s="98">
        <v>802.74463975212825</v>
      </c>
      <c r="CJ64" s="98">
        <v>0.88220104778123143</v>
      </c>
      <c r="CK64" s="98">
        <v>890.31729742081859</v>
      </c>
      <c r="CL64" s="98">
        <v>0.75250006359624</v>
      </c>
      <c r="CM64" s="98">
        <v>759.42306418132523</v>
      </c>
      <c r="CN64" s="98">
        <v>0.64872237344120809</v>
      </c>
      <c r="CO64" s="98">
        <v>654.6906192768671</v>
      </c>
      <c r="CP64" s="98">
        <v>0.56473354339119541</v>
      </c>
      <c r="CQ64" s="98">
        <v>569.92909199039434</v>
      </c>
      <c r="CR64" s="98">
        <v>0.65025833519468368</v>
      </c>
      <c r="CS64" s="98">
        <v>656.2407118784746</v>
      </c>
      <c r="CT64" s="98">
        <v>0.76994487333899153</v>
      </c>
      <c r="CU64" s="98">
        <v>777.02836617371008</v>
      </c>
    </row>
    <row r="65" spans="2:99">
      <c r="C65" s="97" t="s">
        <v>232</v>
      </c>
      <c r="D65" s="98">
        <v>3</v>
      </c>
      <c r="E65" s="98">
        <v>3078</v>
      </c>
      <c r="F65" s="98">
        <v>2.6279086884285094</v>
      </c>
      <c r="G65" s="98">
        <v>2696.2343143276507</v>
      </c>
      <c r="H65" s="98">
        <v>2.5173207305806291</v>
      </c>
      <c r="I65" s="98">
        <v>2582.7710695757255</v>
      </c>
      <c r="J65" s="98">
        <v>0.96341651155385732</v>
      </c>
      <c r="K65" s="98">
        <v>988.46534085425765</v>
      </c>
      <c r="L65" s="98">
        <v>0.88248952458333341</v>
      </c>
      <c r="M65" s="98">
        <v>905.43425222250005</v>
      </c>
      <c r="N65" s="98">
        <v>0.76871909806910577</v>
      </c>
      <c r="O65" s="98">
        <v>788.70579461890247</v>
      </c>
      <c r="P65" s="98">
        <v>0.57254943203935982</v>
      </c>
      <c r="Q65" s="98">
        <v>587.43571727238316</v>
      </c>
      <c r="R65" s="98">
        <v>0.84854761979166671</v>
      </c>
      <c r="S65" s="98">
        <v>870.60985790625</v>
      </c>
      <c r="T65" s="98">
        <v>0.89683894774729012</v>
      </c>
      <c r="U65" s="98">
        <v>920.1567603887197</v>
      </c>
      <c r="V65" s="98">
        <v>0.63886789907094599</v>
      </c>
      <c r="W65" s="98">
        <v>655.47846444679055</v>
      </c>
      <c r="X65" s="98">
        <v>0.84529647948595144</v>
      </c>
      <c r="Y65" s="98">
        <v>867.2741879525862</v>
      </c>
      <c r="Z65" s="98">
        <v>0.73512514143795293</v>
      </c>
      <c r="AA65" s="98">
        <v>754.2383951153397</v>
      </c>
      <c r="AB65" s="98">
        <v>0.65517625600933993</v>
      </c>
      <c r="AC65" s="98">
        <v>672.21083866558274</v>
      </c>
      <c r="AD65" s="98">
        <v>0.71872667382354338</v>
      </c>
      <c r="AE65" s="98">
        <v>737.4135673429555</v>
      </c>
      <c r="AF65" s="98">
        <v>0.6636351053802052</v>
      </c>
      <c r="AG65" s="98">
        <v>680.88961812009052</v>
      </c>
      <c r="AH65" s="98">
        <v>0.89833928024550092</v>
      </c>
      <c r="AI65" s="98">
        <v>921.69610153188398</v>
      </c>
      <c r="AJ65" s="98">
        <v>0.52715960601570022</v>
      </c>
      <c r="AK65" s="98">
        <v>540.8657557721084</v>
      </c>
      <c r="AL65" s="98">
        <v>0.86478867368724233</v>
      </c>
      <c r="AM65" s="98">
        <v>887.27317920311066</v>
      </c>
      <c r="AN65" s="98">
        <v>0.47890556293472614</v>
      </c>
      <c r="AO65" s="98">
        <v>491.35710757102902</v>
      </c>
      <c r="AP65" s="98">
        <v>0.65625984115227642</v>
      </c>
      <c r="AQ65" s="98">
        <v>673.32259702223564</v>
      </c>
      <c r="AR65" s="98">
        <v>0.87829212305551785</v>
      </c>
      <c r="AS65" s="98">
        <v>901.12771825496134</v>
      </c>
      <c r="AT65" s="98">
        <v>0.66380016868931602</v>
      </c>
      <c r="AU65" s="98">
        <v>681.05897307523821</v>
      </c>
      <c r="AV65" s="98">
        <v>0.70874264158050715</v>
      </c>
      <c r="AW65" s="98">
        <v>727.16995026160032</v>
      </c>
      <c r="AX65" s="98">
        <v>0.877658109745593</v>
      </c>
      <c r="AY65" s="98">
        <v>900.47722059897842</v>
      </c>
      <c r="AZ65" s="98">
        <v>0.713293274957714</v>
      </c>
      <c r="BA65" s="98">
        <v>731.83890010661457</v>
      </c>
      <c r="BB65" s="98">
        <v>0.82648416499776911</v>
      </c>
      <c r="BC65" s="98">
        <v>847.97275328771116</v>
      </c>
      <c r="BD65" s="98">
        <v>0.75885808656017284</v>
      </c>
      <c r="BE65" s="98">
        <v>778.58839681073732</v>
      </c>
      <c r="BF65" s="98">
        <v>0.84766667197111567</v>
      </c>
      <c r="BG65" s="98">
        <v>869.7060054423647</v>
      </c>
      <c r="BH65" s="98">
        <v>0.59051648765967946</v>
      </c>
      <c r="BI65" s="98">
        <v>605.8699163388311</v>
      </c>
      <c r="BJ65" s="98">
        <v>0.867819292108438</v>
      </c>
      <c r="BK65" s="98">
        <v>890.38259370325738</v>
      </c>
      <c r="BL65" s="98">
        <v>0.62303543067282463</v>
      </c>
      <c r="BM65" s="98">
        <v>639.23435187031805</v>
      </c>
      <c r="BN65" s="98">
        <v>0.69878449503843854</v>
      </c>
      <c r="BO65" s="98">
        <v>716.95289190943799</v>
      </c>
      <c r="BP65" s="98">
        <v>0.46323121140496165</v>
      </c>
      <c r="BQ65" s="98">
        <v>475.27522290149068</v>
      </c>
      <c r="BR65" s="98">
        <v>0.74575176450968583</v>
      </c>
      <c r="BS65" s="98">
        <v>765.14131038693768</v>
      </c>
      <c r="BT65" s="98">
        <v>0.98790611676707296</v>
      </c>
      <c r="BU65" s="98">
        <v>1013.5916758030169</v>
      </c>
      <c r="BV65" s="98">
        <v>0.84372632721406116</v>
      </c>
      <c r="BW65" s="98">
        <v>865.66321172162679</v>
      </c>
      <c r="BX65" s="98">
        <v>0.59063290030448434</v>
      </c>
      <c r="BY65" s="98">
        <v>605.98935571240088</v>
      </c>
      <c r="BZ65" s="98">
        <v>0.57814477209039539</v>
      </c>
      <c r="CA65" s="98">
        <v>593.1765361647457</v>
      </c>
      <c r="CB65" s="98">
        <v>0.86779595747309801</v>
      </c>
      <c r="CC65" s="98">
        <v>890.35865236739858</v>
      </c>
      <c r="CD65" s="98">
        <v>0.74429880466544363</v>
      </c>
      <c r="CE65" s="98">
        <v>763.65057358674517</v>
      </c>
      <c r="CF65" s="98">
        <v>0.74212638340020842</v>
      </c>
      <c r="CG65" s="98">
        <v>761.42166936861383</v>
      </c>
      <c r="CH65" s="98">
        <v>0.79542671398348042</v>
      </c>
      <c r="CI65" s="98">
        <v>816.10780854705092</v>
      </c>
      <c r="CJ65" s="98">
        <v>0.71785605818410259</v>
      </c>
      <c r="CK65" s="98">
        <v>736.52031569688927</v>
      </c>
      <c r="CL65" s="98">
        <v>0.73977307388362656</v>
      </c>
      <c r="CM65" s="98">
        <v>759.00717380460082</v>
      </c>
      <c r="CN65" s="98">
        <v>0.64872237344120809</v>
      </c>
      <c r="CO65" s="98">
        <v>665.58915515067952</v>
      </c>
      <c r="CP65" s="98">
        <v>0.56473354339119541</v>
      </c>
      <c r="CQ65" s="98">
        <v>579.41661551936647</v>
      </c>
      <c r="CR65" s="98">
        <v>0.6368841321499642</v>
      </c>
      <c r="CS65" s="98">
        <v>653.44311958586331</v>
      </c>
      <c r="CT65" s="98">
        <v>0.75453739414196375</v>
      </c>
      <c r="CU65" s="98">
        <v>774.15536638965477</v>
      </c>
    </row>
    <row r="66" spans="2:99">
      <c r="C66" s="97" t="s">
        <v>233</v>
      </c>
      <c r="D66" s="98">
        <v>3</v>
      </c>
      <c r="E66" s="98">
        <v>3571.2</v>
      </c>
      <c r="F66" s="98">
        <v>3.2848858605356366</v>
      </c>
      <c r="G66" s="98">
        <v>3910.3281283816214</v>
      </c>
      <c r="H66" s="98">
        <v>2.5173207305806291</v>
      </c>
      <c r="I66" s="98">
        <v>2996.6185976831807</v>
      </c>
      <c r="J66" s="98">
        <v>0.72256238366539305</v>
      </c>
      <c r="K66" s="98">
        <v>860.13826151528383</v>
      </c>
      <c r="L66" s="98">
        <v>0.88248952458333341</v>
      </c>
      <c r="M66" s="98">
        <v>1050.5155300639999</v>
      </c>
      <c r="N66" s="98">
        <v>0.76871909806910577</v>
      </c>
      <c r="O66" s="98">
        <v>915.08321434146342</v>
      </c>
      <c r="P66" s="98">
        <v>0.57254943203935982</v>
      </c>
      <c r="Q66" s="98">
        <v>681.5628438996539</v>
      </c>
      <c r="R66" s="98">
        <v>0.84854761979166671</v>
      </c>
      <c r="S66" s="98">
        <v>1010.1110865999999</v>
      </c>
      <c r="T66" s="98">
        <v>0.67262921081046756</v>
      </c>
      <c r="U66" s="98">
        <v>800.69781254878046</v>
      </c>
      <c r="V66" s="98">
        <v>0.63886789907094599</v>
      </c>
      <c r="W66" s="98">
        <v>760.50834705405407</v>
      </c>
      <c r="X66" s="98">
        <v>0.84529647948595144</v>
      </c>
      <c r="Y66" s="98">
        <v>1006.2409291800765</v>
      </c>
      <c r="Z66" s="98">
        <v>0.73512514143795293</v>
      </c>
      <c r="AA66" s="98">
        <v>875.0929683677391</v>
      </c>
      <c r="AB66" s="98">
        <v>0.65517625600933993</v>
      </c>
      <c r="AC66" s="98">
        <v>779.9218151535182</v>
      </c>
      <c r="AD66" s="98">
        <v>0.73272455261230085</v>
      </c>
      <c r="AE66" s="98">
        <v>872.23530742968285</v>
      </c>
      <c r="AF66" s="98">
        <v>0.6636351053802052</v>
      </c>
      <c r="AG66" s="98">
        <v>789.99122944459623</v>
      </c>
      <c r="AH66" s="98">
        <v>0.89833928024550092</v>
      </c>
      <c r="AI66" s="98">
        <v>1069.3830792042443</v>
      </c>
      <c r="AJ66" s="98">
        <v>0.52715960601570022</v>
      </c>
      <c r="AK66" s="98">
        <v>627.53079500108947</v>
      </c>
      <c r="AL66" s="98">
        <v>0.86478867368724233</v>
      </c>
      <c r="AM66" s="98">
        <v>1029.4444371572931</v>
      </c>
      <c r="AN66" s="98">
        <v>0.64826746324345585</v>
      </c>
      <c r="AO66" s="98">
        <v>771.6975882450098</v>
      </c>
      <c r="AP66" s="98">
        <v>0.65625984115227642</v>
      </c>
      <c r="AQ66" s="98">
        <v>781.21171490766972</v>
      </c>
      <c r="AR66" s="98">
        <v>0.87829212305551785</v>
      </c>
      <c r="AS66" s="98">
        <v>1045.5189432852883</v>
      </c>
      <c r="AT66" s="98">
        <v>0.66380016868931602</v>
      </c>
      <c r="AU66" s="98">
        <v>790.18772080776171</v>
      </c>
      <c r="AV66" s="98">
        <v>0.69191352769242787</v>
      </c>
      <c r="AW66" s="98">
        <v>823.65386336506606</v>
      </c>
      <c r="AX66" s="98">
        <v>0.877658109745593</v>
      </c>
      <c r="AY66" s="98">
        <v>1044.7642138411538</v>
      </c>
      <c r="AZ66" s="98">
        <v>0.713293274957714</v>
      </c>
      <c r="BA66" s="98">
        <v>849.10431450966269</v>
      </c>
      <c r="BB66" s="98">
        <v>0.82648416499776911</v>
      </c>
      <c r="BC66" s="98">
        <v>983.84675001334426</v>
      </c>
      <c r="BD66" s="98">
        <v>0.92421819373012593</v>
      </c>
      <c r="BE66" s="98">
        <v>1100.1893378163418</v>
      </c>
      <c r="BF66" s="98">
        <v>0.84766667197111567</v>
      </c>
      <c r="BG66" s="98">
        <v>1009.062406314416</v>
      </c>
      <c r="BH66" s="98">
        <v>0.59051648765967946</v>
      </c>
      <c r="BI66" s="98">
        <v>702.95082691008236</v>
      </c>
      <c r="BJ66" s="98">
        <v>0.867819292108438</v>
      </c>
      <c r="BK66" s="98">
        <v>1033.0520853258845</v>
      </c>
      <c r="BL66" s="98">
        <v>0.62303543067282463</v>
      </c>
      <c r="BM66" s="98">
        <v>741.66137667293037</v>
      </c>
      <c r="BN66" s="98">
        <v>0.69878449503843854</v>
      </c>
      <c r="BO66" s="98">
        <v>831.83306289375719</v>
      </c>
      <c r="BP66" s="98">
        <v>0.63272785502806617</v>
      </c>
      <c r="BQ66" s="98">
        <v>753.19923862540986</v>
      </c>
      <c r="BR66" s="98">
        <v>0.75896865077477937</v>
      </c>
      <c r="BS66" s="98">
        <v>903.47628188229726</v>
      </c>
      <c r="BT66" s="98">
        <v>0.84706766739311068</v>
      </c>
      <c r="BU66" s="98">
        <v>1008.3493512647589</v>
      </c>
      <c r="BV66" s="98">
        <v>0.82809292614113561</v>
      </c>
      <c r="BW66" s="98">
        <v>985.76181927840776</v>
      </c>
      <c r="BX66" s="98">
        <v>0.59063290030448434</v>
      </c>
      <c r="BY66" s="98">
        <v>703.08940452245804</v>
      </c>
      <c r="BZ66" s="98">
        <v>0.57814477209039539</v>
      </c>
      <c r="CA66" s="98">
        <v>688.22353669640654</v>
      </c>
      <c r="CB66" s="98">
        <v>0.86779595747309801</v>
      </c>
      <c r="CC66" s="98">
        <v>1033.0243077759758</v>
      </c>
      <c r="CD66" s="98">
        <v>0.73148003775207671</v>
      </c>
      <c r="CE66" s="98">
        <v>870.75383694007201</v>
      </c>
      <c r="CF66" s="98">
        <v>0.74212638340020842</v>
      </c>
      <c r="CG66" s="98">
        <v>883.42724679960804</v>
      </c>
      <c r="CH66" s="98">
        <v>0.79542671398348042</v>
      </c>
      <c r="CI66" s="98">
        <v>946.87596032593501</v>
      </c>
      <c r="CJ66" s="98">
        <v>0.88220104778123143</v>
      </c>
      <c r="CK66" s="98">
        <v>1050.1721272787777</v>
      </c>
      <c r="CL66" s="98">
        <v>0.90244411035745953</v>
      </c>
      <c r="CM66" s="98">
        <v>1074.2694689695197</v>
      </c>
      <c r="CN66" s="98">
        <v>0.64872237344120809</v>
      </c>
      <c r="CO66" s="98">
        <v>772.23911334441402</v>
      </c>
      <c r="CP66" s="98">
        <v>0.56473354339119541</v>
      </c>
      <c r="CQ66" s="98">
        <v>672.25881005287897</v>
      </c>
      <c r="CR66" s="98">
        <v>0.6368841321499642</v>
      </c>
      <c r="CS66" s="98">
        <v>758.14687091131725</v>
      </c>
      <c r="CT66" s="98">
        <v>0.75453739414196375</v>
      </c>
      <c r="CU66" s="98">
        <v>898.2013139865935</v>
      </c>
    </row>
    <row r="67" spans="2:99">
      <c r="C67" s="97" t="s">
        <v>234</v>
      </c>
      <c r="D67" s="98">
        <v>3</v>
      </c>
      <c r="E67" s="98">
        <v>3369.6000000000004</v>
      </c>
      <c r="F67" s="98">
        <v>2.6279086884285094</v>
      </c>
      <c r="G67" s="98">
        <v>2951.667038842902</v>
      </c>
      <c r="H67" s="98">
        <v>2.5173207305806291</v>
      </c>
      <c r="I67" s="98">
        <v>2827.4546445881629</v>
      </c>
      <c r="J67" s="98">
        <v>0.72256238366539305</v>
      </c>
      <c r="K67" s="98">
        <v>811.58206933296947</v>
      </c>
      <c r="L67" s="98">
        <v>0.88248952458333341</v>
      </c>
      <c r="M67" s="98">
        <v>991.21223401200007</v>
      </c>
      <c r="N67" s="98">
        <v>0.76871909806910577</v>
      </c>
      <c r="O67" s="98">
        <v>863.42529095121961</v>
      </c>
      <c r="P67" s="98">
        <v>0.57254943203935982</v>
      </c>
      <c r="Q67" s="98">
        <v>643.08752206660893</v>
      </c>
      <c r="R67" s="98">
        <v>0.84854761979166671</v>
      </c>
      <c r="S67" s="98">
        <v>953.08868655000003</v>
      </c>
      <c r="T67" s="98">
        <v>0.67262921081046756</v>
      </c>
      <c r="U67" s="98">
        <v>755.49712958231714</v>
      </c>
      <c r="V67" s="98">
        <v>0.63886789907094599</v>
      </c>
      <c r="W67" s="98">
        <v>717.57642423648656</v>
      </c>
      <c r="X67" s="98">
        <v>0.84529647948595144</v>
      </c>
      <c r="Y67" s="98">
        <v>949.43700575862067</v>
      </c>
      <c r="Z67" s="98">
        <v>0.73512514143795293</v>
      </c>
      <c r="AA67" s="98">
        <v>825.69255886310873</v>
      </c>
      <c r="AB67" s="98">
        <v>0.84449283161054511</v>
      </c>
      <c r="AC67" s="98">
        <v>948.5343484649643</v>
      </c>
      <c r="AD67" s="98">
        <v>0.71872667382354338</v>
      </c>
      <c r="AE67" s="98">
        <v>807.27380003860401</v>
      </c>
      <c r="AF67" s="98">
        <v>0.64991990618302153</v>
      </c>
      <c r="AG67" s="98">
        <v>729.9900386247698</v>
      </c>
      <c r="AH67" s="98">
        <v>0.73419745490509958</v>
      </c>
      <c r="AI67" s="98">
        <v>824.65058134940784</v>
      </c>
      <c r="AJ67" s="98">
        <v>0.68252052849860367</v>
      </c>
      <c r="AK67" s="98">
        <v>766.60705760963162</v>
      </c>
      <c r="AL67" s="98">
        <v>0.84964599530597984</v>
      </c>
      <c r="AM67" s="98">
        <v>954.32238192767659</v>
      </c>
      <c r="AN67" s="98">
        <v>0.47890556293472614</v>
      </c>
      <c r="AO67" s="98">
        <v>537.9067282882844</v>
      </c>
      <c r="AP67" s="98">
        <v>0.65625984115227642</v>
      </c>
      <c r="AQ67" s="98">
        <v>737.11105358223688</v>
      </c>
      <c r="AR67" s="98">
        <v>0.87829212305551785</v>
      </c>
      <c r="AS67" s="98">
        <v>986.49771261595765</v>
      </c>
      <c r="AT67" s="98">
        <v>0.66380016868931602</v>
      </c>
      <c r="AU67" s="98">
        <v>745.58034947183978</v>
      </c>
      <c r="AV67" s="98">
        <v>0.70874264158050715</v>
      </c>
      <c r="AW67" s="98">
        <v>796.0597350232257</v>
      </c>
      <c r="AX67" s="98">
        <v>0.877658109745593</v>
      </c>
      <c r="AY67" s="98">
        <v>985.78558886625012</v>
      </c>
      <c r="AZ67" s="98">
        <v>0.724593033541993</v>
      </c>
      <c r="BA67" s="98">
        <v>813.86289527436656</v>
      </c>
      <c r="BB67" s="98">
        <v>0.82648416499776911</v>
      </c>
      <c r="BC67" s="98">
        <v>928.30701412549433</v>
      </c>
      <c r="BD67" s="98">
        <v>0.92421819373012593</v>
      </c>
      <c r="BE67" s="98">
        <v>1038.0818751976774</v>
      </c>
      <c r="BF67" s="98">
        <v>0.84766667197111567</v>
      </c>
      <c r="BG67" s="98">
        <v>952.09920595795711</v>
      </c>
      <c r="BH67" s="98">
        <v>0.57791504604917476</v>
      </c>
      <c r="BI67" s="98">
        <v>649.11417972243316</v>
      </c>
      <c r="BJ67" s="98">
        <v>0.88021380868856969</v>
      </c>
      <c r="BK67" s="98">
        <v>988.65614991900156</v>
      </c>
      <c r="BL67" s="98">
        <v>0.62303543067282463</v>
      </c>
      <c r="BM67" s="98">
        <v>699.7933957317166</v>
      </c>
      <c r="BN67" s="98">
        <v>0.69878449503843854</v>
      </c>
      <c r="BO67" s="98">
        <v>784.87474482717414</v>
      </c>
      <c r="BP67" s="98">
        <v>0.64825759554791018</v>
      </c>
      <c r="BQ67" s="98">
        <v>728.12293131941271</v>
      </c>
      <c r="BR67" s="98">
        <v>0.74575176450968583</v>
      </c>
      <c r="BS67" s="98">
        <v>837.62838189727916</v>
      </c>
      <c r="BT67" s="98">
        <v>0.84706766739311068</v>
      </c>
      <c r="BU67" s="98">
        <v>951.4264040159419</v>
      </c>
      <c r="BV67" s="98">
        <v>0.84372632721406116</v>
      </c>
      <c r="BW67" s="98">
        <v>947.67341072683348</v>
      </c>
      <c r="BX67" s="98">
        <v>0.59063290030448434</v>
      </c>
      <c r="BY67" s="98">
        <v>663.39887362199681</v>
      </c>
      <c r="BZ67" s="98">
        <v>0.57814477209039539</v>
      </c>
      <c r="CA67" s="98">
        <v>649.37220801193212</v>
      </c>
      <c r="CB67" s="98">
        <v>0.71165277382655312</v>
      </c>
      <c r="CC67" s="98">
        <v>799.32839556198451</v>
      </c>
      <c r="CD67" s="98">
        <v>0.74429880466544363</v>
      </c>
      <c r="CE67" s="98">
        <v>835.99641740022628</v>
      </c>
      <c r="CF67" s="98">
        <v>0.74212638340020842</v>
      </c>
      <c r="CG67" s="98">
        <v>833.55635383511412</v>
      </c>
      <c r="CH67" s="98">
        <v>0.65561828216968665</v>
      </c>
      <c r="CI67" s="98">
        <v>736.39045453299207</v>
      </c>
      <c r="CJ67" s="98">
        <v>0.88220104778123143</v>
      </c>
      <c r="CK67" s="98">
        <v>990.88821686787924</v>
      </c>
      <c r="CL67" s="98">
        <v>0.75250006359624</v>
      </c>
      <c r="CM67" s="98">
        <v>845.20807143129684</v>
      </c>
      <c r="CN67" s="98">
        <v>0.66570670399854603</v>
      </c>
      <c r="CO67" s="98">
        <v>747.72176993116693</v>
      </c>
      <c r="CP67" s="98">
        <v>0.56473354339119541</v>
      </c>
      <c r="CQ67" s="98">
        <v>634.30871593699067</v>
      </c>
      <c r="CR67" s="98">
        <v>0.6368841321499642</v>
      </c>
      <c r="CS67" s="98">
        <v>715.34825723083986</v>
      </c>
      <c r="CT67" s="98">
        <v>0.75453739414196375</v>
      </c>
      <c r="CU67" s="98">
        <v>847.49640110025371</v>
      </c>
    </row>
    <row r="68" spans="2:99">
      <c r="C68" s="97" t="s">
        <v>235</v>
      </c>
      <c r="D68" s="98">
        <v>3</v>
      </c>
      <c r="E68" s="98">
        <v>3099.6000000000004</v>
      </c>
      <c r="F68" s="98">
        <v>3.2848858605356366</v>
      </c>
      <c r="G68" s="98">
        <v>3393.9440711054199</v>
      </c>
      <c r="H68" s="98">
        <v>2.5173207305806291</v>
      </c>
      <c r="I68" s="98">
        <v>2600.8957788359062</v>
      </c>
      <c r="J68" s="98">
        <v>0.72256238366539305</v>
      </c>
      <c r="K68" s="98">
        <v>746.55145480308408</v>
      </c>
      <c r="L68" s="98">
        <v>0.88248952458333341</v>
      </c>
      <c r="M68" s="98">
        <v>911.78817679950009</v>
      </c>
      <c r="N68" s="98">
        <v>0.76871909806910577</v>
      </c>
      <c r="O68" s="98">
        <v>794.24057212500009</v>
      </c>
      <c r="P68" s="98">
        <v>0.57254943203935982</v>
      </c>
      <c r="Q68" s="98">
        <v>591.55807318306654</v>
      </c>
      <c r="R68" s="98">
        <v>0.84854761979166671</v>
      </c>
      <c r="S68" s="98">
        <v>876.71940076875012</v>
      </c>
      <c r="T68" s="98">
        <v>0.89683894774729012</v>
      </c>
      <c r="U68" s="98">
        <v>926.61400081250019</v>
      </c>
      <c r="V68" s="98">
        <v>0.63886789907094599</v>
      </c>
      <c r="W68" s="98">
        <v>660.07831332010142</v>
      </c>
      <c r="X68" s="98">
        <v>0.84529647948595144</v>
      </c>
      <c r="Y68" s="98">
        <v>873.36032260488503</v>
      </c>
      <c r="Z68" s="98">
        <v>0.73512514143795293</v>
      </c>
      <c r="AA68" s="98">
        <v>759.53129613369299</v>
      </c>
      <c r="AB68" s="98">
        <v>0.63773095016819503</v>
      </c>
      <c r="AC68" s="98">
        <v>658.90361771377911</v>
      </c>
      <c r="AD68" s="98">
        <v>0.73272455261230085</v>
      </c>
      <c r="AE68" s="98">
        <v>757.05100775902929</v>
      </c>
      <c r="AF68" s="98">
        <v>0.64991990618302153</v>
      </c>
      <c r="AG68" s="98">
        <v>671.49724706829784</v>
      </c>
      <c r="AH68" s="98">
        <v>0.73419745490509958</v>
      </c>
      <c r="AI68" s="98">
        <v>758.57281040794896</v>
      </c>
      <c r="AJ68" s="98">
        <v>0.52715960601570022</v>
      </c>
      <c r="AK68" s="98">
        <v>544.66130493542153</v>
      </c>
      <c r="AL68" s="98">
        <v>0.84964599530597984</v>
      </c>
      <c r="AM68" s="98">
        <v>877.85424235013841</v>
      </c>
      <c r="AN68" s="98">
        <v>0.66579018353311425</v>
      </c>
      <c r="AO68" s="98">
        <v>687.89441762641366</v>
      </c>
      <c r="AP68" s="98">
        <v>0.65625984115227642</v>
      </c>
      <c r="AQ68" s="98">
        <v>678.04766787853202</v>
      </c>
      <c r="AR68" s="98">
        <v>0.89210149329780575</v>
      </c>
      <c r="AS68" s="98">
        <v>921.71926287529288</v>
      </c>
      <c r="AT68" s="98">
        <v>0.68140936240192895</v>
      </c>
      <c r="AU68" s="98">
        <v>704.03215323367306</v>
      </c>
      <c r="AV68" s="98">
        <v>0.70874264158050715</v>
      </c>
      <c r="AW68" s="98">
        <v>732.27289728098003</v>
      </c>
      <c r="AX68" s="98">
        <v>0.877658109745593</v>
      </c>
      <c r="AY68" s="98">
        <v>906.79635898914671</v>
      </c>
      <c r="AZ68" s="98">
        <v>0.724593033541993</v>
      </c>
      <c r="BA68" s="98">
        <v>748.64952225558716</v>
      </c>
      <c r="BB68" s="98">
        <v>0.82648416499776911</v>
      </c>
      <c r="BC68" s="98">
        <v>853.92343927569505</v>
      </c>
      <c r="BD68" s="98">
        <v>0.75885808656017284</v>
      </c>
      <c r="BE68" s="98">
        <v>784.05217503397057</v>
      </c>
      <c r="BF68" s="98">
        <v>1.0372020465954994</v>
      </c>
      <c r="BG68" s="98">
        <v>1071.6371545424699</v>
      </c>
      <c r="BH68" s="98">
        <v>0.42308102219763066</v>
      </c>
      <c r="BI68" s="98">
        <v>437.12731213459205</v>
      </c>
      <c r="BJ68" s="98">
        <v>0.867819292108438</v>
      </c>
      <c r="BK68" s="98">
        <v>896.63089260643824</v>
      </c>
      <c r="BL68" s="98">
        <v>0.60737068344561507</v>
      </c>
      <c r="BM68" s="98">
        <v>627.53539013600948</v>
      </c>
      <c r="BN68" s="98">
        <v>0.69878449503843854</v>
      </c>
      <c r="BO68" s="98">
        <v>721.98414027371473</v>
      </c>
      <c r="BP68" s="98">
        <v>0.63272785502806617</v>
      </c>
      <c r="BQ68" s="98">
        <v>653.73441981499798</v>
      </c>
      <c r="BR68" s="98">
        <v>0.74575176450968583</v>
      </c>
      <c r="BS68" s="98">
        <v>770.51072309140739</v>
      </c>
      <c r="BT68" s="98">
        <v>0.84706766739311068</v>
      </c>
      <c r="BU68" s="98">
        <v>875.19031395056197</v>
      </c>
      <c r="BV68" s="98">
        <v>0.84372632721406116</v>
      </c>
      <c r="BW68" s="98">
        <v>871.73804127756807</v>
      </c>
      <c r="BX68" s="98">
        <v>0.59063290030448434</v>
      </c>
      <c r="BY68" s="98">
        <v>610.24191259459326</v>
      </c>
      <c r="BZ68" s="98">
        <v>0.57814477209039539</v>
      </c>
      <c r="CA68" s="98">
        <v>597.33917852379659</v>
      </c>
      <c r="CB68" s="98">
        <v>0.71165277382655312</v>
      </c>
      <c r="CC68" s="98">
        <v>735.27964591759473</v>
      </c>
      <c r="CD68" s="98">
        <v>0.5678381786841078</v>
      </c>
      <c r="CE68" s="98">
        <v>586.69040621642023</v>
      </c>
      <c r="CF68" s="98">
        <v>0.75579698404817131</v>
      </c>
      <c r="CG68" s="98">
        <v>780.88944391857058</v>
      </c>
      <c r="CH68" s="98">
        <v>0.64184906003904219</v>
      </c>
      <c r="CI68" s="98">
        <v>663.15844883233842</v>
      </c>
      <c r="CJ68" s="98">
        <v>0.88220104778123143</v>
      </c>
      <c r="CK68" s="98">
        <v>911.49012256756839</v>
      </c>
      <c r="CL68" s="98">
        <v>0.75250006359624</v>
      </c>
      <c r="CM68" s="98">
        <v>777.48306570763521</v>
      </c>
      <c r="CN68" s="98">
        <v>0.66570670399854603</v>
      </c>
      <c r="CO68" s="98">
        <v>687.80816657129776</v>
      </c>
      <c r="CP68" s="98">
        <v>0.56473354339119541</v>
      </c>
      <c r="CQ68" s="98">
        <v>583.48269703178312</v>
      </c>
      <c r="CR68" s="98">
        <v>0.6368841321499642</v>
      </c>
      <c r="CS68" s="98">
        <v>658.02868533734306</v>
      </c>
      <c r="CT68" s="98">
        <v>0.75453739414196375</v>
      </c>
      <c r="CU68" s="98">
        <v>779.58803562747698</v>
      </c>
    </row>
    <row r="69" spans="2:99">
      <c r="C69" s="97" t="s">
        <v>236</v>
      </c>
      <c r="D69" s="98">
        <v>4</v>
      </c>
      <c r="E69" s="98">
        <v>3033.6</v>
      </c>
      <c r="F69" s="98">
        <v>2.6279086884285094</v>
      </c>
      <c r="G69" s="98">
        <v>1993.0059493041815</v>
      </c>
      <c r="H69" s="98">
        <v>2.5173207305806291</v>
      </c>
      <c r="I69" s="98">
        <v>1909.136042072349</v>
      </c>
      <c r="J69" s="98">
        <v>0.96341651155385732</v>
      </c>
      <c r="K69" s="98">
        <v>730.65508236244534</v>
      </c>
      <c r="L69" s="98">
        <v>0.88248952458333341</v>
      </c>
      <c r="M69" s="98">
        <v>669.28005544400003</v>
      </c>
      <c r="N69" s="98">
        <v>0.76871909806910577</v>
      </c>
      <c r="O69" s="98">
        <v>582.99656397560977</v>
      </c>
      <c r="P69" s="98">
        <v>0.57254943203935982</v>
      </c>
      <c r="Q69" s="98">
        <v>434.22148925865048</v>
      </c>
      <c r="R69" s="98">
        <v>0.84854761979166671</v>
      </c>
      <c r="S69" s="98">
        <v>643.53851484999996</v>
      </c>
      <c r="T69" s="98">
        <v>0.89683894774729012</v>
      </c>
      <c r="U69" s="98">
        <v>680.16265797154483</v>
      </c>
      <c r="V69" s="98">
        <v>0.63886789907094599</v>
      </c>
      <c r="W69" s="98">
        <v>484.51741465540545</v>
      </c>
      <c r="X69" s="98">
        <v>0.84529647948595144</v>
      </c>
      <c r="Y69" s="98">
        <v>641.07285004214555</v>
      </c>
      <c r="Z69" s="98">
        <v>0.75652304300069551</v>
      </c>
      <c r="AA69" s="98">
        <v>573.74707581172743</v>
      </c>
      <c r="AB69" s="98">
        <v>0.65517625600933993</v>
      </c>
      <c r="AC69" s="98">
        <v>496.88567255748336</v>
      </c>
      <c r="AD69" s="98">
        <v>0.73272455261230085</v>
      </c>
      <c r="AE69" s="98">
        <v>555.69830070116893</v>
      </c>
      <c r="AF69" s="98">
        <v>0.6636351053802052</v>
      </c>
      <c r="AG69" s="98">
        <v>503.30086392034764</v>
      </c>
      <c r="AH69" s="98">
        <v>0.89833928024550092</v>
      </c>
      <c r="AI69" s="98">
        <v>681.30051013818786</v>
      </c>
      <c r="AJ69" s="98">
        <v>0.52715960601570022</v>
      </c>
      <c r="AK69" s="98">
        <v>399.79784520230703</v>
      </c>
      <c r="AL69" s="98">
        <v>1.0507004853465283</v>
      </c>
      <c r="AM69" s="98">
        <v>796.851248086807</v>
      </c>
      <c r="AN69" s="98">
        <v>0.66579018353311425</v>
      </c>
      <c r="AO69" s="98">
        <v>504.93527519151382</v>
      </c>
      <c r="AP69" s="98">
        <v>0.65625984115227642</v>
      </c>
      <c r="AQ69" s="98">
        <v>497.70746352988641</v>
      </c>
      <c r="AR69" s="98">
        <v>0.87829212305551785</v>
      </c>
      <c r="AS69" s="98">
        <v>666.09674612530466</v>
      </c>
      <c r="AT69" s="98">
        <v>0.68140936240192895</v>
      </c>
      <c r="AU69" s="98">
        <v>516.78086044562292</v>
      </c>
      <c r="AV69" s="98">
        <v>0.70874264158050715</v>
      </c>
      <c r="AW69" s="98">
        <v>537.51041937465664</v>
      </c>
      <c r="AX69" s="98">
        <v>0.877658109745593</v>
      </c>
      <c r="AY69" s="98">
        <v>665.61591043105773</v>
      </c>
      <c r="AZ69" s="98">
        <v>0.713293274957714</v>
      </c>
      <c r="BA69" s="98">
        <v>540.96161972793027</v>
      </c>
      <c r="BB69" s="98">
        <v>0.83967338941931202</v>
      </c>
      <c r="BC69" s="98">
        <v>636.80829853560624</v>
      </c>
      <c r="BD69" s="98">
        <v>0.75885808656017284</v>
      </c>
      <c r="BE69" s="98">
        <v>575.51797284723511</v>
      </c>
      <c r="BF69" s="98">
        <v>0.86258753421671264</v>
      </c>
      <c r="BG69" s="98">
        <v>654.1863859499548</v>
      </c>
      <c r="BH69" s="98">
        <v>0.60311792927018426</v>
      </c>
      <c r="BI69" s="98">
        <v>457.40463755850772</v>
      </c>
      <c r="BJ69" s="98">
        <v>0.88021380868856969</v>
      </c>
      <c r="BK69" s="98">
        <v>667.55415250941121</v>
      </c>
      <c r="BL69" s="98">
        <v>0.60737068344561507</v>
      </c>
      <c r="BM69" s="98">
        <v>460.62992632515443</v>
      </c>
      <c r="BN69" s="98">
        <v>0.69878449503843854</v>
      </c>
      <c r="BO69" s="98">
        <v>529.95816103715174</v>
      </c>
      <c r="BP69" s="98">
        <v>0.63272785502806617</v>
      </c>
      <c r="BQ69" s="98">
        <v>479.86080525328538</v>
      </c>
      <c r="BR69" s="98">
        <v>0.74575176450968583</v>
      </c>
      <c r="BS69" s="98">
        <v>565.57813820414572</v>
      </c>
      <c r="BT69" s="98">
        <v>0.84706766739311068</v>
      </c>
      <c r="BU69" s="98">
        <v>642.41611895093513</v>
      </c>
      <c r="BV69" s="98">
        <v>0.84372632721406116</v>
      </c>
      <c r="BW69" s="98">
        <v>639.88204655914399</v>
      </c>
      <c r="BX69" s="98">
        <v>0.59063290030448434</v>
      </c>
      <c r="BY69" s="98">
        <v>447.93599159092093</v>
      </c>
      <c r="BZ69" s="98">
        <v>0.57814477209039539</v>
      </c>
      <c r="CA69" s="98">
        <v>438.46499515335586</v>
      </c>
      <c r="CB69" s="98">
        <v>0.86779595747309801</v>
      </c>
      <c r="CC69" s="98">
        <v>658.13645414759753</v>
      </c>
      <c r="CD69" s="98">
        <v>0.58065694559747472</v>
      </c>
      <c r="CE69" s="98">
        <v>440.37022754112479</v>
      </c>
      <c r="CF69" s="98">
        <v>0.75579698404817131</v>
      </c>
      <c r="CG69" s="98">
        <v>573.19643270213305</v>
      </c>
      <c r="CH69" s="98">
        <v>0.65561828216968665</v>
      </c>
      <c r="CI69" s="98">
        <v>497.22090519749037</v>
      </c>
      <c r="CJ69" s="98">
        <v>0.88220104778123143</v>
      </c>
      <c r="CK69" s="98">
        <v>669.06127463728592</v>
      </c>
      <c r="CL69" s="98">
        <v>0.75250006359624</v>
      </c>
      <c r="CM69" s="98">
        <v>570.69604823138843</v>
      </c>
      <c r="CN69" s="98">
        <v>0.64872237344120809</v>
      </c>
      <c r="CO69" s="98">
        <v>491.9910480178122</v>
      </c>
      <c r="CP69" s="98">
        <v>0.70894147836545363</v>
      </c>
      <c r="CQ69" s="98">
        <v>537.66121719236003</v>
      </c>
      <c r="CR69" s="98">
        <v>0.6368841321499642</v>
      </c>
      <c r="CS69" s="98">
        <v>483.01292582253285</v>
      </c>
      <c r="CT69" s="98">
        <v>0.75453739414196375</v>
      </c>
      <c r="CU69" s="98">
        <v>572.2411597172653</v>
      </c>
    </row>
    <row r="70" spans="2:99">
      <c r="C70" s="97" t="s">
        <v>237</v>
      </c>
      <c r="D70" s="98">
        <v>3</v>
      </c>
      <c r="E70" s="98">
        <v>1605.6</v>
      </c>
      <c r="F70" s="98">
        <v>3.2848858605356366</v>
      </c>
      <c r="G70" s="98">
        <v>1758.0709125586725</v>
      </c>
      <c r="H70" s="98">
        <v>2.5173207305806291</v>
      </c>
      <c r="I70" s="98">
        <v>1347.2700550067525</v>
      </c>
      <c r="J70" s="98">
        <v>0.96341651155385732</v>
      </c>
      <c r="K70" s="98">
        <v>515.62051698362438</v>
      </c>
      <c r="L70" s="98">
        <v>0.88248952458333341</v>
      </c>
      <c r="M70" s="98">
        <v>472.30839355699999</v>
      </c>
      <c r="N70" s="98">
        <v>0.96089887258638207</v>
      </c>
      <c r="O70" s="98">
        <v>514.27307660823158</v>
      </c>
      <c r="P70" s="98">
        <v>0.57254943203935982</v>
      </c>
      <c r="Q70" s="98">
        <v>306.42845602746536</v>
      </c>
      <c r="R70" s="98">
        <v>1.0606845247395835</v>
      </c>
      <c r="S70" s="98">
        <v>567.67835764062499</v>
      </c>
      <c r="T70" s="98">
        <v>0.89683894774729012</v>
      </c>
      <c r="U70" s="98">
        <v>479.98820483434963</v>
      </c>
      <c r="V70" s="98">
        <v>0.63886789907094599</v>
      </c>
      <c r="W70" s="98">
        <v>341.92209958277027</v>
      </c>
      <c r="X70" s="98">
        <v>0.84529647948595144</v>
      </c>
      <c r="Y70" s="98">
        <v>452.40267582088114</v>
      </c>
      <c r="Z70" s="98">
        <v>0.73512514143795293</v>
      </c>
      <c r="AA70" s="98">
        <v>393.43897569759235</v>
      </c>
      <c r="AB70" s="98">
        <v>0.63773095016819503</v>
      </c>
      <c r="AC70" s="98">
        <v>341.31360453001793</v>
      </c>
      <c r="AD70" s="98">
        <v>0.73272455261230085</v>
      </c>
      <c r="AE70" s="98">
        <v>392.15418055810335</v>
      </c>
      <c r="AF70" s="98">
        <v>0.64991990618302153</v>
      </c>
      <c r="AG70" s="98">
        <v>347.83713378915309</v>
      </c>
      <c r="AH70" s="98">
        <v>0.88281324953680207</v>
      </c>
      <c r="AI70" s="98">
        <v>472.48165115209639</v>
      </c>
      <c r="AJ70" s="98">
        <v>0.68252052849860367</v>
      </c>
      <c r="AK70" s="98">
        <v>365.28498685245262</v>
      </c>
      <c r="AL70" s="98">
        <v>0.84964599530597984</v>
      </c>
      <c r="AM70" s="98">
        <v>454.73053668776038</v>
      </c>
      <c r="AN70" s="98">
        <v>0.68331290382277254</v>
      </c>
      <c r="AO70" s="98">
        <v>365.7090661259478</v>
      </c>
      <c r="AP70" s="98">
        <v>0.65625984115227642</v>
      </c>
      <c r="AQ70" s="98">
        <v>351.23026698469829</v>
      </c>
      <c r="AR70" s="98">
        <v>0.89210149329780575</v>
      </c>
      <c r="AS70" s="98">
        <v>477.45271921298558</v>
      </c>
      <c r="AT70" s="98">
        <v>0.68140936240192895</v>
      </c>
      <c r="AU70" s="98">
        <v>364.69029075751234</v>
      </c>
      <c r="AV70" s="98">
        <v>0.70874264158050715</v>
      </c>
      <c r="AW70" s="98">
        <v>379.31906177388737</v>
      </c>
      <c r="AX70" s="98">
        <v>0.877658109745593</v>
      </c>
      <c r="AY70" s="98">
        <v>469.72262033584133</v>
      </c>
      <c r="AZ70" s="98">
        <v>0.724593033541993</v>
      </c>
      <c r="BA70" s="98">
        <v>387.80219155167458</v>
      </c>
      <c r="BB70" s="98">
        <v>0.83967338941931202</v>
      </c>
      <c r="BC70" s="98">
        <v>449.39319801721575</v>
      </c>
      <c r="BD70" s="98">
        <v>0.75885808656017284</v>
      </c>
      <c r="BE70" s="98">
        <v>406.14084792700447</v>
      </c>
      <c r="BF70" s="98">
        <v>1.0372020465954994</v>
      </c>
      <c r="BG70" s="98">
        <v>555.11053533791119</v>
      </c>
      <c r="BH70" s="98">
        <v>0.60311792927018426</v>
      </c>
      <c r="BI70" s="98">
        <v>322.78871574540256</v>
      </c>
      <c r="BJ70" s="98">
        <v>0.88021380868856969</v>
      </c>
      <c r="BK70" s="98">
        <v>471.09043041012245</v>
      </c>
      <c r="BL70" s="98">
        <v>0.62303543067282463</v>
      </c>
      <c r="BM70" s="98">
        <v>333.44856249609569</v>
      </c>
      <c r="BN70" s="98">
        <v>0.69878449503843854</v>
      </c>
      <c r="BO70" s="98">
        <v>373.98946174457228</v>
      </c>
      <c r="BP70" s="98">
        <v>0.64825759554791018</v>
      </c>
      <c r="BQ70" s="98">
        <v>346.94746513724147</v>
      </c>
      <c r="BR70" s="98">
        <v>0.74575176450968583</v>
      </c>
      <c r="BS70" s="98">
        <v>399.1263443655838</v>
      </c>
      <c r="BT70" s="98">
        <v>0.99981240181068121</v>
      </c>
      <c r="BU70" s="98">
        <v>535.09959744907655</v>
      </c>
      <c r="BV70" s="98">
        <v>0.84372632721406116</v>
      </c>
      <c r="BW70" s="98">
        <v>451.5623303249655</v>
      </c>
      <c r="BX70" s="98">
        <v>0.76248553869826241</v>
      </c>
      <c r="BY70" s="98">
        <v>408.08226031130999</v>
      </c>
      <c r="BZ70" s="98">
        <v>0.59304308393137739</v>
      </c>
      <c r="CA70" s="98">
        <v>317.39665852007312</v>
      </c>
      <c r="CB70" s="98">
        <v>0.86779595747309801</v>
      </c>
      <c r="CC70" s="98">
        <v>464.44439643960197</v>
      </c>
      <c r="CD70" s="98">
        <v>0.73148003775207671</v>
      </c>
      <c r="CE70" s="98">
        <v>391.48811620491142</v>
      </c>
      <c r="CF70" s="98">
        <v>0.74212638340020842</v>
      </c>
      <c r="CG70" s="98">
        <v>397.18604039579151</v>
      </c>
      <c r="CH70" s="98">
        <v>0.79542671398348042</v>
      </c>
      <c r="CI70" s="98">
        <v>425.71237732395866</v>
      </c>
      <c r="CJ70" s="98">
        <v>0.88220104778123143</v>
      </c>
      <c r="CK70" s="98">
        <v>472.15400077251502</v>
      </c>
      <c r="CL70" s="98">
        <v>0.73977307388362656</v>
      </c>
      <c r="CM70" s="98">
        <v>395.92654914251688</v>
      </c>
      <c r="CN70" s="98">
        <v>0.66570670399854603</v>
      </c>
      <c r="CO70" s="98">
        <v>356.28622798002181</v>
      </c>
      <c r="CP70" s="98">
        <v>0.56473354339119541</v>
      </c>
      <c r="CQ70" s="98">
        <v>302.24539242296777</v>
      </c>
      <c r="CR70" s="98">
        <v>0.83134657214032637</v>
      </c>
      <c r="CS70" s="98">
        <v>444.93668540950262</v>
      </c>
      <c r="CT70" s="98">
        <v>0.76994487333899153</v>
      </c>
      <c r="CU70" s="98">
        <v>412.07449621102819</v>
      </c>
    </row>
    <row r="71" spans="2:99">
      <c r="B71" s="97" t="s">
        <v>130</v>
      </c>
      <c r="C71" s="97" t="s">
        <v>238</v>
      </c>
      <c r="D71" s="98">
        <v>4</v>
      </c>
      <c r="E71" s="98">
        <v>2256</v>
      </c>
      <c r="F71" s="98">
        <v>4</v>
      </c>
      <c r="G71" s="98">
        <v>2256</v>
      </c>
      <c r="H71" s="98">
        <v>4</v>
      </c>
      <c r="I71" s="98">
        <v>2256</v>
      </c>
      <c r="J71" s="98">
        <v>0.79166627690125946</v>
      </c>
      <c r="K71" s="98">
        <v>446.49978017231035</v>
      </c>
      <c r="L71" s="98">
        <v>0.34357717244318192</v>
      </c>
      <c r="M71" s="98">
        <v>193.77752525795461</v>
      </c>
      <c r="N71" s="98">
        <v>0.34993971267361124</v>
      </c>
      <c r="O71" s="98">
        <v>197.36599794791672</v>
      </c>
      <c r="P71" s="98">
        <v>0.32721635470779237</v>
      </c>
      <c r="Q71" s="98">
        <v>184.55002405519488</v>
      </c>
      <c r="R71" s="98">
        <v>0.32580593938577596</v>
      </c>
      <c r="S71" s="98">
        <v>183.75454981357763</v>
      </c>
      <c r="T71" s="98">
        <v>0.32028380481991536</v>
      </c>
      <c r="U71" s="98">
        <v>180.64006591843227</v>
      </c>
      <c r="V71" s="98">
        <v>0.41440229132401329</v>
      </c>
      <c r="W71" s="98">
        <v>233.72289230674349</v>
      </c>
      <c r="X71" s="98">
        <v>0.33744186579241081</v>
      </c>
      <c r="Y71" s="98">
        <v>190.31721230691969</v>
      </c>
      <c r="Z71" s="98">
        <v>0.38089789086611875</v>
      </c>
      <c r="AA71" s="98">
        <v>214.82641044849098</v>
      </c>
      <c r="AB71" s="98">
        <v>0.36310649514359561</v>
      </c>
      <c r="AC71" s="98">
        <v>204.79206326098793</v>
      </c>
      <c r="AD71" s="98">
        <v>0.34783823219701426</v>
      </c>
      <c r="AE71" s="98">
        <v>196.18076295911604</v>
      </c>
      <c r="AF71" s="98">
        <v>0.39951356077346017</v>
      </c>
      <c r="AG71" s="98">
        <v>225.32564827623153</v>
      </c>
      <c r="AH71" s="98">
        <v>0.34890593325661551</v>
      </c>
      <c r="AI71" s="98">
        <v>196.78294635673114</v>
      </c>
      <c r="AJ71" s="98">
        <v>0.37777761503191254</v>
      </c>
      <c r="AK71" s="98">
        <v>213.06657487799868</v>
      </c>
      <c r="AL71" s="98">
        <v>0.3405898227448243</v>
      </c>
      <c r="AM71" s="98">
        <v>192.0926600280809</v>
      </c>
      <c r="AN71" s="98">
        <v>0.28609711211044186</v>
      </c>
      <c r="AO71" s="98">
        <v>161.35877123028922</v>
      </c>
      <c r="AP71" s="98">
        <v>0.3773155378281286</v>
      </c>
      <c r="AQ71" s="98">
        <v>212.80596333506452</v>
      </c>
      <c r="AR71" s="98">
        <v>0.29061048973826503</v>
      </c>
      <c r="AS71" s="98">
        <v>163.90431621238147</v>
      </c>
      <c r="AT71" s="98">
        <v>0.31554556056801547</v>
      </c>
      <c r="AU71" s="98">
        <v>177.96769616036073</v>
      </c>
      <c r="AV71" s="98">
        <v>0.33276176917530048</v>
      </c>
      <c r="AW71" s="98">
        <v>187.67763781486948</v>
      </c>
      <c r="AX71" s="98">
        <v>0.33281244281853423</v>
      </c>
      <c r="AY71" s="98">
        <v>187.70621774965329</v>
      </c>
      <c r="AZ71" s="98">
        <v>0.32351951115434013</v>
      </c>
      <c r="BA71" s="98">
        <v>182.46500429104785</v>
      </c>
      <c r="BB71" s="98">
        <v>0.28979173412559472</v>
      </c>
      <c r="BC71" s="98">
        <v>163.44253804683544</v>
      </c>
      <c r="BD71" s="98">
        <v>0.32166030012619251</v>
      </c>
      <c r="BE71" s="98">
        <v>181.41640927117257</v>
      </c>
      <c r="BF71" s="98">
        <v>0.33329124397405763</v>
      </c>
      <c r="BG71" s="98">
        <v>187.97626160136849</v>
      </c>
      <c r="BH71" s="98">
        <v>0.31622631360306491</v>
      </c>
      <c r="BI71" s="98">
        <v>178.3516408721286</v>
      </c>
      <c r="BJ71" s="98">
        <v>0.34805312789084225</v>
      </c>
      <c r="BK71" s="98">
        <v>196.30196413043504</v>
      </c>
      <c r="BL71" s="98">
        <v>0.3486068979368081</v>
      </c>
      <c r="BM71" s="98">
        <v>196.61429043635977</v>
      </c>
      <c r="BN71" s="98">
        <v>0.322869384762277</v>
      </c>
      <c r="BO71" s="98">
        <v>182.09833300592422</v>
      </c>
      <c r="BP71" s="98">
        <v>0.29365764006914563</v>
      </c>
      <c r="BQ71" s="98">
        <v>165.62290899899813</v>
      </c>
      <c r="BR71" s="98">
        <v>0.32990961773630445</v>
      </c>
      <c r="BS71" s="98">
        <v>186.06902440327571</v>
      </c>
      <c r="BT71" s="98">
        <v>0.29822013827664773</v>
      </c>
      <c r="BU71" s="98">
        <v>168.19615798802931</v>
      </c>
      <c r="BV71" s="98">
        <v>0.36128797335138407</v>
      </c>
      <c r="BW71" s="98">
        <v>203.76641697018061</v>
      </c>
      <c r="BX71" s="98">
        <v>0.3203264007462846</v>
      </c>
      <c r="BY71" s="98">
        <v>180.66409002090452</v>
      </c>
      <c r="BZ71" s="98">
        <v>0.3413306691616213</v>
      </c>
      <c r="CA71" s="98">
        <v>192.51049740715442</v>
      </c>
      <c r="CB71" s="98">
        <v>0.34840701466780788</v>
      </c>
      <c r="CC71" s="98">
        <v>196.50155627264365</v>
      </c>
      <c r="CD71" s="98">
        <v>0.38293168768324398</v>
      </c>
      <c r="CE71" s="98">
        <v>215.97347185334959</v>
      </c>
      <c r="CF71" s="98">
        <v>0.34224227235437149</v>
      </c>
      <c r="CG71" s="98">
        <v>193.02464160786553</v>
      </c>
      <c r="CH71" s="98">
        <v>0.2789418914490126</v>
      </c>
      <c r="CI71" s="98">
        <v>157.32322677724312</v>
      </c>
      <c r="CJ71" s="98">
        <v>0.29233193662352702</v>
      </c>
      <c r="CK71" s="98">
        <v>164.87521225566925</v>
      </c>
      <c r="CL71" s="98">
        <v>0.30322274536164634</v>
      </c>
      <c r="CM71" s="98">
        <v>171.01762838396854</v>
      </c>
      <c r="CN71" s="98">
        <v>0.33711735258247655</v>
      </c>
      <c r="CO71" s="98">
        <v>190.13418685651678</v>
      </c>
      <c r="CP71" s="98">
        <v>0.32791182903933336</v>
      </c>
      <c r="CQ71" s="98">
        <v>184.94227157818401</v>
      </c>
      <c r="CR71" s="98">
        <v>0.29816183408438163</v>
      </c>
      <c r="CS71" s="98">
        <v>168.16327442359125</v>
      </c>
      <c r="CT71" s="98">
        <v>0.32099710103405082</v>
      </c>
      <c r="CU71" s="98">
        <v>181.04236498320466</v>
      </c>
    </row>
    <row r="72" spans="2:99">
      <c r="C72" s="97" t="s">
        <v>239</v>
      </c>
      <c r="D72" s="98">
        <v>4</v>
      </c>
      <c r="E72" s="98">
        <v>297.59999999999997</v>
      </c>
      <c r="F72" s="98">
        <v>4</v>
      </c>
      <c r="G72" s="98">
        <v>297.59999999999997</v>
      </c>
      <c r="H72" s="98">
        <v>4</v>
      </c>
      <c r="I72" s="98">
        <v>297.59999999999997</v>
      </c>
      <c r="J72" s="98">
        <v>0.79166627690125946</v>
      </c>
      <c r="K72" s="98">
        <v>58.8999710014537</v>
      </c>
      <c r="L72" s="98">
        <v>0.34357717244318192</v>
      </c>
      <c r="M72" s="98">
        <v>25.562141629772732</v>
      </c>
      <c r="N72" s="98">
        <v>0.34993971267361124</v>
      </c>
      <c r="O72" s="98">
        <v>26.035514622916672</v>
      </c>
      <c r="P72" s="98">
        <v>0.32721635470779237</v>
      </c>
      <c r="Q72" s="98">
        <v>24.34489679025975</v>
      </c>
      <c r="R72" s="98">
        <v>0.32580593938577596</v>
      </c>
      <c r="S72" s="98">
        <v>24.239961890301728</v>
      </c>
      <c r="T72" s="98">
        <v>0.42704507309322048</v>
      </c>
      <c r="U72" s="98">
        <v>31.7721534381356</v>
      </c>
      <c r="V72" s="98">
        <v>0.33152183305921062</v>
      </c>
      <c r="W72" s="98">
        <v>24.665224379605267</v>
      </c>
      <c r="X72" s="98">
        <v>0.33744186579241081</v>
      </c>
      <c r="Y72" s="98">
        <v>25.105674814955361</v>
      </c>
      <c r="Z72" s="98">
        <v>0.38442279807462965</v>
      </c>
      <c r="AA72" s="98">
        <v>28.601056176752444</v>
      </c>
      <c r="AB72" s="98">
        <v>0.36310649514359561</v>
      </c>
      <c r="AC72" s="98">
        <v>27.015123238683511</v>
      </c>
      <c r="AD72" s="98">
        <v>0.35179875273210132</v>
      </c>
      <c r="AE72" s="98">
        <v>26.173827203268335</v>
      </c>
      <c r="AF72" s="98">
        <v>0.40748736930828533</v>
      </c>
      <c r="AG72" s="98">
        <v>30.317060276536424</v>
      </c>
      <c r="AH72" s="98">
        <v>0.34519533951560633</v>
      </c>
      <c r="AI72" s="98">
        <v>25.682533259961108</v>
      </c>
      <c r="AJ72" s="98">
        <v>0.37777761503191254</v>
      </c>
      <c r="AK72" s="98">
        <v>28.106654558374288</v>
      </c>
      <c r="AL72" s="98">
        <v>0.3405898227448243</v>
      </c>
      <c r="AM72" s="98">
        <v>25.339882812214924</v>
      </c>
      <c r="AN72" s="98">
        <v>0.36612188492165926</v>
      </c>
      <c r="AO72" s="98">
        <v>27.239468238171444</v>
      </c>
      <c r="AP72" s="98">
        <v>0.3781030158236558</v>
      </c>
      <c r="AQ72" s="98">
        <v>28.130864377279988</v>
      </c>
      <c r="AR72" s="98">
        <v>0.29024010428437352</v>
      </c>
      <c r="AS72" s="98">
        <v>21.593863758757387</v>
      </c>
      <c r="AT72" s="98">
        <v>0.31554556056801547</v>
      </c>
      <c r="AU72" s="98">
        <v>23.476589706260349</v>
      </c>
      <c r="AV72" s="98">
        <v>0.33841169194395937</v>
      </c>
      <c r="AW72" s="98">
        <v>25.177829880630576</v>
      </c>
      <c r="AX72" s="98">
        <v>0.39336623556391703</v>
      </c>
      <c r="AY72" s="98">
        <v>29.266447925955426</v>
      </c>
      <c r="AZ72" s="98">
        <v>0.39558149498615186</v>
      </c>
      <c r="BA72" s="98">
        <v>29.431263226969694</v>
      </c>
      <c r="BB72" s="98">
        <v>0.29740439917686784</v>
      </c>
      <c r="BC72" s="98">
        <v>22.126887298758966</v>
      </c>
      <c r="BD72" s="98">
        <v>0.32211027301325068</v>
      </c>
      <c r="BE72" s="98">
        <v>23.965004312185847</v>
      </c>
      <c r="BF72" s="98">
        <v>0.33782284687877218</v>
      </c>
      <c r="BG72" s="98">
        <v>25.134019807780646</v>
      </c>
      <c r="BH72" s="98">
        <v>0.33629827789866334</v>
      </c>
      <c r="BI72" s="98">
        <v>25.02059187566055</v>
      </c>
      <c r="BJ72" s="98">
        <v>0.34805312789084225</v>
      </c>
      <c r="BK72" s="98">
        <v>25.895152715078659</v>
      </c>
      <c r="BL72" s="98">
        <v>0.3486068979368081</v>
      </c>
      <c r="BM72" s="98">
        <v>25.93635320649852</v>
      </c>
      <c r="BN72" s="98">
        <v>0.32694608448572854</v>
      </c>
      <c r="BO72" s="98">
        <v>24.324788685738202</v>
      </c>
      <c r="BP72" s="98">
        <v>0.35764166122877661</v>
      </c>
      <c r="BQ72" s="98">
        <v>26.608539595420975</v>
      </c>
      <c r="BR72" s="98">
        <v>0.32975576860978162</v>
      </c>
      <c r="BS72" s="98">
        <v>24.53382918456775</v>
      </c>
      <c r="BT72" s="98">
        <v>0.30570536498152207</v>
      </c>
      <c r="BU72" s="98">
        <v>22.744479154625239</v>
      </c>
      <c r="BV72" s="98">
        <v>0.36128797335138407</v>
      </c>
      <c r="BW72" s="98">
        <v>26.879825217342972</v>
      </c>
      <c r="BX72" s="98">
        <v>0.328847302440749</v>
      </c>
      <c r="BY72" s="98">
        <v>24.466239301591724</v>
      </c>
      <c r="BZ72" s="98">
        <v>0.3417083217498062</v>
      </c>
      <c r="CA72" s="98">
        <v>25.423099138185577</v>
      </c>
      <c r="CB72" s="98">
        <v>0.28578303100053959</v>
      </c>
      <c r="CC72" s="98">
        <v>21.262257506440143</v>
      </c>
      <c r="CD72" s="98">
        <v>0.30002587673846548</v>
      </c>
      <c r="CE72" s="98">
        <v>22.321925229341829</v>
      </c>
      <c r="CF72" s="98">
        <v>0.34735753055520818</v>
      </c>
      <c r="CG72" s="98">
        <v>25.843400273307484</v>
      </c>
      <c r="CH72" s="98">
        <v>0.29299335946507865</v>
      </c>
      <c r="CI72" s="98">
        <v>21.798705944201849</v>
      </c>
      <c r="CJ72" s="98">
        <v>0.36080826948018691</v>
      </c>
      <c r="CK72" s="98">
        <v>26.844135249325902</v>
      </c>
      <c r="CL72" s="98">
        <v>0.36995346699626264</v>
      </c>
      <c r="CM72" s="98">
        <v>27.524537944521938</v>
      </c>
      <c r="CN72" s="98">
        <v>0.34254666129228284</v>
      </c>
      <c r="CO72" s="98">
        <v>25.485471600145839</v>
      </c>
      <c r="CP72" s="98">
        <v>0.32815814481138683</v>
      </c>
      <c r="CQ72" s="98">
        <v>24.414965973967178</v>
      </c>
      <c r="CR72" s="98">
        <v>0.30438235505954769</v>
      </c>
      <c r="CS72" s="98">
        <v>22.646047216430347</v>
      </c>
      <c r="CT72" s="98">
        <v>0.32076678682238069</v>
      </c>
      <c r="CU72" s="98">
        <v>23.865048939585119</v>
      </c>
    </row>
    <row r="73" spans="2:99">
      <c r="C73" s="97" t="s">
        <v>240</v>
      </c>
      <c r="D73" s="98">
        <v>4</v>
      </c>
      <c r="E73" s="98">
        <v>2236.7999999999997</v>
      </c>
      <c r="F73" s="98">
        <v>4</v>
      </c>
      <c r="G73" s="98">
        <v>2236.7999999999997</v>
      </c>
      <c r="H73" s="98">
        <v>4</v>
      </c>
      <c r="I73" s="98">
        <v>2236.7999999999997</v>
      </c>
      <c r="J73" s="98">
        <v>0.79166627690125946</v>
      </c>
      <c r="K73" s="98">
        <v>442.69978204318426</v>
      </c>
      <c r="L73" s="98">
        <v>0.34357717244318192</v>
      </c>
      <c r="M73" s="98">
        <v>192.12835483022729</v>
      </c>
      <c r="N73" s="98">
        <v>0.34993971267361124</v>
      </c>
      <c r="O73" s="98">
        <v>195.68628732708339</v>
      </c>
      <c r="P73" s="98">
        <v>0.32721635470779237</v>
      </c>
      <c r="Q73" s="98">
        <v>182.97938555259748</v>
      </c>
      <c r="R73" s="98">
        <v>0.32580593938577596</v>
      </c>
      <c r="S73" s="98">
        <v>182.1906813045259</v>
      </c>
      <c r="T73" s="98">
        <v>0.32028380481991536</v>
      </c>
      <c r="U73" s="98">
        <v>179.10270365529664</v>
      </c>
      <c r="V73" s="98">
        <v>0.41440229132401329</v>
      </c>
      <c r="W73" s="98">
        <v>231.73376130838821</v>
      </c>
      <c r="X73" s="98">
        <v>0.33744186579241081</v>
      </c>
      <c r="Y73" s="98">
        <v>188.6974913511161</v>
      </c>
      <c r="Z73" s="98">
        <v>0.38089789086611875</v>
      </c>
      <c r="AA73" s="98">
        <v>212.99810057233358</v>
      </c>
      <c r="AB73" s="98">
        <v>0.36310649514359561</v>
      </c>
      <c r="AC73" s="98">
        <v>203.04915208429864</v>
      </c>
      <c r="AD73" s="98">
        <v>0.34387771166192727</v>
      </c>
      <c r="AE73" s="98">
        <v>192.29641636134971</v>
      </c>
      <c r="AF73" s="98">
        <v>0.28228999091862383</v>
      </c>
      <c r="AG73" s="98">
        <v>157.85656292169443</v>
      </c>
      <c r="AH73" s="98">
        <v>0.34519533951560633</v>
      </c>
      <c r="AI73" s="98">
        <v>193.03323385712704</v>
      </c>
      <c r="AJ73" s="98">
        <v>0.30753710683236035</v>
      </c>
      <c r="AK73" s="98">
        <v>171.97475014065589</v>
      </c>
      <c r="AL73" s="98">
        <v>0.3405898227448243</v>
      </c>
      <c r="AM73" s="98">
        <v>190.45782887890573</v>
      </c>
      <c r="AN73" s="98">
        <v>0.2863784039312901</v>
      </c>
      <c r="AO73" s="98">
        <v>160.1428034783774</v>
      </c>
      <c r="AP73" s="98">
        <v>0.30263990825803005</v>
      </c>
      <c r="AQ73" s="98">
        <v>169.23623669789038</v>
      </c>
      <c r="AR73" s="98">
        <v>0.29024010428437352</v>
      </c>
      <c r="AS73" s="98">
        <v>162.30226631582167</v>
      </c>
      <c r="AT73" s="98">
        <v>0.31519400838045381</v>
      </c>
      <c r="AU73" s="98">
        <v>176.25648948634975</v>
      </c>
      <c r="AV73" s="98">
        <v>0.33841169194395937</v>
      </c>
      <c r="AW73" s="98">
        <v>189.23981813506205</v>
      </c>
      <c r="AX73" s="98">
        <v>0.33281244281853423</v>
      </c>
      <c r="AY73" s="98">
        <v>186.10871802412433</v>
      </c>
      <c r="AZ73" s="98">
        <v>0.32369172119942385</v>
      </c>
      <c r="BA73" s="98">
        <v>181.00841049471779</v>
      </c>
      <c r="BB73" s="98">
        <v>0.29016797799917943</v>
      </c>
      <c r="BC73" s="98">
        <v>162.26193329714113</v>
      </c>
      <c r="BD73" s="98">
        <v>0.32211027301325068</v>
      </c>
      <c r="BE73" s="98">
        <v>180.12406466900975</v>
      </c>
      <c r="BF73" s="98">
        <v>0.33329124397405763</v>
      </c>
      <c r="BG73" s="98">
        <v>186.37646363029299</v>
      </c>
      <c r="BH73" s="98">
        <v>0.41186329145144707</v>
      </c>
      <c r="BI73" s="98">
        <v>230.31395257964917</v>
      </c>
      <c r="BJ73" s="98">
        <v>0.34397248463052554</v>
      </c>
      <c r="BK73" s="98">
        <v>192.34941340538987</v>
      </c>
      <c r="BL73" s="98">
        <v>0.34832078772490271</v>
      </c>
      <c r="BM73" s="98">
        <v>194.78098449576558</v>
      </c>
      <c r="BN73" s="98">
        <v>0.322869384762277</v>
      </c>
      <c r="BO73" s="98">
        <v>180.54855995906527</v>
      </c>
      <c r="BP73" s="98">
        <v>0.29328239554429231</v>
      </c>
      <c r="BQ73" s="98">
        <v>164.00351558836823</v>
      </c>
      <c r="BR73" s="98">
        <v>0.32990961773630445</v>
      </c>
      <c r="BS73" s="98">
        <v>184.48545823814143</v>
      </c>
      <c r="BT73" s="98">
        <v>0.30477549524737224</v>
      </c>
      <c r="BU73" s="98">
        <v>170.43045694233052</v>
      </c>
      <c r="BV73" s="98">
        <v>0.29137231553389153</v>
      </c>
      <c r="BW73" s="98">
        <v>162.93539884655212</v>
      </c>
      <c r="BX73" s="98">
        <v>0.328847302440749</v>
      </c>
      <c r="BY73" s="98">
        <v>183.89141152486681</v>
      </c>
      <c r="BZ73" s="98">
        <v>0.3413306691616213</v>
      </c>
      <c r="CA73" s="98">
        <v>190.87211019517861</v>
      </c>
      <c r="CB73" s="98">
        <v>0.35247372624913209</v>
      </c>
      <c r="CC73" s="98">
        <v>197.10330771851463</v>
      </c>
      <c r="CD73" s="98">
        <v>0.29972637228252513</v>
      </c>
      <c r="CE73" s="98">
        <v>167.60698738038803</v>
      </c>
      <c r="CF73" s="98">
        <v>0.27526490588964797</v>
      </c>
      <c r="CG73" s="98">
        <v>153.92813537349113</v>
      </c>
      <c r="CH73" s="98">
        <v>0.28649301988648984</v>
      </c>
      <c r="CI73" s="98">
        <v>160.20689672052509</v>
      </c>
      <c r="CJ73" s="98">
        <v>0.29233193662352702</v>
      </c>
      <c r="CK73" s="98">
        <v>163.47201895987629</v>
      </c>
      <c r="CL73" s="98">
        <v>0.302980026017453</v>
      </c>
      <c r="CM73" s="98">
        <v>169.4264305489597</v>
      </c>
      <c r="CN73" s="98">
        <v>0.3373443313431882</v>
      </c>
      <c r="CO73" s="98">
        <v>188.64295008711082</v>
      </c>
      <c r="CP73" s="98">
        <v>0.32791182903933336</v>
      </c>
      <c r="CQ73" s="98">
        <v>183.3682947987952</v>
      </c>
      <c r="CR73" s="98">
        <v>0.29816183408438163</v>
      </c>
      <c r="CS73" s="98">
        <v>166.73209761998618</v>
      </c>
      <c r="CT73" s="98">
        <v>0.32099710103405082</v>
      </c>
      <c r="CU73" s="98">
        <v>179.50157889824121</v>
      </c>
    </row>
    <row r="74" spans="2:99">
      <c r="C74" s="97" t="s">
        <v>241</v>
      </c>
      <c r="D74" s="98">
        <v>4</v>
      </c>
      <c r="E74" s="98">
        <v>1612.8</v>
      </c>
      <c r="F74" s="98">
        <v>4</v>
      </c>
      <c r="G74" s="98">
        <v>1612.8</v>
      </c>
      <c r="H74" s="98">
        <v>5</v>
      </c>
      <c r="I74" s="98">
        <v>2016</v>
      </c>
      <c r="J74" s="98">
        <v>0.79166627690125946</v>
      </c>
      <c r="K74" s="98">
        <v>319.19984284658779</v>
      </c>
      <c r="L74" s="98">
        <v>0.34357717244318192</v>
      </c>
      <c r="M74" s="98">
        <v>138.53031592909096</v>
      </c>
      <c r="N74" s="98">
        <v>0.34993971267361124</v>
      </c>
      <c r="O74" s="98">
        <v>141.09569215000005</v>
      </c>
      <c r="P74" s="98">
        <v>0.40902044338474036</v>
      </c>
      <c r="Q74" s="98">
        <v>164.91704277272731</v>
      </c>
      <c r="R74" s="98">
        <v>0.32580593938577596</v>
      </c>
      <c r="S74" s="98">
        <v>131.36495476034486</v>
      </c>
      <c r="T74" s="98">
        <v>0.42704507309322048</v>
      </c>
      <c r="U74" s="98">
        <v>172.1845734711865</v>
      </c>
      <c r="V74" s="98">
        <v>0.33152183305921062</v>
      </c>
      <c r="W74" s="98">
        <v>133.66960308947372</v>
      </c>
      <c r="X74" s="98">
        <v>0.33744186579241081</v>
      </c>
      <c r="Y74" s="98">
        <v>136.05656028750005</v>
      </c>
      <c r="Z74" s="98">
        <v>0.38089789086611875</v>
      </c>
      <c r="AA74" s="98">
        <v>153.57802959721909</v>
      </c>
      <c r="AB74" s="98">
        <v>0.36668383945894523</v>
      </c>
      <c r="AC74" s="98">
        <v>147.84692406984672</v>
      </c>
      <c r="AD74" s="98">
        <v>0.34387771166192727</v>
      </c>
      <c r="AE74" s="98">
        <v>138.65149334208908</v>
      </c>
      <c r="AF74" s="98">
        <v>0.39552665650604751</v>
      </c>
      <c r="AG74" s="98">
        <v>159.47634790323835</v>
      </c>
      <c r="AH74" s="98">
        <v>0.34890593325661551</v>
      </c>
      <c r="AI74" s="98">
        <v>140.67887228906736</v>
      </c>
      <c r="AJ74" s="98">
        <v>0.38109949928618148</v>
      </c>
      <c r="AK74" s="98">
        <v>153.65931811218837</v>
      </c>
      <c r="AL74" s="98">
        <v>0.33961352802633299</v>
      </c>
      <c r="AM74" s="98">
        <v>136.93217450021746</v>
      </c>
      <c r="AN74" s="98">
        <v>0.36640317674250755</v>
      </c>
      <c r="AO74" s="98">
        <v>147.73376086257903</v>
      </c>
      <c r="AP74" s="98">
        <v>0.3781030158236558</v>
      </c>
      <c r="AQ74" s="98">
        <v>152.451135980098</v>
      </c>
      <c r="AR74" s="98">
        <v>0.29061048973826503</v>
      </c>
      <c r="AS74" s="98">
        <v>117.17414946246846</v>
      </c>
      <c r="AT74" s="98">
        <v>0.31554556056801547</v>
      </c>
      <c r="AU74" s="98">
        <v>127.22797002102384</v>
      </c>
      <c r="AV74" s="98">
        <v>0.33276176917530048</v>
      </c>
      <c r="AW74" s="98">
        <v>134.16954533148115</v>
      </c>
      <c r="AX74" s="98">
        <v>0.33338756245531087</v>
      </c>
      <c r="AY74" s="98">
        <v>134.42186518198133</v>
      </c>
      <c r="AZ74" s="98">
        <v>0.32351951115434013</v>
      </c>
      <c r="BA74" s="98">
        <v>130.44306689742993</v>
      </c>
      <c r="BB74" s="98">
        <v>0.28979173412559472</v>
      </c>
      <c r="BC74" s="98">
        <v>116.84402719943979</v>
      </c>
      <c r="BD74" s="98">
        <v>0.3218852865697216</v>
      </c>
      <c r="BE74" s="98">
        <v>129.78414754491175</v>
      </c>
      <c r="BF74" s="98">
        <v>0.33782284687877218</v>
      </c>
      <c r="BG74" s="98">
        <v>136.21017186152093</v>
      </c>
      <c r="BH74" s="98">
        <v>0.41177274489166582</v>
      </c>
      <c r="BI74" s="98">
        <v>166.02677074031965</v>
      </c>
      <c r="BJ74" s="98">
        <v>0.28644037184392906</v>
      </c>
      <c r="BK74" s="98">
        <v>115.4927579274722</v>
      </c>
      <c r="BL74" s="98">
        <v>0.34316479767844577</v>
      </c>
      <c r="BM74" s="98">
        <v>138.36404642394933</v>
      </c>
      <c r="BN74" s="98">
        <v>0.32271259171523542</v>
      </c>
      <c r="BO74" s="98">
        <v>130.11771697958292</v>
      </c>
      <c r="BP74" s="98">
        <v>0.29328239554429231</v>
      </c>
      <c r="BQ74" s="98">
        <v>118.25146188345866</v>
      </c>
      <c r="BR74" s="98">
        <v>0.32990961773630445</v>
      </c>
      <c r="BS74" s="98">
        <v>133.01955787127795</v>
      </c>
      <c r="BT74" s="98">
        <v>0.30477549524737224</v>
      </c>
      <c r="BU74" s="98">
        <v>122.88547968374048</v>
      </c>
      <c r="BV74" s="98">
        <v>0.36108573660232252</v>
      </c>
      <c r="BW74" s="98">
        <v>145.58976899805643</v>
      </c>
      <c r="BX74" s="98">
        <v>0.328847302440749</v>
      </c>
      <c r="BY74" s="98">
        <v>132.59123234410998</v>
      </c>
      <c r="BZ74" s="98">
        <v>0.26681660282087566</v>
      </c>
      <c r="CA74" s="98">
        <v>107.58045425737706</v>
      </c>
      <c r="CB74" s="98">
        <v>0.3441567428410921</v>
      </c>
      <c r="CC74" s="98">
        <v>138.76399871352834</v>
      </c>
      <c r="CD74" s="98">
        <v>0.29320953524805898</v>
      </c>
      <c r="CE74" s="98">
        <v>118.22208461201738</v>
      </c>
      <c r="CF74" s="98">
        <v>0.34205559053521178</v>
      </c>
      <c r="CG74" s="98">
        <v>137.91681410379738</v>
      </c>
      <c r="CH74" s="98">
        <v>0.28623032267176773</v>
      </c>
      <c r="CI74" s="98">
        <v>115.40806610125675</v>
      </c>
      <c r="CJ74" s="98">
        <v>0.35628084679078503</v>
      </c>
      <c r="CK74" s="98">
        <v>143.65243742604451</v>
      </c>
      <c r="CL74" s="98">
        <v>0.37019618634045598</v>
      </c>
      <c r="CM74" s="98">
        <v>149.26310233247185</v>
      </c>
      <c r="CN74" s="98">
        <v>0.33757131010389968</v>
      </c>
      <c r="CO74" s="98">
        <v>136.10875223389235</v>
      </c>
      <c r="CP74" s="98">
        <v>0.33346767816950018</v>
      </c>
      <c r="CQ74" s="98">
        <v>134.45416783794246</v>
      </c>
      <c r="CR74" s="98">
        <v>0.29856981595170518</v>
      </c>
      <c r="CS74" s="98">
        <v>120.38334979172753</v>
      </c>
      <c r="CT74" s="98">
        <v>0.3265560799377521</v>
      </c>
      <c r="CU74" s="98">
        <v>131.66741143090164</v>
      </c>
    </row>
    <row r="75" spans="2:99">
      <c r="C75" s="97" t="s">
        <v>242</v>
      </c>
      <c r="D75" s="98">
        <v>4</v>
      </c>
      <c r="E75" s="98">
        <v>2572.7999999999997</v>
      </c>
      <c r="F75" s="98">
        <v>3</v>
      </c>
      <c r="G75" s="98">
        <v>1929.6</v>
      </c>
      <c r="H75" s="98">
        <v>4</v>
      </c>
      <c r="I75" s="98">
        <v>2572.7999999999997</v>
      </c>
      <c r="J75" s="98">
        <v>0.79166627690125946</v>
      </c>
      <c r="K75" s="98">
        <v>509.19974930289004</v>
      </c>
      <c r="L75" s="98">
        <v>0.34357717244318192</v>
      </c>
      <c r="M75" s="98">
        <v>220.98883731545459</v>
      </c>
      <c r="N75" s="98">
        <v>0.34993971267361124</v>
      </c>
      <c r="O75" s="98">
        <v>225.08122319166674</v>
      </c>
      <c r="P75" s="98">
        <v>0.40902044338474036</v>
      </c>
      <c r="Q75" s="98">
        <v>263.08194918506496</v>
      </c>
      <c r="R75" s="98">
        <v>0.32580593938577596</v>
      </c>
      <c r="S75" s="98">
        <v>209.55838021293107</v>
      </c>
      <c r="T75" s="98">
        <v>0.32028380481991536</v>
      </c>
      <c r="U75" s="98">
        <v>206.00654326016954</v>
      </c>
      <c r="V75" s="98">
        <v>0.33152183305921062</v>
      </c>
      <c r="W75" s="98">
        <v>213.23484302368425</v>
      </c>
      <c r="X75" s="98">
        <v>0.33744186579241081</v>
      </c>
      <c r="Y75" s="98">
        <v>217.04260807767861</v>
      </c>
      <c r="Z75" s="98">
        <v>0.38442279807462965</v>
      </c>
      <c r="AA75" s="98">
        <v>247.26074372160176</v>
      </c>
      <c r="AB75" s="98">
        <v>0.36310649514359561</v>
      </c>
      <c r="AC75" s="98">
        <v>233.55009767636068</v>
      </c>
      <c r="AD75" s="98">
        <v>0.34387771166192727</v>
      </c>
      <c r="AE75" s="98">
        <v>221.18214414095161</v>
      </c>
      <c r="AF75" s="98">
        <v>0.39951356077346017</v>
      </c>
      <c r="AG75" s="98">
        <v>256.96712228948957</v>
      </c>
      <c r="AH75" s="98">
        <v>0.3414847457745972</v>
      </c>
      <c r="AI75" s="98">
        <v>219.64298848222089</v>
      </c>
      <c r="AJ75" s="98">
        <v>0.37777761503191254</v>
      </c>
      <c r="AK75" s="98">
        <v>242.98656198852612</v>
      </c>
      <c r="AL75" s="98">
        <v>0.3405898227448243</v>
      </c>
      <c r="AM75" s="98">
        <v>219.06737398947098</v>
      </c>
      <c r="AN75" s="98">
        <v>0.36612188492165926</v>
      </c>
      <c r="AO75" s="98">
        <v>235.48959638161122</v>
      </c>
      <c r="AP75" s="98">
        <v>0.3773155378281286</v>
      </c>
      <c r="AQ75" s="98">
        <v>242.6893539310523</v>
      </c>
      <c r="AR75" s="98">
        <v>0.28245048088450003</v>
      </c>
      <c r="AS75" s="98">
        <v>181.67214930491039</v>
      </c>
      <c r="AT75" s="98">
        <v>0.31554556056801547</v>
      </c>
      <c r="AU75" s="98">
        <v>202.95890455734752</v>
      </c>
      <c r="AV75" s="98">
        <v>0.33276176917530048</v>
      </c>
      <c r="AW75" s="98">
        <v>214.03236993355324</v>
      </c>
      <c r="AX75" s="98">
        <v>0.33310000263692252</v>
      </c>
      <c r="AY75" s="98">
        <v>214.24992169606855</v>
      </c>
      <c r="AZ75" s="98">
        <v>0.32351951115434013</v>
      </c>
      <c r="BA75" s="98">
        <v>208.08774957447156</v>
      </c>
      <c r="BB75" s="98">
        <v>0.28979173412559472</v>
      </c>
      <c r="BC75" s="98">
        <v>186.39404338958252</v>
      </c>
      <c r="BD75" s="98">
        <v>0.32166030012619251</v>
      </c>
      <c r="BE75" s="98">
        <v>206.89190504116701</v>
      </c>
      <c r="BF75" s="98">
        <v>0.33329124397405763</v>
      </c>
      <c r="BG75" s="98">
        <v>214.37292812411386</v>
      </c>
      <c r="BH75" s="98">
        <v>0.33629827789866334</v>
      </c>
      <c r="BI75" s="98">
        <v>216.30705234442024</v>
      </c>
      <c r="BJ75" s="98">
        <v>0.33989184137020884</v>
      </c>
      <c r="BK75" s="98">
        <v>218.6184323693183</v>
      </c>
      <c r="BL75" s="98">
        <v>0.3486068979368081</v>
      </c>
      <c r="BM75" s="98">
        <v>224.22395675295496</v>
      </c>
      <c r="BN75" s="98">
        <v>0.32271259171523542</v>
      </c>
      <c r="BO75" s="98">
        <v>207.5687389912394</v>
      </c>
      <c r="BP75" s="98">
        <v>0.29328239554429231</v>
      </c>
      <c r="BQ75" s="98">
        <v>188.6392368140888</v>
      </c>
      <c r="BR75" s="98">
        <v>0.32990961773630445</v>
      </c>
      <c r="BS75" s="98">
        <v>212.19786612799101</v>
      </c>
      <c r="BT75" s="98">
        <v>0.29884005143274756</v>
      </c>
      <c r="BU75" s="98">
        <v>192.21392108154322</v>
      </c>
      <c r="BV75" s="98">
        <v>0.29157455228295315</v>
      </c>
      <c r="BW75" s="98">
        <v>187.54075202839545</v>
      </c>
      <c r="BX75" s="98">
        <v>0.328847302440749</v>
      </c>
      <c r="BY75" s="98">
        <v>211.51458492988974</v>
      </c>
      <c r="BZ75" s="98">
        <v>0.3417083217498062</v>
      </c>
      <c r="CA75" s="98">
        <v>219.78679254947534</v>
      </c>
      <c r="CB75" s="98">
        <v>0.34840701466780788</v>
      </c>
      <c r="CC75" s="98">
        <v>224.09539183433401</v>
      </c>
      <c r="CD75" s="98">
        <v>0.29291003079211864</v>
      </c>
      <c r="CE75" s="98">
        <v>188.39973180549069</v>
      </c>
      <c r="CF75" s="98">
        <v>0.34205559053521178</v>
      </c>
      <c r="CG75" s="98">
        <v>220.01015583224819</v>
      </c>
      <c r="CH75" s="98">
        <v>0.27946728587845687</v>
      </c>
      <c r="CI75" s="98">
        <v>179.75335827702344</v>
      </c>
      <c r="CJ75" s="98">
        <v>0.29192824186280358</v>
      </c>
      <c r="CK75" s="98">
        <v>187.76824516615525</v>
      </c>
      <c r="CL75" s="98">
        <v>0.302980026017453</v>
      </c>
      <c r="CM75" s="98">
        <v>194.87675273442574</v>
      </c>
      <c r="CN75" s="98">
        <v>0.3423196825315713</v>
      </c>
      <c r="CO75" s="98">
        <v>220.18001980430662</v>
      </c>
      <c r="CP75" s="98">
        <v>0.33322136239744671</v>
      </c>
      <c r="CQ75" s="98">
        <v>214.3279802940377</v>
      </c>
      <c r="CR75" s="98">
        <v>0.38317055712622905</v>
      </c>
      <c r="CS75" s="98">
        <v>246.45530234359049</v>
      </c>
      <c r="CT75" s="98">
        <v>0.32122741524572096</v>
      </c>
      <c r="CU75" s="98">
        <v>206.6134734860477</v>
      </c>
    </row>
    <row r="76" spans="2:99">
      <c r="C76" s="97" t="s">
        <v>243</v>
      </c>
      <c r="D76" s="98">
        <v>4</v>
      </c>
      <c r="E76" s="98">
        <v>3115.2</v>
      </c>
      <c r="F76" s="98">
        <v>3</v>
      </c>
      <c r="G76" s="98">
        <v>2336.3999999999996</v>
      </c>
      <c r="H76" s="98">
        <v>4</v>
      </c>
      <c r="I76" s="98">
        <v>3115.2</v>
      </c>
      <c r="J76" s="98">
        <v>0.79166627690125946</v>
      </c>
      <c r="K76" s="98">
        <v>616.54969645070082</v>
      </c>
      <c r="L76" s="98">
        <v>0.34357717244318192</v>
      </c>
      <c r="M76" s="98">
        <v>267.57790189875004</v>
      </c>
      <c r="N76" s="98">
        <v>0.34993971267361124</v>
      </c>
      <c r="O76" s="98">
        <v>272.53304823020841</v>
      </c>
      <c r="P76" s="98">
        <v>0.40902044338474036</v>
      </c>
      <c r="Q76" s="98">
        <v>318.54512130803579</v>
      </c>
      <c r="R76" s="98">
        <v>0.43440791918103461</v>
      </c>
      <c r="S76" s="98">
        <v>338.31688745818974</v>
      </c>
      <c r="T76" s="98">
        <v>0.32028380481991536</v>
      </c>
      <c r="U76" s="98">
        <v>249.43702719375008</v>
      </c>
      <c r="V76" s="98">
        <v>0.33152183305921062</v>
      </c>
      <c r="W76" s="98">
        <v>258.1892035865132</v>
      </c>
      <c r="X76" s="98">
        <v>0.33744186579241081</v>
      </c>
      <c r="Y76" s="98">
        <v>262.79972507912953</v>
      </c>
      <c r="Z76" s="98">
        <v>0.29272323256661098</v>
      </c>
      <c r="AA76" s="98">
        <v>227.97285352287662</v>
      </c>
      <c r="AB76" s="98">
        <v>0.36310649514359561</v>
      </c>
      <c r="AC76" s="98">
        <v>282.78733841783225</v>
      </c>
      <c r="AD76" s="98">
        <v>0.34783823219701426</v>
      </c>
      <c r="AE76" s="98">
        <v>270.89641523503468</v>
      </c>
      <c r="AF76" s="98">
        <v>0.29026379945344899</v>
      </c>
      <c r="AG76" s="98">
        <v>226.05744701434605</v>
      </c>
      <c r="AH76" s="98">
        <v>0.34890593325661551</v>
      </c>
      <c r="AI76" s="98">
        <v>271.72794082025212</v>
      </c>
      <c r="AJ76" s="98">
        <v>0.37777761503191254</v>
      </c>
      <c r="AK76" s="98">
        <v>294.21320658685346</v>
      </c>
      <c r="AL76" s="98">
        <v>0.33961352802633299</v>
      </c>
      <c r="AM76" s="98">
        <v>264.49101562690811</v>
      </c>
      <c r="AN76" s="98">
        <v>0.28553452846874533</v>
      </c>
      <c r="AO76" s="98">
        <v>222.37429077145885</v>
      </c>
      <c r="AP76" s="98">
        <v>0.30342738625355725</v>
      </c>
      <c r="AQ76" s="98">
        <v>236.30924841427037</v>
      </c>
      <c r="AR76" s="98">
        <v>0.29061048973826503</v>
      </c>
      <c r="AS76" s="98">
        <v>226.32744940816079</v>
      </c>
      <c r="AT76" s="98">
        <v>0.31554556056801547</v>
      </c>
      <c r="AU76" s="98">
        <v>245.74688257037045</v>
      </c>
      <c r="AV76" s="98">
        <v>0.3330304248768402</v>
      </c>
      <c r="AW76" s="98">
        <v>259.36409489408311</v>
      </c>
      <c r="AX76" s="98">
        <v>0.32726384270963155</v>
      </c>
      <c r="AY76" s="98">
        <v>254.87308070226103</v>
      </c>
      <c r="AZ76" s="98">
        <v>0.39549538996361</v>
      </c>
      <c r="BA76" s="98">
        <v>308.01180970365942</v>
      </c>
      <c r="BB76" s="98">
        <v>0.29016797799917943</v>
      </c>
      <c r="BC76" s="98">
        <v>225.98282126576092</v>
      </c>
      <c r="BD76" s="98">
        <v>0.32740159270995628</v>
      </c>
      <c r="BE76" s="98">
        <v>254.98036040251392</v>
      </c>
      <c r="BF76" s="98">
        <v>0.33329124397405763</v>
      </c>
      <c r="BG76" s="98">
        <v>259.56722080699609</v>
      </c>
      <c r="BH76" s="98">
        <v>0.33611718477910096</v>
      </c>
      <c r="BI76" s="98">
        <v>261.76806350596382</v>
      </c>
      <c r="BJ76" s="98">
        <v>0.28195178379443409</v>
      </c>
      <c r="BK76" s="98">
        <v>219.58404921910525</v>
      </c>
      <c r="BL76" s="98">
        <v>0.28048893678254871</v>
      </c>
      <c r="BM76" s="98">
        <v>218.44478396624893</v>
      </c>
      <c r="BN76" s="98">
        <v>0.32255579866819384</v>
      </c>
      <c r="BO76" s="98">
        <v>251.20645600278934</v>
      </c>
      <c r="BP76" s="98">
        <v>0.29328239554429231</v>
      </c>
      <c r="BQ76" s="98">
        <v>228.40832964989482</v>
      </c>
      <c r="BR76" s="98">
        <v>0.32960191948325884</v>
      </c>
      <c r="BS76" s="98">
        <v>256.69397489356197</v>
      </c>
      <c r="BT76" s="98">
        <v>0.30539540840347207</v>
      </c>
      <c r="BU76" s="98">
        <v>237.84194406462404</v>
      </c>
      <c r="BV76" s="98">
        <v>0.29177678903201476</v>
      </c>
      <c r="BW76" s="98">
        <v>227.23576329813309</v>
      </c>
      <c r="BX76" s="98">
        <v>0.328847302440749</v>
      </c>
      <c r="BY76" s="98">
        <v>256.10627914085529</v>
      </c>
      <c r="BZ76" s="98">
        <v>0.3417083217498062</v>
      </c>
      <c r="CA76" s="98">
        <v>266.12244097874907</v>
      </c>
      <c r="CB76" s="98">
        <v>0.28578303100053959</v>
      </c>
      <c r="CC76" s="98">
        <v>222.56782454322021</v>
      </c>
      <c r="CD76" s="98">
        <v>0.29320953524805898</v>
      </c>
      <c r="CE76" s="98">
        <v>228.35158605118832</v>
      </c>
      <c r="CF76" s="98">
        <v>0.34186890871605208</v>
      </c>
      <c r="CG76" s="98">
        <v>266.24750610806132</v>
      </c>
      <c r="CH76" s="98">
        <v>0.2789418914490126</v>
      </c>
      <c r="CI76" s="98">
        <v>217.23994506049101</v>
      </c>
      <c r="CJ76" s="98">
        <v>0.29192824186280358</v>
      </c>
      <c r="CK76" s="98">
        <v>227.35371476275142</v>
      </c>
      <c r="CL76" s="98">
        <v>0.302980026017453</v>
      </c>
      <c r="CM76" s="98">
        <v>235.96084426239238</v>
      </c>
      <c r="CN76" s="98">
        <v>0.3423196825315713</v>
      </c>
      <c r="CO76" s="98">
        <v>266.59856875558773</v>
      </c>
      <c r="CP76" s="98">
        <v>0.32791182903933336</v>
      </c>
      <c r="CQ76" s="98">
        <v>255.37773245583281</v>
      </c>
      <c r="CR76" s="98">
        <v>0.29856981595170518</v>
      </c>
      <c r="CS76" s="98">
        <v>232.52617266318796</v>
      </c>
      <c r="CT76" s="98">
        <v>0.32099710103405082</v>
      </c>
      <c r="CU76" s="98">
        <v>249.99254228531876</v>
      </c>
    </row>
    <row r="77" spans="2:99">
      <c r="C77" s="97" t="s">
        <v>244</v>
      </c>
      <c r="D77" s="98">
        <v>4</v>
      </c>
      <c r="E77" s="98">
        <v>1113.5999999999999</v>
      </c>
      <c r="F77" s="98">
        <v>4</v>
      </c>
      <c r="G77" s="98">
        <v>1113.5999999999999</v>
      </c>
      <c r="H77" s="98">
        <v>4</v>
      </c>
      <c r="I77" s="98">
        <v>1113.5999999999999</v>
      </c>
      <c r="J77" s="98">
        <v>0.79166627690125946</v>
      </c>
      <c r="K77" s="98">
        <v>220.39989148931062</v>
      </c>
      <c r="L77" s="98">
        <v>0.34357717244318192</v>
      </c>
      <c r="M77" s="98">
        <v>95.651884808181833</v>
      </c>
      <c r="N77" s="98">
        <v>0.34993971267361124</v>
      </c>
      <c r="O77" s="98">
        <v>97.423216008333355</v>
      </c>
      <c r="P77" s="98">
        <v>0.32721635470779237</v>
      </c>
      <c r="Q77" s="98">
        <v>91.097033150649381</v>
      </c>
      <c r="R77" s="98">
        <v>0.32580593938577596</v>
      </c>
      <c r="S77" s="98">
        <v>90.704373525000022</v>
      </c>
      <c r="T77" s="98">
        <v>0.32028380481991536</v>
      </c>
      <c r="U77" s="98">
        <v>89.167011261864431</v>
      </c>
      <c r="V77" s="98">
        <v>0.41440229132401329</v>
      </c>
      <c r="W77" s="98">
        <v>115.36959790460529</v>
      </c>
      <c r="X77" s="98">
        <v>0.33744186579241081</v>
      </c>
      <c r="Y77" s="98">
        <v>93.943815436607167</v>
      </c>
      <c r="Z77" s="98">
        <v>0.38442279807462965</v>
      </c>
      <c r="AA77" s="98">
        <v>107.02330698397688</v>
      </c>
      <c r="AB77" s="98">
        <v>0.36310649514359561</v>
      </c>
      <c r="AC77" s="98">
        <v>101.08884824797701</v>
      </c>
      <c r="AD77" s="98">
        <v>0.33991719112684027</v>
      </c>
      <c r="AE77" s="98">
        <v>94.632946009712327</v>
      </c>
      <c r="AF77" s="98">
        <v>0.40748736930828533</v>
      </c>
      <c r="AG77" s="98">
        <v>113.44448361542662</v>
      </c>
      <c r="AH77" s="98">
        <v>0.35261652699762475</v>
      </c>
      <c r="AI77" s="98">
        <v>98.168441116138723</v>
      </c>
      <c r="AJ77" s="98">
        <v>0.30753710683236035</v>
      </c>
      <c r="AK77" s="98">
        <v>85.618330542129115</v>
      </c>
      <c r="AL77" s="98">
        <v>0.33863723330784162</v>
      </c>
      <c r="AM77" s="98">
        <v>94.276605752903095</v>
      </c>
      <c r="AN77" s="98">
        <v>0.35910776689084034</v>
      </c>
      <c r="AO77" s="98">
        <v>99.975602302409939</v>
      </c>
      <c r="AP77" s="98">
        <v>0.3781030158236558</v>
      </c>
      <c r="AQ77" s="98">
        <v>105.26387960530576</v>
      </c>
      <c r="AR77" s="98">
        <v>0.29024010428437352</v>
      </c>
      <c r="AS77" s="98">
        <v>80.802845032769582</v>
      </c>
      <c r="AT77" s="98">
        <v>0.31589711275557714</v>
      </c>
      <c r="AU77" s="98">
        <v>87.945756191152668</v>
      </c>
      <c r="AV77" s="98">
        <v>0.33276176917530048</v>
      </c>
      <c r="AW77" s="98">
        <v>92.640876538403646</v>
      </c>
      <c r="AX77" s="98">
        <v>0.33310000263692252</v>
      </c>
      <c r="AY77" s="98">
        <v>92.735040734119224</v>
      </c>
      <c r="AZ77" s="98">
        <v>0.32948421214806417</v>
      </c>
      <c r="BA77" s="98">
        <v>91.728404662021063</v>
      </c>
      <c r="BB77" s="98">
        <v>0.29702815530328314</v>
      </c>
      <c r="BC77" s="98">
        <v>82.692638436434024</v>
      </c>
      <c r="BD77" s="98">
        <v>0.32211027301325068</v>
      </c>
      <c r="BE77" s="98">
        <v>89.675500006888981</v>
      </c>
      <c r="BF77" s="98">
        <v>0.33329124397405763</v>
      </c>
      <c r="BG77" s="98">
        <v>92.78828232237764</v>
      </c>
      <c r="BH77" s="98">
        <v>0.41195383801122826</v>
      </c>
      <c r="BI77" s="98">
        <v>114.68794850232594</v>
      </c>
      <c r="BJ77" s="98">
        <v>0.34417645702511462</v>
      </c>
      <c r="BK77" s="98">
        <v>95.818725635791907</v>
      </c>
      <c r="BL77" s="98">
        <v>0.3486068979368081</v>
      </c>
      <c r="BM77" s="98">
        <v>97.052160385607365</v>
      </c>
      <c r="BN77" s="98">
        <v>0.32271259171523542</v>
      </c>
      <c r="BO77" s="98">
        <v>89.843185533521535</v>
      </c>
      <c r="BP77" s="98">
        <v>0.35764166122877661</v>
      </c>
      <c r="BQ77" s="98">
        <v>99.567438486091405</v>
      </c>
      <c r="BR77" s="98">
        <v>0.32990961773630445</v>
      </c>
      <c r="BS77" s="98">
        <v>91.846837577787156</v>
      </c>
      <c r="BT77" s="98">
        <v>0.30508545182542218</v>
      </c>
      <c r="BU77" s="98">
        <v>84.935789788197525</v>
      </c>
      <c r="BV77" s="98">
        <v>0.36128797335138407</v>
      </c>
      <c r="BW77" s="98">
        <v>100.58257178102532</v>
      </c>
      <c r="BX77" s="98">
        <v>0.3285696471127047</v>
      </c>
      <c r="BY77" s="98">
        <v>91.473789756176984</v>
      </c>
      <c r="BZ77" s="98">
        <v>0.3413306691616213</v>
      </c>
      <c r="CA77" s="98">
        <v>95.026458294595358</v>
      </c>
      <c r="CB77" s="98">
        <v>0.29003330282725537</v>
      </c>
      <c r="CC77" s="98">
        <v>80.745271507107887</v>
      </c>
      <c r="CD77" s="98">
        <v>0.29942686782658473</v>
      </c>
      <c r="CE77" s="98">
        <v>83.36044000292118</v>
      </c>
      <c r="CF77" s="98">
        <v>0.34224227235437149</v>
      </c>
      <c r="CG77" s="98">
        <v>95.280248623457013</v>
      </c>
      <c r="CH77" s="98">
        <v>0.28596762545704563</v>
      </c>
      <c r="CI77" s="98">
        <v>79.613386927241493</v>
      </c>
      <c r="CJ77" s="98">
        <v>0.3612119642409104</v>
      </c>
      <c r="CK77" s="98">
        <v>100.56141084466945</v>
      </c>
      <c r="CL77" s="98">
        <v>0.30322274536164634</v>
      </c>
      <c r="CM77" s="98">
        <v>84.417212308682338</v>
      </c>
      <c r="CN77" s="98">
        <v>0.3423196825315713</v>
      </c>
      <c r="CO77" s="98">
        <v>95.301799616789438</v>
      </c>
      <c r="CP77" s="98">
        <v>0.32766551326727994</v>
      </c>
      <c r="CQ77" s="98">
        <v>91.222078893610728</v>
      </c>
      <c r="CR77" s="98">
        <v>0.29856981595170518</v>
      </c>
      <c r="CS77" s="98">
        <v>83.121836760954707</v>
      </c>
      <c r="CT77" s="98">
        <v>0.32099710103405082</v>
      </c>
      <c r="CU77" s="98">
        <v>89.365592927879746</v>
      </c>
    </row>
    <row r="78" spans="2:99">
      <c r="C78" s="97" t="s">
        <v>245</v>
      </c>
      <c r="D78" s="98">
        <v>4</v>
      </c>
      <c r="E78" s="98">
        <v>2208</v>
      </c>
      <c r="F78" s="98">
        <v>4</v>
      </c>
      <c r="G78" s="98">
        <v>2208</v>
      </c>
      <c r="H78" s="98">
        <v>4</v>
      </c>
      <c r="I78" s="98">
        <v>2208</v>
      </c>
      <c r="J78" s="98">
        <v>0.79166627690125946</v>
      </c>
      <c r="K78" s="98">
        <v>436.9997848494952</v>
      </c>
      <c r="L78" s="98">
        <v>0.34357717244318192</v>
      </c>
      <c r="M78" s="98">
        <v>189.65459918863641</v>
      </c>
      <c r="N78" s="98">
        <v>0.34993971267361124</v>
      </c>
      <c r="O78" s="98">
        <v>193.16672139583341</v>
      </c>
      <c r="P78" s="98">
        <v>0.32721635470779237</v>
      </c>
      <c r="Q78" s="98">
        <v>180.62342779870139</v>
      </c>
      <c r="R78" s="98">
        <v>0.32580593938577596</v>
      </c>
      <c r="S78" s="98">
        <v>179.84487854094832</v>
      </c>
      <c r="T78" s="98">
        <v>0.32028380481991536</v>
      </c>
      <c r="U78" s="98">
        <v>176.79666026059328</v>
      </c>
      <c r="V78" s="98">
        <v>0.33152183305921062</v>
      </c>
      <c r="W78" s="98">
        <v>183.00005184868425</v>
      </c>
      <c r="X78" s="98">
        <v>0.33744186579241081</v>
      </c>
      <c r="Y78" s="98">
        <v>186.26790991741078</v>
      </c>
      <c r="Z78" s="98">
        <v>0.38089789086611875</v>
      </c>
      <c r="AA78" s="98">
        <v>210.25563575809755</v>
      </c>
      <c r="AB78" s="98">
        <v>0.36310649514359561</v>
      </c>
      <c r="AC78" s="98">
        <v>200.43478531926479</v>
      </c>
      <c r="AD78" s="98">
        <v>0.34387771166192727</v>
      </c>
      <c r="AE78" s="98">
        <v>189.82049683738384</v>
      </c>
      <c r="AF78" s="98">
        <v>0.28627689518603644</v>
      </c>
      <c r="AG78" s="98">
        <v>158.02484614269213</v>
      </c>
      <c r="AH78" s="98">
        <v>0.34519533951560633</v>
      </c>
      <c r="AI78" s="98">
        <v>190.54782741261468</v>
      </c>
      <c r="AJ78" s="98">
        <v>0.37777761503191254</v>
      </c>
      <c r="AK78" s="98">
        <v>208.53324349761573</v>
      </c>
      <c r="AL78" s="98">
        <v>0.42232024691631082</v>
      </c>
      <c r="AM78" s="98">
        <v>233.12077629780356</v>
      </c>
      <c r="AN78" s="98">
        <v>0.28553452846874533</v>
      </c>
      <c r="AO78" s="98">
        <v>157.61505971474742</v>
      </c>
      <c r="AP78" s="98">
        <v>0.3773155378281286</v>
      </c>
      <c r="AQ78" s="98">
        <v>208.278176881127</v>
      </c>
      <c r="AR78" s="98">
        <v>0.29024010428437352</v>
      </c>
      <c r="AS78" s="98">
        <v>160.21253756497418</v>
      </c>
      <c r="AT78" s="98">
        <v>0.31554556056801547</v>
      </c>
      <c r="AU78" s="98">
        <v>174.18114943354453</v>
      </c>
      <c r="AV78" s="98">
        <v>0.33841169194395937</v>
      </c>
      <c r="AW78" s="98">
        <v>186.80325395306556</v>
      </c>
      <c r="AX78" s="98">
        <v>0.32697628289124325</v>
      </c>
      <c r="AY78" s="98">
        <v>180.49090815596628</v>
      </c>
      <c r="AZ78" s="98">
        <v>0.32939810712552231</v>
      </c>
      <c r="BA78" s="98">
        <v>181.82775513328832</v>
      </c>
      <c r="BB78" s="98">
        <v>0.28979173412559472</v>
      </c>
      <c r="BC78" s="98">
        <v>159.96503723732829</v>
      </c>
      <c r="BD78" s="98">
        <v>0.32166030012619251</v>
      </c>
      <c r="BE78" s="98">
        <v>177.55648566965826</v>
      </c>
      <c r="BF78" s="98">
        <v>0.33312921965975834</v>
      </c>
      <c r="BG78" s="98">
        <v>183.88732925218659</v>
      </c>
      <c r="BH78" s="98">
        <v>0.33620773133888221</v>
      </c>
      <c r="BI78" s="98">
        <v>185.58666769906299</v>
      </c>
      <c r="BJ78" s="98">
        <v>0.34397248463052554</v>
      </c>
      <c r="BK78" s="98">
        <v>189.87281151605009</v>
      </c>
      <c r="BL78" s="98">
        <v>0.34259257725463499</v>
      </c>
      <c r="BM78" s="98">
        <v>189.11110264455851</v>
      </c>
      <c r="BN78" s="98">
        <v>0.31879268503882552</v>
      </c>
      <c r="BO78" s="98">
        <v>175.9735621414317</v>
      </c>
      <c r="BP78" s="98">
        <v>0.29309477328186567</v>
      </c>
      <c r="BQ78" s="98">
        <v>161.78831485158986</v>
      </c>
      <c r="BR78" s="98">
        <v>0.32990961773630445</v>
      </c>
      <c r="BS78" s="98">
        <v>182.11010899044007</v>
      </c>
      <c r="BT78" s="98">
        <v>0.30570536498152207</v>
      </c>
      <c r="BU78" s="98">
        <v>168.74936146980019</v>
      </c>
      <c r="BV78" s="98">
        <v>0.29157455228295315</v>
      </c>
      <c r="BW78" s="98">
        <v>160.94915286019014</v>
      </c>
      <c r="BX78" s="98">
        <v>0.328847302440749</v>
      </c>
      <c r="BY78" s="98">
        <v>181.52371094729344</v>
      </c>
      <c r="BZ78" s="98">
        <v>0.26681660282087566</v>
      </c>
      <c r="CA78" s="98">
        <v>147.28276475712337</v>
      </c>
      <c r="CB78" s="98">
        <v>0.29021686307264688</v>
      </c>
      <c r="CC78" s="98">
        <v>160.19970841610109</v>
      </c>
      <c r="CD78" s="98">
        <v>0.29942686782658473</v>
      </c>
      <c r="CE78" s="98">
        <v>165.28363104027477</v>
      </c>
      <c r="CF78" s="98">
        <v>0.34168222689689232</v>
      </c>
      <c r="CG78" s="98">
        <v>188.60858924708455</v>
      </c>
      <c r="CH78" s="98">
        <v>0.28596762545704563</v>
      </c>
      <c r="CI78" s="98">
        <v>157.8541292522892</v>
      </c>
      <c r="CJ78" s="98">
        <v>0.29706120669329067</v>
      </c>
      <c r="CK78" s="98">
        <v>163.97778609469646</v>
      </c>
      <c r="CL78" s="98">
        <v>0.302980026017453</v>
      </c>
      <c r="CM78" s="98">
        <v>167.24497436163406</v>
      </c>
      <c r="CN78" s="98">
        <v>0.33711735258247655</v>
      </c>
      <c r="CO78" s="98">
        <v>186.08877862552706</v>
      </c>
      <c r="CP78" s="98">
        <v>0.32766551326727994</v>
      </c>
      <c r="CQ78" s="98">
        <v>180.87136332353853</v>
      </c>
      <c r="CR78" s="98">
        <v>0.38918708716773343</v>
      </c>
      <c r="CS78" s="98">
        <v>214.83127211658885</v>
      </c>
      <c r="CT78" s="98">
        <v>0.3265560799377521</v>
      </c>
      <c r="CU78" s="98">
        <v>180.25895612563914</v>
      </c>
    </row>
    <row r="79" spans="2:99">
      <c r="C79" s="97" t="s">
        <v>246</v>
      </c>
      <c r="D79" s="98">
        <v>4</v>
      </c>
      <c r="E79" s="98">
        <v>3028.7999999999997</v>
      </c>
      <c r="F79" s="98">
        <v>3</v>
      </c>
      <c r="G79" s="98">
        <v>2271.6</v>
      </c>
      <c r="H79" s="98">
        <v>4</v>
      </c>
      <c r="I79" s="98">
        <v>3028.7999999999997</v>
      </c>
      <c r="J79" s="98">
        <v>0.79166627690125946</v>
      </c>
      <c r="K79" s="98">
        <v>599.44970486963359</v>
      </c>
      <c r="L79" s="98">
        <v>0.34357717244318192</v>
      </c>
      <c r="M79" s="98">
        <v>260.1566349739773</v>
      </c>
      <c r="N79" s="98">
        <v>0.34993971267361124</v>
      </c>
      <c r="O79" s="98">
        <v>264.97435043645839</v>
      </c>
      <c r="P79" s="98">
        <v>0.40902044338474036</v>
      </c>
      <c r="Q79" s="98">
        <v>309.71027973092538</v>
      </c>
      <c r="R79" s="98">
        <v>0.32580593938577596</v>
      </c>
      <c r="S79" s="98">
        <v>246.70025730290953</v>
      </c>
      <c r="T79" s="98">
        <v>0.32028380481991536</v>
      </c>
      <c r="U79" s="98">
        <v>242.51889700963989</v>
      </c>
      <c r="V79" s="98">
        <v>0.33152183305921062</v>
      </c>
      <c r="W79" s="98">
        <v>251.02833199243426</v>
      </c>
      <c r="X79" s="98">
        <v>0.33744186579241081</v>
      </c>
      <c r="Y79" s="98">
        <v>255.51098077801345</v>
      </c>
      <c r="Z79" s="98">
        <v>0.38089789086611875</v>
      </c>
      <c r="AA79" s="98">
        <v>288.41588296382508</v>
      </c>
      <c r="AB79" s="98">
        <v>0.35952915082824588</v>
      </c>
      <c r="AC79" s="98">
        <v>272.23547300714773</v>
      </c>
      <c r="AD79" s="98">
        <v>0.34783823219701426</v>
      </c>
      <c r="AE79" s="98">
        <v>263.38310941957917</v>
      </c>
      <c r="AF79" s="98">
        <v>0.39951356077346017</v>
      </c>
      <c r="AG79" s="98">
        <v>302.51166821766401</v>
      </c>
      <c r="AH79" s="98">
        <v>0.34890593325661551</v>
      </c>
      <c r="AI79" s="98">
        <v>264.19157266190922</v>
      </c>
      <c r="AJ79" s="98">
        <v>0.37777761503191254</v>
      </c>
      <c r="AK79" s="98">
        <v>286.05321010216414</v>
      </c>
      <c r="AL79" s="98">
        <v>0.33961352802633299</v>
      </c>
      <c r="AM79" s="98">
        <v>257.15536342153933</v>
      </c>
      <c r="AN79" s="98">
        <v>0.28609711211044186</v>
      </c>
      <c r="AO79" s="98">
        <v>216.63273329002655</v>
      </c>
      <c r="AP79" s="98">
        <v>0.3773155378281286</v>
      </c>
      <c r="AQ79" s="98">
        <v>285.70332524345895</v>
      </c>
      <c r="AR79" s="98">
        <v>0.29024010428437352</v>
      </c>
      <c r="AS79" s="98">
        <v>219.76980696412761</v>
      </c>
      <c r="AT79" s="98">
        <v>0.31554556056801547</v>
      </c>
      <c r="AU79" s="98">
        <v>238.93109846210129</v>
      </c>
      <c r="AV79" s="98">
        <v>0.33276176917530048</v>
      </c>
      <c r="AW79" s="98">
        <v>251.96721161953749</v>
      </c>
      <c r="AX79" s="98">
        <v>0.27254620989153966</v>
      </c>
      <c r="AY79" s="98">
        <v>206.37199012987381</v>
      </c>
      <c r="AZ79" s="98">
        <v>0.32351951115434013</v>
      </c>
      <c r="BA79" s="98">
        <v>244.96897384606632</v>
      </c>
      <c r="BB79" s="98">
        <v>0.28979173412559472</v>
      </c>
      <c r="BC79" s="98">
        <v>219.43030107990032</v>
      </c>
      <c r="BD79" s="98">
        <v>0.3218852865697216</v>
      </c>
      <c r="BE79" s="98">
        <v>243.73153899059318</v>
      </c>
      <c r="BF79" s="98">
        <v>0.27760605673914068</v>
      </c>
      <c r="BG79" s="98">
        <v>210.20330616287731</v>
      </c>
      <c r="BH79" s="98">
        <v>0.41195383801122826</v>
      </c>
      <c r="BI79" s="98">
        <v>311.931446142102</v>
      </c>
      <c r="BJ79" s="98">
        <v>0.34417645702511462</v>
      </c>
      <c r="BK79" s="98">
        <v>260.61041325941676</v>
      </c>
      <c r="BL79" s="98">
        <v>0.34287868746654038</v>
      </c>
      <c r="BM79" s="98">
        <v>259.62774214966436</v>
      </c>
      <c r="BN79" s="98">
        <v>0.32663249839164532</v>
      </c>
      <c r="BO79" s="98">
        <v>247.3261277821538</v>
      </c>
      <c r="BP79" s="98">
        <v>0.35764166122877661</v>
      </c>
      <c r="BQ79" s="98">
        <v>270.80626588242961</v>
      </c>
      <c r="BR79" s="98">
        <v>0.32975576860978162</v>
      </c>
      <c r="BS79" s="98">
        <v>249.69106799132661</v>
      </c>
      <c r="BT79" s="98">
        <v>0.29853009485469767</v>
      </c>
      <c r="BU79" s="98">
        <v>226.04698782397705</v>
      </c>
      <c r="BV79" s="98">
        <v>0.35593872309207741</v>
      </c>
      <c r="BW79" s="98">
        <v>269.51680112532097</v>
      </c>
      <c r="BX79" s="98">
        <v>0.3285696471127047</v>
      </c>
      <c r="BY79" s="98">
        <v>248.79293679373998</v>
      </c>
      <c r="BZ79" s="98">
        <v>0.3413306691616213</v>
      </c>
      <c r="CA79" s="98">
        <v>258.45558268917961</v>
      </c>
      <c r="CB79" s="98">
        <v>0.34803989417702486</v>
      </c>
      <c r="CC79" s="98">
        <v>263.5358078708432</v>
      </c>
      <c r="CD79" s="98">
        <v>0.29942686782658473</v>
      </c>
      <c r="CE79" s="98">
        <v>226.72602431828994</v>
      </c>
      <c r="CF79" s="98">
        <v>0.34205559053521178</v>
      </c>
      <c r="CG79" s="98">
        <v>259.00449315326233</v>
      </c>
      <c r="CH79" s="98">
        <v>0.28596762545704563</v>
      </c>
      <c r="CI79" s="98">
        <v>216.53468599607493</v>
      </c>
      <c r="CJ79" s="98">
        <v>0.35607899941042331</v>
      </c>
      <c r="CK79" s="98">
        <v>269.62301835357249</v>
      </c>
      <c r="CL79" s="98">
        <v>0.36995346699626264</v>
      </c>
      <c r="CM79" s="98">
        <v>280.12876520957002</v>
      </c>
      <c r="CN79" s="98">
        <v>0.34209270377085965</v>
      </c>
      <c r="CO79" s="98">
        <v>259.03259529529493</v>
      </c>
      <c r="CP79" s="98">
        <v>0.32791182903933336</v>
      </c>
      <c r="CQ79" s="98">
        <v>248.2948369485832</v>
      </c>
      <c r="CR79" s="98">
        <v>0.30438235505954769</v>
      </c>
      <c r="CS79" s="98">
        <v>230.47831925108949</v>
      </c>
      <c r="CT79" s="98">
        <v>0.32076678682238069</v>
      </c>
      <c r="CU79" s="98">
        <v>242.88461098190663</v>
      </c>
    </row>
    <row r="80" spans="2:99">
      <c r="C80" s="97" t="s">
        <v>247</v>
      </c>
      <c r="D80" s="98">
        <v>4</v>
      </c>
      <c r="E80" s="98">
        <v>3220.7999999999997</v>
      </c>
      <c r="F80" s="98">
        <v>3</v>
      </c>
      <c r="G80" s="98">
        <v>2415.6</v>
      </c>
      <c r="H80" s="98">
        <v>4</v>
      </c>
      <c r="I80" s="98">
        <v>3220.7999999999997</v>
      </c>
      <c r="J80" s="98">
        <v>0.79166627690125946</v>
      </c>
      <c r="K80" s="98">
        <v>637.44968616089409</v>
      </c>
      <c r="L80" s="98">
        <v>0.34357717244318192</v>
      </c>
      <c r="M80" s="98">
        <v>276.64833925125004</v>
      </c>
      <c r="N80" s="98">
        <v>0.23329314178240748</v>
      </c>
      <c r="O80" s="98">
        <v>187.84763776319448</v>
      </c>
      <c r="P80" s="98">
        <v>0.40902044338474036</v>
      </c>
      <c r="Q80" s="98">
        <v>329.34326101339292</v>
      </c>
      <c r="R80" s="98">
        <v>0.32580593938577596</v>
      </c>
      <c r="S80" s="98">
        <v>262.33894239342681</v>
      </c>
      <c r="T80" s="98">
        <v>0.32028380481991536</v>
      </c>
      <c r="U80" s="98">
        <v>257.89251964099583</v>
      </c>
      <c r="V80" s="98">
        <v>0.41440229132401329</v>
      </c>
      <c r="W80" s="98">
        <v>333.67672497409546</v>
      </c>
      <c r="X80" s="98">
        <v>0.33744186579241081</v>
      </c>
      <c r="Y80" s="98">
        <v>271.70819033604914</v>
      </c>
      <c r="Z80" s="98">
        <v>0.29272323256661098</v>
      </c>
      <c r="AA80" s="98">
        <v>235.70074686263513</v>
      </c>
      <c r="AB80" s="98">
        <v>0.36668383945894523</v>
      </c>
      <c r="AC80" s="98">
        <v>295.25382753234265</v>
      </c>
      <c r="AD80" s="98">
        <v>0.34387771166192727</v>
      </c>
      <c r="AE80" s="98">
        <v>276.89033343018383</v>
      </c>
      <c r="AF80" s="98">
        <v>0.39951356077346017</v>
      </c>
      <c r="AG80" s="98">
        <v>321.68831913479011</v>
      </c>
      <c r="AH80" s="98">
        <v>0.34519533951560633</v>
      </c>
      <c r="AI80" s="98">
        <v>277.9512873779662</v>
      </c>
      <c r="AJ80" s="98">
        <v>0.38109949928618148</v>
      </c>
      <c r="AK80" s="98">
        <v>306.8613168252333</v>
      </c>
      <c r="AL80" s="98">
        <v>0.33961352802633299</v>
      </c>
      <c r="AM80" s="98">
        <v>273.4568127668033</v>
      </c>
      <c r="AN80" s="98">
        <v>0.27908299407962284</v>
      </c>
      <c r="AO80" s="98">
        <v>224.71762683291229</v>
      </c>
      <c r="AP80" s="98">
        <v>0.3773155378281286</v>
      </c>
      <c r="AQ80" s="98">
        <v>303.8144710592091</v>
      </c>
      <c r="AR80" s="98">
        <v>0.29061048973826503</v>
      </c>
      <c r="AS80" s="98">
        <v>233.999566337251</v>
      </c>
      <c r="AT80" s="98">
        <v>0.30779361807104216</v>
      </c>
      <c r="AU80" s="98">
        <v>247.83542127080312</v>
      </c>
      <c r="AV80" s="98">
        <v>0.3381430362424197</v>
      </c>
      <c r="AW80" s="98">
        <v>272.27277278239632</v>
      </c>
      <c r="AX80" s="98">
        <v>0.33310000263692252</v>
      </c>
      <c r="AY80" s="98">
        <v>268.21212212324997</v>
      </c>
      <c r="AZ80" s="98">
        <v>0.32369172119942385</v>
      </c>
      <c r="BA80" s="98">
        <v>260.63657390977608</v>
      </c>
      <c r="BB80" s="98">
        <v>0.28979173412559472</v>
      </c>
      <c r="BC80" s="98">
        <v>233.34030431792885</v>
      </c>
      <c r="BD80" s="98">
        <v>0.32166030012619251</v>
      </c>
      <c r="BE80" s="98">
        <v>259.00087366161017</v>
      </c>
      <c r="BF80" s="98">
        <v>0.27760605673914068</v>
      </c>
      <c r="BG80" s="98">
        <v>223.52839688635606</v>
      </c>
      <c r="BH80" s="98">
        <v>0.31452580445896428</v>
      </c>
      <c r="BI80" s="98">
        <v>253.25617775035801</v>
      </c>
      <c r="BJ80" s="98">
        <v>0.27787114053411743</v>
      </c>
      <c r="BK80" s="98">
        <v>223.74184235807135</v>
      </c>
      <c r="BL80" s="98">
        <v>0.34287868746654038</v>
      </c>
      <c r="BM80" s="98">
        <v>276.08591914805828</v>
      </c>
      <c r="BN80" s="98">
        <v>0.322869384762277</v>
      </c>
      <c r="BO80" s="98">
        <v>259.97442861058539</v>
      </c>
      <c r="BP80" s="98">
        <v>0.35745403896634997</v>
      </c>
      <c r="BQ80" s="98">
        <v>287.82199217570496</v>
      </c>
      <c r="BR80" s="98">
        <v>0.33006346686282734</v>
      </c>
      <c r="BS80" s="98">
        <v>265.76710351794856</v>
      </c>
      <c r="BT80" s="98">
        <v>0.30508545182542218</v>
      </c>
      <c r="BU80" s="98">
        <v>245.65480580982992</v>
      </c>
      <c r="BV80" s="98">
        <v>0.35634319659020064</v>
      </c>
      <c r="BW80" s="98">
        <v>286.92754189442951</v>
      </c>
      <c r="BX80" s="98">
        <v>0.328847302440749</v>
      </c>
      <c r="BY80" s="98">
        <v>264.78784792529109</v>
      </c>
      <c r="BZ80" s="98">
        <v>0.3417083217498062</v>
      </c>
      <c r="CA80" s="98">
        <v>275.14354067294391</v>
      </c>
      <c r="CB80" s="98">
        <v>0.34822345442241637</v>
      </c>
      <c r="CC80" s="98">
        <v>280.38952550092961</v>
      </c>
      <c r="CD80" s="98">
        <v>0.29942686782658473</v>
      </c>
      <c r="CE80" s="98">
        <v>241.09851397396599</v>
      </c>
      <c r="CF80" s="98">
        <v>0.28038016409048461</v>
      </c>
      <c r="CG80" s="98">
        <v>225.76210812565819</v>
      </c>
      <c r="CH80" s="98">
        <v>0.28570492824232346</v>
      </c>
      <c r="CI80" s="98">
        <v>230.04960822071882</v>
      </c>
      <c r="CJ80" s="98">
        <v>0.29685935931292889</v>
      </c>
      <c r="CK80" s="98">
        <v>239.03115611877033</v>
      </c>
      <c r="CL80" s="98">
        <v>0.30322274536164634</v>
      </c>
      <c r="CM80" s="98">
        <v>244.15495456519761</v>
      </c>
      <c r="CN80" s="98">
        <v>0.3423196825315713</v>
      </c>
      <c r="CO80" s="98">
        <v>275.63580837442117</v>
      </c>
      <c r="CP80" s="98">
        <v>0.33322136239744671</v>
      </c>
      <c r="CQ80" s="98">
        <v>268.30984100242409</v>
      </c>
      <c r="CR80" s="98">
        <v>0.29275727684386266</v>
      </c>
      <c r="CS80" s="98">
        <v>235.72815931467818</v>
      </c>
      <c r="CT80" s="98">
        <v>0.32678639414942218</v>
      </c>
      <c r="CU80" s="98">
        <v>263.12840456911471</v>
      </c>
    </row>
    <row r="81" spans="2:99">
      <c r="C81" s="97" t="s">
        <v>248</v>
      </c>
      <c r="D81" s="98">
        <v>4</v>
      </c>
      <c r="E81" s="98">
        <v>3014.4</v>
      </c>
      <c r="F81" s="98">
        <v>4</v>
      </c>
      <c r="G81" s="98">
        <v>3014.4</v>
      </c>
      <c r="H81" s="98">
        <v>4</v>
      </c>
      <c r="I81" s="98">
        <v>3014.4</v>
      </c>
      <c r="J81" s="98">
        <v>0.79166627690125946</v>
      </c>
      <c r="K81" s="98">
        <v>596.59970627278915</v>
      </c>
      <c r="L81" s="98">
        <v>0.34357717244318192</v>
      </c>
      <c r="M81" s="98">
        <v>258.91975715318188</v>
      </c>
      <c r="N81" s="98">
        <v>0.34993971267361124</v>
      </c>
      <c r="O81" s="98">
        <v>263.71456747083346</v>
      </c>
      <c r="P81" s="98">
        <v>0.40902044338474036</v>
      </c>
      <c r="Q81" s="98">
        <v>308.23780613474037</v>
      </c>
      <c r="R81" s="98">
        <v>0.32580593938577596</v>
      </c>
      <c r="S81" s="98">
        <v>245.52735592112077</v>
      </c>
      <c r="T81" s="98">
        <v>0.32028380481991536</v>
      </c>
      <c r="U81" s="98">
        <v>241.36587531228824</v>
      </c>
      <c r="V81" s="98">
        <v>0.41440229132401329</v>
      </c>
      <c r="W81" s="98">
        <v>312.29356674177643</v>
      </c>
      <c r="X81" s="98">
        <v>0.33744186579241081</v>
      </c>
      <c r="Y81" s="98">
        <v>254.29619006116079</v>
      </c>
      <c r="Z81" s="98">
        <v>0.29624813977512188</v>
      </c>
      <c r="AA81" s="98">
        <v>223.25259813453187</v>
      </c>
      <c r="AB81" s="98">
        <v>0.36310649514359561</v>
      </c>
      <c r="AC81" s="98">
        <v>273.63705474021367</v>
      </c>
      <c r="AD81" s="98">
        <v>0.34387771166192727</v>
      </c>
      <c r="AE81" s="98">
        <v>259.14624350842837</v>
      </c>
      <c r="AF81" s="98">
        <v>0.39951356077346017</v>
      </c>
      <c r="AG81" s="98">
        <v>301.07341939887959</v>
      </c>
      <c r="AH81" s="98">
        <v>0.34519533951560633</v>
      </c>
      <c r="AI81" s="98">
        <v>260.13920785896096</v>
      </c>
      <c r="AJ81" s="98">
        <v>0.30753710683236035</v>
      </c>
      <c r="AK81" s="98">
        <v>231.75996370886676</v>
      </c>
      <c r="AL81" s="98">
        <v>0.33961352802633299</v>
      </c>
      <c r="AM81" s="98">
        <v>255.93275472064454</v>
      </c>
      <c r="AN81" s="98">
        <v>0.28609711211044186</v>
      </c>
      <c r="AO81" s="98">
        <v>215.60278368642901</v>
      </c>
      <c r="AP81" s="98">
        <v>0.30263990825803005</v>
      </c>
      <c r="AQ81" s="98">
        <v>228.06943486325144</v>
      </c>
      <c r="AR81" s="98">
        <v>0.28208009543060847</v>
      </c>
      <c r="AS81" s="98">
        <v>212.57555991650653</v>
      </c>
      <c r="AT81" s="98">
        <v>0.31554556056801547</v>
      </c>
      <c r="AU81" s="98">
        <v>237.79513444405646</v>
      </c>
      <c r="AV81" s="98">
        <v>0.3381430362424197</v>
      </c>
      <c r="AW81" s="98">
        <v>254.82459211228749</v>
      </c>
      <c r="AX81" s="98">
        <v>0.33310000263692252</v>
      </c>
      <c r="AY81" s="98">
        <v>251.02416198718481</v>
      </c>
      <c r="AZ81" s="98">
        <v>0.32360561617688199</v>
      </c>
      <c r="BA81" s="98">
        <v>243.86919235089829</v>
      </c>
      <c r="BB81" s="98">
        <v>0.29740439917686784</v>
      </c>
      <c r="BC81" s="98">
        <v>224.12395521968762</v>
      </c>
      <c r="BD81" s="98">
        <v>0.32717660626642719</v>
      </c>
      <c r="BE81" s="98">
        <v>246.56029048237954</v>
      </c>
      <c r="BF81" s="98">
        <v>0.3329671953454591</v>
      </c>
      <c r="BG81" s="98">
        <v>250.92407841233799</v>
      </c>
      <c r="BH81" s="98">
        <v>0.33629827789866334</v>
      </c>
      <c r="BI81" s="98">
        <v>253.43438222443271</v>
      </c>
      <c r="BJ81" s="98">
        <v>0.27787114053411743</v>
      </c>
      <c r="BK81" s="98">
        <v>209.40369150651091</v>
      </c>
      <c r="BL81" s="98">
        <v>0.34287868746654038</v>
      </c>
      <c r="BM81" s="98">
        <v>258.39337887478484</v>
      </c>
      <c r="BN81" s="98">
        <v>0.32255579866819384</v>
      </c>
      <c r="BO81" s="98">
        <v>243.07804987635089</v>
      </c>
      <c r="BP81" s="98">
        <v>0.35764166122877661</v>
      </c>
      <c r="BQ81" s="98">
        <v>269.51875590200603</v>
      </c>
      <c r="BR81" s="98">
        <v>0.32975576860978162</v>
      </c>
      <c r="BS81" s="98">
        <v>248.50394722433143</v>
      </c>
      <c r="BT81" s="98">
        <v>0.29791018169859779</v>
      </c>
      <c r="BU81" s="98">
        <v>224.50511292806331</v>
      </c>
      <c r="BV81" s="98">
        <v>0.29177678903201476</v>
      </c>
      <c r="BW81" s="98">
        <v>219.88298821452634</v>
      </c>
      <c r="BX81" s="98">
        <v>0.328847302440749</v>
      </c>
      <c r="BY81" s="98">
        <v>247.81932711934846</v>
      </c>
      <c r="BZ81" s="98">
        <v>0.3417083217498062</v>
      </c>
      <c r="CA81" s="98">
        <v>257.51139127065397</v>
      </c>
      <c r="CB81" s="98">
        <v>0.28559947075514808</v>
      </c>
      <c r="CC81" s="98">
        <v>215.2277611610796</v>
      </c>
      <c r="CD81" s="98">
        <v>0.29942686782658473</v>
      </c>
      <c r="CE81" s="98">
        <v>225.64808759411426</v>
      </c>
      <c r="CF81" s="98">
        <v>0.28000680045216519</v>
      </c>
      <c r="CG81" s="98">
        <v>211.0131248207517</v>
      </c>
      <c r="CH81" s="98">
        <v>0.27946728587845687</v>
      </c>
      <c r="CI81" s="98">
        <v>210.60654663800511</v>
      </c>
      <c r="CJ81" s="98">
        <v>0.2921300892431653</v>
      </c>
      <c r="CK81" s="98">
        <v>220.14923525364938</v>
      </c>
      <c r="CL81" s="98">
        <v>0.302980026017453</v>
      </c>
      <c r="CM81" s="98">
        <v>228.32574760675257</v>
      </c>
      <c r="CN81" s="98">
        <v>0.33757131010389968</v>
      </c>
      <c r="CO81" s="98">
        <v>254.3937392942988</v>
      </c>
      <c r="CP81" s="98">
        <v>0.32791182903933336</v>
      </c>
      <c r="CQ81" s="98">
        <v>247.11435436404162</v>
      </c>
      <c r="CR81" s="98">
        <v>0.30438235505954769</v>
      </c>
      <c r="CS81" s="98">
        <v>229.38254277287515</v>
      </c>
      <c r="CT81" s="98">
        <v>0.32099710103405082</v>
      </c>
      <c r="CU81" s="98">
        <v>241.9034153392607</v>
      </c>
    </row>
    <row r="82" spans="2:99">
      <c r="C82" s="97" t="s">
        <v>249</v>
      </c>
      <c r="D82" s="98">
        <v>3</v>
      </c>
      <c r="E82" s="98">
        <v>1526.3999999999996</v>
      </c>
      <c r="F82" s="98">
        <v>3</v>
      </c>
      <c r="G82" s="98">
        <v>1526.3999999999996</v>
      </c>
      <c r="H82" s="98">
        <v>5</v>
      </c>
      <c r="I82" s="98">
        <v>2543.9999999999995</v>
      </c>
      <c r="J82" s="98">
        <v>0.79166627690125946</v>
      </c>
      <c r="K82" s="98">
        <v>402.79980168736074</v>
      </c>
      <c r="L82" s="98">
        <v>0.34357717244318192</v>
      </c>
      <c r="M82" s="98">
        <v>174.81206533909094</v>
      </c>
      <c r="N82" s="98">
        <v>0.23329314178240748</v>
      </c>
      <c r="O82" s="98">
        <v>118.6995505388889</v>
      </c>
      <c r="P82" s="98">
        <v>0.32721635470779237</v>
      </c>
      <c r="Q82" s="98">
        <v>166.48768127532472</v>
      </c>
      <c r="R82" s="98">
        <v>0.32580593938577596</v>
      </c>
      <c r="S82" s="98">
        <v>165.77006195948277</v>
      </c>
      <c r="T82" s="98">
        <v>0.42704507309322048</v>
      </c>
      <c r="U82" s="98">
        <v>217.28053318983055</v>
      </c>
      <c r="V82" s="98">
        <v>0.33152183305921062</v>
      </c>
      <c r="W82" s="98">
        <v>168.67830866052634</v>
      </c>
      <c r="X82" s="98">
        <v>0.33744186579241081</v>
      </c>
      <c r="Y82" s="98">
        <v>171.69042131517858</v>
      </c>
      <c r="Z82" s="98">
        <v>0.38442279807462965</v>
      </c>
      <c r="AA82" s="98">
        <v>195.59431966037153</v>
      </c>
      <c r="AB82" s="98">
        <v>0.36668383945894523</v>
      </c>
      <c r="AC82" s="98">
        <v>186.56873751671128</v>
      </c>
      <c r="AD82" s="98">
        <v>0.33991719112684027</v>
      </c>
      <c r="AE82" s="98">
        <v>172.94986684533629</v>
      </c>
      <c r="AF82" s="98">
        <v>0.29026379945344899</v>
      </c>
      <c r="AG82" s="98">
        <v>147.68622116191483</v>
      </c>
      <c r="AH82" s="98">
        <v>0.34890593325661551</v>
      </c>
      <c r="AI82" s="98">
        <v>177.52333884096595</v>
      </c>
      <c r="AJ82" s="98">
        <v>0.31085899108662929</v>
      </c>
      <c r="AK82" s="98">
        <v>158.16505466487695</v>
      </c>
      <c r="AL82" s="98">
        <v>0.33961352802633299</v>
      </c>
      <c r="AM82" s="98">
        <v>172.79536305979818</v>
      </c>
      <c r="AN82" s="98">
        <v>0.36584059310081096</v>
      </c>
      <c r="AO82" s="98">
        <v>186.13969376969257</v>
      </c>
      <c r="AP82" s="98">
        <v>0.3773155378281286</v>
      </c>
      <c r="AQ82" s="98">
        <v>191.97814564695179</v>
      </c>
      <c r="AR82" s="98">
        <v>0.28208009543060847</v>
      </c>
      <c r="AS82" s="98">
        <v>143.52235255509356</v>
      </c>
      <c r="AT82" s="98">
        <v>0.31519400838045381</v>
      </c>
      <c r="AU82" s="98">
        <v>160.37071146397486</v>
      </c>
      <c r="AV82" s="98">
        <v>0.27831522798217723</v>
      </c>
      <c r="AW82" s="98">
        <v>141.60678799733174</v>
      </c>
      <c r="AX82" s="98">
        <v>0.33281244281853423</v>
      </c>
      <c r="AY82" s="98">
        <v>169.33497090607017</v>
      </c>
      <c r="AZ82" s="98">
        <v>0.32931200210298051</v>
      </c>
      <c r="BA82" s="98">
        <v>167.55394666999644</v>
      </c>
      <c r="BB82" s="98">
        <v>0.28979173412559472</v>
      </c>
      <c r="BC82" s="98">
        <v>147.44603432310257</v>
      </c>
      <c r="BD82" s="98">
        <v>0.32166030012619251</v>
      </c>
      <c r="BE82" s="98">
        <v>163.66076070420672</v>
      </c>
      <c r="BF82" s="98">
        <v>0.33766082256447294</v>
      </c>
      <c r="BG82" s="98">
        <v>171.80182652080379</v>
      </c>
      <c r="BH82" s="98">
        <v>0.33629827789866334</v>
      </c>
      <c r="BI82" s="98">
        <v>171.10856379483988</v>
      </c>
      <c r="BJ82" s="98">
        <v>0.28195178379443409</v>
      </c>
      <c r="BK82" s="98">
        <v>143.45706759460802</v>
      </c>
      <c r="BL82" s="98">
        <v>0.3486068979368081</v>
      </c>
      <c r="BM82" s="98">
        <v>177.37118967024793</v>
      </c>
      <c r="BN82" s="98">
        <v>0.3189494780858671</v>
      </c>
      <c r="BO82" s="98">
        <v>162.28149445008916</v>
      </c>
      <c r="BP82" s="98">
        <v>0.29818873193099821</v>
      </c>
      <c r="BQ82" s="98">
        <v>151.71842680649186</v>
      </c>
      <c r="BR82" s="98">
        <v>0.32975576860978162</v>
      </c>
      <c r="BS82" s="98">
        <v>167.77973506865686</v>
      </c>
      <c r="BT82" s="98">
        <v>0.29853009485469767</v>
      </c>
      <c r="BU82" s="98">
        <v>151.89211226207016</v>
      </c>
      <c r="BV82" s="98">
        <v>0.29692380254225981</v>
      </c>
      <c r="BW82" s="98">
        <v>151.07483073350176</v>
      </c>
      <c r="BX82" s="98">
        <v>0.32060405607432896</v>
      </c>
      <c r="BY82" s="98">
        <v>163.12334373061853</v>
      </c>
      <c r="BZ82" s="98">
        <v>0.3413306691616213</v>
      </c>
      <c r="CA82" s="98">
        <v>173.66904446943289</v>
      </c>
      <c r="CB82" s="98">
        <v>0.34840701466780788</v>
      </c>
      <c r="CC82" s="98">
        <v>177.26948906298063</v>
      </c>
      <c r="CD82" s="98">
        <v>0.29291003079211864</v>
      </c>
      <c r="CE82" s="98">
        <v>149.03262366702992</v>
      </c>
      <c r="CF82" s="98">
        <v>0.28000680045216519</v>
      </c>
      <c r="CG82" s="98">
        <v>142.46746007006163</v>
      </c>
      <c r="CH82" s="98">
        <v>0.28596762545704563</v>
      </c>
      <c r="CI82" s="98">
        <v>145.5003278325448</v>
      </c>
      <c r="CJ82" s="98">
        <v>0.36101011686054868</v>
      </c>
      <c r="CK82" s="98">
        <v>183.68194745864713</v>
      </c>
      <c r="CL82" s="98">
        <v>0.36971074765206929</v>
      </c>
      <c r="CM82" s="98">
        <v>188.10882840537283</v>
      </c>
      <c r="CN82" s="98">
        <v>0.3423196825315713</v>
      </c>
      <c r="CO82" s="98">
        <v>174.17225447206343</v>
      </c>
      <c r="CP82" s="98">
        <v>0.32815814481138683</v>
      </c>
      <c r="CQ82" s="98">
        <v>166.96686408003359</v>
      </c>
      <c r="CR82" s="98">
        <v>0.3047903369268713</v>
      </c>
      <c r="CS82" s="98">
        <v>155.07732342839208</v>
      </c>
      <c r="CT82" s="98">
        <v>0.3265560799377521</v>
      </c>
      <c r="CU82" s="98">
        <v>166.15173347232823</v>
      </c>
    </row>
    <row r="83" spans="2:99">
      <c r="C83" s="97" t="s">
        <v>250</v>
      </c>
      <c r="D83" s="98">
        <v>4</v>
      </c>
      <c r="E83" s="98">
        <v>3441.6</v>
      </c>
      <c r="F83" s="98">
        <v>4</v>
      </c>
      <c r="G83" s="98">
        <v>3441.6</v>
      </c>
      <c r="H83" s="98">
        <v>4</v>
      </c>
      <c r="I83" s="98">
        <v>3441.6</v>
      </c>
      <c r="J83" s="98">
        <v>0.79166627690125946</v>
      </c>
      <c r="K83" s="98">
        <v>681.14966464584359</v>
      </c>
      <c r="L83" s="98">
        <v>0.34357717244318192</v>
      </c>
      <c r="M83" s="98">
        <v>295.61379917011374</v>
      </c>
      <c r="N83" s="98">
        <v>0.34993971267361124</v>
      </c>
      <c r="O83" s="98">
        <v>301.0881287843751</v>
      </c>
      <c r="P83" s="98">
        <v>0.32721635470779237</v>
      </c>
      <c r="Q83" s="98">
        <v>281.53695159058452</v>
      </c>
      <c r="R83" s="98">
        <v>0.32580593938577596</v>
      </c>
      <c r="S83" s="98">
        <v>280.32343024752163</v>
      </c>
      <c r="T83" s="98">
        <v>0.32028380481991536</v>
      </c>
      <c r="U83" s="98">
        <v>275.57218566705518</v>
      </c>
      <c r="V83" s="98">
        <v>0.33152183305921062</v>
      </c>
      <c r="W83" s="98">
        <v>285.24138516414479</v>
      </c>
      <c r="X83" s="98">
        <v>0.33744186579241081</v>
      </c>
      <c r="Y83" s="98">
        <v>290.33498132779027</v>
      </c>
      <c r="Z83" s="98">
        <v>0.29272323256661098</v>
      </c>
      <c r="AA83" s="98">
        <v>251.85906930031209</v>
      </c>
      <c r="AB83" s="98">
        <v>0.36310649514359561</v>
      </c>
      <c r="AC83" s="98">
        <v>312.41682842154967</v>
      </c>
      <c r="AD83" s="98">
        <v>0.34783823219701426</v>
      </c>
      <c r="AE83" s="98">
        <v>299.28001498231106</v>
      </c>
      <c r="AF83" s="98">
        <v>0.28627689518603644</v>
      </c>
      <c r="AG83" s="98">
        <v>246.31264061806576</v>
      </c>
      <c r="AH83" s="98">
        <v>0.34890593325661551</v>
      </c>
      <c r="AI83" s="98">
        <v>300.19866497399198</v>
      </c>
      <c r="AJ83" s="98">
        <v>0.37777761503191254</v>
      </c>
      <c r="AK83" s="98">
        <v>325.03985997345757</v>
      </c>
      <c r="AL83" s="98">
        <v>0.33961352802633299</v>
      </c>
      <c r="AM83" s="98">
        <v>292.20347951385691</v>
      </c>
      <c r="AN83" s="98">
        <v>0.28581582028959357</v>
      </c>
      <c r="AO83" s="98">
        <v>245.91593177716629</v>
      </c>
      <c r="AP83" s="98">
        <v>0.37652805983260146</v>
      </c>
      <c r="AQ83" s="98">
        <v>323.9647426799703</v>
      </c>
      <c r="AR83" s="98">
        <v>0.29024010428437352</v>
      </c>
      <c r="AS83" s="98">
        <v>249.72258572627499</v>
      </c>
      <c r="AT83" s="98">
        <v>0.31554556056801547</v>
      </c>
      <c r="AU83" s="98">
        <v>271.49540031272051</v>
      </c>
      <c r="AV83" s="98">
        <v>0.33249311347376082</v>
      </c>
      <c r="AW83" s="98">
        <v>286.07707483282383</v>
      </c>
      <c r="AX83" s="98">
        <v>0.33310000263692252</v>
      </c>
      <c r="AY83" s="98">
        <v>286.59924226880815</v>
      </c>
      <c r="AZ83" s="98">
        <v>0.32360561617688199</v>
      </c>
      <c r="BA83" s="98">
        <v>278.43027215858928</v>
      </c>
      <c r="BB83" s="98">
        <v>0.28979173412559472</v>
      </c>
      <c r="BC83" s="98">
        <v>249.3368080416617</v>
      </c>
      <c r="BD83" s="98">
        <v>0.32717660626642719</v>
      </c>
      <c r="BE83" s="98">
        <v>281.50275203163397</v>
      </c>
      <c r="BF83" s="98">
        <v>0.27291242952012684</v>
      </c>
      <c r="BG83" s="98">
        <v>234.81385435911713</v>
      </c>
      <c r="BH83" s="98">
        <v>0.31622631360306491</v>
      </c>
      <c r="BI83" s="98">
        <v>272.08112022407704</v>
      </c>
      <c r="BJ83" s="98">
        <v>0.28195178379443409</v>
      </c>
      <c r="BK83" s="98">
        <v>242.59131477673108</v>
      </c>
      <c r="BL83" s="98">
        <v>0.34287868746654038</v>
      </c>
      <c r="BM83" s="98">
        <v>295.01282269621134</v>
      </c>
      <c r="BN83" s="98">
        <v>0.322869384762277</v>
      </c>
      <c r="BO83" s="98">
        <v>277.79681864946315</v>
      </c>
      <c r="BP83" s="98">
        <v>0.3578292834912033</v>
      </c>
      <c r="BQ83" s="98">
        <v>307.87631551583132</v>
      </c>
      <c r="BR83" s="98">
        <v>0.32990961773630445</v>
      </c>
      <c r="BS83" s="98">
        <v>283.85423510031632</v>
      </c>
      <c r="BT83" s="98">
        <v>0.29822013827664773</v>
      </c>
      <c r="BU83" s="98">
        <v>256.58860697322768</v>
      </c>
      <c r="BV83" s="98">
        <v>0.29672156579319819</v>
      </c>
      <c r="BW83" s="98">
        <v>255.29923520846771</v>
      </c>
      <c r="BX83" s="98">
        <v>0.328847302440749</v>
      </c>
      <c r="BY83" s="98">
        <v>282.94021902002044</v>
      </c>
      <c r="BZ83" s="98">
        <v>0.33365768513117422</v>
      </c>
      <c r="CA83" s="98">
        <v>287.0790722868623</v>
      </c>
      <c r="CB83" s="98">
        <v>0.34803989417702486</v>
      </c>
      <c r="CC83" s="98">
        <v>299.45352494991215</v>
      </c>
      <c r="CD83" s="98">
        <v>0.29972637228252513</v>
      </c>
      <c r="CE83" s="98">
        <v>257.88457071188463</v>
      </c>
      <c r="CF83" s="98">
        <v>0.28000680045216519</v>
      </c>
      <c r="CG83" s="98">
        <v>240.91785110904291</v>
      </c>
      <c r="CH83" s="98">
        <v>0.28649301988648984</v>
      </c>
      <c r="CI83" s="98">
        <v>246.49859431033585</v>
      </c>
      <c r="CJ83" s="98">
        <v>0.2921300892431653</v>
      </c>
      <c r="CK83" s="98">
        <v>251.34872878481943</v>
      </c>
      <c r="CL83" s="98">
        <v>0.30322274536164634</v>
      </c>
      <c r="CM83" s="98">
        <v>260.89285010916052</v>
      </c>
      <c r="CN83" s="98">
        <v>0.3373443313431882</v>
      </c>
      <c r="CO83" s="98">
        <v>290.25106268767911</v>
      </c>
      <c r="CP83" s="98">
        <v>0.32791182903933336</v>
      </c>
      <c r="CQ83" s="98">
        <v>282.1353377054424</v>
      </c>
      <c r="CR83" s="98">
        <v>0.29836582501804337</v>
      </c>
      <c r="CS83" s="98">
        <v>256.71395584552454</v>
      </c>
      <c r="CT83" s="98">
        <v>0.25000755097777061</v>
      </c>
      <c r="CU83" s="98">
        <v>215.10649686127383</v>
      </c>
    </row>
    <row r="84" spans="2:99">
      <c r="C84" s="97" t="s">
        <v>251</v>
      </c>
      <c r="D84" s="98">
        <v>4</v>
      </c>
      <c r="E84" s="98">
        <v>3124.7999999999997</v>
      </c>
      <c r="F84" s="98">
        <v>3</v>
      </c>
      <c r="G84" s="98">
        <v>2343.6</v>
      </c>
      <c r="H84" s="98">
        <v>5</v>
      </c>
      <c r="I84" s="98">
        <v>3905.9999999999995</v>
      </c>
      <c r="J84" s="98">
        <v>0.79166627690125946</v>
      </c>
      <c r="K84" s="98">
        <v>618.44969551526378</v>
      </c>
      <c r="L84" s="98">
        <v>0.34357717244318192</v>
      </c>
      <c r="M84" s="98">
        <v>268.4024871126137</v>
      </c>
      <c r="N84" s="98">
        <v>0.34993971267361124</v>
      </c>
      <c r="O84" s="98">
        <v>273.37290354062509</v>
      </c>
      <c r="P84" s="98">
        <v>0.32721635470779237</v>
      </c>
      <c r="Q84" s="98">
        <v>255.62141629772736</v>
      </c>
      <c r="R84" s="98">
        <v>0.32580593938577596</v>
      </c>
      <c r="S84" s="98">
        <v>254.51959984816816</v>
      </c>
      <c r="T84" s="98">
        <v>0.42704507309322048</v>
      </c>
      <c r="U84" s="98">
        <v>333.60761110042381</v>
      </c>
      <c r="V84" s="98">
        <v>0.33152183305921062</v>
      </c>
      <c r="W84" s="98">
        <v>258.98485598585529</v>
      </c>
      <c r="X84" s="98">
        <v>0.33744186579241081</v>
      </c>
      <c r="Y84" s="98">
        <v>263.60958555703132</v>
      </c>
      <c r="Z84" s="98">
        <v>0.38442279807462965</v>
      </c>
      <c r="AA84" s="98">
        <v>300.31108985590066</v>
      </c>
      <c r="AB84" s="98">
        <v>0.35952915082824588</v>
      </c>
      <c r="AC84" s="98">
        <v>280.86417262702565</v>
      </c>
      <c r="AD84" s="98">
        <v>0.34387771166192727</v>
      </c>
      <c r="AE84" s="98">
        <v>268.63726835029757</v>
      </c>
      <c r="AF84" s="98">
        <v>0.28627689518603644</v>
      </c>
      <c r="AG84" s="98">
        <v>223.63951051933165</v>
      </c>
      <c r="AH84" s="98">
        <v>0.34519533951560633</v>
      </c>
      <c r="AI84" s="98">
        <v>269.66659922959161</v>
      </c>
      <c r="AJ84" s="98">
        <v>0.30753710683236035</v>
      </c>
      <c r="AK84" s="98">
        <v>240.24798785743988</v>
      </c>
      <c r="AL84" s="98">
        <v>0.33961352802633299</v>
      </c>
      <c r="AM84" s="98">
        <v>265.30608809417129</v>
      </c>
      <c r="AN84" s="98">
        <v>0.36640317674250755</v>
      </c>
      <c r="AO84" s="98">
        <v>286.23416167124685</v>
      </c>
      <c r="AP84" s="98">
        <v>0.30342738625355725</v>
      </c>
      <c r="AQ84" s="98">
        <v>237.03747414127889</v>
      </c>
      <c r="AR84" s="98">
        <v>0.28208009543060847</v>
      </c>
      <c r="AS84" s="98">
        <v>220.36097055039133</v>
      </c>
      <c r="AT84" s="98">
        <v>0.31554556056801547</v>
      </c>
      <c r="AU84" s="98">
        <v>246.50419191573366</v>
      </c>
      <c r="AV84" s="98">
        <v>0.27777791657909784</v>
      </c>
      <c r="AW84" s="98">
        <v>217.0001084315912</v>
      </c>
      <c r="AX84" s="98">
        <v>0.33310000263692252</v>
      </c>
      <c r="AY84" s="98">
        <v>260.21772205996388</v>
      </c>
      <c r="AZ84" s="98">
        <v>0.32351951115434013</v>
      </c>
      <c r="BA84" s="98">
        <v>252.73344211377048</v>
      </c>
      <c r="BB84" s="98">
        <v>0.29016797799917943</v>
      </c>
      <c r="BC84" s="98">
        <v>226.67922441295894</v>
      </c>
      <c r="BD84" s="98">
        <v>0.3218852865697216</v>
      </c>
      <c r="BE84" s="98">
        <v>251.45678586826648</v>
      </c>
      <c r="BF84" s="98">
        <v>0.33749879825017365</v>
      </c>
      <c r="BG84" s="98">
        <v>263.65406119303566</v>
      </c>
      <c r="BH84" s="98">
        <v>0.31707656817511526</v>
      </c>
      <c r="BI84" s="98">
        <v>247.7002150584</v>
      </c>
      <c r="BJ84" s="98">
        <v>0.34784915549625306</v>
      </c>
      <c r="BK84" s="98">
        <v>271.73976027367286</v>
      </c>
      <c r="BL84" s="98">
        <v>0.34259257725463499</v>
      </c>
      <c r="BM84" s="98">
        <v>267.63332135132083</v>
      </c>
      <c r="BN84" s="98">
        <v>0.32678929143868696</v>
      </c>
      <c r="BO84" s="98">
        <v>255.28779447190223</v>
      </c>
      <c r="BP84" s="98">
        <v>0.36254799761548256</v>
      </c>
      <c r="BQ84" s="98">
        <v>283.22249573721496</v>
      </c>
      <c r="BR84" s="98">
        <v>0.32990961773630445</v>
      </c>
      <c r="BS84" s="98">
        <v>257.72539337560102</v>
      </c>
      <c r="BT84" s="98">
        <v>0.30539540840347207</v>
      </c>
      <c r="BU84" s="98">
        <v>238.57489304479236</v>
      </c>
      <c r="BV84" s="98">
        <v>0.35634319659020064</v>
      </c>
      <c r="BW84" s="98">
        <v>278.3753051762647</v>
      </c>
      <c r="BX84" s="98">
        <v>0.32060405607432896</v>
      </c>
      <c r="BY84" s="98">
        <v>250.45588860526576</v>
      </c>
      <c r="BZ84" s="98">
        <v>0.3413306691616213</v>
      </c>
      <c r="CA84" s="98">
        <v>266.64751874905852</v>
      </c>
      <c r="CB84" s="98">
        <v>0.2859665912459311</v>
      </c>
      <c r="CC84" s="98">
        <v>223.39710108132135</v>
      </c>
      <c r="CD84" s="98">
        <v>0.29942686782658473</v>
      </c>
      <c r="CE84" s="98">
        <v>233.91226914612798</v>
      </c>
      <c r="CF84" s="98">
        <v>0.34168222689689232</v>
      </c>
      <c r="CG84" s="98">
        <v>266.92215565185228</v>
      </c>
      <c r="CH84" s="98">
        <v>0.2789418914490126</v>
      </c>
      <c r="CI84" s="98">
        <v>217.90940559996864</v>
      </c>
      <c r="CJ84" s="98">
        <v>0.29665751193256717</v>
      </c>
      <c r="CK84" s="98">
        <v>231.74884832172145</v>
      </c>
      <c r="CL84" s="98">
        <v>0.30322274536164634</v>
      </c>
      <c r="CM84" s="98">
        <v>236.87760867651809</v>
      </c>
      <c r="CN84" s="98">
        <v>0.3373443313431882</v>
      </c>
      <c r="CO84" s="98">
        <v>263.53339164529859</v>
      </c>
      <c r="CP84" s="98">
        <v>0.32766551326727994</v>
      </c>
      <c r="CQ84" s="98">
        <v>255.97229896439907</v>
      </c>
      <c r="CR84" s="98">
        <v>0.29877380688536698</v>
      </c>
      <c r="CS84" s="98">
        <v>233.40209793884867</v>
      </c>
      <c r="CT84" s="98">
        <v>0.32678639414942218</v>
      </c>
      <c r="CU84" s="98">
        <v>255.28553110952859</v>
      </c>
    </row>
    <row r="85" spans="2:99">
      <c r="C85" s="97" t="s">
        <v>252</v>
      </c>
      <c r="D85" s="98">
        <v>4</v>
      </c>
      <c r="E85" s="98">
        <v>600</v>
      </c>
      <c r="F85" s="98">
        <v>4</v>
      </c>
      <c r="G85" s="98">
        <v>600</v>
      </c>
      <c r="H85" s="98">
        <v>4</v>
      </c>
      <c r="I85" s="98">
        <v>600</v>
      </c>
      <c r="J85" s="98">
        <v>0.79166627690125946</v>
      </c>
      <c r="K85" s="98">
        <v>118.74994153518892</v>
      </c>
      <c r="L85" s="98">
        <v>0.34357717244318192</v>
      </c>
      <c r="M85" s="98">
        <v>51.536575866477286</v>
      </c>
      <c r="N85" s="98">
        <v>0.34993971267361124</v>
      </c>
      <c r="O85" s="98">
        <v>52.490956901041685</v>
      </c>
      <c r="P85" s="98">
        <v>0.40902044338474036</v>
      </c>
      <c r="Q85" s="98">
        <v>61.353066507711056</v>
      </c>
      <c r="R85" s="98">
        <v>0.32580593938577596</v>
      </c>
      <c r="S85" s="98">
        <v>48.870890907866396</v>
      </c>
      <c r="T85" s="98">
        <v>0.32028380481991536</v>
      </c>
      <c r="U85" s="98">
        <v>48.042570722987307</v>
      </c>
      <c r="V85" s="98">
        <v>0.33152183305921062</v>
      </c>
      <c r="W85" s="98">
        <v>49.728274958881592</v>
      </c>
      <c r="X85" s="98">
        <v>0.33744186579241081</v>
      </c>
      <c r="Y85" s="98">
        <v>50.616279868861625</v>
      </c>
      <c r="Z85" s="98">
        <v>0.29624813977512188</v>
      </c>
      <c r="AA85" s="98">
        <v>44.437220966268285</v>
      </c>
      <c r="AB85" s="98">
        <v>0.36668383945894523</v>
      </c>
      <c r="AC85" s="98">
        <v>55.002575918841785</v>
      </c>
      <c r="AD85" s="98">
        <v>0.34783823219701426</v>
      </c>
      <c r="AE85" s="98">
        <v>52.175734829552141</v>
      </c>
      <c r="AF85" s="98">
        <v>0.39951356077346017</v>
      </c>
      <c r="AG85" s="98">
        <v>59.927034116019023</v>
      </c>
      <c r="AH85" s="98">
        <v>0.34519533951560633</v>
      </c>
      <c r="AI85" s="98">
        <v>51.779300927340948</v>
      </c>
      <c r="AJ85" s="98">
        <v>0.37777761503191254</v>
      </c>
      <c r="AK85" s="98">
        <v>56.666642254786879</v>
      </c>
      <c r="AL85" s="98">
        <v>0.3405898227448243</v>
      </c>
      <c r="AM85" s="98">
        <v>51.088473411723648</v>
      </c>
      <c r="AN85" s="98">
        <v>0.36584059310081096</v>
      </c>
      <c r="AO85" s="98">
        <v>54.876088965121646</v>
      </c>
      <c r="AP85" s="98">
        <v>0.37652805983260146</v>
      </c>
      <c r="AQ85" s="98">
        <v>56.47920897489022</v>
      </c>
      <c r="AR85" s="98">
        <v>0.37202871095862067</v>
      </c>
      <c r="AS85" s="98">
        <v>55.804306643793097</v>
      </c>
      <c r="AT85" s="98">
        <v>0.3074420658834805</v>
      </c>
      <c r="AU85" s="98">
        <v>46.116309882522074</v>
      </c>
      <c r="AV85" s="98">
        <v>0.3330304248768402</v>
      </c>
      <c r="AW85" s="98">
        <v>49.954563731526029</v>
      </c>
      <c r="AX85" s="98">
        <v>0.33310000263692252</v>
      </c>
      <c r="AY85" s="98">
        <v>49.965000395538375</v>
      </c>
      <c r="AZ85" s="98">
        <v>0.32939810712552231</v>
      </c>
      <c r="BA85" s="98">
        <v>49.409716068828345</v>
      </c>
      <c r="BB85" s="98">
        <v>0.37294871600150198</v>
      </c>
      <c r="BC85" s="98">
        <v>55.942307400225296</v>
      </c>
      <c r="BD85" s="98">
        <v>0.3218852865697216</v>
      </c>
      <c r="BE85" s="98">
        <v>48.282792985458237</v>
      </c>
      <c r="BF85" s="98">
        <v>0.33345326828835692</v>
      </c>
      <c r="BG85" s="98">
        <v>50.017990243253536</v>
      </c>
      <c r="BH85" s="98">
        <v>0.33611718477910096</v>
      </c>
      <c r="BI85" s="98">
        <v>50.417577716865146</v>
      </c>
      <c r="BJ85" s="98">
        <v>0.34417645702511462</v>
      </c>
      <c r="BK85" s="98">
        <v>51.626468553767197</v>
      </c>
      <c r="BL85" s="98">
        <v>0.34889300814871355</v>
      </c>
      <c r="BM85" s="98">
        <v>52.333951222307029</v>
      </c>
      <c r="BN85" s="98">
        <v>0.322869384762277</v>
      </c>
      <c r="BO85" s="98">
        <v>48.430407714341548</v>
      </c>
      <c r="BP85" s="98">
        <v>0.36254799761548256</v>
      </c>
      <c r="BQ85" s="98">
        <v>54.382199642322384</v>
      </c>
      <c r="BR85" s="98">
        <v>0.33006346686282734</v>
      </c>
      <c r="BS85" s="98">
        <v>49.509520029424102</v>
      </c>
      <c r="BT85" s="98">
        <v>0.30539540840347207</v>
      </c>
      <c r="BU85" s="98">
        <v>45.809311260520808</v>
      </c>
      <c r="BV85" s="98">
        <v>0.36128797335138407</v>
      </c>
      <c r="BW85" s="98">
        <v>54.193196002707609</v>
      </c>
      <c r="BX85" s="98">
        <v>0.32060405607432896</v>
      </c>
      <c r="BY85" s="98">
        <v>48.090608411149347</v>
      </c>
      <c r="BZ85" s="98">
        <v>0.3413306691616213</v>
      </c>
      <c r="CA85" s="98">
        <v>51.199600374243197</v>
      </c>
      <c r="CB85" s="98">
        <v>0.3441567428410921</v>
      </c>
      <c r="CC85" s="98">
        <v>51.623511426163816</v>
      </c>
      <c r="CD85" s="98">
        <v>0.38323119213918433</v>
      </c>
      <c r="CE85" s="98">
        <v>57.484678820877647</v>
      </c>
      <c r="CF85" s="98">
        <v>0.34735753055520818</v>
      </c>
      <c r="CG85" s="98">
        <v>52.103629583281226</v>
      </c>
      <c r="CH85" s="98">
        <v>0.35889947917835119</v>
      </c>
      <c r="CI85" s="98">
        <v>53.834921876752681</v>
      </c>
      <c r="CJ85" s="98">
        <v>0.36101011686054868</v>
      </c>
      <c r="CK85" s="98">
        <v>54.151517529082305</v>
      </c>
      <c r="CL85" s="98">
        <v>0.30322274536164634</v>
      </c>
      <c r="CM85" s="98">
        <v>45.483411804246948</v>
      </c>
      <c r="CN85" s="98">
        <v>0.3423196825315713</v>
      </c>
      <c r="CO85" s="98">
        <v>51.347952379735695</v>
      </c>
      <c r="CP85" s="98">
        <v>0.32791182903933336</v>
      </c>
      <c r="CQ85" s="98">
        <v>49.186774355900006</v>
      </c>
      <c r="CR85" s="98">
        <v>0.30438235505954769</v>
      </c>
      <c r="CS85" s="98">
        <v>45.657353258932154</v>
      </c>
      <c r="CT85" s="98">
        <v>0.32678639414942218</v>
      </c>
      <c r="CU85" s="98">
        <v>49.017959122413323</v>
      </c>
    </row>
    <row r="86" spans="2:99">
      <c r="C86" s="97" t="s">
        <v>253</v>
      </c>
      <c r="D86" s="98">
        <v>4</v>
      </c>
      <c r="E86" s="98">
        <v>2160</v>
      </c>
      <c r="F86" s="98">
        <v>3</v>
      </c>
      <c r="G86" s="98">
        <v>1620</v>
      </c>
      <c r="H86" s="98">
        <v>5</v>
      </c>
      <c r="I86" s="98">
        <v>2700</v>
      </c>
      <c r="J86" s="98">
        <v>0.79166627690125946</v>
      </c>
      <c r="K86" s="98">
        <v>427.4997895266801</v>
      </c>
      <c r="L86" s="98">
        <v>0.34357717244318192</v>
      </c>
      <c r="M86" s="98">
        <v>185.53167311931824</v>
      </c>
      <c r="N86" s="98">
        <v>0.23329314178240748</v>
      </c>
      <c r="O86" s="98">
        <v>125.97829656250003</v>
      </c>
      <c r="P86" s="98">
        <v>0.32721635470779237</v>
      </c>
      <c r="Q86" s="98">
        <v>176.69683154220789</v>
      </c>
      <c r="R86" s="98">
        <v>0.32580593938577596</v>
      </c>
      <c r="S86" s="98">
        <v>175.935207268319</v>
      </c>
      <c r="T86" s="98">
        <v>0.32028380481991536</v>
      </c>
      <c r="U86" s="98">
        <v>172.9532546027543</v>
      </c>
      <c r="V86" s="98">
        <v>0.41440229132401329</v>
      </c>
      <c r="W86" s="98">
        <v>223.77723731496718</v>
      </c>
      <c r="X86" s="98">
        <v>0.33744186579241081</v>
      </c>
      <c r="Y86" s="98">
        <v>182.21860752790184</v>
      </c>
      <c r="Z86" s="98">
        <v>0.29624813977512188</v>
      </c>
      <c r="AA86" s="98">
        <v>159.97399547856583</v>
      </c>
      <c r="AB86" s="98">
        <v>0.35952915082824588</v>
      </c>
      <c r="AC86" s="98">
        <v>194.14574144725279</v>
      </c>
      <c r="AD86" s="98">
        <v>0.35179875273210132</v>
      </c>
      <c r="AE86" s="98">
        <v>189.97132647533471</v>
      </c>
      <c r="AF86" s="98">
        <v>0.40350046504087272</v>
      </c>
      <c r="AG86" s="98">
        <v>217.89025112207128</v>
      </c>
      <c r="AH86" s="98">
        <v>0.35261652699762475</v>
      </c>
      <c r="AI86" s="98">
        <v>190.41292457871737</v>
      </c>
      <c r="AJ86" s="98">
        <v>0.38109949928618148</v>
      </c>
      <c r="AK86" s="98">
        <v>205.79372961453799</v>
      </c>
      <c r="AL86" s="98">
        <v>0.3405898227448243</v>
      </c>
      <c r="AM86" s="98">
        <v>183.91850428220513</v>
      </c>
      <c r="AN86" s="98">
        <v>0.27852041043792636</v>
      </c>
      <c r="AO86" s="98">
        <v>150.40102163648024</v>
      </c>
      <c r="AP86" s="98">
        <v>0.37652805983260146</v>
      </c>
      <c r="AQ86" s="98">
        <v>203.32515230960479</v>
      </c>
      <c r="AR86" s="98">
        <v>0.29024010428437352</v>
      </c>
      <c r="AS86" s="98">
        <v>156.72965631356169</v>
      </c>
      <c r="AT86" s="98">
        <v>0.31554556056801547</v>
      </c>
      <c r="AU86" s="98">
        <v>170.39460270672836</v>
      </c>
      <c r="AV86" s="98">
        <v>0.33276176917530048</v>
      </c>
      <c r="AW86" s="98">
        <v>179.69135535466225</v>
      </c>
      <c r="AX86" s="98">
        <v>0.33281244281853423</v>
      </c>
      <c r="AY86" s="98">
        <v>179.71871912200848</v>
      </c>
      <c r="AZ86" s="98">
        <v>0.32343340613179827</v>
      </c>
      <c r="BA86" s="98">
        <v>174.65403931117106</v>
      </c>
      <c r="BB86" s="98">
        <v>0.29016797799917943</v>
      </c>
      <c r="BC86" s="98">
        <v>156.69070811955689</v>
      </c>
      <c r="BD86" s="98">
        <v>0.32762657915348542</v>
      </c>
      <c r="BE86" s="98">
        <v>176.91835274288212</v>
      </c>
      <c r="BF86" s="98">
        <v>0.33329124397405763</v>
      </c>
      <c r="BG86" s="98">
        <v>179.97727174599112</v>
      </c>
      <c r="BH86" s="98">
        <v>0.33611718477910096</v>
      </c>
      <c r="BI86" s="98">
        <v>181.50327978071451</v>
      </c>
      <c r="BJ86" s="98">
        <v>0.28235972858361236</v>
      </c>
      <c r="BK86" s="98">
        <v>152.47425343515067</v>
      </c>
      <c r="BL86" s="98">
        <v>0.34259257725463499</v>
      </c>
      <c r="BM86" s="98">
        <v>184.99999171750289</v>
      </c>
      <c r="BN86" s="98">
        <v>0.32663249839164532</v>
      </c>
      <c r="BO86" s="98">
        <v>176.38154913148847</v>
      </c>
      <c r="BP86" s="98">
        <v>0.29328239554429231</v>
      </c>
      <c r="BQ86" s="98">
        <v>158.37249359391785</v>
      </c>
      <c r="BR86" s="98">
        <v>0.32960191948325884</v>
      </c>
      <c r="BS86" s="98">
        <v>177.98503652095977</v>
      </c>
      <c r="BT86" s="98">
        <v>0.30539540840347207</v>
      </c>
      <c r="BU86" s="98">
        <v>164.91352053787492</v>
      </c>
      <c r="BV86" s="98">
        <v>0.29157455228295315</v>
      </c>
      <c r="BW86" s="98">
        <v>157.45025823279471</v>
      </c>
      <c r="BX86" s="98">
        <v>0.3285696471127047</v>
      </c>
      <c r="BY86" s="98">
        <v>177.42760944086055</v>
      </c>
      <c r="BZ86" s="98">
        <v>0.25876596620224368</v>
      </c>
      <c r="CA86" s="98">
        <v>139.73362174921158</v>
      </c>
      <c r="CB86" s="98">
        <v>0.3441567428410921</v>
      </c>
      <c r="CC86" s="98">
        <v>185.84464113418974</v>
      </c>
      <c r="CD86" s="98">
        <v>0.29291003079211864</v>
      </c>
      <c r="CE86" s="98">
        <v>158.17141662774407</v>
      </c>
      <c r="CF86" s="98">
        <v>0.34205559053521178</v>
      </c>
      <c r="CG86" s="98">
        <v>184.71001888901435</v>
      </c>
      <c r="CH86" s="98">
        <v>0.28649301988648984</v>
      </c>
      <c r="CI86" s="98">
        <v>154.70623073870451</v>
      </c>
      <c r="CJ86" s="98">
        <v>0.35628084679078503</v>
      </c>
      <c r="CK86" s="98">
        <v>192.39165726702393</v>
      </c>
      <c r="CL86" s="98">
        <v>0.30346546470583957</v>
      </c>
      <c r="CM86" s="98">
        <v>163.87135094115337</v>
      </c>
      <c r="CN86" s="98">
        <v>0.3423196825315713</v>
      </c>
      <c r="CO86" s="98">
        <v>184.8526285670485</v>
      </c>
      <c r="CP86" s="98">
        <v>0.32791182903933336</v>
      </c>
      <c r="CQ86" s="98">
        <v>177.07238768124</v>
      </c>
      <c r="CR86" s="98">
        <v>0.3045863459932095</v>
      </c>
      <c r="CS86" s="98">
        <v>164.47662683633314</v>
      </c>
      <c r="CT86" s="98">
        <v>0.32099710103405082</v>
      </c>
      <c r="CU86" s="98">
        <v>173.33843455838743</v>
      </c>
    </row>
    <row r="87" spans="2:99">
      <c r="B87" s="97" t="s">
        <v>131</v>
      </c>
      <c r="C87" s="97" t="s">
        <v>254</v>
      </c>
      <c r="D87" s="98">
        <v>0.63967616773897062</v>
      </c>
      <c r="E87" s="98">
        <v>687.01220415165449</v>
      </c>
      <c r="F87" s="98">
        <v>0.5154436256272652</v>
      </c>
      <c r="G87" s="98">
        <v>553.58645392368283</v>
      </c>
      <c r="H87" s="98">
        <v>0.57363844510720829</v>
      </c>
      <c r="I87" s="98">
        <v>616.0876900451417</v>
      </c>
      <c r="J87" s="98">
        <v>0.48330976433607914</v>
      </c>
      <c r="K87" s="98">
        <v>519.07468689694895</v>
      </c>
      <c r="L87" s="98">
        <v>0.62539410240575732</v>
      </c>
      <c r="M87" s="98">
        <v>671.67326598378338</v>
      </c>
      <c r="N87" s="98">
        <v>0.45715509339570493</v>
      </c>
      <c r="O87" s="98">
        <v>490.98457030698711</v>
      </c>
      <c r="P87" s="98">
        <v>0.60583859844561294</v>
      </c>
      <c r="Q87" s="98">
        <v>650.67065473058835</v>
      </c>
      <c r="R87" s="98">
        <v>0.64867829785624964</v>
      </c>
      <c r="S87" s="98">
        <v>696.68049189761211</v>
      </c>
      <c r="T87" s="98">
        <v>0.5806139323055256</v>
      </c>
      <c r="U87" s="98">
        <v>623.57936329613449</v>
      </c>
      <c r="V87" s="98">
        <v>0.51911040343296078</v>
      </c>
      <c r="W87" s="98">
        <v>557.52457328699984</v>
      </c>
      <c r="X87" s="98">
        <v>0.50870480539999019</v>
      </c>
      <c r="Y87" s="98">
        <v>546.34896099958951</v>
      </c>
      <c r="Z87" s="98">
        <v>0.44101069692257111</v>
      </c>
      <c r="AA87" s="98">
        <v>473.64548849484135</v>
      </c>
      <c r="AB87" s="98">
        <v>0.62615151427930116</v>
      </c>
      <c r="AC87" s="98">
        <v>672.48672633596948</v>
      </c>
      <c r="AD87" s="98">
        <v>0.41329723973193749</v>
      </c>
      <c r="AE87" s="98">
        <v>443.88123547210085</v>
      </c>
      <c r="AF87" s="98">
        <v>0.72767612052868746</v>
      </c>
      <c r="AG87" s="98">
        <v>781.52415344781036</v>
      </c>
      <c r="AH87" s="98">
        <v>0.40094010631953581</v>
      </c>
      <c r="AI87" s="98">
        <v>430.60967418718144</v>
      </c>
      <c r="AJ87" s="98">
        <v>0.52148043496361574</v>
      </c>
      <c r="AK87" s="98">
        <v>560.06998715092334</v>
      </c>
      <c r="AL87" s="98">
        <v>0.51331409541265094</v>
      </c>
      <c r="AM87" s="98">
        <v>551.29933847318716</v>
      </c>
      <c r="AN87" s="98">
        <v>0.51549788356178772</v>
      </c>
      <c r="AO87" s="98">
        <v>553.64472694536005</v>
      </c>
      <c r="AP87" s="98">
        <v>0.66823935141146984</v>
      </c>
      <c r="AQ87" s="98">
        <v>717.68906341591855</v>
      </c>
      <c r="AR87" s="98">
        <v>0.59168117351563276</v>
      </c>
      <c r="AS87" s="98">
        <v>635.4655803557896</v>
      </c>
      <c r="AT87" s="98">
        <v>0.83945046797983947</v>
      </c>
      <c r="AU87" s="98">
        <v>901.56980261034755</v>
      </c>
      <c r="AV87" s="98">
        <v>0.711136314332801</v>
      </c>
      <c r="AW87" s="98">
        <v>763.76040159342824</v>
      </c>
      <c r="AX87" s="98">
        <v>0.48677439739349715</v>
      </c>
      <c r="AY87" s="98">
        <v>522.79570280061591</v>
      </c>
      <c r="AZ87" s="98">
        <v>0.91136620694401393</v>
      </c>
      <c r="BA87" s="98">
        <v>978.80730625787101</v>
      </c>
      <c r="BB87" s="98">
        <v>0.53713075605058547</v>
      </c>
      <c r="BC87" s="98">
        <v>576.87843199832878</v>
      </c>
      <c r="BD87" s="98">
        <v>0.65665091262420938</v>
      </c>
      <c r="BE87" s="98">
        <v>705.24308015840086</v>
      </c>
      <c r="BF87" s="98">
        <v>0.48424432678833351</v>
      </c>
      <c r="BG87" s="98">
        <v>520.07840697067024</v>
      </c>
      <c r="BH87" s="98">
        <v>0.56199772248862945</v>
      </c>
      <c r="BI87" s="98">
        <v>603.58555395278802</v>
      </c>
      <c r="BJ87" s="98">
        <v>0.64155409609142666</v>
      </c>
      <c r="BK87" s="98">
        <v>689.02909920219224</v>
      </c>
      <c r="BL87" s="98">
        <v>0.61879894665155499</v>
      </c>
      <c r="BM87" s="98">
        <v>664.59006870377004</v>
      </c>
      <c r="BN87" s="98">
        <v>0.5871562725080971</v>
      </c>
      <c r="BO87" s="98">
        <v>630.60583667369633</v>
      </c>
      <c r="BP87" s="98">
        <v>0.63284429564223899</v>
      </c>
      <c r="BQ87" s="98">
        <v>679.6747735197647</v>
      </c>
      <c r="BR87" s="98">
        <v>0.57616150459748483</v>
      </c>
      <c r="BS87" s="98">
        <v>618.79745593769871</v>
      </c>
      <c r="BT87" s="98">
        <v>0.8207495229636147</v>
      </c>
      <c r="BU87" s="98">
        <v>881.48498766292221</v>
      </c>
      <c r="BV87" s="98">
        <v>0.52586571973585017</v>
      </c>
      <c r="BW87" s="98">
        <v>564.77978299630308</v>
      </c>
      <c r="BX87" s="98">
        <v>0.42879304943362639</v>
      </c>
      <c r="BY87" s="98">
        <v>460.52373509171474</v>
      </c>
      <c r="BZ87" s="98">
        <v>0.83744417883220057</v>
      </c>
      <c r="CA87" s="98">
        <v>899.41504806578337</v>
      </c>
      <c r="CB87" s="98">
        <v>0.43018129366224217</v>
      </c>
      <c r="CC87" s="98">
        <v>462.0147093932481</v>
      </c>
      <c r="CD87" s="98">
        <v>0.51418694564316292</v>
      </c>
      <c r="CE87" s="98">
        <v>552.23677962075692</v>
      </c>
      <c r="CF87" s="98">
        <v>0.50520504453582371</v>
      </c>
      <c r="CG87" s="98">
        <v>542.59021783147466</v>
      </c>
      <c r="CH87" s="98">
        <v>0.72242624500232644</v>
      </c>
      <c r="CI87" s="98">
        <v>775.88578713249865</v>
      </c>
      <c r="CJ87" s="98">
        <v>0.67637945744983397</v>
      </c>
      <c r="CK87" s="98">
        <v>726.43153730112169</v>
      </c>
      <c r="CL87" s="98">
        <v>0.76282669972230555</v>
      </c>
      <c r="CM87" s="98">
        <v>819.2758755017561</v>
      </c>
      <c r="CN87" s="98">
        <v>0.73754065563954085</v>
      </c>
      <c r="CO87" s="98">
        <v>792.11866415686688</v>
      </c>
      <c r="CP87" s="98">
        <v>0.48859353130740124</v>
      </c>
      <c r="CQ87" s="98">
        <v>524.74945262414894</v>
      </c>
      <c r="CR87" s="98">
        <v>0.58824672724134508</v>
      </c>
      <c r="CS87" s="98">
        <v>631.77698505720457</v>
      </c>
      <c r="CT87" s="98">
        <v>0.89151770820029641</v>
      </c>
      <c r="CU87" s="98">
        <v>957.49001860711837</v>
      </c>
    </row>
    <row r="88" spans="2:99">
      <c r="C88" s="97" t="s">
        <v>255</v>
      </c>
      <c r="D88" s="98">
        <v>0.42645077849264701</v>
      </c>
      <c r="E88" s="98">
        <v>423.20975257610286</v>
      </c>
      <c r="F88" s="98">
        <v>0.5154436256272652</v>
      </c>
      <c r="G88" s="98">
        <v>511.52625407249798</v>
      </c>
      <c r="H88" s="98">
        <v>0.57304276322376901</v>
      </c>
      <c r="I88" s="98">
        <v>568.68763822326832</v>
      </c>
      <c r="J88" s="98">
        <v>0.49694508976574192</v>
      </c>
      <c r="K88" s="98">
        <v>493.16830708352228</v>
      </c>
      <c r="L88" s="98">
        <v>0.52605340248788801</v>
      </c>
      <c r="M88" s="98">
        <v>522.05539662898002</v>
      </c>
      <c r="N88" s="98">
        <v>0.45715509339570493</v>
      </c>
      <c r="O88" s="98">
        <v>453.68071468589756</v>
      </c>
      <c r="P88" s="98">
        <v>0.62409381160393473</v>
      </c>
      <c r="Q88" s="98">
        <v>619.35069863574483</v>
      </c>
      <c r="R88" s="98">
        <v>0.64847739492431089</v>
      </c>
      <c r="S88" s="98">
        <v>643.54896672288612</v>
      </c>
      <c r="T88" s="98">
        <v>0.5806139323055256</v>
      </c>
      <c r="U88" s="98">
        <v>576.20126642000355</v>
      </c>
      <c r="V88" s="98">
        <v>0.6485352487422219</v>
      </c>
      <c r="W88" s="98">
        <v>643.60638085178095</v>
      </c>
      <c r="X88" s="98">
        <v>0.50870480539999019</v>
      </c>
      <c r="Y88" s="98">
        <v>504.83864887895027</v>
      </c>
      <c r="Z88" s="98">
        <v>0.44139570166949171</v>
      </c>
      <c r="AA88" s="98">
        <v>438.04109433680355</v>
      </c>
      <c r="AB88" s="98">
        <v>0.62615151427930116</v>
      </c>
      <c r="AC88" s="98">
        <v>621.3927627707784</v>
      </c>
      <c r="AD88" s="98">
        <v>0.42235753065613857</v>
      </c>
      <c r="AE88" s="98">
        <v>419.14761342315188</v>
      </c>
      <c r="AF88" s="98">
        <v>0.72767612052868746</v>
      </c>
      <c r="AG88" s="98">
        <v>722.14578201266943</v>
      </c>
      <c r="AH88" s="98">
        <v>0.50454396187143824</v>
      </c>
      <c r="AI88" s="98">
        <v>500.7094277612153</v>
      </c>
      <c r="AJ88" s="98">
        <v>0.66442960837715193</v>
      </c>
      <c r="AK88" s="98">
        <v>659.3799433534856</v>
      </c>
      <c r="AL88" s="98">
        <v>0.51072657464900406</v>
      </c>
      <c r="AM88" s="98">
        <v>506.84505268167163</v>
      </c>
      <c r="AN88" s="98">
        <v>0.51442217795981404</v>
      </c>
      <c r="AO88" s="98">
        <v>510.51256940731946</v>
      </c>
      <c r="AP88" s="98">
        <v>0.66823935141146984</v>
      </c>
      <c r="AQ88" s="98">
        <v>663.1607323407427</v>
      </c>
      <c r="AR88" s="98">
        <v>0.45394788380109069</v>
      </c>
      <c r="AS88" s="98">
        <v>450.4978798842024</v>
      </c>
      <c r="AT88" s="98">
        <v>0.69160207624997272</v>
      </c>
      <c r="AU88" s="98">
        <v>686.34590047047288</v>
      </c>
      <c r="AV88" s="98">
        <v>0.72212999634958264</v>
      </c>
      <c r="AW88" s="98">
        <v>716.64180837732579</v>
      </c>
      <c r="AX88" s="98">
        <v>0.60420935565755685</v>
      </c>
      <c r="AY88" s="98">
        <v>599.61736455455934</v>
      </c>
      <c r="AZ88" s="98">
        <v>0.7701342244090551</v>
      </c>
      <c r="BA88" s="98">
        <v>764.28120430354625</v>
      </c>
      <c r="BB88" s="98">
        <v>0.63295365450044316</v>
      </c>
      <c r="BC88" s="98">
        <v>628.14320672623978</v>
      </c>
      <c r="BD88" s="98">
        <v>0.78038418814102728</v>
      </c>
      <c r="BE88" s="98">
        <v>774.4532683111554</v>
      </c>
      <c r="BF88" s="98">
        <v>0.48354574901953634</v>
      </c>
      <c r="BG88" s="98">
        <v>479.87080132698787</v>
      </c>
      <c r="BH88" s="98">
        <v>0.56199772248862945</v>
      </c>
      <c r="BI88" s="98">
        <v>557.72653979771587</v>
      </c>
      <c r="BJ88" s="98">
        <v>0.63028987943663217</v>
      </c>
      <c r="BK88" s="98">
        <v>625.49967635291375</v>
      </c>
      <c r="BL88" s="98">
        <v>0.62070721795212846</v>
      </c>
      <c r="BM88" s="98">
        <v>615.98984309569232</v>
      </c>
      <c r="BN88" s="98">
        <v>0.71332433557323571</v>
      </c>
      <c r="BO88" s="98">
        <v>707.90307062287911</v>
      </c>
      <c r="BP88" s="98">
        <v>0.76902629182956284</v>
      </c>
      <c r="BQ88" s="98">
        <v>763.18169201165813</v>
      </c>
      <c r="BR88" s="98">
        <v>0.67613344487879601</v>
      </c>
      <c r="BS88" s="98">
        <v>670.99483069771713</v>
      </c>
      <c r="BT88" s="98">
        <v>0.82044890915029312</v>
      </c>
      <c r="BU88" s="98">
        <v>814.21349744075087</v>
      </c>
      <c r="BV88" s="98">
        <v>0.56776977158078967</v>
      </c>
      <c r="BW88" s="98">
        <v>563.4547213167757</v>
      </c>
      <c r="BX88" s="98">
        <v>0.53994021876144682</v>
      </c>
      <c r="BY88" s="98">
        <v>535.83667309885982</v>
      </c>
      <c r="BZ88" s="98">
        <v>0.67253849726753034</v>
      </c>
      <c r="CA88" s="98">
        <v>667.42720468829714</v>
      </c>
      <c r="CB88" s="98">
        <v>0.43018129366224217</v>
      </c>
      <c r="CC88" s="98">
        <v>426.9119158304091</v>
      </c>
      <c r="CD88" s="98">
        <v>0.51418694564316292</v>
      </c>
      <c r="CE88" s="98">
        <v>510.27912485627485</v>
      </c>
      <c r="CF88" s="98">
        <v>0.62597636378041388</v>
      </c>
      <c r="CG88" s="98">
        <v>621.2189434156827</v>
      </c>
      <c r="CH88" s="98">
        <v>0.72201716365496638</v>
      </c>
      <c r="CI88" s="98">
        <v>716.52983321118859</v>
      </c>
      <c r="CJ88" s="98">
        <v>0.6681916781616607</v>
      </c>
      <c r="CK88" s="98">
        <v>663.11342140763202</v>
      </c>
      <c r="CL88" s="98">
        <v>0.76318402328617296</v>
      </c>
      <c r="CM88" s="98">
        <v>757.38382470919805</v>
      </c>
      <c r="CN88" s="98">
        <v>0.68201701067528087</v>
      </c>
      <c r="CO88" s="98">
        <v>676.8336813941487</v>
      </c>
      <c r="CP88" s="98">
        <v>0.48892025477625439</v>
      </c>
      <c r="CQ88" s="98">
        <v>485.20446083995483</v>
      </c>
      <c r="CR88" s="98">
        <v>0.59075236848662493</v>
      </c>
      <c r="CS88" s="98">
        <v>586.26265048612652</v>
      </c>
      <c r="CT88" s="98">
        <v>0.89137484467107031</v>
      </c>
      <c r="CU88" s="98">
        <v>884.60039585157017</v>
      </c>
    </row>
    <row r="89" spans="2:99">
      <c r="C89" s="97" t="s">
        <v>256</v>
      </c>
      <c r="D89" s="98">
        <v>0.63967616773897062</v>
      </c>
      <c r="E89" s="98">
        <v>679.33609013878686</v>
      </c>
      <c r="F89" s="98">
        <v>0.50248897612087051</v>
      </c>
      <c r="G89" s="98">
        <v>533.64329264036451</v>
      </c>
      <c r="H89" s="98">
        <v>0.560074705513116</v>
      </c>
      <c r="I89" s="98">
        <v>594.79933725492924</v>
      </c>
      <c r="J89" s="98">
        <v>0.48373855136033955</v>
      </c>
      <c r="K89" s="98">
        <v>513.73034154468064</v>
      </c>
      <c r="L89" s="98">
        <v>0.63549149999594645</v>
      </c>
      <c r="M89" s="98">
        <v>674.89197299569514</v>
      </c>
      <c r="N89" s="98">
        <v>0.44555606238320844</v>
      </c>
      <c r="O89" s="98">
        <v>473.18053825096734</v>
      </c>
      <c r="P89" s="98">
        <v>0.62409381160393473</v>
      </c>
      <c r="Q89" s="98">
        <v>662.78762792337864</v>
      </c>
      <c r="R89" s="98">
        <v>0.61268356336582575</v>
      </c>
      <c r="S89" s="98">
        <v>650.66994429450699</v>
      </c>
      <c r="T89" s="98">
        <v>0.44329591709183064</v>
      </c>
      <c r="U89" s="98">
        <v>470.78026395152415</v>
      </c>
      <c r="V89" s="98">
        <v>0.64771074292027297</v>
      </c>
      <c r="W89" s="98">
        <v>687.86880898132995</v>
      </c>
      <c r="X89" s="98">
        <v>0.50870480539999019</v>
      </c>
      <c r="Y89" s="98">
        <v>540.24450333478956</v>
      </c>
      <c r="Z89" s="98">
        <v>0.44101069692257111</v>
      </c>
      <c r="AA89" s="98">
        <v>468.3533601317705</v>
      </c>
      <c r="AB89" s="98">
        <v>0.62849918804603844</v>
      </c>
      <c r="AC89" s="98">
        <v>667.46613770489284</v>
      </c>
      <c r="AD89" s="98">
        <v>0.42235753065613857</v>
      </c>
      <c r="AE89" s="98">
        <v>448.54369755681915</v>
      </c>
      <c r="AF89" s="98">
        <v>0.72796690049373336</v>
      </c>
      <c r="AG89" s="98">
        <v>773.10084832434484</v>
      </c>
      <c r="AH89" s="98">
        <v>0.50454396187143824</v>
      </c>
      <c r="AI89" s="98">
        <v>535.82568750746736</v>
      </c>
      <c r="AJ89" s="98">
        <v>0.52175566484214608</v>
      </c>
      <c r="AK89" s="98">
        <v>554.10451606235915</v>
      </c>
      <c r="AL89" s="98">
        <v>0.51072657464900406</v>
      </c>
      <c r="AM89" s="98">
        <v>542.39162227724228</v>
      </c>
      <c r="AN89" s="98">
        <v>0.51442217795981404</v>
      </c>
      <c r="AO89" s="98">
        <v>546.31635299332254</v>
      </c>
      <c r="AP89" s="98">
        <v>0.8325077740630954</v>
      </c>
      <c r="AQ89" s="98">
        <v>884.12325605500735</v>
      </c>
      <c r="AR89" s="98">
        <v>0.45426425386351177</v>
      </c>
      <c r="AS89" s="98">
        <v>482.42863760304948</v>
      </c>
      <c r="AT89" s="98">
        <v>0.67856174310802075</v>
      </c>
      <c r="AU89" s="98">
        <v>720.63257118071806</v>
      </c>
      <c r="AV89" s="98">
        <v>0.592828930876375</v>
      </c>
      <c r="AW89" s="98">
        <v>629.58432459071025</v>
      </c>
      <c r="AX89" s="98">
        <v>0.49726659132745349</v>
      </c>
      <c r="AY89" s="98">
        <v>528.09711998975558</v>
      </c>
      <c r="AZ89" s="98">
        <v>0.91136620694401393</v>
      </c>
      <c r="BA89" s="98">
        <v>967.87091177454283</v>
      </c>
      <c r="BB89" s="98">
        <v>0.63295365450044316</v>
      </c>
      <c r="BC89" s="98">
        <v>672.19678107947061</v>
      </c>
      <c r="BD89" s="98">
        <v>0.65411861028820129</v>
      </c>
      <c r="BE89" s="98">
        <v>694.67396412606979</v>
      </c>
      <c r="BF89" s="98">
        <v>0.5873227940858412</v>
      </c>
      <c r="BG89" s="98">
        <v>623.7368073191634</v>
      </c>
      <c r="BH89" s="98">
        <v>0.56232823584597469</v>
      </c>
      <c r="BI89" s="98">
        <v>597.19258646842513</v>
      </c>
      <c r="BJ89" s="98">
        <v>0.63091811630069061</v>
      </c>
      <c r="BK89" s="98">
        <v>670.03503951133348</v>
      </c>
      <c r="BL89" s="98">
        <v>0.61689067535098163</v>
      </c>
      <c r="BM89" s="98">
        <v>655.13789722274248</v>
      </c>
      <c r="BN89" s="98">
        <v>0.71332433557323571</v>
      </c>
      <c r="BO89" s="98">
        <v>757.55044437877632</v>
      </c>
      <c r="BP89" s="98">
        <v>0.63240904320929592</v>
      </c>
      <c r="BQ89" s="98">
        <v>671.61840388827227</v>
      </c>
      <c r="BR89" s="98">
        <v>0.66848118303076276</v>
      </c>
      <c r="BS89" s="98">
        <v>709.92701637867003</v>
      </c>
      <c r="BT89" s="98">
        <v>0.82044890915029312</v>
      </c>
      <c r="BU89" s="98">
        <v>871.31674151761126</v>
      </c>
      <c r="BV89" s="98">
        <v>0.52586571973585017</v>
      </c>
      <c r="BW89" s="98">
        <v>558.46939435947286</v>
      </c>
      <c r="BX89" s="98">
        <v>0.54026862399171671</v>
      </c>
      <c r="BY89" s="98">
        <v>573.76527867920311</v>
      </c>
      <c r="BZ89" s="98">
        <v>0.83744417883220057</v>
      </c>
      <c r="CA89" s="98">
        <v>889.36571791979702</v>
      </c>
      <c r="CB89" s="98">
        <v>0.43912794589993015</v>
      </c>
      <c r="CC89" s="98">
        <v>466.35387854572582</v>
      </c>
      <c r="CD89" s="98">
        <v>0.51418694564316292</v>
      </c>
      <c r="CE89" s="98">
        <v>546.06653627303899</v>
      </c>
      <c r="CF89" s="98">
        <v>0.62281639698649061</v>
      </c>
      <c r="CG89" s="98">
        <v>661.43101359965306</v>
      </c>
      <c r="CH89" s="98">
        <v>0.59340620060940474</v>
      </c>
      <c r="CI89" s="98">
        <v>630.19738504718782</v>
      </c>
      <c r="CJ89" s="98">
        <v>0.67637945744983397</v>
      </c>
      <c r="CK89" s="98">
        <v>718.31498381172366</v>
      </c>
      <c r="CL89" s="98">
        <v>0.76246937615843802</v>
      </c>
      <c r="CM89" s="98">
        <v>809.74247748026119</v>
      </c>
      <c r="CN89" s="98">
        <v>0.57222725145355968</v>
      </c>
      <c r="CO89" s="98">
        <v>607.70534104368039</v>
      </c>
      <c r="CP89" s="98">
        <v>0.47881716657218265</v>
      </c>
      <c r="CQ89" s="98">
        <v>508.503830899658</v>
      </c>
      <c r="CR89" s="98">
        <v>0.58824672724134508</v>
      </c>
      <c r="CS89" s="98">
        <v>624.71802433030848</v>
      </c>
      <c r="CT89" s="98">
        <v>0.75683293049316347</v>
      </c>
      <c r="CU89" s="98">
        <v>803.75657218373965</v>
      </c>
    </row>
    <row r="90" spans="2:99">
      <c r="C90" s="97" t="s">
        <v>257</v>
      </c>
      <c r="D90" s="98">
        <v>0.63967616773897062</v>
      </c>
      <c r="E90" s="98">
        <v>709.27293478897059</v>
      </c>
      <c r="F90" s="98">
        <v>0.50304589547330103</v>
      </c>
      <c r="G90" s="98">
        <v>557.77728890079618</v>
      </c>
      <c r="H90" s="98">
        <v>0.57363844510720829</v>
      </c>
      <c r="I90" s="98">
        <v>636.05030793487254</v>
      </c>
      <c r="J90" s="98">
        <v>0.49694508976574192</v>
      </c>
      <c r="K90" s="98">
        <v>551.01271553225467</v>
      </c>
      <c r="L90" s="98">
        <v>0.51595600489769888</v>
      </c>
      <c r="M90" s="98">
        <v>572.09201823056844</v>
      </c>
      <c r="N90" s="98">
        <v>0.44555606238320844</v>
      </c>
      <c r="O90" s="98">
        <v>494.03256197050149</v>
      </c>
      <c r="P90" s="98">
        <v>0.60583859844561294</v>
      </c>
      <c r="Q90" s="98">
        <v>671.75383795649566</v>
      </c>
      <c r="R90" s="98">
        <v>0.64867829785624964</v>
      </c>
      <c r="S90" s="98">
        <v>719.2544966630096</v>
      </c>
      <c r="T90" s="98">
        <v>0.44329591709183064</v>
      </c>
      <c r="U90" s="98">
        <v>491.5265128714218</v>
      </c>
      <c r="V90" s="98">
        <v>0.50480211421626031</v>
      </c>
      <c r="W90" s="98">
        <v>559.72458424298941</v>
      </c>
      <c r="X90" s="98">
        <v>0.49819494624181748</v>
      </c>
      <c r="Y90" s="98">
        <v>552.39855639292716</v>
      </c>
      <c r="Z90" s="98">
        <v>0.42964803294318715</v>
      </c>
      <c r="AA90" s="98">
        <v>476.39373892740588</v>
      </c>
      <c r="AB90" s="98">
        <v>0.62849918804603844</v>
      </c>
      <c r="AC90" s="98">
        <v>696.87989970544743</v>
      </c>
      <c r="AD90" s="98">
        <v>0.29768666008427963</v>
      </c>
      <c r="AE90" s="98">
        <v>330.07496870144922</v>
      </c>
      <c r="AF90" s="98">
        <v>0.59697113014303282</v>
      </c>
      <c r="AG90" s="98">
        <v>661.92158910259479</v>
      </c>
      <c r="AH90" s="98">
        <v>0.50377632366111258</v>
      </c>
      <c r="AI90" s="98">
        <v>558.58718767544156</v>
      </c>
      <c r="AJ90" s="98">
        <v>0.67719105926010115</v>
      </c>
      <c r="AK90" s="98">
        <v>750.86944650760017</v>
      </c>
      <c r="AL90" s="98">
        <v>0.51072657464900406</v>
      </c>
      <c r="AM90" s="98">
        <v>566.2936259708157</v>
      </c>
      <c r="AN90" s="98">
        <v>0.51549788356178772</v>
      </c>
      <c r="AO90" s="98">
        <v>571.58405329331015</v>
      </c>
      <c r="AP90" s="98">
        <v>0.67047248357246347</v>
      </c>
      <c r="AQ90" s="98">
        <v>743.41988978514746</v>
      </c>
      <c r="AR90" s="98">
        <v>0.59104843339079072</v>
      </c>
      <c r="AS90" s="98">
        <v>655.35450294370867</v>
      </c>
      <c r="AT90" s="98">
        <v>0.69160207624997272</v>
      </c>
      <c r="AU90" s="98">
        <v>766.84838214596971</v>
      </c>
      <c r="AV90" s="98">
        <v>0.72212999634958264</v>
      </c>
      <c r="AW90" s="98">
        <v>800.69773995241724</v>
      </c>
      <c r="AX90" s="98">
        <v>0.48636549924329076</v>
      </c>
      <c r="AY90" s="98">
        <v>539.28206556096075</v>
      </c>
      <c r="AZ90" s="98">
        <v>0.78492611616397334</v>
      </c>
      <c r="BA90" s="98">
        <v>870.32607760261362</v>
      </c>
      <c r="BB90" s="98">
        <v>0.62554266150709104</v>
      </c>
      <c r="BC90" s="98">
        <v>693.60170307906253</v>
      </c>
      <c r="BD90" s="98">
        <v>0.78544879281304336</v>
      </c>
      <c r="BE90" s="98">
        <v>870.90562147110245</v>
      </c>
      <c r="BF90" s="98">
        <v>0.48424432678833351</v>
      </c>
      <c r="BG90" s="98">
        <v>536.93010954290412</v>
      </c>
      <c r="BH90" s="98">
        <v>0.56199772248862945</v>
      </c>
      <c r="BI90" s="98">
        <v>623.14307469539233</v>
      </c>
      <c r="BJ90" s="98">
        <v>0.63028987943663217</v>
      </c>
      <c r="BK90" s="98">
        <v>698.86541831933778</v>
      </c>
      <c r="BL90" s="98">
        <v>0.61689067535098163</v>
      </c>
      <c r="BM90" s="98">
        <v>684.00838082916846</v>
      </c>
      <c r="BN90" s="98">
        <v>0.5871562725080971</v>
      </c>
      <c r="BO90" s="98">
        <v>651.03887495697802</v>
      </c>
      <c r="BP90" s="98">
        <v>0.63197379077635285</v>
      </c>
      <c r="BQ90" s="98">
        <v>700.73253921282003</v>
      </c>
      <c r="BR90" s="98">
        <v>0.57594068930807962</v>
      </c>
      <c r="BS90" s="98">
        <v>638.60303630479871</v>
      </c>
      <c r="BT90" s="98">
        <v>0.68742281250912618</v>
      </c>
      <c r="BU90" s="98">
        <v>762.21441451011913</v>
      </c>
      <c r="BV90" s="98">
        <v>0.52586571973585017</v>
      </c>
      <c r="BW90" s="98">
        <v>583.07991004311066</v>
      </c>
      <c r="BX90" s="98">
        <v>0.43894979150995167</v>
      </c>
      <c r="BY90" s="98">
        <v>486.70752882623441</v>
      </c>
      <c r="BZ90" s="98">
        <v>0.83744417883220057</v>
      </c>
      <c r="CA90" s="98">
        <v>928.55810548914394</v>
      </c>
      <c r="CB90" s="98">
        <v>0.43912794589993015</v>
      </c>
      <c r="CC90" s="98">
        <v>486.90506641384252</v>
      </c>
      <c r="CD90" s="98">
        <v>0.62851460847503282</v>
      </c>
      <c r="CE90" s="98">
        <v>696.89699787711641</v>
      </c>
      <c r="CF90" s="98">
        <v>0.62281639698649061</v>
      </c>
      <c r="CG90" s="98">
        <v>690.5788209786208</v>
      </c>
      <c r="CH90" s="98">
        <v>0.72201716365496638</v>
      </c>
      <c r="CI90" s="98">
        <v>800.57263106062669</v>
      </c>
      <c r="CJ90" s="98">
        <v>0.66794012159047766</v>
      </c>
      <c r="CK90" s="98">
        <v>740.61200681952164</v>
      </c>
      <c r="CL90" s="98">
        <v>0.75364085638756295</v>
      </c>
      <c r="CM90" s="98">
        <v>835.63698156252974</v>
      </c>
      <c r="CN90" s="98">
        <v>0.68201701067528087</v>
      </c>
      <c r="CO90" s="98">
        <v>756.22046143675141</v>
      </c>
      <c r="CP90" s="98">
        <v>0.48859353130740124</v>
      </c>
      <c r="CQ90" s="98">
        <v>541.75250751364649</v>
      </c>
      <c r="CR90" s="98">
        <v>0.73029712656112178</v>
      </c>
      <c r="CS90" s="98">
        <v>809.75345393097177</v>
      </c>
      <c r="CT90" s="98">
        <v>0.83351101400438987</v>
      </c>
      <c r="CU90" s="98">
        <v>924.19701232806744</v>
      </c>
    </row>
    <row r="91" spans="2:99">
      <c r="C91" s="97" t="s">
        <v>258</v>
      </c>
      <c r="D91" s="98">
        <v>0.63967616773897062</v>
      </c>
      <c r="E91" s="98">
        <v>726.92799701856609</v>
      </c>
      <c r="F91" s="98">
        <v>0.50304589547330103</v>
      </c>
      <c r="G91" s="98">
        <v>571.66135561585918</v>
      </c>
      <c r="H91" s="98">
        <v>0.57363844510720829</v>
      </c>
      <c r="I91" s="98">
        <v>651.88272901983146</v>
      </c>
      <c r="J91" s="98">
        <v>0.41724623483261425</v>
      </c>
      <c r="K91" s="98">
        <v>474.15862126378278</v>
      </c>
      <c r="L91" s="98">
        <v>0.52576410126734408</v>
      </c>
      <c r="M91" s="98">
        <v>597.47832468020977</v>
      </c>
      <c r="N91" s="98">
        <v>0.44555606238320844</v>
      </c>
      <c r="O91" s="98">
        <v>506.32990929227799</v>
      </c>
      <c r="P91" s="98">
        <v>0.60531570814292157</v>
      </c>
      <c r="Q91" s="98">
        <v>687.88077073361603</v>
      </c>
      <c r="R91" s="98">
        <v>0.61268356336582575</v>
      </c>
      <c r="S91" s="98">
        <v>696.25360140892428</v>
      </c>
      <c r="T91" s="98">
        <v>0.44329591709183064</v>
      </c>
      <c r="U91" s="98">
        <v>503.76148018315627</v>
      </c>
      <c r="V91" s="98">
        <v>0.50397760839431138</v>
      </c>
      <c r="W91" s="98">
        <v>572.72015417929538</v>
      </c>
      <c r="X91" s="98">
        <v>0.50870480539999019</v>
      </c>
      <c r="Y91" s="98">
        <v>578.09214085654878</v>
      </c>
      <c r="Z91" s="98">
        <v>0.44139570166949171</v>
      </c>
      <c r="AA91" s="98">
        <v>501.60207537721033</v>
      </c>
      <c r="AB91" s="98">
        <v>0.47489590168463491</v>
      </c>
      <c r="AC91" s="98">
        <v>539.67170267441907</v>
      </c>
      <c r="AD91" s="98">
        <v>0.41329723973193749</v>
      </c>
      <c r="AE91" s="98">
        <v>469.67098323137373</v>
      </c>
      <c r="AF91" s="98">
        <v>0.73950155202617218</v>
      </c>
      <c r="AG91" s="98">
        <v>840.36956372254201</v>
      </c>
      <c r="AH91" s="98">
        <v>0.50377632366111258</v>
      </c>
      <c r="AI91" s="98">
        <v>572.49141420848832</v>
      </c>
      <c r="AJ91" s="98">
        <v>0.53479234560362554</v>
      </c>
      <c r="AK91" s="98">
        <v>607.73802154396003</v>
      </c>
      <c r="AL91" s="98">
        <v>0.51331409541265094</v>
      </c>
      <c r="AM91" s="98">
        <v>583.33013802693642</v>
      </c>
      <c r="AN91" s="98">
        <v>0.51549788356178772</v>
      </c>
      <c r="AO91" s="98">
        <v>585.81179487961549</v>
      </c>
      <c r="AP91" s="98">
        <v>0.67047248357246347</v>
      </c>
      <c r="AQ91" s="98">
        <v>761.92493033174742</v>
      </c>
      <c r="AR91" s="98">
        <v>0.58141507733566122</v>
      </c>
      <c r="AS91" s="98">
        <v>660.72009388424533</v>
      </c>
      <c r="AT91" s="98">
        <v>0.69123015219427097</v>
      </c>
      <c r="AU91" s="98">
        <v>785.51394495356942</v>
      </c>
      <c r="AV91" s="98">
        <v>0.711136314332801</v>
      </c>
      <c r="AW91" s="98">
        <v>808.13530760779497</v>
      </c>
      <c r="AX91" s="98">
        <v>0.49726659132745349</v>
      </c>
      <c r="AY91" s="98">
        <v>565.09375438451809</v>
      </c>
      <c r="AZ91" s="98">
        <v>0.78462569461931153</v>
      </c>
      <c r="BA91" s="98">
        <v>891.64863936538552</v>
      </c>
      <c r="BB91" s="98">
        <v>0.63295365450044316</v>
      </c>
      <c r="BC91" s="98">
        <v>719.28853297430351</v>
      </c>
      <c r="BD91" s="98">
        <v>0.78038418814102728</v>
      </c>
      <c r="BE91" s="98">
        <v>886.82859140346329</v>
      </c>
      <c r="BF91" s="98">
        <v>0.58697350520144276</v>
      </c>
      <c r="BG91" s="98">
        <v>667.03669131091942</v>
      </c>
      <c r="BH91" s="98">
        <v>0.44001262682938391</v>
      </c>
      <c r="BI91" s="98">
        <v>500.03034912891184</v>
      </c>
      <c r="BJ91" s="98">
        <v>0.63060399786866139</v>
      </c>
      <c r="BK91" s="98">
        <v>716.61838317794673</v>
      </c>
      <c r="BL91" s="98">
        <v>0.61879894665155499</v>
      </c>
      <c r="BM91" s="98">
        <v>703.20312297482701</v>
      </c>
      <c r="BN91" s="98">
        <v>0.58676556938229607</v>
      </c>
      <c r="BO91" s="98">
        <v>666.80039304604122</v>
      </c>
      <c r="BP91" s="98">
        <v>0.63284429564223899</v>
      </c>
      <c r="BQ91" s="98">
        <v>719.16425756784031</v>
      </c>
      <c r="BR91" s="98">
        <v>0.56873005803885646</v>
      </c>
      <c r="BS91" s="98">
        <v>646.30483795535645</v>
      </c>
      <c r="BT91" s="98">
        <v>0.69721621500082509</v>
      </c>
      <c r="BU91" s="98">
        <v>792.31650672693752</v>
      </c>
      <c r="BV91" s="98">
        <v>0.52424964936541785</v>
      </c>
      <c r="BW91" s="98">
        <v>595.75730153886082</v>
      </c>
      <c r="BX91" s="98">
        <v>0.54026862399171671</v>
      </c>
      <c r="BY91" s="98">
        <v>613.96126430418678</v>
      </c>
      <c r="BZ91" s="98">
        <v>0.83744417883220057</v>
      </c>
      <c r="CA91" s="98">
        <v>951.67156482491259</v>
      </c>
      <c r="CB91" s="98">
        <v>0.4393521648868845</v>
      </c>
      <c r="CC91" s="98">
        <v>499.27980017745551</v>
      </c>
      <c r="CD91" s="98">
        <v>0.51418694564316292</v>
      </c>
      <c r="CE91" s="98">
        <v>584.32204502889022</v>
      </c>
      <c r="CF91" s="98">
        <v>0.50204507774190033</v>
      </c>
      <c r="CG91" s="98">
        <v>570.52402634589544</v>
      </c>
      <c r="CH91" s="98">
        <v>0.59299711926204479</v>
      </c>
      <c r="CI91" s="98">
        <v>673.88192632938762</v>
      </c>
      <c r="CJ91" s="98">
        <v>0.55959219973415186</v>
      </c>
      <c r="CK91" s="98">
        <v>635.92057577789012</v>
      </c>
      <c r="CL91" s="98">
        <v>0.75399817995143059</v>
      </c>
      <c r="CM91" s="98">
        <v>856.8435316968056</v>
      </c>
      <c r="CN91" s="98">
        <v>0.68201701067528087</v>
      </c>
      <c r="CO91" s="98">
        <v>775.04413093138908</v>
      </c>
      <c r="CP91" s="98">
        <v>0.48859353130740124</v>
      </c>
      <c r="CQ91" s="98">
        <v>555.23768897773073</v>
      </c>
      <c r="CR91" s="98">
        <v>0.58824672724134508</v>
      </c>
      <c r="CS91" s="98">
        <v>668.48358083706444</v>
      </c>
      <c r="CT91" s="98">
        <v>0.89151770820029641</v>
      </c>
      <c r="CU91" s="98">
        <v>1013.1207235988168</v>
      </c>
    </row>
    <row r="92" spans="2:99">
      <c r="C92" s="97" t="s">
        <v>259</v>
      </c>
      <c r="D92" s="98">
        <v>0.63967616773897062</v>
      </c>
      <c r="E92" s="98">
        <v>502.0178564415441</v>
      </c>
      <c r="F92" s="98">
        <v>0.50304589547330103</v>
      </c>
      <c r="G92" s="98">
        <v>394.79041876744662</v>
      </c>
      <c r="H92" s="98">
        <v>0.68313870739877958</v>
      </c>
      <c r="I92" s="98">
        <v>536.12725756656221</v>
      </c>
      <c r="J92" s="98">
        <v>0.41724623483261425</v>
      </c>
      <c r="K92" s="98">
        <v>327.45484509663567</v>
      </c>
      <c r="L92" s="98">
        <v>0.62510480118521339</v>
      </c>
      <c r="M92" s="98">
        <v>490.58224797015544</v>
      </c>
      <c r="N92" s="98">
        <v>0.45682581954447027</v>
      </c>
      <c r="O92" s="98">
        <v>358.51690317850023</v>
      </c>
      <c r="P92" s="98">
        <v>0.62409381160393473</v>
      </c>
      <c r="Q92" s="98">
        <v>489.78882334676797</v>
      </c>
      <c r="R92" s="98">
        <v>0.64867829785624964</v>
      </c>
      <c r="S92" s="98">
        <v>509.08272815758471</v>
      </c>
      <c r="T92" s="98">
        <v>0.5840963624667197</v>
      </c>
      <c r="U92" s="98">
        <v>458.39882526388158</v>
      </c>
      <c r="V92" s="98">
        <v>0.50521436712723478</v>
      </c>
      <c r="W92" s="98">
        <v>396.49223532145385</v>
      </c>
      <c r="X92" s="98">
        <v>0.49858672421065642</v>
      </c>
      <c r="Y92" s="98">
        <v>391.29086116052315</v>
      </c>
      <c r="Z92" s="98">
        <v>0.44139570166949171</v>
      </c>
      <c r="AA92" s="98">
        <v>346.40734667021707</v>
      </c>
      <c r="AB92" s="98">
        <v>0.62615151427930116</v>
      </c>
      <c r="AC92" s="98">
        <v>491.40370840639554</v>
      </c>
      <c r="AD92" s="98">
        <v>0.41329723973193749</v>
      </c>
      <c r="AE92" s="98">
        <v>324.35567374162451</v>
      </c>
      <c r="AF92" s="98">
        <v>0.73979233199121808</v>
      </c>
      <c r="AG92" s="98">
        <v>580.58902214670786</v>
      </c>
      <c r="AH92" s="98">
        <v>0.49318193963716889</v>
      </c>
      <c r="AI92" s="98">
        <v>387.04918622725012</v>
      </c>
      <c r="AJ92" s="98">
        <v>0.66442960837715193</v>
      </c>
      <c r="AK92" s="98">
        <v>521.4443566543888</v>
      </c>
      <c r="AL92" s="98">
        <v>0.51331409541265094</v>
      </c>
      <c r="AM92" s="98">
        <v>402.84890207984841</v>
      </c>
      <c r="AN92" s="98">
        <v>0.49925637229821335</v>
      </c>
      <c r="AO92" s="98">
        <v>391.81640097963782</v>
      </c>
      <c r="AP92" s="98">
        <v>0.67047248357246347</v>
      </c>
      <c r="AQ92" s="98">
        <v>526.18680510766933</v>
      </c>
      <c r="AR92" s="98">
        <v>0.58173144739808236</v>
      </c>
      <c r="AS92" s="98">
        <v>456.54283991801503</v>
      </c>
      <c r="AT92" s="98">
        <v>0.69197400030567446</v>
      </c>
      <c r="AU92" s="98">
        <v>543.06119543989325</v>
      </c>
      <c r="AV92" s="98">
        <v>0.711136314332801</v>
      </c>
      <c r="AW92" s="98">
        <v>558.09977948838218</v>
      </c>
      <c r="AX92" s="98">
        <v>0.48595660109308436</v>
      </c>
      <c r="AY92" s="98">
        <v>381.37874053785259</v>
      </c>
      <c r="AZ92" s="98">
        <v>0.92645852024359376</v>
      </c>
      <c r="BA92" s="98">
        <v>727.08464668717238</v>
      </c>
      <c r="BB92" s="98">
        <v>0.63295365450044316</v>
      </c>
      <c r="BC92" s="98">
        <v>496.74202805194778</v>
      </c>
      <c r="BD92" s="98">
        <v>0.65665091262420938</v>
      </c>
      <c r="BE92" s="98">
        <v>515.33963622747945</v>
      </c>
      <c r="BF92" s="98">
        <v>0.57846247021770303</v>
      </c>
      <c r="BG92" s="98">
        <v>453.97734662685332</v>
      </c>
      <c r="BH92" s="98">
        <v>0.42871636248570255</v>
      </c>
      <c r="BI92" s="98">
        <v>336.45660127877932</v>
      </c>
      <c r="BJ92" s="98">
        <v>0.64186821452345599</v>
      </c>
      <c r="BK92" s="98">
        <v>503.73817475800826</v>
      </c>
      <c r="BL92" s="98">
        <v>0.62070721795212846</v>
      </c>
      <c r="BM92" s="98">
        <v>487.13102464883042</v>
      </c>
      <c r="BN92" s="98">
        <v>0.59882807450751718</v>
      </c>
      <c r="BO92" s="98">
        <v>469.96027287349943</v>
      </c>
      <c r="BP92" s="98">
        <v>0.63197379077635285</v>
      </c>
      <c r="BQ92" s="98">
        <v>495.9730310012817</v>
      </c>
      <c r="BR92" s="98">
        <v>0.56873005803885646</v>
      </c>
      <c r="BS92" s="98">
        <v>446.33934954889452</v>
      </c>
      <c r="BT92" s="98">
        <v>0.8207495229636147</v>
      </c>
      <c r="BU92" s="98">
        <v>644.12422562184474</v>
      </c>
      <c r="BV92" s="98">
        <v>0.52586571973585017</v>
      </c>
      <c r="BW92" s="98">
        <v>412.69941684869519</v>
      </c>
      <c r="BX92" s="98">
        <v>0.54026862399171671</v>
      </c>
      <c r="BY92" s="98">
        <v>424.00281610869928</v>
      </c>
      <c r="BZ92" s="98">
        <v>0.67253849726753034</v>
      </c>
      <c r="CA92" s="98">
        <v>527.80821265555778</v>
      </c>
      <c r="CB92" s="98">
        <v>0.43912794589993015</v>
      </c>
      <c r="CC92" s="98">
        <v>344.62761194226516</v>
      </c>
      <c r="CD92" s="98">
        <v>0.62851460847503282</v>
      </c>
      <c r="CE92" s="98">
        <v>493.25826473120571</v>
      </c>
      <c r="CF92" s="98">
        <v>0.50204507774190033</v>
      </c>
      <c r="CG92" s="98">
        <v>394.00497701184338</v>
      </c>
      <c r="CH92" s="98">
        <v>0.59299711926204479</v>
      </c>
      <c r="CI92" s="98">
        <v>465.38413919685274</v>
      </c>
      <c r="CJ92" s="98">
        <v>0.66768856501929452</v>
      </c>
      <c r="CK92" s="98">
        <v>524.00198582714233</v>
      </c>
      <c r="CL92" s="98">
        <v>0.75364085638756295</v>
      </c>
      <c r="CM92" s="98">
        <v>591.45734409295937</v>
      </c>
      <c r="CN92" s="98">
        <v>0.68492681759340013</v>
      </c>
      <c r="CO92" s="98">
        <v>537.53056644730043</v>
      </c>
      <c r="CP92" s="98">
        <v>0.48859353130740124</v>
      </c>
      <c r="CQ92" s="98">
        <v>383.44820337004847</v>
      </c>
      <c r="CR92" s="98">
        <v>0.59075236848662493</v>
      </c>
      <c r="CS92" s="98">
        <v>463.62245878830322</v>
      </c>
      <c r="CT92" s="98">
        <v>0.89166057172952262</v>
      </c>
      <c r="CU92" s="98">
        <v>699.7752166933293</v>
      </c>
    </row>
    <row r="93" spans="2:99">
      <c r="C93" s="97" t="s">
        <v>260</v>
      </c>
      <c r="D93" s="98">
        <v>0.63967616773897062</v>
      </c>
      <c r="E93" s="98">
        <v>443.67938994375004</v>
      </c>
      <c r="F93" s="98">
        <v>0.5154436256272652</v>
      </c>
      <c r="G93" s="98">
        <v>357.51169873507115</v>
      </c>
      <c r="H93" s="98">
        <v>0.57304276322376901</v>
      </c>
      <c r="I93" s="98">
        <v>397.46246057200619</v>
      </c>
      <c r="J93" s="98">
        <v>0.41724623483261425</v>
      </c>
      <c r="K93" s="98">
        <v>289.40198847990126</v>
      </c>
      <c r="L93" s="98">
        <v>0.63578080121649028</v>
      </c>
      <c r="M93" s="98">
        <v>440.97756372375767</v>
      </c>
      <c r="N93" s="98">
        <v>0.45715509339570493</v>
      </c>
      <c r="O93" s="98">
        <v>317.08277277926095</v>
      </c>
      <c r="P93" s="98">
        <v>0.60583859844561294</v>
      </c>
      <c r="Q93" s="98">
        <v>420.20965188187716</v>
      </c>
      <c r="R93" s="98">
        <v>0.61483239795477851</v>
      </c>
      <c r="S93" s="98">
        <v>426.44775122143437</v>
      </c>
      <c r="T93" s="98">
        <v>0.44329591709183064</v>
      </c>
      <c r="U93" s="98">
        <v>307.47004809489374</v>
      </c>
      <c r="V93" s="98">
        <v>0.50480211421626031</v>
      </c>
      <c r="W93" s="98">
        <v>350.13074642039817</v>
      </c>
      <c r="X93" s="98">
        <v>0.50909658336882913</v>
      </c>
      <c r="Y93" s="98">
        <v>353.10939022461991</v>
      </c>
      <c r="Z93" s="98">
        <v>0.44139570166949171</v>
      </c>
      <c r="AA93" s="98">
        <v>306.15205867795947</v>
      </c>
      <c r="AB93" s="98">
        <v>0.63084686181277572</v>
      </c>
      <c r="AC93" s="98">
        <v>437.55538335334126</v>
      </c>
      <c r="AD93" s="98">
        <v>0.41329723973193749</v>
      </c>
      <c r="AE93" s="98">
        <v>286.66296547807184</v>
      </c>
      <c r="AF93" s="98">
        <v>0.7513269835236569</v>
      </c>
      <c r="AG93" s="98">
        <v>521.12039577200846</v>
      </c>
      <c r="AH93" s="98">
        <v>0.49356575874233183</v>
      </c>
      <c r="AI93" s="98">
        <v>342.33721026368136</v>
      </c>
      <c r="AJ93" s="98">
        <v>0.6649800681342124</v>
      </c>
      <c r="AK93" s="98">
        <v>461.23017525788975</v>
      </c>
      <c r="AL93" s="98">
        <v>0.51072657464900406</v>
      </c>
      <c r="AM93" s="98">
        <v>354.23995217654925</v>
      </c>
      <c r="AN93" s="98">
        <v>0.51496003076080088</v>
      </c>
      <c r="AO93" s="98">
        <v>357.17627733569151</v>
      </c>
      <c r="AP93" s="98">
        <v>0.67047248357246347</v>
      </c>
      <c r="AQ93" s="98">
        <v>465.03971460586069</v>
      </c>
      <c r="AR93" s="98">
        <v>0.59104843339079072</v>
      </c>
      <c r="AS93" s="98">
        <v>409.95119339985246</v>
      </c>
      <c r="AT93" s="98">
        <v>0.82641013483788761</v>
      </c>
      <c r="AU93" s="98">
        <v>573.19806952355884</v>
      </c>
      <c r="AV93" s="98">
        <v>0.71081422843670572</v>
      </c>
      <c r="AW93" s="98">
        <v>493.0207488436991</v>
      </c>
      <c r="AX93" s="98">
        <v>0.48636549924329076</v>
      </c>
      <c r="AY93" s="98">
        <v>337.3431102751465</v>
      </c>
      <c r="AZ93" s="98">
        <v>0.92645852024359376</v>
      </c>
      <c r="BA93" s="98">
        <v>642.59162964095663</v>
      </c>
      <c r="BB93" s="98">
        <v>0.63319922701435638</v>
      </c>
      <c r="BC93" s="98">
        <v>439.1869838571576</v>
      </c>
      <c r="BD93" s="98">
        <v>0.78291649047703527</v>
      </c>
      <c r="BE93" s="98">
        <v>543.03087779487169</v>
      </c>
      <c r="BF93" s="98">
        <v>0.57846247021770303</v>
      </c>
      <c r="BG93" s="98">
        <v>401.22156934299886</v>
      </c>
      <c r="BH93" s="98">
        <v>0.56265874920331993</v>
      </c>
      <c r="BI93" s="98">
        <v>390.26010844742274</v>
      </c>
      <c r="BJ93" s="98">
        <v>0.63091811630069061</v>
      </c>
      <c r="BK93" s="98">
        <v>437.60480546615901</v>
      </c>
      <c r="BL93" s="98">
        <v>0.61879894665155499</v>
      </c>
      <c r="BM93" s="98">
        <v>429.19894939751856</v>
      </c>
      <c r="BN93" s="98">
        <v>0.5871562725080971</v>
      </c>
      <c r="BO93" s="98">
        <v>407.25159061161617</v>
      </c>
      <c r="BP93" s="98">
        <v>0.63240904320929592</v>
      </c>
      <c r="BQ93" s="98">
        <v>438.63891236996767</v>
      </c>
      <c r="BR93" s="98">
        <v>0.57616150459748483</v>
      </c>
      <c r="BS93" s="98">
        <v>399.62561958881548</v>
      </c>
      <c r="BT93" s="98">
        <v>0.68772342632244776</v>
      </c>
      <c r="BU93" s="98">
        <v>477.00496849724976</v>
      </c>
      <c r="BV93" s="98">
        <v>0.52586571973585017</v>
      </c>
      <c r="BW93" s="98">
        <v>364.74046320878568</v>
      </c>
      <c r="BX93" s="98">
        <v>0.53994021876144682</v>
      </c>
      <c r="BY93" s="98">
        <v>374.50253573293952</v>
      </c>
      <c r="BZ93" s="98">
        <v>0.67124692016664544</v>
      </c>
      <c r="CA93" s="98">
        <v>465.57686382758527</v>
      </c>
      <c r="CB93" s="98">
        <v>0.56022613498202822</v>
      </c>
      <c r="CC93" s="98">
        <v>388.57284722353478</v>
      </c>
      <c r="CD93" s="98">
        <v>0.52472315042520656</v>
      </c>
      <c r="CE93" s="98">
        <v>363.94797713492329</v>
      </c>
      <c r="CF93" s="98">
        <v>0.62597636378041388</v>
      </c>
      <c r="CG93" s="98">
        <v>434.17720591809507</v>
      </c>
      <c r="CH93" s="98">
        <v>0.59381528195676458</v>
      </c>
      <c r="CI93" s="98">
        <v>411.87027956521194</v>
      </c>
      <c r="CJ93" s="98">
        <v>0.676631014021017</v>
      </c>
      <c r="CK93" s="98">
        <v>469.31127132497738</v>
      </c>
      <c r="CL93" s="98">
        <v>0.76282669972230555</v>
      </c>
      <c r="CM93" s="98">
        <v>529.09659892739114</v>
      </c>
      <c r="CN93" s="98">
        <v>0.68201701067528087</v>
      </c>
      <c r="CO93" s="98">
        <v>473.04699860437483</v>
      </c>
      <c r="CP93" s="98">
        <v>0.47849044310332928</v>
      </c>
      <c r="CQ93" s="98">
        <v>331.8809713364692</v>
      </c>
      <c r="CR93" s="98">
        <v>0.73280276780640163</v>
      </c>
      <c r="CS93" s="98">
        <v>508.27199975052019</v>
      </c>
      <c r="CT93" s="98">
        <v>0.83726237528109693</v>
      </c>
      <c r="CU93" s="98">
        <v>580.72518349496886</v>
      </c>
    </row>
    <row r="94" spans="2:99">
      <c r="C94" s="97" t="s">
        <v>261</v>
      </c>
      <c r="D94" s="98">
        <v>0.42645077849264701</v>
      </c>
      <c r="E94" s="98">
        <v>508.67048858602931</v>
      </c>
      <c r="F94" s="98">
        <v>0.50304589547330103</v>
      </c>
      <c r="G94" s="98">
        <v>600.0331441205534</v>
      </c>
      <c r="H94" s="98">
        <v>0.560074705513116</v>
      </c>
      <c r="I94" s="98">
        <v>668.05710873604471</v>
      </c>
      <c r="J94" s="98">
        <v>0.48373855136033955</v>
      </c>
      <c r="K94" s="98">
        <v>577.003344062613</v>
      </c>
      <c r="L94" s="98">
        <v>0.52605340248788801</v>
      </c>
      <c r="M94" s="98">
        <v>627.47649848755282</v>
      </c>
      <c r="N94" s="98">
        <v>0.45715509339570493</v>
      </c>
      <c r="O94" s="98">
        <v>545.29459540239679</v>
      </c>
      <c r="P94" s="98">
        <v>0.60583859844561294</v>
      </c>
      <c r="Q94" s="98">
        <v>722.6442802259271</v>
      </c>
      <c r="R94" s="98">
        <v>0.61483239795477851</v>
      </c>
      <c r="S94" s="98">
        <v>733.37208428045983</v>
      </c>
      <c r="T94" s="98">
        <v>0.5806139323055256</v>
      </c>
      <c r="U94" s="98">
        <v>692.55629845403087</v>
      </c>
      <c r="V94" s="98">
        <v>0.51911040343296078</v>
      </c>
      <c r="W94" s="98">
        <v>619.1948892148356</v>
      </c>
      <c r="X94" s="98">
        <v>0.39009660986409017</v>
      </c>
      <c r="Y94" s="98">
        <v>465.30723624588671</v>
      </c>
      <c r="Z94" s="98">
        <v>0.44101069692257111</v>
      </c>
      <c r="AA94" s="98">
        <v>526.03755928924284</v>
      </c>
      <c r="AB94" s="98">
        <v>0.62849918804603844</v>
      </c>
      <c r="AC94" s="98">
        <v>749.67383150131457</v>
      </c>
      <c r="AD94" s="98">
        <v>0.41299289329998184</v>
      </c>
      <c r="AE94" s="98">
        <v>492.61792312821831</v>
      </c>
      <c r="AF94" s="98">
        <v>0.73950155202617218</v>
      </c>
      <c r="AG94" s="98">
        <v>882.07745125681811</v>
      </c>
      <c r="AH94" s="98">
        <v>0.49279812053200611</v>
      </c>
      <c r="AI94" s="98">
        <v>587.80959817057692</v>
      </c>
      <c r="AJ94" s="98">
        <v>0.52203089472067632</v>
      </c>
      <c r="AK94" s="98">
        <v>622.67845122282267</v>
      </c>
      <c r="AL94" s="98">
        <v>0.51072657464900406</v>
      </c>
      <c r="AM94" s="98">
        <v>609.19465824133204</v>
      </c>
      <c r="AN94" s="98">
        <v>0.49925637229821335</v>
      </c>
      <c r="AO94" s="98">
        <v>595.51300087730885</v>
      </c>
      <c r="AP94" s="98">
        <v>0.67047248357246347</v>
      </c>
      <c r="AQ94" s="98">
        <v>799.7395784052344</v>
      </c>
      <c r="AR94" s="98">
        <v>0.59136480345321174</v>
      </c>
      <c r="AS94" s="98">
        <v>705.37993755899095</v>
      </c>
      <c r="AT94" s="98">
        <v>0.69160207624997272</v>
      </c>
      <c r="AU94" s="98">
        <v>824.94295655096744</v>
      </c>
      <c r="AV94" s="98">
        <v>0.72212999634958264</v>
      </c>
      <c r="AW94" s="98">
        <v>861.35665964578209</v>
      </c>
      <c r="AX94" s="98">
        <v>0.49726659132745349</v>
      </c>
      <c r="AY94" s="98">
        <v>593.13959013538647</v>
      </c>
      <c r="AZ94" s="98">
        <v>0.7701342244090551</v>
      </c>
      <c r="BA94" s="98">
        <v>918.61610287512087</v>
      </c>
      <c r="BB94" s="98">
        <v>0.63295365450044316</v>
      </c>
      <c r="BC94" s="98">
        <v>754.98711908812857</v>
      </c>
      <c r="BD94" s="98">
        <v>0.65665091262420938</v>
      </c>
      <c r="BE94" s="98">
        <v>783.25320857815689</v>
      </c>
      <c r="BF94" s="98">
        <v>0.5873227940858412</v>
      </c>
      <c r="BG94" s="98">
        <v>700.5586287855914</v>
      </c>
      <c r="BH94" s="98">
        <v>0.56232823584597469</v>
      </c>
      <c r="BI94" s="98">
        <v>670.74511971707864</v>
      </c>
      <c r="BJ94" s="98">
        <v>0.63028987943663217</v>
      </c>
      <c r="BK94" s="98">
        <v>751.80976819201487</v>
      </c>
      <c r="BL94" s="98">
        <v>0.61879894665155499</v>
      </c>
      <c r="BM94" s="98">
        <v>738.10338356597481</v>
      </c>
      <c r="BN94" s="98">
        <v>0.59804666825591501</v>
      </c>
      <c r="BO94" s="98">
        <v>713.35006589565535</v>
      </c>
      <c r="BP94" s="98">
        <v>0.64217223132620271</v>
      </c>
      <c r="BQ94" s="98">
        <v>765.98303752589459</v>
      </c>
      <c r="BR94" s="98">
        <v>0.56850924274945147</v>
      </c>
      <c r="BS94" s="98">
        <v>678.11782475154564</v>
      </c>
      <c r="BT94" s="98">
        <v>0.8207495229636147</v>
      </c>
      <c r="BU94" s="98">
        <v>978.99003099099957</v>
      </c>
      <c r="BV94" s="98">
        <v>0.56776977158078967</v>
      </c>
      <c r="BW94" s="98">
        <v>677.23578354156587</v>
      </c>
      <c r="BX94" s="98">
        <v>0.43894979150995167</v>
      </c>
      <c r="BY94" s="98">
        <v>523.57931131307032</v>
      </c>
      <c r="BZ94" s="98">
        <v>0.67124692016664544</v>
      </c>
      <c r="CA94" s="98">
        <v>800.66332637477467</v>
      </c>
      <c r="CB94" s="98">
        <v>0.55127948274434024</v>
      </c>
      <c r="CC94" s="98">
        <v>657.56616701744906</v>
      </c>
      <c r="CD94" s="98">
        <v>0.51418694564316292</v>
      </c>
      <c r="CE94" s="98">
        <v>613.32218876316472</v>
      </c>
      <c r="CF94" s="98">
        <v>0.62281639698649061</v>
      </c>
      <c r="CG94" s="98">
        <v>742.89539832548598</v>
      </c>
      <c r="CH94" s="98">
        <v>0.72242624500232644</v>
      </c>
      <c r="CI94" s="98">
        <v>861.71002503877492</v>
      </c>
      <c r="CJ94" s="98">
        <v>0.676631014021017</v>
      </c>
      <c r="CK94" s="98">
        <v>807.08547352426899</v>
      </c>
      <c r="CL94" s="98">
        <v>0.76282669972230555</v>
      </c>
      <c r="CM94" s="98">
        <v>909.89968742876601</v>
      </c>
      <c r="CN94" s="98">
        <v>0.57222725145355968</v>
      </c>
      <c r="CO94" s="98">
        <v>682.55266553380591</v>
      </c>
      <c r="CP94" s="98">
        <v>0.48859353130740124</v>
      </c>
      <c r="CQ94" s="98">
        <v>582.79436414346821</v>
      </c>
      <c r="CR94" s="98">
        <v>0.59075236848662493</v>
      </c>
      <c r="CS94" s="98">
        <v>704.64942513084623</v>
      </c>
      <c r="CT94" s="98">
        <v>0.89151770820029641</v>
      </c>
      <c r="CU94" s="98">
        <v>1063.4023223413135</v>
      </c>
    </row>
    <row r="95" spans="2:99">
      <c r="B95" s="97" t="s">
        <v>132</v>
      </c>
      <c r="C95" s="97" t="s">
        <v>262</v>
      </c>
      <c r="D95" s="98">
        <v>0.85290155698529402</v>
      </c>
      <c r="E95" s="98">
        <v>280.43403193676471</v>
      </c>
      <c r="F95" s="98">
        <v>0.62479551960322022</v>
      </c>
      <c r="G95" s="98">
        <v>205.43276684553882</v>
      </c>
      <c r="H95" s="98">
        <v>0.73322389259107412</v>
      </c>
      <c r="I95" s="98">
        <v>241.08401588394517</v>
      </c>
      <c r="J95" s="98">
        <v>0.90058683664514616</v>
      </c>
      <c r="K95" s="98">
        <v>296.11295188892404</v>
      </c>
      <c r="L95" s="98">
        <v>0.76541369390492697</v>
      </c>
      <c r="M95" s="98">
        <v>251.66802255593998</v>
      </c>
      <c r="N95" s="98">
        <v>0.91332236523770616</v>
      </c>
      <c r="O95" s="98">
        <v>300.30039369015782</v>
      </c>
      <c r="P95" s="98">
        <v>0.69771172120555647</v>
      </c>
      <c r="Q95" s="98">
        <v>229.40761393238697</v>
      </c>
      <c r="R95" s="98">
        <v>0.7604823677349003</v>
      </c>
      <c r="S95" s="98">
        <v>250.04660251123522</v>
      </c>
      <c r="T95" s="98">
        <v>0.85524996273291576</v>
      </c>
      <c r="U95" s="98">
        <v>281.20618774658271</v>
      </c>
      <c r="V95" s="98">
        <v>0.74636765461841081</v>
      </c>
      <c r="W95" s="98">
        <v>245.40568483853349</v>
      </c>
      <c r="X95" s="98">
        <v>0.85441131081835631</v>
      </c>
      <c r="Y95" s="98">
        <v>280.93043899707556</v>
      </c>
      <c r="Z95" s="98">
        <v>0.78855693310397101</v>
      </c>
      <c r="AA95" s="98">
        <v>259.27751960458568</v>
      </c>
      <c r="AB95" s="98">
        <v>0.78914549570765413</v>
      </c>
      <c r="AC95" s="98">
        <v>259.4710389886767</v>
      </c>
      <c r="AD95" s="98">
        <v>0.84258463628858782</v>
      </c>
      <c r="AE95" s="98">
        <v>277.04182841168767</v>
      </c>
      <c r="AF95" s="98">
        <v>0.69209239959604696</v>
      </c>
      <c r="AG95" s="98">
        <v>227.55998098718024</v>
      </c>
      <c r="AH95" s="98">
        <v>0.81343643300133106</v>
      </c>
      <c r="AI95" s="98">
        <v>267.45789917083766</v>
      </c>
      <c r="AJ95" s="98">
        <v>0.7548252038093437</v>
      </c>
      <c r="AK95" s="98">
        <v>248.18652701251222</v>
      </c>
      <c r="AL95" s="98">
        <v>0.84948594390590892</v>
      </c>
      <c r="AM95" s="98">
        <v>279.31097835626286</v>
      </c>
      <c r="AN95" s="98">
        <v>0.82506655833953702</v>
      </c>
      <c r="AO95" s="98">
        <v>271.28188438203978</v>
      </c>
      <c r="AP95" s="98">
        <v>0.67047248357246347</v>
      </c>
      <c r="AQ95" s="98">
        <v>220.45135259862599</v>
      </c>
      <c r="AR95" s="98">
        <v>0.67249024591990114</v>
      </c>
      <c r="AS95" s="98">
        <v>221.11479285846352</v>
      </c>
      <c r="AT95" s="98">
        <v>0.63398299581259976</v>
      </c>
      <c r="AU95" s="98">
        <v>208.45360902318282</v>
      </c>
      <c r="AV95" s="98">
        <v>0.56512897538989204</v>
      </c>
      <c r="AW95" s="98">
        <v>185.81440710819652</v>
      </c>
      <c r="AX95" s="98">
        <v>0.84670917906818721</v>
      </c>
      <c r="AY95" s="98">
        <v>278.39797807761994</v>
      </c>
      <c r="AZ95" s="98">
        <v>0.59487467757081203</v>
      </c>
      <c r="BA95" s="98">
        <v>195.59479398528299</v>
      </c>
      <c r="BB95" s="98">
        <v>0.6843394604260814</v>
      </c>
      <c r="BC95" s="98">
        <v>225.01081458809557</v>
      </c>
      <c r="BD95" s="98">
        <v>0.78544879281304336</v>
      </c>
      <c r="BE95" s="98">
        <v>258.25556307692864</v>
      </c>
      <c r="BF95" s="98">
        <v>0.73330572518644666</v>
      </c>
      <c r="BG95" s="98">
        <v>241.11092244130367</v>
      </c>
      <c r="BH95" s="98">
        <v>0.85412759139795291</v>
      </c>
      <c r="BI95" s="98">
        <v>280.83715205164691</v>
      </c>
      <c r="BJ95" s="98">
        <v>0.76115885103825454</v>
      </c>
      <c r="BK95" s="98">
        <v>250.2690302213781</v>
      </c>
      <c r="BL95" s="98">
        <v>0.86631852531217723</v>
      </c>
      <c r="BM95" s="98">
        <v>284.84553112264388</v>
      </c>
      <c r="BN95" s="98">
        <v>0.77051123619293282</v>
      </c>
      <c r="BO95" s="98">
        <v>253.34409446023633</v>
      </c>
      <c r="BP95" s="98">
        <v>0.69944560272881362</v>
      </c>
      <c r="BQ95" s="98">
        <v>229.97771417723393</v>
      </c>
      <c r="BR95" s="98">
        <v>0.80649361726283564</v>
      </c>
      <c r="BS95" s="98">
        <v>265.17510135602038</v>
      </c>
      <c r="BT95" s="98">
        <v>0.64896256464888613</v>
      </c>
      <c r="BU95" s="98">
        <v>213.37889125655377</v>
      </c>
      <c r="BV95" s="98">
        <v>0.9045083234260225</v>
      </c>
      <c r="BW95" s="98">
        <v>297.40233674247622</v>
      </c>
      <c r="BX95" s="98">
        <v>0.88353846882123366</v>
      </c>
      <c r="BY95" s="98">
        <v>290.50744854842162</v>
      </c>
      <c r="BZ95" s="98">
        <v>0.67641322857018549</v>
      </c>
      <c r="CA95" s="98">
        <v>222.404669553877</v>
      </c>
      <c r="CB95" s="98">
        <v>0.85812039745494129</v>
      </c>
      <c r="CC95" s="98">
        <v>282.14998668318469</v>
      </c>
      <c r="CD95" s="98">
        <v>0.8165957047812088</v>
      </c>
      <c r="CE95" s="98">
        <v>268.49666773206144</v>
      </c>
      <c r="CF95" s="98">
        <v>0.86277905207870953</v>
      </c>
      <c r="CG95" s="98">
        <v>283.68175232347971</v>
      </c>
      <c r="CH95" s="98">
        <v>0.68195812429443536</v>
      </c>
      <c r="CI95" s="98">
        <v>224.22783126801036</v>
      </c>
      <c r="CJ95" s="98">
        <v>0.6237963274129168</v>
      </c>
      <c r="CK95" s="98">
        <v>205.10423245336705</v>
      </c>
      <c r="CL95" s="98">
        <v>0.58661337327254526</v>
      </c>
      <c r="CM95" s="98">
        <v>192.87847713201288</v>
      </c>
      <c r="CN95" s="98">
        <v>0.7601791967912257</v>
      </c>
      <c r="CO95" s="98">
        <v>249.94691990495502</v>
      </c>
      <c r="CP95" s="98">
        <v>0.86847801388258039</v>
      </c>
      <c r="CQ95" s="98">
        <v>285.55557096459245</v>
      </c>
      <c r="CR95" s="98">
        <v>0.87735880837145819</v>
      </c>
      <c r="CS95" s="98">
        <v>288.47557619253547</v>
      </c>
      <c r="CT95" s="98">
        <v>0.56067582437186925</v>
      </c>
      <c r="CU95" s="98">
        <v>184.35021105347062</v>
      </c>
    </row>
    <row r="96" spans="2:99">
      <c r="C96" s="97" t="s">
        <v>263</v>
      </c>
      <c r="D96" s="98">
        <v>0.85290155698529402</v>
      </c>
      <c r="E96" s="98">
        <v>592.59600179338224</v>
      </c>
      <c r="F96" s="98">
        <v>0.60000005929529199</v>
      </c>
      <c r="G96" s="98">
        <v>416.88004119836887</v>
      </c>
      <c r="H96" s="98">
        <v>0.73322389259107412</v>
      </c>
      <c r="I96" s="98">
        <v>509.44396057227829</v>
      </c>
      <c r="J96" s="98">
        <v>0.7576640157726704</v>
      </c>
      <c r="K96" s="98">
        <v>526.42495815885138</v>
      </c>
      <c r="L96" s="98">
        <v>0.75502699509419391</v>
      </c>
      <c r="M96" s="98">
        <v>524.59275619144591</v>
      </c>
      <c r="N96" s="98">
        <v>0.81902195974322589</v>
      </c>
      <c r="O96" s="98">
        <v>569.0564576295933</v>
      </c>
      <c r="P96" s="98">
        <v>0.69771172120555647</v>
      </c>
      <c r="Q96" s="98">
        <v>484.77010389362061</v>
      </c>
      <c r="R96" s="98">
        <v>0.75833353314594754</v>
      </c>
      <c r="S96" s="98">
        <v>526.8901388298043</v>
      </c>
      <c r="T96" s="98">
        <v>0.85524996273291576</v>
      </c>
      <c r="U96" s="98">
        <v>594.2276741068298</v>
      </c>
      <c r="V96" s="98">
        <v>0.75061954698176447</v>
      </c>
      <c r="W96" s="98">
        <v>521.53046124292996</v>
      </c>
      <c r="X96" s="98">
        <v>0.74631297444062894</v>
      </c>
      <c r="Y96" s="98">
        <v>518.538254641349</v>
      </c>
      <c r="Z96" s="98">
        <v>0.78778692361012981</v>
      </c>
      <c r="AA96" s="98">
        <v>547.35435452431818</v>
      </c>
      <c r="AB96" s="98">
        <v>0.78445014817417935</v>
      </c>
      <c r="AC96" s="98">
        <v>545.03596295141983</v>
      </c>
      <c r="AD96" s="98">
        <v>0.94913492501204444</v>
      </c>
      <c r="AE96" s="98">
        <v>659.45894589836848</v>
      </c>
      <c r="AF96" s="98">
        <v>0.55817345523807771</v>
      </c>
      <c r="AG96" s="98">
        <v>387.81891669941638</v>
      </c>
      <c r="AH96" s="98">
        <v>0.8126687947910054</v>
      </c>
      <c r="AI96" s="98">
        <v>564.64227862079053</v>
      </c>
      <c r="AJ96" s="98">
        <v>0.84621359419659614</v>
      </c>
      <c r="AK96" s="98">
        <v>587.94920524779491</v>
      </c>
      <c r="AL96" s="98">
        <v>0.84689842314226194</v>
      </c>
      <c r="AM96" s="98">
        <v>588.42502439924351</v>
      </c>
      <c r="AN96" s="98">
        <v>0.82452870553855029</v>
      </c>
      <c r="AO96" s="98">
        <v>572.88254460818473</v>
      </c>
      <c r="AP96" s="98">
        <v>0.67270561573345711</v>
      </c>
      <c r="AQ96" s="98">
        <v>467.39586181160598</v>
      </c>
      <c r="AR96" s="98">
        <v>0.80027380951689264</v>
      </c>
      <c r="AS96" s="98">
        <v>556.03024285233698</v>
      </c>
      <c r="AT96" s="98">
        <v>0.6298728225455672</v>
      </c>
      <c r="AU96" s="98">
        <v>437.63563710466008</v>
      </c>
      <c r="AV96" s="98">
        <v>0.55795414924947961</v>
      </c>
      <c r="AW96" s="98">
        <v>387.66654289853841</v>
      </c>
      <c r="AX96" s="98">
        <v>0.84670917906818721</v>
      </c>
      <c r="AY96" s="98">
        <v>588.29353761657649</v>
      </c>
      <c r="AZ96" s="98">
        <v>0.59774918369604502</v>
      </c>
      <c r="BA96" s="98">
        <v>415.31613283201204</v>
      </c>
      <c r="BB96" s="98">
        <v>0.79547548989046979</v>
      </c>
      <c r="BC96" s="98">
        <v>552.69637037589837</v>
      </c>
      <c r="BD96" s="98">
        <v>0.78798109514905124</v>
      </c>
      <c r="BE96" s="98">
        <v>547.4892649095608</v>
      </c>
      <c r="BF96" s="98">
        <v>0.7329564363020481</v>
      </c>
      <c r="BG96" s="98">
        <v>509.258131942663</v>
      </c>
      <c r="BH96" s="98">
        <v>0.85379707804060778</v>
      </c>
      <c r="BI96" s="98">
        <v>593.2182098226142</v>
      </c>
      <c r="BJ96" s="98">
        <v>0.68784333252298724</v>
      </c>
      <c r="BK96" s="98">
        <v>477.9135474369715</v>
      </c>
      <c r="BL96" s="98">
        <v>0.74255873598186606</v>
      </c>
      <c r="BM96" s="98">
        <v>515.92980976020056</v>
      </c>
      <c r="BN96" s="98">
        <v>0.63306207425417527</v>
      </c>
      <c r="BO96" s="98">
        <v>439.85152919180092</v>
      </c>
      <c r="BP96" s="98">
        <v>0.70379812705824407</v>
      </c>
      <c r="BQ96" s="98">
        <v>488.99893868006797</v>
      </c>
      <c r="BR96" s="98">
        <v>0.70652167698152435</v>
      </c>
      <c r="BS96" s="98">
        <v>490.89126116676306</v>
      </c>
      <c r="BT96" s="98">
        <v>0.65287456775325337</v>
      </c>
      <c r="BU96" s="98">
        <v>453.61724967496042</v>
      </c>
      <c r="BV96" s="98">
        <v>0.90612439379645482</v>
      </c>
      <c r="BW96" s="98">
        <v>629.57522880977672</v>
      </c>
      <c r="BX96" s="98">
        <v>0.88386687405150344</v>
      </c>
      <c r="BY96" s="98">
        <v>614.11070409098454</v>
      </c>
      <c r="BZ96" s="98">
        <v>0.6789963827719554</v>
      </c>
      <c r="CA96" s="98">
        <v>471.7666867499546</v>
      </c>
      <c r="CB96" s="98">
        <v>0.88617686987486632</v>
      </c>
      <c r="CC96" s="98">
        <v>615.71568918905712</v>
      </c>
      <c r="CD96" s="98">
        <v>0.70174363314865573</v>
      </c>
      <c r="CE96" s="98">
        <v>487.57147631168596</v>
      </c>
      <c r="CF96" s="98">
        <v>0.74200773283411925</v>
      </c>
      <c r="CG96" s="98">
        <v>515.54697277314597</v>
      </c>
      <c r="CH96" s="98">
        <v>0.68195812429443536</v>
      </c>
      <c r="CI96" s="98">
        <v>473.82450475977367</v>
      </c>
      <c r="CJ96" s="98">
        <v>0.71089147060080848</v>
      </c>
      <c r="CK96" s="98">
        <v>493.92739377344168</v>
      </c>
      <c r="CL96" s="98">
        <v>0.57814217706553783</v>
      </c>
      <c r="CM96" s="98">
        <v>401.69318462513564</v>
      </c>
      <c r="CN96" s="98">
        <v>0.7601791967912257</v>
      </c>
      <c r="CO96" s="98">
        <v>528.17250593054359</v>
      </c>
      <c r="CP96" s="98">
        <v>0.85804820220965516</v>
      </c>
      <c r="CQ96" s="98">
        <v>596.17189089526835</v>
      </c>
      <c r="CR96" s="98">
        <v>0.87485316712617833</v>
      </c>
      <c r="CS96" s="98">
        <v>607.84798051926862</v>
      </c>
      <c r="CT96" s="98">
        <v>0.56067582437186925</v>
      </c>
      <c r="CU96" s="98">
        <v>389.55756277357472</v>
      </c>
    </row>
    <row r="97" spans="2:99">
      <c r="C97" s="97" t="s">
        <v>264</v>
      </c>
      <c r="D97" s="98">
        <v>0.85290155698529402</v>
      </c>
      <c r="E97" s="98">
        <v>334.67857096102938</v>
      </c>
      <c r="F97" s="98">
        <v>0.74460582366925276</v>
      </c>
      <c r="G97" s="98">
        <v>292.18332520781479</v>
      </c>
      <c r="H97" s="98">
        <v>0.73322389259107412</v>
      </c>
      <c r="I97" s="98">
        <v>287.71705545273744</v>
      </c>
      <c r="J97" s="98">
        <v>0.88652272419122291</v>
      </c>
      <c r="K97" s="98">
        <v>347.87151697263585</v>
      </c>
      <c r="L97" s="98">
        <v>0.7657029951254708</v>
      </c>
      <c r="M97" s="98">
        <v>300.4618552872347</v>
      </c>
      <c r="N97" s="98">
        <v>0.80689442635414443</v>
      </c>
      <c r="O97" s="98">
        <v>316.62537290136623</v>
      </c>
      <c r="P97" s="98">
        <v>0.70240542255855021</v>
      </c>
      <c r="Q97" s="98">
        <v>275.62388781197507</v>
      </c>
      <c r="R97" s="98">
        <v>0.75833353314594754</v>
      </c>
      <c r="S97" s="98">
        <v>297.5700784064698</v>
      </c>
      <c r="T97" s="98">
        <v>0.92748074332941222</v>
      </c>
      <c r="U97" s="98">
        <v>363.94344368246135</v>
      </c>
      <c r="V97" s="98">
        <v>0.74636765461841081</v>
      </c>
      <c r="W97" s="98">
        <v>292.87466767226437</v>
      </c>
      <c r="X97" s="98">
        <v>0.74631297444062894</v>
      </c>
      <c r="Y97" s="98">
        <v>292.85321117050279</v>
      </c>
      <c r="Z97" s="98">
        <v>0.79953459233643442</v>
      </c>
      <c r="AA97" s="98">
        <v>313.73737403281683</v>
      </c>
      <c r="AB97" s="98">
        <v>0.78445014817417935</v>
      </c>
      <c r="AC97" s="98">
        <v>307.81823814354794</v>
      </c>
      <c r="AD97" s="98">
        <v>0.82476840087214109</v>
      </c>
      <c r="AE97" s="98">
        <v>323.63912050222814</v>
      </c>
      <c r="AF97" s="98">
        <v>0.56138740921039232</v>
      </c>
      <c r="AG97" s="98">
        <v>220.28841937415794</v>
      </c>
      <c r="AH97" s="98">
        <v>0.80169059166189893</v>
      </c>
      <c r="AI97" s="98">
        <v>314.58338816812915</v>
      </c>
      <c r="AJ97" s="98">
        <v>0.75790822971254868</v>
      </c>
      <c r="AK97" s="98">
        <v>297.40318933920406</v>
      </c>
      <c r="AL97" s="98">
        <v>0.84948594390590892</v>
      </c>
      <c r="AM97" s="98">
        <v>333.33828438867863</v>
      </c>
      <c r="AN97" s="98">
        <v>0.82506655833953702</v>
      </c>
      <c r="AO97" s="98">
        <v>323.75611749243433</v>
      </c>
      <c r="AP97" s="98">
        <v>0.83474090622408914</v>
      </c>
      <c r="AQ97" s="98">
        <v>327.55233160233257</v>
      </c>
      <c r="AR97" s="98">
        <v>0.80447036300876051</v>
      </c>
      <c r="AS97" s="98">
        <v>315.67417044463758</v>
      </c>
      <c r="AT97" s="98">
        <v>0.63398299581259976</v>
      </c>
      <c r="AU97" s="98">
        <v>248.77492755686413</v>
      </c>
      <c r="AV97" s="98">
        <v>0.79163503330731988</v>
      </c>
      <c r="AW97" s="98">
        <v>310.63758706979229</v>
      </c>
      <c r="AX97" s="98">
        <v>0.75148530312265938</v>
      </c>
      <c r="AY97" s="98">
        <v>294.88283294533153</v>
      </c>
      <c r="AZ97" s="98">
        <v>0.45334227349119149</v>
      </c>
      <c r="BA97" s="98">
        <v>177.89150811794354</v>
      </c>
      <c r="BB97" s="98">
        <v>0.68409388791216796</v>
      </c>
      <c r="BC97" s="98">
        <v>268.43844161673468</v>
      </c>
      <c r="BD97" s="98">
        <v>0.65918321496021737</v>
      </c>
      <c r="BE97" s="98">
        <v>258.66349355038926</v>
      </c>
      <c r="BF97" s="98">
        <v>0.83638419248395446</v>
      </c>
      <c r="BG97" s="98">
        <v>328.19715713070372</v>
      </c>
      <c r="BH97" s="98">
        <v>0.7447608135117697</v>
      </c>
      <c r="BI97" s="98">
        <v>292.24414322201841</v>
      </c>
      <c r="BJ97" s="98">
        <v>0.68469038254410808</v>
      </c>
      <c r="BK97" s="98">
        <v>268.67250611030801</v>
      </c>
      <c r="BL97" s="98">
        <v>0.86250198271103018</v>
      </c>
      <c r="BM97" s="98">
        <v>338.44577801580823</v>
      </c>
      <c r="BN97" s="98">
        <v>0.64473387625359524</v>
      </c>
      <c r="BO97" s="98">
        <v>252.99357304191076</v>
      </c>
      <c r="BP97" s="98">
        <v>0.69359968650839454</v>
      </c>
      <c r="BQ97" s="98">
        <v>272.16851698589403</v>
      </c>
      <c r="BR97" s="98">
        <v>0.80693524784164594</v>
      </c>
      <c r="BS97" s="98">
        <v>316.64139125306184</v>
      </c>
      <c r="BT97" s="98">
        <v>0.64505056154451867</v>
      </c>
      <c r="BU97" s="98">
        <v>253.11784035006912</v>
      </c>
      <c r="BV97" s="98">
        <v>0.7815262629368297</v>
      </c>
      <c r="BW97" s="98">
        <v>306.67090557641194</v>
      </c>
      <c r="BX97" s="98">
        <v>0.88353846882123366</v>
      </c>
      <c r="BY97" s="98">
        <v>346.70049516545208</v>
      </c>
      <c r="BZ97" s="98">
        <v>0.67641322857018549</v>
      </c>
      <c r="CA97" s="98">
        <v>265.42455089094079</v>
      </c>
      <c r="CB97" s="98">
        <v>0.76803941512355123</v>
      </c>
      <c r="CC97" s="98">
        <v>301.37866649448148</v>
      </c>
      <c r="CD97" s="98">
        <v>0.82660750076256939</v>
      </c>
      <c r="CE97" s="98">
        <v>324.3607832992322</v>
      </c>
      <c r="CF97" s="98">
        <v>0.74200773283411925</v>
      </c>
      <c r="CG97" s="98">
        <v>291.16383436410837</v>
      </c>
      <c r="CH97" s="98">
        <v>0.68195812429443536</v>
      </c>
      <c r="CI97" s="98">
        <v>267.60036797313643</v>
      </c>
      <c r="CJ97" s="98">
        <v>0.71089147060080848</v>
      </c>
      <c r="CK97" s="98">
        <v>278.95381306375725</v>
      </c>
      <c r="CL97" s="98">
        <v>0.5954418930434201</v>
      </c>
      <c r="CM97" s="98">
        <v>233.65139883023804</v>
      </c>
      <c r="CN97" s="98">
        <v>0.77106567364538492</v>
      </c>
      <c r="CO97" s="98">
        <v>302.56617033844901</v>
      </c>
      <c r="CP97" s="98">
        <v>0.85804820220965516</v>
      </c>
      <c r="CQ97" s="98">
        <v>336.69811454706866</v>
      </c>
      <c r="CR97" s="98">
        <v>0.73530840905168149</v>
      </c>
      <c r="CS97" s="98">
        <v>288.53501971187978</v>
      </c>
      <c r="CT97" s="98">
        <v>0.56067582437186925</v>
      </c>
      <c r="CU97" s="98">
        <v>220.00919348352147</v>
      </c>
    </row>
    <row r="98" spans="2:99">
      <c r="C98" s="97" t="s">
        <v>265</v>
      </c>
      <c r="D98" s="98">
        <v>0.63967616773897062</v>
      </c>
      <c r="E98" s="98">
        <v>336.21379376360295</v>
      </c>
      <c r="F98" s="98">
        <v>0.76940128397718088</v>
      </c>
      <c r="G98" s="98">
        <v>404.39731485840628</v>
      </c>
      <c r="H98" s="98">
        <v>0.74619195030172725</v>
      </c>
      <c r="I98" s="98">
        <v>392.19848907858784</v>
      </c>
      <c r="J98" s="98">
        <v>0.88695151121548343</v>
      </c>
      <c r="K98" s="98">
        <v>466.18171429485812</v>
      </c>
      <c r="L98" s="98">
        <v>0.76541369390492697</v>
      </c>
      <c r="M98" s="98">
        <v>402.30143751642964</v>
      </c>
      <c r="N98" s="98">
        <v>0.92459212239896815</v>
      </c>
      <c r="O98" s="98">
        <v>485.96561953289768</v>
      </c>
      <c r="P98" s="98">
        <v>0.70240542255855021</v>
      </c>
      <c r="Q98" s="98">
        <v>369.18429009677402</v>
      </c>
      <c r="R98" s="98">
        <v>0.61268356336582575</v>
      </c>
      <c r="S98" s="98">
        <v>322.02648090507802</v>
      </c>
      <c r="T98" s="98">
        <v>0.80439176638741261</v>
      </c>
      <c r="U98" s="98">
        <v>422.78831241322411</v>
      </c>
      <c r="V98" s="98">
        <v>0.75061954698176447</v>
      </c>
      <c r="W98" s="98">
        <v>394.52563389361541</v>
      </c>
      <c r="X98" s="98">
        <v>0.75643105562996293</v>
      </c>
      <c r="Y98" s="98">
        <v>397.58016283910854</v>
      </c>
      <c r="Z98" s="98">
        <v>0.78778692361012981</v>
      </c>
      <c r="AA98" s="98">
        <v>414.06080704948425</v>
      </c>
      <c r="AB98" s="98">
        <v>0.78445014817417935</v>
      </c>
      <c r="AC98" s="98">
        <v>412.30699788034866</v>
      </c>
      <c r="AD98" s="98">
        <v>0.93131868959559772</v>
      </c>
      <c r="AE98" s="98">
        <v>489.50110325144618</v>
      </c>
      <c r="AF98" s="98">
        <v>0.68887844562373235</v>
      </c>
      <c r="AG98" s="98">
        <v>362.07451101983372</v>
      </c>
      <c r="AH98" s="98">
        <v>0.80169059166189893</v>
      </c>
      <c r="AI98" s="98">
        <v>421.36857497749412</v>
      </c>
      <c r="AJ98" s="98">
        <v>0.7548252038093437</v>
      </c>
      <c r="AK98" s="98">
        <v>396.73612712219108</v>
      </c>
      <c r="AL98" s="98">
        <v>0.84948594390590892</v>
      </c>
      <c r="AM98" s="98">
        <v>446.48981211694576</v>
      </c>
      <c r="AN98" s="98">
        <v>0.73684768412479473</v>
      </c>
      <c r="AO98" s="98">
        <v>387.28714277599215</v>
      </c>
      <c r="AP98" s="98">
        <v>0.83474090622408914</v>
      </c>
      <c r="AQ98" s="98">
        <v>438.73982031138127</v>
      </c>
      <c r="AR98" s="98">
        <v>0.80027380951689264</v>
      </c>
      <c r="AS98" s="98">
        <v>420.62391428207877</v>
      </c>
      <c r="AT98" s="98">
        <v>0.7780931383311358</v>
      </c>
      <c r="AU98" s="98">
        <v>408.96575350684498</v>
      </c>
      <c r="AV98" s="98">
        <v>0.66201188193801708</v>
      </c>
      <c r="AW98" s="98">
        <v>347.95344514662179</v>
      </c>
      <c r="AX98" s="98">
        <v>0.66717567023646018</v>
      </c>
      <c r="AY98" s="98">
        <v>350.66753227628351</v>
      </c>
      <c r="AZ98" s="98">
        <v>0.59487467757081203</v>
      </c>
      <c r="BA98" s="98">
        <v>312.66613053121881</v>
      </c>
      <c r="BB98" s="98">
        <v>0.69916144641278555</v>
      </c>
      <c r="BC98" s="98">
        <v>367.47925623456013</v>
      </c>
      <c r="BD98" s="98">
        <v>0.66171551729622535</v>
      </c>
      <c r="BE98" s="98">
        <v>347.79767589089607</v>
      </c>
      <c r="BF98" s="98">
        <v>0.73330572518644666</v>
      </c>
      <c r="BG98" s="98">
        <v>385.42548915799637</v>
      </c>
      <c r="BH98" s="98">
        <v>0.72084623139502602</v>
      </c>
      <c r="BI98" s="98">
        <v>378.87677922122572</v>
      </c>
      <c r="BJ98" s="98">
        <v>0.68784333252298724</v>
      </c>
      <c r="BK98" s="98">
        <v>361.53045557408211</v>
      </c>
      <c r="BL98" s="98">
        <v>0.86441025401160365</v>
      </c>
      <c r="BM98" s="98">
        <v>454.33402950849887</v>
      </c>
      <c r="BN98" s="98">
        <v>0.6334527773799763</v>
      </c>
      <c r="BO98" s="98">
        <v>332.94277979091555</v>
      </c>
      <c r="BP98" s="98">
        <v>0.70423337949118725</v>
      </c>
      <c r="BQ98" s="98">
        <v>370.14506426056806</v>
      </c>
      <c r="BR98" s="98">
        <v>0.69931104571230129</v>
      </c>
      <c r="BS98" s="98">
        <v>367.5578856263856</v>
      </c>
      <c r="BT98" s="98">
        <v>0.52542925668609652</v>
      </c>
      <c r="BU98" s="98">
        <v>276.16561731421234</v>
      </c>
      <c r="BV98" s="98">
        <v>0.77991019256639738</v>
      </c>
      <c r="BW98" s="98">
        <v>409.92079721289849</v>
      </c>
      <c r="BX98" s="98">
        <v>0.76289136787762746</v>
      </c>
      <c r="BY98" s="98">
        <v>400.97570295648103</v>
      </c>
      <c r="BZ98" s="98">
        <v>0.67770480567107039</v>
      </c>
      <c r="CA98" s="98">
        <v>356.20164586071462</v>
      </c>
      <c r="CB98" s="98">
        <v>0.88321613554408318</v>
      </c>
      <c r="CC98" s="98">
        <v>464.21840084197015</v>
      </c>
      <c r="CD98" s="98">
        <v>0.81607129598052564</v>
      </c>
      <c r="CE98" s="98">
        <v>428.92707316736431</v>
      </c>
      <c r="CF98" s="98">
        <v>0.86435903547567117</v>
      </c>
      <c r="CG98" s="98">
        <v>454.30710904601278</v>
      </c>
      <c r="CH98" s="98">
        <v>0.68195812429443536</v>
      </c>
      <c r="CI98" s="98">
        <v>358.43719012915523</v>
      </c>
      <c r="CJ98" s="98">
        <v>0.70220057817026904</v>
      </c>
      <c r="CK98" s="98">
        <v>369.07662388629342</v>
      </c>
      <c r="CL98" s="98">
        <v>0.5777848535016703</v>
      </c>
      <c r="CM98" s="98">
        <v>303.68371900047794</v>
      </c>
      <c r="CN98" s="98">
        <v>0.77135420279317357</v>
      </c>
      <c r="CO98" s="98">
        <v>405.42376898809204</v>
      </c>
      <c r="CP98" s="98">
        <v>0.85772147874080185</v>
      </c>
      <c r="CQ98" s="98">
        <v>450.81840922616544</v>
      </c>
      <c r="CR98" s="98">
        <v>0.73280276780640163</v>
      </c>
      <c r="CS98" s="98">
        <v>385.16113475904473</v>
      </c>
      <c r="CT98" s="98">
        <v>0.6970934191881295</v>
      </c>
      <c r="CU98" s="98">
        <v>366.39230112528088</v>
      </c>
    </row>
    <row r="99" spans="2:99">
      <c r="C99" s="97" t="s">
        <v>266</v>
      </c>
      <c r="D99" s="98">
        <v>0.42645077849264701</v>
      </c>
      <c r="E99" s="98">
        <v>1794.6754562084554</v>
      </c>
      <c r="F99" s="98">
        <v>0.56224994948096885</v>
      </c>
      <c r="G99" s="98">
        <v>2366.1726873957091</v>
      </c>
      <c r="H99" s="98">
        <v>0.5842237752841043</v>
      </c>
      <c r="I99" s="98">
        <v>2458.6473359056245</v>
      </c>
      <c r="J99" s="98">
        <v>0.61388362085167347</v>
      </c>
      <c r="K99" s="98">
        <v>2583.4678299921825</v>
      </c>
      <c r="L99" s="98">
        <v>0.63462359633431464</v>
      </c>
      <c r="M99" s="98">
        <v>2670.7499428133297</v>
      </c>
      <c r="N99" s="98">
        <v>0.5497827432043767</v>
      </c>
      <c r="O99" s="98">
        <v>2313.7056965012989</v>
      </c>
      <c r="P99" s="98">
        <v>0.60531570814292157</v>
      </c>
      <c r="Q99" s="98">
        <v>2547.4106261486709</v>
      </c>
      <c r="R99" s="98">
        <v>0.46058708981884566</v>
      </c>
      <c r="S99" s="98">
        <v>1938.3347087936299</v>
      </c>
      <c r="T99" s="98">
        <v>0.57713150214433173</v>
      </c>
      <c r="U99" s="98">
        <v>2428.8002136242053</v>
      </c>
      <c r="V99" s="98">
        <v>0.59879488064007014</v>
      </c>
      <c r="W99" s="98">
        <v>2519.9683756856712</v>
      </c>
      <c r="X99" s="98">
        <v>0.62731300093589015</v>
      </c>
      <c r="Y99" s="98">
        <v>2639.9840331385999</v>
      </c>
      <c r="Z99" s="98">
        <v>0.61516881976019167</v>
      </c>
      <c r="AA99" s="98">
        <v>2588.8764610787903</v>
      </c>
      <c r="AB99" s="98">
        <v>0.62849918804603844</v>
      </c>
      <c r="AC99" s="98">
        <v>2644.9759829729478</v>
      </c>
      <c r="AD99" s="98">
        <v>0.68981985364825871</v>
      </c>
      <c r="AE99" s="98">
        <v>2903.0378720933318</v>
      </c>
      <c r="AF99" s="98">
        <v>0.55174554729344882</v>
      </c>
      <c r="AG99" s="98">
        <v>2321.9659612297496</v>
      </c>
      <c r="AH99" s="98">
        <v>0.59525051876841995</v>
      </c>
      <c r="AI99" s="98">
        <v>2505.0522831850185</v>
      </c>
      <c r="AJ99" s="98">
        <v>0.60570997858939801</v>
      </c>
      <c r="AK99" s="98">
        <v>2549.0698738956225</v>
      </c>
      <c r="AL99" s="98">
        <v>0.67751873851380962</v>
      </c>
      <c r="AM99" s="98">
        <v>2851.2698591615163</v>
      </c>
      <c r="AN99" s="98">
        <v>0.65377178328659469</v>
      </c>
      <c r="AO99" s="98">
        <v>2751.3331727833047</v>
      </c>
      <c r="AP99" s="98">
        <v>0.66823935141146984</v>
      </c>
      <c r="AQ99" s="98">
        <v>2812.2184864800292</v>
      </c>
      <c r="AR99" s="98">
        <v>0.54051012883104166</v>
      </c>
      <c r="AS99" s="98">
        <v>2274.6828261725555</v>
      </c>
      <c r="AT99" s="98">
        <v>0.47754233349296604</v>
      </c>
      <c r="AU99" s="98">
        <v>2009.6891562717981</v>
      </c>
      <c r="AV99" s="98">
        <v>0.42115617173976438</v>
      </c>
      <c r="AW99" s="98">
        <v>1772.3936331496243</v>
      </c>
      <c r="AX99" s="98">
        <v>0.61143036438986165</v>
      </c>
      <c r="AY99" s="98">
        <v>2573.1435454982934</v>
      </c>
      <c r="AZ99" s="98">
        <v>0.4504677673659585</v>
      </c>
      <c r="BA99" s="98">
        <v>1895.7485521828996</v>
      </c>
      <c r="BB99" s="98">
        <v>0.57246671341995292</v>
      </c>
      <c r="BC99" s="98">
        <v>2409.1689167565296</v>
      </c>
      <c r="BD99" s="98">
        <v>0.52785303243537551</v>
      </c>
      <c r="BE99" s="98">
        <v>2221.4167017010341</v>
      </c>
      <c r="BF99" s="98">
        <v>0.60364628628452377</v>
      </c>
      <c r="BG99" s="98">
        <v>2540.3850311997894</v>
      </c>
      <c r="BH99" s="98">
        <v>0.58591230460537291</v>
      </c>
      <c r="BI99" s="98">
        <v>2465.7533427012513</v>
      </c>
      <c r="BJ99" s="98">
        <v>0.61745507062169191</v>
      </c>
      <c r="BK99" s="98">
        <v>2598.4979192043279</v>
      </c>
      <c r="BL99" s="98">
        <v>0.61879894665155499</v>
      </c>
      <c r="BM99" s="98">
        <v>2604.1534870884038</v>
      </c>
      <c r="BN99" s="98">
        <v>0.62099956912895415</v>
      </c>
      <c r="BO99" s="98">
        <v>2613.4145867222906</v>
      </c>
      <c r="BP99" s="98">
        <v>0.52551661137269212</v>
      </c>
      <c r="BQ99" s="98">
        <v>2211.5841073008373</v>
      </c>
      <c r="BR99" s="98">
        <v>0.58381376644551819</v>
      </c>
      <c r="BS99" s="98">
        <v>2456.9218547093187</v>
      </c>
      <c r="BT99" s="98">
        <v>0.39407194251457239</v>
      </c>
      <c r="BU99" s="98">
        <v>1658.4123628783263</v>
      </c>
      <c r="BV99" s="98">
        <v>0.64884778022504286</v>
      </c>
      <c r="BW99" s="98">
        <v>2730.6109982990702</v>
      </c>
      <c r="BX99" s="98">
        <v>0.64027383555240247</v>
      </c>
      <c r="BY99" s="98">
        <v>2694.5284095387301</v>
      </c>
      <c r="BZ99" s="98">
        <v>0.50892439280374524</v>
      </c>
      <c r="CA99" s="98">
        <v>2141.7574146752813</v>
      </c>
      <c r="CB99" s="98">
        <v>0.70883693773805323</v>
      </c>
      <c r="CC99" s="98">
        <v>2983.069368776823</v>
      </c>
      <c r="CD99" s="98">
        <v>0.56581915195201526</v>
      </c>
      <c r="CE99" s="98">
        <v>2381.1933190748609</v>
      </c>
      <c r="CF99" s="98">
        <v>0.61807644679560581</v>
      </c>
      <c r="CG99" s="98">
        <v>2601.1129186946273</v>
      </c>
      <c r="CH99" s="98">
        <v>0.54556649943554825</v>
      </c>
      <c r="CI99" s="98">
        <v>2295.9620562245609</v>
      </c>
      <c r="CJ99" s="98">
        <v>0.55858597344941929</v>
      </c>
      <c r="CK99" s="98">
        <v>2350.7532106645358</v>
      </c>
      <c r="CL99" s="98">
        <v>0.44464228251274701</v>
      </c>
      <c r="CM99" s="98">
        <v>1871.2325817266444</v>
      </c>
      <c r="CN99" s="98">
        <v>0.51796113719609849</v>
      </c>
      <c r="CO99" s="98">
        <v>2179.7876497760608</v>
      </c>
      <c r="CP99" s="98">
        <v>0.62467133343215953</v>
      </c>
      <c r="CQ99" s="98">
        <v>2628.8668396159001</v>
      </c>
      <c r="CR99" s="98">
        <v>0.58824672724134508</v>
      </c>
      <c r="CS99" s="98">
        <v>2475.5775269224764</v>
      </c>
      <c r="CT99" s="98">
        <v>0.42050686827890194</v>
      </c>
      <c r="CU99" s="98">
        <v>1769.6611044649308</v>
      </c>
    </row>
    <row r="100" spans="2:99">
      <c r="C100" s="97" t="s">
        <v>267</v>
      </c>
      <c r="D100" s="98">
        <v>0.85290155698529402</v>
      </c>
      <c r="E100" s="98">
        <v>276.34010446323526</v>
      </c>
      <c r="F100" s="98">
        <v>0.74460582366925276</v>
      </c>
      <c r="G100" s="98">
        <v>241.2522868688379</v>
      </c>
      <c r="H100" s="98">
        <v>0.7338195744745134</v>
      </c>
      <c r="I100" s="98">
        <v>237.75754212974235</v>
      </c>
      <c r="J100" s="98">
        <v>0.77044176715381218</v>
      </c>
      <c r="K100" s="98">
        <v>249.62313255783513</v>
      </c>
      <c r="L100" s="98">
        <v>0.75531629631473785</v>
      </c>
      <c r="M100" s="98">
        <v>244.72248000597506</v>
      </c>
      <c r="N100" s="98">
        <v>0.91266381753523684</v>
      </c>
      <c r="O100" s="98">
        <v>295.70307688141673</v>
      </c>
      <c r="P100" s="98">
        <v>0.70240542255855021</v>
      </c>
      <c r="Q100" s="98">
        <v>227.57935690897025</v>
      </c>
      <c r="R100" s="98">
        <v>0.7604823677349003</v>
      </c>
      <c r="S100" s="98">
        <v>246.39628714610771</v>
      </c>
      <c r="T100" s="98">
        <v>0.86221482305530373</v>
      </c>
      <c r="U100" s="98">
        <v>279.35760266991838</v>
      </c>
      <c r="V100" s="98">
        <v>0.89394042859675171</v>
      </c>
      <c r="W100" s="98">
        <v>289.63669886534757</v>
      </c>
      <c r="X100" s="98">
        <v>0.74631297444062894</v>
      </c>
      <c r="Y100" s="98">
        <v>241.80540371876378</v>
      </c>
      <c r="Z100" s="98">
        <v>0.92670204026883685</v>
      </c>
      <c r="AA100" s="98">
        <v>300.25146104710313</v>
      </c>
      <c r="AB100" s="98">
        <v>0.78679782194091685</v>
      </c>
      <c r="AC100" s="98">
        <v>254.92249430885707</v>
      </c>
      <c r="AD100" s="98">
        <v>0.94883057858008868</v>
      </c>
      <c r="AE100" s="98">
        <v>307.42110745994876</v>
      </c>
      <c r="AF100" s="98">
        <v>0.69530635356836135</v>
      </c>
      <c r="AG100" s="98">
        <v>225.27925855614907</v>
      </c>
      <c r="AH100" s="98">
        <v>0.70983257744942874</v>
      </c>
      <c r="AI100" s="98">
        <v>229.9857550936149</v>
      </c>
      <c r="AJ100" s="98">
        <v>0.75174217790613884</v>
      </c>
      <c r="AK100" s="98">
        <v>243.56446564158898</v>
      </c>
      <c r="AL100" s="98">
        <v>0.84948594390590892</v>
      </c>
      <c r="AM100" s="98">
        <v>275.23344582551448</v>
      </c>
      <c r="AN100" s="98">
        <v>0.82452870553855029</v>
      </c>
      <c r="AO100" s="98">
        <v>267.14730059449028</v>
      </c>
      <c r="AP100" s="98">
        <v>0.67270561573345711</v>
      </c>
      <c r="AQ100" s="98">
        <v>217.95661949764011</v>
      </c>
      <c r="AR100" s="98">
        <v>0.80027380951689264</v>
      </c>
      <c r="AS100" s="98">
        <v>259.28871428347321</v>
      </c>
      <c r="AT100" s="98">
        <v>0.6298728225455672</v>
      </c>
      <c r="AU100" s="98">
        <v>204.07879450476378</v>
      </c>
      <c r="AV100" s="98">
        <v>0.55795414924947961</v>
      </c>
      <c r="AW100" s="98">
        <v>180.7771443568314</v>
      </c>
      <c r="AX100" s="98">
        <v>0.9645530354824533</v>
      </c>
      <c r="AY100" s="98">
        <v>312.51518349631488</v>
      </c>
      <c r="AZ100" s="98">
        <v>0.59774918369604502</v>
      </c>
      <c r="BA100" s="98">
        <v>193.67073551751858</v>
      </c>
      <c r="BB100" s="98">
        <v>0.78040793138985221</v>
      </c>
      <c r="BC100" s="98">
        <v>252.85216977031212</v>
      </c>
      <c r="BD100" s="98">
        <v>0.66171551729622535</v>
      </c>
      <c r="BE100" s="98">
        <v>214.39582760397701</v>
      </c>
      <c r="BF100" s="98">
        <v>0.83638419248395446</v>
      </c>
      <c r="BG100" s="98">
        <v>270.98847836480127</v>
      </c>
      <c r="BH100" s="98">
        <v>0.73280352245339775</v>
      </c>
      <c r="BI100" s="98">
        <v>237.42834127490087</v>
      </c>
      <c r="BJ100" s="98">
        <v>0.8598057648356392</v>
      </c>
      <c r="BK100" s="98">
        <v>278.5770678067471</v>
      </c>
      <c r="BL100" s="98">
        <v>0.74637527858301311</v>
      </c>
      <c r="BM100" s="98">
        <v>241.82559026089626</v>
      </c>
      <c r="BN100" s="98">
        <v>0.77129264244453499</v>
      </c>
      <c r="BO100" s="98">
        <v>249.89881615202933</v>
      </c>
      <c r="BP100" s="98">
        <v>0.69403493894133739</v>
      </c>
      <c r="BQ100" s="98">
        <v>224.86732021699331</v>
      </c>
      <c r="BR100" s="98">
        <v>0.80671443255224073</v>
      </c>
      <c r="BS100" s="98">
        <v>261.37547614692602</v>
      </c>
      <c r="BT100" s="98">
        <v>0.65287456775325337</v>
      </c>
      <c r="BU100" s="98">
        <v>211.53135995205409</v>
      </c>
      <c r="BV100" s="98">
        <v>0.77829412219596505</v>
      </c>
      <c r="BW100" s="98">
        <v>252.16729559149269</v>
      </c>
      <c r="BX100" s="98">
        <v>0.77239129949341312</v>
      </c>
      <c r="BY100" s="98">
        <v>250.25478103586585</v>
      </c>
      <c r="BZ100" s="98">
        <v>0.67641322857018549</v>
      </c>
      <c r="CA100" s="98">
        <v>219.1578860567401</v>
      </c>
      <c r="CB100" s="98">
        <v>0.7650786807927682</v>
      </c>
      <c r="CC100" s="98">
        <v>247.8854925768569</v>
      </c>
      <c r="CD100" s="98">
        <v>0.80553509119848199</v>
      </c>
      <c r="CE100" s="98">
        <v>260.99336954830818</v>
      </c>
      <c r="CF100" s="98">
        <v>0.86277905207870953</v>
      </c>
      <c r="CG100" s="98">
        <v>279.54041287350191</v>
      </c>
      <c r="CH100" s="98">
        <v>0.55293807990151367</v>
      </c>
      <c r="CI100" s="98">
        <v>179.15193788809043</v>
      </c>
      <c r="CJ100" s="98">
        <v>0.71983391960253107</v>
      </c>
      <c r="CK100" s="98">
        <v>233.22618995122008</v>
      </c>
      <c r="CL100" s="98">
        <v>0.58661337327254526</v>
      </c>
      <c r="CM100" s="98">
        <v>190.06273294030467</v>
      </c>
      <c r="CN100" s="98">
        <v>0.76046772593901435</v>
      </c>
      <c r="CO100" s="98">
        <v>246.39154320424066</v>
      </c>
      <c r="CP100" s="98">
        <v>0.85837492567850837</v>
      </c>
      <c r="CQ100" s="98">
        <v>278.11347591983673</v>
      </c>
      <c r="CR100" s="98">
        <v>0.73530840905168149</v>
      </c>
      <c r="CS100" s="98">
        <v>238.23992453274479</v>
      </c>
      <c r="CT100" s="98">
        <v>0.56067582437186925</v>
      </c>
      <c r="CU100" s="98">
        <v>181.65896709648564</v>
      </c>
    </row>
    <row r="101" spans="2:99">
      <c r="C101" s="97" t="s">
        <v>268</v>
      </c>
      <c r="D101" s="98">
        <v>0.85290155698529402</v>
      </c>
      <c r="E101" s="98">
        <v>617.15956663455881</v>
      </c>
      <c r="F101" s="98">
        <v>0.61295470880168679</v>
      </c>
      <c r="G101" s="98">
        <v>443.53402728890057</v>
      </c>
      <c r="H101" s="98">
        <v>0.62431931218294223</v>
      </c>
      <c r="I101" s="98">
        <v>451.75745429557702</v>
      </c>
      <c r="J101" s="98">
        <v>0.88652272419122291</v>
      </c>
      <c r="K101" s="98">
        <v>641.48784322476888</v>
      </c>
      <c r="L101" s="98">
        <v>0.75502699509419391</v>
      </c>
      <c r="M101" s="98">
        <v>546.33753365015878</v>
      </c>
      <c r="N101" s="98">
        <v>0.81902195974322589</v>
      </c>
      <c r="O101" s="98">
        <v>592.64429007019828</v>
      </c>
      <c r="P101" s="98">
        <v>0.69771172120555647</v>
      </c>
      <c r="Q101" s="98">
        <v>504.86420146434068</v>
      </c>
      <c r="R101" s="98">
        <v>0.76263120232385306</v>
      </c>
      <c r="S101" s="98">
        <v>551.83993800154008</v>
      </c>
      <c r="T101" s="98">
        <v>0.85873239289410974</v>
      </c>
      <c r="U101" s="98">
        <v>621.37875949817783</v>
      </c>
      <c r="V101" s="98">
        <v>0.74636765461841081</v>
      </c>
      <c r="W101" s="98">
        <v>540.07163488188212</v>
      </c>
      <c r="X101" s="98">
        <v>0.85323597691183972</v>
      </c>
      <c r="Y101" s="98">
        <v>617.40155289340726</v>
      </c>
      <c r="Z101" s="98">
        <v>0.90397671231006893</v>
      </c>
      <c r="AA101" s="98">
        <v>654.11754902756593</v>
      </c>
      <c r="AB101" s="98">
        <v>0.78679782194091685</v>
      </c>
      <c r="AC101" s="98">
        <v>569.3269039564475</v>
      </c>
      <c r="AD101" s="98">
        <v>0.81509941708402878</v>
      </c>
      <c r="AE101" s="98">
        <v>589.80593820200329</v>
      </c>
      <c r="AF101" s="98">
        <v>0.77526862648367245</v>
      </c>
      <c r="AG101" s="98">
        <v>560.98437812358543</v>
      </c>
      <c r="AH101" s="98">
        <v>0.81343643300133106</v>
      </c>
      <c r="AI101" s="98">
        <v>588.60260291976317</v>
      </c>
      <c r="AJ101" s="98">
        <v>0.75790822971254868</v>
      </c>
      <c r="AK101" s="98">
        <v>548.42239502000029</v>
      </c>
      <c r="AL101" s="98">
        <v>0.84948594390590892</v>
      </c>
      <c r="AM101" s="98">
        <v>614.68802901031574</v>
      </c>
      <c r="AN101" s="98">
        <v>0.82452870553855029</v>
      </c>
      <c r="AO101" s="98">
        <v>596.62897132769501</v>
      </c>
      <c r="AP101" s="98">
        <v>0.67270561573345711</v>
      </c>
      <c r="AQ101" s="98">
        <v>486.76978354472959</v>
      </c>
      <c r="AR101" s="98">
        <v>0.80447036300876051</v>
      </c>
      <c r="AS101" s="98">
        <v>582.11475467313915</v>
      </c>
      <c r="AT101" s="98">
        <v>0.78220331159816825</v>
      </c>
      <c r="AU101" s="98">
        <v>566.00231627243454</v>
      </c>
      <c r="AV101" s="98">
        <v>0.56154156231968577</v>
      </c>
      <c r="AW101" s="98">
        <v>406.33147449452463</v>
      </c>
      <c r="AX101" s="98">
        <v>0.84711807721839361</v>
      </c>
      <c r="AY101" s="98">
        <v>612.97464067522958</v>
      </c>
      <c r="AZ101" s="98">
        <v>0.59487467757081203</v>
      </c>
      <c r="BA101" s="98">
        <v>430.45131669023959</v>
      </c>
      <c r="BB101" s="98">
        <v>0.78806449689711777</v>
      </c>
      <c r="BC101" s="98">
        <v>570.24346995475446</v>
      </c>
      <c r="BD101" s="98">
        <v>0.66171551729622535</v>
      </c>
      <c r="BE101" s="98">
        <v>478.81734831554866</v>
      </c>
      <c r="BF101" s="98">
        <v>0.73330572518644666</v>
      </c>
      <c r="BG101" s="98">
        <v>530.62002274491283</v>
      </c>
      <c r="BH101" s="98">
        <v>0.74443030015442446</v>
      </c>
      <c r="BI101" s="98">
        <v>538.66976519174159</v>
      </c>
      <c r="BJ101" s="98">
        <v>0.68784333252298724</v>
      </c>
      <c r="BK101" s="98">
        <v>497.72343541363358</v>
      </c>
      <c r="BL101" s="98">
        <v>0.74446700728243953</v>
      </c>
      <c r="BM101" s="98">
        <v>538.69632646957325</v>
      </c>
      <c r="BN101" s="98">
        <v>0.63306207425417527</v>
      </c>
      <c r="BO101" s="98">
        <v>458.08371693032126</v>
      </c>
      <c r="BP101" s="98">
        <v>0.70423337949118725</v>
      </c>
      <c r="BQ101" s="98">
        <v>509.5832733998231</v>
      </c>
      <c r="BR101" s="98">
        <v>0.80671443255224073</v>
      </c>
      <c r="BS101" s="98">
        <v>583.73856339480142</v>
      </c>
      <c r="BT101" s="98">
        <v>0.64896256464888613</v>
      </c>
      <c r="BU101" s="98">
        <v>469.58931177993401</v>
      </c>
      <c r="BV101" s="98">
        <v>0.77991019256639738</v>
      </c>
      <c r="BW101" s="98">
        <v>564.3430153410452</v>
      </c>
      <c r="BX101" s="98">
        <v>0.75273462580130224</v>
      </c>
      <c r="BY101" s="98">
        <v>544.67877522982235</v>
      </c>
      <c r="BZ101" s="98">
        <v>0.67770480567107039</v>
      </c>
      <c r="CA101" s="98">
        <v>490.38719738358657</v>
      </c>
      <c r="CB101" s="98">
        <v>0.88913760420564936</v>
      </c>
      <c r="CC101" s="98">
        <v>643.37997040320795</v>
      </c>
      <c r="CD101" s="98">
        <v>0.80553509119848199</v>
      </c>
      <c r="CE101" s="98">
        <v>582.88519199122163</v>
      </c>
      <c r="CF101" s="98">
        <v>0.86435903547567117</v>
      </c>
      <c r="CG101" s="98">
        <v>625.45019807019571</v>
      </c>
      <c r="CH101" s="98">
        <v>0.68195812429443536</v>
      </c>
      <c r="CI101" s="98">
        <v>493.46489873945342</v>
      </c>
      <c r="CJ101" s="98">
        <v>0.5031110044528071</v>
      </c>
      <c r="CK101" s="98">
        <v>364.05112282205124</v>
      </c>
      <c r="CL101" s="98">
        <v>0.59579921660728752</v>
      </c>
      <c r="CM101" s="98">
        <v>431.12031313703324</v>
      </c>
      <c r="CN101" s="98">
        <v>0.66156444357145239</v>
      </c>
      <c r="CO101" s="98">
        <v>478.70803136830295</v>
      </c>
      <c r="CP101" s="98">
        <v>0.74217657649304047</v>
      </c>
      <c r="CQ101" s="98">
        <v>537.03897075036411</v>
      </c>
      <c r="CR101" s="98">
        <v>0.73280276780640163</v>
      </c>
      <c r="CS101" s="98">
        <v>530.25608278471225</v>
      </c>
      <c r="CT101" s="98">
        <v>0.55880014373351572</v>
      </c>
      <c r="CU101" s="98">
        <v>404.34778400557201</v>
      </c>
    </row>
    <row r="102" spans="2:99">
      <c r="C102" s="97" t="s">
        <v>269</v>
      </c>
      <c r="D102" s="98">
        <v>0.63967616773897062</v>
      </c>
      <c r="E102" s="98">
        <v>340.05185077003682</v>
      </c>
      <c r="F102" s="98">
        <v>0.76940128397718088</v>
      </c>
      <c r="G102" s="98">
        <v>409.01372256226938</v>
      </c>
      <c r="H102" s="98">
        <v>0.7338195744745134</v>
      </c>
      <c r="I102" s="98">
        <v>390.09848579065135</v>
      </c>
      <c r="J102" s="98">
        <v>0.88695151121548343</v>
      </c>
      <c r="K102" s="98">
        <v>471.50342336215101</v>
      </c>
      <c r="L102" s="98">
        <v>0.75531629631473785</v>
      </c>
      <c r="M102" s="98">
        <v>401.52614312091464</v>
      </c>
      <c r="N102" s="98">
        <v>0.80689442635414443</v>
      </c>
      <c r="O102" s="98">
        <v>428.94507704986319</v>
      </c>
      <c r="P102" s="98">
        <v>0.7884838041637795</v>
      </c>
      <c r="Q102" s="98">
        <v>419.15799029346522</v>
      </c>
      <c r="R102" s="98">
        <v>0.7604823677349003</v>
      </c>
      <c r="S102" s="98">
        <v>404.27242668787301</v>
      </c>
      <c r="T102" s="98">
        <v>0.72141437768041472</v>
      </c>
      <c r="U102" s="98">
        <v>383.50388317490848</v>
      </c>
      <c r="V102" s="98">
        <v>0.88968853623339805</v>
      </c>
      <c r="W102" s="98">
        <v>472.95842586167441</v>
      </c>
      <c r="X102" s="98">
        <v>0.86452939200769008</v>
      </c>
      <c r="Y102" s="98">
        <v>459.58382479128807</v>
      </c>
      <c r="Z102" s="98">
        <v>0.78778692361012981</v>
      </c>
      <c r="AA102" s="98">
        <v>418.78752859114502</v>
      </c>
      <c r="AB102" s="98">
        <v>0.78914549570765413</v>
      </c>
      <c r="AC102" s="98">
        <v>419.50974551818894</v>
      </c>
      <c r="AD102" s="98">
        <v>0.93101434316364207</v>
      </c>
      <c r="AE102" s="98">
        <v>494.92722482579217</v>
      </c>
      <c r="AF102" s="98">
        <v>0.78738483794620329</v>
      </c>
      <c r="AG102" s="98">
        <v>418.57377985220171</v>
      </c>
      <c r="AH102" s="98">
        <v>0.8126687947910054</v>
      </c>
      <c r="AI102" s="98">
        <v>432.01473131089847</v>
      </c>
      <c r="AJ102" s="98">
        <v>0.75790822971254868</v>
      </c>
      <c r="AK102" s="98">
        <v>402.90401491519088</v>
      </c>
      <c r="AL102" s="98">
        <v>0.84689842314226194</v>
      </c>
      <c r="AM102" s="98">
        <v>450.21120174242645</v>
      </c>
      <c r="AN102" s="98">
        <v>0.80882504707596259</v>
      </c>
      <c r="AO102" s="98">
        <v>429.97139502558173</v>
      </c>
      <c r="AP102" s="98">
        <v>0.66823935141146984</v>
      </c>
      <c r="AQ102" s="98">
        <v>355.23603921033737</v>
      </c>
      <c r="AR102" s="98">
        <v>0.80027380951689264</v>
      </c>
      <c r="AS102" s="98">
        <v>425.42555713918017</v>
      </c>
      <c r="AT102" s="98">
        <v>0.63398299581259976</v>
      </c>
      <c r="AU102" s="98">
        <v>337.02536057397805</v>
      </c>
      <c r="AV102" s="98">
        <v>0.68593176134815137</v>
      </c>
      <c r="AW102" s="98">
        <v>364.6413243326773</v>
      </c>
      <c r="AX102" s="98">
        <v>0.77370953641635698</v>
      </c>
      <c r="AY102" s="98">
        <v>411.30398955893537</v>
      </c>
      <c r="AZ102" s="98">
        <v>0.59774918369604502</v>
      </c>
      <c r="BA102" s="98">
        <v>317.76346605281753</v>
      </c>
      <c r="BB102" s="98">
        <v>0.77299693839650019</v>
      </c>
      <c r="BC102" s="98">
        <v>410.9251724515795</v>
      </c>
      <c r="BD102" s="98">
        <v>0.65918321496021737</v>
      </c>
      <c r="BE102" s="98">
        <v>350.42179707285158</v>
      </c>
      <c r="BF102" s="98">
        <v>0.7329564363020481</v>
      </c>
      <c r="BG102" s="98">
        <v>389.6396415381688</v>
      </c>
      <c r="BH102" s="98">
        <v>0.86608488245632476</v>
      </c>
      <c r="BI102" s="98">
        <v>460.41072351378227</v>
      </c>
      <c r="BJ102" s="98">
        <v>0.68784333252298724</v>
      </c>
      <c r="BK102" s="98">
        <v>365.65751556922004</v>
      </c>
      <c r="BL102" s="98">
        <v>0.86441025401160365</v>
      </c>
      <c r="BM102" s="98">
        <v>459.52049103256854</v>
      </c>
      <c r="BN102" s="98">
        <v>0.63384348050577732</v>
      </c>
      <c r="BO102" s="98">
        <v>336.95119423687123</v>
      </c>
      <c r="BP102" s="98">
        <v>0.714431820041037</v>
      </c>
      <c r="BQ102" s="98">
        <v>379.79195553381527</v>
      </c>
      <c r="BR102" s="98">
        <v>0.80649361726283564</v>
      </c>
      <c r="BS102" s="98">
        <v>428.73200693692343</v>
      </c>
      <c r="BT102" s="98">
        <v>0.64896256464888613</v>
      </c>
      <c r="BU102" s="98">
        <v>344.98849936734786</v>
      </c>
      <c r="BV102" s="98">
        <v>0.9045083234260225</v>
      </c>
      <c r="BW102" s="98">
        <v>480.8366247332736</v>
      </c>
      <c r="BX102" s="98">
        <v>0.7727197047236829</v>
      </c>
      <c r="BY102" s="98">
        <v>410.77779503110986</v>
      </c>
      <c r="BZ102" s="98">
        <v>0.67641322857018549</v>
      </c>
      <c r="CA102" s="98">
        <v>359.58127230791064</v>
      </c>
      <c r="CB102" s="98">
        <v>0.88321613554408318</v>
      </c>
      <c r="CC102" s="98">
        <v>469.51769765523466</v>
      </c>
      <c r="CD102" s="98">
        <v>0.80553509119848199</v>
      </c>
      <c r="CE102" s="98">
        <v>428.22245448111306</v>
      </c>
      <c r="CF102" s="98">
        <v>0.74200773283411925</v>
      </c>
      <c r="CG102" s="98">
        <v>394.45131077461781</v>
      </c>
      <c r="CH102" s="98">
        <v>0.6782723340614526</v>
      </c>
      <c r="CI102" s="98">
        <v>360.56957278706824</v>
      </c>
      <c r="CJ102" s="98">
        <v>0.71114302717199163</v>
      </c>
      <c r="CK102" s="98">
        <v>378.04363324463077</v>
      </c>
      <c r="CL102" s="98">
        <v>0.59508456947955268</v>
      </c>
      <c r="CM102" s="98">
        <v>316.34695713533023</v>
      </c>
      <c r="CN102" s="98">
        <v>0.76046772593901435</v>
      </c>
      <c r="CO102" s="98">
        <v>404.26464310918004</v>
      </c>
      <c r="CP102" s="98">
        <v>0.85837492567850837</v>
      </c>
      <c r="CQ102" s="98">
        <v>456.31211049069509</v>
      </c>
      <c r="CR102" s="98">
        <v>0.73280276780640163</v>
      </c>
      <c r="CS102" s="98">
        <v>389.55795136588313</v>
      </c>
      <c r="CT102" s="98">
        <v>0.55880014373351572</v>
      </c>
      <c r="CU102" s="98">
        <v>297.05815640873698</v>
      </c>
    </row>
    <row r="103" spans="2:99">
      <c r="C103" s="97" t="s">
        <v>270</v>
      </c>
      <c r="D103" s="98">
        <v>0.85290155698529402</v>
      </c>
      <c r="E103" s="98">
        <v>502.52959737573519</v>
      </c>
      <c r="F103" s="98">
        <v>0.74460582366925276</v>
      </c>
      <c r="G103" s="98">
        <v>438.7217513059237</v>
      </c>
      <c r="H103" s="98">
        <v>0.74619195030172725</v>
      </c>
      <c r="I103" s="98">
        <v>439.65629711777763</v>
      </c>
      <c r="J103" s="98">
        <v>0.90015804962088586</v>
      </c>
      <c r="K103" s="98">
        <v>530.37312283662584</v>
      </c>
      <c r="L103" s="98">
        <v>0.75560559753528178</v>
      </c>
      <c r="M103" s="98">
        <v>445.20281806778797</v>
      </c>
      <c r="N103" s="98">
        <v>0.92492139625020253</v>
      </c>
      <c r="O103" s="98">
        <v>544.96368667061927</v>
      </c>
      <c r="P103" s="98">
        <v>0.69771172120555647</v>
      </c>
      <c r="Q103" s="98">
        <v>411.09174613431384</v>
      </c>
      <c r="R103" s="98">
        <v>0.7604823677349003</v>
      </c>
      <c r="S103" s="98">
        <v>448.0762110694032</v>
      </c>
      <c r="T103" s="98">
        <v>0.78980187501159238</v>
      </c>
      <c r="U103" s="98">
        <v>465.35126475683018</v>
      </c>
      <c r="V103" s="98">
        <v>0.75061954698176447</v>
      </c>
      <c r="W103" s="98">
        <v>442.26503708165558</v>
      </c>
      <c r="X103" s="98">
        <v>0.86492116997652901</v>
      </c>
      <c r="Y103" s="98">
        <v>509.61155335017082</v>
      </c>
      <c r="Z103" s="98">
        <v>0.78817192835705041</v>
      </c>
      <c r="AA103" s="98">
        <v>464.39090018797407</v>
      </c>
      <c r="AB103" s="98">
        <v>0.78445014817417935</v>
      </c>
      <c r="AC103" s="98">
        <v>462.1980273042264</v>
      </c>
      <c r="AD103" s="98">
        <v>0.82415970800823002</v>
      </c>
      <c r="AE103" s="98">
        <v>485.59489995844905</v>
      </c>
      <c r="AF103" s="98">
        <v>0.56138740921039232</v>
      </c>
      <c r="AG103" s="98">
        <v>330.76946150676309</v>
      </c>
      <c r="AH103" s="98">
        <v>0.80245822987222482</v>
      </c>
      <c r="AI103" s="98">
        <v>472.80838904071481</v>
      </c>
      <c r="AJ103" s="98">
        <v>0.75790822971254868</v>
      </c>
      <c r="AK103" s="98">
        <v>446.55952894663363</v>
      </c>
      <c r="AL103" s="98">
        <v>0.68528130080475025</v>
      </c>
      <c r="AM103" s="98">
        <v>403.76774243415878</v>
      </c>
      <c r="AN103" s="98">
        <v>0.82452870553855029</v>
      </c>
      <c r="AO103" s="98">
        <v>485.81231330331377</v>
      </c>
      <c r="AP103" s="98">
        <v>0.67270561573345711</v>
      </c>
      <c r="AQ103" s="98">
        <v>396.35814879015288</v>
      </c>
      <c r="AR103" s="98">
        <v>0.67668679941176901</v>
      </c>
      <c r="AS103" s="98">
        <v>398.70386221341425</v>
      </c>
      <c r="AT103" s="98">
        <v>0.6298728225455672</v>
      </c>
      <c r="AU103" s="98">
        <v>371.12106704384814</v>
      </c>
      <c r="AV103" s="98">
        <v>0.67397182164308422</v>
      </c>
      <c r="AW103" s="98">
        <v>397.10419731210516</v>
      </c>
      <c r="AX103" s="98">
        <v>0.77370953641635698</v>
      </c>
      <c r="AY103" s="98">
        <v>455.8696588565175</v>
      </c>
      <c r="AZ103" s="98">
        <v>0.60062368982127801</v>
      </c>
      <c r="BA103" s="98">
        <v>353.88747804269696</v>
      </c>
      <c r="BB103" s="98">
        <v>0.6097991227519366</v>
      </c>
      <c r="BC103" s="98">
        <v>359.29364312544101</v>
      </c>
      <c r="BD103" s="98">
        <v>0.65918321496021737</v>
      </c>
      <c r="BE103" s="98">
        <v>388.39075025456003</v>
      </c>
      <c r="BF103" s="98">
        <v>0.71628365521896697</v>
      </c>
      <c r="BG103" s="98">
        <v>422.03432965501531</v>
      </c>
      <c r="BH103" s="98">
        <v>0.84217030033958107</v>
      </c>
      <c r="BI103" s="98">
        <v>496.20674096008111</v>
      </c>
      <c r="BJ103" s="98">
        <v>0.68469038254410808</v>
      </c>
      <c r="BK103" s="98">
        <v>403.41957339498845</v>
      </c>
      <c r="BL103" s="98">
        <v>0.74446700728243953</v>
      </c>
      <c r="BM103" s="98">
        <v>438.63996069081333</v>
      </c>
      <c r="BN103" s="98">
        <v>0.75962084044511502</v>
      </c>
      <c r="BO103" s="98">
        <v>447.56859919026169</v>
      </c>
      <c r="BP103" s="98">
        <v>0.70379812705824407</v>
      </c>
      <c r="BQ103" s="98">
        <v>414.67785646271739</v>
      </c>
      <c r="BR103" s="98">
        <v>0.80671443255224073</v>
      </c>
      <c r="BS103" s="98">
        <v>475.31614365978021</v>
      </c>
      <c r="BT103" s="98">
        <v>0.64896256464888613</v>
      </c>
      <c r="BU103" s="98">
        <v>382.36874309112369</v>
      </c>
      <c r="BV103" s="98">
        <v>0.77829412219596505</v>
      </c>
      <c r="BW103" s="98">
        <v>458.57089679786253</v>
      </c>
      <c r="BX103" s="98">
        <v>0.88353846882123366</v>
      </c>
      <c r="BY103" s="98">
        <v>520.58086582947078</v>
      </c>
      <c r="BZ103" s="98">
        <v>0.6789963827719554</v>
      </c>
      <c r="CA103" s="98">
        <v>400.06466872923608</v>
      </c>
      <c r="CB103" s="98">
        <v>0.76211794646198505</v>
      </c>
      <c r="CC103" s="98">
        <v>449.03989405540153</v>
      </c>
      <c r="CD103" s="98">
        <v>0.71227983793069938</v>
      </c>
      <c r="CE103" s="98">
        <v>419.67528050876803</v>
      </c>
      <c r="CF103" s="98">
        <v>0.74358771623108078</v>
      </c>
      <c r="CG103" s="98">
        <v>438.12188240335274</v>
      </c>
      <c r="CH103" s="98">
        <v>0.76374925011769368</v>
      </c>
      <c r="CI103" s="98">
        <v>450.00105816934507</v>
      </c>
      <c r="CJ103" s="98">
        <v>0.6237963274129168</v>
      </c>
      <c r="CK103" s="98">
        <v>367.54079611169055</v>
      </c>
      <c r="CL103" s="98">
        <v>0.70138425759198386</v>
      </c>
      <c r="CM103" s="98">
        <v>413.25560457319682</v>
      </c>
      <c r="CN103" s="98">
        <v>0.75989066764343682</v>
      </c>
      <c r="CO103" s="98">
        <v>447.7275813755129</v>
      </c>
      <c r="CP103" s="98">
        <v>0.75162621775940586</v>
      </c>
      <c r="CQ103" s="98">
        <v>442.85816750384186</v>
      </c>
      <c r="CR103" s="98">
        <v>0.73530840905168149</v>
      </c>
      <c r="CS103" s="98">
        <v>433.24371461325069</v>
      </c>
      <c r="CT103" s="98">
        <v>0.56255150501022277</v>
      </c>
      <c r="CU103" s="98">
        <v>331.45534675202322</v>
      </c>
    </row>
    <row r="104" spans="2:99">
      <c r="C104" s="97" t="s">
        <v>271</v>
      </c>
      <c r="D104" s="98">
        <v>0.85290155698529402</v>
      </c>
      <c r="E104" s="98">
        <v>539.37494463749988</v>
      </c>
      <c r="F104" s="98">
        <v>0.75756047317564745</v>
      </c>
      <c r="G104" s="98">
        <v>479.08124323627942</v>
      </c>
      <c r="H104" s="98">
        <v>0.73322389259107412</v>
      </c>
      <c r="I104" s="98">
        <v>463.69078967459524</v>
      </c>
      <c r="J104" s="98">
        <v>0.75809280279693081</v>
      </c>
      <c r="K104" s="98">
        <v>479.417888488779</v>
      </c>
      <c r="L104" s="98">
        <v>0.76541369390492697</v>
      </c>
      <c r="M104" s="98">
        <v>484.04762002547579</v>
      </c>
      <c r="N104" s="98">
        <v>0.69005450653714029</v>
      </c>
      <c r="O104" s="98">
        <v>436.39046993408749</v>
      </c>
      <c r="P104" s="98">
        <v>0.70240542255855021</v>
      </c>
      <c r="Q104" s="98">
        <v>444.20118922602711</v>
      </c>
      <c r="R104" s="98">
        <v>0.7604823677349003</v>
      </c>
      <c r="S104" s="98">
        <v>480.92904935555094</v>
      </c>
      <c r="T104" s="98">
        <v>0.85873239289410974</v>
      </c>
      <c r="U104" s="98">
        <v>543.06236526623502</v>
      </c>
      <c r="V104" s="98">
        <v>0.75061954698176447</v>
      </c>
      <c r="W104" s="98">
        <v>474.69180151126784</v>
      </c>
      <c r="X104" s="98">
        <v>0.75603927766112389</v>
      </c>
      <c r="Y104" s="98">
        <v>478.11923919289472</v>
      </c>
      <c r="Z104" s="98">
        <v>0.90397671231006893</v>
      </c>
      <c r="AA104" s="98">
        <v>571.67487286488756</v>
      </c>
      <c r="AB104" s="98">
        <v>0.78445014817417935</v>
      </c>
      <c r="AC104" s="98">
        <v>496.086273705351</v>
      </c>
      <c r="AD104" s="98">
        <v>0.82446405444018556</v>
      </c>
      <c r="AE104" s="98">
        <v>521.39106802797335</v>
      </c>
      <c r="AF104" s="98">
        <v>0.78738483794620329</v>
      </c>
      <c r="AG104" s="98">
        <v>497.94217151717896</v>
      </c>
      <c r="AH104" s="98">
        <v>0.81305261389616834</v>
      </c>
      <c r="AI104" s="98">
        <v>514.17447302793687</v>
      </c>
      <c r="AJ104" s="98">
        <v>0.7548252038093437</v>
      </c>
      <c r="AK104" s="98">
        <v>477.35145888902895</v>
      </c>
      <c r="AL104" s="98">
        <v>0.68269378004110337</v>
      </c>
      <c r="AM104" s="98">
        <v>431.73554649799377</v>
      </c>
      <c r="AN104" s="98">
        <v>0.82452870553855029</v>
      </c>
      <c r="AO104" s="98">
        <v>521.4319533825792</v>
      </c>
      <c r="AP104" s="98">
        <v>0.67047248357246347</v>
      </c>
      <c r="AQ104" s="98">
        <v>424.00679861122586</v>
      </c>
      <c r="AR104" s="98">
        <v>0.67668679941176901</v>
      </c>
      <c r="AS104" s="98">
        <v>427.93673194800272</v>
      </c>
      <c r="AT104" s="98">
        <v>0.62576264927853464</v>
      </c>
      <c r="AU104" s="98">
        <v>395.73229940374529</v>
      </c>
      <c r="AV104" s="98">
        <v>0.79195711920341494</v>
      </c>
      <c r="AW104" s="98">
        <v>500.83368218423959</v>
      </c>
      <c r="AX104" s="98">
        <v>0.77370953641635698</v>
      </c>
      <c r="AY104" s="98">
        <v>489.29391082970415</v>
      </c>
      <c r="AZ104" s="98">
        <v>0.59774918369604502</v>
      </c>
      <c r="BA104" s="98">
        <v>378.01658376937888</v>
      </c>
      <c r="BB104" s="98">
        <v>0.78806449689711777</v>
      </c>
      <c r="BC104" s="98">
        <v>498.37198783773727</v>
      </c>
      <c r="BD104" s="98">
        <v>0.66171551729622535</v>
      </c>
      <c r="BE104" s="98">
        <v>418.4688931381329</v>
      </c>
      <c r="BF104" s="98">
        <v>0.72444540131830826</v>
      </c>
      <c r="BG104" s="98">
        <v>458.13927179369813</v>
      </c>
      <c r="BH104" s="98">
        <v>0.86575436909897951</v>
      </c>
      <c r="BI104" s="98">
        <v>547.50306301819467</v>
      </c>
      <c r="BJ104" s="98">
        <v>0.74989463438346005</v>
      </c>
      <c r="BK104" s="98">
        <v>474.2333667841001</v>
      </c>
      <c r="BL104" s="98">
        <v>0.74255873598186606</v>
      </c>
      <c r="BM104" s="98">
        <v>469.59414463493209</v>
      </c>
      <c r="BN104" s="98">
        <v>0.64434317312779421</v>
      </c>
      <c r="BO104" s="98">
        <v>407.48262268601707</v>
      </c>
      <c r="BP104" s="98">
        <v>0.68383649839148775</v>
      </c>
      <c r="BQ104" s="98">
        <v>432.45820158277684</v>
      </c>
      <c r="BR104" s="98">
        <v>0.70652167698152435</v>
      </c>
      <c r="BS104" s="98">
        <v>446.80430852311599</v>
      </c>
      <c r="BT104" s="98">
        <v>0.52542925668609652</v>
      </c>
      <c r="BU104" s="98">
        <v>332.28146192828746</v>
      </c>
      <c r="BV104" s="98">
        <v>0.9045083234260225</v>
      </c>
      <c r="BW104" s="98">
        <v>572.01106373461664</v>
      </c>
      <c r="BX104" s="98">
        <v>0.76223455741708779</v>
      </c>
      <c r="BY104" s="98">
        <v>482.03713411056629</v>
      </c>
      <c r="BZ104" s="98">
        <v>0.67512165146930048</v>
      </c>
      <c r="CA104" s="98">
        <v>426.94693238918563</v>
      </c>
      <c r="CB104" s="98">
        <v>0.88617686987486632</v>
      </c>
      <c r="CC104" s="98">
        <v>560.41825250886541</v>
      </c>
      <c r="CD104" s="98">
        <v>0.82713190956325244</v>
      </c>
      <c r="CE104" s="98">
        <v>523.07821960780086</v>
      </c>
      <c r="CF104" s="98">
        <v>0.74358771623108078</v>
      </c>
      <c r="CG104" s="98">
        <v>470.24487174453549</v>
      </c>
      <c r="CH104" s="98">
        <v>0.76415833146505363</v>
      </c>
      <c r="CI104" s="98">
        <v>483.25372881849989</v>
      </c>
      <c r="CJ104" s="98">
        <v>0.71089147060080848</v>
      </c>
      <c r="CK104" s="98">
        <v>449.56776600795126</v>
      </c>
      <c r="CL104" s="98">
        <v>0.59579921660728752</v>
      </c>
      <c r="CM104" s="98">
        <v>376.78342458244862</v>
      </c>
      <c r="CN104" s="98">
        <v>0.65067796671729317</v>
      </c>
      <c r="CO104" s="98">
        <v>411.48874615201618</v>
      </c>
      <c r="CP104" s="98">
        <v>0.85772147874080185</v>
      </c>
      <c r="CQ104" s="98">
        <v>542.42306315568305</v>
      </c>
      <c r="CR104" s="98">
        <v>0.87735880837145819</v>
      </c>
      <c r="CS104" s="98">
        <v>554.84171041411014</v>
      </c>
      <c r="CT104" s="98">
        <v>0.55880014373351572</v>
      </c>
      <c r="CU104" s="98">
        <v>353.38521089707535</v>
      </c>
    </row>
    <row r="105" spans="2:99">
      <c r="C105" s="97" t="s">
        <v>272</v>
      </c>
      <c r="D105" s="98">
        <v>0.85290155698529402</v>
      </c>
      <c r="E105" s="98">
        <v>474.89558692941165</v>
      </c>
      <c r="F105" s="98">
        <v>0.75756047317564745</v>
      </c>
      <c r="G105" s="98">
        <v>421.80967146420045</v>
      </c>
      <c r="H105" s="98">
        <v>0.73322389259107412</v>
      </c>
      <c r="I105" s="98">
        <v>408.25906339471004</v>
      </c>
      <c r="J105" s="98">
        <v>0.77087055417807271</v>
      </c>
      <c r="K105" s="98">
        <v>429.22072456635084</v>
      </c>
      <c r="L105" s="98">
        <v>0.87543039385407317</v>
      </c>
      <c r="M105" s="98">
        <v>487.4396432979479</v>
      </c>
      <c r="N105" s="98">
        <v>0.78402563818038595</v>
      </c>
      <c r="O105" s="98">
        <v>436.54547533883886</v>
      </c>
      <c r="P105" s="98">
        <v>0.7884838041637795</v>
      </c>
      <c r="Q105" s="98">
        <v>439.02778215839237</v>
      </c>
      <c r="R105" s="98">
        <v>0.7604823677349003</v>
      </c>
      <c r="S105" s="98">
        <v>423.43658235479245</v>
      </c>
      <c r="T105" s="98">
        <v>0.92711989022528729</v>
      </c>
      <c r="U105" s="98">
        <v>516.22035487743995</v>
      </c>
      <c r="V105" s="98">
        <v>0.75061954698176447</v>
      </c>
      <c r="W105" s="98">
        <v>417.94496375944641</v>
      </c>
      <c r="X105" s="98">
        <v>0.74631297444062894</v>
      </c>
      <c r="Y105" s="98">
        <v>415.54706416854214</v>
      </c>
      <c r="Z105" s="98">
        <v>0.77680926437766651</v>
      </c>
      <c r="AA105" s="98">
        <v>432.52739840548469</v>
      </c>
      <c r="AB105" s="98">
        <v>0.78445014817417935</v>
      </c>
      <c r="AC105" s="98">
        <v>436.78184250338302</v>
      </c>
      <c r="AD105" s="98">
        <v>0.83321999893243093</v>
      </c>
      <c r="AE105" s="98">
        <v>463.9368954055775</v>
      </c>
      <c r="AF105" s="98">
        <v>0.56138740921039232</v>
      </c>
      <c r="AG105" s="98">
        <v>312.58050944834639</v>
      </c>
      <c r="AH105" s="98">
        <v>0.81305261389616834</v>
      </c>
      <c r="AI105" s="98">
        <v>452.7076954173865</v>
      </c>
      <c r="AJ105" s="98">
        <v>0.7548252038093437</v>
      </c>
      <c r="AK105" s="98">
        <v>420.28667348104256</v>
      </c>
      <c r="AL105" s="98">
        <v>0.84689842314226194</v>
      </c>
      <c r="AM105" s="98">
        <v>471.55304200561142</v>
      </c>
      <c r="AN105" s="98">
        <v>0.8407702168021246</v>
      </c>
      <c r="AO105" s="98">
        <v>468.14085671542296</v>
      </c>
      <c r="AP105" s="98">
        <v>0.67270561573345711</v>
      </c>
      <c r="AQ105" s="98">
        <v>374.56248684038889</v>
      </c>
      <c r="AR105" s="98">
        <v>0.89478234086042086</v>
      </c>
      <c r="AS105" s="98">
        <v>498.21480739108227</v>
      </c>
      <c r="AT105" s="98">
        <v>0.63398299581259976</v>
      </c>
      <c r="AU105" s="98">
        <v>353.00173206845551</v>
      </c>
      <c r="AV105" s="98">
        <v>0.66233396783411214</v>
      </c>
      <c r="AW105" s="98">
        <v>368.7875532900336</v>
      </c>
      <c r="AX105" s="98">
        <v>0.84711807721839361</v>
      </c>
      <c r="AY105" s="98">
        <v>471.67534539520153</v>
      </c>
      <c r="AZ105" s="98">
        <v>0.45621677961642443</v>
      </c>
      <c r="BA105" s="98">
        <v>254.0215028904251</v>
      </c>
      <c r="BB105" s="98">
        <v>0.60660763656335348</v>
      </c>
      <c r="BC105" s="98">
        <v>337.75913203847517</v>
      </c>
      <c r="BD105" s="98">
        <v>0.66171551729622535</v>
      </c>
      <c r="BE105" s="98">
        <v>368.44320003053826</v>
      </c>
      <c r="BF105" s="98">
        <v>0.82752386861581606</v>
      </c>
      <c r="BG105" s="98">
        <v>460.76529004528635</v>
      </c>
      <c r="BH105" s="98">
        <v>0.74409978679707922</v>
      </c>
      <c r="BI105" s="98">
        <v>414.31476128861368</v>
      </c>
      <c r="BJ105" s="98">
        <v>0.68469038254410808</v>
      </c>
      <c r="BK105" s="98">
        <v>381.23560500055936</v>
      </c>
      <c r="BL105" s="98">
        <v>0.86441025401160365</v>
      </c>
      <c r="BM105" s="98">
        <v>481.30362943366089</v>
      </c>
      <c r="BN105" s="98">
        <v>0.62256238163215827</v>
      </c>
      <c r="BO105" s="98">
        <v>346.6427340927857</v>
      </c>
      <c r="BP105" s="98">
        <v>0.69447019137428045</v>
      </c>
      <c r="BQ105" s="98">
        <v>386.68100255719935</v>
      </c>
      <c r="BR105" s="98">
        <v>0.69210041444307813</v>
      </c>
      <c r="BS105" s="98">
        <v>385.36151076190589</v>
      </c>
      <c r="BT105" s="98">
        <v>0.52542925668609652</v>
      </c>
      <c r="BU105" s="98">
        <v>292.55901012281851</v>
      </c>
      <c r="BV105" s="98">
        <v>0.77991019256639738</v>
      </c>
      <c r="BW105" s="98">
        <v>434.25399522097001</v>
      </c>
      <c r="BX105" s="98">
        <v>0.87403853720544789</v>
      </c>
      <c r="BY105" s="98">
        <v>486.66465751599333</v>
      </c>
      <c r="BZ105" s="98">
        <v>0.6789963827719554</v>
      </c>
      <c r="CA105" s="98">
        <v>378.06518592742475</v>
      </c>
      <c r="CB105" s="98">
        <v>0.88617686987486632</v>
      </c>
      <c r="CC105" s="98">
        <v>493.42328114632551</v>
      </c>
      <c r="CD105" s="98">
        <v>0.8165957047812088</v>
      </c>
      <c r="CE105" s="98">
        <v>454.68048842217701</v>
      </c>
      <c r="CF105" s="98">
        <v>0.86277905207870953</v>
      </c>
      <c r="CG105" s="98">
        <v>480.39537619742543</v>
      </c>
      <c r="CH105" s="98">
        <v>0.68195812429443536</v>
      </c>
      <c r="CI105" s="98">
        <v>379.71428360714157</v>
      </c>
      <c r="CJ105" s="98">
        <v>0.71983391960253107</v>
      </c>
      <c r="CK105" s="98">
        <v>400.80352643468927</v>
      </c>
      <c r="CL105" s="98">
        <v>0.58697069683641268</v>
      </c>
      <c r="CM105" s="98">
        <v>326.82528399851458</v>
      </c>
      <c r="CN105" s="98">
        <v>0.77106567364538492</v>
      </c>
      <c r="CO105" s="98">
        <v>429.32936708575028</v>
      </c>
      <c r="CP105" s="98">
        <v>0.85804820220965516</v>
      </c>
      <c r="CQ105" s="98">
        <v>477.76123899033598</v>
      </c>
      <c r="CR105" s="98">
        <v>0.73530840905168149</v>
      </c>
      <c r="CS105" s="98">
        <v>409.41972215997623</v>
      </c>
      <c r="CT105" s="98">
        <v>0.56067582437186925</v>
      </c>
      <c r="CU105" s="98">
        <v>312.18429901025678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165.34947182231599</v>
      </c>
      <c r="E109" s="98">
        <f>SUM(L$6:L$19)+SUM(N$6:N$19)+SUM(P$6:P$19)+SUM(R$6:R$19)</f>
        <v>45.921566743664968</v>
      </c>
      <c r="F109" s="98">
        <f>SUM(T$6:T$19)+SUM(V$6:V$19)+SUM(X$6:X$19)+SUM(Z$6:Z$19)</f>
        <v>55.524983954526121</v>
      </c>
      <c r="G109" s="98">
        <f>SUM(AB$6:AB$19)+SUM(AD$6:AD$19)+SUM(AF$6:AF$19)+SUM(AH$6:AH$19)</f>
        <v>50.278063796233212</v>
      </c>
      <c r="H109" s="98">
        <f>SUM(AJ$6:AJ$19)+SUM(AL$6:AL$19)+SUM(AN$6:AN$19)+SUM(AP$6:AP$19)</f>
        <v>49.794354650931695</v>
      </c>
      <c r="I109" s="98">
        <f>SUM(AR$6:AR$19)+SUM(AT$6:AT$19)+SUM(AV$6:AV$19)+SUM(AX$6:AX$19)</f>
        <v>49.794793206054166</v>
      </c>
      <c r="J109" s="98">
        <f>SUM(AZ$6:AZ$19)+SUM(BB$6:BB$19)+SUM(BD$6:BD$19)+SUM(BF$6:BF$19)</f>
        <v>55.36290374307611</v>
      </c>
      <c r="K109" s="98">
        <f>SUM(BH$6:BH$19)+SUM(BJ$6:BJ$19)+SUM(BL$6:BL$19)+SUM(BN$6:BN$19)</f>
        <v>52.709515244240158</v>
      </c>
      <c r="L109" s="98">
        <f>SUM(BP$6:BP$19)+SUM(BR$6:BR$19)+SUM(BT$6:BT$19)+SUM(BV$6:BV$19)</f>
        <v>59.24929784375631</v>
      </c>
      <c r="M109" s="98">
        <f>SUM(BX$6:BX$19)+SUM(BZ$6:BZ$19)+SUM(CB$6:CB$19)+SUM(CD$6:CD$19)</f>
        <v>55.197245167458334</v>
      </c>
      <c r="N109" s="98">
        <f>SUM(CF$6:CF$19)+SUM(CH$6:CH$19)+SUM(CJ$6:CJ$19)+SUM(CL$6:CL$19)</f>
        <v>49.141469101790832</v>
      </c>
      <c r="O109" s="98">
        <f>SUM(CN$6:CN$19)+SUM(CP$6:CP$19)+SUM(CR$6:CR$19)+SUM(CT$6:CT$19)</f>
        <v>57.712124098906258</v>
      </c>
    </row>
    <row r="110" spans="2:99">
      <c r="C110" s="97" t="s">
        <v>127</v>
      </c>
      <c r="D110" s="98">
        <f>SUM(D$20:D$36)+SUM(F$20:F$36)+SUM(H$20:H$36)+SUM(J$20:J$36)</f>
        <v>166.08045346382485</v>
      </c>
      <c r="E110" s="98">
        <f>SUM(L$20:L$36)+SUM(N$20:N$36)+SUM(P$20:P$36)+SUM(R$20:R$36)</f>
        <v>50.461541222896479</v>
      </c>
      <c r="F110" s="98">
        <f>SUM(T$20:T$36)+SUM(V$20:V$36)+SUM(X$20:X$36)+SUM(Z$20:Z$36)</f>
        <v>52.485512258385597</v>
      </c>
      <c r="G110" s="98">
        <f>SUM(AB$20:AB$36)+SUM(AD$20:AD$36)+SUM(AF$20:AF$36)+SUM(AH$20:AH$36)</f>
        <v>64.25925642366451</v>
      </c>
      <c r="H110" s="98">
        <f>SUM(AJ$20:AJ$36)+SUM(AL$20:AL$36)+SUM(AN$20:AN$36)+SUM(AP$20:AP$36)</f>
        <v>66.564662542682754</v>
      </c>
      <c r="I110" s="98">
        <f>SUM(AR$20:AR$36)+SUM(AT$20:AT$36)+SUM(AV$20:AV$36)+SUM(AX$20:AX$36)</f>
        <v>63.374173430898111</v>
      </c>
      <c r="J110" s="98">
        <f>SUM(AZ$20:AZ$36)+SUM(BB$20:BB$36)+SUM(BD$20:BD$36)+SUM(BF$20:BF$36)</f>
        <v>56.755996942168906</v>
      </c>
      <c r="K110" s="98">
        <f>SUM(BH$20:BH$36)+SUM(BJ$20:BJ$36)+SUM(BL$20:BL$36)+SUM(BN$20:BN$36)</f>
        <v>54.440371393788169</v>
      </c>
      <c r="L110" s="98">
        <f>SUM(BP$20:BP$36)+SUM(BR$20:BR$36)+SUM(BT$20:BT$36)+SUM(BV$20:BV$36)</f>
        <v>54.162481794595493</v>
      </c>
      <c r="M110" s="98">
        <f>SUM(BX$20:BX$36)+SUM(BZ$20:BZ$36)+SUM(CB$20:CB$36)+SUM(CD$20:CD$36)</f>
        <v>64.366946832136875</v>
      </c>
      <c r="N110" s="98">
        <f>SUM(CF$20:CF$36)+SUM(CH$20:CH$36)+SUM(CJ$20:CJ$36)+SUM(CL$20:CL$36)</f>
        <v>59.290150888463529</v>
      </c>
      <c r="O110" s="98">
        <f>SUM(CN$20:CN$36)+SUM(CP$20:CP$36)+SUM(CR$20:CR$36)+SUM(CT$20:CT$36)</f>
        <v>62.263493414339052</v>
      </c>
    </row>
    <row r="111" spans="2:99">
      <c r="C111" s="97" t="s">
        <v>128</v>
      </c>
      <c r="D111" s="98">
        <f>SUM(D$37:D$48)+SUM(F$37:F$48)+SUM(H$37:H$48)+SUM(J$37:J$48)</f>
        <v>165.87430755766417</v>
      </c>
      <c r="E111" s="98">
        <f>SUM(L$37:L$48)+SUM(N$37:N$48)+SUM(P$37:P$48)+SUM(R$37:R$48)</f>
        <v>66.046262694252619</v>
      </c>
      <c r="F111" s="98">
        <f>SUM(T$37:T$48)+SUM(V$37:V$48)+SUM(X$37:X$48)+SUM(Z$37:Z$48)</f>
        <v>57.945628693749569</v>
      </c>
      <c r="G111" s="98">
        <f>SUM(AB$37:AB$48)+SUM(AD$37:AD$48)+SUM(AF$37:AF$48)+SUM(AH$37:AH$48)</f>
        <v>53.192065344812733</v>
      </c>
      <c r="H111" s="98">
        <f>SUM(AJ$37:AJ$48)+SUM(AL$37:AL$48)+SUM(AN$37:AN$48)+SUM(AP$37:AP$48)</f>
        <v>53.86790062672442</v>
      </c>
      <c r="I111" s="98">
        <f>SUM(AR$37:AR$48)+SUM(AT$37:AT$48)+SUM(AV$37:AV$48)+SUM(AX$37:AX$48)</f>
        <v>50.61294366793917</v>
      </c>
      <c r="J111" s="98">
        <f>SUM(AZ$37:AZ$48)+SUM(BB$37:BB$48)+SUM(BD$37:BD$48)+SUM(BF$37:BF$48)</f>
        <v>49.120055100868548</v>
      </c>
      <c r="K111" s="98">
        <f>SUM(BH$37:BH$48)+SUM(BJ$37:BJ$48)+SUM(BL$37:BL$48)+SUM(BN$37:BN$48)</f>
        <v>63.479677684293698</v>
      </c>
      <c r="L111" s="98">
        <f>SUM(BP$37:BP$48)+SUM(BR$37:BR$48)+SUM(BT$37:BT$48)+SUM(BV$37:BV$48)</f>
        <v>50.829679010961961</v>
      </c>
      <c r="M111" s="98">
        <f>SUM(BX$37:BX$48)+SUM(BZ$37:BZ$48)+SUM(CB$37:CB$48)+SUM(CD$37:CD$48)</f>
        <v>52.75879593159673</v>
      </c>
      <c r="N111" s="98">
        <f>SUM(CF$37:CF$48)+SUM(CH$37:CH$48)+SUM(CJ$37:CJ$48)+SUM(CL$37:CL$48)</f>
        <v>56.883876270820863</v>
      </c>
      <c r="O111" s="98">
        <f>SUM(CN$37:CN$48)+SUM(CP$37:CP$48)+SUM(CR$37:CR$48)+SUM(CT$37:CT$48)</f>
        <v>52.593294072211776</v>
      </c>
    </row>
    <row r="112" spans="2:99">
      <c r="C112" s="97" t="s">
        <v>129</v>
      </c>
      <c r="D112" s="98">
        <f>SUM(D$49:D$70)+SUM(F$49:F$70)+SUM(H$49:H$70)+SUM(J$49:J$70)</f>
        <v>205.07522104895054</v>
      </c>
      <c r="E112" s="98">
        <f>SUM(L$49:L$70)+SUM(N$49:N$70)+SUM(P$49:P$70)+SUM(R$49:R$70)</f>
        <v>66.134034776242146</v>
      </c>
      <c r="F112" s="98">
        <f>SUM(T$49:T$70)+SUM(V$49:V$70)+SUM(X$49:X$70)+SUM(Z$49:Z$70)</f>
        <v>61.870711820954327</v>
      </c>
      <c r="G112" s="98">
        <f>SUM(AB$49:AB$70)+SUM(AD$49:AD$70)+SUM(AF$49:AF$70)+SUM(AH$49:AH$70)</f>
        <v>59.549742223789011</v>
      </c>
      <c r="H112" s="98">
        <f>SUM(AJ$49:AJ$70)+SUM(AL$49:AL$70)+SUM(AN$49:AN$70)+SUM(AP$49:AP$70)</f>
        <v>57.250112356281029</v>
      </c>
      <c r="I112" s="98">
        <f>SUM(AR$49:AR$70)+SUM(AT$49:AT$70)+SUM(AV$49:AV$70)+SUM(AX$49:AX$70)</f>
        <v>64.223950194641546</v>
      </c>
      <c r="J112" s="98">
        <f>SUM(AZ$49:AZ$70)+SUM(BB$49:BB$70)+SUM(BD$49:BD$70)+SUM(BF$49:BF$70)</f>
        <v>66.698849404087227</v>
      </c>
      <c r="K112" s="98">
        <f>SUM(BH$49:BH$70)+SUM(BJ$49:BJ$70)+SUM(BL$49:BL$70)+SUM(BN$49:BN$70)</f>
        <v>56.156495328236659</v>
      </c>
      <c r="L112" s="98">
        <f>SUM(BP$49:BP$70)+SUM(BR$49:BR$70)+SUM(BT$49:BT$70)+SUM(BV$49:BV$70)</f>
        <v>62.785300100281745</v>
      </c>
      <c r="M112" s="98">
        <f>SUM(BX$49:BX$70)+SUM(BZ$49:BZ$70)+SUM(CB$49:CB$70)+SUM(CD$49:CD$70)</f>
        <v>54.543426841864473</v>
      </c>
      <c r="N112" s="98">
        <f>SUM(CF$49:CF$70)+SUM(CH$49:CH$70)+SUM(CJ$49:CJ$70)+SUM(CL$49:CL$70)</f>
        <v>62.513791744929641</v>
      </c>
      <c r="O112" s="98">
        <f>SUM(CN$49:CN$70)+SUM(CP$49:CP$70)+SUM(CR$49:CR$70)+SUM(CT$49:CT$70)</f>
        <v>53.983055010672899</v>
      </c>
    </row>
    <row r="113" spans="2:15">
      <c r="C113" s="97" t="s">
        <v>130</v>
      </c>
      <c r="D113" s="98">
        <f>SUM(D$71:D$86)+SUM(F$71:F$86)+SUM(H$71:H$86)+SUM(J$71:J$86)</f>
        <v>200.66666043042017</v>
      </c>
      <c r="E113" s="98">
        <f>SUM(L$71:L$86)+SUM(N$71:N$86)+SUM(P$71:P$86)+SUM(R$71:R$86)</f>
        <v>21.87591775522607</v>
      </c>
      <c r="F113" s="98">
        <f>SUM(T$71:T$86)+SUM(V$71:V$86)+SUM(X$71:X$86)+SUM(Z$71:Z$86)</f>
        <v>22.345805443155569</v>
      </c>
      <c r="G113" s="98">
        <f>SUM(AB$71:AB$86)+SUM(AD$71:AD$86)+SUM(AF$71:AF$86)+SUM(AH$71:AH$86)</f>
        <v>22.632300573055993</v>
      </c>
      <c r="H113" s="98">
        <f>SUM(AJ$71:AJ$86)+SUM(AL$71:AL$86)+SUM(AN$71:AN$86)+SUM(AP$71:AP$86)</f>
        <v>22.082849618822443</v>
      </c>
      <c r="I113" s="98">
        <f>SUM(AR$71:AR$86)+SUM(AT$71:AT$86)+SUM(AV$71:AV$86)+SUM(AX$71:AX$86)</f>
        <v>20.28659294119927</v>
      </c>
      <c r="J113" s="98">
        <f>SUM(AZ$71:AZ$86)+SUM(BB$71:BB$86)+SUM(BD$71:BD$86)+SUM(BF$71:BF$86)</f>
        <v>20.437868259822373</v>
      </c>
      <c r="K113" s="98">
        <f>SUM(BH$71:BH$86)+SUM(BJ$71:BJ$86)+SUM(BL$71:BL$86)+SUM(BN$71:BN$86)</f>
        <v>21.311603769114836</v>
      </c>
      <c r="L113" s="98">
        <f>SUM(BP$71:BP$86)+SUM(BR$71:BR$86)+SUM(BT$71:BT$86)+SUM(BV$71:BV$86)</f>
        <v>20.561052496807964</v>
      </c>
      <c r="M113" s="98">
        <f>SUM(BX$71:BX$86)+SUM(BZ$71:BZ$86)+SUM(CB$71:CB$86)+SUM(CD$71:CD$86)</f>
        <v>20.576588784541961</v>
      </c>
      <c r="N113" s="98">
        <f>SUM(CF$71:CF$86)+SUM(CH$71:CH$86)+SUM(CJ$71:CJ$86)+SUM(CL$71:CL$86)</f>
        <v>20.064814407735593</v>
      </c>
      <c r="O113" s="98">
        <f>SUM(CN$71:CN$86)+SUM(CP$71:CP$86)+SUM(CR$71:CR$86)+SUM(CT$71:CT$86)</f>
        <v>20.784777667447599</v>
      </c>
    </row>
    <row r="114" spans="2:15">
      <c r="C114" s="97" t="s">
        <v>131</v>
      </c>
      <c r="D114" s="98">
        <f>SUM(D$87:D$94)+SUM(F$87:F$94)+SUM(H$87:H$94)+SUM(J$87:J$94)</f>
        <v>17.118666729595247</v>
      </c>
      <c r="E114" s="98">
        <f>SUM(L$87:L$94)+SUM(N$87:N$94)+SUM(P$87:P$94)+SUM(R$87:R$94)</f>
        <v>18.188208244092586</v>
      </c>
      <c r="F114" s="98">
        <f>SUM(T$87:T$94)+SUM(V$87:V$94)+SUM(X$87:X$94)+SUM(Z$87:Z$94)</f>
        <v>15.901441845907323</v>
      </c>
      <c r="G114" s="98">
        <f>SUM(AB$87:AB$94)+SUM(AD$87:AD$94)+SUM(AF$87:AF$94)+SUM(AH$87:AH$94)</f>
        <v>17.725817631655222</v>
      </c>
      <c r="H114" s="98">
        <f>SUM(AJ$87:AJ$94)+SUM(AL$87:AL$94)+SUM(AN$87:AN$94)+SUM(AP$87:AP$94)</f>
        <v>18.474824520472225</v>
      </c>
      <c r="I114" s="98">
        <f>SUM(AR$87:AR$94)+SUM(AT$87:AT$94)+SUM(AV$87:AV$94)+SUM(AX$87:AX$94)</f>
        <v>19.883847451297697</v>
      </c>
      <c r="J114" s="98">
        <f>SUM(AZ$87:AZ$94)+SUM(BB$87:BB$94)+SUM(BD$87:BD$94)+SUM(BF$87:BF$94)</f>
        <v>21.869894075188558</v>
      </c>
      <c r="K114" s="98">
        <f>SUM(BH$87:BH$94)+SUM(BJ$87:BJ$94)+SUM(BL$87:BL$94)+SUM(BN$87:BN$94)</f>
        <v>19.2309189311</v>
      </c>
      <c r="L114" s="98">
        <f>SUM(BP$87:BP$94)+SUM(BR$87:BR$94)+SUM(BT$87:BT$94)+SUM(BV$87:BV$94)</f>
        <v>20.449127099881391</v>
      </c>
      <c r="M114" s="98">
        <f>SUM(BX$87:BX$94)+SUM(BZ$87:BZ$94)+SUM(CB$87:CB$94)+SUM(CD$87:CD$94)</f>
        <v>18.12601779537734</v>
      </c>
      <c r="N114" s="98">
        <f>SUM(CF$87:CF$94)+SUM(CH$87:CH$94)+SUM(CJ$87:CJ$94)+SUM(CL$87:CL$94)</f>
        <v>21.23664655573014</v>
      </c>
      <c r="O114" s="98">
        <f>SUM(CN$87:CN$94)+SUM(CP$87:CP$94)+SUM(CR$87:CR$94)+SUM(CT$87:CT$94)</f>
        <v>21.069477582161522</v>
      </c>
    </row>
    <row r="115" spans="2:15">
      <c r="C115" s="97" t="s">
        <v>132</v>
      </c>
      <c r="D115" s="98">
        <f>SUM(D$95:D$105)+SUM(F$95:F$105)+SUM(H$95:H$105)+SUM(J$95:J$105)</f>
        <v>33.070088510155024</v>
      </c>
      <c r="E115" s="98">
        <f>SUM(L$95:L$105)+SUM(N$95:N$105)+SUM(P$95:P$105)+SUM(R$95:R$105)</f>
        <v>32.99770062865727</v>
      </c>
      <c r="F115" s="98">
        <f>SUM(T$95:T$105)+SUM(V$95:V$105)+SUM(X$95:X$105)+SUM(Z$95:Z$105)</f>
        <v>34.840535088680667</v>
      </c>
      <c r="G115" s="98">
        <f>SUM(AB$95:AB$105)+SUM(AD$95:AD$105)+SUM(AF$95:AF$105)+SUM(AH$95:AH$105)</f>
        <v>33.711136242131296</v>
      </c>
      <c r="H115" s="98">
        <f>SUM(AJ$95:AJ$105)+SUM(AL$95:AL$105)+SUM(AN$95:AN$105)+SUM(AP$95:AP$105)</f>
        <v>33.611643229840325</v>
      </c>
      <c r="I115" s="98">
        <f>SUM(AR$95:AR$105)+SUM(AT$95:AT$105)+SUM(AV$95:AV$105)+SUM(AX$95:AX$105)</f>
        <v>30.995348250383969</v>
      </c>
      <c r="J115" s="98">
        <f>SUM(AZ$95:AZ$105)+SUM(BB$95:BB$105)+SUM(BD$95:BD$105)+SUM(BF$95:BF$105)</f>
        <v>29.515656695077013</v>
      </c>
      <c r="K115" s="98">
        <f>SUM(BH$95:BH$105)+SUM(BJ$95:BJ$105)+SUM(BL$95:BL$105)+SUM(BN$95:BN$105)</f>
        <v>32.377307086294223</v>
      </c>
      <c r="L115" s="98">
        <f>SUM(BP$95:BP$105)+SUM(BR$95:BR$105)+SUM(BT$95:BT$105)+SUM(BV$95:BV$105)</f>
        <v>31.213084620591843</v>
      </c>
      <c r="M115" s="98">
        <f>SUM(BX$95:BX$105)+SUM(BZ$95:BZ$105)+SUM(CB$95:CB$105)+SUM(CD$95:CD$105)</f>
        <v>33.829607801783261</v>
      </c>
      <c r="N115" s="98">
        <f>SUM(CF$95:CF$105)+SUM(CH$95:CH$105)+SUM(CJ$95:CJ$105)+SUM(CL$95:CL$105)</f>
        <v>29.784014944564269</v>
      </c>
      <c r="O115" s="98">
        <f>SUM(CN$95:CN$105)+SUM(CP$95:CP$105)+SUM(CR$95:CR$105)+SUM(CT$95:CT$105)</f>
        <v>31.455553963980993</v>
      </c>
    </row>
    <row r="116" spans="2:15">
      <c r="C116" s="97" t="s">
        <v>279</v>
      </c>
      <c r="D116" s="98">
        <f t="shared" ref="D116:O116" si="0">SUM(D$109:D$115)</f>
        <v>953.23486956292595</v>
      </c>
      <c r="E116" s="98">
        <f t="shared" si="0"/>
        <v>301.62523206503215</v>
      </c>
      <c r="F116" s="98">
        <f t="shared" si="0"/>
        <v>300.91461910535918</v>
      </c>
      <c r="G116" s="98">
        <f t="shared" si="0"/>
        <v>301.348382235342</v>
      </c>
      <c r="H116" s="98">
        <f t="shared" si="0"/>
        <v>301.64634754575491</v>
      </c>
      <c r="I116" s="98">
        <f t="shared" si="0"/>
        <v>299.17164914241397</v>
      </c>
      <c r="J116" s="98">
        <f t="shared" si="0"/>
        <v>299.76122422028868</v>
      </c>
      <c r="K116" s="98">
        <f t="shared" si="0"/>
        <v>299.70588943706775</v>
      </c>
      <c r="L116" s="98">
        <f t="shared" si="0"/>
        <v>299.25002296687671</v>
      </c>
      <c r="M116" s="98">
        <f t="shared" si="0"/>
        <v>299.39862915475896</v>
      </c>
      <c r="N116" s="98">
        <f t="shared" si="0"/>
        <v>298.91476391403484</v>
      </c>
      <c r="O116" s="98">
        <f t="shared" si="0"/>
        <v>299.86177580972014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D109*pricing!D33*2000</f>
        <v>1091306.5140272854</v>
      </c>
      <c r="E120" s="98">
        <f>E109*pricing!E33*2000</f>
        <v>303082.34050818882</v>
      </c>
      <c r="F120" s="98">
        <f>F109*pricing!F33*2000</f>
        <v>366464.89409987238</v>
      </c>
      <c r="G120" s="98">
        <f>G109*pricing!G33*2000</f>
        <v>331835.22105513921</v>
      </c>
      <c r="H120" s="98">
        <f>H109*pricing!H33*2000</f>
        <v>328642.74069614918</v>
      </c>
      <c r="I120" s="98">
        <f>I109*pricing!I33*2000</f>
        <v>328645.63515995746</v>
      </c>
      <c r="J120" s="98">
        <f>J109*pricing!J33*2000</f>
        <v>365395.16470430233</v>
      </c>
      <c r="K120" s="98">
        <f>K109*pricing!K33*2000</f>
        <v>347882.80061198503</v>
      </c>
      <c r="L120" s="98">
        <f>L109*pricing!L33*2000</f>
        <v>391045.36576879158</v>
      </c>
      <c r="M120" s="98">
        <f>M109*pricing!M33*2000</f>
        <v>364301.81810522499</v>
      </c>
      <c r="N120" s="98">
        <f>N109*pricing!N33*2000</f>
        <v>324333.69607181946</v>
      </c>
      <c r="O120" s="98">
        <f>O109*pricing!O33*2000</f>
        <v>380900.01905278128</v>
      </c>
    </row>
    <row r="121" spans="2:15">
      <c r="C121" s="97" t="s">
        <v>127</v>
      </c>
      <c r="D121" s="98">
        <f>D110*pricing!D34*2000</f>
        <v>1096130.9928612441</v>
      </c>
      <c r="E121" s="98">
        <f>E110*pricing!E34*2000</f>
        <v>333046.17207111674</v>
      </c>
      <c r="F121" s="98">
        <f>F110*pricing!F34*2000</f>
        <v>346404.38090534491</v>
      </c>
      <c r="G121" s="98">
        <f>G110*pricing!G34*2000</f>
        <v>424111.09239618579</v>
      </c>
      <c r="H121" s="98">
        <f>H110*pricing!H34*2000</f>
        <v>439326.77278170618</v>
      </c>
      <c r="I121" s="98">
        <f>I110*pricing!I34*2000</f>
        <v>418269.54464392754</v>
      </c>
      <c r="J121" s="98">
        <f>J110*pricing!J34*2000</f>
        <v>374589.57981831476</v>
      </c>
      <c r="K121" s="98">
        <f>K110*pricing!K34*2000</f>
        <v>359306.45119900192</v>
      </c>
      <c r="L121" s="98">
        <f>L110*pricing!L34*2000</f>
        <v>357472.37984433025</v>
      </c>
      <c r="M121" s="98">
        <f>M110*pricing!M34*2000</f>
        <v>424821.84909210337</v>
      </c>
      <c r="N121" s="98">
        <f>N110*pricing!N34*2000</f>
        <v>391314.99586385931</v>
      </c>
      <c r="O121" s="98">
        <f>O110*pricing!O34*2000</f>
        <v>410939.0565346377</v>
      </c>
    </row>
    <row r="122" spans="2:15">
      <c r="C122" s="97" t="s">
        <v>128</v>
      </c>
      <c r="D122" s="98">
        <f>D111*pricing!D35*2000</f>
        <v>1127945.2913921163</v>
      </c>
      <c r="E122" s="98">
        <f>E111*pricing!E35*2000</f>
        <v>449114.58632091782</v>
      </c>
      <c r="F122" s="98">
        <f>F111*pricing!F35*2000</f>
        <v>394030.27511749708</v>
      </c>
      <c r="G122" s="98">
        <f>G111*pricing!G35*2000</f>
        <v>361706.0443447266</v>
      </c>
      <c r="H122" s="98">
        <f>H111*pricing!H35*2000</f>
        <v>366301.72426172608</v>
      </c>
      <c r="I122" s="98">
        <f>I111*pricing!I35*2000</f>
        <v>344168.01694198634</v>
      </c>
      <c r="J122" s="98">
        <f>J111*pricing!J35*2000</f>
        <v>334016.37468590611</v>
      </c>
      <c r="K122" s="98">
        <f>K111*pricing!K35*2000</f>
        <v>431661.80825319712</v>
      </c>
      <c r="L122" s="98">
        <f>L111*pricing!L35*2000</f>
        <v>345641.8172745413</v>
      </c>
      <c r="M122" s="98">
        <f>M111*pricing!M35*2000</f>
        <v>358759.81233485776</v>
      </c>
      <c r="N122" s="98">
        <f>N111*pricing!N35*2000</f>
        <v>386810.35864158184</v>
      </c>
      <c r="O122" s="98">
        <f>O111*pricing!O35*2000</f>
        <v>357634.39969104005</v>
      </c>
    </row>
    <row r="123" spans="2:15">
      <c r="C123" s="97" t="s">
        <v>129</v>
      </c>
      <c r="D123" s="98">
        <f>D112*pricing!D36*2000</f>
        <v>1394511.5031328637</v>
      </c>
      <c r="E123" s="98">
        <f>E112*pricing!E36*2000</f>
        <v>449711.43647844659</v>
      </c>
      <c r="F123" s="98">
        <f>F112*pricing!F36*2000</f>
        <v>420720.84038248943</v>
      </c>
      <c r="G123" s="98">
        <f>G112*pricing!G36*2000</f>
        <v>404938.24712176522</v>
      </c>
      <c r="H123" s="98">
        <f>H112*pricing!H36*2000</f>
        <v>389300.76402271102</v>
      </c>
      <c r="I123" s="98">
        <f>I112*pricing!I36*2000</f>
        <v>436722.86132356251</v>
      </c>
      <c r="J123" s="98">
        <f>J112*pricing!J36*2000</f>
        <v>453552.17594779312</v>
      </c>
      <c r="K123" s="98">
        <f>K112*pricing!K36*2000</f>
        <v>381864.16823200928</v>
      </c>
      <c r="L123" s="98">
        <f>L112*pricing!L36*2000</f>
        <v>426940.04068191582</v>
      </c>
      <c r="M123" s="98">
        <f>M112*pricing!M36*2000</f>
        <v>370895.30252467841</v>
      </c>
      <c r="N123" s="98">
        <f>N112*pricing!N36*2000</f>
        <v>425093.78386552155</v>
      </c>
      <c r="O123" s="98">
        <f>O112*pricing!O36*2000</f>
        <v>367084.77407257573</v>
      </c>
    </row>
    <row r="124" spans="2:15">
      <c r="C124" s="97" t="s">
        <v>130</v>
      </c>
      <c r="D124" s="98">
        <f>D113*pricing!D37*2000</f>
        <v>1324399.958840773</v>
      </c>
      <c r="E124" s="98">
        <f>E113*pricing!E37*2000</f>
        <v>144381.05718449206</v>
      </c>
      <c r="F124" s="98">
        <f>F113*pricing!F37*2000</f>
        <v>147482.31592482678</v>
      </c>
      <c r="G124" s="98">
        <f>G113*pricing!G37*2000</f>
        <v>149373.18378216954</v>
      </c>
      <c r="H124" s="98">
        <f>H113*pricing!H37*2000</f>
        <v>145746.80748422813</v>
      </c>
      <c r="I124" s="98">
        <f>I113*pricing!I37*2000</f>
        <v>133891.51341191519</v>
      </c>
      <c r="J124" s="98">
        <f>J113*pricing!J37*2000</f>
        <v>134889.93051482766</v>
      </c>
      <c r="K124" s="98">
        <f>K113*pricing!K37*2000</f>
        <v>140656.58487615793</v>
      </c>
      <c r="L124" s="98">
        <f>L113*pricing!L37*2000</f>
        <v>135702.94647893254</v>
      </c>
      <c r="M124" s="98">
        <f>M113*pricing!M37*2000</f>
        <v>135805.48597797693</v>
      </c>
      <c r="N124" s="98">
        <f>N113*pricing!N37*2000</f>
        <v>132427.77509105491</v>
      </c>
      <c r="O124" s="98">
        <f>O113*pricing!O37*2000</f>
        <v>137179.53260515415</v>
      </c>
    </row>
    <row r="125" spans="2:15">
      <c r="C125" s="97" t="s">
        <v>131</v>
      </c>
      <c r="D125" s="98">
        <f>D114*pricing!D38*2000</f>
        <v>112983.20041532863</v>
      </c>
      <c r="E125" s="98">
        <f>E114*pricing!E38*2000</f>
        <v>120042.17441101106</v>
      </c>
      <c r="F125" s="98">
        <f>F114*pricing!F38*2000</f>
        <v>104949.51618298833</v>
      </c>
      <c r="G125" s="98">
        <f>G114*pricing!G38*2000</f>
        <v>116990.39636892446</v>
      </c>
      <c r="H125" s="98">
        <f>H114*pricing!H38*2000</f>
        <v>121933.84183511668</v>
      </c>
      <c r="I125" s="98">
        <f>I114*pricing!I38*2000</f>
        <v>131233.39317856479</v>
      </c>
      <c r="J125" s="98">
        <f>J114*pricing!J38*2000</f>
        <v>144341.30089624447</v>
      </c>
      <c r="K125" s="98">
        <f>K114*pricing!K38*2000</f>
        <v>126924.06494525999</v>
      </c>
      <c r="L125" s="98">
        <f>L114*pricing!L38*2000</f>
        <v>134964.23885921718</v>
      </c>
      <c r="M125" s="98">
        <f>M114*pricing!M38*2000</f>
        <v>119631.71744949043</v>
      </c>
      <c r="N125" s="98">
        <f>N114*pricing!N38*2000</f>
        <v>140161.86726781892</v>
      </c>
      <c r="O125" s="98">
        <f>O114*pricing!O38*2000</f>
        <v>139058.55204226603</v>
      </c>
    </row>
    <row r="126" spans="2:15">
      <c r="C126" s="97" t="s">
        <v>132</v>
      </c>
      <c r="D126" s="98">
        <f>D115*pricing!D39*2000</f>
        <v>218262.58416702313</v>
      </c>
      <c r="E126" s="98">
        <f>E115*pricing!E39*2000</f>
        <v>217784.82414913797</v>
      </c>
      <c r="F126" s="98">
        <f>F115*pricing!F39*2000</f>
        <v>229947.53158529237</v>
      </c>
      <c r="G126" s="98">
        <f>G115*pricing!G39*2000</f>
        <v>222493.49919806654</v>
      </c>
      <c r="H126" s="98">
        <f>H115*pricing!H39*2000</f>
        <v>221836.84531694613</v>
      </c>
      <c r="I126" s="98">
        <f>I115*pricing!I39*2000</f>
        <v>204569.29845253419</v>
      </c>
      <c r="J126" s="98">
        <f>J115*pricing!J39*2000</f>
        <v>194803.33418750827</v>
      </c>
      <c r="K126" s="98">
        <f>K115*pricing!K39*2000</f>
        <v>213690.22676954186</v>
      </c>
      <c r="L126" s="98">
        <f>L115*pricing!L39*2000</f>
        <v>206006.35849590614</v>
      </c>
      <c r="M126" s="98">
        <f>M115*pricing!M39*2000</f>
        <v>223275.41149176951</v>
      </c>
      <c r="N126" s="98">
        <f>N115*pricing!N39*2000</f>
        <v>196574.49863412415</v>
      </c>
      <c r="O126" s="98">
        <f>O115*pricing!O39*2000</f>
        <v>207606.65616227454</v>
      </c>
    </row>
    <row r="127" spans="2:15">
      <c r="C127" s="97" t="s">
        <v>279</v>
      </c>
      <c r="D127" s="98">
        <f>SUM(D$120:D$126)</f>
        <v>6365540.0448366348</v>
      </c>
      <c r="E127" s="98">
        <f t="shared" ref="E127:O127" si="1">SUM(E$120:E$126)</f>
        <v>2017162.5911233111</v>
      </c>
      <c r="F127" s="98">
        <f t="shared" si="1"/>
        <v>2009999.7541983114</v>
      </c>
      <c r="G127" s="98">
        <f t="shared" si="1"/>
        <v>2011447.6842669775</v>
      </c>
      <c r="H127" s="98">
        <f t="shared" si="1"/>
        <v>2013089.4963985833</v>
      </c>
      <c r="I127" s="98">
        <f t="shared" si="1"/>
        <v>1997500.2631124479</v>
      </c>
      <c r="J127" s="98">
        <f t="shared" si="1"/>
        <v>2001587.8607548967</v>
      </c>
      <c r="K127" s="98">
        <f t="shared" si="1"/>
        <v>2001986.104887153</v>
      </c>
      <c r="L127" s="98">
        <f t="shared" si="1"/>
        <v>1997773.1474036351</v>
      </c>
      <c r="M127" s="98">
        <f t="shared" si="1"/>
        <v>1997491.3969761014</v>
      </c>
      <c r="N127" s="98">
        <f t="shared" si="1"/>
        <v>1996716.9754357801</v>
      </c>
      <c r="O127" s="98">
        <f t="shared" si="1"/>
        <v>2000402.9901607297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83762.087219574576</v>
      </c>
      <c r="E131" s="104">
        <f>SUM(M$6:M$19)+SUM(O$6:O$19)+SUM(Q$6:Q$19)+SUM(S$6:S$19)</f>
        <v>23096.996085536146</v>
      </c>
      <c r="F131" s="104">
        <f>SUM(U$6:U$19)+SUM(W$6:W$19)+SUM(Y$6:Y$19)+SUM(AA$6:AA$19)</f>
        <v>27917.538784264281</v>
      </c>
      <c r="G131" s="104">
        <f>SUM(AC$6:AC$19)+SUM(AE$6:AE$19)+SUM(AG$6:AG$19)+SUM(AI$6:AI$19)</f>
        <v>25323.009142651284</v>
      </c>
      <c r="H131" s="104">
        <f>SUM(AK$6:AK$19)+SUM(AM$6:AM$19)+SUM(AO$6:AO$19)+SUM(AQ$6:AQ$19)</f>
        <v>24986.024105810531</v>
      </c>
      <c r="I131" s="104">
        <f>SUM(AS$6:AS$19)+SUM(AU$6:AU$19)+SUM(AW$6:AW$19)+SUM(AY$6:AY$19)</f>
        <v>25156.211320858383</v>
      </c>
      <c r="J131" s="104">
        <f>SUM(BA$6:BA$19)+SUM(BC$6:BC$19)+SUM(BE$6:BE$19)+SUM(BG$6:BG$19)</f>
        <v>27993.807243081017</v>
      </c>
      <c r="K131" s="104">
        <f>SUM(BI$6:BI$19)+SUM(BK$6:BK$19)+SUM(BM$6:BM$19)+SUM(BO$6:BO$19)</f>
        <v>26505.04791257051</v>
      </c>
      <c r="L131" s="104">
        <f>SUM(BQ$6:BQ$19)+SUM(BS$6:BS$19)+SUM(BU$6:BU$19)+SUM(BW$6:BW$19)</f>
        <v>29896.940024025</v>
      </c>
      <c r="M131" s="104">
        <f>SUM(BY$6:BY$19)+SUM(CA$6:CA$19)+SUM(CC$6:CC$19)+SUM(CE$6:CE$19)</f>
        <v>27830.998306000205</v>
      </c>
      <c r="N131" s="104">
        <f>SUM(CG$6:CG$19)+SUM(CI$6:CI$19)+SUM(CK$6:CK$19)+SUM(CM$6:CM$19)</f>
        <v>24771.82331600145</v>
      </c>
      <c r="O131" s="104">
        <f>SUM(CO$6:CO$19)+SUM(CQ$6:CQ$19)+SUM(CS$6:CS$19)+SUM(CU$6:CU$19)</f>
        <v>29171.958169991914</v>
      </c>
    </row>
    <row r="132" spans="2:15">
      <c r="C132" s="103" t="s">
        <v>127</v>
      </c>
      <c r="D132" s="104">
        <f>SUM(E$20:E$36)+SUM(G$20:G$36)+SUM(I$20:I$36)+SUM(K$20:K$36)</f>
        <v>71202.324822674826</v>
      </c>
      <c r="E132" s="104">
        <f>SUM(M$20:M$36)+SUM(O$20:O$36)+SUM(Q$20:Q$36)+SUM(S$20:S$36)</f>
        <v>21739.182331331122</v>
      </c>
      <c r="F132" s="104">
        <f>SUM(U$20:U$36)+SUM(W$20:W$36)+SUM(Y$20:Y$36)+SUM(AA$20:AA$36)</f>
        <v>22672.372650655016</v>
      </c>
      <c r="G132" s="104">
        <f>SUM(AC$20:AC$36)+SUM(AE$20:AE$36)+SUM(AG$20:AG$36)+SUM(AI$20:AI$36)</f>
        <v>27522.117999320129</v>
      </c>
      <c r="H132" s="104">
        <f>SUM(AK$20:AK$36)+SUM(AM$20:AM$36)+SUM(AO$20:AO$36)+SUM(AQ$20:AQ$36)</f>
        <v>28621.233867456125</v>
      </c>
      <c r="I132" s="104">
        <f>SUM(AS$20:AS$36)+SUM(AU$20:AU$36)+SUM(AW$20:AW$36)+SUM(AY$20:AY$36)</f>
        <v>26806.120905800173</v>
      </c>
      <c r="J132" s="104">
        <f>SUM(BA$20:BA$36)+SUM(BC$20:BC$36)+SUM(BE$20:BE$36)+SUM(BG$20:BG$36)</f>
        <v>24364.186282336192</v>
      </c>
      <c r="K132" s="104">
        <f>SUM(BI$20:BI$36)+SUM(BK$20:BK$36)+SUM(BM$20:BM$36)+SUM(BO$20:BO$36)</f>
        <v>23256.549647585627</v>
      </c>
      <c r="L132" s="104">
        <f>SUM(BQ$20:BQ$36)+SUM(BS$20:BS$36)+SUM(BU$20:BU$36)+SUM(BW$20:BW$36)</f>
        <v>23057.709580391904</v>
      </c>
      <c r="M132" s="104">
        <f>SUM(BY$20:BY$36)+SUM(CA$20:CA$36)+SUM(CC$20:CC$36)+SUM(CE$20:CE$36)</f>
        <v>27345.640285045185</v>
      </c>
      <c r="N132" s="104">
        <f>SUM(CG$20:CG$36)+SUM(CI$20:CI$36)+SUM(CK$20:CK$36)+SUM(CM$20:CM$36)</f>
        <v>25379.0254203984</v>
      </c>
      <c r="O132" s="104">
        <f>SUM(CO$20:CO$36)+SUM(CQ$20:CQ$36)+SUM(CS$20:CS$36)+SUM(CU$20:CU$36)</f>
        <v>26589.481065328731</v>
      </c>
    </row>
    <row r="133" spans="2:15">
      <c r="C133" s="103" t="s">
        <v>128</v>
      </c>
      <c r="D133" s="104">
        <f>SUM(E$37:E$48)+SUM(G$37:G$48)+SUM(I$37:I$48)+SUM(K$37:K$48)</f>
        <v>174737.21238066934</v>
      </c>
      <c r="E133" s="104">
        <f>SUM(M$37:M$48)+SUM(O$37:O$48)+SUM(Q$37:Q$48)+SUM(S$37:S$48)</f>
        <v>69354.620875538356</v>
      </c>
      <c r="F133" s="104">
        <f>SUM(U$37:U$48)+SUM(W$37:W$48)+SUM(Y$37:Y$48)+SUM(AA$37:AA$48)</f>
        <v>60794.855208266163</v>
      </c>
      <c r="G133" s="104">
        <f>SUM(AC$37:AC$48)+SUM(AE$37:AE$48)+SUM(AG$37:AG$48)+SUM(AI$37:AI$48)</f>
        <v>55744.356814297294</v>
      </c>
      <c r="H133" s="104">
        <f>SUM(AK$37:AK$48)+SUM(AM$37:AM$48)+SUM(AO$37:AO$48)+SUM(AQ$37:AQ$48)</f>
        <v>56500.76722873556</v>
      </c>
      <c r="I133" s="104">
        <f>SUM(AS$37:AS$48)+SUM(AU$37:AU$48)+SUM(AW$37:AW$48)+SUM(AY$37:AY$48)</f>
        <v>53292.304491451148</v>
      </c>
      <c r="J133" s="104">
        <f>SUM(BA$37:BA$48)+SUM(BC$37:BC$48)+SUM(BE$37:BE$48)+SUM(BG$37:BG$48)</f>
        <v>51517.457948988325</v>
      </c>
      <c r="K133" s="104">
        <f>SUM(BI$37:BI$48)+SUM(BK$37:BK$48)+SUM(BM$37:BM$48)+SUM(BO$37:BO$48)</f>
        <v>66692.081644090635</v>
      </c>
      <c r="L133" s="104">
        <f>SUM(BQ$37:BQ$48)+SUM(BS$37:BS$48)+SUM(BU$37:BU$48)+SUM(BW$37:BW$48)</f>
        <v>53354.81934574811</v>
      </c>
      <c r="M133" s="104">
        <f>SUM(BY$37:BY$48)+SUM(CA$37:CA$48)+SUM(CC$37:CC$48)+SUM(CE$37:CE$48)</f>
        <v>55357.520722903784</v>
      </c>
      <c r="N133" s="104">
        <f>SUM(CG$37:CG$48)+SUM(CI$37:CI$48)+SUM(CK$37:CK$48)+SUM(CM$37:CM$48)</f>
        <v>59690.190659274384</v>
      </c>
      <c r="O133" s="104">
        <f>SUM(CO$37:CO$48)+SUM(CQ$37:CQ$48)+SUM(CS$37:CS$48)+SUM(CU$37:CU$48)</f>
        <v>55157.215437530962</v>
      </c>
    </row>
    <row r="134" spans="2:15">
      <c r="C134" s="103" t="s">
        <v>129</v>
      </c>
      <c r="D134" s="104">
        <f>SUM(E$49:E$70)+SUM(G$49:G$70)+SUM(I$49:I$70)+SUM(K$49:K$70)</f>
        <v>167584.92804760201</v>
      </c>
      <c r="E134" s="104">
        <f>SUM(M$49:M$70)+SUM(O$49:O$70)+SUM(Q$49:Q$70)+SUM(S$49:S$70)</f>
        <v>54022.660502141967</v>
      </c>
      <c r="F134" s="104">
        <f>SUM(U$49:U$70)+SUM(W$49:W$70)+SUM(Y$49:Y$70)+SUM(AA$49:AA$70)</f>
        <v>50647.788813113963</v>
      </c>
      <c r="G134" s="104">
        <f>SUM(AC$49:AC$70)+SUM(AE$49:AE$70)+SUM(AG$49:AG$70)+SUM(AI$49:AI$70)</f>
        <v>48782.854991301225</v>
      </c>
      <c r="H134" s="104">
        <f>SUM(AK$49:AK$70)+SUM(AM$49:AM$70)+SUM(AO$49:AO$70)+SUM(AQ$49:AQ$70)</f>
        <v>46808.919856076573</v>
      </c>
      <c r="I134" s="104">
        <f>SUM(AS$49:AS$70)+SUM(AU$49:AU$70)+SUM(AW$49:AW$70)+SUM(AY$49:AY$70)</f>
        <v>52587.069523255217</v>
      </c>
      <c r="J134" s="104">
        <f>SUM(BA$49:BA$70)+SUM(BC$49:BC$70)+SUM(BE$49:BE$70)+SUM(BG$49:BG$70)</f>
        <v>54403.497763851927</v>
      </c>
      <c r="K134" s="104">
        <f>SUM(BI$49:BI$70)+SUM(BK$49:BK$70)+SUM(BM$49:BM$70)+SUM(BO$49:BO$70)</f>
        <v>45834.119896564036</v>
      </c>
      <c r="L134" s="104">
        <f>SUM(BQ$49:BQ$70)+SUM(BS$49:BS$70)+SUM(BU$49:BU$70)+SUM(BW$49:BW$70)</f>
        <v>50725.533141113832</v>
      </c>
      <c r="M134" s="104">
        <f>SUM(BY$49:BY$70)+SUM(CA$49:CA$70)+SUM(CC$49:CC$70)+SUM(CE$49:CE$70)</f>
        <v>44695.311412904892</v>
      </c>
      <c r="N134" s="104">
        <f>SUM(CG$49:CG$70)+SUM(CI$49:CI$70)+SUM(CK$49:CK$70)+SUM(CM$49:CM$70)</f>
        <v>51271.619497694744</v>
      </c>
      <c r="O134" s="104">
        <f>SUM(CO$49:CO$70)+SUM(CQ$49:CQ$70)+SUM(CS$49:CS$70)+SUM(CU$49:CU$70)</f>
        <v>44213.543101348056</v>
      </c>
    </row>
    <row r="135" spans="2:15">
      <c r="C135" s="103" t="s">
        <v>130</v>
      </c>
      <c r="D135" s="104">
        <f>SUM(E$71:E$86)+SUM(G$71:G$86)+SUM(I$71:I$86)+SUM(K$71:K$86)</f>
        <v>112157.7964883696</v>
      </c>
      <c r="E135" s="104">
        <f>SUM(M$71:M$86)+SUM(O$71:O$86)+SUM(Q$71:Q$86)+SUM(S$71:S$86)</f>
        <v>12351.133573776446</v>
      </c>
      <c r="F135" s="104">
        <f>SUM(U$71:U$86)+SUM(W$71:W$86)+SUM(Y$71:Y$86)+SUM(AA$71:AA$86)</f>
        <v>12493.611342992848</v>
      </c>
      <c r="G135" s="104">
        <f>SUM(AC$71:AC$86)+SUM(AE$71:AE$86)+SUM(AG$71:AG$86)+SUM(AI$71:AI$86)</f>
        <v>12659.283406228215</v>
      </c>
      <c r="H135" s="104">
        <f>SUM(AK$71:AK$86)+SUM(AM$71:AM$86)+SUM(AO$71:AO$86)+SUM(AQ$71:AQ$86)</f>
        <v>12294.367771212375</v>
      </c>
      <c r="I135" s="104">
        <f>SUM(AS$71:AS$86)+SUM(AU$71:AU$86)+SUM(AW$71:AW$86)+SUM(AY$71:AY$86)</f>
        <v>11335.474713158426</v>
      </c>
      <c r="J135" s="104">
        <f>SUM(BA$71:BA$86)+SUM(BC$71:BC$86)+SUM(BE$71:BE$86)+SUM(BG$71:BG$86)</f>
        <v>11404.700676813953</v>
      </c>
      <c r="K135" s="104">
        <f>SUM(BI$71:BI$86)+SUM(BK$71:BK$86)+SUM(BM$71:BM$86)+SUM(BO$71:BO$86)</f>
        <v>11897.297576615598</v>
      </c>
      <c r="L135" s="104">
        <f>SUM(BQ$71:BQ$86)+SUM(BS$71:BS$86)+SUM(BU$71:BU$86)+SUM(BW$71:BW$86)</f>
        <v>11518.564134640574</v>
      </c>
      <c r="M135" s="104">
        <f>SUM(BY$71:BY$86)+SUM(CA$71:CA$86)+SUM(CC$71:CC$86)+SUM(CE$71:CE$86)</f>
        <v>11577.171830385723</v>
      </c>
      <c r="N135" s="104">
        <f>SUM(CG$71:CG$86)+SUM(CI$71:CI$86)+SUM(CK$71:CK$86)+SUM(CM$71:CM$86)</f>
        <v>11096.804438887117</v>
      </c>
      <c r="O135" s="104">
        <f>SUM(CO$71:CO$86)+SUM(CQ$71:CQ$86)+SUM(CS$71:CS$86)+SUM(CU$71:CU$86)</f>
        <v>11680.690797227453</v>
      </c>
    </row>
    <row r="136" spans="2:15">
      <c r="C136" s="103" t="s">
        <v>131</v>
      </c>
      <c r="D136" s="104">
        <f>SUM(E$87:E$94)+SUM(G$87:G$94)+SUM(I$87:I$94)+SUM(K$87:K$94)</f>
        <v>17174.81599973467</v>
      </c>
      <c r="E136" s="104">
        <f>SUM(M$87:M$94)+SUM(O$87:O$94)+SUM(Q$87:Q$94)+SUM(S$87:S$94)</f>
        <v>18236.726264648307</v>
      </c>
      <c r="F136" s="104">
        <f>SUM(U$87:U$94)+SUM(W$87:W$94)+SUM(Y$87:Y$94)+SUM(AA$87:AA$94)</f>
        <v>15979.799451033414</v>
      </c>
      <c r="G136" s="104">
        <f>SUM(AC$87:AC$94)+SUM(AE$87:AE$94)+SUM(AG$87:AG$94)+SUM(AI$87:AI$94)</f>
        <v>17769.753404972165</v>
      </c>
      <c r="H136" s="104">
        <f>SUM(AK$87:AK$94)+SUM(AM$87:AM$94)+SUM(AO$87:AO$94)+SUM(AQ$87:AQ$94)</f>
        <v>18527.617334439907</v>
      </c>
      <c r="I136" s="104">
        <f>SUM(AS$87:AS$94)+SUM(AU$87:AU$94)+SUM(AW$87:AW$94)+SUM(AY$87:AY$94)</f>
        <v>19956.497706761686</v>
      </c>
      <c r="J136" s="104">
        <f>SUM(BA$87:BA$94)+SUM(BC$87:BC$94)+SUM(BE$87:BE$94)+SUM(BG$87:BG$94)</f>
        <v>21899.389914658637</v>
      </c>
      <c r="K136" s="104">
        <f>SUM(BI$87:BI$94)+SUM(BK$87:BK$94)+SUM(BM$87:BM$94)+SUM(BO$87:BO$94)</f>
        <v>19354.163517964087</v>
      </c>
      <c r="L136" s="104">
        <f>SUM(BQ$87:BQ$94)+SUM(BS$87:BS$94)+SUM(BU$87:BU$94)+SUM(BW$87:BW$94)</f>
        <v>20585.558765082998</v>
      </c>
      <c r="M136" s="104">
        <f>SUM(BY$87:BY$94)+SUM(CA$87:CA$94)+SUM(CC$87:CC$94)+SUM(CE$87:CE$94)</f>
        <v>18215.927097830059</v>
      </c>
      <c r="N136" s="104">
        <f>SUM(CG$87:CG$94)+SUM(CI$87:CI$94)+SUM(CK$87:CK$94)+SUM(CM$87:CM$94)</f>
        <v>21387.580187202424</v>
      </c>
      <c r="O136" s="104">
        <f>SUM(CO$87:CO$94)+SUM(CQ$87:CQ$94)+SUM(CS$87:CS$94)+SUM(CU$87:CU$94)</f>
        <v>21139.230012663713</v>
      </c>
    </row>
    <row r="137" spans="2:15">
      <c r="C137" s="103" t="s">
        <v>132</v>
      </c>
      <c r="D137" s="104">
        <f>SUM(E$95:E$105)+SUM(G$95:G$105)+SUM(I$95:I$105)+SUM(K$95:K$105)</f>
        <v>25509.423939346147</v>
      </c>
      <c r="E137" s="104">
        <f>SUM(M$95:M$105)+SUM(O$95:O$105)+SUM(Q$95:Q$105)+SUM(S$95:S$105)</f>
        <v>25722.033160863401</v>
      </c>
      <c r="F137" s="104">
        <f>SUM(U$95:U$105)+SUM(W$95:W$105)+SUM(Y$95:Y$105)+SUM(AA$95:AA$105)</f>
        <v>27328.72441242696</v>
      </c>
      <c r="G137" s="104">
        <f>SUM(AC$95:AC$105)+SUM(AE$95:AE$105)+SUM(AG$95:AG$105)+SUM(AI$95:AI$105)</f>
        <v>26953.424931517347</v>
      </c>
      <c r="H137" s="104">
        <f>SUM(AK$95:AK$105)+SUM(AM$95:AM$105)+SUM(AO$95:AO$105)+SUM(AQ$95:AQ$105)</f>
        <v>27361.377807138964</v>
      </c>
      <c r="I137" s="104">
        <f>SUM(AS$95:AS$105)+SUM(AU$95:AU$105)+SUM(AW$95:AW$105)+SUM(AY$95:AY$105)</f>
        <v>23982.250174158133</v>
      </c>
      <c r="J137" s="104">
        <f>SUM(BA$95:BA$105)+SUM(BC$95:BC$105)+SUM(BE$95:BE$105)+SUM(BG$95:BG$105)</f>
        <v>23566.391856921309</v>
      </c>
      <c r="K137" s="104">
        <f>SUM(BI$95:BI$105)+SUM(BK$95:BK$105)+SUM(BM$95:BM$105)+SUM(BO$95:BO$105)</f>
        <v>26029.656069295826</v>
      </c>
      <c r="L137" s="104">
        <f>SUM(BQ$95:BQ$105)+SUM(BS$95:BS$105)+SUM(BU$95:BU$105)+SUM(BW$95:BW$105)</f>
        <v>24423.822960468511</v>
      </c>
      <c r="M137" s="104">
        <f>SUM(BY$95:BY$105)+SUM(CA$95:CA$105)+SUM(CC$95:CC$105)+SUM(CE$95:CE$105)</f>
        <v>26843.855904053755</v>
      </c>
      <c r="N137" s="104">
        <f>SUM(CG$95:CG$105)+SUM(CI$95:CI$105)+SUM(CK$95:CK$105)+SUM(CM$95:CM$105)</f>
        <v>23748.806055724206</v>
      </c>
      <c r="O137" s="104">
        <f>SUM(CO$95:CO$105)+SUM(CQ$95:CQ$105)+SUM(CS$95:CS$105)+SUM(CU$95:CU$105)</f>
        <v>24527.641260339667</v>
      </c>
    </row>
    <row r="138" spans="2:15">
      <c r="C138" s="103" t="s">
        <v>279</v>
      </c>
      <c r="D138" s="98">
        <f t="shared" ref="D138:O138" si="2">SUM(D$131:D$137)</f>
        <v>652128.5888979712</v>
      </c>
      <c r="E138" s="98">
        <f t="shared" si="2"/>
        <v>224523.35279383574</v>
      </c>
      <c r="F138" s="98">
        <f t="shared" si="2"/>
        <v>217834.69066275263</v>
      </c>
      <c r="G138" s="98">
        <f t="shared" si="2"/>
        <v>214754.80069028767</v>
      </c>
      <c r="H138" s="98">
        <f t="shared" si="2"/>
        <v>215100.30797087002</v>
      </c>
      <c r="I138" s="98">
        <f t="shared" si="2"/>
        <v>213115.92883544316</v>
      </c>
      <c r="J138" s="98">
        <f t="shared" si="2"/>
        <v>215149.43168665137</v>
      </c>
      <c r="K138" s="98">
        <f t="shared" si="2"/>
        <v>219568.91626468633</v>
      </c>
      <c r="L138" s="98">
        <f t="shared" si="2"/>
        <v>213562.94795147091</v>
      </c>
      <c r="M138" s="98">
        <f t="shared" si="2"/>
        <v>211866.42555912357</v>
      </c>
      <c r="N138" s="98">
        <f t="shared" si="2"/>
        <v>217345.84957518271</v>
      </c>
      <c r="O138" s="98">
        <f t="shared" si="2"/>
        <v>212479.75984443052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8"/>
    <col min="3" max="3" width="14.5" style="98" bestFit="1" customWidth="1"/>
    <col min="4" max="4" width="16.83203125" style="98" bestFit="1" customWidth="1"/>
    <col min="5" max="5" width="22.83203125" style="98" bestFit="1" customWidth="1"/>
    <col min="6" max="16384" width="8.83203125" style="98"/>
  </cols>
  <sheetData>
    <row r="1" spans="1:5">
      <c r="A1" s="97" t="s">
        <v>168</v>
      </c>
      <c r="B1" s="97" t="s">
        <v>169</v>
      </c>
      <c r="C1" s="97" t="s">
        <v>170</v>
      </c>
      <c r="D1" s="97" t="s">
        <v>171</v>
      </c>
      <c r="E1" s="97" t="s">
        <v>172</v>
      </c>
    </row>
    <row r="2" spans="1:5">
      <c r="A2" s="97" t="s">
        <v>126</v>
      </c>
      <c r="B2" s="97" t="s">
        <v>173</v>
      </c>
      <c r="C2" s="98" t="s">
        <v>59</v>
      </c>
      <c r="D2" s="98">
        <v>482</v>
      </c>
      <c r="E2" s="98">
        <v>578.4</v>
      </c>
    </row>
    <row r="3" spans="1:5">
      <c r="B3" s="97" t="s">
        <v>174</v>
      </c>
      <c r="C3" s="98" t="s">
        <v>59</v>
      </c>
      <c r="D3" s="98">
        <v>657</v>
      </c>
      <c r="E3" s="98">
        <v>788.4</v>
      </c>
    </row>
    <row r="4" spans="1:5">
      <c r="B4" s="97" t="s">
        <v>175</v>
      </c>
      <c r="C4" s="98" t="s">
        <v>59</v>
      </c>
      <c r="D4" s="98">
        <v>258</v>
      </c>
      <c r="E4" s="98">
        <v>309.59999999999997</v>
      </c>
    </row>
    <row r="5" spans="1:5">
      <c r="B5" s="97" t="s">
        <v>176</v>
      </c>
      <c r="C5" s="98" t="s">
        <v>59</v>
      </c>
      <c r="D5" s="98">
        <v>585</v>
      </c>
      <c r="E5" s="98">
        <v>702</v>
      </c>
    </row>
    <row r="6" spans="1:5">
      <c r="B6" s="97" t="s">
        <v>177</v>
      </c>
      <c r="C6" s="98" t="s">
        <v>59</v>
      </c>
      <c r="D6" s="98">
        <v>454</v>
      </c>
      <c r="E6" s="98">
        <v>544.79999999999995</v>
      </c>
    </row>
    <row r="7" spans="1:5">
      <c r="B7" s="97" t="s">
        <v>178</v>
      </c>
      <c r="C7" s="98" t="s">
        <v>59</v>
      </c>
      <c r="D7" s="98">
        <v>444</v>
      </c>
      <c r="E7" s="98">
        <v>532.79999999999995</v>
      </c>
    </row>
    <row r="8" spans="1:5">
      <c r="B8" s="97" t="s">
        <v>179</v>
      </c>
      <c r="C8" s="98" t="s">
        <v>59</v>
      </c>
      <c r="D8" s="98">
        <v>469</v>
      </c>
      <c r="E8" s="98">
        <v>562.79999999999995</v>
      </c>
    </row>
    <row r="9" spans="1:5">
      <c r="B9" s="97" t="s">
        <v>180</v>
      </c>
      <c r="C9" s="98" t="s">
        <v>59</v>
      </c>
      <c r="D9" s="98">
        <v>71</v>
      </c>
      <c r="E9" s="98">
        <v>85.2</v>
      </c>
    </row>
    <row r="10" spans="1:5">
      <c r="B10" s="97" t="s">
        <v>181</v>
      </c>
      <c r="C10" s="98" t="s">
        <v>59</v>
      </c>
      <c r="D10" s="98">
        <v>407</v>
      </c>
      <c r="E10" s="98">
        <v>488.4</v>
      </c>
    </row>
    <row r="11" spans="1:5">
      <c r="B11" s="97" t="s">
        <v>182</v>
      </c>
      <c r="C11" s="98" t="s">
        <v>59</v>
      </c>
      <c r="D11" s="98">
        <v>636</v>
      </c>
      <c r="E11" s="98">
        <v>763.19999999999993</v>
      </c>
    </row>
    <row r="12" spans="1:5">
      <c r="B12" s="97" t="s">
        <v>183</v>
      </c>
      <c r="C12" s="98" t="s">
        <v>59</v>
      </c>
      <c r="D12" s="98">
        <v>284</v>
      </c>
      <c r="E12" s="98">
        <v>340.8</v>
      </c>
    </row>
    <row r="13" spans="1:5">
      <c r="B13" s="97" t="s">
        <v>184</v>
      </c>
      <c r="C13" s="98" t="s">
        <v>59</v>
      </c>
      <c r="D13" s="98">
        <v>352</v>
      </c>
      <c r="E13" s="98">
        <v>422.4</v>
      </c>
    </row>
    <row r="14" spans="1:5">
      <c r="B14" s="97" t="s">
        <v>185</v>
      </c>
      <c r="C14" s="98" t="s">
        <v>59</v>
      </c>
      <c r="D14" s="98">
        <v>544</v>
      </c>
      <c r="E14" s="98">
        <v>652.79999999999995</v>
      </c>
    </row>
    <row r="15" spans="1:5">
      <c r="B15" s="97" t="s">
        <v>186</v>
      </c>
      <c r="C15" s="98" t="s">
        <v>59</v>
      </c>
      <c r="D15" s="98">
        <v>275</v>
      </c>
      <c r="E15" s="98">
        <v>330</v>
      </c>
    </row>
    <row r="16" spans="1:5">
      <c r="A16" s="97" t="s">
        <v>127</v>
      </c>
      <c r="B16" s="97" t="s">
        <v>187</v>
      </c>
      <c r="C16" s="98" t="s">
        <v>59</v>
      </c>
      <c r="D16" s="98">
        <v>239</v>
      </c>
      <c r="E16" s="98">
        <v>286.8</v>
      </c>
    </row>
    <row r="17" spans="2:5">
      <c r="B17" s="97" t="s">
        <v>188</v>
      </c>
      <c r="C17" s="98" t="s">
        <v>59</v>
      </c>
      <c r="D17" s="98">
        <v>52</v>
      </c>
      <c r="E17" s="98">
        <v>62.4</v>
      </c>
    </row>
    <row r="18" spans="2:5">
      <c r="B18" s="97" t="s">
        <v>189</v>
      </c>
      <c r="C18" s="98" t="s">
        <v>59</v>
      </c>
      <c r="D18" s="98">
        <v>156</v>
      </c>
      <c r="E18" s="98">
        <v>187.2</v>
      </c>
    </row>
    <row r="19" spans="2:5">
      <c r="B19" s="97" t="s">
        <v>190</v>
      </c>
      <c r="C19" s="98" t="s">
        <v>59</v>
      </c>
      <c r="D19" s="98">
        <v>245</v>
      </c>
      <c r="E19" s="98">
        <v>294</v>
      </c>
    </row>
    <row r="20" spans="2:5">
      <c r="B20" s="97" t="s">
        <v>191</v>
      </c>
      <c r="C20" s="98" t="s">
        <v>59</v>
      </c>
      <c r="D20" s="98">
        <v>306</v>
      </c>
      <c r="E20" s="98">
        <v>367.2</v>
      </c>
    </row>
    <row r="21" spans="2:5">
      <c r="B21" s="97" t="s">
        <v>192</v>
      </c>
      <c r="C21" s="98" t="s">
        <v>59</v>
      </c>
      <c r="D21" s="98">
        <v>442</v>
      </c>
      <c r="E21" s="98">
        <v>530.4</v>
      </c>
    </row>
    <row r="22" spans="2:5">
      <c r="B22" s="97" t="s">
        <v>193</v>
      </c>
      <c r="C22" s="98" t="s">
        <v>59</v>
      </c>
      <c r="D22" s="98">
        <v>405</v>
      </c>
      <c r="E22" s="98">
        <v>486</v>
      </c>
    </row>
    <row r="23" spans="2:5">
      <c r="B23" s="97" t="s">
        <v>194</v>
      </c>
      <c r="C23" s="98" t="s">
        <v>59</v>
      </c>
      <c r="D23" s="98">
        <v>356</v>
      </c>
      <c r="E23" s="98">
        <v>427.2</v>
      </c>
    </row>
    <row r="24" spans="2:5">
      <c r="B24" s="97" t="s">
        <v>195</v>
      </c>
      <c r="C24" s="98" t="s">
        <v>59</v>
      </c>
      <c r="D24" s="98">
        <v>615</v>
      </c>
      <c r="E24" s="98">
        <v>738</v>
      </c>
    </row>
    <row r="25" spans="2:5">
      <c r="B25" s="97" t="s">
        <v>196</v>
      </c>
      <c r="C25" s="98" t="s">
        <v>59</v>
      </c>
      <c r="D25" s="98">
        <v>282</v>
      </c>
      <c r="E25" s="98">
        <v>338.4</v>
      </c>
    </row>
    <row r="26" spans="2:5">
      <c r="B26" s="97" t="s">
        <v>197</v>
      </c>
      <c r="C26" s="98" t="s">
        <v>59</v>
      </c>
      <c r="D26" s="98">
        <v>116</v>
      </c>
      <c r="E26" s="98">
        <v>139.19999999999999</v>
      </c>
    </row>
    <row r="27" spans="2:5">
      <c r="B27" s="97" t="s">
        <v>198</v>
      </c>
      <c r="C27" s="98" t="s">
        <v>59</v>
      </c>
      <c r="D27" s="98">
        <v>284</v>
      </c>
      <c r="E27" s="98">
        <v>340.8</v>
      </c>
    </row>
    <row r="28" spans="2:5">
      <c r="B28" s="97" t="s">
        <v>199</v>
      </c>
      <c r="C28" s="98" t="s">
        <v>59</v>
      </c>
      <c r="D28" s="98">
        <v>700</v>
      </c>
      <c r="E28" s="98">
        <v>840</v>
      </c>
    </row>
    <row r="29" spans="2:5">
      <c r="B29" s="97" t="s">
        <v>200</v>
      </c>
      <c r="C29" s="98" t="s">
        <v>59</v>
      </c>
      <c r="D29" s="98">
        <v>395</v>
      </c>
      <c r="E29" s="98">
        <v>474</v>
      </c>
    </row>
    <row r="30" spans="2:5">
      <c r="B30" s="97" t="s">
        <v>201</v>
      </c>
      <c r="C30" s="98" t="s">
        <v>59</v>
      </c>
      <c r="D30" s="98">
        <v>457</v>
      </c>
      <c r="E30" s="98">
        <v>548.4</v>
      </c>
    </row>
    <row r="31" spans="2:5">
      <c r="B31" s="97" t="s">
        <v>202</v>
      </c>
      <c r="C31" s="98" t="s">
        <v>59</v>
      </c>
      <c r="D31" s="98">
        <v>419</v>
      </c>
      <c r="E31" s="98">
        <v>502.7999999999999</v>
      </c>
    </row>
    <row r="32" spans="2:5">
      <c r="B32" s="97" t="s">
        <v>203</v>
      </c>
      <c r="C32" s="98" t="s">
        <v>59</v>
      </c>
      <c r="D32" s="98">
        <v>634</v>
      </c>
      <c r="E32" s="98">
        <v>760.8</v>
      </c>
    </row>
    <row r="33" spans="1:5">
      <c r="A33" s="97" t="s">
        <v>128</v>
      </c>
      <c r="B33" s="97" t="s">
        <v>204</v>
      </c>
      <c r="C33" s="98" t="s">
        <v>59</v>
      </c>
      <c r="D33" s="98">
        <v>717</v>
      </c>
      <c r="E33" s="98">
        <v>860.4</v>
      </c>
    </row>
    <row r="34" spans="1:5">
      <c r="B34" s="97" t="s">
        <v>205</v>
      </c>
      <c r="C34" s="98" t="s">
        <v>59</v>
      </c>
      <c r="D34" s="98">
        <v>1035</v>
      </c>
      <c r="E34" s="98">
        <v>1242</v>
      </c>
    </row>
    <row r="35" spans="1:5">
      <c r="B35" s="97" t="s">
        <v>206</v>
      </c>
      <c r="C35" s="98" t="s">
        <v>59</v>
      </c>
      <c r="D35" s="98">
        <v>1186</v>
      </c>
      <c r="E35" s="98">
        <v>1423.2</v>
      </c>
    </row>
    <row r="36" spans="1:5">
      <c r="B36" s="97" t="s">
        <v>207</v>
      </c>
      <c r="C36" s="98" t="s">
        <v>59</v>
      </c>
      <c r="D36" s="98">
        <v>604</v>
      </c>
      <c r="E36" s="98">
        <v>724.8</v>
      </c>
    </row>
    <row r="37" spans="1:5">
      <c r="B37" s="97" t="s">
        <v>208</v>
      </c>
      <c r="C37" s="98" t="s">
        <v>59</v>
      </c>
      <c r="D37" s="98">
        <v>550</v>
      </c>
      <c r="E37" s="98">
        <v>660</v>
      </c>
    </row>
    <row r="38" spans="1:5">
      <c r="B38" s="97" t="s">
        <v>209</v>
      </c>
      <c r="C38" s="98" t="s">
        <v>59</v>
      </c>
      <c r="D38" s="98">
        <v>705</v>
      </c>
      <c r="E38" s="98">
        <v>846</v>
      </c>
    </row>
    <row r="39" spans="1:5">
      <c r="B39" s="97" t="s">
        <v>210</v>
      </c>
      <c r="C39" s="98" t="s">
        <v>59</v>
      </c>
      <c r="D39" s="98">
        <v>852</v>
      </c>
      <c r="E39" s="98">
        <v>1022.4</v>
      </c>
    </row>
    <row r="40" spans="1:5">
      <c r="B40" s="97" t="s">
        <v>211</v>
      </c>
      <c r="C40" s="98" t="s">
        <v>59</v>
      </c>
      <c r="D40" s="98">
        <v>852</v>
      </c>
      <c r="E40" s="98">
        <v>1022.4</v>
      </c>
    </row>
    <row r="41" spans="1:5">
      <c r="B41" s="97" t="s">
        <v>212</v>
      </c>
      <c r="C41" s="98" t="s">
        <v>59</v>
      </c>
      <c r="D41" s="98">
        <v>1041</v>
      </c>
      <c r="E41" s="98">
        <v>1249.2</v>
      </c>
    </row>
    <row r="42" spans="1:5">
      <c r="B42" s="97" t="s">
        <v>213</v>
      </c>
      <c r="C42" s="98" t="s">
        <v>59</v>
      </c>
      <c r="D42" s="98">
        <v>1010</v>
      </c>
      <c r="E42" s="98">
        <v>1212</v>
      </c>
    </row>
    <row r="43" spans="1:5">
      <c r="B43" s="97" t="s">
        <v>214</v>
      </c>
      <c r="C43" s="98" t="s">
        <v>59</v>
      </c>
      <c r="D43" s="98">
        <v>1273</v>
      </c>
      <c r="E43" s="98">
        <v>1527.6</v>
      </c>
    </row>
    <row r="44" spans="1:5">
      <c r="B44" s="97" t="s">
        <v>215</v>
      </c>
      <c r="C44" s="98" t="s">
        <v>59</v>
      </c>
      <c r="D44" s="98">
        <v>723</v>
      </c>
      <c r="E44" s="98">
        <v>867.6</v>
      </c>
    </row>
    <row r="45" spans="1:5">
      <c r="A45" s="97" t="s">
        <v>129</v>
      </c>
      <c r="B45" s="97" t="s">
        <v>216</v>
      </c>
      <c r="C45" s="98" t="s">
        <v>22</v>
      </c>
      <c r="D45" s="98">
        <v>821</v>
      </c>
      <c r="E45" s="98">
        <v>985.19999999999993</v>
      </c>
    </row>
    <row r="46" spans="1:5">
      <c r="B46" s="97" t="s">
        <v>217</v>
      </c>
      <c r="C46" s="98" t="s">
        <v>59</v>
      </c>
      <c r="D46" s="98">
        <v>235</v>
      </c>
      <c r="E46" s="98">
        <v>282</v>
      </c>
    </row>
    <row r="47" spans="1:5">
      <c r="B47" s="97" t="s">
        <v>218</v>
      </c>
      <c r="C47" s="98" t="s">
        <v>59</v>
      </c>
      <c r="D47" s="98">
        <v>712</v>
      </c>
      <c r="E47" s="98">
        <v>854.4</v>
      </c>
    </row>
    <row r="48" spans="1:5">
      <c r="B48" s="97" t="s">
        <v>219</v>
      </c>
      <c r="C48" s="98" t="s">
        <v>59</v>
      </c>
      <c r="D48" s="98">
        <v>450</v>
      </c>
      <c r="E48" s="98">
        <v>540</v>
      </c>
    </row>
    <row r="49" spans="2:5">
      <c r="B49" s="97" t="s">
        <v>220</v>
      </c>
      <c r="C49" s="98" t="s">
        <v>59</v>
      </c>
      <c r="D49" s="98">
        <v>339</v>
      </c>
      <c r="E49" s="98">
        <v>406.8</v>
      </c>
    </row>
    <row r="50" spans="2:5">
      <c r="B50" s="97" t="s">
        <v>221</v>
      </c>
      <c r="C50" s="98" t="s">
        <v>59</v>
      </c>
      <c r="D50" s="98">
        <v>279</v>
      </c>
      <c r="E50" s="98">
        <v>334.8</v>
      </c>
    </row>
    <row r="51" spans="2:5">
      <c r="B51" s="97" t="s">
        <v>222</v>
      </c>
      <c r="C51" s="98" t="s">
        <v>59</v>
      </c>
      <c r="D51" s="98">
        <v>553</v>
      </c>
      <c r="E51" s="98">
        <v>663.6</v>
      </c>
    </row>
    <row r="52" spans="2:5">
      <c r="B52" s="97" t="s">
        <v>223</v>
      </c>
      <c r="C52" s="98" t="s">
        <v>46</v>
      </c>
      <c r="D52" s="98">
        <v>818</v>
      </c>
      <c r="E52" s="98">
        <v>981.59999999999991</v>
      </c>
    </row>
    <row r="53" spans="2:5">
      <c r="B53" s="97" t="s">
        <v>224</v>
      </c>
      <c r="C53" s="98" t="s">
        <v>59</v>
      </c>
      <c r="D53" s="98">
        <v>1176</v>
      </c>
      <c r="E53" s="98">
        <v>1411.2</v>
      </c>
    </row>
    <row r="54" spans="2:5">
      <c r="B54" s="97" t="s">
        <v>225</v>
      </c>
      <c r="C54" s="98" t="s">
        <v>22</v>
      </c>
      <c r="D54" s="98">
        <v>981</v>
      </c>
      <c r="E54" s="98">
        <v>1177.2</v>
      </c>
    </row>
    <row r="55" spans="2:5">
      <c r="B55" s="97" t="s">
        <v>226</v>
      </c>
      <c r="C55" s="98" t="s">
        <v>59</v>
      </c>
      <c r="D55" s="98">
        <v>253</v>
      </c>
      <c r="E55" s="98">
        <v>303.59999999999997</v>
      </c>
    </row>
    <row r="56" spans="2:5">
      <c r="B56" s="97" t="s">
        <v>227</v>
      </c>
      <c r="C56" s="98" t="s">
        <v>59</v>
      </c>
      <c r="D56" s="98">
        <v>543</v>
      </c>
      <c r="E56" s="98">
        <v>651.6</v>
      </c>
    </row>
    <row r="57" spans="2:5">
      <c r="B57" s="97" t="s">
        <v>228</v>
      </c>
      <c r="C57" s="98" t="s">
        <v>59</v>
      </c>
      <c r="D57" s="98">
        <v>793</v>
      </c>
      <c r="E57" s="98">
        <v>951.59999999999991</v>
      </c>
    </row>
    <row r="58" spans="2:5">
      <c r="B58" s="97" t="s">
        <v>229</v>
      </c>
      <c r="C58" s="98" t="s">
        <v>46</v>
      </c>
      <c r="D58" s="98">
        <v>1391</v>
      </c>
      <c r="E58" s="98">
        <v>1669.2</v>
      </c>
    </row>
    <row r="59" spans="2:5">
      <c r="B59" s="97" t="s">
        <v>230</v>
      </c>
      <c r="C59" s="98" t="s">
        <v>59</v>
      </c>
      <c r="D59" s="98">
        <v>663</v>
      </c>
      <c r="E59" s="98">
        <v>795.6</v>
      </c>
    </row>
    <row r="60" spans="2:5">
      <c r="B60" s="97" t="s">
        <v>231</v>
      </c>
      <c r="C60" s="98" t="s">
        <v>59</v>
      </c>
      <c r="D60" s="98">
        <v>841</v>
      </c>
      <c r="E60" s="98">
        <v>1009.1999999999998</v>
      </c>
    </row>
    <row r="61" spans="2:5">
      <c r="B61" s="97" t="s">
        <v>232</v>
      </c>
      <c r="C61" s="98" t="s">
        <v>59</v>
      </c>
      <c r="D61" s="98">
        <v>855</v>
      </c>
      <c r="E61" s="98">
        <v>1026</v>
      </c>
    </row>
    <row r="62" spans="2:5">
      <c r="B62" s="97" t="s">
        <v>233</v>
      </c>
      <c r="C62" s="98" t="s">
        <v>59</v>
      </c>
      <c r="D62" s="98">
        <v>992</v>
      </c>
      <c r="E62" s="98">
        <v>1190.3999999999999</v>
      </c>
    </row>
    <row r="63" spans="2:5">
      <c r="B63" s="97" t="s">
        <v>234</v>
      </c>
      <c r="C63" s="98" t="s">
        <v>59</v>
      </c>
      <c r="D63" s="98">
        <v>936</v>
      </c>
      <c r="E63" s="98">
        <v>1123.2</v>
      </c>
    </row>
    <row r="64" spans="2:5">
      <c r="B64" s="97" t="s">
        <v>235</v>
      </c>
      <c r="C64" s="98" t="s">
        <v>59</v>
      </c>
      <c r="D64" s="98">
        <v>861</v>
      </c>
      <c r="E64" s="98">
        <v>1033.2</v>
      </c>
    </row>
    <row r="65" spans="1:5">
      <c r="B65" s="97" t="s">
        <v>236</v>
      </c>
      <c r="C65" s="98" t="s">
        <v>59</v>
      </c>
      <c r="D65" s="98">
        <v>632</v>
      </c>
      <c r="E65" s="98">
        <v>758.4</v>
      </c>
    </row>
    <row r="66" spans="1:5">
      <c r="B66" s="97" t="s">
        <v>237</v>
      </c>
      <c r="C66" s="98" t="s">
        <v>59</v>
      </c>
      <c r="D66" s="98">
        <v>446</v>
      </c>
      <c r="E66" s="98">
        <v>535.19999999999993</v>
      </c>
    </row>
    <row r="67" spans="1:5">
      <c r="A67" s="97" t="s">
        <v>130</v>
      </c>
      <c r="B67" s="97" t="s">
        <v>238</v>
      </c>
      <c r="C67" s="98" t="s">
        <v>22</v>
      </c>
      <c r="D67" s="98">
        <v>470</v>
      </c>
      <c r="E67" s="98">
        <v>564</v>
      </c>
    </row>
    <row r="68" spans="1:5">
      <c r="B68" s="97" t="s">
        <v>239</v>
      </c>
      <c r="C68" s="98" t="s">
        <v>22</v>
      </c>
      <c r="D68" s="98">
        <v>62</v>
      </c>
      <c r="E68" s="98">
        <v>74.399999999999991</v>
      </c>
    </row>
    <row r="69" spans="1:5">
      <c r="B69" s="97" t="s">
        <v>240</v>
      </c>
      <c r="C69" s="98" t="s">
        <v>22</v>
      </c>
      <c r="D69" s="98">
        <v>466</v>
      </c>
      <c r="E69" s="98">
        <v>559.19999999999993</v>
      </c>
    </row>
    <row r="70" spans="1:5">
      <c r="B70" s="97" t="s">
        <v>241</v>
      </c>
      <c r="C70" s="98" t="s">
        <v>22</v>
      </c>
      <c r="D70" s="98">
        <v>336</v>
      </c>
      <c r="E70" s="98">
        <v>403.2</v>
      </c>
    </row>
    <row r="71" spans="1:5">
      <c r="B71" s="97" t="s">
        <v>242</v>
      </c>
      <c r="C71" s="98" t="s">
        <v>22</v>
      </c>
      <c r="D71" s="98">
        <v>536</v>
      </c>
      <c r="E71" s="98">
        <v>643.19999999999993</v>
      </c>
    </row>
    <row r="72" spans="1:5">
      <c r="B72" s="97" t="s">
        <v>243</v>
      </c>
      <c r="C72" s="98" t="s">
        <v>22</v>
      </c>
      <c r="D72" s="98">
        <v>649</v>
      </c>
      <c r="E72" s="98">
        <v>778.8</v>
      </c>
    </row>
    <row r="73" spans="1:5">
      <c r="B73" s="97" t="s">
        <v>244</v>
      </c>
      <c r="C73" s="98" t="s">
        <v>22</v>
      </c>
      <c r="D73" s="98">
        <v>232</v>
      </c>
      <c r="E73" s="98">
        <v>278.39999999999998</v>
      </c>
    </row>
    <row r="74" spans="1:5">
      <c r="B74" s="97" t="s">
        <v>245</v>
      </c>
      <c r="C74" s="98" t="s">
        <v>22</v>
      </c>
      <c r="D74" s="98">
        <v>460</v>
      </c>
      <c r="E74" s="98">
        <v>552</v>
      </c>
    </row>
    <row r="75" spans="1:5">
      <c r="B75" s="97" t="s">
        <v>246</v>
      </c>
      <c r="C75" s="98" t="s">
        <v>22</v>
      </c>
      <c r="D75" s="98">
        <v>631</v>
      </c>
      <c r="E75" s="98">
        <v>757.19999999999993</v>
      </c>
    </row>
    <row r="76" spans="1:5">
      <c r="B76" s="97" t="s">
        <v>247</v>
      </c>
      <c r="C76" s="98" t="s">
        <v>22</v>
      </c>
      <c r="D76" s="98">
        <v>671</v>
      </c>
      <c r="E76" s="98">
        <v>805.19999999999993</v>
      </c>
    </row>
    <row r="77" spans="1:5">
      <c r="B77" s="97" t="s">
        <v>248</v>
      </c>
      <c r="C77" s="98" t="s">
        <v>22</v>
      </c>
      <c r="D77" s="98">
        <v>628</v>
      </c>
      <c r="E77" s="98">
        <v>753.6</v>
      </c>
    </row>
    <row r="78" spans="1:5">
      <c r="B78" s="97" t="s">
        <v>249</v>
      </c>
      <c r="C78" s="98" t="s">
        <v>22</v>
      </c>
      <c r="D78" s="98">
        <v>424</v>
      </c>
      <c r="E78" s="98">
        <v>508.7999999999999</v>
      </c>
    </row>
    <row r="79" spans="1:5">
      <c r="B79" s="97" t="s">
        <v>250</v>
      </c>
      <c r="C79" s="98" t="s">
        <v>22</v>
      </c>
      <c r="D79" s="98">
        <v>717</v>
      </c>
      <c r="E79" s="98">
        <v>860.4</v>
      </c>
    </row>
    <row r="80" spans="1:5">
      <c r="B80" s="97" t="s">
        <v>251</v>
      </c>
      <c r="C80" s="98" t="s">
        <v>22</v>
      </c>
      <c r="D80" s="98">
        <v>651</v>
      </c>
      <c r="E80" s="98">
        <v>781.19999999999993</v>
      </c>
    </row>
    <row r="81" spans="1:5">
      <c r="B81" s="97" t="s">
        <v>252</v>
      </c>
      <c r="C81" s="98" t="s">
        <v>22</v>
      </c>
      <c r="D81" s="98">
        <v>125</v>
      </c>
      <c r="E81" s="98">
        <v>150</v>
      </c>
    </row>
    <row r="82" spans="1:5">
      <c r="B82" s="97" t="s">
        <v>253</v>
      </c>
      <c r="C82" s="98" t="s">
        <v>22</v>
      </c>
      <c r="D82" s="98">
        <v>450</v>
      </c>
      <c r="E82" s="98">
        <v>540</v>
      </c>
    </row>
    <row r="83" spans="1:5">
      <c r="A83" s="97" t="s">
        <v>131</v>
      </c>
      <c r="B83" s="97" t="s">
        <v>254</v>
      </c>
      <c r="C83" s="98" t="s">
        <v>46</v>
      </c>
      <c r="D83" s="98">
        <v>895</v>
      </c>
      <c r="E83" s="98">
        <v>1074</v>
      </c>
    </row>
    <row r="84" spans="1:5">
      <c r="B84" s="97" t="s">
        <v>255</v>
      </c>
      <c r="C84" s="98" t="s">
        <v>46</v>
      </c>
      <c r="D84" s="98">
        <v>827</v>
      </c>
      <c r="E84" s="98">
        <v>992.4</v>
      </c>
    </row>
    <row r="85" spans="1:5">
      <c r="B85" s="97" t="s">
        <v>256</v>
      </c>
      <c r="C85" s="98" t="s">
        <v>46</v>
      </c>
      <c r="D85" s="98">
        <v>885</v>
      </c>
      <c r="E85" s="98">
        <v>1062</v>
      </c>
    </row>
    <row r="86" spans="1:5">
      <c r="B86" s="97" t="s">
        <v>257</v>
      </c>
      <c r="C86" s="98" t="s">
        <v>46</v>
      </c>
      <c r="D86" s="98">
        <v>924</v>
      </c>
      <c r="E86" s="98">
        <v>1108.8</v>
      </c>
    </row>
    <row r="87" spans="1:5">
      <c r="B87" s="97" t="s">
        <v>258</v>
      </c>
      <c r="C87" s="98" t="s">
        <v>46</v>
      </c>
      <c r="D87" s="98">
        <v>947</v>
      </c>
      <c r="E87" s="98">
        <v>1136.3999999999999</v>
      </c>
    </row>
    <row r="88" spans="1:5">
      <c r="B88" s="97" t="s">
        <v>259</v>
      </c>
      <c r="C88" s="98" t="s">
        <v>46</v>
      </c>
      <c r="D88" s="98">
        <v>654</v>
      </c>
      <c r="E88" s="98">
        <v>784.8</v>
      </c>
    </row>
    <row r="89" spans="1:5">
      <c r="B89" s="97" t="s">
        <v>260</v>
      </c>
      <c r="C89" s="98" t="s">
        <v>46</v>
      </c>
      <c r="D89" s="98">
        <v>578</v>
      </c>
      <c r="E89" s="98">
        <v>693.6</v>
      </c>
    </row>
    <row r="90" spans="1:5">
      <c r="B90" s="97" t="s">
        <v>261</v>
      </c>
      <c r="C90" s="98" t="s">
        <v>46</v>
      </c>
      <c r="D90" s="98">
        <v>994</v>
      </c>
      <c r="E90" s="98">
        <v>1192.8</v>
      </c>
    </row>
    <row r="91" spans="1:5">
      <c r="A91" s="97" t="s">
        <v>132</v>
      </c>
      <c r="B91" s="97" t="s">
        <v>262</v>
      </c>
      <c r="C91" s="98" t="s">
        <v>46</v>
      </c>
      <c r="D91" s="98">
        <v>274</v>
      </c>
      <c r="E91" s="98">
        <v>328.8</v>
      </c>
    </row>
    <row r="92" spans="1:5">
      <c r="B92" s="97" t="s">
        <v>263</v>
      </c>
      <c r="C92" s="98" t="s">
        <v>46</v>
      </c>
      <c r="D92" s="98">
        <v>579</v>
      </c>
      <c r="E92" s="98">
        <v>694.8</v>
      </c>
    </row>
    <row r="93" spans="1:5">
      <c r="B93" s="97" t="s">
        <v>264</v>
      </c>
      <c r="C93" s="98" t="s">
        <v>46</v>
      </c>
      <c r="D93" s="98">
        <v>327</v>
      </c>
      <c r="E93" s="98">
        <v>392.4</v>
      </c>
    </row>
    <row r="94" spans="1:5">
      <c r="B94" s="97" t="s">
        <v>265</v>
      </c>
      <c r="C94" s="98" t="s">
        <v>46</v>
      </c>
      <c r="D94" s="98">
        <v>438</v>
      </c>
      <c r="E94" s="98">
        <v>525.6</v>
      </c>
    </row>
    <row r="95" spans="1:5">
      <c r="B95" s="97" t="s">
        <v>266</v>
      </c>
      <c r="C95" s="98" t="s">
        <v>46</v>
      </c>
      <c r="D95" s="98">
        <v>3507</v>
      </c>
      <c r="E95" s="98">
        <v>4208.3999999999996</v>
      </c>
    </row>
    <row r="96" spans="1:5">
      <c r="B96" s="97" t="s">
        <v>267</v>
      </c>
      <c r="C96" s="98" t="s">
        <v>46</v>
      </c>
      <c r="D96" s="98">
        <v>270</v>
      </c>
      <c r="E96" s="98">
        <v>324</v>
      </c>
    </row>
    <row r="97" spans="2:5">
      <c r="B97" s="97" t="s">
        <v>268</v>
      </c>
      <c r="C97" s="98" t="s">
        <v>46</v>
      </c>
      <c r="D97" s="98">
        <v>603</v>
      </c>
      <c r="E97" s="98">
        <v>723.6</v>
      </c>
    </row>
    <row r="98" spans="2:5">
      <c r="B98" s="97" t="s">
        <v>269</v>
      </c>
      <c r="C98" s="98" t="s">
        <v>46</v>
      </c>
      <c r="D98" s="98">
        <v>443</v>
      </c>
      <c r="E98" s="98">
        <v>531.6</v>
      </c>
    </row>
    <row r="99" spans="2:5">
      <c r="B99" s="97" t="s">
        <v>270</v>
      </c>
      <c r="C99" s="98" t="s">
        <v>46</v>
      </c>
      <c r="D99" s="98">
        <v>491</v>
      </c>
      <c r="E99" s="98">
        <v>589.19999999999993</v>
      </c>
    </row>
    <row r="100" spans="2:5">
      <c r="B100" s="97" t="s">
        <v>271</v>
      </c>
      <c r="C100" s="98" t="s">
        <v>46</v>
      </c>
      <c r="D100" s="98">
        <v>527</v>
      </c>
      <c r="E100" s="98">
        <v>632.4</v>
      </c>
    </row>
    <row r="101" spans="2:5">
      <c r="B101" s="97" t="s">
        <v>272</v>
      </c>
      <c r="C101" s="98" t="s">
        <v>46</v>
      </c>
      <c r="D101" s="98">
        <v>464</v>
      </c>
      <c r="E101" s="98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2014-11-25T23:59:06Z</dcterms:modified>
</cp:coreProperties>
</file>