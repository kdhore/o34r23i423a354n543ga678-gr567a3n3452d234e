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/>
  <workbookPr codeName="ThisWorkbook" autoCompressPictures="0"/>
  <bookViews>
    <workbookView xWindow="1900" yWindow="260" windowWidth="19140" windowHeight="11820" activeTab="1"/>
  </bookViews>
  <sheets>
    <sheet name="P&amp;L" sheetId="1" r:id="rId1"/>
    <sheet name="Cumulative" sheetId="5" r:id="rId2"/>
    <sheet name="Charts" sheetId="3" r:id="rId3"/>
  </sheets>
  <definedNames>
    <definedName name="_xlnm.Print_Area" localSheetId="1">Cumulative!$A$6:$U$19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5" l="1"/>
  <c r="C14" i="5"/>
  <c r="AE14" i="5"/>
  <c r="D16" i="5"/>
  <c r="E16" i="5"/>
  <c r="G16" i="5"/>
  <c r="I16" i="5"/>
  <c r="K16" i="5"/>
  <c r="M16" i="5"/>
  <c r="O16" i="5"/>
  <c r="Q16" i="5"/>
  <c r="S16" i="5"/>
  <c r="U16" i="5"/>
  <c r="W16" i="5"/>
  <c r="Y16" i="5"/>
  <c r="AA16" i="5"/>
  <c r="AC16" i="5"/>
  <c r="AE16" i="5"/>
  <c r="D14" i="5"/>
  <c r="E14" i="5"/>
  <c r="F16" i="5"/>
  <c r="H16" i="5"/>
  <c r="J16" i="5"/>
  <c r="L16" i="5"/>
  <c r="N16" i="5"/>
  <c r="P16" i="5"/>
  <c r="R16" i="5"/>
  <c r="T16" i="5"/>
  <c r="V16" i="5"/>
  <c r="X16" i="5"/>
  <c r="Z16" i="5"/>
  <c r="AB16" i="5"/>
  <c r="AD16" i="5"/>
  <c r="F14" i="5"/>
  <c r="H14" i="5"/>
  <c r="J14" i="5"/>
  <c r="L14" i="5"/>
  <c r="N14" i="5"/>
  <c r="P14" i="5"/>
  <c r="R14" i="5"/>
  <c r="T14" i="5"/>
  <c r="V14" i="5"/>
  <c r="X14" i="5"/>
  <c r="Z14" i="5"/>
  <c r="AB14" i="5"/>
  <c r="AD14" i="5"/>
  <c r="G14" i="5"/>
  <c r="I14" i="5"/>
  <c r="K14" i="5"/>
  <c r="M14" i="5"/>
  <c r="O14" i="5"/>
  <c r="Q14" i="5"/>
  <c r="S14" i="5"/>
  <c r="U14" i="5"/>
  <c r="W14" i="5"/>
  <c r="Y14" i="5"/>
  <c r="AA14" i="5"/>
  <c r="AC14" i="5"/>
  <c r="C17" i="5"/>
  <c r="AB17" i="5"/>
  <c r="C10" i="5"/>
  <c r="AA10" i="5"/>
  <c r="C9" i="5"/>
  <c r="AC9" i="5"/>
  <c r="C19" i="5"/>
  <c r="AE19" i="5"/>
  <c r="C12" i="5"/>
  <c r="D12" i="5"/>
  <c r="C15" i="5"/>
  <c r="AE15" i="5"/>
  <c r="C11" i="5"/>
  <c r="AC11" i="5"/>
  <c r="C7" i="5"/>
  <c r="AA7" i="5"/>
  <c r="C8" i="5"/>
  <c r="AA8" i="5"/>
  <c r="AD8" i="5"/>
  <c r="C13" i="5"/>
  <c r="D13" i="5"/>
  <c r="E13" i="5"/>
  <c r="C18" i="5"/>
  <c r="AB18" i="5"/>
  <c r="D6" i="5"/>
  <c r="B5" i="5"/>
  <c r="E6" i="1"/>
  <c r="E6" i="5"/>
  <c r="F6" i="1"/>
  <c r="AD17" i="5"/>
  <c r="AD9" i="5"/>
  <c r="AE13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Z9" i="5"/>
  <c r="Y9" i="5"/>
  <c r="Y18" i="5"/>
  <c r="D7" i="5"/>
  <c r="Z17" i="5"/>
  <c r="AB12" i="5"/>
  <c r="Y15" i="5"/>
  <c r="AC17" i="5"/>
  <c r="Z7" i="5"/>
  <c r="AC7" i="5"/>
  <c r="AE8" i="5"/>
  <c r="Y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AA15" i="5"/>
  <c r="AC15" i="5"/>
  <c r="AE9" i="5"/>
  <c r="Y12" i="5"/>
  <c r="Y7" i="5"/>
  <c r="Z8" i="5"/>
  <c r="Z19" i="5"/>
  <c r="D11" i="5"/>
  <c r="AB9" i="5"/>
  <c r="AB8" i="5"/>
  <c r="AA11" i="5"/>
  <c r="D19" i="5"/>
  <c r="Y10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AE17" i="5"/>
  <c r="AC8" i="5"/>
  <c r="Y19" i="5"/>
  <c r="AA9" i="5"/>
  <c r="AB10" i="5"/>
  <c r="AE12" i="5"/>
  <c r="AA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Z12" i="5"/>
  <c r="AE10" i="5"/>
  <c r="AC19" i="5"/>
  <c r="AD19" i="5"/>
  <c r="AB7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AC12" i="5"/>
  <c r="AD12" i="5"/>
  <c r="AE7" i="5"/>
  <c r="F6" i="5"/>
  <c r="G6" i="1"/>
  <c r="AC18" i="5"/>
  <c r="AA18" i="5"/>
  <c r="Z18" i="5"/>
  <c r="AD18" i="5"/>
  <c r="AB11" i="5"/>
  <c r="AE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AE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AD11" i="5"/>
  <c r="Z11" i="5"/>
  <c r="AD13" i="5"/>
  <c r="Z13" i="5"/>
  <c r="AA13" i="5"/>
  <c r="Y13" i="5"/>
  <c r="AB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AB15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Z10" i="5"/>
  <c r="AD10" i="5"/>
  <c r="AB19" i="5"/>
  <c r="AC10" i="5"/>
  <c r="AA19" i="5"/>
  <c r="AD15" i="5"/>
  <c r="Z15" i="5"/>
  <c r="AC13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AD7" i="5"/>
  <c r="Y17" i="5"/>
  <c r="AA17" i="5"/>
  <c r="H6" i="1"/>
  <c r="G6" i="5"/>
  <c r="I6" i="1"/>
  <c r="H6" i="5"/>
  <c r="J6" i="1"/>
  <c r="I6" i="5"/>
  <c r="K6" i="1"/>
  <c r="J6" i="5"/>
  <c r="K6" i="5"/>
  <c r="L6" i="1"/>
  <c r="M6" i="1"/>
  <c r="L6" i="5"/>
  <c r="M6" i="5"/>
  <c r="N6" i="1"/>
  <c r="O6" i="1"/>
  <c r="N6" i="5"/>
  <c r="P6" i="1"/>
  <c r="O6" i="5"/>
  <c r="Q6" i="1"/>
  <c r="P6" i="5"/>
  <c r="R6" i="1"/>
  <c r="Q6" i="5"/>
  <c r="S6" i="1"/>
  <c r="R6" i="5"/>
  <c r="S6" i="5"/>
  <c r="T6" i="1"/>
  <c r="T6" i="5"/>
  <c r="U6" i="1"/>
  <c r="U6" i="5"/>
  <c r="V6" i="1"/>
  <c r="V6" i="5"/>
  <c r="W6" i="1"/>
  <c r="W6" i="5"/>
  <c r="X6" i="1"/>
  <c r="X6" i="5"/>
  <c r="Y6" i="1"/>
  <c r="Y6" i="5"/>
  <c r="Z6" i="1"/>
  <c r="Z6" i="5"/>
  <c r="AA6" i="1"/>
  <c r="AB6" i="1"/>
  <c r="AA6" i="5"/>
  <c r="AB6" i="5"/>
  <c r="AC6" i="1"/>
  <c r="AC6" i="5"/>
  <c r="AD6" i="1"/>
  <c r="AD6" i="5"/>
  <c r="AE6" i="1"/>
  <c r="AE6" i="5"/>
</calcChain>
</file>

<file path=xl/sharedStrings.xml><?xml version="1.0" encoding="utf-8"?>
<sst xmlns="http://schemas.openxmlformats.org/spreadsheetml/2006/main" count="24" uniqueCount="19">
  <si>
    <t>Orange Juice Game</t>
  </si>
  <si>
    <t>Industry Ranking</t>
  </si>
  <si>
    <t>Ranking</t>
  </si>
  <si>
    <t>Company Name</t>
  </si>
  <si>
    <t>Profit &amp; Loss</t>
  </si>
  <si>
    <t>Industry Charts</t>
  </si>
  <si>
    <t>fantasticfour</t>
  </si>
  <si>
    <t>juicinator</t>
  </si>
  <si>
    <t>obb</t>
  </si>
  <si>
    <t>optimix</t>
  </si>
  <si>
    <t>orangenation</t>
  </si>
  <si>
    <t>oriangagrande</t>
  </si>
  <si>
    <t>pulpfiction</t>
  </si>
  <si>
    <t>simplywinning</t>
  </si>
  <si>
    <t>simpsonoj</t>
  </si>
  <si>
    <t>squeezed</t>
  </si>
  <si>
    <t>supermodelers</t>
  </si>
  <si>
    <t>teamscurvysyndicate</t>
  </si>
  <si>
    <t>thebreakfastclub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</si>
</sst>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2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i/>
      <u/>
      <sz val="10"/>
      <name val="Arial"/>
      <family val="2"/>
    </font>
    <font>
      <b/>
      <sz val="14"/>
      <color indexed="53"/>
      <name val="Arial"/>
      <family val="2"/>
    </font>
    <font>
      <b/>
      <sz val="10"/>
      <color indexed="52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2" fillId="26" borderId="0" applyNumberFormat="0" applyBorder="0" applyAlignment="0" applyProtection="0"/>
    <xf numFmtId="0" fontId="13" fillId="27" borderId="1" applyNumberFormat="0" applyAlignment="0" applyProtection="0"/>
    <xf numFmtId="0" fontId="14" fillId="28" borderId="2" applyNumberFormat="0" applyAlignment="0" applyProtection="0"/>
    <xf numFmtId="0" fontId="15" fillId="0" borderId="0" applyNumberFormat="0" applyFill="0" applyBorder="0" applyAlignment="0" applyProtection="0"/>
    <xf numFmtId="0" fontId="16" fillId="29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30" borderId="1" applyNumberFormat="0" applyAlignment="0" applyProtection="0"/>
    <xf numFmtId="0" fontId="21" fillId="0" borderId="6" applyNumberFormat="0" applyFill="0" applyAlignment="0" applyProtection="0"/>
    <xf numFmtId="0" fontId="22" fillId="31" borderId="0" applyNumberFormat="0" applyBorder="0" applyAlignment="0" applyProtection="0"/>
    <xf numFmtId="0" fontId="9" fillId="0" borderId="0"/>
    <xf numFmtId="0" fontId="10" fillId="0" borderId="0"/>
    <xf numFmtId="0" fontId="9" fillId="0" borderId="0"/>
    <xf numFmtId="0" fontId="10" fillId="32" borderId="7" applyNumberFormat="0" applyFont="0" applyAlignment="0" applyProtection="0"/>
    <xf numFmtId="0" fontId="23" fillId="27" borderId="8" applyNumberFormat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ont="1"/>
    <xf numFmtId="0" fontId="27" fillId="0" borderId="0" xfId="0" applyFont="1" applyAlignme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38"/>
    <cellStyle name="Normal 3" xfId="39"/>
    <cellStyle name="Note 2" xfId="40"/>
    <cellStyle name="Output" xfId="41" builtinId="21" customBuiltin="1"/>
    <cellStyle name="Title 2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750"/>
              <a:t>Cumulative Profit</a:t>
            </a:r>
          </a:p>
        </c:rich>
      </c:tx>
      <c:layout>
        <c:manualLayout>
          <c:xMode val="edge"/>
          <c:yMode val="edge"/>
          <c:x val="0.426774860689584"/>
          <c:y val="0.027777777777777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370059874591"/>
          <c:y val="0.14930580869176"/>
          <c:w val="0.691225483607002"/>
          <c:h val="0.748265157513356"/>
        </c:manualLayout>
      </c:layout>
      <c:scatterChart>
        <c:scatterStyle val="lineMarker"/>
        <c:varyColors val="0"/>
        <c:ser>
          <c:idx val="0"/>
          <c:order val="0"/>
          <c:tx>
            <c:strRef>
              <c:f>Cumulative!$C$7</c:f>
              <c:strCache>
                <c:ptCount val="1"/>
                <c:pt idx="0">
                  <c:v>supermodelers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Cumulative!$D$7:$Z$7</c:f>
              <c:numCache>
                <c:formatCode>"$"#,##0</c:formatCode>
                <c:ptCount val="23"/>
                <c:pt idx="0">
                  <c:v>5.76185238121E8</c:v>
                </c:pt>
                <c:pt idx="1">
                  <c:v>7.859929486429E8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Cumulative!$C$8</c:f>
              <c:strCache>
                <c:ptCount val="1"/>
                <c:pt idx="0">
                  <c:v>optimix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Cumulative!$D$8:$Z$8</c:f>
              <c:numCache>
                <c:formatCode>"$"#,##0</c:formatCode>
                <c:ptCount val="23"/>
                <c:pt idx="0">
                  <c:v>5.397961757674E8</c:v>
                </c:pt>
                <c:pt idx="1">
                  <c:v>7.178769657267E8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Cumulative!$C$9</c:f>
              <c:strCache>
                <c:ptCount val="1"/>
                <c:pt idx="0">
                  <c:v>obb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Cumulative!$D$9:$Z$9</c:f>
              <c:numCache>
                <c:formatCode>"$"#,##0</c:formatCode>
                <c:ptCount val="23"/>
                <c:pt idx="0">
                  <c:v>-7.3547539097E6</c:v>
                </c:pt>
                <c:pt idx="1">
                  <c:v>6.668399967276E8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Cumulative!$C$10</c:f>
              <c:strCache>
                <c:ptCount val="1"/>
                <c:pt idx="0">
                  <c:v>simplywinning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Cumulative!$D$10:$Z$10</c:f>
              <c:numCache>
                <c:formatCode>"$"#,##0</c:formatCode>
                <c:ptCount val="23"/>
                <c:pt idx="0">
                  <c:v>4.425488208911E8</c:v>
                </c:pt>
                <c:pt idx="1">
                  <c:v>6.556528192591E8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Cumulative!$C$11</c:f>
              <c:strCache>
                <c:ptCount val="1"/>
                <c:pt idx="0">
                  <c:v>squeezed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Cumulative!$D$11:$Z$11</c:f>
              <c:numCache>
                <c:formatCode>"$"#,##0</c:formatCode>
                <c:ptCount val="23"/>
                <c:pt idx="0">
                  <c:v>4.070002998203E8</c:v>
                </c:pt>
                <c:pt idx="1">
                  <c:v>6.211517010083E8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Cumulative!$C$14</c:f>
              <c:strCache>
                <c:ptCount val="1"/>
                <c:pt idx="0">
                  <c:v>juicinator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Cumulative!$D$14:$Z$14</c:f>
              <c:numCache>
                <c:formatCode>"$"#,##0</c:formatCode>
                <c:ptCount val="23"/>
                <c:pt idx="0">
                  <c:v>1.695077859108E8</c:v>
                </c:pt>
                <c:pt idx="1">
                  <c:v>3.174896424476E8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Cumulative!$C$15</c:f>
              <c:strCache>
                <c:ptCount val="1"/>
                <c:pt idx="0">
                  <c:v>teamscurvysyndicate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Cumulative!$D$15:$Z$15</c:f>
              <c:numCache>
                <c:formatCode>"$"#,##0</c:formatCode>
                <c:ptCount val="23"/>
                <c:pt idx="0">
                  <c:v>-1.765021533539E8</c:v>
                </c:pt>
                <c:pt idx="1">
                  <c:v>2.716312238516E8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Cumulative!$C$18</c:f>
              <c:strCache>
                <c:ptCount val="1"/>
                <c:pt idx="0">
                  <c:v>pulpfiction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Cumulative!$D$18:$Z$18</c:f>
              <c:numCache>
                <c:formatCode>"$"#,##0</c:formatCode>
                <c:ptCount val="23"/>
                <c:pt idx="0">
                  <c:v>-5.558112311973E8</c:v>
                </c:pt>
                <c:pt idx="1">
                  <c:v>-7.63817935483E8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Cumulative!$C$19</c:f>
              <c:strCache>
                <c:ptCount val="1"/>
                <c:pt idx="0">
                  <c:v>thebreakfastclub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Cumulative!$D$19:$Z$19</c:f>
              <c:numCache>
                <c:formatCode>"$"#,##0</c:formatCode>
                <c:ptCount val="23"/>
                <c:pt idx="0">
                  <c:v>-1.5812803458126E9</c:v>
                </c:pt>
                <c:pt idx="1">
                  <c:v>-9.187805306505E8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Cumulative!$C$12</c:f>
              <c:strCache>
                <c:ptCount val="1"/>
                <c:pt idx="0">
                  <c:v>fantasticfour</c:v>
                </c:pt>
              </c:strCache>
            </c:strRef>
          </c:tx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Cumulative!$D$12:$Z$12</c:f>
              <c:numCache>
                <c:formatCode>"$"#,##0</c:formatCode>
                <c:ptCount val="23"/>
                <c:pt idx="0">
                  <c:v>2.49608952547E7</c:v>
                </c:pt>
                <c:pt idx="1">
                  <c:v>5.957854775304E8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Cumulative!$C$13</c:f>
              <c:strCache>
                <c:ptCount val="1"/>
                <c:pt idx="0">
                  <c:v>simpsonoj</c:v>
                </c:pt>
              </c:strCache>
            </c:strRef>
          </c:tx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Cumulative!$D$13:$Z$13</c:f>
              <c:numCache>
                <c:formatCode>"$"#,##0</c:formatCode>
                <c:ptCount val="23"/>
                <c:pt idx="0">
                  <c:v>4.922508765037E8</c:v>
                </c:pt>
                <c:pt idx="1">
                  <c:v>3.595347099872E8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Cumulative!$C$16</c:f>
              <c:strCache>
                <c:ptCount val="1"/>
                <c:pt idx="0">
                  <c:v>orangenation</c:v>
                </c:pt>
              </c:strCache>
            </c:strRef>
          </c:tx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Cumulative!$D$16:$Z$16</c:f>
              <c:numCache>
                <c:formatCode>"$"#,##0</c:formatCode>
                <c:ptCount val="23"/>
                <c:pt idx="0">
                  <c:v>-1.1815397428E7</c:v>
                </c:pt>
                <c:pt idx="1">
                  <c:v>2.97134885308E7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Cumulative!$C$17</c:f>
              <c:strCache>
                <c:ptCount val="1"/>
                <c:pt idx="0">
                  <c:v>oriangagrande</c:v>
                </c:pt>
              </c:strCache>
            </c:strRef>
          </c:tx>
          <c:xVal>
            <c:numRef>
              <c:f>Cumulative!$D$6:$Z$6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Cumulative!$D$17:$Z$17</c:f>
              <c:numCache>
                <c:formatCode>"$"#,##0</c:formatCode>
                <c:ptCount val="23"/>
                <c:pt idx="0">
                  <c:v>-2.71147801192E8</c:v>
                </c:pt>
                <c:pt idx="1">
                  <c:v>-6.10561907045E7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991928"/>
        <c:axId val="-2124985848"/>
      </c:scatterChart>
      <c:valAx>
        <c:axId val="-2124991928"/>
        <c:scaling>
          <c:orientation val="minMax"/>
          <c:max val="2036.0"/>
          <c:min val="2014.0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50"/>
                  <a:t>Year</a:t>
                </a:r>
              </a:p>
            </c:rich>
          </c:tx>
          <c:layout>
            <c:manualLayout>
              <c:xMode val="edge"/>
              <c:yMode val="edge"/>
              <c:x val="0.488769564181836"/>
              <c:y val="0.92534886264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4985848"/>
        <c:crosses val="autoZero"/>
        <c:crossBetween val="midCat"/>
        <c:majorUnit val="2.0"/>
      </c:valAx>
      <c:valAx>
        <c:axId val="-2124985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50"/>
                  <a:t>Cumulative Profit</a:t>
                </a:r>
              </a:p>
            </c:rich>
          </c:tx>
          <c:layout>
            <c:manualLayout>
              <c:xMode val="edge"/>
              <c:yMode val="edge"/>
              <c:x val="0.0143755615453729"/>
              <c:y val="0.413195173519977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4991928"/>
        <c:crosses val="autoZero"/>
        <c:crossBetween val="midCat"/>
        <c:dispUnits>
          <c:builtInUnit val="millions"/>
          <c:dispUnitsLbl>
            <c:layout/>
            <c:txPr>
              <a:bodyPr/>
              <a:lstStyle/>
              <a:p>
                <a:pPr>
                  <a:defRPr sz="1450"/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9356849261767"/>
          <c:y val="0.288773512685914"/>
          <c:w val="0.131578647008747"/>
          <c:h val="0.4574187080781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Profit &amp; Loss</a:t>
            </a:r>
          </a:p>
        </c:rich>
      </c:tx>
      <c:layout>
        <c:manualLayout>
          <c:xMode val="edge"/>
          <c:yMode val="edge"/>
          <c:x val="0.432165696269098"/>
          <c:y val="0.03201970443349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771078143534"/>
          <c:y val="0.211822914850142"/>
          <c:w val="0.700809191303917"/>
          <c:h val="0.6330056874010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'P&amp;L'!$C$7</c:f>
              <c:strCache>
                <c:ptCount val="1"/>
                <c:pt idx="0">
                  <c:v>obb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'P&amp;L'!$D$7:$Z$7</c:f>
              <c:numCache>
                <c:formatCode>"$"#,##0</c:formatCode>
                <c:ptCount val="23"/>
                <c:pt idx="0">
                  <c:v>-7.3547539097E6</c:v>
                </c:pt>
                <c:pt idx="1">
                  <c:v>6.741947506373E8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'P&amp;L'!$C$8</c:f>
              <c:strCache>
                <c:ptCount val="1"/>
                <c:pt idx="0">
                  <c:v>thebreakfastclub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'P&amp;L'!$D$8:$Z$8</c:f>
              <c:numCache>
                <c:formatCode>"$"#,##0</c:formatCode>
                <c:ptCount val="23"/>
                <c:pt idx="0">
                  <c:v>-1.5812803458126E9</c:v>
                </c:pt>
                <c:pt idx="1">
                  <c:v>6.624998151621E8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'P&amp;L'!$C$9</c:f>
              <c:strCache>
                <c:ptCount val="1"/>
                <c:pt idx="0">
                  <c:v>fantasticfour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'P&amp;L'!$D$9:$Z$9</c:f>
              <c:numCache>
                <c:formatCode>"$"#,##0</c:formatCode>
                <c:ptCount val="23"/>
                <c:pt idx="0">
                  <c:v>2.49608952547E7</c:v>
                </c:pt>
                <c:pt idx="1">
                  <c:v>5.708245822757E8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'P&amp;L'!$C$10</c:f>
              <c:strCache>
                <c:ptCount val="1"/>
                <c:pt idx="0">
                  <c:v>teamscurvysyndicate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'P&amp;L'!$D$10:$Z$10</c:f>
              <c:numCache>
                <c:formatCode>"$"#,##0</c:formatCode>
                <c:ptCount val="23"/>
                <c:pt idx="0">
                  <c:v>-1.765021533539E8</c:v>
                </c:pt>
                <c:pt idx="1">
                  <c:v>4.481333772055E8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'P&amp;L'!$C$11</c:f>
              <c:strCache>
                <c:ptCount val="1"/>
                <c:pt idx="0">
                  <c:v>squeezed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'P&amp;L'!$D$11:$Z$11</c:f>
              <c:numCache>
                <c:formatCode>"$"#,##0</c:formatCode>
                <c:ptCount val="23"/>
                <c:pt idx="0">
                  <c:v>4.070002998203E8</c:v>
                </c:pt>
                <c:pt idx="1">
                  <c:v>2.14151401188E8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'P&amp;L'!$C$14</c:f>
              <c:strCache>
                <c:ptCount val="1"/>
                <c:pt idx="0">
                  <c:v>supermodelers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'P&amp;L'!$D$14:$Z$14</c:f>
              <c:numCache>
                <c:formatCode>"$"#,##0</c:formatCode>
                <c:ptCount val="23"/>
                <c:pt idx="0">
                  <c:v>5.76185238121E8</c:v>
                </c:pt>
                <c:pt idx="1">
                  <c:v>2.098077105219E8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'P&amp;L'!$C$15</c:f>
              <c:strCache>
                <c:ptCount val="1"/>
                <c:pt idx="0">
                  <c:v>optimix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'P&amp;L'!$D$15:$Z$15</c:f>
              <c:numCache>
                <c:formatCode>"$"#,##0</c:formatCode>
                <c:ptCount val="23"/>
                <c:pt idx="0">
                  <c:v>5.397961757674E8</c:v>
                </c:pt>
                <c:pt idx="1">
                  <c:v>1.780807899593E8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'P&amp;L'!$C$18</c:f>
              <c:strCache>
                <c:ptCount val="1"/>
                <c:pt idx="0">
                  <c:v>simpsonoj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'P&amp;L'!$D$18:$Z$18</c:f>
              <c:numCache>
                <c:formatCode>"$"#,##0</c:formatCode>
                <c:ptCount val="23"/>
                <c:pt idx="0">
                  <c:v>4.922508765037E8</c:v>
                </c:pt>
                <c:pt idx="1">
                  <c:v>-1.327161665165E8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'P&amp;L'!$C$19</c:f>
              <c:strCache>
                <c:ptCount val="1"/>
                <c:pt idx="0">
                  <c:v>pulpfiction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'P&amp;L'!$D$19:$Z$19</c:f>
              <c:numCache>
                <c:formatCode>"$"#,##0</c:formatCode>
                <c:ptCount val="23"/>
                <c:pt idx="0">
                  <c:v>-5.558112311973E8</c:v>
                </c:pt>
                <c:pt idx="1">
                  <c:v>-2.080067042857E8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'P&amp;L'!$C$12</c:f>
              <c:strCache>
                <c:ptCount val="1"/>
                <c:pt idx="0">
                  <c:v>simplywinning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'P&amp;L'!$D$12:$Z$12</c:f>
              <c:numCache>
                <c:formatCode>"$"#,##0</c:formatCode>
                <c:ptCount val="23"/>
                <c:pt idx="0">
                  <c:v>4.425488208911E8</c:v>
                </c:pt>
                <c:pt idx="1">
                  <c:v>2.13103998368E8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'P&amp;L'!$C$13</c:f>
              <c:strCache>
                <c:ptCount val="1"/>
                <c:pt idx="0">
                  <c:v>oriangagrande</c:v>
                </c:pt>
              </c:strCache>
            </c:strRef>
          </c:tx>
          <c:spPr>
            <a:ln w="28575">
              <a:noFill/>
            </a:ln>
          </c:spP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'P&amp;L'!$D$13:$Z$13</c:f>
              <c:numCache>
                <c:formatCode>"$"#,##0</c:formatCode>
                <c:ptCount val="23"/>
                <c:pt idx="0">
                  <c:v>-2.71147801192E8</c:v>
                </c:pt>
                <c:pt idx="1">
                  <c:v>2.100916104875E8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'P&amp;L'!$C$16</c:f>
              <c:strCache>
                <c:ptCount val="1"/>
                <c:pt idx="0">
                  <c:v>juicinator</c:v>
                </c:pt>
              </c:strCache>
            </c:strRef>
          </c:tx>
          <c:spPr>
            <a:ln w="28575">
              <a:noFill/>
            </a:ln>
          </c:spP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'P&amp;L'!$D$16:$Z$16</c:f>
              <c:numCache>
                <c:formatCode>"$"#,##0</c:formatCode>
                <c:ptCount val="23"/>
                <c:pt idx="0">
                  <c:v>1.695077859108E8</c:v>
                </c:pt>
                <c:pt idx="1">
                  <c:v>1.479818565368E8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'P&amp;L'!$C$17</c:f>
              <c:strCache>
                <c:ptCount val="1"/>
                <c:pt idx="0">
                  <c:v>orangenation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'P&amp;L'!$D$6:$Z$6</c:f>
              <c:numCache>
                <c:formatCode>General</c:formatCode>
                <c:ptCount val="23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  <c:pt idx="17">
                  <c:v>2031.0</c:v>
                </c:pt>
                <c:pt idx="18">
                  <c:v>2032.0</c:v>
                </c:pt>
                <c:pt idx="19">
                  <c:v>2033.0</c:v>
                </c:pt>
                <c:pt idx="20">
                  <c:v>2034.0</c:v>
                </c:pt>
                <c:pt idx="21">
                  <c:v>2035.0</c:v>
                </c:pt>
                <c:pt idx="22">
                  <c:v>2036.0</c:v>
                </c:pt>
              </c:numCache>
            </c:numRef>
          </c:xVal>
          <c:yVal>
            <c:numRef>
              <c:f>'P&amp;L'!$D$17:$Z$17</c:f>
              <c:numCache>
                <c:formatCode>"$"#,##0</c:formatCode>
                <c:ptCount val="23"/>
                <c:pt idx="0">
                  <c:v>-1.1815397428E7</c:v>
                </c:pt>
                <c:pt idx="1">
                  <c:v>4.15288859588E7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805960"/>
        <c:axId val="-2124799688"/>
      </c:scatterChart>
      <c:valAx>
        <c:axId val="-2124805960"/>
        <c:scaling>
          <c:orientation val="minMax"/>
          <c:max val="2036.0"/>
          <c:min val="2014.0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6972618988664"/>
              <c:y val="0.8842374875554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4799688"/>
        <c:crosses val="autoZero"/>
        <c:crossBetween val="midCat"/>
        <c:majorUnit val="2.0"/>
      </c:valAx>
      <c:valAx>
        <c:axId val="-2124799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Profit &amp; Loss</a:t>
                </a:r>
              </a:p>
            </c:rich>
          </c:tx>
          <c:layout>
            <c:manualLayout>
              <c:xMode val="edge"/>
              <c:yMode val="edge"/>
              <c:x val="0.0143755615453729"/>
              <c:y val="0.45812859599446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4805960"/>
        <c:crosses val="autoZero"/>
        <c:crossBetween val="midCat"/>
        <c:dispUnits>
          <c:builtInUnit val="millions"/>
          <c:dispUnitsLbl/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9240047824211"/>
          <c:y val="0.265341974156402"/>
          <c:w val="0.129585311270054"/>
          <c:h val="0.5075728138323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3</xdr:row>
      <xdr:rowOff>76200</xdr:rowOff>
    </xdr:from>
    <xdr:to>
      <xdr:col>19</xdr:col>
      <xdr:colOff>257175</xdr:colOff>
      <xdr:row>37</xdr:row>
      <xdr:rowOff>57150</xdr:rowOff>
    </xdr:to>
    <xdr:graphicFrame macro="">
      <xdr:nvGraphicFramePr>
        <xdr:cNvPr id="1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38</xdr:row>
      <xdr:rowOff>114299</xdr:rowOff>
    </xdr:from>
    <xdr:to>
      <xdr:col>19</xdr:col>
      <xdr:colOff>266700</xdr:colOff>
      <xdr:row>73</xdr:row>
      <xdr:rowOff>152399</xdr:rowOff>
    </xdr:to>
    <xdr:graphicFrame macro="">
      <xdr:nvGraphicFramePr>
        <xdr:cNvPr id="1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F21"/>
  <sheetViews>
    <sheetView showGridLines="0" workbookViewId="0">
      <pane xSplit="3" topLeftCell="D1" activePane="topRight" state="frozen"/>
      <selection pane="topRight" activeCell="E7" sqref="E7"/>
    </sheetView>
  </sheetViews>
  <sheetFormatPr baseColWidth="10" defaultColWidth="8.83203125" defaultRowHeight="12" x14ac:dyDescent="0"/>
  <cols>
    <col min="1" max="1" width="7.6640625" bestFit="1" customWidth="1"/>
    <col min="2" max="2" width="1.6640625" customWidth="1"/>
    <col min="3" max="3" width="22" style="6" bestFit="1" customWidth="1"/>
    <col min="4" max="20" width="16.6640625" customWidth="1"/>
    <col min="21" max="21" width="14.6640625" customWidth="1"/>
    <col min="22" max="22" width="15.1640625" customWidth="1"/>
    <col min="23" max="23" width="14.6640625" customWidth="1"/>
    <col min="24" max="24" width="13.33203125" customWidth="1"/>
    <col min="25" max="25" width="13.5" customWidth="1"/>
    <col min="26" max="26" width="14.5" customWidth="1"/>
    <col min="27" max="27" width="12.5" customWidth="1"/>
    <col min="28" max="28" width="12.6640625" customWidth="1"/>
    <col min="29" max="29" width="14.5" customWidth="1"/>
    <col min="30" max="30" width="16" customWidth="1"/>
    <col min="31" max="31" width="14.1640625" customWidth="1"/>
    <col min="32" max="32" width="14.5" customWidth="1"/>
  </cols>
  <sheetData>
    <row r="1" spans="1:32">
      <c r="C1"/>
    </row>
    <row r="2" spans="1:32" ht="17">
      <c r="C2" s="4" t="s">
        <v>0</v>
      </c>
    </row>
    <row r="3" spans="1:32">
      <c r="C3" s="5" t="s">
        <v>1</v>
      </c>
    </row>
    <row r="4" spans="1:32">
      <c r="C4"/>
    </row>
    <row r="5" spans="1:32">
      <c r="B5" s="3" t="s">
        <v>4</v>
      </c>
      <c r="C5"/>
    </row>
    <row r="6" spans="1:32">
      <c r="A6" s="1" t="s">
        <v>2</v>
      </c>
      <c r="B6" s="1"/>
      <c r="C6" s="1" t="s">
        <v>3</v>
      </c>
      <c r="D6" s="9">
        <v>2014</v>
      </c>
      <c r="E6" s="9">
        <f t="shared" ref="E6:W6" si="0">D6+1</f>
        <v>2015</v>
      </c>
      <c r="F6" s="9">
        <f t="shared" si="0"/>
        <v>2016</v>
      </c>
      <c r="G6" s="9">
        <f t="shared" si="0"/>
        <v>2017</v>
      </c>
      <c r="H6" s="9">
        <f t="shared" si="0"/>
        <v>2018</v>
      </c>
      <c r="I6" s="9">
        <f t="shared" si="0"/>
        <v>2019</v>
      </c>
      <c r="J6" s="9">
        <f t="shared" si="0"/>
        <v>2020</v>
      </c>
      <c r="K6" s="9">
        <f t="shared" si="0"/>
        <v>2021</v>
      </c>
      <c r="L6" s="9">
        <f t="shared" si="0"/>
        <v>2022</v>
      </c>
      <c r="M6" s="9">
        <f t="shared" si="0"/>
        <v>2023</v>
      </c>
      <c r="N6" s="9">
        <f t="shared" si="0"/>
        <v>2024</v>
      </c>
      <c r="O6" s="9">
        <f t="shared" si="0"/>
        <v>2025</v>
      </c>
      <c r="P6" s="9">
        <f t="shared" si="0"/>
        <v>2026</v>
      </c>
      <c r="Q6" s="9">
        <f t="shared" si="0"/>
        <v>2027</v>
      </c>
      <c r="R6" s="9">
        <f t="shared" si="0"/>
        <v>2028</v>
      </c>
      <c r="S6" s="9">
        <f t="shared" si="0"/>
        <v>2029</v>
      </c>
      <c r="T6" s="9">
        <f t="shared" si="0"/>
        <v>2030</v>
      </c>
      <c r="U6" s="9">
        <f t="shared" si="0"/>
        <v>2031</v>
      </c>
      <c r="V6" s="9">
        <f t="shared" si="0"/>
        <v>2032</v>
      </c>
      <c r="W6" s="9">
        <f t="shared" si="0"/>
        <v>2033</v>
      </c>
      <c r="X6" s="9">
        <f t="shared" ref="X6:AE6" si="1">W6+1</f>
        <v>2034</v>
      </c>
      <c r="Y6" s="9">
        <f t="shared" si="1"/>
        <v>2035</v>
      </c>
      <c r="Z6" s="9">
        <f t="shared" si="1"/>
        <v>2036</v>
      </c>
      <c r="AA6" s="9">
        <f t="shared" si="1"/>
        <v>2037</v>
      </c>
      <c r="AB6" s="9">
        <f t="shared" si="1"/>
        <v>2038</v>
      </c>
      <c r="AC6" s="9">
        <f t="shared" si="1"/>
        <v>2039</v>
      </c>
      <c r="AD6" s="9">
        <f t="shared" si="1"/>
        <v>2040</v>
      </c>
      <c r="AE6" s="9">
        <f t="shared" si="1"/>
        <v>2041</v>
      </c>
      <c r="AF6" s="9"/>
    </row>
    <row r="7" spans="1:32">
      <c r="A7" s="1">
        <v>1</v>
      </c>
      <c r="C7" t="s">
        <v>8</v>
      </c>
      <c r="D7" s="7">
        <v>-7354753.9096999997</v>
      </c>
      <c r="E7" s="7">
        <v>674194750.63730001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2">
      <c r="A8" s="1">
        <v>2</v>
      </c>
      <c r="C8" t="s">
        <v>18</v>
      </c>
      <c r="D8" s="7">
        <v>-1581280345.8125999</v>
      </c>
      <c r="E8" s="7">
        <v>662499815.16209996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2">
      <c r="A9" s="1">
        <v>3</v>
      </c>
      <c r="C9" t="s">
        <v>6</v>
      </c>
      <c r="D9" s="7">
        <v>24960895.254700001</v>
      </c>
      <c r="E9" s="7">
        <v>570824582.27569997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2">
      <c r="A10" s="1">
        <v>4</v>
      </c>
      <c r="C10" t="s">
        <v>17</v>
      </c>
      <c r="D10" s="7">
        <v>-176502153.35389999</v>
      </c>
      <c r="E10" s="7">
        <v>448133377.20550001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2">
      <c r="A11" s="1">
        <v>5</v>
      </c>
      <c r="C11" t="s">
        <v>15</v>
      </c>
      <c r="D11" s="7">
        <v>407000299.82029998</v>
      </c>
      <c r="E11" s="7">
        <v>214151401.18799999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2">
      <c r="A12" s="1">
        <v>6</v>
      </c>
      <c r="C12" t="s">
        <v>13</v>
      </c>
      <c r="D12" s="7">
        <v>442548820.89109999</v>
      </c>
      <c r="E12" s="7">
        <v>213103998.368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2">
      <c r="A13" s="1">
        <v>7</v>
      </c>
      <c r="C13" t="s">
        <v>11</v>
      </c>
      <c r="D13" s="7">
        <v>-271147801.19199997</v>
      </c>
      <c r="E13" s="7">
        <v>210091610.48750001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2">
      <c r="A14" s="1">
        <v>8</v>
      </c>
      <c r="C14" t="s">
        <v>16</v>
      </c>
      <c r="D14" s="7">
        <v>576185238.12100005</v>
      </c>
      <c r="E14" s="7">
        <v>209807710.5219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2">
      <c r="A15" s="1">
        <v>9</v>
      </c>
      <c r="C15" t="s">
        <v>9</v>
      </c>
      <c r="D15" s="7">
        <v>539796175.76740003</v>
      </c>
      <c r="E15" s="7">
        <v>178080789.95930001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2">
      <c r="A16" s="1">
        <v>10</v>
      </c>
      <c r="C16" t="s">
        <v>7</v>
      </c>
      <c r="D16" s="7">
        <v>169507785.91080001</v>
      </c>
      <c r="E16" s="7">
        <v>147981856.5368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>
      <c r="A17" s="1">
        <v>11</v>
      </c>
      <c r="C17" t="s">
        <v>10</v>
      </c>
      <c r="D17" s="7">
        <v>-11815397.427999999</v>
      </c>
      <c r="E17" s="7">
        <v>41528885.958800003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>
      <c r="A18" s="1">
        <v>12</v>
      </c>
      <c r="C18" t="s">
        <v>14</v>
      </c>
      <c r="D18" s="7">
        <v>492250876.50370002</v>
      </c>
      <c r="E18" s="7">
        <v>-132716166.5165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>
      <c r="A19" s="1">
        <v>13</v>
      </c>
      <c r="C19" t="s">
        <v>12</v>
      </c>
      <c r="D19" s="7">
        <v>-555811231.19729996</v>
      </c>
      <c r="E19" s="7">
        <v>-208006704.28569999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>
      <c r="A20" s="1"/>
      <c r="C20" s="10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</row>
    <row r="21" spans="1:23">
      <c r="A21" s="1"/>
      <c r="C21" s="10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</row>
  </sheetData>
  <sortState ref="C7:AE19">
    <sortCondition descending="1" ref="E6"/>
  </sortState>
  <phoneticPr fontId="0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E21"/>
  <sheetViews>
    <sheetView showGridLines="0" tabSelected="1" workbookViewId="0">
      <pane xSplit="3" topLeftCell="D1" activePane="topRight" state="frozen"/>
      <selection pane="topRight" activeCell="E17" sqref="E17"/>
    </sheetView>
  </sheetViews>
  <sheetFormatPr baseColWidth="10" defaultColWidth="8.83203125" defaultRowHeight="12" x14ac:dyDescent="0"/>
  <cols>
    <col min="1" max="1" width="7.6640625" bestFit="1" customWidth="1"/>
    <col min="2" max="2" width="1.6640625" customWidth="1"/>
    <col min="3" max="3" width="28" style="6" bestFit="1" customWidth="1"/>
    <col min="4" max="23" width="16.6640625" customWidth="1"/>
    <col min="24" max="24" width="18.5" customWidth="1"/>
    <col min="25" max="25" width="12.83203125" customWidth="1"/>
    <col min="26" max="26" width="14.6640625" bestFit="1" customWidth="1"/>
    <col min="27" max="27" width="14.1640625" customWidth="1"/>
    <col min="28" max="28" width="13.5" customWidth="1"/>
    <col min="29" max="29" width="14.6640625" bestFit="1" customWidth="1"/>
    <col min="30" max="30" width="13.5" customWidth="1"/>
    <col min="31" max="31" width="13" customWidth="1"/>
  </cols>
  <sheetData>
    <row r="1" spans="1:31">
      <c r="C1"/>
    </row>
    <row r="2" spans="1:31" ht="17">
      <c r="C2" s="4" t="s">
        <v>0</v>
      </c>
    </row>
    <row r="3" spans="1:31">
      <c r="C3" s="5" t="s">
        <v>1</v>
      </c>
    </row>
    <row r="4" spans="1:31">
      <c r="C4"/>
    </row>
    <row r="5" spans="1:31">
      <c r="B5" s="3" t="str">
        <f>"Cumulative Profit since " &amp; D6</f>
        <v>Cumulative Profit since 2014</v>
      </c>
      <c r="C5"/>
      <c r="D5" s="8">
        <v>2</v>
      </c>
      <c r="E5" s="8">
        <v>3</v>
      </c>
      <c r="F5" s="8">
        <v>4</v>
      </c>
      <c r="G5" s="8">
        <v>5</v>
      </c>
      <c r="H5" s="8">
        <v>6</v>
      </c>
      <c r="I5" s="8">
        <v>7</v>
      </c>
      <c r="J5" s="8">
        <v>8</v>
      </c>
      <c r="K5" s="8">
        <v>9</v>
      </c>
      <c r="L5" s="8">
        <v>10</v>
      </c>
      <c r="M5" s="8">
        <v>11</v>
      </c>
      <c r="N5" s="8">
        <v>12</v>
      </c>
      <c r="O5" s="8">
        <v>13</v>
      </c>
      <c r="P5" s="8">
        <v>14</v>
      </c>
      <c r="Q5" s="8">
        <v>15</v>
      </c>
      <c r="R5" s="8">
        <v>16</v>
      </c>
      <c r="S5" s="8">
        <v>17</v>
      </c>
      <c r="T5" s="8">
        <v>18</v>
      </c>
      <c r="U5" s="12">
        <v>19</v>
      </c>
      <c r="V5" s="12">
        <v>20</v>
      </c>
      <c r="W5" s="12">
        <v>21</v>
      </c>
      <c r="X5" s="8">
        <v>22</v>
      </c>
    </row>
    <row r="6" spans="1:31">
      <c r="A6" s="1" t="s">
        <v>2</v>
      </c>
      <c r="B6" s="1"/>
      <c r="C6" s="1" t="s">
        <v>3</v>
      </c>
      <c r="D6" s="9">
        <f>'P&amp;L'!D6</f>
        <v>2014</v>
      </c>
      <c r="E6" s="9">
        <f>'P&amp;L'!E6</f>
        <v>2015</v>
      </c>
      <c r="F6" s="9">
        <f>'P&amp;L'!F6</f>
        <v>2016</v>
      </c>
      <c r="G6" s="9">
        <f>'P&amp;L'!G6</f>
        <v>2017</v>
      </c>
      <c r="H6" s="9">
        <f>'P&amp;L'!H6</f>
        <v>2018</v>
      </c>
      <c r="I6" s="9">
        <f>'P&amp;L'!I6</f>
        <v>2019</v>
      </c>
      <c r="J6" s="9">
        <f>'P&amp;L'!J6</f>
        <v>2020</v>
      </c>
      <c r="K6" s="9">
        <f>'P&amp;L'!K6</f>
        <v>2021</v>
      </c>
      <c r="L6" s="9">
        <f>'P&amp;L'!L6</f>
        <v>2022</v>
      </c>
      <c r="M6" s="9">
        <f>'P&amp;L'!M6</f>
        <v>2023</v>
      </c>
      <c r="N6" s="9">
        <f>'P&amp;L'!N6</f>
        <v>2024</v>
      </c>
      <c r="O6" s="9">
        <f>'P&amp;L'!O6</f>
        <v>2025</v>
      </c>
      <c r="P6" s="9">
        <f>'P&amp;L'!P6</f>
        <v>2026</v>
      </c>
      <c r="Q6" s="9">
        <f>'P&amp;L'!Q6</f>
        <v>2027</v>
      </c>
      <c r="R6" s="9">
        <f>'P&amp;L'!R6</f>
        <v>2028</v>
      </c>
      <c r="S6" s="9">
        <f>'P&amp;L'!S6</f>
        <v>2029</v>
      </c>
      <c r="T6" s="9">
        <f>'P&amp;L'!T6</f>
        <v>2030</v>
      </c>
      <c r="U6" s="9">
        <f>'P&amp;L'!U6</f>
        <v>2031</v>
      </c>
      <c r="V6" s="9">
        <f>'P&amp;L'!V6</f>
        <v>2032</v>
      </c>
      <c r="W6" s="9">
        <f>'P&amp;L'!W6</f>
        <v>2033</v>
      </c>
      <c r="X6" s="9">
        <f>'P&amp;L'!X6</f>
        <v>2034</v>
      </c>
      <c r="Y6" s="9">
        <f>'P&amp;L'!Y6</f>
        <v>2035</v>
      </c>
      <c r="Z6" s="9">
        <f>'P&amp;L'!Z6</f>
        <v>2036</v>
      </c>
      <c r="AA6" s="9">
        <f>'P&amp;L'!AA6</f>
        <v>2037</v>
      </c>
      <c r="AB6" s="9">
        <f>'P&amp;L'!AB6</f>
        <v>2038</v>
      </c>
      <c r="AC6" s="9">
        <f>'P&amp;L'!AC6</f>
        <v>2039</v>
      </c>
      <c r="AD6" s="9">
        <f>'P&amp;L'!AD6</f>
        <v>2040</v>
      </c>
      <c r="AE6" s="9">
        <f>'P&amp;L'!AE6</f>
        <v>2041</v>
      </c>
    </row>
    <row r="7" spans="1:31">
      <c r="A7" s="1">
        <v>1</v>
      </c>
      <c r="C7" s="11" t="str">
        <f>'P&amp;L'!C14</f>
        <v>supermodelers</v>
      </c>
      <c r="D7" s="7">
        <f>IF(VLOOKUP($C7,'P&amp;L'!$C$7:$AE$19,D$5,FALSE)="","",VLOOKUP($C7,'P&amp;L'!$C$7:$AE$19,D$5,FALSE))</f>
        <v>576185238.12100005</v>
      </c>
      <c r="E7" s="7">
        <f>IF(VLOOKUP($C7,'P&amp;L'!$C$7:$AE$19,E$5,FALSE)="","",VLOOKUP($C7,'P&amp;L'!$C$7:$AE$19,E$5,FALSE)+D7)</f>
        <v>785992948.64289999</v>
      </c>
      <c r="F7" s="7" t="str">
        <f>IF(VLOOKUP($C7,'P&amp;L'!$C$7:$AE$19,F$5,FALSE)="","",VLOOKUP($C7,'P&amp;L'!$C$7:$AE$19,F$5,FALSE)+E7)</f>
        <v/>
      </c>
      <c r="G7" s="7" t="str">
        <f>IF(VLOOKUP($C7,'P&amp;L'!$C$7:$AE$19,G$5,FALSE)="","",VLOOKUP($C7,'P&amp;L'!$C$7:$AE$19,G$5,FALSE)+F7)</f>
        <v/>
      </c>
      <c r="H7" s="7" t="str">
        <f>IF(VLOOKUP($C7,'P&amp;L'!$C$7:$AE$19,H$5,FALSE)="","",VLOOKUP($C7,'P&amp;L'!$C$7:$AE$19,H$5,FALSE)+G7)</f>
        <v/>
      </c>
      <c r="I7" s="7" t="str">
        <f>IF(VLOOKUP($C7,'P&amp;L'!$C$7:$AE$19,I$5,FALSE)="","",VLOOKUP($C7,'P&amp;L'!$C$7:$AE$19,I$5,FALSE)+H7)</f>
        <v/>
      </c>
      <c r="J7" s="7" t="str">
        <f>IF(VLOOKUP($C7,'P&amp;L'!$C$7:$AE$19,J$5,FALSE)="","",VLOOKUP($C7,'P&amp;L'!$C$7:$AE$19,J$5,FALSE)+I7)</f>
        <v/>
      </c>
      <c r="K7" s="7" t="str">
        <f>IF(VLOOKUP($C7,'P&amp;L'!$C$7:$AE$19,K$5,FALSE)="","",VLOOKUP($C7,'P&amp;L'!$C$7:$AE$19,K$5,FALSE)+J7)</f>
        <v/>
      </c>
      <c r="L7" s="7" t="str">
        <f>IF(VLOOKUP($C7,'P&amp;L'!$C$7:$AE$19,L$5,FALSE)="","",VLOOKUP($C7,'P&amp;L'!$C$7:$AE$19,L$5,FALSE)+K7)</f>
        <v/>
      </c>
      <c r="M7" s="7" t="str">
        <f>IF(VLOOKUP($C7,'P&amp;L'!$C$7:$AE$19,M$5,FALSE)="","",VLOOKUP($C7,'P&amp;L'!$C$7:$AE$19,M$5,FALSE)+L7)</f>
        <v/>
      </c>
      <c r="N7" s="7" t="str">
        <f>IF(VLOOKUP($C7,'P&amp;L'!$C$7:$AE$19,N$5,FALSE)="","",VLOOKUP($C7,'P&amp;L'!$C$7:$AE$19,N$5,FALSE)+M7)</f>
        <v/>
      </c>
      <c r="O7" s="7" t="str">
        <f>IF(VLOOKUP($C7,'P&amp;L'!$C$7:$AE$19,O$5,FALSE)="","",VLOOKUP($C7,'P&amp;L'!$C$7:$AE$19,O$5,FALSE)+N7)</f>
        <v/>
      </c>
      <c r="P7" s="7" t="str">
        <f>IF(VLOOKUP($C7,'P&amp;L'!$C$7:$AE$19,P$5,FALSE)="","",VLOOKUP($C7,'P&amp;L'!$C$7:$AE$19,P$5,FALSE)+O7)</f>
        <v/>
      </c>
      <c r="Q7" s="7" t="str">
        <f>IF(VLOOKUP($C7,'P&amp;L'!$C$7:$AE$19,Q$5,FALSE)="","",VLOOKUP($C7,'P&amp;L'!$C$7:$AE$19,Q$5,FALSE)+P7)</f>
        <v/>
      </c>
      <c r="R7" s="7" t="str">
        <f>IF(VLOOKUP($C7,'P&amp;L'!$C$7:$AE$19,R$5,FALSE)="","",VLOOKUP($C7,'P&amp;L'!$C$7:$AE$19,R$5,FALSE)+Q7)</f>
        <v/>
      </c>
      <c r="S7" s="7" t="str">
        <f>IF(VLOOKUP($C7,'P&amp;L'!$C$7:$AE$19,S$5,FALSE)="","",VLOOKUP($C7,'P&amp;L'!$C$7:$AE$19,S$5,FALSE)+R7)</f>
        <v/>
      </c>
      <c r="T7" s="7" t="str">
        <f>IF(VLOOKUP($C7,'P&amp;L'!$C$7:$AE$19,T$5,FALSE)="","",VLOOKUP($C7,'P&amp;L'!$C$7:$AE$19,T$5,FALSE)+S7)</f>
        <v/>
      </c>
      <c r="U7" s="7" t="str">
        <f>IF(VLOOKUP($C7,'P&amp;L'!$C$7:$AE$19,U$5,FALSE)="","",VLOOKUP($C7,'P&amp;L'!$C$7:$AE$19,U$5,FALSE)+T7)</f>
        <v/>
      </c>
      <c r="V7" s="7" t="str">
        <f>IF(VLOOKUP($C7,'P&amp;L'!$C$7:$AE$19,V$5,FALSE)="","",VLOOKUP($C7,'P&amp;L'!$C$7:$AE$19,V$5,FALSE)+U7)</f>
        <v/>
      </c>
      <c r="W7" s="7" t="str">
        <f>IF(VLOOKUP($C7,'P&amp;L'!$C$7:$AE$19,W$5,FALSE)="","",VLOOKUP($C7,'P&amp;L'!$C$7:$AE$19,W$5,FALSE)+V7)</f>
        <v/>
      </c>
      <c r="X7" s="7" t="str">
        <f>IF(VLOOKUP($C7,'P&amp;L'!$C$7:$AE$19,X$5,FALSE)="","",VLOOKUP($C7,'P&amp;L'!$C$7:$AE$19,X$5,FALSE)+W7)</f>
        <v/>
      </c>
      <c r="Y7" s="7" t="e">
        <f>IF(VLOOKUP($C7,'P&amp;L'!$C$7:$AE$19,Y$5,FALSE)="","",VLOOKUP($C7,'P&amp;L'!$C$7:$AE$19,Y$5,FALSE)+X7)</f>
        <v>#VALUE!</v>
      </c>
      <c r="Z7" s="7" t="e">
        <f>IF(VLOOKUP($C7,'P&amp;L'!$C$7:$AE$19,Z$5,FALSE)="","",VLOOKUP($C7,'P&amp;L'!$C$7:$AE$19,Z$5,FALSE)+Y7)</f>
        <v>#VALUE!</v>
      </c>
      <c r="AA7" s="7" t="e">
        <f>IF(VLOOKUP($C7,'P&amp;L'!$C$7:$AE$19,AA$5,FALSE)="","",VLOOKUP($C7,'P&amp;L'!$C$7:$AE$19,AA$5,FALSE)+Z7)</f>
        <v>#VALUE!</v>
      </c>
      <c r="AB7" s="7" t="e">
        <f>IF(VLOOKUP($C7,'P&amp;L'!$C$7:$AE$19,AB$5,FALSE)="","",VLOOKUP($C7,'P&amp;L'!$C$7:$AE$19,AB$5,FALSE)+AA7)</f>
        <v>#VALUE!</v>
      </c>
      <c r="AC7" s="7" t="e">
        <f>IF(VLOOKUP($C7,'P&amp;L'!$C$7:$AE$19,AC$5,FALSE)="","",VLOOKUP($C7,'P&amp;L'!$C$7:$AE$19,AC$5,FALSE)+AB7)</f>
        <v>#VALUE!</v>
      </c>
      <c r="AD7" s="7" t="e">
        <f>IF(VLOOKUP($C7,'P&amp;L'!$C$7:$AE$19,AD$5,FALSE)="","",VLOOKUP($C7,'P&amp;L'!$C$7:$AE$19,AD$5,FALSE)+AC7)</f>
        <v>#VALUE!</v>
      </c>
      <c r="AE7" s="7" t="e">
        <f>IF(VLOOKUP($C7,'P&amp;L'!$C$7:$AE$19,AE$5,FALSE)="","",VLOOKUP($C7,'P&amp;L'!$C$7:$AE$19,AE$5,FALSE)+AD7)</f>
        <v>#VALUE!</v>
      </c>
    </row>
    <row r="8" spans="1:31">
      <c r="A8" s="1">
        <v>2</v>
      </c>
      <c r="C8" s="11" t="str">
        <f>'P&amp;L'!C15</f>
        <v>optimix</v>
      </c>
      <c r="D8" s="7">
        <f>IF(VLOOKUP($C8,'P&amp;L'!$C$7:$AE$19,D$5,FALSE)="","",VLOOKUP($C8,'P&amp;L'!$C$7:$AE$19,D$5,FALSE))</f>
        <v>539796175.76740003</v>
      </c>
      <c r="E8" s="7">
        <f>IF(VLOOKUP($C8,'P&amp;L'!$C$7:$AE$19,E$5,FALSE)="","",VLOOKUP($C8,'P&amp;L'!$C$7:$AE$19,E$5,FALSE)+D8)</f>
        <v>717876965.72670007</v>
      </c>
      <c r="F8" s="7" t="str">
        <f>IF(VLOOKUP($C8,'P&amp;L'!$C$7:$AE$19,F$5,FALSE)="","",VLOOKUP($C8,'P&amp;L'!$C$7:$AE$19,F$5,FALSE)+E8)</f>
        <v/>
      </c>
      <c r="G8" s="7" t="str">
        <f>IF(VLOOKUP($C8,'P&amp;L'!$C$7:$AE$19,G$5,FALSE)="","",VLOOKUP($C8,'P&amp;L'!$C$7:$AE$19,G$5,FALSE)+F8)</f>
        <v/>
      </c>
      <c r="H8" s="7" t="str">
        <f>IF(VLOOKUP($C8,'P&amp;L'!$C$7:$AE$19,H$5,FALSE)="","",VLOOKUP($C8,'P&amp;L'!$C$7:$AE$19,H$5,FALSE)+G8)</f>
        <v/>
      </c>
      <c r="I8" s="7" t="str">
        <f>IF(VLOOKUP($C8,'P&amp;L'!$C$7:$AE$19,I$5,FALSE)="","",VLOOKUP($C8,'P&amp;L'!$C$7:$AE$19,I$5,FALSE)+H8)</f>
        <v/>
      </c>
      <c r="J8" s="7" t="str">
        <f>IF(VLOOKUP($C8,'P&amp;L'!$C$7:$AE$19,J$5,FALSE)="","",VLOOKUP($C8,'P&amp;L'!$C$7:$AE$19,J$5,FALSE)+I8)</f>
        <v/>
      </c>
      <c r="K8" s="7" t="str">
        <f>IF(VLOOKUP($C8,'P&amp;L'!$C$7:$AE$19,K$5,FALSE)="","",VLOOKUP($C8,'P&amp;L'!$C$7:$AE$19,K$5,FALSE)+J8)</f>
        <v/>
      </c>
      <c r="L8" s="7" t="str">
        <f>IF(VLOOKUP($C8,'P&amp;L'!$C$7:$AE$19,L$5,FALSE)="","",VLOOKUP($C8,'P&amp;L'!$C$7:$AE$19,L$5,FALSE)+K8)</f>
        <v/>
      </c>
      <c r="M8" s="7" t="str">
        <f>IF(VLOOKUP($C8,'P&amp;L'!$C$7:$AE$19,M$5,FALSE)="","",VLOOKUP($C8,'P&amp;L'!$C$7:$AE$19,M$5,FALSE)+L8)</f>
        <v/>
      </c>
      <c r="N8" s="7" t="str">
        <f>IF(VLOOKUP($C8,'P&amp;L'!$C$7:$AE$19,N$5,FALSE)="","",VLOOKUP($C8,'P&amp;L'!$C$7:$AE$19,N$5,FALSE)+M8)</f>
        <v/>
      </c>
      <c r="O8" s="7" t="str">
        <f>IF(VLOOKUP($C8,'P&amp;L'!$C$7:$AE$19,O$5,FALSE)="","",VLOOKUP($C8,'P&amp;L'!$C$7:$AE$19,O$5,FALSE)+N8)</f>
        <v/>
      </c>
      <c r="P8" s="7" t="str">
        <f>IF(VLOOKUP($C8,'P&amp;L'!$C$7:$AE$19,P$5,FALSE)="","",VLOOKUP($C8,'P&amp;L'!$C$7:$AE$19,P$5,FALSE)+O8)</f>
        <v/>
      </c>
      <c r="Q8" s="7" t="str">
        <f>IF(VLOOKUP($C8,'P&amp;L'!$C$7:$AE$19,Q$5,FALSE)="","",VLOOKUP($C8,'P&amp;L'!$C$7:$AE$19,Q$5,FALSE)+P8)</f>
        <v/>
      </c>
      <c r="R8" s="7" t="str">
        <f>IF(VLOOKUP($C8,'P&amp;L'!$C$7:$AE$19,R$5,FALSE)="","",VLOOKUP($C8,'P&amp;L'!$C$7:$AE$19,R$5,FALSE)+Q8)</f>
        <v/>
      </c>
      <c r="S8" s="7" t="str">
        <f>IF(VLOOKUP($C8,'P&amp;L'!$C$7:$AE$19,S$5,FALSE)="","",VLOOKUP($C8,'P&amp;L'!$C$7:$AE$19,S$5,FALSE)+R8)</f>
        <v/>
      </c>
      <c r="T8" s="7" t="str">
        <f>IF(VLOOKUP($C8,'P&amp;L'!$C$7:$AE$19,T$5,FALSE)="","",VLOOKUP($C8,'P&amp;L'!$C$7:$AE$19,T$5,FALSE)+S8)</f>
        <v/>
      </c>
      <c r="U8" s="7" t="str">
        <f>IF(VLOOKUP($C8,'P&amp;L'!$C$7:$AE$19,U$5,FALSE)="","",VLOOKUP($C8,'P&amp;L'!$C$7:$AE$19,U$5,FALSE)+T8)</f>
        <v/>
      </c>
      <c r="V8" s="7" t="str">
        <f>IF(VLOOKUP($C8,'P&amp;L'!$C$7:$AE$19,V$5,FALSE)="","",VLOOKUP($C8,'P&amp;L'!$C$7:$AE$19,V$5,FALSE)+U8)</f>
        <v/>
      </c>
      <c r="W8" s="7" t="str">
        <f>IF(VLOOKUP($C8,'P&amp;L'!$C$7:$AE$19,W$5,FALSE)="","",VLOOKUP($C8,'P&amp;L'!$C$7:$AE$19,W$5,FALSE)+V8)</f>
        <v/>
      </c>
      <c r="X8" s="7" t="str">
        <f>IF(VLOOKUP($C8,'P&amp;L'!$C$7:$AE$19,X$5,FALSE)="","",VLOOKUP($C8,'P&amp;L'!$C$7:$AE$19,X$5,FALSE)+W8)</f>
        <v/>
      </c>
      <c r="Y8" s="7" t="e">
        <f>IF(VLOOKUP($C8,'P&amp;L'!$C$7:$AE$19,Y$5,FALSE)="","",VLOOKUP($C8,'P&amp;L'!$C$7:$AE$19,Y$5,FALSE)+X8)</f>
        <v>#VALUE!</v>
      </c>
      <c r="Z8" s="7" t="e">
        <f>IF(VLOOKUP($C8,'P&amp;L'!$C$7:$AE$19,Z$5,FALSE)="","",VLOOKUP($C8,'P&amp;L'!$C$7:$AE$19,Z$5,FALSE)+Y8)</f>
        <v>#VALUE!</v>
      </c>
      <c r="AA8" s="7" t="e">
        <f>IF(VLOOKUP($C8,'P&amp;L'!$C$7:$AE$19,AA$5,FALSE)="","",VLOOKUP($C8,'P&amp;L'!$C$7:$AE$19,AA$5,FALSE)+Z8)</f>
        <v>#VALUE!</v>
      </c>
      <c r="AB8" s="7" t="e">
        <f>IF(VLOOKUP($C8,'P&amp;L'!$C$7:$AE$19,AB$5,FALSE)="","",VLOOKUP($C8,'P&amp;L'!$C$7:$AE$19,AB$5,FALSE)+AA8)</f>
        <v>#VALUE!</v>
      </c>
      <c r="AC8" s="7" t="e">
        <f>IF(VLOOKUP($C8,'P&amp;L'!$C$7:$AE$19,AC$5,FALSE)="","",VLOOKUP($C8,'P&amp;L'!$C$7:$AE$19,AC$5,FALSE)+AB8)</f>
        <v>#VALUE!</v>
      </c>
      <c r="AD8" s="7" t="e">
        <f>IF(VLOOKUP($C8,'P&amp;L'!$C$7:$AE$19,AD$5,FALSE)="","",VLOOKUP($C8,'P&amp;L'!$C$7:$AE$19,AD$5,FALSE)+AC8)</f>
        <v>#VALUE!</v>
      </c>
      <c r="AE8" s="7" t="e">
        <f>IF(VLOOKUP($C8,'P&amp;L'!$C$7:$AE$19,AE$5,FALSE)="","",VLOOKUP($C8,'P&amp;L'!$C$7:$AE$19,AE$5,FALSE)+AD8)</f>
        <v>#VALUE!</v>
      </c>
    </row>
    <row r="9" spans="1:31">
      <c r="A9" s="1">
        <v>3</v>
      </c>
      <c r="C9" s="11" t="str">
        <f>'P&amp;L'!C7</f>
        <v>obb</v>
      </c>
      <c r="D9" s="7">
        <f>IF(VLOOKUP($C9,'P&amp;L'!$C$7:$AE$19,D$5,FALSE)="","",VLOOKUP($C9,'P&amp;L'!$C$7:$AE$19,D$5,FALSE))</f>
        <v>-7354753.9096999997</v>
      </c>
      <c r="E9" s="7">
        <f>IF(VLOOKUP($C9,'P&amp;L'!$C$7:$AE$19,E$5,FALSE)="","",VLOOKUP($C9,'P&amp;L'!$C$7:$AE$19,E$5,FALSE)+D9)</f>
        <v>666839996.72759998</v>
      </c>
      <c r="F9" s="7" t="str">
        <f>IF(VLOOKUP($C9,'P&amp;L'!$C$7:$AE$19,F$5,FALSE)="","",VLOOKUP($C9,'P&amp;L'!$C$7:$AE$19,F$5,FALSE)+E9)</f>
        <v/>
      </c>
      <c r="G9" s="7" t="str">
        <f>IF(VLOOKUP($C9,'P&amp;L'!$C$7:$AE$19,G$5,FALSE)="","",VLOOKUP($C9,'P&amp;L'!$C$7:$AE$19,G$5,FALSE)+F9)</f>
        <v/>
      </c>
      <c r="H9" s="7" t="str">
        <f>IF(VLOOKUP($C9,'P&amp;L'!$C$7:$AE$19,H$5,FALSE)="","",VLOOKUP($C9,'P&amp;L'!$C$7:$AE$19,H$5,FALSE)+G9)</f>
        <v/>
      </c>
      <c r="I9" s="7" t="str">
        <f>IF(VLOOKUP($C9,'P&amp;L'!$C$7:$AE$19,I$5,FALSE)="","",VLOOKUP($C9,'P&amp;L'!$C$7:$AE$19,I$5,FALSE)+H9)</f>
        <v/>
      </c>
      <c r="J9" s="7" t="str">
        <f>IF(VLOOKUP($C9,'P&amp;L'!$C$7:$AE$19,J$5,FALSE)="","",VLOOKUP($C9,'P&amp;L'!$C$7:$AE$19,J$5,FALSE)+I9)</f>
        <v/>
      </c>
      <c r="K9" s="7" t="str">
        <f>IF(VLOOKUP($C9,'P&amp;L'!$C$7:$AE$19,K$5,FALSE)="","",VLOOKUP($C9,'P&amp;L'!$C$7:$AE$19,K$5,FALSE)+J9)</f>
        <v/>
      </c>
      <c r="L9" s="7" t="str">
        <f>IF(VLOOKUP($C9,'P&amp;L'!$C$7:$AE$19,L$5,FALSE)="","",VLOOKUP($C9,'P&amp;L'!$C$7:$AE$19,L$5,FALSE)+K9)</f>
        <v/>
      </c>
      <c r="M9" s="7" t="str">
        <f>IF(VLOOKUP($C9,'P&amp;L'!$C$7:$AE$19,M$5,FALSE)="","",VLOOKUP($C9,'P&amp;L'!$C$7:$AE$19,M$5,FALSE)+L9)</f>
        <v/>
      </c>
      <c r="N9" s="7" t="str">
        <f>IF(VLOOKUP($C9,'P&amp;L'!$C$7:$AE$19,N$5,FALSE)="","",VLOOKUP($C9,'P&amp;L'!$C$7:$AE$19,N$5,FALSE)+M9)</f>
        <v/>
      </c>
      <c r="O9" s="7" t="str">
        <f>IF(VLOOKUP($C9,'P&amp;L'!$C$7:$AE$19,O$5,FALSE)="","",VLOOKUP($C9,'P&amp;L'!$C$7:$AE$19,O$5,FALSE)+N9)</f>
        <v/>
      </c>
      <c r="P9" s="7" t="str">
        <f>IF(VLOOKUP($C9,'P&amp;L'!$C$7:$AE$19,P$5,FALSE)="","",VLOOKUP($C9,'P&amp;L'!$C$7:$AE$19,P$5,FALSE)+O9)</f>
        <v/>
      </c>
      <c r="Q9" s="7" t="str">
        <f>IF(VLOOKUP($C9,'P&amp;L'!$C$7:$AE$19,Q$5,FALSE)="","",VLOOKUP($C9,'P&amp;L'!$C$7:$AE$19,Q$5,FALSE)+P9)</f>
        <v/>
      </c>
      <c r="R9" s="7" t="str">
        <f>IF(VLOOKUP($C9,'P&amp;L'!$C$7:$AE$19,R$5,FALSE)="","",VLOOKUP($C9,'P&amp;L'!$C$7:$AE$19,R$5,FALSE)+Q9)</f>
        <v/>
      </c>
      <c r="S9" s="7" t="str">
        <f>IF(VLOOKUP($C9,'P&amp;L'!$C$7:$AE$19,S$5,FALSE)="","",VLOOKUP($C9,'P&amp;L'!$C$7:$AE$19,S$5,FALSE)+R9)</f>
        <v/>
      </c>
      <c r="T9" s="7" t="str">
        <f>IF(VLOOKUP($C9,'P&amp;L'!$C$7:$AE$19,T$5,FALSE)="","",VLOOKUP($C9,'P&amp;L'!$C$7:$AE$19,T$5,FALSE)+S9)</f>
        <v/>
      </c>
      <c r="U9" s="7" t="str">
        <f>IF(VLOOKUP($C9,'P&amp;L'!$C$7:$AE$19,U$5,FALSE)="","",VLOOKUP($C9,'P&amp;L'!$C$7:$AE$19,U$5,FALSE)+T9)</f>
        <v/>
      </c>
      <c r="V9" s="7" t="str">
        <f>IF(VLOOKUP($C9,'P&amp;L'!$C$7:$AE$19,V$5,FALSE)="","",VLOOKUP($C9,'P&amp;L'!$C$7:$AE$19,V$5,FALSE)+U9)</f>
        <v/>
      </c>
      <c r="W9" s="7" t="str">
        <f>IF(VLOOKUP($C9,'P&amp;L'!$C$7:$AE$19,W$5,FALSE)="","",VLOOKUP($C9,'P&amp;L'!$C$7:$AE$19,W$5,FALSE)+V9)</f>
        <v/>
      </c>
      <c r="X9" s="7" t="str">
        <f>IF(VLOOKUP($C9,'P&amp;L'!$C$7:$AE$19,X$5,FALSE)="","",VLOOKUP($C9,'P&amp;L'!$C$7:$AE$19,X$5,FALSE)+W9)</f>
        <v/>
      </c>
      <c r="Y9" s="7" t="e">
        <f>IF(VLOOKUP($C9,'P&amp;L'!$C$7:$AE$19,Y$5,FALSE)="","",VLOOKUP($C9,'P&amp;L'!$C$7:$AE$19,Y$5,FALSE)+X9)</f>
        <v>#VALUE!</v>
      </c>
      <c r="Z9" s="7" t="e">
        <f>IF(VLOOKUP($C9,'P&amp;L'!$C$7:$AE$19,Z$5,FALSE)="","",VLOOKUP($C9,'P&amp;L'!$C$7:$AE$19,Z$5,FALSE)+Y9)</f>
        <v>#VALUE!</v>
      </c>
      <c r="AA9" s="7" t="e">
        <f>IF(VLOOKUP($C9,'P&amp;L'!$C$7:$AE$19,AA$5,FALSE)="","",VLOOKUP($C9,'P&amp;L'!$C$7:$AE$19,AA$5,FALSE)+Z9)</f>
        <v>#VALUE!</v>
      </c>
      <c r="AB9" s="7" t="e">
        <f>IF(VLOOKUP($C9,'P&amp;L'!$C$7:$AE$19,AB$5,FALSE)="","",VLOOKUP($C9,'P&amp;L'!$C$7:$AE$19,AB$5,FALSE)+AA9)</f>
        <v>#VALUE!</v>
      </c>
      <c r="AC9" s="7" t="e">
        <f>IF(VLOOKUP($C9,'P&amp;L'!$C$7:$AE$19,AC$5,FALSE)="","",VLOOKUP($C9,'P&amp;L'!$C$7:$AE$19,AC$5,FALSE)+AB9)</f>
        <v>#VALUE!</v>
      </c>
      <c r="AD9" s="7" t="e">
        <f>IF(VLOOKUP($C9,'P&amp;L'!$C$7:$AE$19,AD$5,FALSE)="","",VLOOKUP($C9,'P&amp;L'!$C$7:$AE$19,AD$5,FALSE)+AC9)</f>
        <v>#VALUE!</v>
      </c>
      <c r="AE9" s="7" t="e">
        <f>IF(VLOOKUP($C9,'P&amp;L'!$C$7:$AE$19,AE$5,FALSE)="","",VLOOKUP($C9,'P&amp;L'!$C$7:$AE$19,AE$5,FALSE)+AD9)</f>
        <v>#VALUE!</v>
      </c>
    </row>
    <row r="10" spans="1:31">
      <c r="A10" s="1">
        <v>4</v>
      </c>
      <c r="C10" s="11" t="str">
        <f>'P&amp;L'!C12</f>
        <v>simplywinning</v>
      </c>
      <c r="D10" s="7">
        <f>IF(VLOOKUP($C10,'P&amp;L'!$C$7:$AE$19,D$5,FALSE)="","",VLOOKUP($C10,'P&amp;L'!$C$7:$AE$19,D$5,FALSE))</f>
        <v>442548820.89109999</v>
      </c>
      <c r="E10" s="7">
        <f>IF(VLOOKUP($C10,'P&amp;L'!$C$7:$AE$19,E$5,FALSE)="","",VLOOKUP($C10,'P&amp;L'!$C$7:$AE$19,E$5,FALSE)+D10)</f>
        <v>655652819.25909996</v>
      </c>
      <c r="F10" s="7" t="str">
        <f>IF(VLOOKUP($C10,'P&amp;L'!$C$7:$AE$19,F$5,FALSE)="","",VLOOKUP($C10,'P&amp;L'!$C$7:$AE$19,F$5,FALSE)+E10)</f>
        <v/>
      </c>
      <c r="G10" s="7" t="str">
        <f>IF(VLOOKUP($C10,'P&amp;L'!$C$7:$AE$19,G$5,FALSE)="","",VLOOKUP($C10,'P&amp;L'!$C$7:$AE$19,G$5,FALSE)+F10)</f>
        <v/>
      </c>
      <c r="H10" s="7" t="str">
        <f>IF(VLOOKUP($C10,'P&amp;L'!$C$7:$AE$19,H$5,FALSE)="","",VLOOKUP($C10,'P&amp;L'!$C$7:$AE$19,H$5,FALSE)+G10)</f>
        <v/>
      </c>
      <c r="I10" s="7" t="str">
        <f>IF(VLOOKUP($C10,'P&amp;L'!$C$7:$AE$19,I$5,FALSE)="","",VLOOKUP($C10,'P&amp;L'!$C$7:$AE$19,I$5,FALSE)+H10)</f>
        <v/>
      </c>
      <c r="J10" s="7" t="str">
        <f>IF(VLOOKUP($C10,'P&amp;L'!$C$7:$AE$19,J$5,FALSE)="","",VLOOKUP($C10,'P&amp;L'!$C$7:$AE$19,J$5,FALSE)+I10)</f>
        <v/>
      </c>
      <c r="K10" s="7" t="str">
        <f>IF(VLOOKUP($C10,'P&amp;L'!$C$7:$AE$19,K$5,FALSE)="","",VLOOKUP($C10,'P&amp;L'!$C$7:$AE$19,K$5,FALSE)+J10)</f>
        <v/>
      </c>
      <c r="L10" s="7" t="str">
        <f>IF(VLOOKUP($C10,'P&amp;L'!$C$7:$AE$19,L$5,FALSE)="","",VLOOKUP($C10,'P&amp;L'!$C$7:$AE$19,L$5,FALSE)+K10)</f>
        <v/>
      </c>
      <c r="M10" s="7" t="str">
        <f>IF(VLOOKUP($C10,'P&amp;L'!$C$7:$AE$19,M$5,FALSE)="","",VLOOKUP($C10,'P&amp;L'!$C$7:$AE$19,M$5,FALSE)+L10)</f>
        <v/>
      </c>
      <c r="N10" s="7" t="str">
        <f>IF(VLOOKUP($C10,'P&amp;L'!$C$7:$AE$19,N$5,FALSE)="","",VLOOKUP($C10,'P&amp;L'!$C$7:$AE$19,N$5,FALSE)+M10)</f>
        <v/>
      </c>
      <c r="O10" s="7" t="str">
        <f>IF(VLOOKUP($C10,'P&amp;L'!$C$7:$AE$19,O$5,FALSE)="","",VLOOKUP($C10,'P&amp;L'!$C$7:$AE$19,O$5,FALSE)+N10)</f>
        <v/>
      </c>
      <c r="P10" s="7" t="str">
        <f>IF(VLOOKUP($C10,'P&amp;L'!$C$7:$AE$19,P$5,FALSE)="","",VLOOKUP($C10,'P&amp;L'!$C$7:$AE$19,P$5,FALSE)+O10)</f>
        <v/>
      </c>
      <c r="Q10" s="7" t="str">
        <f>IF(VLOOKUP($C10,'P&amp;L'!$C$7:$AE$19,Q$5,FALSE)="","",VLOOKUP($C10,'P&amp;L'!$C$7:$AE$19,Q$5,FALSE)+P10)</f>
        <v/>
      </c>
      <c r="R10" s="7" t="str">
        <f>IF(VLOOKUP($C10,'P&amp;L'!$C$7:$AE$19,R$5,FALSE)="","",VLOOKUP($C10,'P&amp;L'!$C$7:$AE$19,R$5,FALSE)+Q10)</f>
        <v/>
      </c>
      <c r="S10" s="7" t="str">
        <f>IF(VLOOKUP($C10,'P&amp;L'!$C$7:$AE$19,S$5,FALSE)="","",VLOOKUP($C10,'P&amp;L'!$C$7:$AE$19,S$5,FALSE)+R10)</f>
        <v/>
      </c>
      <c r="T10" s="7" t="str">
        <f>IF(VLOOKUP($C10,'P&amp;L'!$C$7:$AE$19,T$5,FALSE)="","",VLOOKUP($C10,'P&amp;L'!$C$7:$AE$19,T$5,FALSE)+S10)</f>
        <v/>
      </c>
      <c r="U10" s="7" t="str">
        <f>IF(VLOOKUP($C10,'P&amp;L'!$C$7:$AE$19,U$5,FALSE)="","",VLOOKUP($C10,'P&amp;L'!$C$7:$AE$19,U$5,FALSE)+T10)</f>
        <v/>
      </c>
      <c r="V10" s="7" t="str">
        <f>IF(VLOOKUP($C10,'P&amp;L'!$C$7:$AE$19,V$5,FALSE)="","",VLOOKUP($C10,'P&amp;L'!$C$7:$AE$19,V$5,FALSE)+U10)</f>
        <v/>
      </c>
      <c r="W10" s="7" t="str">
        <f>IF(VLOOKUP($C10,'P&amp;L'!$C$7:$AE$19,W$5,FALSE)="","",VLOOKUP($C10,'P&amp;L'!$C$7:$AE$19,W$5,FALSE)+V10)</f>
        <v/>
      </c>
      <c r="X10" s="7" t="str">
        <f>IF(VLOOKUP($C10,'P&amp;L'!$C$7:$AE$19,X$5,FALSE)="","",VLOOKUP($C10,'P&amp;L'!$C$7:$AE$19,X$5,FALSE)+W10)</f>
        <v/>
      </c>
      <c r="Y10" s="7" t="e">
        <f>IF(VLOOKUP($C10,'P&amp;L'!$C$7:$AE$19,Y$5,FALSE)="","",VLOOKUP($C10,'P&amp;L'!$C$7:$AE$19,Y$5,FALSE)+X10)</f>
        <v>#VALUE!</v>
      </c>
      <c r="Z10" s="7" t="e">
        <f>IF(VLOOKUP($C10,'P&amp;L'!$C$7:$AE$19,Z$5,FALSE)="","",VLOOKUP($C10,'P&amp;L'!$C$7:$AE$19,Z$5,FALSE)+Y10)</f>
        <v>#VALUE!</v>
      </c>
      <c r="AA10" s="7" t="e">
        <f>IF(VLOOKUP($C10,'P&amp;L'!$C$7:$AE$19,AA$5,FALSE)="","",VLOOKUP($C10,'P&amp;L'!$C$7:$AE$19,AA$5,FALSE)+Z10)</f>
        <v>#VALUE!</v>
      </c>
      <c r="AB10" s="7" t="e">
        <f>IF(VLOOKUP($C10,'P&amp;L'!$C$7:$AE$19,AB$5,FALSE)="","",VLOOKUP($C10,'P&amp;L'!$C$7:$AE$19,AB$5,FALSE)+AA10)</f>
        <v>#VALUE!</v>
      </c>
      <c r="AC10" s="7" t="e">
        <f>IF(VLOOKUP($C10,'P&amp;L'!$C$7:$AE$19,AC$5,FALSE)="","",VLOOKUP($C10,'P&amp;L'!$C$7:$AE$19,AC$5,FALSE)+AB10)</f>
        <v>#VALUE!</v>
      </c>
      <c r="AD10" s="7" t="e">
        <f>IF(VLOOKUP($C10,'P&amp;L'!$C$7:$AE$19,AD$5,FALSE)="","",VLOOKUP($C10,'P&amp;L'!$C$7:$AE$19,AD$5,FALSE)+AC10)</f>
        <v>#VALUE!</v>
      </c>
      <c r="AE10" s="7" t="e">
        <f>IF(VLOOKUP($C10,'P&amp;L'!$C$7:$AE$19,AE$5,FALSE)="","",VLOOKUP($C10,'P&amp;L'!$C$7:$AE$19,AE$5,FALSE)+AD10)</f>
        <v>#VALUE!</v>
      </c>
    </row>
    <row r="11" spans="1:31">
      <c r="A11" s="1">
        <v>5</v>
      </c>
      <c r="C11" s="11" t="str">
        <f>'P&amp;L'!C11</f>
        <v>squeezed</v>
      </c>
      <c r="D11" s="7">
        <f>IF(VLOOKUP($C11,'P&amp;L'!$C$7:$AE$19,D$5,FALSE)="","",VLOOKUP($C11,'P&amp;L'!$C$7:$AE$19,D$5,FALSE))</f>
        <v>407000299.82029998</v>
      </c>
      <c r="E11" s="7">
        <f>IF(VLOOKUP($C11,'P&amp;L'!$C$7:$AE$19,E$5,FALSE)="","",VLOOKUP($C11,'P&amp;L'!$C$7:$AE$19,E$5,FALSE)+D11)</f>
        <v>621151701.00829995</v>
      </c>
      <c r="F11" s="7" t="str">
        <f>IF(VLOOKUP($C11,'P&amp;L'!$C$7:$AE$19,F$5,FALSE)="","",VLOOKUP($C11,'P&amp;L'!$C$7:$AE$19,F$5,FALSE)+E11)</f>
        <v/>
      </c>
      <c r="G11" s="7" t="str">
        <f>IF(VLOOKUP($C11,'P&amp;L'!$C$7:$AE$19,G$5,FALSE)="","",VLOOKUP($C11,'P&amp;L'!$C$7:$AE$19,G$5,FALSE)+F11)</f>
        <v/>
      </c>
      <c r="H11" s="7" t="str">
        <f>IF(VLOOKUP($C11,'P&amp;L'!$C$7:$AE$19,H$5,FALSE)="","",VLOOKUP($C11,'P&amp;L'!$C$7:$AE$19,H$5,FALSE)+G11)</f>
        <v/>
      </c>
      <c r="I11" s="7" t="str">
        <f>IF(VLOOKUP($C11,'P&amp;L'!$C$7:$AE$19,I$5,FALSE)="","",VLOOKUP($C11,'P&amp;L'!$C$7:$AE$19,I$5,FALSE)+H11)</f>
        <v/>
      </c>
      <c r="J11" s="7" t="str">
        <f>IF(VLOOKUP($C11,'P&amp;L'!$C$7:$AE$19,J$5,FALSE)="","",VLOOKUP($C11,'P&amp;L'!$C$7:$AE$19,J$5,FALSE)+I11)</f>
        <v/>
      </c>
      <c r="K11" s="7" t="str">
        <f>IF(VLOOKUP($C11,'P&amp;L'!$C$7:$AE$19,K$5,FALSE)="","",VLOOKUP($C11,'P&amp;L'!$C$7:$AE$19,K$5,FALSE)+J11)</f>
        <v/>
      </c>
      <c r="L11" s="7" t="str">
        <f>IF(VLOOKUP($C11,'P&amp;L'!$C$7:$AE$19,L$5,FALSE)="","",VLOOKUP($C11,'P&amp;L'!$C$7:$AE$19,L$5,FALSE)+K11)</f>
        <v/>
      </c>
      <c r="M11" s="7" t="str">
        <f>IF(VLOOKUP($C11,'P&amp;L'!$C$7:$AE$19,M$5,FALSE)="","",VLOOKUP($C11,'P&amp;L'!$C$7:$AE$19,M$5,FALSE)+L11)</f>
        <v/>
      </c>
      <c r="N11" s="7" t="str">
        <f>IF(VLOOKUP($C11,'P&amp;L'!$C$7:$AE$19,N$5,FALSE)="","",VLOOKUP($C11,'P&amp;L'!$C$7:$AE$19,N$5,FALSE)+M11)</f>
        <v/>
      </c>
      <c r="O11" s="7" t="str">
        <f>IF(VLOOKUP($C11,'P&amp;L'!$C$7:$AE$19,O$5,FALSE)="","",VLOOKUP($C11,'P&amp;L'!$C$7:$AE$19,O$5,FALSE)+N11)</f>
        <v/>
      </c>
      <c r="P11" s="7" t="str">
        <f>IF(VLOOKUP($C11,'P&amp;L'!$C$7:$AE$19,P$5,FALSE)="","",VLOOKUP($C11,'P&amp;L'!$C$7:$AE$19,P$5,FALSE)+O11)</f>
        <v/>
      </c>
      <c r="Q11" s="7" t="str">
        <f>IF(VLOOKUP($C11,'P&amp;L'!$C$7:$AE$19,Q$5,FALSE)="","",VLOOKUP($C11,'P&amp;L'!$C$7:$AE$19,Q$5,FALSE)+P11)</f>
        <v/>
      </c>
      <c r="R11" s="7" t="str">
        <f>IF(VLOOKUP($C11,'P&amp;L'!$C$7:$AE$19,R$5,FALSE)="","",VLOOKUP($C11,'P&amp;L'!$C$7:$AE$19,R$5,FALSE)+Q11)</f>
        <v/>
      </c>
      <c r="S11" s="7" t="str">
        <f>IF(VLOOKUP($C11,'P&amp;L'!$C$7:$AE$19,S$5,FALSE)="","",VLOOKUP($C11,'P&amp;L'!$C$7:$AE$19,S$5,FALSE)+R11)</f>
        <v/>
      </c>
      <c r="T11" s="7" t="str">
        <f>IF(VLOOKUP($C11,'P&amp;L'!$C$7:$AE$19,T$5,FALSE)="","",VLOOKUP($C11,'P&amp;L'!$C$7:$AE$19,T$5,FALSE)+S11)</f>
        <v/>
      </c>
      <c r="U11" s="7" t="str">
        <f>IF(VLOOKUP($C11,'P&amp;L'!$C$7:$AE$19,U$5,FALSE)="","",VLOOKUP($C11,'P&amp;L'!$C$7:$AE$19,U$5,FALSE)+T11)</f>
        <v/>
      </c>
      <c r="V11" s="7" t="str">
        <f>IF(VLOOKUP($C11,'P&amp;L'!$C$7:$AE$19,V$5,FALSE)="","",VLOOKUP($C11,'P&amp;L'!$C$7:$AE$19,V$5,FALSE)+U11)</f>
        <v/>
      </c>
      <c r="W11" s="7" t="str">
        <f>IF(VLOOKUP($C11,'P&amp;L'!$C$7:$AE$19,W$5,FALSE)="","",VLOOKUP($C11,'P&amp;L'!$C$7:$AE$19,W$5,FALSE)+V11)</f>
        <v/>
      </c>
      <c r="X11" s="7" t="str">
        <f>IF(VLOOKUP($C11,'P&amp;L'!$C$7:$AE$19,X$5,FALSE)="","",VLOOKUP($C11,'P&amp;L'!$C$7:$AE$19,X$5,FALSE)+W11)</f>
        <v/>
      </c>
      <c r="Y11" s="7" t="e">
        <f>IF(VLOOKUP($C11,'P&amp;L'!$C$7:$AE$19,Y$5,FALSE)="","",VLOOKUP($C11,'P&amp;L'!$C$7:$AE$19,Y$5,FALSE)+X11)</f>
        <v>#VALUE!</v>
      </c>
      <c r="Z11" s="7" t="e">
        <f>IF(VLOOKUP($C11,'P&amp;L'!$C$7:$AE$19,Z$5,FALSE)="","",VLOOKUP($C11,'P&amp;L'!$C$7:$AE$19,Z$5,FALSE)+Y11)</f>
        <v>#VALUE!</v>
      </c>
      <c r="AA11" s="7" t="e">
        <f>IF(VLOOKUP($C11,'P&amp;L'!$C$7:$AE$19,AA$5,FALSE)="","",VLOOKUP($C11,'P&amp;L'!$C$7:$AE$19,AA$5,FALSE)+Z11)</f>
        <v>#VALUE!</v>
      </c>
      <c r="AB11" s="7" t="e">
        <f>IF(VLOOKUP($C11,'P&amp;L'!$C$7:$AE$19,AB$5,FALSE)="","",VLOOKUP($C11,'P&amp;L'!$C$7:$AE$19,AB$5,FALSE)+AA11)</f>
        <v>#VALUE!</v>
      </c>
      <c r="AC11" s="7" t="e">
        <f>IF(VLOOKUP($C11,'P&amp;L'!$C$7:$AE$19,AC$5,FALSE)="","",VLOOKUP($C11,'P&amp;L'!$C$7:$AE$19,AC$5,FALSE)+AB11)</f>
        <v>#VALUE!</v>
      </c>
      <c r="AD11" s="7" t="e">
        <f>IF(VLOOKUP($C11,'P&amp;L'!$C$7:$AE$19,AD$5,FALSE)="","",VLOOKUP($C11,'P&amp;L'!$C$7:$AE$19,AD$5,FALSE)+AC11)</f>
        <v>#VALUE!</v>
      </c>
      <c r="AE11" s="7" t="e">
        <f>IF(VLOOKUP($C11,'P&amp;L'!$C$7:$AE$19,AE$5,FALSE)="","",VLOOKUP($C11,'P&amp;L'!$C$7:$AE$19,AE$5,FALSE)+AD11)</f>
        <v>#VALUE!</v>
      </c>
    </row>
    <row r="12" spans="1:31">
      <c r="A12" s="1">
        <v>6</v>
      </c>
      <c r="C12" s="11" t="str">
        <f>'P&amp;L'!C9</f>
        <v>fantasticfour</v>
      </c>
      <c r="D12" s="7">
        <f>IF(VLOOKUP($C12,'P&amp;L'!$C$7:$AE$19,D$5,FALSE)="","",VLOOKUP($C12,'P&amp;L'!$C$7:$AE$19,D$5,FALSE))</f>
        <v>24960895.254700001</v>
      </c>
      <c r="E12" s="7">
        <f>IF(VLOOKUP($C12,'P&amp;L'!$C$7:$AE$19,E$5,FALSE)="","",VLOOKUP($C12,'P&amp;L'!$C$7:$AE$19,E$5,FALSE)+D12)</f>
        <v>595785477.53039992</v>
      </c>
      <c r="F12" s="7" t="str">
        <f>IF(VLOOKUP($C12,'P&amp;L'!$C$7:$AE$19,F$5,FALSE)="","",VLOOKUP($C12,'P&amp;L'!$C$7:$AE$19,F$5,FALSE)+E12)</f>
        <v/>
      </c>
      <c r="G12" s="7" t="str">
        <f>IF(VLOOKUP($C12,'P&amp;L'!$C$7:$AE$19,G$5,FALSE)="","",VLOOKUP($C12,'P&amp;L'!$C$7:$AE$19,G$5,FALSE)+F12)</f>
        <v/>
      </c>
      <c r="H12" s="7" t="str">
        <f>IF(VLOOKUP($C12,'P&amp;L'!$C$7:$AE$19,H$5,FALSE)="","",VLOOKUP($C12,'P&amp;L'!$C$7:$AE$19,H$5,FALSE)+G12)</f>
        <v/>
      </c>
      <c r="I12" s="7" t="str">
        <f>IF(VLOOKUP($C12,'P&amp;L'!$C$7:$AE$19,I$5,FALSE)="","",VLOOKUP($C12,'P&amp;L'!$C$7:$AE$19,I$5,FALSE)+H12)</f>
        <v/>
      </c>
      <c r="J12" s="7" t="str">
        <f>IF(VLOOKUP($C12,'P&amp;L'!$C$7:$AE$19,J$5,FALSE)="","",VLOOKUP($C12,'P&amp;L'!$C$7:$AE$19,J$5,FALSE)+I12)</f>
        <v/>
      </c>
      <c r="K12" s="7" t="str">
        <f>IF(VLOOKUP($C12,'P&amp;L'!$C$7:$AE$19,K$5,FALSE)="","",VLOOKUP($C12,'P&amp;L'!$C$7:$AE$19,K$5,FALSE)+J12)</f>
        <v/>
      </c>
      <c r="L12" s="7" t="str">
        <f>IF(VLOOKUP($C12,'P&amp;L'!$C$7:$AE$19,L$5,FALSE)="","",VLOOKUP($C12,'P&amp;L'!$C$7:$AE$19,L$5,FALSE)+K12)</f>
        <v/>
      </c>
      <c r="M12" s="7" t="str">
        <f>IF(VLOOKUP($C12,'P&amp;L'!$C$7:$AE$19,M$5,FALSE)="","",VLOOKUP($C12,'P&amp;L'!$C$7:$AE$19,M$5,FALSE)+L12)</f>
        <v/>
      </c>
      <c r="N12" s="7" t="str">
        <f>IF(VLOOKUP($C12,'P&amp;L'!$C$7:$AE$19,N$5,FALSE)="","",VLOOKUP($C12,'P&amp;L'!$C$7:$AE$19,N$5,FALSE)+M12)</f>
        <v/>
      </c>
      <c r="O12" s="7" t="str">
        <f>IF(VLOOKUP($C12,'P&amp;L'!$C$7:$AE$19,O$5,FALSE)="","",VLOOKUP($C12,'P&amp;L'!$C$7:$AE$19,O$5,FALSE)+N12)</f>
        <v/>
      </c>
      <c r="P12" s="7" t="str">
        <f>IF(VLOOKUP($C12,'P&amp;L'!$C$7:$AE$19,P$5,FALSE)="","",VLOOKUP($C12,'P&amp;L'!$C$7:$AE$19,P$5,FALSE)+O12)</f>
        <v/>
      </c>
      <c r="Q12" s="7" t="str">
        <f>IF(VLOOKUP($C12,'P&amp;L'!$C$7:$AE$19,Q$5,FALSE)="","",VLOOKUP($C12,'P&amp;L'!$C$7:$AE$19,Q$5,FALSE)+P12)</f>
        <v/>
      </c>
      <c r="R12" s="7" t="str">
        <f>IF(VLOOKUP($C12,'P&amp;L'!$C$7:$AE$19,R$5,FALSE)="","",VLOOKUP($C12,'P&amp;L'!$C$7:$AE$19,R$5,FALSE)+Q12)</f>
        <v/>
      </c>
      <c r="S12" s="7" t="str">
        <f>IF(VLOOKUP($C12,'P&amp;L'!$C$7:$AE$19,S$5,FALSE)="","",VLOOKUP($C12,'P&amp;L'!$C$7:$AE$19,S$5,FALSE)+R12)</f>
        <v/>
      </c>
      <c r="T12" s="7" t="str">
        <f>IF(VLOOKUP($C12,'P&amp;L'!$C$7:$AE$19,T$5,FALSE)="","",VLOOKUP($C12,'P&amp;L'!$C$7:$AE$19,T$5,FALSE)+S12)</f>
        <v/>
      </c>
      <c r="U12" s="7" t="str">
        <f>IF(VLOOKUP($C12,'P&amp;L'!$C$7:$AE$19,U$5,FALSE)="","",VLOOKUP($C12,'P&amp;L'!$C$7:$AE$19,U$5,FALSE)+T12)</f>
        <v/>
      </c>
      <c r="V12" s="7" t="str">
        <f>IF(VLOOKUP($C12,'P&amp;L'!$C$7:$AE$19,V$5,FALSE)="","",VLOOKUP($C12,'P&amp;L'!$C$7:$AE$19,V$5,FALSE)+U12)</f>
        <v/>
      </c>
      <c r="W12" s="7" t="str">
        <f>IF(VLOOKUP($C12,'P&amp;L'!$C$7:$AE$19,W$5,FALSE)="","",VLOOKUP($C12,'P&amp;L'!$C$7:$AE$19,W$5,FALSE)+V12)</f>
        <v/>
      </c>
      <c r="X12" s="7" t="str">
        <f>IF(VLOOKUP($C12,'P&amp;L'!$C$7:$AE$19,X$5,FALSE)="","",VLOOKUP($C12,'P&amp;L'!$C$7:$AE$19,X$5,FALSE)+W12)</f>
        <v/>
      </c>
      <c r="Y12" s="7" t="e">
        <f>IF(VLOOKUP($C12,'P&amp;L'!$C$7:$AE$19,Y$5,FALSE)="","",VLOOKUP($C12,'P&amp;L'!$C$7:$AE$19,Y$5,FALSE)+X12)</f>
        <v>#VALUE!</v>
      </c>
      <c r="Z12" s="7" t="e">
        <f>IF(VLOOKUP($C12,'P&amp;L'!$C$7:$AE$19,Z$5,FALSE)="","",VLOOKUP($C12,'P&amp;L'!$C$7:$AE$19,Z$5,FALSE)+Y12)</f>
        <v>#VALUE!</v>
      </c>
      <c r="AA12" s="7" t="e">
        <f>IF(VLOOKUP($C12,'P&amp;L'!$C$7:$AE$19,AA$5,FALSE)="","",VLOOKUP($C12,'P&amp;L'!$C$7:$AE$19,AA$5,FALSE)+Z12)</f>
        <v>#VALUE!</v>
      </c>
      <c r="AB12" s="7" t="e">
        <f>IF(VLOOKUP($C12,'P&amp;L'!$C$7:$AE$19,AB$5,FALSE)="","",VLOOKUP($C12,'P&amp;L'!$C$7:$AE$19,AB$5,FALSE)+AA12)</f>
        <v>#VALUE!</v>
      </c>
      <c r="AC12" s="7" t="e">
        <f>IF(VLOOKUP($C12,'P&amp;L'!$C$7:$AE$19,AC$5,FALSE)="","",VLOOKUP($C12,'P&amp;L'!$C$7:$AE$19,AC$5,FALSE)+AB12)</f>
        <v>#VALUE!</v>
      </c>
      <c r="AD12" s="7" t="e">
        <f>IF(VLOOKUP($C12,'P&amp;L'!$C$7:$AE$19,AD$5,FALSE)="","",VLOOKUP($C12,'P&amp;L'!$C$7:$AE$19,AD$5,FALSE)+AC12)</f>
        <v>#VALUE!</v>
      </c>
      <c r="AE12" s="7" t="e">
        <f>IF(VLOOKUP($C12,'P&amp;L'!$C$7:$AE$19,AE$5,FALSE)="","",VLOOKUP($C12,'P&amp;L'!$C$7:$AE$19,AE$5,FALSE)+AD12)</f>
        <v>#VALUE!</v>
      </c>
    </row>
    <row r="13" spans="1:31">
      <c r="A13" s="1">
        <v>7</v>
      </c>
      <c r="C13" s="11" t="str">
        <f>'P&amp;L'!C18</f>
        <v>simpsonoj</v>
      </c>
      <c r="D13" s="7">
        <f>IF(VLOOKUP($C13,'P&amp;L'!$C$7:$AE$19,D$5,FALSE)="","",VLOOKUP($C13,'P&amp;L'!$C$7:$AE$19,D$5,FALSE))</f>
        <v>492250876.50370002</v>
      </c>
      <c r="E13" s="7">
        <f>IF(VLOOKUP($C13,'P&amp;L'!$C$7:$AE$19,E$5,FALSE)="","",VLOOKUP($C13,'P&amp;L'!$C$7:$AE$19,E$5,FALSE)+D13)</f>
        <v>359534709.98720002</v>
      </c>
      <c r="F13" s="7" t="str">
        <f>IF(VLOOKUP($C13,'P&amp;L'!$C$7:$AE$19,F$5,FALSE)="","",VLOOKUP($C13,'P&amp;L'!$C$7:$AE$19,F$5,FALSE)+E13)</f>
        <v/>
      </c>
      <c r="G13" s="7" t="str">
        <f>IF(VLOOKUP($C13,'P&amp;L'!$C$7:$AE$19,G$5,FALSE)="","",VLOOKUP($C13,'P&amp;L'!$C$7:$AE$19,G$5,FALSE)+F13)</f>
        <v/>
      </c>
      <c r="H13" s="7" t="str">
        <f>IF(VLOOKUP($C13,'P&amp;L'!$C$7:$AE$19,H$5,FALSE)="","",VLOOKUP($C13,'P&amp;L'!$C$7:$AE$19,H$5,FALSE)+G13)</f>
        <v/>
      </c>
      <c r="I13" s="7" t="str">
        <f>IF(VLOOKUP($C13,'P&amp;L'!$C$7:$AE$19,I$5,FALSE)="","",VLOOKUP($C13,'P&amp;L'!$C$7:$AE$19,I$5,FALSE)+H13)</f>
        <v/>
      </c>
      <c r="J13" s="7" t="str">
        <f>IF(VLOOKUP($C13,'P&amp;L'!$C$7:$AE$19,J$5,FALSE)="","",VLOOKUP($C13,'P&amp;L'!$C$7:$AE$19,J$5,FALSE)+I13)</f>
        <v/>
      </c>
      <c r="K13" s="7" t="str">
        <f>IF(VLOOKUP($C13,'P&amp;L'!$C$7:$AE$19,K$5,FALSE)="","",VLOOKUP($C13,'P&amp;L'!$C$7:$AE$19,K$5,FALSE)+J13)</f>
        <v/>
      </c>
      <c r="L13" s="7" t="str">
        <f>IF(VLOOKUP($C13,'P&amp;L'!$C$7:$AE$19,L$5,FALSE)="","",VLOOKUP($C13,'P&amp;L'!$C$7:$AE$19,L$5,FALSE)+K13)</f>
        <v/>
      </c>
      <c r="M13" s="7" t="str">
        <f>IF(VLOOKUP($C13,'P&amp;L'!$C$7:$AE$19,M$5,FALSE)="","",VLOOKUP($C13,'P&amp;L'!$C$7:$AE$19,M$5,FALSE)+L13)</f>
        <v/>
      </c>
      <c r="N13" s="7" t="str">
        <f>IF(VLOOKUP($C13,'P&amp;L'!$C$7:$AE$19,N$5,FALSE)="","",VLOOKUP($C13,'P&amp;L'!$C$7:$AE$19,N$5,FALSE)+M13)</f>
        <v/>
      </c>
      <c r="O13" s="7" t="str">
        <f>IF(VLOOKUP($C13,'P&amp;L'!$C$7:$AE$19,O$5,FALSE)="","",VLOOKUP($C13,'P&amp;L'!$C$7:$AE$19,O$5,FALSE)+N13)</f>
        <v/>
      </c>
      <c r="P13" s="7" t="str">
        <f>IF(VLOOKUP($C13,'P&amp;L'!$C$7:$AE$19,P$5,FALSE)="","",VLOOKUP($C13,'P&amp;L'!$C$7:$AE$19,P$5,FALSE)+O13)</f>
        <v/>
      </c>
      <c r="Q13" s="7" t="str">
        <f>IF(VLOOKUP($C13,'P&amp;L'!$C$7:$AE$19,Q$5,FALSE)="","",VLOOKUP($C13,'P&amp;L'!$C$7:$AE$19,Q$5,FALSE)+P13)</f>
        <v/>
      </c>
      <c r="R13" s="7" t="str">
        <f>IF(VLOOKUP($C13,'P&amp;L'!$C$7:$AE$19,R$5,FALSE)="","",VLOOKUP($C13,'P&amp;L'!$C$7:$AE$19,R$5,FALSE)+Q13)</f>
        <v/>
      </c>
      <c r="S13" s="7" t="str">
        <f>IF(VLOOKUP($C13,'P&amp;L'!$C$7:$AE$19,S$5,FALSE)="","",VLOOKUP($C13,'P&amp;L'!$C$7:$AE$19,S$5,FALSE)+R13)</f>
        <v/>
      </c>
      <c r="T13" s="7" t="str">
        <f>IF(VLOOKUP($C13,'P&amp;L'!$C$7:$AE$19,T$5,FALSE)="","",VLOOKUP($C13,'P&amp;L'!$C$7:$AE$19,T$5,FALSE)+S13)</f>
        <v/>
      </c>
      <c r="U13" s="7" t="str">
        <f>IF(VLOOKUP($C13,'P&amp;L'!$C$7:$AE$19,U$5,FALSE)="","",VLOOKUP($C13,'P&amp;L'!$C$7:$AE$19,U$5,FALSE)+T13)</f>
        <v/>
      </c>
      <c r="V13" s="7" t="str">
        <f>IF(VLOOKUP($C13,'P&amp;L'!$C$7:$AE$19,V$5,FALSE)="","",VLOOKUP($C13,'P&amp;L'!$C$7:$AE$19,V$5,FALSE)+U13)</f>
        <v/>
      </c>
      <c r="W13" s="7" t="str">
        <f>IF(VLOOKUP($C13,'P&amp;L'!$C$7:$AE$19,W$5,FALSE)="","",VLOOKUP($C13,'P&amp;L'!$C$7:$AE$19,W$5,FALSE)+V13)</f>
        <v/>
      </c>
      <c r="X13" s="7" t="str">
        <f>IF(VLOOKUP($C13,'P&amp;L'!$C$7:$AE$19,X$5,FALSE)="","",VLOOKUP($C13,'P&amp;L'!$C$7:$AE$19,X$5,FALSE)+W13)</f>
        <v/>
      </c>
      <c r="Y13" s="7" t="e">
        <f>IF(VLOOKUP($C13,'P&amp;L'!$C$7:$AE$19,Y$5,FALSE)="","",VLOOKUP($C13,'P&amp;L'!$C$7:$AE$19,Y$5,FALSE)+X13)</f>
        <v>#VALUE!</v>
      </c>
      <c r="Z13" s="7" t="e">
        <f>IF(VLOOKUP($C13,'P&amp;L'!$C$7:$AE$19,Z$5,FALSE)="","",VLOOKUP($C13,'P&amp;L'!$C$7:$AE$19,Z$5,FALSE)+Y13)</f>
        <v>#VALUE!</v>
      </c>
      <c r="AA13" s="7" t="e">
        <f>IF(VLOOKUP($C13,'P&amp;L'!$C$7:$AE$19,AA$5,FALSE)="","",VLOOKUP($C13,'P&amp;L'!$C$7:$AE$19,AA$5,FALSE)+Z13)</f>
        <v>#VALUE!</v>
      </c>
      <c r="AB13" s="7" t="e">
        <f>IF(VLOOKUP($C13,'P&amp;L'!$C$7:$AE$19,AB$5,FALSE)="","",VLOOKUP($C13,'P&amp;L'!$C$7:$AE$19,AB$5,FALSE)+AA13)</f>
        <v>#VALUE!</v>
      </c>
      <c r="AC13" s="7" t="e">
        <f>IF(VLOOKUP($C13,'P&amp;L'!$C$7:$AE$19,AC$5,FALSE)="","",VLOOKUP($C13,'P&amp;L'!$C$7:$AE$19,AC$5,FALSE)+AB13)</f>
        <v>#VALUE!</v>
      </c>
      <c r="AD13" s="7" t="e">
        <f>IF(VLOOKUP($C13,'P&amp;L'!$C$7:$AE$19,AD$5,FALSE)="","",VLOOKUP($C13,'P&amp;L'!$C$7:$AE$19,AD$5,FALSE)+AC13)</f>
        <v>#VALUE!</v>
      </c>
      <c r="AE13" s="7" t="e">
        <f>IF(VLOOKUP($C13,'P&amp;L'!$C$7:$AE$19,AE$5,FALSE)="","",VLOOKUP($C13,'P&amp;L'!$C$7:$AE$19,AE$5,FALSE)+AD13)</f>
        <v>#VALUE!</v>
      </c>
    </row>
    <row r="14" spans="1:31">
      <c r="A14" s="1">
        <v>8</v>
      </c>
      <c r="C14" s="11" t="str">
        <f>'P&amp;L'!C16</f>
        <v>juicinator</v>
      </c>
      <c r="D14" s="7">
        <f>IF(VLOOKUP($C14,'P&amp;L'!$C$7:$AE$19,D$5,FALSE)="","",VLOOKUP($C14,'P&amp;L'!$C$7:$AE$19,D$5,FALSE))</f>
        <v>169507785.91080001</v>
      </c>
      <c r="E14" s="7">
        <f>IF(VLOOKUP($C14,'P&amp;L'!$C$7:$AE$19,E$5,FALSE)="","",VLOOKUP($C14,'P&amp;L'!$C$7:$AE$19,E$5,FALSE)+D14)</f>
        <v>317489642.44760001</v>
      </c>
      <c r="F14" s="7" t="str">
        <f>IF(VLOOKUP($C14,'P&amp;L'!$C$7:$AE$19,F$5,FALSE)="","",VLOOKUP($C14,'P&amp;L'!$C$7:$AE$19,F$5,FALSE)+E14)</f>
        <v/>
      </c>
      <c r="G14" s="7" t="str">
        <f>IF(VLOOKUP($C14,'P&amp;L'!$C$7:$AE$19,G$5,FALSE)="","",VLOOKUP($C14,'P&amp;L'!$C$7:$AE$19,G$5,FALSE)+F14)</f>
        <v/>
      </c>
      <c r="H14" s="7" t="str">
        <f>IF(VLOOKUP($C14,'P&amp;L'!$C$7:$AE$19,H$5,FALSE)="","",VLOOKUP($C14,'P&amp;L'!$C$7:$AE$19,H$5,FALSE)+G14)</f>
        <v/>
      </c>
      <c r="I14" s="7" t="str">
        <f>IF(VLOOKUP($C14,'P&amp;L'!$C$7:$AE$19,I$5,FALSE)="","",VLOOKUP($C14,'P&amp;L'!$C$7:$AE$19,I$5,FALSE)+H14)</f>
        <v/>
      </c>
      <c r="J14" s="7" t="str">
        <f>IF(VLOOKUP($C14,'P&amp;L'!$C$7:$AE$19,J$5,FALSE)="","",VLOOKUP($C14,'P&amp;L'!$C$7:$AE$19,J$5,FALSE)+I14)</f>
        <v/>
      </c>
      <c r="K14" s="7" t="str">
        <f>IF(VLOOKUP($C14,'P&amp;L'!$C$7:$AE$19,K$5,FALSE)="","",VLOOKUP($C14,'P&amp;L'!$C$7:$AE$19,K$5,FALSE)+J14)</f>
        <v/>
      </c>
      <c r="L14" s="7" t="str">
        <f>IF(VLOOKUP($C14,'P&amp;L'!$C$7:$AE$19,L$5,FALSE)="","",VLOOKUP($C14,'P&amp;L'!$C$7:$AE$19,L$5,FALSE)+K14)</f>
        <v/>
      </c>
      <c r="M14" s="7" t="str">
        <f>IF(VLOOKUP($C14,'P&amp;L'!$C$7:$AE$19,M$5,FALSE)="","",VLOOKUP($C14,'P&amp;L'!$C$7:$AE$19,M$5,FALSE)+L14)</f>
        <v/>
      </c>
      <c r="N14" s="7" t="str">
        <f>IF(VLOOKUP($C14,'P&amp;L'!$C$7:$AE$19,N$5,FALSE)="","",VLOOKUP($C14,'P&amp;L'!$C$7:$AE$19,N$5,FALSE)+M14)</f>
        <v/>
      </c>
      <c r="O14" s="7" t="str">
        <f>IF(VLOOKUP($C14,'P&amp;L'!$C$7:$AE$19,O$5,FALSE)="","",VLOOKUP($C14,'P&amp;L'!$C$7:$AE$19,O$5,FALSE)+N14)</f>
        <v/>
      </c>
      <c r="P14" s="7" t="str">
        <f>IF(VLOOKUP($C14,'P&amp;L'!$C$7:$AE$19,P$5,FALSE)="","",VLOOKUP($C14,'P&amp;L'!$C$7:$AE$19,P$5,FALSE)+O14)</f>
        <v/>
      </c>
      <c r="Q14" s="7" t="str">
        <f>IF(VLOOKUP($C14,'P&amp;L'!$C$7:$AE$19,Q$5,FALSE)="","",VLOOKUP($C14,'P&amp;L'!$C$7:$AE$19,Q$5,FALSE)+P14)</f>
        <v/>
      </c>
      <c r="R14" s="7" t="str">
        <f>IF(VLOOKUP($C14,'P&amp;L'!$C$7:$AE$19,R$5,FALSE)="","",VLOOKUP($C14,'P&amp;L'!$C$7:$AE$19,R$5,FALSE)+Q14)</f>
        <v/>
      </c>
      <c r="S14" s="7" t="str">
        <f>IF(VLOOKUP($C14,'P&amp;L'!$C$7:$AE$19,S$5,FALSE)="","",VLOOKUP($C14,'P&amp;L'!$C$7:$AE$19,S$5,FALSE)+R14)</f>
        <v/>
      </c>
      <c r="T14" s="7" t="str">
        <f>IF(VLOOKUP($C14,'P&amp;L'!$C$7:$AE$19,T$5,FALSE)="","",VLOOKUP($C14,'P&amp;L'!$C$7:$AE$19,T$5,FALSE)+S14)</f>
        <v/>
      </c>
      <c r="U14" s="7" t="str">
        <f>IF(VLOOKUP($C14,'P&amp;L'!$C$7:$AE$19,U$5,FALSE)="","",VLOOKUP($C14,'P&amp;L'!$C$7:$AE$19,U$5,FALSE)+T14)</f>
        <v/>
      </c>
      <c r="V14" s="7" t="str">
        <f>IF(VLOOKUP($C14,'P&amp;L'!$C$7:$AE$19,V$5,FALSE)="","",VLOOKUP($C14,'P&amp;L'!$C$7:$AE$19,V$5,FALSE)+U14)</f>
        <v/>
      </c>
      <c r="W14" s="7" t="str">
        <f>IF(VLOOKUP($C14,'P&amp;L'!$C$7:$AE$19,W$5,FALSE)="","",VLOOKUP($C14,'P&amp;L'!$C$7:$AE$19,W$5,FALSE)+V14)</f>
        <v/>
      </c>
      <c r="X14" s="7" t="str">
        <f>IF(VLOOKUP($C14,'P&amp;L'!$C$7:$AE$19,X$5,FALSE)="","",VLOOKUP($C14,'P&amp;L'!$C$7:$AE$19,X$5,FALSE)+W14)</f>
        <v/>
      </c>
      <c r="Y14" s="7" t="e">
        <f>IF(VLOOKUP($C14,'P&amp;L'!$C$7:$AE$19,Y$5,FALSE)="","",VLOOKUP($C14,'P&amp;L'!$C$7:$AE$19,Y$5,FALSE)+X14)</f>
        <v>#VALUE!</v>
      </c>
      <c r="Z14" s="7" t="e">
        <f>IF(VLOOKUP($C14,'P&amp;L'!$C$7:$AE$19,Z$5,FALSE)="","",VLOOKUP($C14,'P&amp;L'!$C$7:$AE$19,Z$5,FALSE)+Y14)</f>
        <v>#VALUE!</v>
      </c>
      <c r="AA14" s="7" t="e">
        <f>IF(VLOOKUP($C14,'P&amp;L'!$C$7:$AE$19,AA$5,FALSE)="","",VLOOKUP($C14,'P&amp;L'!$C$7:$AE$19,AA$5,FALSE)+Z14)</f>
        <v>#VALUE!</v>
      </c>
      <c r="AB14" s="7" t="e">
        <f>IF(VLOOKUP($C14,'P&amp;L'!$C$7:$AE$19,AB$5,FALSE)="","",VLOOKUP($C14,'P&amp;L'!$C$7:$AE$19,AB$5,FALSE)+AA14)</f>
        <v>#VALUE!</v>
      </c>
      <c r="AC14" s="7" t="e">
        <f>IF(VLOOKUP($C14,'P&amp;L'!$C$7:$AE$19,AC$5,FALSE)="","",VLOOKUP($C14,'P&amp;L'!$C$7:$AE$19,AC$5,FALSE)+AB14)</f>
        <v>#VALUE!</v>
      </c>
      <c r="AD14" s="7" t="e">
        <f>IF(VLOOKUP($C14,'P&amp;L'!$C$7:$AE$19,AD$5,FALSE)="","",VLOOKUP($C14,'P&amp;L'!$C$7:$AE$19,AD$5,FALSE)+AC14)</f>
        <v>#VALUE!</v>
      </c>
      <c r="AE14" s="7" t="e">
        <f>IF(VLOOKUP($C14,'P&amp;L'!$C$7:$AE$19,AE$5,FALSE)="","",VLOOKUP($C14,'P&amp;L'!$C$7:$AE$19,AE$5,FALSE)+AD14)</f>
        <v>#VALUE!</v>
      </c>
    </row>
    <row r="15" spans="1:31">
      <c r="A15" s="1">
        <v>9</v>
      </c>
      <c r="C15" s="11" t="str">
        <f>'P&amp;L'!C10</f>
        <v>teamscurvysyndicate</v>
      </c>
      <c r="D15" s="7">
        <f>IF(VLOOKUP($C15,'P&amp;L'!$C$7:$AE$19,D$5,FALSE)="","",VLOOKUP($C15,'P&amp;L'!$C$7:$AE$19,D$5,FALSE))</f>
        <v>-176502153.35389999</v>
      </c>
      <c r="E15" s="7">
        <f>IF(VLOOKUP($C15,'P&amp;L'!$C$7:$AE$19,E$5,FALSE)="","",VLOOKUP($C15,'P&amp;L'!$C$7:$AE$19,E$5,FALSE)+D15)</f>
        <v>271631223.85160005</v>
      </c>
      <c r="F15" s="7" t="str">
        <f>IF(VLOOKUP($C15,'P&amp;L'!$C$7:$AE$19,F$5,FALSE)="","",VLOOKUP($C15,'P&amp;L'!$C$7:$AE$19,F$5,FALSE)+E15)</f>
        <v/>
      </c>
      <c r="G15" s="7" t="str">
        <f>IF(VLOOKUP($C15,'P&amp;L'!$C$7:$AE$19,G$5,FALSE)="","",VLOOKUP($C15,'P&amp;L'!$C$7:$AE$19,G$5,FALSE)+F15)</f>
        <v/>
      </c>
      <c r="H15" s="7" t="str">
        <f>IF(VLOOKUP($C15,'P&amp;L'!$C$7:$AE$19,H$5,FALSE)="","",VLOOKUP($C15,'P&amp;L'!$C$7:$AE$19,H$5,FALSE)+G15)</f>
        <v/>
      </c>
      <c r="I15" s="7" t="str">
        <f>IF(VLOOKUP($C15,'P&amp;L'!$C$7:$AE$19,I$5,FALSE)="","",VLOOKUP($C15,'P&amp;L'!$C$7:$AE$19,I$5,FALSE)+H15)</f>
        <v/>
      </c>
      <c r="J15" s="7" t="str">
        <f>IF(VLOOKUP($C15,'P&amp;L'!$C$7:$AE$19,J$5,FALSE)="","",VLOOKUP($C15,'P&amp;L'!$C$7:$AE$19,J$5,FALSE)+I15)</f>
        <v/>
      </c>
      <c r="K15" s="7" t="str">
        <f>IF(VLOOKUP($C15,'P&amp;L'!$C$7:$AE$19,K$5,FALSE)="","",VLOOKUP($C15,'P&amp;L'!$C$7:$AE$19,K$5,FALSE)+J15)</f>
        <v/>
      </c>
      <c r="L15" s="7" t="str">
        <f>IF(VLOOKUP($C15,'P&amp;L'!$C$7:$AE$19,L$5,FALSE)="","",VLOOKUP($C15,'P&amp;L'!$C$7:$AE$19,L$5,FALSE)+K15)</f>
        <v/>
      </c>
      <c r="M15" s="7" t="str">
        <f>IF(VLOOKUP($C15,'P&amp;L'!$C$7:$AE$19,M$5,FALSE)="","",VLOOKUP($C15,'P&amp;L'!$C$7:$AE$19,M$5,FALSE)+L15)</f>
        <v/>
      </c>
      <c r="N15" s="7" t="str">
        <f>IF(VLOOKUP($C15,'P&amp;L'!$C$7:$AE$19,N$5,FALSE)="","",VLOOKUP($C15,'P&amp;L'!$C$7:$AE$19,N$5,FALSE)+M15)</f>
        <v/>
      </c>
      <c r="O15" s="7" t="str">
        <f>IF(VLOOKUP($C15,'P&amp;L'!$C$7:$AE$19,O$5,FALSE)="","",VLOOKUP($C15,'P&amp;L'!$C$7:$AE$19,O$5,FALSE)+N15)</f>
        <v/>
      </c>
      <c r="P15" s="7" t="str">
        <f>IF(VLOOKUP($C15,'P&amp;L'!$C$7:$AE$19,P$5,FALSE)="","",VLOOKUP($C15,'P&amp;L'!$C$7:$AE$19,P$5,FALSE)+O15)</f>
        <v/>
      </c>
      <c r="Q15" s="7" t="str">
        <f>IF(VLOOKUP($C15,'P&amp;L'!$C$7:$AE$19,Q$5,FALSE)="","",VLOOKUP($C15,'P&amp;L'!$C$7:$AE$19,Q$5,FALSE)+P15)</f>
        <v/>
      </c>
      <c r="R15" s="7" t="str">
        <f>IF(VLOOKUP($C15,'P&amp;L'!$C$7:$AE$19,R$5,FALSE)="","",VLOOKUP($C15,'P&amp;L'!$C$7:$AE$19,R$5,FALSE)+Q15)</f>
        <v/>
      </c>
      <c r="S15" s="7" t="str">
        <f>IF(VLOOKUP($C15,'P&amp;L'!$C$7:$AE$19,S$5,FALSE)="","",VLOOKUP($C15,'P&amp;L'!$C$7:$AE$19,S$5,FALSE)+R15)</f>
        <v/>
      </c>
      <c r="T15" s="7" t="str">
        <f>IF(VLOOKUP($C15,'P&amp;L'!$C$7:$AE$19,T$5,FALSE)="","",VLOOKUP($C15,'P&amp;L'!$C$7:$AE$19,T$5,FALSE)+S15)</f>
        <v/>
      </c>
      <c r="U15" s="7" t="str">
        <f>IF(VLOOKUP($C15,'P&amp;L'!$C$7:$AE$19,U$5,FALSE)="","",VLOOKUP($C15,'P&amp;L'!$C$7:$AE$19,U$5,FALSE)+T15)</f>
        <v/>
      </c>
      <c r="V15" s="7" t="str">
        <f>IF(VLOOKUP($C15,'P&amp;L'!$C$7:$AE$19,V$5,FALSE)="","",VLOOKUP($C15,'P&amp;L'!$C$7:$AE$19,V$5,FALSE)+U15)</f>
        <v/>
      </c>
      <c r="W15" s="7" t="str">
        <f>IF(VLOOKUP($C15,'P&amp;L'!$C$7:$AE$19,W$5,FALSE)="","",VLOOKUP($C15,'P&amp;L'!$C$7:$AE$19,W$5,FALSE)+V15)</f>
        <v/>
      </c>
      <c r="X15" s="7" t="str">
        <f>IF(VLOOKUP($C15,'P&amp;L'!$C$7:$AE$19,X$5,FALSE)="","",VLOOKUP($C15,'P&amp;L'!$C$7:$AE$19,X$5,FALSE)+W15)</f>
        <v/>
      </c>
      <c r="Y15" s="7" t="e">
        <f>IF(VLOOKUP($C15,'P&amp;L'!$C$7:$AE$19,Y$5,FALSE)="","",VLOOKUP($C15,'P&amp;L'!$C$7:$AE$19,Y$5,FALSE)+X15)</f>
        <v>#VALUE!</v>
      </c>
      <c r="Z15" s="7" t="e">
        <f>IF(VLOOKUP($C15,'P&amp;L'!$C$7:$AE$19,Z$5,FALSE)="","",VLOOKUP($C15,'P&amp;L'!$C$7:$AE$19,Z$5,FALSE)+Y15)</f>
        <v>#VALUE!</v>
      </c>
      <c r="AA15" s="7" t="e">
        <f>IF(VLOOKUP($C15,'P&amp;L'!$C$7:$AE$19,AA$5,FALSE)="","",VLOOKUP($C15,'P&amp;L'!$C$7:$AE$19,AA$5,FALSE)+Z15)</f>
        <v>#VALUE!</v>
      </c>
      <c r="AB15" s="7" t="e">
        <f>IF(VLOOKUP($C15,'P&amp;L'!$C$7:$AE$19,AB$5,FALSE)="","",VLOOKUP($C15,'P&amp;L'!$C$7:$AE$19,AB$5,FALSE)+AA15)</f>
        <v>#VALUE!</v>
      </c>
      <c r="AC15" s="7" t="e">
        <f>IF(VLOOKUP($C15,'P&amp;L'!$C$7:$AE$19,AC$5,FALSE)="","",VLOOKUP($C15,'P&amp;L'!$C$7:$AE$19,AC$5,FALSE)+AB15)</f>
        <v>#VALUE!</v>
      </c>
      <c r="AD15" s="7" t="e">
        <f>IF(VLOOKUP($C15,'P&amp;L'!$C$7:$AE$19,AD$5,FALSE)="","",VLOOKUP($C15,'P&amp;L'!$C$7:$AE$19,AD$5,FALSE)+AC15)</f>
        <v>#VALUE!</v>
      </c>
      <c r="AE15" s="7" t="e">
        <f>IF(VLOOKUP($C15,'P&amp;L'!$C$7:$AE$19,AE$5,FALSE)="","",VLOOKUP($C15,'P&amp;L'!$C$7:$AE$19,AE$5,FALSE)+AD15)</f>
        <v>#VALUE!</v>
      </c>
    </row>
    <row r="16" spans="1:31">
      <c r="A16" s="1">
        <v>10</v>
      </c>
      <c r="C16" s="11" t="str">
        <f>'P&amp;L'!C17</f>
        <v>orangenation</v>
      </c>
      <c r="D16" s="7">
        <f>IF(VLOOKUP($C16,'P&amp;L'!$C$7:$AE$19,D$5,FALSE)="","",VLOOKUP($C16,'P&amp;L'!$C$7:$AE$19,D$5,FALSE))</f>
        <v>-11815397.427999999</v>
      </c>
      <c r="E16" s="7">
        <f>IF(VLOOKUP($C16,'P&amp;L'!$C$7:$AE$19,E$5,FALSE)="","",VLOOKUP($C16,'P&amp;L'!$C$7:$AE$19,E$5,FALSE)+D16)</f>
        <v>29713488.530800004</v>
      </c>
      <c r="F16" s="7" t="str">
        <f>IF(VLOOKUP($C16,'P&amp;L'!$C$7:$AE$19,F$5,FALSE)="","",VLOOKUP($C16,'P&amp;L'!$C$7:$AE$19,F$5,FALSE)+E16)</f>
        <v/>
      </c>
      <c r="G16" s="7" t="str">
        <f>IF(VLOOKUP($C16,'P&amp;L'!$C$7:$AE$19,G$5,FALSE)="","",VLOOKUP($C16,'P&amp;L'!$C$7:$AE$19,G$5,FALSE)+F16)</f>
        <v/>
      </c>
      <c r="H16" s="7" t="str">
        <f>IF(VLOOKUP($C16,'P&amp;L'!$C$7:$AE$19,H$5,FALSE)="","",VLOOKUP($C16,'P&amp;L'!$C$7:$AE$19,H$5,FALSE)+G16)</f>
        <v/>
      </c>
      <c r="I16" s="7" t="str">
        <f>IF(VLOOKUP($C16,'P&amp;L'!$C$7:$AE$19,I$5,FALSE)="","",VLOOKUP($C16,'P&amp;L'!$C$7:$AE$19,I$5,FALSE)+H16)</f>
        <v/>
      </c>
      <c r="J16" s="7" t="str">
        <f>IF(VLOOKUP($C16,'P&amp;L'!$C$7:$AE$19,J$5,FALSE)="","",VLOOKUP($C16,'P&amp;L'!$C$7:$AE$19,J$5,FALSE)+I16)</f>
        <v/>
      </c>
      <c r="K16" s="7" t="str">
        <f>IF(VLOOKUP($C16,'P&amp;L'!$C$7:$AE$19,K$5,FALSE)="","",VLOOKUP($C16,'P&amp;L'!$C$7:$AE$19,K$5,FALSE)+J16)</f>
        <v/>
      </c>
      <c r="L16" s="7" t="str">
        <f>IF(VLOOKUP($C16,'P&amp;L'!$C$7:$AE$19,L$5,FALSE)="","",VLOOKUP($C16,'P&amp;L'!$C$7:$AE$19,L$5,FALSE)+K16)</f>
        <v/>
      </c>
      <c r="M16" s="7" t="str">
        <f>IF(VLOOKUP($C16,'P&amp;L'!$C$7:$AE$19,M$5,FALSE)="","",VLOOKUP($C16,'P&amp;L'!$C$7:$AE$19,M$5,FALSE)+L16)</f>
        <v/>
      </c>
      <c r="N16" s="7" t="str">
        <f>IF(VLOOKUP($C16,'P&amp;L'!$C$7:$AE$19,N$5,FALSE)="","",VLOOKUP($C16,'P&amp;L'!$C$7:$AE$19,N$5,FALSE)+M16)</f>
        <v/>
      </c>
      <c r="O16" s="7" t="str">
        <f>IF(VLOOKUP($C16,'P&amp;L'!$C$7:$AE$19,O$5,FALSE)="","",VLOOKUP($C16,'P&amp;L'!$C$7:$AE$19,O$5,FALSE)+N16)</f>
        <v/>
      </c>
      <c r="P16" s="7" t="str">
        <f>IF(VLOOKUP($C16,'P&amp;L'!$C$7:$AE$19,P$5,FALSE)="","",VLOOKUP($C16,'P&amp;L'!$C$7:$AE$19,P$5,FALSE)+O16)</f>
        <v/>
      </c>
      <c r="Q16" s="7" t="str">
        <f>IF(VLOOKUP($C16,'P&amp;L'!$C$7:$AE$19,Q$5,FALSE)="","",VLOOKUP($C16,'P&amp;L'!$C$7:$AE$19,Q$5,FALSE)+P16)</f>
        <v/>
      </c>
      <c r="R16" s="7" t="str">
        <f>IF(VLOOKUP($C16,'P&amp;L'!$C$7:$AE$19,R$5,FALSE)="","",VLOOKUP($C16,'P&amp;L'!$C$7:$AE$19,R$5,FALSE)+Q16)</f>
        <v/>
      </c>
      <c r="S16" s="7" t="str">
        <f>IF(VLOOKUP($C16,'P&amp;L'!$C$7:$AE$19,S$5,FALSE)="","",VLOOKUP($C16,'P&amp;L'!$C$7:$AE$19,S$5,FALSE)+R16)</f>
        <v/>
      </c>
      <c r="T16" s="7" t="str">
        <f>IF(VLOOKUP($C16,'P&amp;L'!$C$7:$AE$19,T$5,FALSE)="","",VLOOKUP($C16,'P&amp;L'!$C$7:$AE$19,T$5,FALSE)+S16)</f>
        <v/>
      </c>
      <c r="U16" s="7" t="str">
        <f>IF(VLOOKUP($C16,'P&amp;L'!$C$7:$AE$19,U$5,FALSE)="","",VLOOKUP($C16,'P&amp;L'!$C$7:$AE$19,U$5,FALSE)+T16)</f>
        <v/>
      </c>
      <c r="V16" s="7" t="str">
        <f>IF(VLOOKUP($C16,'P&amp;L'!$C$7:$AE$19,V$5,FALSE)="","",VLOOKUP($C16,'P&amp;L'!$C$7:$AE$19,V$5,FALSE)+U16)</f>
        <v/>
      </c>
      <c r="W16" s="7" t="str">
        <f>IF(VLOOKUP($C16,'P&amp;L'!$C$7:$AE$19,W$5,FALSE)="","",VLOOKUP($C16,'P&amp;L'!$C$7:$AE$19,W$5,FALSE)+V16)</f>
        <v/>
      </c>
      <c r="X16" s="7" t="str">
        <f>IF(VLOOKUP($C16,'P&amp;L'!$C$7:$AE$19,X$5,FALSE)="","",VLOOKUP($C16,'P&amp;L'!$C$7:$AE$19,X$5,FALSE)+W16)</f>
        <v/>
      </c>
      <c r="Y16" s="7" t="e">
        <f>IF(VLOOKUP($C16,'P&amp;L'!$C$7:$AE$19,Y$5,FALSE)="","",VLOOKUP($C16,'P&amp;L'!$C$7:$AE$19,Y$5,FALSE)+X16)</f>
        <v>#VALUE!</v>
      </c>
      <c r="Z16" s="7" t="e">
        <f>IF(VLOOKUP($C16,'P&amp;L'!$C$7:$AE$19,Z$5,FALSE)="","",VLOOKUP($C16,'P&amp;L'!$C$7:$AE$19,Z$5,FALSE)+Y16)</f>
        <v>#VALUE!</v>
      </c>
      <c r="AA16" s="7" t="e">
        <f>IF(VLOOKUP($C16,'P&amp;L'!$C$7:$AE$19,AA$5,FALSE)="","",VLOOKUP($C16,'P&amp;L'!$C$7:$AE$19,AA$5,FALSE)+Z16)</f>
        <v>#VALUE!</v>
      </c>
      <c r="AB16" s="7" t="e">
        <f>IF(VLOOKUP($C16,'P&amp;L'!$C$7:$AE$19,AB$5,FALSE)="","",VLOOKUP($C16,'P&amp;L'!$C$7:$AE$19,AB$5,FALSE)+AA16)</f>
        <v>#VALUE!</v>
      </c>
      <c r="AC16" s="7" t="e">
        <f>IF(VLOOKUP($C16,'P&amp;L'!$C$7:$AE$19,AC$5,FALSE)="","",VLOOKUP($C16,'P&amp;L'!$C$7:$AE$19,AC$5,FALSE)+AB16)</f>
        <v>#VALUE!</v>
      </c>
      <c r="AD16" s="7" t="e">
        <f>IF(VLOOKUP($C16,'P&amp;L'!$C$7:$AE$19,AD$5,FALSE)="","",VLOOKUP($C16,'P&amp;L'!$C$7:$AE$19,AD$5,FALSE)+AC16)</f>
        <v>#VALUE!</v>
      </c>
      <c r="AE16" s="7" t="e">
        <f>IF(VLOOKUP($C16,'P&amp;L'!$C$7:$AE$19,AE$5,FALSE)="","",VLOOKUP($C16,'P&amp;L'!$C$7:$AE$19,AE$5,FALSE)+AD16)</f>
        <v>#VALUE!</v>
      </c>
    </row>
    <row r="17" spans="1:31">
      <c r="A17" s="1">
        <v>11</v>
      </c>
      <c r="C17" s="11" t="str">
        <f>'P&amp;L'!C13</f>
        <v>oriangagrande</v>
      </c>
      <c r="D17" s="7">
        <f>IF(VLOOKUP($C17,'P&amp;L'!$C$7:$AE$19,D$5,FALSE)="","",VLOOKUP($C17,'P&amp;L'!$C$7:$AE$19,D$5,FALSE))</f>
        <v>-271147801.19199997</v>
      </c>
      <c r="E17" s="7">
        <f>IF(VLOOKUP($C17,'P&amp;L'!$C$7:$AE$19,E$5,FALSE)="","",VLOOKUP($C17,'P&amp;L'!$C$7:$AE$19,E$5,FALSE)+D17)</f>
        <v>-61056190.70449996</v>
      </c>
      <c r="F17" s="7" t="str">
        <f>IF(VLOOKUP($C17,'P&amp;L'!$C$7:$AE$19,F$5,FALSE)="","",VLOOKUP($C17,'P&amp;L'!$C$7:$AE$19,F$5,FALSE)+E17)</f>
        <v/>
      </c>
      <c r="G17" s="7" t="str">
        <f>IF(VLOOKUP($C17,'P&amp;L'!$C$7:$AE$19,G$5,FALSE)="","",VLOOKUP($C17,'P&amp;L'!$C$7:$AE$19,G$5,FALSE)+F17)</f>
        <v/>
      </c>
      <c r="H17" s="7" t="str">
        <f>IF(VLOOKUP($C17,'P&amp;L'!$C$7:$AE$19,H$5,FALSE)="","",VLOOKUP($C17,'P&amp;L'!$C$7:$AE$19,H$5,FALSE)+G17)</f>
        <v/>
      </c>
      <c r="I17" s="7" t="str">
        <f>IF(VLOOKUP($C17,'P&amp;L'!$C$7:$AE$19,I$5,FALSE)="","",VLOOKUP($C17,'P&amp;L'!$C$7:$AE$19,I$5,FALSE)+H17)</f>
        <v/>
      </c>
      <c r="J17" s="7" t="str">
        <f>IF(VLOOKUP($C17,'P&amp;L'!$C$7:$AE$19,J$5,FALSE)="","",VLOOKUP($C17,'P&amp;L'!$C$7:$AE$19,J$5,FALSE)+I17)</f>
        <v/>
      </c>
      <c r="K17" s="7" t="str">
        <f>IF(VLOOKUP($C17,'P&amp;L'!$C$7:$AE$19,K$5,FALSE)="","",VLOOKUP($C17,'P&amp;L'!$C$7:$AE$19,K$5,FALSE)+J17)</f>
        <v/>
      </c>
      <c r="L17" s="7" t="str">
        <f>IF(VLOOKUP($C17,'P&amp;L'!$C$7:$AE$19,L$5,FALSE)="","",VLOOKUP($C17,'P&amp;L'!$C$7:$AE$19,L$5,FALSE)+K17)</f>
        <v/>
      </c>
      <c r="M17" s="7" t="str">
        <f>IF(VLOOKUP($C17,'P&amp;L'!$C$7:$AE$19,M$5,FALSE)="","",VLOOKUP($C17,'P&amp;L'!$C$7:$AE$19,M$5,FALSE)+L17)</f>
        <v/>
      </c>
      <c r="N17" s="7" t="str">
        <f>IF(VLOOKUP($C17,'P&amp;L'!$C$7:$AE$19,N$5,FALSE)="","",VLOOKUP($C17,'P&amp;L'!$C$7:$AE$19,N$5,FALSE)+M17)</f>
        <v/>
      </c>
      <c r="O17" s="7" t="str">
        <f>IF(VLOOKUP($C17,'P&amp;L'!$C$7:$AE$19,O$5,FALSE)="","",VLOOKUP($C17,'P&amp;L'!$C$7:$AE$19,O$5,FALSE)+N17)</f>
        <v/>
      </c>
      <c r="P17" s="7" t="str">
        <f>IF(VLOOKUP($C17,'P&amp;L'!$C$7:$AE$19,P$5,FALSE)="","",VLOOKUP($C17,'P&amp;L'!$C$7:$AE$19,P$5,FALSE)+O17)</f>
        <v/>
      </c>
      <c r="Q17" s="7" t="str">
        <f>IF(VLOOKUP($C17,'P&amp;L'!$C$7:$AE$19,Q$5,FALSE)="","",VLOOKUP($C17,'P&amp;L'!$C$7:$AE$19,Q$5,FALSE)+P17)</f>
        <v/>
      </c>
      <c r="R17" s="7" t="str">
        <f>IF(VLOOKUP($C17,'P&amp;L'!$C$7:$AE$19,R$5,FALSE)="","",VLOOKUP($C17,'P&amp;L'!$C$7:$AE$19,R$5,FALSE)+Q17)</f>
        <v/>
      </c>
      <c r="S17" s="7" t="str">
        <f>IF(VLOOKUP($C17,'P&amp;L'!$C$7:$AE$19,S$5,FALSE)="","",VLOOKUP($C17,'P&amp;L'!$C$7:$AE$19,S$5,FALSE)+R17)</f>
        <v/>
      </c>
      <c r="T17" s="7" t="str">
        <f>IF(VLOOKUP($C17,'P&amp;L'!$C$7:$AE$19,T$5,FALSE)="","",VLOOKUP($C17,'P&amp;L'!$C$7:$AE$19,T$5,FALSE)+S17)</f>
        <v/>
      </c>
      <c r="U17" s="7" t="str">
        <f>IF(VLOOKUP($C17,'P&amp;L'!$C$7:$AE$19,U$5,FALSE)="","",VLOOKUP($C17,'P&amp;L'!$C$7:$AE$19,U$5,FALSE)+T17)</f>
        <v/>
      </c>
      <c r="V17" s="7" t="str">
        <f>IF(VLOOKUP($C17,'P&amp;L'!$C$7:$AE$19,V$5,FALSE)="","",VLOOKUP($C17,'P&amp;L'!$C$7:$AE$19,V$5,FALSE)+U17)</f>
        <v/>
      </c>
      <c r="W17" s="7" t="str">
        <f>IF(VLOOKUP($C17,'P&amp;L'!$C$7:$AE$19,W$5,FALSE)="","",VLOOKUP($C17,'P&amp;L'!$C$7:$AE$19,W$5,FALSE)+V17)</f>
        <v/>
      </c>
      <c r="X17" s="7" t="str">
        <f>IF(VLOOKUP($C17,'P&amp;L'!$C$7:$AE$19,X$5,FALSE)="","",VLOOKUP($C17,'P&amp;L'!$C$7:$AE$19,X$5,FALSE)+W17)</f>
        <v/>
      </c>
      <c r="Y17" s="7" t="e">
        <f>IF(VLOOKUP($C17,'P&amp;L'!$C$7:$AE$19,Y$5,FALSE)="","",VLOOKUP($C17,'P&amp;L'!$C$7:$AE$19,Y$5,FALSE)+X17)</f>
        <v>#VALUE!</v>
      </c>
      <c r="Z17" s="7" t="e">
        <f>IF(VLOOKUP($C17,'P&amp;L'!$C$7:$AE$19,Z$5,FALSE)="","",VLOOKUP($C17,'P&amp;L'!$C$7:$AE$19,Z$5,FALSE)+Y17)</f>
        <v>#VALUE!</v>
      </c>
      <c r="AA17" s="7" t="e">
        <f>IF(VLOOKUP($C17,'P&amp;L'!$C$7:$AE$19,AA$5,FALSE)="","",VLOOKUP($C17,'P&amp;L'!$C$7:$AE$19,AA$5,FALSE)+Z17)</f>
        <v>#VALUE!</v>
      </c>
      <c r="AB17" s="7" t="e">
        <f>IF(VLOOKUP($C17,'P&amp;L'!$C$7:$AE$19,AB$5,FALSE)="","",VLOOKUP($C17,'P&amp;L'!$C$7:$AE$19,AB$5,FALSE)+AA17)</f>
        <v>#VALUE!</v>
      </c>
      <c r="AC17" s="7" t="e">
        <f>IF(VLOOKUP($C17,'P&amp;L'!$C$7:$AE$19,AC$5,FALSE)="","",VLOOKUP($C17,'P&amp;L'!$C$7:$AE$19,AC$5,FALSE)+AB17)</f>
        <v>#VALUE!</v>
      </c>
      <c r="AD17" s="7" t="e">
        <f>IF(VLOOKUP($C17,'P&amp;L'!$C$7:$AE$19,AD$5,FALSE)="","",VLOOKUP($C17,'P&amp;L'!$C$7:$AE$19,AD$5,FALSE)+AC17)</f>
        <v>#VALUE!</v>
      </c>
      <c r="AE17" s="7" t="e">
        <f>IF(VLOOKUP($C17,'P&amp;L'!$C$7:$AE$19,AE$5,FALSE)="","",VLOOKUP($C17,'P&amp;L'!$C$7:$AE$19,AE$5,FALSE)+AD17)</f>
        <v>#VALUE!</v>
      </c>
    </row>
    <row r="18" spans="1:31">
      <c r="A18" s="1">
        <v>12</v>
      </c>
      <c r="C18" s="11" t="str">
        <f>'P&amp;L'!C19</f>
        <v>pulpfiction</v>
      </c>
      <c r="D18" s="7">
        <f>IF(VLOOKUP($C18,'P&amp;L'!$C$7:$AE$19,D$5,FALSE)="","",VLOOKUP($C18,'P&amp;L'!$C$7:$AE$19,D$5,FALSE))</f>
        <v>-555811231.19729996</v>
      </c>
      <c r="E18" s="7">
        <f>IF(VLOOKUP($C18,'P&amp;L'!$C$7:$AE$19,E$5,FALSE)="","",VLOOKUP($C18,'P&amp;L'!$C$7:$AE$19,E$5,FALSE)+D18)</f>
        <v>-763817935.48299992</v>
      </c>
      <c r="F18" s="7" t="str">
        <f>IF(VLOOKUP($C18,'P&amp;L'!$C$7:$AE$19,F$5,FALSE)="","",VLOOKUP($C18,'P&amp;L'!$C$7:$AE$19,F$5,FALSE)+E18)</f>
        <v/>
      </c>
      <c r="G18" s="7" t="str">
        <f>IF(VLOOKUP($C18,'P&amp;L'!$C$7:$AE$19,G$5,FALSE)="","",VLOOKUP($C18,'P&amp;L'!$C$7:$AE$19,G$5,FALSE)+F18)</f>
        <v/>
      </c>
      <c r="H18" s="7" t="str">
        <f>IF(VLOOKUP($C18,'P&amp;L'!$C$7:$AE$19,H$5,FALSE)="","",VLOOKUP($C18,'P&amp;L'!$C$7:$AE$19,H$5,FALSE)+G18)</f>
        <v/>
      </c>
      <c r="I18" s="7" t="str">
        <f>IF(VLOOKUP($C18,'P&amp;L'!$C$7:$AE$19,I$5,FALSE)="","",VLOOKUP($C18,'P&amp;L'!$C$7:$AE$19,I$5,FALSE)+H18)</f>
        <v/>
      </c>
      <c r="J18" s="7" t="str">
        <f>IF(VLOOKUP($C18,'P&amp;L'!$C$7:$AE$19,J$5,FALSE)="","",VLOOKUP($C18,'P&amp;L'!$C$7:$AE$19,J$5,FALSE)+I18)</f>
        <v/>
      </c>
      <c r="K18" s="7" t="str">
        <f>IF(VLOOKUP($C18,'P&amp;L'!$C$7:$AE$19,K$5,FALSE)="","",VLOOKUP($C18,'P&amp;L'!$C$7:$AE$19,K$5,FALSE)+J18)</f>
        <v/>
      </c>
      <c r="L18" s="7" t="str">
        <f>IF(VLOOKUP($C18,'P&amp;L'!$C$7:$AE$19,L$5,FALSE)="","",VLOOKUP($C18,'P&amp;L'!$C$7:$AE$19,L$5,FALSE)+K18)</f>
        <v/>
      </c>
      <c r="M18" s="7" t="str">
        <f>IF(VLOOKUP($C18,'P&amp;L'!$C$7:$AE$19,M$5,FALSE)="","",VLOOKUP($C18,'P&amp;L'!$C$7:$AE$19,M$5,FALSE)+L18)</f>
        <v/>
      </c>
      <c r="N18" s="7" t="str">
        <f>IF(VLOOKUP($C18,'P&amp;L'!$C$7:$AE$19,N$5,FALSE)="","",VLOOKUP($C18,'P&amp;L'!$C$7:$AE$19,N$5,FALSE)+M18)</f>
        <v/>
      </c>
      <c r="O18" s="7" t="str">
        <f>IF(VLOOKUP($C18,'P&amp;L'!$C$7:$AE$19,O$5,FALSE)="","",VLOOKUP($C18,'P&amp;L'!$C$7:$AE$19,O$5,FALSE)+N18)</f>
        <v/>
      </c>
      <c r="P18" s="7" t="str">
        <f>IF(VLOOKUP($C18,'P&amp;L'!$C$7:$AE$19,P$5,FALSE)="","",VLOOKUP($C18,'P&amp;L'!$C$7:$AE$19,P$5,FALSE)+O18)</f>
        <v/>
      </c>
      <c r="Q18" s="7" t="str">
        <f>IF(VLOOKUP($C18,'P&amp;L'!$C$7:$AE$19,Q$5,FALSE)="","",VLOOKUP($C18,'P&amp;L'!$C$7:$AE$19,Q$5,FALSE)+P18)</f>
        <v/>
      </c>
      <c r="R18" s="7" t="str">
        <f>IF(VLOOKUP($C18,'P&amp;L'!$C$7:$AE$19,R$5,FALSE)="","",VLOOKUP($C18,'P&amp;L'!$C$7:$AE$19,R$5,FALSE)+Q18)</f>
        <v/>
      </c>
      <c r="S18" s="7" t="str">
        <f>IF(VLOOKUP($C18,'P&amp;L'!$C$7:$AE$19,S$5,FALSE)="","",VLOOKUP($C18,'P&amp;L'!$C$7:$AE$19,S$5,FALSE)+R18)</f>
        <v/>
      </c>
      <c r="T18" s="7" t="str">
        <f>IF(VLOOKUP($C18,'P&amp;L'!$C$7:$AE$19,T$5,FALSE)="","",VLOOKUP($C18,'P&amp;L'!$C$7:$AE$19,T$5,FALSE)+S18)</f>
        <v/>
      </c>
      <c r="U18" s="7" t="str">
        <f>IF(VLOOKUP($C18,'P&amp;L'!$C$7:$AE$19,U$5,FALSE)="","",VLOOKUP($C18,'P&amp;L'!$C$7:$AE$19,U$5,FALSE)+T18)</f>
        <v/>
      </c>
      <c r="V18" s="7" t="str">
        <f>IF(VLOOKUP($C18,'P&amp;L'!$C$7:$AE$19,V$5,FALSE)="","",VLOOKUP($C18,'P&amp;L'!$C$7:$AE$19,V$5,FALSE)+U18)</f>
        <v/>
      </c>
      <c r="W18" s="7" t="str">
        <f>IF(VLOOKUP($C18,'P&amp;L'!$C$7:$AE$19,W$5,FALSE)="","",VLOOKUP($C18,'P&amp;L'!$C$7:$AE$19,W$5,FALSE)+V18)</f>
        <v/>
      </c>
      <c r="X18" s="7" t="str">
        <f>IF(VLOOKUP($C18,'P&amp;L'!$C$7:$AE$19,X$5,FALSE)="","",VLOOKUP($C18,'P&amp;L'!$C$7:$AE$19,X$5,FALSE)+W18)</f>
        <v/>
      </c>
      <c r="Y18" s="7" t="e">
        <f>IF(VLOOKUP($C18,'P&amp;L'!$C$7:$AE$19,Y$5,FALSE)="","",VLOOKUP($C18,'P&amp;L'!$C$7:$AE$19,Y$5,FALSE)+X18)</f>
        <v>#VALUE!</v>
      </c>
      <c r="Z18" s="7" t="e">
        <f>IF(VLOOKUP($C18,'P&amp;L'!$C$7:$AE$19,Z$5,FALSE)="","",VLOOKUP($C18,'P&amp;L'!$C$7:$AE$19,Z$5,FALSE)+Y18)</f>
        <v>#VALUE!</v>
      </c>
      <c r="AA18" s="7" t="e">
        <f>IF(VLOOKUP($C18,'P&amp;L'!$C$7:$AE$19,AA$5,FALSE)="","",VLOOKUP($C18,'P&amp;L'!$C$7:$AE$19,AA$5,FALSE)+Z18)</f>
        <v>#VALUE!</v>
      </c>
      <c r="AB18" s="7" t="e">
        <f>IF(VLOOKUP($C18,'P&amp;L'!$C$7:$AE$19,AB$5,FALSE)="","",VLOOKUP($C18,'P&amp;L'!$C$7:$AE$19,AB$5,FALSE)+AA18)</f>
        <v>#VALUE!</v>
      </c>
      <c r="AC18" s="7" t="e">
        <f>IF(VLOOKUP($C18,'P&amp;L'!$C$7:$AE$19,AC$5,FALSE)="","",VLOOKUP($C18,'P&amp;L'!$C$7:$AE$19,AC$5,FALSE)+AB18)</f>
        <v>#VALUE!</v>
      </c>
      <c r="AD18" s="7" t="e">
        <f>IF(VLOOKUP($C18,'P&amp;L'!$C$7:$AE$19,AD$5,FALSE)="","",VLOOKUP($C18,'P&amp;L'!$C$7:$AE$19,AD$5,FALSE)+AC18)</f>
        <v>#VALUE!</v>
      </c>
      <c r="AE18" s="7" t="e">
        <f>IF(VLOOKUP($C18,'P&amp;L'!$C$7:$AE$19,AE$5,FALSE)="","",VLOOKUP($C18,'P&amp;L'!$C$7:$AE$19,AE$5,FALSE)+AD18)</f>
        <v>#VALUE!</v>
      </c>
    </row>
    <row r="19" spans="1:31">
      <c r="A19" s="1">
        <v>13</v>
      </c>
      <c r="C19" s="11" t="str">
        <f>'P&amp;L'!C8</f>
        <v>thebreakfastclub</v>
      </c>
      <c r="D19" s="7">
        <f>IF(VLOOKUP($C19,'P&amp;L'!$C$7:$AE$19,D$5,FALSE)="","",VLOOKUP($C19,'P&amp;L'!$C$7:$AE$19,D$5,FALSE))</f>
        <v>-1581280345.8125999</v>
      </c>
      <c r="E19" s="7">
        <f>IF(VLOOKUP($C19,'P&amp;L'!$C$7:$AE$19,E$5,FALSE)="","",VLOOKUP($C19,'P&amp;L'!$C$7:$AE$19,E$5,FALSE)+D19)</f>
        <v>-918780530.65049994</v>
      </c>
      <c r="F19" s="7" t="str">
        <f>IF(VLOOKUP($C19,'P&amp;L'!$C$7:$AE$19,F$5,FALSE)="","",VLOOKUP($C19,'P&amp;L'!$C$7:$AE$19,F$5,FALSE)+E19)</f>
        <v/>
      </c>
      <c r="G19" s="7" t="str">
        <f>IF(VLOOKUP($C19,'P&amp;L'!$C$7:$AE$19,G$5,FALSE)="","",VLOOKUP($C19,'P&amp;L'!$C$7:$AE$19,G$5,FALSE)+F19)</f>
        <v/>
      </c>
      <c r="H19" s="7" t="str">
        <f>IF(VLOOKUP($C19,'P&amp;L'!$C$7:$AE$19,H$5,FALSE)="","",VLOOKUP($C19,'P&amp;L'!$C$7:$AE$19,H$5,FALSE)+G19)</f>
        <v/>
      </c>
      <c r="I19" s="7" t="str">
        <f>IF(VLOOKUP($C19,'P&amp;L'!$C$7:$AE$19,I$5,FALSE)="","",VLOOKUP($C19,'P&amp;L'!$C$7:$AE$19,I$5,FALSE)+H19)</f>
        <v/>
      </c>
      <c r="J19" s="7" t="str">
        <f>IF(VLOOKUP($C19,'P&amp;L'!$C$7:$AE$19,J$5,FALSE)="","",VLOOKUP($C19,'P&amp;L'!$C$7:$AE$19,J$5,FALSE)+I19)</f>
        <v/>
      </c>
      <c r="K19" s="7" t="str">
        <f>IF(VLOOKUP($C19,'P&amp;L'!$C$7:$AE$19,K$5,FALSE)="","",VLOOKUP($C19,'P&amp;L'!$C$7:$AE$19,K$5,FALSE)+J19)</f>
        <v/>
      </c>
      <c r="L19" s="7" t="str">
        <f>IF(VLOOKUP($C19,'P&amp;L'!$C$7:$AE$19,L$5,FALSE)="","",VLOOKUP($C19,'P&amp;L'!$C$7:$AE$19,L$5,FALSE)+K19)</f>
        <v/>
      </c>
      <c r="M19" s="7" t="str">
        <f>IF(VLOOKUP($C19,'P&amp;L'!$C$7:$AE$19,M$5,FALSE)="","",VLOOKUP($C19,'P&amp;L'!$C$7:$AE$19,M$5,FALSE)+L19)</f>
        <v/>
      </c>
      <c r="N19" s="7" t="str">
        <f>IF(VLOOKUP($C19,'P&amp;L'!$C$7:$AE$19,N$5,FALSE)="","",VLOOKUP($C19,'P&amp;L'!$C$7:$AE$19,N$5,FALSE)+M19)</f>
        <v/>
      </c>
      <c r="O19" s="7" t="str">
        <f>IF(VLOOKUP($C19,'P&amp;L'!$C$7:$AE$19,O$5,FALSE)="","",VLOOKUP($C19,'P&amp;L'!$C$7:$AE$19,O$5,FALSE)+N19)</f>
        <v/>
      </c>
      <c r="P19" s="7" t="str">
        <f>IF(VLOOKUP($C19,'P&amp;L'!$C$7:$AE$19,P$5,FALSE)="","",VLOOKUP($C19,'P&amp;L'!$C$7:$AE$19,P$5,FALSE)+O19)</f>
        <v/>
      </c>
      <c r="Q19" s="7" t="str">
        <f>IF(VLOOKUP($C19,'P&amp;L'!$C$7:$AE$19,Q$5,FALSE)="","",VLOOKUP($C19,'P&amp;L'!$C$7:$AE$19,Q$5,FALSE)+P19)</f>
        <v/>
      </c>
      <c r="R19" s="7" t="str">
        <f>IF(VLOOKUP($C19,'P&amp;L'!$C$7:$AE$19,R$5,FALSE)="","",VLOOKUP($C19,'P&amp;L'!$C$7:$AE$19,R$5,FALSE)+Q19)</f>
        <v/>
      </c>
      <c r="S19" s="7" t="str">
        <f>IF(VLOOKUP($C19,'P&amp;L'!$C$7:$AE$19,S$5,FALSE)="","",VLOOKUP($C19,'P&amp;L'!$C$7:$AE$19,S$5,FALSE)+R19)</f>
        <v/>
      </c>
      <c r="T19" s="7" t="str">
        <f>IF(VLOOKUP($C19,'P&amp;L'!$C$7:$AE$19,T$5,FALSE)="","",VLOOKUP($C19,'P&amp;L'!$C$7:$AE$19,T$5,FALSE)+S19)</f>
        <v/>
      </c>
      <c r="U19" s="7" t="str">
        <f>IF(VLOOKUP($C19,'P&amp;L'!$C$7:$AE$19,U$5,FALSE)="","",VLOOKUP($C19,'P&amp;L'!$C$7:$AE$19,U$5,FALSE)+T19)</f>
        <v/>
      </c>
      <c r="V19" s="7" t="str">
        <f>IF(VLOOKUP($C19,'P&amp;L'!$C$7:$AE$19,V$5,FALSE)="","",VLOOKUP($C19,'P&amp;L'!$C$7:$AE$19,V$5,FALSE)+U19)</f>
        <v/>
      </c>
      <c r="W19" s="7" t="str">
        <f>IF(VLOOKUP($C19,'P&amp;L'!$C$7:$AE$19,W$5,FALSE)="","",VLOOKUP($C19,'P&amp;L'!$C$7:$AE$19,W$5,FALSE)+V19)</f>
        <v/>
      </c>
      <c r="X19" s="7" t="str">
        <f>IF(VLOOKUP($C19,'P&amp;L'!$C$7:$AE$19,X$5,FALSE)="","",VLOOKUP($C19,'P&amp;L'!$C$7:$AE$19,X$5,FALSE)+W19)</f>
        <v/>
      </c>
      <c r="Y19" s="7" t="e">
        <f>IF(VLOOKUP($C19,'P&amp;L'!$C$7:$AE$19,Y$5,FALSE)="","",VLOOKUP($C19,'P&amp;L'!$C$7:$AE$19,Y$5,FALSE)+X19)</f>
        <v>#VALUE!</v>
      </c>
      <c r="Z19" s="7" t="e">
        <f>IF(VLOOKUP($C19,'P&amp;L'!$C$7:$AE$19,Z$5,FALSE)="","",VLOOKUP($C19,'P&amp;L'!$C$7:$AE$19,Z$5,FALSE)+Y19)</f>
        <v>#VALUE!</v>
      </c>
      <c r="AA19" s="7" t="e">
        <f>IF(VLOOKUP($C19,'P&amp;L'!$C$7:$AE$19,AA$5,FALSE)="","",VLOOKUP($C19,'P&amp;L'!$C$7:$AE$19,AA$5,FALSE)+Z19)</f>
        <v>#VALUE!</v>
      </c>
      <c r="AB19" s="7" t="e">
        <f>IF(VLOOKUP($C19,'P&amp;L'!$C$7:$AE$19,AB$5,FALSE)="","",VLOOKUP($C19,'P&amp;L'!$C$7:$AE$19,AB$5,FALSE)+AA19)</f>
        <v>#VALUE!</v>
      </c>
      <c r="AC19" s="7" t="e">
        <f>IF(VLOOKUP($C19,'P&amp;L'!$C$7:$AE$19,AC$5,FALSE)="","",VLOOKUP($C19,'P&amp;L'!$C$7:$AE$19,AC$5,FALSE)+AB19)</f>
        <v>#VALUE!</v>
      </c>
      <c r="AD19" s="7" t="e">
        <f>IF(VLOOKUP($C19,'P&amp;L'!$C$7:$AE$19,AD$5,FALSE)="","",VLOOKUP($C19,'P&amp;L'!$C$7:$AE$19,AD$5,FALSE)+AC19)</f>
        <v>#VALUE!</v>
      </c>
      <c r="AE19" s="7" t="e">
        <f>IF(VLOOKUP($C19,'P&amp;L'!$C$7:$AE$19,AE$5,FALSE)="","",VLOOKUP($C19,'P&amp;L'!$C$7:$AE$19,AE$5,FALSE)+AD19)</f>
        <v>#VALUE!</v>
      </c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</sheetData>
  <sortState ref="C7:AE19">
    <sortCondition descending="1" ref="E6"/>
  </sortState>
  <phoneticPr fontId="0" type="noConversion"/>
  <pageMargins left="0.75" right="0.75" top="1" bottom="1" header="0.5" footer="0.5"/>
  <pageSetup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C2:C7"/>
  <sheetViews>
    <sheetView showGridLines="0" workbookViewId="0"/>
  </sheetViews>
  <sheetFormatPr baseColWidth="10" defaultColWidth="8.83203125" defaultRowHeight="12" x14ac:dyDescent="0"/>
  <cols>
    <col min="2" max="2" width="1.6640625" customWidth="1"/>
  </cols>
  <sheetData>
    <row r="2" spans="3:3" ht="17">
      <c r="C2" s="4" t="s">
        <v>0</v>
      </c>
    </row>
    <row r="3" spans="3:3">
      <c r="C3" s="5" t="s">
        <v>5</v>
      </c>
    </row>
    <row r="7" spans="3:3">
      <c r="C7" s="2"/>
    </row>
  </sheetData>
  <phoneticPr fontId="0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P&amp;L</vt:lpstr>
      <vt:lpstr>Cumulative</vt:lpstr>
      <vt:lpstr>Charts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Princeton Affiliate</dc:creator>
  <cp:lastModifiedBy>Michelle Scharfstein</cp:lastModifiedBy>
  <cp:lastPrinted>2012-01-16T22:03:46Z</cp:lastPrinted>
  <dcterms:created xsi:type="dcterms:W3CDTF">2003-11-18T23:15:20Z</dcterms:created>
  <dcterms:modified xsi:type="dcterms:W3CDTF">2014-11-26T18:27:20Z</dcterms:modified>
</cp:coreProperties>
</file>