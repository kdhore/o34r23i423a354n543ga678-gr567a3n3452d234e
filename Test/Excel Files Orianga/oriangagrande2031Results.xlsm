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20910" codeName="{7A2D7E96-6E34-419A-AE5F-296B3A7E7977}"/>
  <workbookPr codeName="ThisWorkbook" autoCompressPictures="0"/>
  <bookViews>
    <workbookView xWindow="0" yWindow="40" windowWidth="23780" windowHeight="13800" firstSheet="1" activeTab="5"/>
  </bookViews>
  <sheets>
    <sheet name="basic_info" sheetId="4" r:id="rId1"/>
    <sheet name="facilities" sheetId="5" r:id="rId2"/>
    <sheet name="raw_materials" sheetId="6" r:id="rId3"/>
    <sheet name="shipping_manufacturing" sheetId="7" r:id="rId4"/>
    <sheet name="pricing" sheetId="8" r:id="rId5"/>
    <sheet name="annual_report" sheetId="20" r:id="rId6"/>
    <sheet name="grove" sheetId="19" r:id="rId7"/>
    <sheet name="P05" sheetId="18" r:id="rId8"/>
    <sheet name="P07" sheetId="17" r:id="rId9"/>
    <sheet name="S15" sheetId="16" r:id="rId10"/>
    <sheet name="S48" sheetId="15" r:id="rId11"/>
    <sheet name="S61" sheetId="14" r:id="rId12"/>
    <sheet name="ORA" sheetId="13" r:id="rId13"/>
    <sheet name="POJ" sheetId="12" r:id="rId14"/>
    <sheet name="ROJ" sheetId="11" r:id="rId15"/>
    <sheet name="FCOJ" sheetId="10" r:id="rId16"/>
    <sheet name="market" sheetId="9" r:id="rId17"/>
  </sheets>
  <definedNames>
    <definedName name="AddColumn1">shipping_manufacturing!$I$4:$I$12</definedName>
    <definedName name="AddColumn2">shipping_manufacturing!$G$16:$G$20</definedName>
    <definedName name="AddColumn3">shipping_manufacturing!$H$24:$H$31</definedName>
    <definedName name="AddRow3">shipping_manufacturing!$B$31</definedName>
    <definedName name="AddRow4">shipping_manufacturing!$B$40</definedName>
    <definedName name="Table1">shipping_manufacturing!$B$4</definedName>
    <definedName name="Table2">shipping_manufacturing!$B$16</definedName>
    <definedName name="Table3">shipping_manufacturing!$B$24</definedName>
    <definedName name="Table4">shipping_manufacturing!$B$35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S37" i="20" l="1"/>
  <c r="S16" i="20"/>
  <c r="S15" i="20"/>
  <c r="T19" i="20"/>
  <c r="S14" i="20"/>
  <c r="H40" i="20"/>
  <c r="H39" i="20"/>
  <c r="H38" i="20"/>
  <c r="H35" i="20"/>
  <c r="S42" i="20"/>
  <c r="H34" i="20"/>
  <c r="S39" i="20"/>
  <c r="H33" i="20"/>
  <c r="H30" i="20"/>
  <c r="H29" i="20"/>
  <c r="H28" i="20"/>
  <c r="H27" i="20"/>
  <c r="H24" i="20"/>
  <c r="H23" i="20"/>
  <c r="H15" i="20"/>
  <c r="H14" i="20"/>
  <c r="H13" i="20"/>
  <c r="AZ170" i="14"/>
  <c r="AZ121" i="14"/>
  <c r="AZ108" i="14"/>
  <c r="AZ99" i="14"/>
  <c r="AZ92" i="14"/>
  <c r="AZ170" i="15"/>
  <c r="AZ121" i="15"/>
  <c r="AZ108" i="15"/>
  <c r="AZ99" i="15"/>
  <c r="AZ92" i="15"/>
  <c r="AZ170" i="16"/>
  <c r="AZ121" i="16"/>
  <c r="AZ108" i="16"/>
  <c r="AZ99" i="16"/>
  <c r="AZ92" i="16"/>
  <c r="AZ42" i="17"/>
  <c r="AZ43" i="17"/>
  <c r="AZ53" i="17"/>
  <c r="AZ54" i="17"/>
  <c r="AZ64" i="17"/>
  <c r="AZ65" i="17"/>
  <c r="AZ42" i="18"/>
  <c r="AZ43" i="18"/>
  <c r="AZ53" i="18"/>
  <c r="AZ54" i="18"/>
  <c r="AZ64" i="18"/>
  <c r="AZ65" i="18"/>
  <c r="T25" i="20"/>
  <c r="D109" i="10"/>
  <c r="E109" i="10"/>
  <c r="F109" i="10"/>
  <c r="G109" i="10"/>
  <c r="H109" i="10"/>
  <c r="I109" i="10"/>
  <c r="J109" i="10"/>
  <c r="K109" i="10"/>
  <c r="L109" i="10"/>
  <c r="M109" i="10"/>
  <c r="N109" i="10"/>
  <c r="O109" i="10"/>
  <c r="D110" i="10"/>
  <c r="E110" i="10"/>
  <c r="F110" i="10"/>
  <c r="G110" i="10"/>
  <c r="H110" i="10"/>
  <c r="I110" i="10"/>
  <c r="J110" i="10"/>
  <c r="K110" i="10"/>
  <c r="L110" i="10"/>
  <c r="M110" i="10"/>
  <c r="N110" i="10"/>
  <c r="O110" i="10"/>
  <c r="D111" i="10"/>
  <c r="E111" i="10"/>
  <c r="F111" i="10"/>
  <c r="G111" i="10"/>
  <c r="H111" i="10"/>
  <c r="I111" i="10"/>
  <c r="J111" i="10"/>
  <c r="K111" i="10"/>
  <c r="L111" i="10"/>
  <c r="M111" i="10"/>
  <c r="N111" i="10"/>
  <c r="O111" i="10"/>
  <c r="D112" i="10"/>
  <c r="E112" i="10"/>
  <c r="F112" i="10"/>
  <c r="G112" i="10"/>
  <c r="H112" i="10"/>
  <c r="I112" i="10"/>
  <c r="J112" i="10"/>
  <c r="K112" i="10"/>
  <c r="L112" i="10"/>
  <c r="M112" i="10"/>
  <c r="N112" i="10"/>
  <c r="O112" i="10"/>
  <c r="D113" i="10"/>
  <c r="E113" i="10"/>
  <c r="F113" i="10"/>
  <c r="G113" i="10"/>
  <c r="H113" i="10"/>
  <c r="I113" i="10"/>
  <c r="J113" i="10"/>
  <c r="K113" i="10"/>
  <c r="L113" i="10"/>
  <c r="M113" i="10"/>
  <c r="N113" i="10"/>
  <c r="O113" i="10"/>
  <c r="D114" i="10"/>
  <c r="E114" i="10"/>
  <c r="F114" i="10"/>
  <c r="G114" i="10"/>
  <c r="H114" i="10"/>
  <c r="I114" i="10"/>
  <c r="J114" i="10"/>
  <c r="K114" i="10"/>
  <c r="L114" i="10"/>
  <c r="M114" i="10"/>
  <c r="N114" i="10"/>
  <c r="O114" i="10"/>
  <c r="D115" i="10"/>
  <c r="E115" i="10"/>
  <c r="F115" i="10"/>
  <c r="G115" i="10"/>
  <c r="H115" i="10"/>
  <c r="I115" i="10"/>
  <c r="J115" i="10"/>
  <c r="K115" i="10"/>
  <c r="L115" i="10"/>
  <c r="M115" i="10"/>
  <c r="N115" i="10"/>
  <c r="O115" i="10"/>
  <c r="D116" i="10"/>
  <c r="H10" i="20"/>
  <c r="E116" i="10"/>
  <c r="F116" i="10"/>
  <c r="G116" i="10"/>
  <c r="H116" i="10"/>
  <c r="I116" i="10"/>
  <c r="J116" i="10"/>
  <c r="K116" i="10"/>
  <c r="L116" i="10"/>
  <c r="M116" i="10"/>
  <c r="N116" i="10"/>
  <c r="O116" i="10"/>
  <c r="D120" i="10"/>
  <c r="E120" i="10"/>
  <c r="F120" i="10"/>
  <c r="G120" i="10"/>
  <c r="H120" i="10"/>
  <c r="I120" i="10"/>
  <c r="J120" i="10"/>
  <c r="K120" i="10"/>
  <c r="L120" i="10"/>
  <c r="M120" i="10"/>
  <c r="N120" i="10"/>
  <c r="O120" i="10"/>
  <c r="D121" i="10"/>
  <c r="E121" i="10"/>
  <c r="F121" i="10"/>
  <c r="G121" i="10"/>
  <c r="H121" i="10"/>
  <c r="I121" i="10"/>
  <c r="J121" i="10"/>
  <c r="K121" i="10"/>
  <c r="L121" i="10"/>
  <c r="M121" i="10"/>
  <c r="N121" i="10"/>
  <c r="O121" i="10"/>
  <c r="D122" i="10"/>
  <c r="E122" i="10"/>
  <c r="F122" i="10"/>
  <c r="G122" i="10"/>
  <c r="H122" i="10"/>
  <c r="I122" i="10"/>
  <c r="J122" i="10"/>
  <c r="K122" i="10"/>
  <c r="L122" i="10"/>
  <c r="M122" i="10"/>
  <c r="N122" i="10"/>
  <c r="O122" i="10"/>
  <c r="D123" i="10"/>
  <c r="E123" i="10"/>
  <c r="F123" i="10"/>
  <c r="G123" i="10"/>
  <c r="H123" i="10"/>
  <c r="I123" i="10"/>
  <c r="J123" i="10"/>
  <c r="K123" i="10"/>
  <c r="L123" i="10"/>
  <c r="M123" i="10"/>
  <c r="N123" i="10"/>
  <c r="O123" i="10"/>
  <c r="D124" i="10"/>
  <c r="E124" i="10"/>
  <c r="F124" i="10"/>
  <c r="G124" i="10"/>
  <c r="H124" i="10"/>
  <c r="I124" i="10"/>
  <c r="J124" i="10"/>
  <c r="K124" i="10"/>
  <c r="L124" i="10"/>
  <c r="M124" i="10"/>
  <c r="N124" i="10"/>
  <c r="O124" i="10"/>
  <c r="D125" i="10"/>
  <c r="E125" i="10"/>
  <c r="F125" i="10"/>
  <c r="G125" i="10"/>
  <c r="H125" i="10"/>
  <c r="I125" i="10"/>
  <c r="J125" i="10"/>
  <c r="K125" i="10"/>
  <c r="L125" i="10"/>
  <c r="M125" i="10"/>
  <c r="N125" i="10"/>
  <c r="O125" i="10"/>
  <c r="D126" i="10"/>
  <c r="E126" i="10"/>
  <c r="F126" i="10"/>
  <c r="G126" i="10"/>
  <c r="H126" i="10"/>
  <c r="I126" i="10"/>
  <c r="J126" i="10"/>
  <c r="K126" i="10"/>
  <c r="L126" i="10"/>
  <c r="M126" i="10"/>
  <c r="N126" i="10"/>
  <c r="O126" i="10"/>
  <c r="D127" i="10"/>
  <c r="S10" i="20"/>
  <c r="E127" i="10"/>
  <c r="F127" i="10"/>
  <c r="G127" i="10"/>
  <c r="H127" i="10"/>
  <c r="I127" i="10"/>
  <c r="J127" i="10"/>
  <c r="K127" i="10"/>
  <c r="L127" i="10"/>
  <c r="M127" i="10"/>
  <c r="N127" i="10"/>
  <c r="O127" i="10"/>
  <c r="D131" i="10"/>
  <c r="E131" i="10"/>
  <c r="F131" i="10"/>
  <c r="G131" i="10"/>
  <c r="H131" i="10"/>
  <c r="I131" i="10"/>
  <c r="J131" i="10"/>
  <c r="K131" i="10"/>
  <c r="L131" i="10"/>
  <c r="M131" i="10"/>
  <c r="N131" i="10"/>
  <c r="O131" i="10"/>
  <c r="D132" i="10"/>
  <c r="E132" i="10"/>
  <c r="F132" i="10"/>
  <c r="G132" i="10"/>
  <c r="H132" i="10"/>
  <c r="I132" i="10"/>
  <c r="J132" i="10"/>
  <c r="K132" i="10"/>
  <c r="L132" i="10"/>
  <c r="M132" i="10"/>
  <c r="N132" i="10"/>
  <c r="O132" i="10"/>
  <c r="D133" i="10"/>
  <c r="E133" i="10"/>
  <c r="F133" i="10"/>
  <c r="G133" i="10"/>
  <c r="H133" i="10"/>
  <c r="I133" i="10"/>
  <c r="J133" i="10"/>
  <c r="K133" i="10"/>
  <c r="L133" i="10"/>
  <c r="M133" i="10"/>
  <c r="N133" i="10"/>
  <c r="O133" i="10"/>
  <c r="D134" i="10"/>
  <c r="E134" i="10"/>
  <c r="F134" i="10"/>
  <c r="G134" i="10"/>
  <c r="H134" i="10"/>
  <c r="I134" i="10"/>
  <c r="J134" i="10"/>
  <c r="K134" i="10"/>
  <c r="L134" i="10"/>
  <c r="M134" i="10"/>
  <c r="N134" i="10"/>
  <c r="O134" i="10"/>
  <c r="D135" i="10"/>
  <c r="E135" i="10"/>
  <c r="F135" i="10"/>
  <c r="G135" i="10"/>
  <c r="H135" i="10"/>
  <c r="I135" i="10"/>
  <c r="J135" i="10"/>
  <c r="K135" i="10"/>
  <c r="L135" i="10"/>
  <c r="M135" i="10"/>
  <c r="N135" i="10"/>
  <c r="O135" i="10"/>
  <c r="D136" i="10"/>
  <c r="E136" i="10"/>
  <c r="F136" i="10"/>
  <c r="G136" i="10"/>
  <c r="H136" i="10"/>
  <c r="I136" i="10"/>
  <c r="J136" i="10"/>
  <c r="K136" i="10"/>
  <c r="L136" i="10"/>
  <c r="M136" i="10"/>
  <c r="N136" i="10"/>
  <c r="O136" i="10"/>
  <c r="D137" i="10"/>
  <c r="E137" i="10"/>
  <c r="F137" i="10"/>
  <c r="G137" i="10"/>
  <c r="H137" i="10"/>
  <c r="I137" i="10"/>
  <c r="J137" i="10"/>
  <c r="K137" i="10"/>
  <c r="L137" i="10"/>
  <c r="M137" i="10"/>
  <c r="N137" i="10"/>
  <c r="O137" i="10"/>
  <c r="D138" i="10"/>
  <c r="E138" i="10"/>
  <c r="F138" i="10"/>
  <c r="G138" i="10"/>
  <c r="H138" i="10"/>
  <c r="I138" i="10"/>
  <c r="J138" i="10"/>
  <c r="K138" i="10"/>
  <c r="L138" i="10"/>
  <c r="M138" i="10"/>
  <c r="N138" i="10"/>
  <c r="O138" i="10"/>
  <c r="D109" i="11"/>
  <c r="E109" i="11"/>
  <c r="F109" i="11"/>
  <c r="G109" i="11"/>
  <c r="H109" i="11"/>
  <c r="I109" i="11"/>
  <c r="J109" i="11"/>
  <c r="K109" i="11"/>
  <c r="L109" i="11"/>
  <c r="M109" i="11"/>
  <c r="N109" i="11"/>
  <c r="O109" i="11"/>
  <c r="D110" i="11"/>
  <c r="E110" i="11"/>
  <c r="F110" i="11"/>
  <c r="G110" i="11"/>
  <c r="H110" i="11"/>
  <c r="I110" i="11"/>
  <c r="J110" i="11"/>
  <c r="K110" i="11"/>
  <c r="L110" i="11"/>
  <c r="M110" i="11"/>
  <c r="N110" i="11"/>
  <c r="O110" i="11"/>
  <c r="D111" i="11"/>
  <c r="E111" i="11"/>
  <c r="F111" i="11"/>
  <c r="G111" i="11"/>
  <c r="H111" i="11"/>
  <c r="I111" i="11"/>
  <c r="J111" i="11"/>
  <c r="K111" i="11"/>
  <c r="L111" i="11"/>
  <c r="M111" i="11"/>
  <c r="N111" i="11"/>
  <c r="O111" i="11"/>
  <c r="D112" i="11"/>
  <c r="E112" i="11"/>
  <c r="F112" i="11"/>
  <c r="G112" i="11"/>
  <c r="H112" i="11"/>
  <c r="I112" i="11"/>
  <c r="J112" i="11"/>
  <c r="K112" i="11"/>
  <c r="L112" i="11"/>
  <c r="M112" i="11"/>
  <c r="N112" i="11"/>
  <c r="O112" i="11"/>
  <c r="D113" i="11"/>
  <c r="E113" i="11"/>
  <c r="F113" i="11"/>
  <c r="G113" i="11"/>
  <c r="H113" i="11"/>
  <c r="I113" i="11"/>
  <c r="J113" i="11"/>
  <c r="K113" i="11"/>
  <c r="L113" i="11"/>
  <c r="M113" i="11"/>
  <c r="N113" i="11"/>
  <c r="O113" i="11"/>
  <c r="D114" i="11"/>
  <c r="E114" i="11"/>
  <c r="F114" i="11"/>
  <c r="G114" i="11"/>
  <c r="H114" i="11"/>
  <c r="I114" i="11"/>
  <c r="J114" i="11"/>
  <c r="K114" i="11"/>
  <c r="L114" i="11"/>
  <c r="M114" i="11"/>
  <c r="N114" i="11"/>
  <c r="O114" i="11"/>
  <c r="D115" i="11"/>
  <c r="E115" i="11"/>
  <c r="F115" i="11"/>
  <c r="G115" i="11"/>
  <c r="H115" i="11"/>
  <c r="I115" i="11"/>
  <c r="J115" i="11"/>
  <c r="K115" i="11"/>
  <c r="L115" i="11"/>
  <c r="M115" i="11"/>
  <c r="N115" i="11"/>
  <c r="O115" i="11"/>
  <c r="D116" i="11"/>
  <c r="E116" i="11"/>
  <c r="F116" i="11"/>
  <c r="G116" i="11"/>
  <c r="H116" i="11"/>
  <c r="I116" i="11"/>
  <c r="J116" i="11"/>
  <c r="K116" i="11"/>
  <c r="L116" i="11"/>
  <c r="M116" i="11"/>
  <c r="N116" i="11"/>
  <c r="O116" i="11"/>
  <c r="D120" i="11"/>
  <c r="E120" i="11"/>
  <c r="F120" i="11"/>
  <c r="G120" i="11"/>
  <c r="H120" i="11"/>
  <c r="I120" i="11"/>
  <c r="J120" i="11"/>
  <c r="K120" i="11"/>
  <c r="L120" i="11"/>
  <c r="M120" i="11"/>
  <c r="N120" i="11"/>
  <c r="O120" i="11"/>
  <c r="D121" i="11"/>
  <c r="E121" i="11"/>
  <c r="F121" i="11"/>
  <c r="G121" i="11"/>
  <c r="H121" i="11"/>
  <c r="I121" i="11"/>
  <c r="J121" i="11"/>
  <c r="K121" i="11"/>
  <c r="L121" i="11"/>
  <c r="M121" i="11"/>
  <c r="N121" i="11"/>
  <c r="O121" i="11"/>
  <c r="D122" i="11"/>
  <c r="E122" i="11"/>
  <c r="F122" i="11"/>
  <c r="G122" i="11"/>
  <c r="H122" i="11"/>
  <c r="I122" i="11"/>
  <c r="J122" i="11"/>
  <c r="K122" i="11"/>
  <c r="L122" i="11"/>
  <c r="M122" i="11"/>
  <c r="N122" i="11"/>
  <c r="O122" i="11"/>
  <c r="D123" i="11"/>
  <c r="E123" i="11"/>
  <c r="F123" i="11"/>
  <c r="G123" i="11"/>
  <c r="H123" i="11"/>
  <c r="I123" i="11"/>
  <c r="J123" i="11"/>
  <c r="K123" i="11"/>
  <c r="L123" i="11"/>
  <c r="M123" i="11"/>
  <c r="N123" i="11"/>
  <c r="O123" i="11"/>
  <c r="D124" i="11"/>
  <c r="E124" i="11"/>
  <c r="F124" i="11"/>
  <c r="G124" i="11"/>
  <c r="H124" i="11"/>
  <c r="I124" i="11"/>
  <c r="J124" i="11"/>
  <c r="K124" i="11"/>
  <c r="L124" i="11"/>
  <c r="M124" i="11"/>
  <c r="N124" i="11"/>
  <c r="O124" i="11"/>
  <c r="D125" i="11"/>
  <c r="E125" i="11"/>
  <c r="F125" i="11"/>
  <c r="G125" i="11"/>
  <c r="H125" i="11"/>
  <c r="I125" i="11"/>
  <c r="J125" i="11"/>
  <c r="K125" i="11"/>
  <c r="L125" i="11"/>
  <c r="M125" i="11"/>
  <c r="N125" i="11"/>
  <c r="O125" i="11"/>
  <c r="D126" i="11"/>
  <c r="E126" i="11"/>
  <c r="F126" i="11"/>
  <c r="G126" i="11"/>
  <c r="H126" i="11"/>
  <c r="I126" i="11"/>
  <c r="J126" i="11"/>
  <c r="K126" i="11"/>
  <c r="L126" i="11"/>
  <c r="M126" i="11"/>
  <c r="N126" i="11"/>
  <c r="O126" i="11"/>
  <c r="D127" i="11"/>
  <c r="E127" i="11"/>
  <c r="F127" i="11"/>
  <c r="G127" i="11"/>
  <c r="H127" i="11"/>
  <c r="I127" i="11"/>
  <c r="J127" i="11"/>
  <c r="K127" i="11"/>
  <c r="L127" i="11"/>
  <c r="M127" i="11"/>
  <c r="N127" i="11"/>
  <c r="O127" i="11"/>
  <c r="D131" i="11"/>
  <c r="E131" i="11"/>
  <c r="F131" i="11"/>
  <c r="G131" i="11"/>
  <c r="H131" i="11"/>
  <c r="I131" i="11"/>
  <c r="J131" i="11"/>
  <c r="K131" i="11"/>
  <c r="L131" i="11"/>
  <c r="M131" i="11"/>
  <c r="N131" i="11"/>
  <c r="O131" i="11"/>
  <c r="D132" i="11"/>
  <c r="E132" i="11"/>
  <c r="F132" i="11"/>
  <c r="G132" i="11"/>
  <c r="H132" i="11"/>
  <c r="I132" i="11"/>
  <c r="J132" i="11"/>
  <c r="K132" i="11"/>
  <c r="L132" i="11"/>
  <c r="M132" i="11"/>
  <c r="N132" i="11"/>
  <c r="O132" i="11"/>
  <c r="D133" i="11"/>
  <c r="E133" i="11"/>
  <c r="F133" i="11"/>
  <c r="G133" i="11"/>
  <c r="H133" i="11"/>
  <c r="I133" i="11"/>
  <c r="J133" i="11"/>
  <c r="K133" i="11"/>
  <c r="L133" i="11"/>
  <c r="M133" i="11"/>
  <c r="N133" i="11"/>
  <c r="O133" i="11"/>
  <c r="D134" i="11"/>
  <c r="E134" i="11"/>
  <c r="F134" i="11"/>
  <c r="G134" i="11"/>
  <c r="H134" i="11"/>
  <c r="I134" i="11"/>
  <c r="J134" i="11"/>
  <c r="K134" i="11"/>
  <c r="L134" i="11"/>
  <c r="M134" i="11"/>
  <c r="N134" i="11"/>
  <c r="O134" i="11"/>
  <c r="D135" i="11"/>
  <c r="E135" i="11"/>
  <c r="F135" i="11"/>
  <c r="G135" i="11"/>
  <c r="H135" i="11"/>
  <c r="I135" i="11"/>
  <c r="J135" i="11"/>
  <c r="K135" i="11"/>
  <c r="L135" i="11"/>
  <c r="M135" i="11"/>
  <c r="N135" i="11"/>
  <c r="O135" i="11"/>
  <c r="D136" i="11"/>
  <c r="E136" i="11"/>
  <c r="F136" i="11"/>
  <c r="G136" i="11"/>
  <c r="H136" i="11"/>
  <c r="I136" i="11"/>
  <c r="J136" i="11"/>
  <c r="K136" i="11"/>
  <c r="L136" i="11"/>
  <c r="M136" i="11"/>
  <c r="N136" i="11"/>
  <c r="O136" i="11"/>
  <c r="D137" i="11"/>
  <c r="E137" i="11"/>
  <c r="F137" i="11"/>
  <c r="G137" i="11"/>
  <c r="H137" i="11"/>
  <c r="I137" i="11"/>
  <c r="J137" i="11"/>
  <c r="K137" i="11"/>
  <c r="L137" i="11"/>
  <c r="M137" i="11"/>
  <c r="N137" i="11"/>
  <c r="O137" i="11"/>
  <c r="D138" i="11"/>
  <c r="E138" i="11"/>
  <c r="F138" i="11"/>
  <c r="G138" i="11"/>
  <c r="H138" i="11"/>
  <c r="I138" i="11"/>
  <c r="J138" i="11"/>
  <c r="K138" i="11"/>
  <c r="L138" i="11"/>
  <c r="M138" i="11"/>
  <c r="N138" i="11"/>
  <c r="O138" i="11"/>
  <c r="D109" i="12"/>
  <c r="E109" i="12"/>
  <c r="F109" i="12"/>
  <c r="G109" i="12"/>
  <c r="H109" i="12"/>
  <c r="I109" i="12"/>
  <c r="J109" i="12"/>
  <c r="K109" i="12"/>
  <c r="L109" i="12"/>
  <c r="M109" i="12"/>
  <c r="N109" i="12"/>
  <c r="O109" i="12"/>
  <c r="D110" i="12"/>
  <c r="E110" i="12"/>
  <c r="F110" i="12"/>
  <c r="G110" i="12"/>
  <c r="H110" i="12"/>
  <c r="I110" i="12"/>
  <c r="J110" i="12"/>
  <c r="K110" i="12"/>
  <c r="L110" i="12"/>
  <c r="M110" i="12"/>
  <c r="N110" i="12"/>
  <c r="O110" i="12"/>
  <c r="D111" i="12"/>
  <c r="E111" i="12"/>
  <c r="F111" i="12"/>
  <c r="G111" i="12"/>
  <c r="H111" i="12"/>
  <c r="I111" i="12"/>
  <c r="J111" i="12"/>
  <c r="K111" i="12"/>
  <c r="L111" i="12"/>
  <c r="M111" i="12"/>
  <c r="N111" i="12"/>
  <c r="O111" i="12"/>
  <c r="D112" i="12"/>
  <c r="E112" i="12"/>
  <c r="F112" i="12"/>
  <c r="G112" i="12"/>
  <c r="H112" i="12"/>
  <c r="I112" i="12"/>
  <c r="J112" i="12"/>
  <c r="K112" i="12"/>
  <c r="L112" i="12"/>
  <c r="M112" i="12"/>
  <c r="N112" i="12"/>
  <c r="O112" i="12"/>
  <c r="D113" i="12"/>
  <c r="E113" i="12"/>
  <c r="F113" i="12"/>
  <c r="G113" i="12"/>
  <c r="H113" i="12"/>
  <c r="I113" i="12"/>
  <c r="J113" i="12"/>
  <c r="K113" i="12"/>
  <c r="L113" i="12"/>
  <c r="M113" i="12"/>
  <c r="N113" i="12"/>
  <c r="O113" i="12"/>
  <c r="D114" i="12"/>
  <c r="E114" i="12"/>
  <c r="F114" i="12"/>
  <c r="G114" i="12"/>
  <c r="H114" i="12"/>
  <c r="I114" i="12"/>
  <c r="J114" i="12"/>
  <c r="K114" i="12"/>
  <c r="L114" i="12"/>
  <c r="M114" i="12"/>
  <c r="N114" i="12"/>
  <c r="O114" i="12"/>
  <c r="D115" i="12"/>
  <c r="E115" i="12"/>
  <c r="F115" i="12"/>
  <c r="G115" i="12"/>
  <c r="H115" i="12"/>
  <c r="I115" i="12"/>
  <c r="J115" i="12"/>
  <c r="K115" i="12"/>
  <c r="L115" i="12"/>
  <c r="M115" i="12"/>
  <c r="N115" i="12"/>
  <c r="O115" i="12"/>
  <c r="D116" i="12"/>
  <c r="E116" i="12"/>
  <c r="F116" i="12"/>
  <c r="G116" i="12"/>
  <c r="H116" i="12"/>
  <c r="I116" i="12"/>
  <c r="J116" i="12"/>
  <c r="K116" i="12"/>
  <c r="L116" i="12"/>
  <c r="M116" i="12"/>
  <c r="N116" i="12"/>
  <c r="O116" i="12"/>
  <c r="D120" i="12"/>
  <c r="E120" i="12"/>
  <c r="F120" i="12"/>
  <c r="G120" i="12"/>
  <c r="H120" i="12"/>
  <c r="I120" i="12"/>
  <c r="J120" i="12"/>
  <c r="K120" i="12"/>
  <c r="L120" i="12"/>
  <c r="M120" i="12"/>
  <c r="N120" i="12"/>
  <c r="O120" i="12"/>
  <c r="D121" i="12"/>
  <c r="E121" i="12"/>
  <c r="F121" i="12"/>
  <c r="G121" i="12"/>
  <c r="H121" i="12"/>
  <c r="I121" i="12"/>
  <c r="J121" i="12"/>
  <c r="K121" i="12"/>
  <c r="L121" i="12"/>
  <c r="M121" i="12"/>
  <c r="N121" i="12"/>
  <c r="O121" i="12"/>
  <c r="D122" i="12"/>
  <c r="E122" i="12"/>
  <c r="F122" i="12"/>
  <c r="G122" i="12"/>
  <c r="H122" i="12"/>
  <c r="I122" i="12"/>
  <c r="J122" i="12"/>
  <c r="K122" i="12"/>
  <c r="L122" i="12"/>
  <c r="M122" i="12"/>
  <c r="N122" i="12"/>
  <c r="O122" i="12"/>
  <c r="D123" i="12"/>
  <c r="E123" i="12"/>
  <c r="F123" i="12"/>
  <c r="G123" i="12"/>
  <c r="H123" i="12"/>
  <c r="I123" i="12"/>
  <c r="J123" i="12"/>
  <c r="K123" i="12"/>
  <c r="L123" i="12"/>
  <c r="M123" i="12"/>
  <c r="N123" i="12"/>
  <c r="O123" i="12"/>
  <c r="D124" i="12"/>
  <c r="E124" i="12"/>
  <c r="F124" i="12"/>
  <c r="G124" i="12"/>
  <c r="H124" i="12"/>
  <c r="I124" i="12"/>
  <c r="J124" i="12"/>
  <c r="K124" i="12"/>
  <c r="L124" i="12"/>
  <c r="M124" i="12"/>
  <c r="N124" i="12"/>
  <c r="O124" i="12"/>
  <c r="D125" i="12"/>
  <c r="E125" i="12"/>
  <c r="F125" i="12"/>
  <c r="G125" i="12"/>
  <c r="H125" i="12"/>
  <c r="I125" i="12"/>
  <c r="J125" i="12"/>
  <c r="K125" i="12"/>
  <c r="L125" i="12"/>
  <c r="M125" i="12"/>
  <c r="N125" i="12"/>
  <c r="O125" i="12"/>
  <c r="D126" i="12"/>
  <c r="E126" i="12"/>
  <c r="F126" i="12"/>
  <c r="G126" i="12"/>
  <c r="H126" i="12"/>
  <c r="I126" i="12"/>
  <c r="J126" i="12"/>
  <c r="K126" i="12"/>
  <c r="L126" i="12"/>
  <c r="M126" i="12"/>
  <c r="N126" i="12"/>
  <c r="O126" i="12"/>
  <c r="D127" i="12"/>
  <c r="E127" i="12"/>
  <c r="F127" i="12"/>
  <c r="G127" i="12"/>
  <c r="H127" i="12"/>
  <c r="I127" i="12"/>
  <c r="J127" i="12"/>
  <c r="K127" i="12"/>
  <c r="L127" i="12"/>
  <c r="M127" i="12"/>
  <c r="N127" i="12"/>
  <c r="O127" i="12"/>
  <c r="D131" i="12"/>
  <c r="E131" i="12"/>
  <c r="F131" i="12"/>
  <c r="G131" i="12"/>
  <c r="H131" i="12"/>
  <c r="I131" i="12"/>
  <c r="J131" i="12"/>
  <c r="K131" i="12"/>
  <c r="L131" i="12"/>
  <c r="M131" i="12"/>
  <c r="N131" i="12"/>
  <c r="O131" i="12"/>
  <c r="D132" i="12"/>
  <c r="E132" i="12"/>
  <c r="F132" i="12"/>
  <c r="G132" i="12"/>
  <c r="H132" i="12"/>
  <c r="I132" i="12"/>
  <c r="J132" i="12"/>
  <c r="K132" i="12"/>
  <c r="L132" i="12"/>
  <c r="M132" i="12"/>
  <c r="N132" i="12"/>
  <c r="O132" i="12"/>
  <c r="D133" i="12"/>
  <c r="E133" i="12"/>
  <c r="F133" i="12"/>
  <c r="G133" i="12"/>
  <c r="H133" i="12"/>
  <c r="I133" i="12"/>
  <c r="J133" i="12"/>
  <c r="K133" i="12"/>
  <c r="L133" i="12"/>
  <c r="M133" i="12"/>
  <c r="N133" i="12"/>
  <c r="O133" i="12"/>
  <c r="D134" i="12"/>
  <c r="E134" i="12"/>
  <c r="F134" i="12"/>
  <c r="G134" i="12"/>
  <c r="H134" i="12"/>
  <c r="I134" i="12"/>
  <c r="J134" i="12"/>
  <c r="K134" i="12"/>
  <c r="L134" i="12"/>
  <c r="M134" i="12"/>
  <c r="N134" i="12"/>
  <c r="O134" i="12"/>
  <c r="D135" i="12"/>
  <c r="E135" i="12"/>
  <c r="F135" i="12"/>
  <c r="G135" i="12"/>
  <c r="H135" i="12"/>
  <c r="I135" i="12"/>
  <c r="J135" i="12"/>
  <c r="K135" i="12"/>
  <c r="L135" i="12"/>
  <c r="M135" i="12"/>
  <c r="N135" i="12"/>
  <c r="O135" i="12"/>
  <c r="D136" i="12"/>
  <c r="E136" i="12"/>
  <c r="F136" i="12"/>
  <c r="G136" i="12"/>
  <c r="H136" i="12"/>
  <c r="I136" i="12"/>
  <c r="J136" i="12"/>
  <c r="K136" i="12"/>
  <c r="L136" i="12"/>
  <c r="M136" i="12"/>
  <c r="N136" i="12"/>
  <c r="O136" i="12"/>
  <c r="D137" i="12"/>
  <c r="E137" i="12"/>
  <c r="F137" i="12"/>
  <c r="G137" i="12"/>
  <c r="H137" i="12"/>
  <c r="I137" i="12"/>
  <c r="J137" i="12"/>
  <c r="K137" i="12"/>
  <c r="L137" i="12"/>
  <c r="M137" i="12"/>
  <c r="N137" i="12"/>
  <c r="O137" i="12"/>
  <c r="D138" i="12"/>
  <c r="E138" i="12"/>
  <c r="F138" i="12"/>
  <c r="G138" i="12"/>
  <c r="H138" i="12"/>
  <c r="I138" i="12"/>
  <c r="J138" i="12"/>
  <c r="K138" i="12"/>
  <c r="L138" i="12"/>
  <c r="M138" i="12"/>
  <c r="N138" i="12"/>
  <c r="O138" i="12"/>
  <c r="D109" i="13"/>
  <c r="E109" i="13"/>
  <c r="F109" i="13"/>
  <c r="G109" i="13"/>
  <c r="H109" i="13"/>
  <c r="I109" i="13"/>
  <c r="J109" i="13"/>
  <c r="K109" i="13"/>
  <c r="L109" i="13"/>
  <c r="M109" i="13"/>
  <c r="N109" i="13"/>
  <c r="O109" i="13"/>
  <c r="D110" i="13"/>
  <c r="E110" i="13"/>
  <c r="F110" i="13"/>
  <c r="G110" i="13"/>
  <c r="H110" i="13"/>
  <c r="I110" i="13"/>
  <c r="J110" i="13"/>
  <c r="K110" i="13"/>
  <c r="L110" i="13"/>
  <c r="M110" i="13"/>
  <c r="N110" i="13"/>
  <c r="O110" i="13"/>
  <c r="D111" i="13"/>
  <c r="E111" i="13"/>
  <c r="F111" i="13"/>
  <c r="G111" i="13"/>
  <c r="H111" i="13"/>
  <c r="I111" i="13"/>
  <c r="J111" i="13"/>
  <c r="K111" i="13"/>
  <c r="L111" i="13"/>
  <c r="M111" i="13"/>
  <c r="N111" i="13"/>
  <c r="O111" i="13"/>
  <c r="D112" i="13"/>
  <c r="E112" i="13"/>
  <c r="F112" i="13"/>
  <c r="G112" i="13"/>
  <c r="H112" i="13"/>
  <c r="I112" i="13"/>
  <c r="J112" i="13"/>
  <c r="K112" i="13"/>
  <c r="L112" i="13"/>
  <c r="M112" i="13"/>
  <c r="N112" i="13"/>
  <c r="O112" i="13"/>
  <c r="D113" i="13"/>
  <c r="E113" i="13"/>
  <c r="F113" i="13"/>
  <c r="G113" i="13"/>
  <c r="H113" i="13"/>
  <c r="I113" i="13"/>
  <c r="J113" i="13"/>
  <c r="K113" i="13"/>
  <c r="L113" i="13"/>
  <c r="M113" i="13"/>
  <c r="N113" i="13"/>
  <c r="O113" i="13"/>
  <c r="D114" i="13"/>
  <c r="E114" i="13"/>
  <c r="F114" i="13"/>
  <c r="G114" i="13"/>
  <c r="H114" i="13"/>
  <c r="I114" i="13"/>
  <c r="J114" i="13"/>
  <c r="K114" i="13"/>
  <c r="L114" i="13"/>
  <c r="M114" i="13"/>
  <c r="N114" i="13"/>
  <c r="O114" i="13"/>
  <c r="D115" i="13"/>
  <c r="E115" i="13"/>
  <c r="F115" i="13"/>
  <c r="G115" i="13"/>
  <c r="H115" i="13"/>
  <c r="I115" i="13"/>
  <c r="J115" i="13"/>
  <c r="K115" i="13"/>
  <c r="L115" i="13"/>
  <c r="M115" i="13"/>
  <c r="N115" i="13"/>
  <c r="O115" i="13"/>
  <c r="D116" i="13"/>
  <c r="E116" i="13"/>
  <c r="F116" i="13"/>
  <c r="G116" i="13"/>
  <c r="H116" i="13"/>
  <c r="I116" i="13"/>
  <c r="J116" i="13"/>
  <c r="K116" i="13"/>
  <c r="L116" i="13"/>
  <c r="M116" i="13"/>
  <c r="N116" i="13"/>
  <c r="O116" i="13"/>
  <c r="D120" i="13"/>
  <c r="E120" i="13"/>
  <c r="F120" i="13"/>
  <c r="G120" i="13"/>
  <c r="H120" i="13"/>
  <c r="I120" i="13"/>
  <c r="J120" i="13"/>
  <c r="K120" i="13"/>
  <c r="L120" i="13"/>
  <c r="M120" i="13"/>
  <c r="N120" i="13"/>
  <c r="O120" i="13"/>
  <c r="D121" i="13"/>
  <c r="E121" i="13"/>
  <c r="F121" i="13"/>
  <c r="G121" i="13"/>
  <c r="H121" i="13"/>
  <c r="I121" i="13"/>
  <c r="J121" i="13"/>
  <c r="K121" i="13"/>
  <c r="L121" i="13"/>
  <c r="M121" i="13"/>
  <c r="N121" i="13"/>
  <c r="O121" i="13"/>
  <c r="D122" i="13"/>
  <c r="E122" i="13"/>
  <c r="F122" i="13"/>
  <c r="G122" i="13"/>
  <c r="H122" i="13"/>
  <c r="I122" i="13"/>
  <c r="J122" i="13"/>
  <c r="K122" i="13"/>
  <c r="L122" i="13"/>
  <c r="M122" i="13"/>
  <c r="N122" i="13"/>
  <c r="O122" i="13"/>
  <c r="D123" i="13"/>
  <c r="E123" i="13"/>
  <c r="F123" i="13"/>
  <c r="G123" i="13"/>
  <c r="H123" i="13"/>
  <c r="I123" i="13"/>
  <c r="J123" i="13"/>
  <c r="K123" i="13"/>
  <c r="L123" i="13"/>
  <c r="M123" i="13"/>
  <c r="N123" i="13"/>
  <c r="O123" i="13"/>
  <c r="D124" i="13"/>
  <c r="E124" i="13"/>
  <c r="F124" i="13"/>
  <c r="G124" i="13"/>
  <c r="H124" i="13"/>
  <c r="I124" i="13"/>
  <c r="J124" i="13"/>
  <c r="K124" i="13"/>
  <c r="L124" i="13"/>
  <c r="M124" i="13"/>
  <c r="N124" i="13"/>
  <c r="O124" i="13"/>
  <c r="D125" i="13"/>
  <c r="E125" i="13"/>
  <c r="F125" i="13"/>
  <c r="G125" i="13"/>
  <c r="H125" i="13"/>
  <c r="I125" i="13"/>
  <c r="J125" i="13"/>
  <c r="K125" i="13"/>
  <c r="L125" i="13"/>
  <c r="M125" i="13"/>
  <c r="N125" i="13"/>
  <c r="O125" i="13"/>
  <c r="D126" i="13"/>
  <c r="E126" i="13"/>
  <c r="F126" i="13"/>
  <c r="G126" i="13"/>
  <c r="H126" i="13"/>
  <c r="I126" i="13"/>
  <c r="J126" i="13"/>
  <c r="K126" i="13"/>
  <c r="L126" i="13"/>
  <c r="M126" i="13"/>
  <c r="N126" i="13"/>
  <c r="O126" i="13"/>
  <c r="D127" i="13"/>
  <c r="E127" i="13"/>
  <c r="F127" i="13"/>
  <c r="G127" i="13"/>
  <c r="H127" i="13"/>
  <c r="I127" i="13"/>
  <c r="J127" i="13"/>
  <c r="K127" i="13"/>
  <c r="L127" i="13"/>
  <c r="M127" i="13"/>
  <c r="N127" i="13"/>
  <c r="O127" i="13"/>
  <c r="D131" i="13"/>
  <c r="E131" i="13"/>
  <c r="F131" i="13"/>
  <c r="G131" i="13"/>
  <c r="H131" i="13"/>
  <c r="I131" i="13"/>
  <c r="J131" i="13"/>
  <c r="K131" i="13"/>
  <c r="L131" i="13"/>
  <c r="M131" i="13"/>
  <c r="N131" i="13"/>
  <c r="O131" i="13"/>
  <c r="D132" i="13"/>
  <c r="E132" i="13"/>
  <c r="F132" i="13"/>
  <c r="G132" i="13"/>
  <c r="H132" i="13"/>
  <c r="I132" i="13"/>
  <c r="J132" i="13"/>
  <c r="K132" i="13"/>
  <c r="L132" i="13"/>
  <c r="M132" i="13"/>
  <c r="N132" i="13"/>
  <c r="O132" i="13"/>
  <c r="D133" i="13"/>
  <c r="E133" i="13"/>
  <c r="F133" i="13"/>
  <c r="G133" i="13"/>
  <c r="H133" i="13"/>
  <c r="I133" i="13"/>
  <c r="J133" i="13"/>
  <c r="K133" i="13"/>
  <c r="L133" i="13"/>
  <c r="M133" i="13"/>
  <c r="N133" i="13"/>
  <c r="O133" i="13"/>
  <c r="D134" i="13"/>
  <c r="E134" i="13"/>
  <c r="F134" i="13"/>
  <c r="G134" i="13"/>
  <c r="H134" i="13"/>
  <c r="I134" i="13"/>
  <c r="J134" i="13"/>
  <c r="K134" i="13"/>
  <c r="L134" i="13"/>
  <c r="M134" i="13"/>
  <c r="N134" i="13"/>
  <c r="O134" i="13"/>
  <c r="D135" i="13"/>
  <c r="E135" i="13"/>
  <c r="F135" i="13"/>
  <c r="G135" i="13"/>
  <c r="H135" i="13"/>
  <c r="I135" i="13"/>
  <c r="J135" i="13"/>
  <c r="K135" i="13"/>
  <c r="L135" i="13"/>
  <c r="M135" i="13"/>
  <c r="N135" i="13"/>
  <c r="O135" i="13"/>
  <c r="D136" i="13"/>
  <c r="E136" i="13"/>
  <c r="F136" i="13"/>
  <c r="G136" i="13"/>
  <c r="H136" i="13"/>
  <c r="I136" i="13"/>
  <c r="J136" i="13"/>
  <c r="K136" i="13"/>
  <c r="L136" i="13"/>
  <c r="M136" i="13"/>
  <c r="N136" i="13"/>
  <c r="O136" i="13"/>
  <c r="D137" i="13"/>
  <c r="E137" i="13"/>
  <c r="F137" i="13"/>
  <c r="G137" i="13"/>
  <c r="H137" i="13"/>
  <c r="I137" i="13"/>
  <c r="J137" i="13"/>
  <c r="K137" i="13"/>
  <c r="L137" i="13"/>
  <c r="M137" i="13"/>
  <c r="N137" i="13"/>
  <c r="O137" i="13"/>
  <c r="D138" i="13"/>
  <c r="E138" i="13"/>
  <c r="F138" i="13"/>
  <c r="G138" i="13"/>
  <c r="H138" i="13"/>
  <c r="I138" i="13"/>
  <c r="J138" i="13"/>
  <c r="K138" i="13"/>
  <c r="L138" i="13"/>
  <c r="M138" i="13"/>
  <c r="N138" i="13"/>
  <c r="O138" i="13"/>
  <c r="AZ14" i="14"/>
  <c r="AY259" i="14"/>
  <c r="AY181" i="14"/>
  <c r="AY179" i="14"/>
  <c r="AY177" i="14"/>
  <c r="AY175" i="14"/>
  <c r="AY260" i="14"/>
  <c r="AY14" i="14"/>
  <c r="AX259" i="14"/>
  <c r="AX181" i="14"/>
  <c r="AX179" i="14"/>
  <c r="AX260" i="14"/>
  <c r="AX177" i="14"/>
  <c r="AX175" i="14"/>
  <c r="AW259" i="14"/>
  <c r="AX14" i="14"/>
  <c r="AW181" i="14"/>
  <c r="AW179" i="14"/>
  <c r="AW177" i="14"/>
  <c r="AW260" i="14"/>
  <c r="AW175" i="14"/>
  <c r="AW14" i="14"/>
  <c r="AV259" i="14"/>
  <c r="AV181" i="14"/>
  <c r="AV179" i="14"/>
  <c r="AV177" i="14"/>
  <c r="AV175" i="14"/>
  <c r="AV260" i="14"/>
  <c r="AV14" i="14"/>
  <c r="AU259" i="14"/>
  <c r="AU181" i="14"/>
  <c r="AU179" i="14"/>
  <c r="AU177" i="14"/>
  <c r="AU175" i="14"/>
  <c r="AU260" i="14"/>
  <c r="AU14" i="14"/>
  <c r="AT259" i="14"/>
  <c r="AT181" i="14"/>
  <c r="AT179" i="14"/>
  <c r="AT260" i="14"/>
  <c r="AT177" i="14"/>
  <c r="AT175" i="14"/>
  <c r="AS259" i="14"/>
  <c r="AT14" i="14"/>
  <c r="AS181" i="14"/>
  <c r="AS179" i="14"/>
  <c r="AS177" i="14"/>
  <c r="AS175" i="14"/>
  <c r="AS260" i="14"/>
  <c r="AS14" i="14"/>
  <c r="AR259" i="14"/>
  <c r="AR181" i="14"/>
  <c r="AR179" i="14"/>
  <c r="AR177" i="14"/>
  <c r="AR175" i="14"/>
  <c r="AR260" i="14"/>
  <c r="AR14" i="14"/>
  <c r="AQ259" i="14"/>
  <c r="AQ181" i="14"/>
  <c r="AQ179" i="14"/>
  <c r="AQ177" i="14"/>
  <c r="AQ175" i="14"/>
  <c r="AQ260" i="14"/>
  <c r="AQ14" i="14"/>
  <c r="AP259" i="14"/>
  <c r="AP181" i="14"/>
  <c r="AP179" i="14"/>
  <c r="AP260" i="14"/>
  <c r="AP177" i="14"/>
  <c r="AP175" i="14"/>
  <c r="AO259" i="14"/>
  <c r="AP14" i="14"/>
  <c r="AO181" i="14"/>
  <c r="AO179" i="14"/>
  <c r="AO177" i="14"/>
  <c r="AO175" i="14"/>
  <c r="AO14" i="14"/>
  <c r="AN259" i="14"/>
  <c r="AN181" i="14"/>
  <c r="AN179" i="14"/>
  <c r="AN177" i="14"/>
  <c r="AN175" i="14"/>
  <c r="AN260" i="14"/>
  <c r="AN14" i="14"/>
  <c r="AM259" i="14"/>
  <c r="AM181" i="14"/>
  <c r="AM179" i="14"/>
  <c r="AM177" i="14"/>
  <c r="AM175" i="14"/>
  <c r="AL260" i="14"/>
  <c r="AM14" i="14"/>
  <c r="AL259" i="14"/>
  <c r="AL181" i="14"/>
  <c r="AL179" i="14"/>
  <c r="AL177" i="14"/>
  <c r="AL175" i="14"/>
  <c r="AK259" i="14"/>
  <c r="AL14" i="14"/>
  <c r="AK181" i="14"/>
  <c r="AK179" i="14"/>
  <c r="AK177" i="14"/>
  <c r="AK175" i="14"/>
  <c r="AK260" i="14"/>
  <c r="AK14" i="14"/>
  <c r="AJ259" i="14"/>
  <c r="AJ181" i="14"/>
  <c r="AJ179" i="14"/>
  <c r="AJ177" i="14"/>
  <c r="AJ175" i="14"/>
  <c r="AJ260" i="14"/>
  <c r="AJ14" i="14"/>
  <c r="AI259" i="14"/>
  <c r="AI181" i="14"/>
  <c r="AI179" i="14"/>
  <c r="AI177" i="14"/>
  <c r="AI175" i="14"/>
  <c r="AI260" i="14"/>
  <c r="AI14" i="14"/>
  <c r="AH259" i="14"/>
  <c r="AH181" i="14"/>
  <c r="AH179" i="14"/>
  <c r="AH260" i="14"/>
  <c r="AH177" i="14"/>
  <c r="AH175" i="14"/>
  <c r="AG259" i="14"/>
  <c r="AH14" i="14"/>
  <c r="AG181" i="14"/>
  <c r="AG179" i="14"/>
  <c r="AG177" i="14"/>
  <c r="AG175" i="14"/>
  <c r="AG260" i="14"/>
  <c r="AG14" i="14"/>
  <c r="AF259" i="14"/>
  <c r="AF181" i="14"/>
  <c r="AF179" i="14"/>
  <c r="AF177" i="14"/>
  <c r="AF175" i="14"/>
  <c r="AF260" i="14"/>
  <c r="AF14" i="14"/>
  <c r="AE259" i="14"/>
  <c r="AE181" i="14"/>
  <c r="AE179" i="14"/>
  <c r="AE177" i="14"/>
  <c r="AE175" i="14"/>
  <c r="AE260" i="14"/>
  <c r="AE14" i="14"/>
  <c r="AD259" i="14"/>
  <c r="AD181" i="14"/>
  <c r="AD179" i="14"/>
  <c r="AD260" i="14"/>
  <c r="AD177" i="14"/>
  <c r="AD175" i="14"/>
  <c r="AC259" i="14"/>
  <c r="AD14" i="14"/>
  <c r="AC181" i="14"/>
  <c r="AC179" i="14"/>
  <c r="AC177" i="14"/>
  <c r="AC175" i="14"/>
  <c r="AC260" i="14"/>
  <c r="AC14" i="14"/>
  <c r="AB259" i="14"/>
  <c r="AB181" i="14"/>
  <c r="AB179" i="14"/>
  <c r="AB177" i="14"/>
  <c r="AB175" i="14"/>
  <c r="AB260" i="14"/>
  <c r="AB14" i="14"/>
  <c r="AA259" i="14"/>
  <c r="AA181" i="14"/>
  <c r="AA179" i="14"/>
  <c r="AA177" i="14"/>
  <c r="AA175" i="14"/>
  <c r="AA260" i="14"/>
  <c r="AA14" i="14"/>
  <c r="Z259" i="14"/>
  <c r="Z181" i="14"/>
  <c r="Z179" i="14"/>
  <c r="Z260" i="14"/>
  <c r="Z177" i="14"/>
  <c r="Z175" i="14"/>
  <c r="Y259" i="14"/>
  <c r="Z14" i="14"/>
  <c r="Y181" i="14"/>
  <c r="Y179" i="14"/>
  <c r="Y177" i="14"/>
  <c r="Y175" i="14"/>
  <c r="Y14" i="14"/>
  <c r="X259" i="14"/>
  <c r="X181" i="14"/>
  <c r="X179" i="14"/>
  <c r="X177" i="14"/>
  <c r="X175" i="14"/>
  <c r="X260" i="14"/>
  <c r="W259" i="14"/>
  <c r="X14" i="14"/>
  <c r="W181" i="14"/>
  <c r="W179" i="14"/>
  <c r="W177" i="14"/>
  <c r="W175" i="14"/>
  <c r="W260" i="14"/>
  <c r="W14" i="14"/>
  <c r="V259" i="14"/>
  <c r="V181" i="14"/>
  <c r="V179" i="14"/>
  <c r="V260" i="14"/>
  <c r="V177" i="14"/>
  <c r="V175" i="14"/>
  <c r="U259" i="14"/>
  <c r="V14" i="14"/>
  <c r="U181" i="14"/>
  <c r="U179" i="14"/>
  <c r="U177" i="14"/>
  <c r="U175" i="14"/>
  <c r="U260" i="14"/>
  <c r="U14" i="14"/>
  <c r="T259" i="14"/>
  <c r="T181" i="14"/>
  <c r="T179" i="14"/>
  <c r="T177" i="14"/>
  <c r="T175" i="14"/>
  <c r="T260" i="14"/>
  <c r="T14" i="14"/>
  <c r="S259" i="14"/>
  <c r="S181" i="14"/>
  <c r="S179" i="14"/>
  <c r="S177" i="14"/>
  <c r="S175" i="14"/>
  <c r="R260" i="14"/>
  <c r="S14" i="14"/>
  <c r="R259" i="14"/>
  <c r="R181" i="14"/>
  <c r="R179" i="14"/>
  <c r="R177" i="14"/>
  <c r="R175" i="14"/>
  <c r="Q259" i="14"/>
  <c r="R14" i="14"/>
  <c r="Q181" i="14"/>
  <c r="Q179" i="14"/>
  <c r="Q177" i="14"/>
  <c r="Q175" i="14"/>
  <c r="Q14" i="14"/>
  <c r="P259" i="14"/>
  <c r="P181" i="14"/>
  <c r="P179" i="14"/>
  <c r="P177" i="14"/>
  <c r="P175" i="14"/>
  <c r="P260" i="14"/>
  <c r="O259" i="14"/>
  <c r="P14" i="14"/>
  <c r="O181" i="14"/>
  <c r="O179" i="14"/>
  <c r="O177" i="14"/>
  <c r="O175" i="14"/>
  <c r="O260" i="14"/>
  <c r="O14" i="14"/>
  <c r="N259" i="14"/>
  <c r="N181" i="14"/>
  <c r="N179" i="14"/>
  <c r="N260" i="14"/>
  <c r="N177" i="14"/>
  <c r="N175" i="14"/>
  <c r="M259" i="14"/>
  <c r="N14" i="14"/>
  <c r="M181" i="14"/>
  <c r="M179" i="14"/>
  <c r="M177" i="14"/>
  <c r="M175" i="14"/>
  <c r="M260" i="14"/>
  <c r="M14" i="14"/>
  <c r="L259" i="14"/>
  <c r="L181" i="14"/>
  <c r="L179" i="14"/>
  <c r="L177" i="14"/>
  <c r="L175" i="14"/>
  <c r="L260" i="14"/>
  <c r="L14" i="14"/>
  <c r="K259" i="14"/>
  <c r="K181" i="14"/>
  <c r="K179" i="14"/>
  <c r="K177" i="14"/>
  <c r="K175" i="14"/>
  <c r="K260" i="14"/>
  <c r="K14" i="14"/>
  <c r="J259" i="14"/>
  <c r="J181" i="14"/>
  <c r="J179" i="14"/>
  <c r="J260" i="14"/>
  <c r="J177" i="14"/>
  <c r="J175" i="14"/>
  <c r="I259" i="14"/>
  <c r="J14" i="14"/>
  <c r="I181" i="14"/>
  <c r="I179" i="14"/>
  <c r="I177" i="14"/>
  <c r="I175" i="14"/>
  <c r="I260" i="14"/>
  <c r="I14" i="14"/>
  <c r="H259" i="14"/>
  <c r="H181" i="14"/>
  <c r="H179" i="14"/>
  <c r="H177" i="14"/>
  <c r="H175" i="14"/>
  <c r="H260" i="14"/>
  <c r="G259" i="14"/>
  <c r="H14" i="14"/>
  <c r="G181" i="14"/>
  <c r="G179" i="14"/>
  <c r="G177" i="14"/>
  <c r="G175" i="14"/>
  <c r="F260" i="14"/>
  <c r="G14" i="14"/>
  <c r="F259" i="14"/>
  <c r="F181" i="14"/>
  <c r="F179" i="14"/>
  <c r="F177" i="14"/>
  <c r="F175" i="14"/>
  <c r="E259" i="14"/>
  <c r="F14" i="14"/>
  <c r="E181" i="14"/>
  <c r="E179" i="14"/>
  <c r="E177" i="14"/>
  <c r="E175" i="14"/>
  <c r="E14" i="14"/>
  <c r="D181" i="14"/>
  <c r="D179" i="14"/>
  <c r="D177" i="14"/>
  <c r="D175" i="14"/>
  <c r="D260" i="14"/>
  <c r="AZ14" i="15"/>
  <c r="AY259" i="15"/>
  <c r="AY181" i="15"/>
  <c r="AY179" i="15"/>
  <c r="AY177" i="15"/>
  <c r="AY175" i="15"/>
  <c r="AX260" i="15"/>
  <c r="AY14" i="15"/>
  <c r="AX259" i="15"/>
  <c r="AX181" i="15"/>
  <c r="AX179" i="15"/>
  <c r="AX177" i="15"/>
  <c r="AX175" i="15"/>
  <c r="AW259" i="15"/>
  <c r="AX14" i="15"/>
  <c r="AW181" i="15"/>
  <c r="AW179" i="15"/>
  <c r="AW177" i="15"/>
  <c r="AW260" i="15"/>
  <c r="AW175" i="15"/>
  <c r="AW14" i="15"/>
  <c r="AV259" i="15"/>
  <c r="AV181" i="15"/>
  <c r="AV179" i="15"/>
  <c r="AV177" i="15"/>
  <c r="AV175" i="15"/>
  <c r="AV260" i="15"/>
  <c r="AV14" i="15"/>
  <c r="AU259" i="15"/>
  <c r="AU181" i="15"/>
  <c r="AU179" i="15"/>
  <c r="AU177" i="15"/>
  <c r="AU175" i="15"/>
  <c r="AT260" i="15"/>
  <c r="AU14" i="15"/>
  <c r="AT259" i="15"/>
  <c r="AT181" i="15"/>
  <c r="AT179" i="15"/>
  <c r="AT177" i="15"/>
  <c r="AT175" i="15"/>
  <c r="AS259" i="15"/>
  <c r="AT14" i="15"/>
  <c r="AS181" i="15"/>
  <c r="AS179" i="15"/>
  <c r="AS177" i="15"/>
  <c r="AS175" i="15"/>
  <c r="AS14" i="15"/>
  <c r="AR259" i="15"/>
  <c r="AR181" i="15"/>
  <c r="AR179" i="15"/>
  <c r="AR177" i="15"/>
  <c r="AR175" i="15"/>
  <c r="AR260" i="15"/>
  <c r="AR14" i="15"/>
  <c r="AQ259" i="15"/>
  <c r="AQ181" i="15"/>
  <c r="AQ179" i="15"/>
  <c r="AQ177" i="15"/>
  <c r="AQ175" i="15"/>
  <c r="AP260" i="15"/>
  <c r="AQ14" i="15"/>
  <c r="AP259" i="15"/>
  <c r="AP181" i="15"/>
  <c r="AP179" i="15"/>
  <c r="AP177" i="15"/>
  <c r="AP175" i="15"/>
  <c r="AO259" i="15"/>
  <c r="AP14" i="15"/>
  <c r="AO181" i="15"/>
  <c r="AO179" i="15"/>
  <c r="AO177" i="15"/>
  <c r="AO175" i="15"/>
  <c r="AO14" i="15"/>
  <c r="AN259" i="15"/>
  <c r="AN181" i="15"/>
  <c r="AN179" i="15"/>
  <c r="AN177" i="15"/>
  <c r="AN175" i="15"/>
  <c r="AN260" i="15"/>
  <c r="AN14" i="15"/>
  <c r="AM259" i="15"/>
  <c r="AM181" i="15"/>
  <c r="AM179" i="15"/>
  <c r="AM177" i="15"/>
  <c r="AM175" i="15"/>
  <c r="AL260" i="15"/>
  <c r="AM14" i="15"/>
  <c r="AL259" i="15"/>
  <c r="AL181" i="15"/>
  <c r="AL179" i="15"/>
  <c r="AL177" i="15"/>
  <c r="AL175" i="15"/>
  <c r="AK259" i="15"/>
  <c r="AL14" i="15"/>
  <c r="AK181" i="15"/>
  <c r="AK179" i="15"/>
  <c r="AK177" i="15"/>
  <c r="AK175" i="15"/>
  <c r="AK14" i="15"/>
  <c r="AJ259" i="15"/>
  <c r="AJ181" i="15"/>
  <c r="AJ179" i="15"/>
  <c r="AJ177" i="15"/>
  <c r="AJ175" i="15"/>
  <c r="AJ260" i="15"/>
  <c r="AJ14" i="15"/>
  <c r="AI259" i="15"/>
  <c r="AI181" i="15"/>
  <c r="AI179" i="15"/>
  <c r="AI177" i="15"/>
  <c r="AI175" i="15"/>
  <c r="AH260" i="15"/>
  <c r="AI14" i="15"/>
  <c r="AH259" i="15"/>
  <c r="AH181" i="15"/>
  <c r="AH179" i="15"/>
  <c r="AH177" i="15"/>
  <c r="AH175" i="15"/>
  <c r="AG259" i="15"/>
  <c r="AH14" i="15"/>
  <c r="AG181" i="15"/>
  <c r="AG179" i="15"/>
  <c r="AG177" i="15"/>
  <c r="AG175" i="15"/>
  <c r="AG14" i="15"/>
  <c r="AF259" i="15"/>
  <c r="AF181" i="15"/>
  <c r="AF179" i="15"/>
  <c r="AF177" i="15"/>
  <c r="AF175" i="15"/>
  <c r="AF260" i="15"/>
  <c r="AF14" i="15"/>
  <c r="AE259" i="15"/>
  <c r="AE181" i="15"/>
  <c r="AE179" i="15"/>
  <c r="AE177" i="15"/>
  <c r="AE175" i="15"/>
  <c r="AD260" i="15"/>
  <c r="AE14" i="15"/>
  <c r="AD259" i="15"/>
  <c r="AD181" i="15"/>
  <c r="AD179" i="15"/>
  <c r="AD177" i="15"/>
  <c r="AD175" i="15"/>
  <c r="AC259" i="15"/>
  <c r="AD14" i="15"/>
  <c r="AC181" i="15"/>
  <c r="AC179" i="15"/>
  <c r="AC177" i="15"/>
  <c r="AC175" i="15"/>
  <c r="AC14" i="15"/>
  <c r="AB259" i="15"/>
  <c r="AB181" i="15"/>
  <c r="AB179" i="15"/>
  <c r="AB177" i="15"/>
  <c r="AB175" i="15"/>
  <c r="AB260" i="15"/>
  <c r="AB14" i="15"/>
  <c r="AA259" i="15"/>
  <c r="AA181" i="15"/>
  <c r="AA179" i="15"/>
  <c r="AA177" i="15"/>
  <c r="AA175" i="15"/>
  <c r="Z260" i="15"/>
  <c r="AA14" i="15"/>
  <c r="Z259" i="15"/>
  <c r="Z181" i="15"/>
  <c r="Z179" i="15"/>
  <c r="Z177" i="15"/>
  <c r="Z175" i="15"/>
  <c r="Y259" i="15"/>
  <c r="Z14" i="15"/>
  <c r="Y181" i="15"/>
  <c r="Y179" i="15"/>
  <c r="Y177" i="15"/>
  <c r="Y175" i="15"/>
  <c r="Y14" i="15"/>
  <c r="X259" i="15"/>
  <c r="X181" i="15"/>
  <c r="X179" i="15"/>
  <c r="X177" i="15"/>
  <c r="X175" i="15"/>
  <c r="X260" i="15"/>
  <c r="X14" i="15"/>
  <c r="W259" i="15"/>
  <c r="W181" i="15"/>
  <c r="W179" i="15"/>
  <c r="W177" i="15"/>
  <c r="W175" i="15"/>
  <c r="V260" i="15"/>
  <c r="W14" i="15"/>
  <c r="V259" i="15"/>
  <c r="V181" i="15"/>
  <c r="V179" i="15"/>
  <c r="V177" i="15"/>
  <c r="V175" i="15"/>
  <c r="U259" i="15"/>
  <c r="V14" i="15"/>
  <c r="U181" i="15"/>
  <c r="U179" i="15"/>
  <c r="U177" i="15"/>
  <c r="U175" i="15"/>
  <c r="U14" i="15"/>
  <c r="T259" i="15"/>
  <c r="T181" i="15"/>
  <c r="T179" i="15"/>
  <c r="T177" i="15"/>
  <c r="T175" i="15"/>
  <c r="T260" i="15"/>
  <c r="T14" i="15"/>
  <c r="S259" i="15"/>
  <c r="S181" i="15"/>
  <c r="S179" i="15"/>
  <c r="S177" i="15"/>
  <c r="S175" i="15"/>
  <c r="R260" i="15"/>
  <c r="S14" i="15"/>
  <c r="R259" i="15"/>
  <c r="R181" i="15"/>
  <c r="R179" i="15"/>
  <c r="R177" i="15"/>
  <c r="R175" i="15"/>
  <c r="Q259" i="15"/>
  <c r="R14" i="15"/>
  <c r="Q181" i="15"/>
  <c r="Q179" i="15"/>
  <c r="Q177" i="15"/>
  <c r="Q175" i="15"/>
  <c r="Q14" i="15"/>
  <c r="P259" i="15"/>
  <c r="P181" i="15"/>
  <c r="P179" i="15"/>
  <c r="P177" i="15"/>
  <c r="P175" i="15"/>
  <c r="P260" i="15"/>
  <c r="P14" i="15"/>
  <c r="O259" i="15"/>
  <c r="O181" i="15"/>
  <c r="O179" i="15"/>
  <c r="O177" i="15"/>
  <c r="O175" i="15"/>
  <c r="N260" i="15"/>
  <c r="O14" i="15"/>
  <c r="N259" i="15"/>
  <c r="N181" i="15"/>
  <c r="N179" i="15"/>
  <c r="N177" i="15"/>
  <c r="N175" i="15"/>
  <c r="M259" i="15"/>
  <c r="N14" i="15"/>
  <c r="M181" i="15"/>
  <c r="M179" i="15"/>
  <c r="M177" i="15"/>
  <c r="M175" i="15"/>
  <c r="M14" i="15"/>
  <c r="L259" i="15"/>
  <c r="L181" i="15"/>
  <c r="L179" i="15"/>
  <c r="L177" i="15"/>
  <c r="L175" i="15"/>
  <c r="L260" i="15"/>
  <c r="L14" i="15"/>
  <c r="K259" i="15"/>
  <c r="K181" i="15"/>
  <c r="K179" i="15"/>
  <c r="K177" i="15"/>
  <c r="K175" i="15"/>
  <c r="J260" i="15"/>
  <c r="K14" i="15"/>
  <c r="J259" i="15"/>
  <c r="J181" i="15"/>
  <c r="J179" i="15"/>
  <c r="J177" i="15"/>
  <c r="J175" i="15"/>
  <c r="I259" i="15"/>
  <c r="J14" i="15"/>
  <c r="I181" i="15"/>
  <c r="I179" i="15"/>
  <c r="I177" i="15"/>
  <c r="I175" i="15"/>
  <c r="I14" i="15"/>
  <c r="H259" i="15"/>
  <c r="H181" i="15"/>
  <c r="H179" i="15"/>
  <c r="H177" i="15"/>
  <c r="H175" i="15"/>
  <c r="H260" i="15"/>
  <c r="H14" i="15"/>
  <c r="G259" i="15"/>
  <c r="G181" i="15"/>
  <c r="G179" i="15"/>
  <c r="G177" i="15"/>
  <c r="G175" i="15"/>
  <c r="F260" i="15"/>
  <c r="G14" i="15"/>
  <c r="F259" i="15"/>
  <c r="F181" i="15"/>
  <c r="F179" i="15"/>
  <c r="F177" i="15"/>
  <c r="F175" i="15"/>
  <c r="E259" i="15"/>
  <c r="F14" i="15"/>
  <c r="E181" i="15"/>
  <c r="E179" i="15"/>
  <c r="E177" i="15"/>
  <c r="E260" i="15"/>
  <c r="E175" i="15"/>
  <c r="E14" i="15"/>
  <c r="D181" i="15"/>
  <c r="D179" i="15"/>
  <c r="D177" i="15"/>
  <c r="D175" i="15"/>
  <c r="D260" i="15"/>
  <c r="AZ14" i="16"/>
  <c r="AY259" i="16"/>
  <c r="AY181" i="16"/>
  <c r="AY179" i="16"/>
  <c r="AY177" i="16"/>
  <c r="AY175" i="16"/>
  <c r="AX260" i="16"/>
  <c r="AY14" i="16"/>
  <c r="AX259" i="16"/>
  <c r="AX181" i="16"/>
  <c r="AX179" i="16"/>
  <c r="AX177" i="16"/>
  <c r="AX175" i="16"/>
  <c r="AW259" i="16"/>
  <c r="AX14" i="16"/>
  <c r="AW181" i="16"/>
  <c r="AW179" i="16"/>
  <c r="AW177" i="16"/>
  <c r="AW260" i="16"/>
  <c r="AW175" i="16"/>
  <c r="AW14" i="16"/>
  <c r="AV259" i="16"/>
  <c r="AV181" i="16"/>
  <c r="AV179" i="16"/>
  <c r="AV177" i="16"/>
  <c r="AV175" i="16"/>
  <c r="AV260" i="16"/>
  <c r="AV14" i="16"/>
  <c r="AU259" i="16"/>
  <c r="AU181" i="16"/>
  <c r="AU179" i="16"/>
  <c r="AU177" i="16"/>
  <c r="AU175" i="16"/>
  <c r="AT260" i="16"/>
  <c r="AU14" i="16"/>
  <c r="AT259" i="16"/>
  <c r="AT181" i="16"/>
  <c r="AT179" i="16"/>
  <c r="AT177" i="16"/>
  <c r="AT175" i="16"/>
  <c r="AS259" i="16"/>
  <c r="AT14" i="16"/>
  <c r="AS181" i="16"/>
  <c r="AS179" i="16"/>
  <c r="AS177" i="16"/>
  <c r="AS260" i="16"/>
  <c r="AS175" i="16"/>
  <c r="AS14" i="16"/>
  <c r="AR259" i="16"/>
  <c r="AR181" i="16"/>
  <c r="AR179" i="16"/>
  <c r="AR177" i="16"/>
  <c r="AR175" i="16"/>
  <c r="AR260" i="16"/>
  <c r="AR14" i="16"/>
  <c r="AQ259" i="16"/>
  <c r="AQ181" i="16"/>
  <c r="AQ179" i="16"/>
  <c r="AQ177" i="16"/>
  <c r="AQ175" i="16"/>
  <c r="AP260" i="16"/>
  <c r="AQ14" i="16"/>
  <c r="AP259" i="16"/>
  <c r="AP181" i="16"/>
  <c r="AP179" i="16"/>
  <c r="AP177" i="16"/>
  <c r="AP175" i="16"/>
  <c r="AO259" i="16"/>
  <c r="AP14" i="16"/>
  <c r="AO181" i="16"/>
  <c r="AO179" i="16"/>
  <c r="AO177" i="16"/>
  <c r="AO260" i="16"/>
  <c r="AO175" i="16"/>
  <c r="AO14" i="16"/>
  <c r="AN259" i="16"/>
  <c r="AN181" i="16"/>
  <c r="AN179" i="16"/>
  <c r="AN177" i="16"/>
  <c r="AN175" i="16"/>
  <c r="AN260" i="16"/>
  <c r="AN14" i="16"/>
  <c r="AM259" i="16"/>
  <c r="AM181" i="16"/>
  <c r="AM179" i="16"/>
  <c r="AM177" i="16"/>
  <c r="AM175" i="16"/>
  <c r="AL260" i="16"/>
  <c r="AM14" i="16"/>
  <c r="AL259" i="16"/>
  <c r="AL181" i="16"/>
  <c r="AL179" i="16"/>
  <c r="AL177" i="16"/>
  <c r="AL175" i="16"/>
  <c r="AK259" i="16"/>
  <c r="AL14" i="16"/>
  <c r="AK181" i="16"/>
  <c r="AK179" i="16"/>
  <c r="AK177" i="16"/>
  <c r="AK260" i="16"/>
  <c r="AK175" i="16"/>
  <c r="AK14" i="16"/>
  <c r="AJ259" i="16"/>
  <c r="AJ181" i="16"/>
  <c r="AJ179" i="16"/>
  <c r="AJ177" i="16"/>
  <c r="AJ175" i="16"/>
  <c r="AJ260" i="16"/>
  <c r="AJ14" i="16"/>
  <c r="AI259" i="16"/>
  <c r="AI181" i="16"/>
  <c r="AI179" i="16"/>
  <c r="AI177" i="16"/>
  <c r="AI175" i="16"/>
  <c r="AH260" i="16"/>
  <c r="AI14" i="16"/>
  <c r="AH259" i="16"/>
  <c r="AH181" i="16"/>
  <c r="AH179" i="16"/>
  <c r="AH177" i="16"/>
  <c r="AH175" i="16"/>
  <c r="AG259" i="16"/>
  <c r="AH14" i="16"/>
  <c r="AG181" i="16"/>
  <c r="AG179" i="16"/>
  <c r="AG177" i="16"/>
  <c r="AG175" i="16"/>
  <c r="AG14" i="16"/>
  <c r="AF259" i="16"/>
  <c r="AF181" i="16"/>
  <c r="AF179" i="16"/>
  <c r="AF177" i="16"/>
  <c r="AF175" i="16"/>
  <c r="AF260" i="16"/>
  <c r="AF14" i="16"/>
  <c r="AE259" i="16"/>
  <c r="AE181" i="16"/>
  <c r="AE179" i="16"/>
  <c r="AE177" i="16"/>
  <c r="AE175" i="16"/>
  <c r="AD260" i="16"/>
  <c r="AE14" i="16"/>
  <c r="AD259" i="16"/>
  <c r="AD181" i="16"/>
  <c r="AD179" i="16"/>
  <c r="AD177" i="16"/>
  <c r="AD175" i="16"/>
  <c r="AC259" i="16"/>
  <c r="AD14" i="16"/>
  <c r="AC181" i="16"/>
  <c r="AC179" i="16"/>
  <c r="AC177" i="16"/>
  <c r="AC175" i="16"/>
  <c r="AC14" i="16"/>
  <c r="AB259" i="16"/>
  <c r="AB181" i="16"/>
  <c r="AB179" i="16"/>
  <c r="AB177" i="16"/>
  <c r="AB175" i="16"/>
  <c r="AB260" i="16"/>
  <c r="AB14" i="16"/>
  <c r="AA259" i="16"/>
  <c r="AA181" i="16"/>
  <c r="AA179" i="16"/>
  <c r="AA177" i="16"/>
  <c r="AA175" i="16"/>
  <c r="Z260" i="16"/>
  <c r="AA14" i="16"/>
  <c r="Z259" i="16"/>
  <c r="Z181" i="16"/>
  <c r="Z179" i="16"/>
  <c r="Z177" i="16"/>
  <c r="Z175" i="16"/>
  <c r="Y259" i="16"/>
  <c r="Z14" i="16"/>
  <c r="Y181" i="16"/>
  <c r="Y179" i="16"/>
  <c r="Y177" i="16"/>
  <c r="Y175" i="16"/>
  <c r="Y14" i="16"/>
  <c r="X259" i="16"/>
  <c r="X181" i="16"/>
  <c r="X179" i="16"/>
  <c r="X177" i="16"/>
  <c r="X175" i="16"/>
  <c r="X260" i="16"/>
  <c r="X14" i="16"/>
  <c r="W259" i="16"/>
  <c r="W181" i="16"/>
  <c r="W179" i="16"/>
  <c r="W177" i="16"/>
  <c r="W175" i="16"/>
  <c r="V260" i="16"/>
  <c r="W14" i="16"/>
  <c r="V259" i="16"/>
  <c r="V181" i="16"/>
  <c r="V179" i="16"/>
  <c r="V177" i="16"/>
  <c r="V175" i="16"/>
  <c r="U259" i="16"/>
  <c r="V14" i="16"/>
  <c r="U181" i="16"/>
  <c r="U179" i="16"/>
  <c r="U177" i="16"/>
  <c r="U175" i="16"/>
  <c r="U14" i="16"/>
  <c r="T259" i="16"/>
  <c r="T181" i="16"/>
  <c r="T179" i="16"/>
  <c r="T177" i="16"/>
  <c r="T175" i="16"/>
  <c r="T260" i="16"/>
  <c r="T14" i="16"/>
  <c r="S259" i="16"/>
  <c r="S181" i="16"/>
  <c r="S179" i="16"/>
  <c r="S177" i="16"/>
  <c r="S175" i="16"/>
  <c r="R260" i="16"/>
  <c r="S14" i="16"/>
  <c r="R259" i="16"/>
  <c r="R181" i="16"/>
  <c r="R179" i="16"/>
  <c r="R177" i="16"/>
  <c r="R175" i="16"/>
  <c r="Q259" i="16"/>
  <c r="R14" i="16"/>
  <c r="Q181" i="16"/>
  <c r="Q179" i="16"/>
  <c r="Q177" i="16"/>
  <c r="Q175" i="16"/>
  <c r="Q14" i="16"/>
  <c r="P259" i="16"/>
  <c r="P181" i="16"/>
  <c r="P179" i="16"/>
  <c r="P177" i="16"/>
  <c r="P175" i="16"/>
  <c r="P260" i="16"/>
  <c r="P14" i="16"/>
  <c r="O259" i="16"/>
  <c r="O181" i="16"/>
  <c r="O179" i="16"/>
  <c r="O177" i="16"/>
  <c r="O175" i="16"/>
  <c r="N260" i="16"/>
  <c r="O14" i="16"/>
  <c r="N259" i="16"/>
  <c r="N181" i="16"/>
  <c r="N179" i="16"/>
  <c r="N177" i="16"/>
  <c r="N175" i="16"/>
  <c r="M259" i="16"/>
  <c r="N14" i="16"/>
  <c r="M181" i="16"/>
  <c r="M179" i="16"/>
  <c r="M177" i="16"/>
  <c r="M175" i="16"/>
  <c r="M14" i="16"/>
  <c r="L259" i="16"/>
  <c r="L181" i="16"/>
  <c r="L179" i="16"/>
  <c r="L177" i="16"/>
  <c r="L175" i="16"/>
  <c r="L260" i="16"/>
  <c r="L14" i="16"/>
  <c r="K259" i="16"/>
  <c r="K181" i="16"/>
  <c r="K179" i="16"/>
  <c r="K177" i="16"/>
  <c r="K175" i="16"/>
  <c r="J260" i="16"/>
  <c r="K14" i="16"/>
  <c r="J259" i="16"/>
  <c r="J181" i="16"/>
  <c r="J179" i="16"/>
  <c r="J177" i="16"/>
  <c r="J175" i="16"/>
  <c r="I259" i="16"/>
  <c r="J14" i="16"/>
  <c r="I181" i="16"/>
  <c r="I179" i="16"/>
  <c r="I177" i="16"/>
  <c r="I175" i="16"/>
  <c r="I14" i="16"/>
  <c r="H259" i="16"/>
  <c r="H181" i="16"/>
  <c r="H179" i="16"/>
  <c r="H177" i="16"/>
  <c r="H175" i="16"/>
  <c r="H260" i="16"/>
  <c r="H14" i="16"/>
  <c r="G259" i="16"/>
  <c r="G181" i="16"/>
  <c r="G179" i="16"/>
  <c r="G177" i="16"/>
  <c r="G175" i="16"/>
  <c r="F260" i="16"/>
  <c r="G14" i="16"/>
  <c r="F259" i="16"/>
  <c r="F181" i="16"/>
  <c r="F179" i="16"/>
  <c r="F177" i="16"/>
  <c r="F175" i="16"/>
  <c r="E259" i="16"/>
  <c r="F14" i="16"/>
  <c r="E181" i="16"/>
  <c r="E179" i="16"/>
  <c r="E177" i="16"/>
  <c r="E175" i="16"/>
  <c r="E14" i="16"/>
  <c r="D181" i="16"/>
  <c r="D179" i="16"/>
  <c r="D177" i="16"/>
  <c r="D175" i="16"/>
  <c r="D260" i="16"/>
  <c r="AY14" i="17"/>
  <c r="AY15" i="17"/>
  <c r="AY16" i="17"/>
  <c r="AY10" i="17"/>
  <c r="AY13" i="17"/>
  <c r="AY17" i="17"/>
  <c r="AY29" i="17"/>
  <c r="AX14" i="17"/>
  <c r="AX15" i="17"/>
  <c r="AX16" i="17"/>
  <c r="AX17" i="17"/>
  <c r="AX29" i="17"/>
  <c r="AW14" i="17"/>
  <c r="AW10" i="17"/>
  <c r="AW13" i="17"/>
  <c r="AW15" i="17"/>
  <c r="AW16" i="17"/>
  <c r="AW17" i="17"/>
  <c r="AW29" i="17"/>
  <c r="AV14" i="17"/>
  <c r="AV10" i="17"/>
  <c r="AV13" i="17"/>
  <c r="AV15" i="17"/>
  <c r="AV16" i="17"/>
  <c r="AV17" i="17"/>
  <c r="AV29" i="17"/>
  <c r="AU14" i="17"/>
  <c r="AU15" i="17"/>
  <c r="AU16" i="17"/>
  <c r="AU17" i="17"/>
  <c r="AU29" i="17"/>
  <c r="AT14" i="17"/>
  <c r="AT15" i="17"/>
  <c r="AT16" i="17"/>
  <c r="AT17" i="17"/>
  <c r="AT29" i="17"/>
  <c r="AS14" i="17"/>
  <c r="AS15" i="17"/>
  <c r="AS16" i="17"/>
  <c r="AS17" i="17"/>
  <c r="AS29" i="17"/>
  <c r="AR14" i="17"/>
  <c r="AR10" i="17"/>
  <c r="AR13" i="17"/>
  <c r="AR15" i="17"/>
  <c r="AR16" i="17"/>
  <c r="AR17" i="17"/>
  <c r="AR29" i="17"/>
  <c r="AQ14" i="17"/>
  <c r="AQ10" i="17"/>
  <c r="AQ15" i="17"/>
  <c r="AQ16" i="17"/>
  <c r="AQ13" i="17"/>
  <c r="AQ17" i="17"/>
  <c r="AQ29" i="17"/>
  <c r="AP14" i="17"/>
  <c r="AP15" i="17"/>
  <c r="AP16" i="17"/>
  <c r="AP10" i="17"/>
  <c r="AP13" i="17"/>
  <c r="AP17" i="17"/>
  <c r="AP29" i="17"/>
  <c r="AO14" i="17"/>
  <c r="AO10" i="17"/>
  <c r="AO15" i="17"/>
  <c r="AO16" i="17"/>
  <c r="AO13" i="17"/>
  <c r="AO17" i="17"/>
  <c r="AO29" i="17"/>
  <c r="AN14" i="17"/>
  <c r="AN15" i="17"/>
  <c r="AN16" i="17"/>
  <c r="AN10" i="17"/>
  <c r="AN13" i="17"/>
  <c r="AN17" i="17"/>
  <c r="AN29" i="17"/>
  <c r="AM14" i="17"/>
  <c r="AM10" i="17"/>
  <c r="AM15" i="17"/>
  <c r="AM16" i="17"/>
  <c r="AM13" i="17"/>
  <c r="AM17" i="17"/>
  <c r="AM29" i="17"/>
  <c r="AL14" i="17"/>
  <c r="AL15" i="17"/>
  <c r="AL16" i="17"/>
  <c r="AL10" i="17"/>
  <c r="AL13" i="17"/>
  <c r="AL17" i="17"/>
  <c r="AL29" i="17"/>
  <c r="AK16" i="17"/>
  <c r="AK21" i="17"/>
  <c r="AK22" i="17"/>
  <c r="AK24" i="17"/>
  <c r="AK23" i="17"/>
  <c r="AK29" i="17"/>
  <c r="AK34" i="17"/>
  <c r="AK40" i="17"/>
  <c r="AK45" i="17"/>
  <c r="AK51" i="17"/>
  <c r="AK56" i="17"/>
  <c r="AK62" i="17"/>
  <c r="AJ14" i="17"/>
  <c r="AK15" i="17"/>
  <c r="AJ15" i="17"/>
  <c r="AJ16" i="17"/>
  <c r="AK17" i="17"/>
  <c r="AJ10" i="17"/>
  <c r="AJ13" i="17"/>
  <c r="AK14" i="17"/>
  <c r="AK10" i="17"/>
  <c r="AK13" i="17"/>
  <c r="AJ17" i="17"/>
  <c r="AJ29" i="17"/>
  <c r="AI14" i="17"/>
  <c r="AI15" i="17"/>
  <c r="AI10" i="17"/>
  <c r="AI13" i="17"/>
  <c r="AI16" i="17"/>
  <c r="AI17" i="17"/>
  <c r="AI29" i="17"/>
  <c r="AH14" i="17"/>
  <c r="AH15" i="17"/>
  <c r="AH10" i="17"/>
  <c r="AH13" i="17"/>
  <c r="AI21" i="17"/>
  <c r="AH16" i="17"/>
  <c r="AH17" i="17"/>
  <c r="AH29" i="17"/>
  <c r="AG14" i="17"/>
  <c r="AG15" i="17"/>
  <c r="AG10" i="17"/>
  <c r="AG13" i="17"/>
  <c r="AG16" i="17"/>
  <c r="AG17" i="17"/>
  <c r="AG29" i="17"/>
  <c r="AF14" i="17"/>
  <c r="AF15" i="17"/>
  <c r="AF16" i="17"/>
  <c r="AF10" i="17"/>
  <c r="AF13" i="17"/>
  <c r="AF17" i="17"/>
  <c r="AF29" i="17"/>
  <c r="AE15" i="17"/>
  <c r="AE10" i="17"/>
  <c r="AE13" i="17"/>
  <c r="AE17" i="17"/>
  <c r="AE21" i="17"/>
  <c r="AE22" i="17"/>
  <c r="AE23" i="17"/>
  <c r="AE29" i="17"/>
  <c r="AE33" i="17"/>
  <c r="AE39" i="17"/>
  <c r="AE44" i="17"/>
  <c r="AE46" i="17"/>
  <c r="AE45" i="17"/>
  <c r="AE51" i="17"/>
  <c r="AE50" i="17"/>
  <c r="AE55" i="17"/>
  <c r="AE61" i="17"/>
  <c r="AD14" i="17"/>
  <c r="AD15" i="17"/>
  <c r="AE16" i="17"/>
  <c r="AD16" i="17"/>
  <c r="AD10" i="17"/>
  <c r="AD13" i="17"/>
  <c r="AE14" i="17"/>
  <c r="AD17" i="17"/>
  <c r="AD29" i="17"/>
  <c r="AC14" i="17"/>
  <c r="AC15" i="17"/>
  <c r="AC16" i="17"/>
  <c r="AC10" i="17"/>
  <c r="AC13" i="17"/>
  <c r="AC17" i="17"/>
  <c r="AC29" i="17"/>
  <c r="AB14" i="17"/>
  <c r="AB15" i="17"/>
  <c r="AB16" i="17"/>
  <c r="AB10" i="17"/>
  <c r="AB13" i="17"/>
  <c r="AB17" i="17"/>
  <c r="AB29" i="17"/>
  <c r="AA14" i="17"/>
  <c r="AA15" i="17"/>
  <c r="AA16" i="17"/>
  <c r="AA10" i="17"/>
  <c r="AA13" i="17"/>
  <c r="AA17" i="17"/>
  <c r="AA29" i="17"/>
  <c r="Z14" i="17"/>
  <c r="Z15" i="17"/>
  <c r="Z16" i="17"/>
  <c r="Z10" i="17"/>
  <c r="Z13" i="17"/>
  <c r="Z17" i="17"/>
  <c r="Z29" i="17"/>
  <c r="Y14" i="17"/>
  <c r="Y15" i="17"/>
  <c r="Y16" i="17"/>
  <c r="Y10" i="17"/>
  <c r="Y13" i="17"/>
  <c r="Y17" i="17"/>
  <c r="Y29" i="17"/>
  <c r="X14" i="17"/>
  <c r="X15" i="17"/>
  <c r="X16" i="17"/>
  <c r="X10" i="17"/>
  <c r="X13" i="17"/>
  <c r="X17" i="17"/>
  <c r="X29" i="17"/>
  <c r="W14" i="17"/>
  <c r="W15" i="17"/>
  <c r="W16" i="17"/>
  <c r="W10" i="17"/>
  <c r="W13" i="17"/>
  <c r="W17" i="17"/>
  <c r="W29" i="17"/>
  <c r="V14" i="17"/>
  <c r="V15" i="17"/>
  <c r="V16" i="17"/>
  <c r="V10" i="17"/>
  <c r="V13" i="17"/>
  <c r="V17" i="17"/>
  <c r="V29" i="17"/>
  <c r="U14" i="17"/>
  <c r="U15" i="17"/>
  <c r="U16" i="17"/>
  <c r="U10" i="17"/>
  <c r="U13" i="17"/>
  <c r="U17" i="17"/>
  <c r="U29" i="17"/>
  <c r="T14" i="17"/>
  <c r="T15" i="17"/>
  <c r="T10" i="17"/>
  <c r="T13" i="17"/>
  <c r="T16" i="17"/>
  <c r="T17" i="17"/>
  <c r="T29" i="17"/>
  <c r="S14" i="17"/>
  <c r="S15" i="17"/>
  <c r="S10" i="17"/>
  <c r="S13" i="17"/>
  <c r="S16" i="17"/>
  <c r="S17" i="17"/>
  <c r="S29" i="17"/>
  <c r="R14" i="17"/>
  <c r="R15" i="17"/>
  <c r="R16" i="17"/>
  <c r="R10" i="17"/>
  <c r="R13" i="17"/>
  <c r="R17" i="17"/>
  <c r="R29" i="17"/>
  <c r="Q14" i="17"/>
  <c r="Q15" i="17"/>
  <c r="Q16" i="17"/>
  <c r="Q10" i="17"/>
  <c r="Q13" i="17"/>
  <c r="Q17" i="17"/>
  <c r="Q29" i="17"/>
  <c r="P14" i="17"/>
  <c r="P15" i="17"/>
  <c r="P10" i="17"/>
  <c r="P13" i="17"/>
  <c r="P16" i="17"/>
  <c r="P17" i="17"/>
  <c r="P29" i="17"/>
  <c r="O14" i="17"/>
  <c r="O15" i="17"/>
  <c r="O10" i="17"/>
  <c r="O13" i="17"/>
  <c r="O16" i="17"/>
  <c r="O17" i="17"/>
  <c r="O29" i="17"/>
  <c r="N14" i="17"/>
  <c r="N15" i="17"/>
  <c r="N16" i="17"/>
  <c r="N10" i="17"/>
  <c r="N13" i="17"/>
  <c r="N17" i="17"/>
  <c r="N29" i="17"/>
  <c r="M14" i="17"/>
  <c r="M15" i="17"/>
  <c r="M16" i="17"/>
  <c r="M10" i="17"/>
  <c r="M13" i="17"/>
  <c r="M17" i="17"/>
  <c r="M29" i="17"/>
  <c r="L15" i="17"/>
  <c r="L17" i="17"/>
  <c r="L21" i="17"/>
  <c r="L22" i="17"/>
  <c r="L34" i="17"/>
  <c r="L23" i="17"/>
  <c r="L29" i="17"/>
  <c r="L33" i="17"/>
  <c r="L35" i="17"/>
  <c r="L39" i="17"/>
  <c r="L40" i="17"/>
  <c r="L44" i="17"/>
  <c r="L50" i="17"/>
  <c r="L55" i="17"/>
  <c r="L61" i="17"/>
  <c r="K14" i="17"/>
  <c r="K10" i="17"/>
  <c r="K15" i="17"/>
  <c r="L16" i="17"/>
  <c r="K16" i="17"/>
  <c r="K13" i="17"/>
  <c r="L14" i="17"/>
  <c r="L10" i="17"/>
  <c r="L13" i="17"/>
  <c r="K17" i="17"/>
  <c r="K29" i="17"/>
  <c r="J14" i="17"/>
  <c r="J10" i="17"/>
  <c r="J13" i="17"/>
  <c r="J15" i="17"/>
  <c r="J16" i="17"/>
  <c r="J17" i="17"/>
  <c r="J29" i="17"/>
  <c r="I14" i="17"/>
  <c r="I10" i="17"/>
  <c r="I15" i="17"/>
  <c r="I16" i="17"/>
  <c r="I13" i="17"/>
  <c r="J21" i="17"/>
  <c r="I17" i="17"/>
  <c r="I29" i="17"/>
  <c r="H14" i="17"/>
  <c r="H10" i="17"/>
  <c r="H13" i="17"/>
  <c r="H15" i="17"/>
  <c r="H16" i="17"/>
  <c r="H17" i="17"/>
  <c r="H29" i="17"/>
  <c r="G17" i="17"/>
  <c r="G21" i="17"/>
  <c r="G22" i="17"/>
  <c r="G34" i="17"/>
  <c r="G23" i="17"/>
  <c r="G24" i="17"/>
  <c r="G29" i="17"/>
  <c r="G33" i="17"/>
  <c r="G39" i="17"/>
  <c r="G35" i="17"/>
  <c r="G40" i="17"/>
  <c r="G44" i="17"/>
  <c r="G45" i="17"/>
  <c r="G50" i="17"/>
  <c r="G55" i="17"/>
  <c r="G61" i="17"/>
  <c r="G56" i="17"/>
  <c r="G62" i="17"/>
  <c r="F14" i="17"/>
  <c r="G15" i="17"/>
  <c r="F15" i="17"/>
  <c r="F16" i="17"/>
  <c r="F17" i="17"/>
  <c r="F29" i="17"/>
  <c r="E14" i="17"/>
  <c r="E15" i="17"/>
  <c r="E16" i="17"/>
  <c r="E10" i="17"/>
  <c r="E13" i="17"/>
  <c r="E17" i="17"/>
  <c r="E29" i="17"/>
  <c r="D14" i="17"/>
  <c r="D15" i="17"/>
  <c r="D16" i="17"/>
  <c r="D10" i="17"/>
  <c r="D17" i="17"/>
  <c r="D27" i="17"/>
  <c r="E27" i="17"/>
  <c r="D29" i="17"/>
  <c r="D30" i="17"/>
  <c r="AY14" i="18"/>
  <c r="AY10" i="18"/>
  <c r="AY13" i="18"/>
  <c r="AY15" i="18"/>
  <c r="AY16" i="18"/>
  <c r="AY17" i="18"/>
  <c r="AY29" i="18"/>
  <c r="AX14" i="18"/>
  <c r="AX10" i="18"/>
  <c r="AX15" i="18"/>
  <c r="AX16" i="18"/>
  <c r="AX13" i="18"/>
  <c r="AX17" i="18"/>
  <c r="AX29" i="18"/>
  <c r="AW14" i="18"/>
  <c r="AW10" i="18"/>
  <c r="AW13" i="18"/>
  <c r="AW15" i="18"/>
  <c r="AW16" i="18"/>
  <c r="AW17" i="18"/>
  <c r="AW29" i="18"/>
  <c r="AV14" i="18"/>
  <c r="AV10" i="18"/>
  <c r="AV15" i="18"/>
  <c r="AV16" i="18"/>
  <c r="AV13" i="18"/>
  <c r="AV17" i="18"/>
  <c r="AV29" i="18"/>
  <c r="AU14" i="18"/>
  <c r="AU10" i="18"/>
  <c r="AU13" i="18"/>
  <c r="AU15" i="18"/>
  <c r="AU16" i="18"/>
  <c r="AU17" i="18"/>
  <c r="AU29" i="18"/>
  <c r="AT14" i="18"/>
  <c r="AT10" i="18"/>
  <c r="AT15" i="18"/>
  <c r="AT16" i="18"/>
  <c r="AT13" i="18"/>
  <c r="AT17" i="18"/>
  <c r="AT29" i="18"/>
  <c r="AS14" i="18"/>
  <c r="AS10" i="18"/>
  <c r="AS13" i="18"/>
  <c r="AS15" i="18"/>
  <c r="AS16" i="18"/>
  <c r="AS17" i="18"/>
  <c r="AS29" i="18"/>
  <c r="AR14" i="18"/>
  <c r="AR10" i="18"/>
  <c r="AR15" i="18"/>
  <c r="AR16" i="18"/>
  <c r="AR13" i="18"/>
  <c r="AR17" i="18"/>
  <c r="AR29" i="18"/>
  <c r="AQ14" i="18"/>
  <c r="AQ10" i="18"/>
  <c r="AQ13" i="18"/>
  <c r="AQ15" i="18"/>
  <c r="AQ16" i="18"/>
  <c r="AQ17" i="18"/>
  <c r="AQ29" i="18"/>
  <c r="AP14" i="18"/>
  <c r="AP10" i="18"/>
  <c r="AP15" i="18"/>
  <c r="AP16" i="18"/>
  <c r="AP13" i="18"/>
  <c r="AP17" i="18"/>
  <c r="AP29" i="18"/>
  <c r="AO14" i="18"/>
  <c r="AO15" i="18"/>
  <c r="AO16" i="18"/>
  <c r="AO17" i="18"/>
  <c r="AO29" i="18"/>
  <c r="AN14" i="18"/>
  <c r="AN10" i="18"/>
  <c r="AN13" i="18"/>
  <c r="AN15" i="18"/>
  <c r="AN16" i="18"/>
  <c r="AN17" i="18"/>
  <c r="AN29" i="18"/>
  <c r="AM14" i="18"/>
  <c r="AM15" i="18"/>
  <c r="AM16" i="18"/>
  <c r="AM17" i="18"/>
  <c r="AM29" i="18"/>
  <c r="AL17" i="18"/>
  <c r="AL21" i="18"/>
  <c r="AL22" i="18"/>
  <c r="AL56" i="18"/>
  <c r="AL62" i="18"/>
  <c r="AL23" i="18"/>
  <c r="AL29" i="18"/>
  <c r="AL33" i="18"/>
  <c r="AL44" i="18"/>
  <c r="AL45" i="18"/>
  <c r="AL50" i="18"/>
  <c r="AL55" i="18"/>
  <c r="AK14" i="18"/>
  <c r="AL15" i="18"/>
  <c r="AK15" i="18"/>
  <c r="AL16" i="18"/>
  <c r="AK16" i="18"/>
  <c r="AK10" i="18"/>
  <c r="AK13" i="18"/>
  <c r="AL14" i="18"/>
  <c r="AL10" i="18"/>
  <c r="AL13" i="18"/>
  <c r="AK17" i="18"/>
  <c r="AK29" i="18"/>
  <c r="AJ14" i="18"/>
  <c r="AJ15" i="18"/>
  <c r="AJ16" i="18"/>
  <c r="AJ10" i="18"/>
  <c r="AJ13" i="18"/>
  <c r="AJ17" i="18"/>
  <c r="AJ29" i="18"/>
  <c r="AI14" i="18"/>
  <c r="AI15" i="18"/>
  <c r="AI16" i="18"/>
  <c r="AI17" i="18"/>
  <c r="AI29" i="18"/>
  <c r="AH14" i="18"/>
  <c r="AH15" i="18"/>
  <c r="AH16" i="18"/>
  <c r="AH10" i="18"/>
  <c r="AH13" i="18"/>
  <c r="AH17" i="18"/>
  <c r="AH29" i="18"/>
  <c r="AG14" i="18"/>
  <c r="AG10" i="18"/>
  <c r="AG13" i="18"/>
  <c r="AG15" i="18"/>
  <c r="AG16" i="18"/>
  <c r="AG17" i="18"/>
  <c r="AG29" i="18"/>
  <c r="AF14" i="18"/>
  <c r="AF15" i="18"/>
  <c r="AF16" i="18"/>
  <c r="AF10" i="18"/>
  <c r="AF13" i="18"/>
  <c r="AF17" i="18"/>
  <c r="AF29" i="18"/>
  <c r="AE14" i="18"/>
  <c r="AE15" i="18"/>
  <c r="AE16" i="18"/>
  <c r="AE17" i="18"/>
  <c r="AE29" i="18"/>
  <c r="AD14" i="18"/>
  <c r="AD15" i="18"/>
  <c r="AD16" i="18"/>
  <c r="AD10" i="18"/>
  <c r="AD13" i="18"/>
  <c r="AD17" i="18"/>
  <c r="AD29" i="18"/>
  <c r="AC14" i="18"/>
  <c r="AC10" i="18"/>
  <c r="AC13" i="18"/>
  <c r="AC15" i="18"/>
  <c r="AC16" i="18"/>
  <c r="AC17" i="18"/>
  <c r="AC29" i="18"/>
  <c r="AB14" i="18"/>
  <c r="AB15" i="18"/>
  <c r="AB16" i="18"/>
  <c r="AB10" i="18"/>
  <c r="AB13" i="18"/>
  <c r="AB17" i="18"/>
  <c r="AB29" i="18"/>
  <c r="AA14" i="18"/>
  <c r="AA15" i="18"/>
  <c r="AA16" i="18"/>
  <c r="AA17" i="18"/>
  <c r="AA29" i="18"/>
  <c r="Z14" i="18"/>
  <c r="Z15" i="18"/>
  <c r="Z16" i="18"/>
  <c r="Z10" i="18"/>
  <c r="Z13" i="18"/>
  <c r="Z17" i="18"/>
  <c r="Z29" i="18"/>
  <c r="Y14" i="18"/>
  <c r="Y10" i="18"/>
  <c r="Y13" i="18"/>
  <c r="Y15" i="18"/>
  <c r="Y16" i="18"/>
  <c r="Y17" i="18"/>
  <c r="Y29" i="18"/>
  <c r="X14" i="18"/>
  <c r="X15" i="18"/>
  <c r="X16" i="18"/>
  <c r="X10" i="18"/>
  <c r="X13" i="18"/>
  <c r="X17" i="18"/>
  <c r="X29" i="18"/>
  <c r="W14" i="18"/>
  <c r="W15" i="18"/>
  <c r="W16" i="18"/>
  <c r="W17" i="18"/>
  <c r="W29" i="18"/>
  <c r="V14" i="18"/>
  <c r="V15" i="18"/>
  <c r="V16" i="18"/>
  <c r="V17" i="18"/>
  <c r="V29" i="18"/>
  <c r="U14" i="18"/>
  <c r="U15" i="18"/>
  <c r="U16" i="18"/>
  <c r="U17" i="18"/>
  <c r="U29" i="18"/>
  <c r="T14" i="18"/>
  <c r="T15" i="18"/>
  <c r="T16" i="18"/>
  <c r="T17" i="18"/>
  <c r="T29" i="18"/>
  <c r="S14" i="18"/>
  <c r="S15" i="18"/>
  <c r="S16" i="18"/>
  <c r="S17" i="18"/>
  <c r="S29" i="18"/>
  <c r="R14" i="18"/>
  <c r="R15" i="18"/>
  <c r="R16" i="18"/>
  <c r="R17" i="18"/>
  <c r="R29" i="18"/>
  <c r="Q14" i="18"/>
  <c r="Q15" i="18"/>
  <c r="Q10" i="18"/>
  <c r="Q13" i="18"/>
  <c r="Q16" i="18"/>
  <c r="Q17" i="18"/>
  <c r="Q29" i="18"/>
  <c r="P14" i="18"/>
  <c r="P15" i="18"/>
  <c r="P10" i="18"/>
  <c r="P13" i="18"/>
  <c r="P16" i="18"/>
  <c r="P17" i="18"/>
  <c r="P29" i="18"/>
  <c r="O14" i="18"/>
  <c r="O15" i="18"/>
  <c r="O10" i="18"/>
  <c r="O13" i="18"/>
  <c r="O16" i="18"/>
  <c r="O17" i="18"/>
  <c r="O29" i="18"/>
  <c r="N14" i="18"/>
  <c r="N15" i="18"/>
  <c r="N10" i="18"/>
  <c r="N13" i="18"/>
  <c r="N16" i="18"/>
  <c r="N17" i="18"/>
  <c r="N29" i="18"/>
  <c r="M14" i="18"/>
  <c r="M15" i="18"/>
  <c r="M10" i="18"/>
  <c r="M13" i="18"/>
  <c r="M16" i="18"/>
  <c r="M17" i="18"/>
  <c r="M29" i="18"/>
  <c r="L14" i="18"/>
  <c r="L15" i="18"/>
  <c r="L10" i="18"/>
  <c r="L13" i="18"/>
  <c r="L16" i="18"/>
  <c r="L17" i="18"/>
  <c r="L29" i="18"/>
  <c r="K14" i="18"/>
  <c r="K15" i="18"/>
  <c r="K10" i="18"/>
  <c r="K13" i="18"/>
  <c r="K16" i="18"/>
  <c r="K17" i="18"/>
  <c r="K29" i="18"/>
  <c r="J14" i="18"/>
  <c r="J15" i="18"/>
  <c r="J10" i="18"/>
  <c r="J13" i="18"/>
  <c r="J16" i="18"/>
  <c r="J17" i="18"/>
  <c r="J29" i="18"/>
  <c r="I14" i="18"/>
  <c r="I15" i="18"/>
  <c r="I10" i="18"/>
  <c r="I13" i="18"/>
  <c r="I16" i="18"/>
  <c r="I17" i="18"/>
  <c r="I29" i="18"/>
  <c r="H14" i="18"/>
  <c r="H15" i="18"/>
  <c r="H10" i="18"/>
  <c r="H13" i="18"/>
  <c r="H16" i="18"/>
  <c r="H17" i="18"/>
  <c r="H29" i="18"/>
  <c r="G15" i="18"/>
  <c r="G17" i="18"/>
  <c r="G21" i="18"/>
  <c r="G23" i="18"/>
  <c r="G22" i="18"/>
  <c r="G34" i="18"/>
  <c r="G40" i="18"/>
  <c r="G24" i="18"/>
  <c r="G29" i="18"/>
  <c r="G33" i="18"/>
  <c r="G44" i="18"/>
  <c r="G46" i="18"/>
  <c r="G45" i="18"/>
  <c r="G51" i="18"/>
  <c r="G50" i="18"/>
  <c r="G55" i="18"/>
  <c r="G61" i="18"/>
  <c r="F14" i="18"/>
  <c r="F15" i="18"/>
  <c r="G16" i="18"/>
  <c r="F16" i="18"/>
  <c r="F17" i="18"/>
  <c r="F29" i="18"/>
  <c r="E14" i="18"/>
  <c r="E15" i="18"/>
  <c r="E10" i="18"/>
  <c r="E13" i="18"/>
  <c r="E16" i="18"/>
  <c r="E17" i="18"/>
  <c r="E29" i="18"/>
  <c r="D14" i="18"/>
  <c r="D15" i="18"/>
  <c r="D10" i="18"/>
  <c r="D16" i="18"/>
  <c r="D17" i="18"/>
  <c r="AZ17" i="18"/>
  <c r="D27" i="18"/>
  <c r="E27" i="18"/>
  <c r="D29" i="18"/>
  <c r="B21" i="17"/>
  <c r="B21" i="18"/>
  <c r="D21" i="18"/>
  <c r="D133" i="19"/>
  <c r="E133" i="19"/>
  <c r="F133" i="19"/>
  <c r="G133" i="19"/>
  <c r="H133" i="19"/>
  <c r="I133" i="19"/>
  <c r="J133" i="19"/>
  <c r="K133" i="19"/>
  <c r="L133" i="19"/>
  <c r="M133" i="19"/>
  <c r="N133" i="19"/>
  <c r="O133" i="19"/>
  <c r="P133" i="19"/>
  <c r="Q133" i="19"/>
  <c r="R133" i="19"/>
  <c r="S133" i="19"/>
  <c r="T133" i="19"/>
  <c r="U133" i="19"/>
  <c r="V133" i="19"/>
  <c r="W133" i="19"/>
  <c r="X133" i="19"/>
  <c r="Y133" i="19"/>
  <c r="Z133" i="19"/>
  <c r="AA133" i="19"/>
  <c r="AB133" i="19"/>
  <c r="AC133" i="19"/>
  <c r="AD133" i="19"/>
  <c r="AE133" i="19"/>
  <c r="AF133" i="19"/>
  <c r="AG133" i="19"/>
  <c r="AH133" i="19"/>
  <c r="AI133" i="19"/>
  <c r="AJ133" i="19"/>
  <c r="AK133" i="19"/>
  <c r="AL133" i="19"/>
  <c r="AM133" i="19"/>
  <c r="AN133" i="19"/>
  <c r="AO133" i="19"/>
  <c r="AP133" i="19"/>
  <c r="AQ133" i="19"/>
  <c r="AR133" i="19"/>
  <c r="AS133" i="19"/>
  <c r="AT133" i="19"/>
  <c r="AU133" i="19"/>
  <c r="AV133" i="19"/>
  <c r="AW133" i="19"/>
  <c r="AX133" i="19"/>
  <c r="C133" i="19"/>
  <c r="D127" i="19"/>
  <c r="E127" i="19"/>
  <c r="F127" i="19"/>
  <c r="G127" i="19"/>
  <c r="H127" i="19"/>
  <c r="I127" i="19"/>
  <c r="J127" i="19"/>
  <c r="K127" i="19"/>
  <c r="L127" i="19"/>
  <c r="M127" i="19"/>
  <c r="N127" i="19"/>
  <c r="O127" i="19"/>
  <c r="P127" i="19"/>
  <c r="Q127" i="19"/>
  <c r="R127" i="19"/>
  <c r="S127" i="19"/>
  <c r="T127" i="19"/>
  <c r="U127" i="19"/>
  <c r="V127" i="19"/>
  <c r="W127" i="19"/>
  <c r="X127" i="19"/>
  <c r="Y127" i="19"/>
  <c r="Z127" i="19"/>
  <c r="AA127" i="19"/>
  <c r="AB127" i="19"/>
  <c r="AC127" i="19"/>
  <c r="AD127" i="19"/>
  <c r="AE127" i="19"/>
  <c r="AF127" i="19"/>
  <c r="AG127" i="19"/>
  <c r="AH127" i="19"/>
  <c r="AI127" i="19"/>
  <c r="AJ127" i="19"/>
  <c r="AK127" i="19"/>
  <c r="AL127" i="19"/>
  <c r="AM127" i="19"/>
  <c r="AN127" i="19"/>
  <c r="AO127" i="19"/>
  <c r="AP127" i="19"/>
  <c r="AQ127" i="19"/>
  <c r="AR127" i="19"/>
  <c r="AS127" i="19"/>
  <c r="AT127" i="19"/>
  <c r="AU127" i="19"/>
  <c r="AV127" i="19"/>
  <c r="AW127" i="19"/>
  <c r="AX127" i="19"/>
  <c r="C127" i="19"/>
  <c r="D121" i="19"/>
  <c r="E121" i="19"/>
  <c r="F121" i="19"/>
  <c r="G121" i="19"/>
  <c r="H121" i="19"/>
  <c r="I121" i="19"/>
  <c r="J121" i="19"/>
  <c r="K121" i="19"/>
  <c r="L121" i="19"/>
  <c r="M121" i="19"/>
  <c r="N121" i="19"/>
  <c r="O121" i="19"/>
  <c r="P121" i="19"/>
  <c r="Q121" i="19"/>
  <c r="R121" i="19"/>
  <c r="S121" i="19"/>
  <c r="T121" i="19"/>
  <c r="U121" i="19"/>
  <c r="V121" i="19"/>
  <c r="W121" i="19"/>
  <c r="X121" i="19"/>
  <c r="Y121" i="19"/>
  <c r="Z121" i="19"/>
  <c r="AA121" i="19"/>
  <c r="AB121" i="19"/>
  <c r="AC121" i="19"/>
  <c r="AD121" i="19"/>
  <c r="AE121" i="19"/>
  <c r="AF121" i="19"/>
  <c r="AG121" i="19"/>
  <c r="AH121" i="19"/>
  <c r="AI121" i="19"/>
  <c r="AJ121" i="19"/>
  <c r="AK121" i="19"/>
  <c r="AL121" i="19"/>
  <c r="AM121" i="19"/>
  <c r="AN121" i="19"/>
  <c r="AO121" i="19"/>
  <c r="AP121" i="19"/>
  <c r="AQ121" i="19"/>
  <c r="AR121" i="19"/>
  <c r="AS121" i="19"/>
  <c r="AT121" i="19"/>
  <c r="AU121" i="19"/>
  <c r="AV121" i="19"/>
  <c r="AW121" i="19"/>
  <c r="AX121" i="19"/>
  <c r="C121" i="19"/>
  <c r="D115" i="19"/>
  <c r="E115" i="19"/>
  <c r="F115" i="19"/>
  <c r="G115" i="19"/>
  <c r="H115" i="19"/>
  <c r="I115" i="19"/>
  <c r="J115" i="19"/>
  <c r="K115" i="19"/>
  <c r="L115" i="19"/>
  <c r="M115" i="19"/>
  <c r="N115" i="19"/>
  <c r="O115" i="19"/>
  <c r="P115" i="19"/>
  <c r="Q115" i="19"/>
  <c r="R115" i="19"/>
  <c r="S115" i="19"/>
  <c r="T115" i="19"/>
  <c r="U115" i="19"/>
  <c r="V115" i="19"/>
  <c r="W115" i="19"/>
  <c r="X115" i="19"/>
  <c r="Y115" i="19"/>
  <c r="Z115" i="19"/>
  <c r="AA115" i="19"/>
  <c r="AB115" i="19"/>
  <c r="AC115" i="19"/>
  <c r="AD115" i="19"/>
  <c r="AE115" i="19"/>
  <c r="AF115" i="19"/>
  <c r="AG115" i="19"/>
  <c r="AH115" i="19"/>
  <c r="AI115" i="19"/>
  <c r="AJ115" i="19"/>
  <c r="AK115" i="19"/>
  <c r="AL115" i="19"/>
  <c r="AM115" i="19"/>
  <c r="AN115" i="19"/>
  <c r="AO115" i="19"/>
  <c r="AP115" i="19"/>
  <c r="AQ115" i="19"/>
  <c r="AR115" i="19"/>
  <c r="AS115" i="19"/>
  <c r="AT115" i="19"/>
  <c r="AU115" i="19"/>
  <c r="AV115" i="19"/>
  <c r="AW115" i="19"/>
  <c r="AX115" i="19"/>
  <c r="C115" i="19"/>
  <c r="D109" i="19"/>
  <c r="E109" i="19"/>
  <c r="F109" i="19"/>
  <c r="G109" i="19"/>
  <c r="H109" i="19"/>
  <c r="I109" i="19"/>
  <c r="J109" i="19"/>
  <c r="K109" i="19"/>
  <c r="L109" i="19"/>
  <c r="M109" i="19"/>
  <c r="N109" i="19"/>
  <c r="O109" i="19"/>
  <c r="P109" i="19"/>
  <c r="Q109" i="19"/>
  <c r="R109" i="19"/>
  <c r="S109" i="19"/>
  <c r="T109" i="19"/>
  <c r="U109" i="19"/>
  <c r="V109" i="19"/>
  <c r="W109" i="19"/>
  <c r="X109" i="19"/>
  <c r="Y109" i="19"/>
  <c r="Z109" i="19"/>
  <c r="AA109" i="19"/>
  <c r="AB109" i="19"/>
  <c r="AC109" i="19"/>
  <c r="AD109" i="19"/>
  <c r="AE109" i="19"/>
  <c r="AF109" i="19"/>
  <c r="AG109" i="19"/>
  <c r="AH109" i="19"/>
  <c r="AI109" i="19"/>
  <c r="AJ109" i="19"/>
  <c r="AK109" i="19"/>
  <c r="AL109" i="19"/>
  <c r="AM109" i="19"/>
  <c r="AN109" i="19"/>
  <c r="AO109" i="19"/>
  <c r="AP109" i="19"/>
  <c r="AQ109" i="19"/>
  <c r="AR109" i="19"/>
  <c r="AS109" i="19"/>
  <c r="AT109" i="19"/>
  <c r="AU109" i="19"/>
  <c r="AV109" i="19"/>
  <c r="AW109" i="19"/>
  <c r="AX109" i="19"/>
  <c r="C109" i="19"/>
  <c r="D103" i="19"/>
  <c r="E103" i="19"/>
  <c r="F103" i="19"/>
  <c r="G103" i="19"/>
  <c r="H103" i="19"/>
  <c r="I103" i="19"/>
  <c r="J103" i="19"/>
  <c r="K103" i="19"/>
  <c r="L103" i="19"/>
  <c r="M103" i="19"/>
  <c r="N103" i="19"/>
  <c r="O103" i="19"/>
  <c r="P103" i="19"/>
  <c r="Q103" i="19"/>
  <c r="R103" i="19"/>
  <c r="S103" i="19"/>
  <c r="T103" i="19"/>
  <c r="U103" i="19"/>
  <c r="V103" i="19"/>
  <c r="W103" i="19"/>
  <c r="X103" i="19"/>
  <c r="Y103" i="19"/>
  <c r="Z103" i="19"/>
  <c r="AA103" i="19"/>
  <c r="AB103" i="19"/>
  <c r="AC103" i="19"/>
  <c r="AD103" i="19"/>
  <c r="AE103" i="19"/>
  <c r="AF103" i="19"/>
  <c r="AG103" i="19"/>
  <c r="AH103" i="19"/>
  <c r="AI103" i="19"/>
  <c r="AJ103" i="19"/>
  <c r="AK103" i="19"/>
  <c r="AL103" i="19"/>
  <c r="AM103" i="19"/>
  <c r="AN103" i="19"/>
  <c r="AO103" i="19"/>
  <c r="AP103" i="19"/>
  <c r="AQ103" i="19"/>
  <c r="AR103" i="19"/>
  <c r="AS103" i="19"/>
  <c r="AT103" i="19"/>
  <c r="AU103" i="19"/>
  <c r="AV103" i="19"/>
  <c r="AW103" i="19"/>
  <c r="AX103" i="19"/>
  <c r="C103" i="19"/>
  <c r="C88" i="19"/>
  <c r="D88" i="19"/>
  <c r="E88" i="19"/>
  <c r="F88" i="19"/>
  <c r="G88" i="19"/>
  <c r="H88" i="19"/>
  <c r="I88" i="19"/>
  <c r="J88" i="19"/>
  <c r="K88" i="19"/>
  <c r="L88" i="19"/>
  <c r="M88" i="19"/>
  <c r="N88" i="19"/>
  <c r="O88" i="19"/>
  <c r="P88" i="19"/>
  <c r="Q88" i="19"/>
  <c r="R88" i="19"/>
  <c r="S88" i="19"/>
  <c r="T88" i="19"/>
  <c r="U88" i="19"/>
  <c r="V88" i="19"/>
  <c r="W88" i="19"/>
  <c r="X88" i="19"/>
  <c r="Y88" i="19"/>
  <c r="Z88" i="19"/>
  <c r="AA88" i="19"/>
  <c r="AB88" i="19"/>
  <c r="AC88" i="19"/>
  <c r="AD88" i="19"/>
  <c r="AE88" i="19"/>
  <c r="AF88" i="19"/>
  <c r="AG88" i="19"/>
  <c r="AH88" i="19"/>
  <c r="AI88" i="19"/>
  <c r="AJ88" i="19"/>
  <c r="AK88" i="19"/>
  <c r="AL88" i="19"/>
  <c r="AM88" i="19"/>
  <c r="AN88" i="19"/>
  <c r="AO88" i="19"/>
  <c r="AP88" i="19"/>
  <c r="AQ88" i="19"/>
  <c r="AR88" i="19"/>
  <c r="AS88" i="19"/>
  <c r="AT88" i="19"/>
  <c r="AU88" i="19"/>
  <c r="AV88" i="19"/>
  <c r="AW88" i="19"/>
  <c r="AX88" i="19"/>
  <c r="C89" i="19"/>
  <c r="D89" i="19"/>
  <c r="E89" i="19"/>
  <c r="F89" i="19"/>
  <c r="G89" i="19"/>
  <c r="H89" i="19"/>
  <c r="I89" i="19"/>
  <c r="J89" i="19"/>
  <c r="K89" i="19"/>
  <c r="L89" i="19"/>
  <c r="M89" i="19"/>
  <c r="N89" i="19"/>
  <c r="O89" i="19"/>
  <c r="P89" i="19"/>
  <c r="Q89" i="19"/>
  <c r="R89" i="19"/>
  <c r="S89" i="19"/>
  <c r="T89" i="19"/>
  <c r="U89" i="19"/>
  <c r="V89" i="19"/>
  <c r="W89" i="19"/>
  <c r="X89" i="19"/>
  <c r="Y89" i="19"/>
  <c r="Z89" i="19"/>
  <c r="AA89" i="19"/>
  <c r="AB89" i="19"/>
  <c r="AC89" i="19"/>
  <c r="AD89" i="19"/>
  <c r="AE89" i="19"/>
  <c r="AF89" i="19"/>
  <c r="AG89" i="19"/>
  <c r="AH89" i="19"/>
  <c r="AI89" i="19"/>
  <c r="AJ89" i="19"/>
  <c r="AK89" i="19"/>
  <c r="AL89" i="19"/>
  <c r="AM89" i="19"/>
  <c r="AN89" i="19"/>
  <c r="AO89" i="19"/>
  <c r="AP89" i="19"/>
  <c r="AQ89" i="19"/>
  <c r="AR89" i="19"/>
  <c r="AS89" i="19"/>
  <c r="AT89" i="19"/>
  <c r="AU89" i="19"/>
  <c r="AV89" i="19"/>
  <c r="AW89" i="19"/>
  <c r="AX89" i="19"/>
  <c r="C90" i="19"/>
  <c r="D90" i="19"/>
  <c r="E90" i="19"/>
  <c r="F90" i="19"/>
  <c r="G90" i="19"/>
  <c r="H90" i="19"/>
  <c r="I90" i="19"/>
  <c r="J90" i="19"/>
  <c r="K90" i="19"/>
  <c r="L90" i="19"/>
  <c r="M90" i="19"/>
  <c r="N90" i="19"/>
  <c r="O90" i="19"/>
  <c r="P90" i="19"/>
  <c r="Q90" i="19"/>
  <c r="R90" i="19"/>
  <c r="S90" i="19"/>
  <c r="T90" i="19"/>
  <c r="U90" i="19"/>
  <c r="V90" i="19"/>
  <c r="W90" i="19"/>
  <c r="X90" i="19"/>
  <c r="Y90" i="19"/>
  <c r="Z90" i="19"/>
  <c r="AA90" i="19"/>
  <c r="AB90" i="19"/>
  <c r="AC90" i="19"/>
  <c r="AD90" i="19"/>
  <c r="AE90" i="19"/>
  <c r="AF90" i="19"/>
  <c r="AG90" i="19"/>
  <c r="AH90" i="19"/>
  <c r="AI90" i="19"/>
  <c r="AJ90" i="19"/>
  <c r="AK90" i="19"/>
  <c r="AL90" i="19"/>
  <c r="AM90" i="19"/>
  <c r="AN90" i="19"/>
  <c r="AO90" i="19"/>
  <c r="AP90" i="19"/>
  <c r="AQ90" i="19"/>
  <c r="AR90" i="19"/>
  <c r="AS90" i="19"/>
  <c r="AT90" i="19"/>
  <c r="AU90" i="19"/>
  <c r="AV90" i="19"/>
  <c r="AW90" i="19"/>
  <c r="AX90" i="19"/>
  <c r="C91" i="19"/>
  <c r="D91" i="19"/>
  <c r="E91" i="19"/>
  <c r="F91" i="19"/>
  <c r="G91" i="19"/>
  <c r="H91" i="19"/>
  <c r="I91" i="19"/>
  <c r="J91" i="19"/>
  <c r="K91" i="19"/>
  <c r="L91" i="19"/>
  <c r="M91" i="19"/>
  <c r="N91" i="19"/>
  <c r="O91" i="19"/>
  <c r="P91" i="19"/>
  <c r="Q91" i="19"/>
  <c r="R91" i="19"/>
  <c r="S91" i="19"/>
  <c r="T91" i="19"/>
  <c r="U91" i="19"/>
  <c r="V91" i="19"/>
  <c r="W91" i="19"/>
  <c r="X91" i="19"/>
  <c r="Y91" i="19"/>
  <c r="Z91" i="19"/>
  <c r="AA91" i="19"/>
  <c r="AB91" i="19"/>
  <c r="AC91" i="19"/>
  <c r="AD91" i="19"/>
  <c r="AE91" i="19"/>
  <c r="AF91" i="19"/>
  <c r="AG91" i="19"/>
  <c r="AH91" i="19"/>
  <c r="AI91" i="19"/>
  <c r="AJ91" i="19"/>
  <c r="AK91" i="19"/>
  <c r="AL91" i="19"/>
  <c r="AM91" i="19"/>
  <c r="AN91" i="19"/>
  <c r="AO91" i="19"/>
  <c r="AP91" i="19"/>
  <c r="AQ91" i="19"/>
  <c r="AR91" i="19"/>
  <c r="AS91" i="19"/>
  <c r="AT91" i="19"/>
  <c r="AU91" i="19"/>
  <c r="AV91" i="19"/>
  <c r="AW91" i="19"/>
  <c r="AX91" i="19"/>
  <c r="C92" i="19"/>
  <c r="D92" i="19"/>
  <c r="E92" i="19"/>
  <c r="F92" i="19"/>
  <c r="G92" i="19"/>
  <c r="H92" i="19"/>
  <c r="I92" i="19"/>
  <c r="J92" i="19"/>
  <c r="K92" i="19"/>
  <c r="L92" i="19"/>
  <c r="M92" i="19"/>
  <c r="N92" i="19"/>
  <c r="O92" i="19"/>
  <c r="P92" i="19"/>
  <c r="Q92" i="19"/>
  <c r="R92" i="19"/>
  <c r="S92" i="19"/>
  <c r="T92" i="19"/>
  <c r="U92" i="19"/>
  <c r="V92" i="19"/>
  <c r="W92" i="19"/>
  <c r="X92" i="19"/>
  <c r="Y92" i="19"/>
  <c r="Z92" i="19"/>
  <c r="AA92" i="19"/>
  <c r="AB92" i="19"/>
  <c r="AC92" i="19"/>
  <c r="AD92" i="19"/>
  <c r="AE92" i="19"/>
  <c r="AF92" i="19"/>
  <c r="AG92" i="19"/>
  <c r="AH92" i="19"/>
  <c r="AI92" i="19"/>
  <c r="AJ92" i="19"/>
  <c r="AK92" i="19"/>
  <c r="AL92" i="19"/>
  <c r="AM92" i="19"/>
  <c r="AN92" i="19"/>
  <c r="AO92" i="19"/>
  <c r="AP92" i="19"/>
  <c r="AQ92" i="19"/>
  <c r="AR92" i="19"/>
  <c r="AS92" i="19"/>
  <c r="AT92" i="19"/>
  <c r="AU92" i="19"/>
  <c r="AV92" i="19"/>
  <c r="AW92" i="19"/>
  <c r="AX92" i="19"/>
  <c r="C93" i="19"/>
  <c r="D93" i="19"/>
  <c r="E93" i="19"/>
  <c r="F93" i="19"/>
  <c r="G93" i="19"/>
  <c r="H93" i="19"/>
  <c r="I93" i="19"/>
  <c r="J93" i="19"/>
  <c r="K93" i="19"/>
  <c r="L93" i="19"/>
  <c r="M93" i="19"/>
  <c r="N93" i="19"/>
  <c r="O93" i="19"/>
  <c r="P93" i="19"/>
  <c r="Q93" i="19"/>
  <c r="R93" i="19"/>
  <c r="S93" i="19"/>
  <c r="T93" i="19"/>
  <c r="U93" i="19"/>
  <c r="V93" i="19"/>
  <c r="W93" i="19"/>
  <c r="X93" i="19"/>
  <c r="Y93" i="19"/>
  <c r="Z93" i="19"/>
  <c r="AA93" i="19"/>
  <c r="AB93" i="19"/>
  <c r="AC93" i="19"/>
  <c r="AD93" i="19"/>
  <c r="AE93" i="19"/>
  <c r="AF93" i="19"/>
  <c r="AG93" i="19"/>
  <c r="AH93" i="19"/>
  <c r="AI93" i="19"/>
  <c r="AJ93" i="19"/>
  <c r="AK93" i="19"/>
  <c r="AL93" i="19"/>
  <c r="AM93" i="19"/>
  <c r="AN93" i="19"/>
  <c r="AO93" i="19"/>
  <c r="AP93" i="19"/>
  <c r="AQ93" i="19"/>
  <c r="AR93" i="19"/>
  <c r="AS93" i="19"/>
  <c r="AT93" i="19"/>
  <c r="AU93" i="19"/>
  <c r="AV93" i="19"/>
  <c r="AW93" i="19"/>
  <c r="AX93" i="19"/>
  <c r="C19" i="19"/>
  <c r="C28" i="19"/>
  <c r="D19" i="19"/>
  <c r="D28" i="19"/>
  <c r="E19" i="19"/>
  <c r="E28" i="19"/>
  <c r="F19" i="19"/>
  <c r="F28" i="19"/>
  <c r="G19" i="19"/>
  <c r="G28" i="19"/>
  <c r="H19" i="19"/>
  <c r="H28" i="19"/>
  <c r="I19" i="19"/>
  <c r="I28" i="19"/>
  <c r="J19" i="19"/>
  <c r="J28" i="19"/>
  <c r="K19" i="19"/>
  <c r="K28" i="19"/>
  <c r="L19" i="19"/>
  <c r="L28" i="19"/>
  <c r="M19" i="19"/>
  <c r="M28" i="19"/>
  <c r="N19" i="19"/>
  <c r="N28" i="19"/>
  <c r="C20" i="19"/>
  <c r="C29" i="19"/>
  <c r="D20" i="19"/>
  <c r="D29" i="19"/>
  <c r="E20" i="19"/>
  <c r="E29" i="19"/>
  <c r="F20" i="19"/>
  <c r="F29" i="19"/>
  <c r="G20" i="19"/>
  <c r="G29" i="19"/>
  <c r="H20" i="19"/>
  <c r="H29" i="19"/>
  <c r="I20" i="19"/>
  <c r="I29" i="19"/>
  <c r="J20" i="19"/>
  <c r="J29" i="19"/>
  <c r="K20" i="19"/>
  <c r="K29" i="19"/>
  <c r="L20" i="19"/>
  <c r="L29" i="19"/>
  <c r="M20" i="19"/>
  <c r="M29" i="19"/>
  <c r="N20" i="19"/>
  <c r="N29" i="19"/>
  <c r="C21" i="19"/>
  <c r="C30" i="19"/>
  <c r="D21" i="19"/>
  <c r="D30" i="19"/>
  <c r="E21" i="19"/>
  <c r="E30" i="19"/>
  <c r="F21" i="19"/>
  <c r="F30" i="19"/>
  <c r="G21" i="19"/>
  <c r="G30" i="19"/>
  <c r="H21" i="19"/>
  <c r="H30" i="19"/>
  <c r="I21" i="19"/>
  <c r="I30" i="19"/>
  <c r="J21" i="19"/>
  <c r="J30" i="19"/>
  <c r="K21" i="19"/>
  <c r="K30" i="19"/>
  <c r="L21" i="19"/>
  <c r="L30" i="19"/>
  <c r="M21" i="19"/>
  <c r="M30" i="19"/>
  <c r="N21" i="19"/>
  <c r="N30" i="19"/>
  <c r="C22" i="19"/>
  <c r="C31" i="19"/>
  <c r="D22" i="19"/>
  <c r="D31" i="19"/>
  <c r="E22" i="19"/>
  <c r="E31" i="19"/>
  <c r="F22" i="19"/>
  <c r="F31" i="19"/>
  <c r="G22" i="19"/>
  <c r="G31" i="19"/>
  <c r="H22" i="19"/>
  <c r="H31" i="19"/>
  <c r="I22" i="19"/>
  <c r="I31" i="19"/>
  <c r="J22" i="19"/>
  <c r="J31" i="19"/>
  <c r="K22" i="19"/>
  <c r="K31" i="19"/>
  <c r="L22" i="19"/>
  <c r="L31" i="19"/>
  <c r="M22" i="19"/>
  <c r="M31" i="19"/>
  <c r="N22" i="19"/>
  <c r="N31" i="19"/>
  <c r="C23" i="19"/>
  <c r="C32" i="19"/>
  <c r="D23" i="19"/>
  <c r="D32" i="19"/>
  <c r="E23" i="19"/>
  <c r="E32" i="19"/>
  <c r="F23" i="19"/>
  <c r="F32" i="19"/>
  <c r="G23" i="19"/>
  <c r="G32" i="19"/>
  <c r="H23" i="19"/>
  <c r="H32" i="19"/>
  <c r="I23" i="19"/>
  <c r="I32" i="19"/>
  <c r="J23" i="19"/>
  <c r="J32" i="19"/>
  <c r="K23" i="19"/>
  <c r="K32" i="19"/>
  <c r="L23" i="19"/>
  <c r="L32" i="19"/>
  <c r="M23" i="19"/>
  <c r="M32" i="19"/>
  <c r="N23" i="19"/>
  <c r="N32" i="19"/>
  <c r="C24" i="19"/>
  <c r="C33" i="19"/>
  <c r="D24" i="19"/>
  <c r="D33" i="19"/>
  <c r="E24" i="19"/>
  <c r="E33" i="19"/>
  <c r="F24" i="19"/>
  <c r="F33" i="19"/>
  <c r="G24" i="19"/>
  <c r="G33" i="19"/>
  <c r="H24" i="19"/>
  <c r="H33" i="19"/>
  <c r="I24" i="19"/>
  <c r="I33" i="19"/>
  <c r="J24" i="19"/>
  <c r="J33" i="19"/>
  <c r="K24" i="19"/>
  <c r="K33" i="19"/>
  <c r="L24" i="19"/>
  <c r="L33" i="19"/>
  <c r="M24" i="19"/>
  <c r="M33" i="19"/>
  <c r="N24" i="19"/>
  <c r="N33" i="19"/>
  <c r="I21" i="18"/>
  <c r="Q21" i="18"/>
  <c r="Q22" i="18"/>
  <c r="J21" i="18"/>
  <c r="N21" i="18"/>
  <c r="N22" i="18"/>
  <c r="AD21" i="18"/>
  <c r="D13" i="18"/>
  <c r="G35" i="18"/>
  <c r="K21" i="18"/>
  <c r="K22" i="18"/>
  <c r="O21" i="18"/>
  <c r="D44" i="18"/>
  <c r="D55" i="18"/>
  <c r="D23" i="18"/>
  <c r="D33" i="18"/>
  <c r="M21" i="18"/>
  <c r="M22" i="18"/>
  <c r="R21" i="18"/>
  <c r="F27" i="18"/>
  <c r="E30" i="18"/>
  <c r="F21" i="18"/>
  <c r="L21" i="18"/>
  <c r="L22" i="18"/>
  <c r="P21" i="18"/>
  <c r="Z21" i="18"/>
  <c r="Z22" i="18"/>
  <c r="AH21" i="18"/>
  <c r="AM21" i="18"/>
  <c r="AM22" i="18"/>
  <c r="M21" i="17"/>
  <c r="Y21" i="18"/>
  <c r="Y22" i="18"/>
  <c r="AG21" i="18"/>
  <c r="AL51" i="18"/>
  <c r="AL46" i="18"/>
  <c r="AO21" i="18"/>
  <c r="AR21" i="18"/>
  <c r="AR22" i="18"/>
  <c r="AW21" i="18"/>
  <c r="G16" i="17"/>
  <c r="F10" i="17"/>
  <c r="F13" i="17"/>
  <c r="G14" i="17"/>
  <c r="G10" i="17"/>
  <c r="G13" i="17"/>
  <c r="J44" i="17"/>
  <c r="J23" i="17"/>
  <c r="J33" i="17"/>
  <c r="O21" i="17"/>
  <c r="O22" i="17"/>
  <c r="S21" i="17"/>
  <c r="AF21" i="17"/>
  <c r="AF22" i="17"/>
  <c r="AH21" i="17"/>
  <c r="AJ21" i="17"/>
  <c r="AJ22" i="17"/>
  <c r="B22" i="17"/>
  <c r="M22" i="17"/>
  <c r="D21" i="17"/>
  <c r="D30" i="18"/>
  <c r="G56" i="18"/>
  <c r="G39" i="18"/>
  <c r="AE21" i="18"/>
  <c r="AE22" i="18"/>
  <c r="AE10" i="18"/>
  <c r="AE13" i="18"/>
  <c r="AU21" i="18"/>
  <c r="AX21" i="18"/>
  <c r="AX22" i="18"/>
  <c r="F27" i="17"/>
  <c r="E30" i="17"/>
  <c r="F21" i="17"/>
  <c r="F22" i="17"/>
  <c r="J55" i="17"/>
  <c r="J22" i="17"/>
  <c r="K21" i="17"/>
  <c r="K22" i="17"/>
  <c r="AI22" i="17"/>
  <c r="AX22" i="17"/>
  <c r="AX21" i="17"/>
  <c r="F10" i="18"/>
  <c r="F13" i="18"/>
  <c r="G14" i="18"/>
  <c r="G10" i="18"/>
  <c r="G13" i="18"/>
  <c r="AC21" i="18"/>
  <c r="AK21" i="18"/>
  <c r="AK22" i="18"/>
  <c r="AL39" i="18"/>
  <c r="AL34" i="18"/>
  <c r="AL40" i="18"/>
  <c r="AL24" i="18"/>
  <c r="AS21" i="18"/>
  <c r="AV21" i="18"/>
  <c r="AV22" i="18"/>
  <c r="I21" i="17"/>
  <c r="I22" i="17"/>
  <c r="N21" i="17"/>
  <c r="N22" i="17"/>
  <c r="R21" i="17"/>
  <c r="R22" i="17"/>
  <c r="AI44" i="17"/>
  <c r="AI23" i="17"/>
  <c r="AI33" i="17"/>
  <c r="AI55" i="17"/>
  <c r="B22" i="18"/>
  <c r="R10" i="18"/>
  <c r="R13" i="18"/>
  <c r="S10" i="18"/>
  <c r="S13" i="18"/>
  <c r="T10" i="18"/>
  <c r="T13" i="18"/>
  <c r="U10" i="18"/>
  <c r="U13" i="18"/>
  <c r="V10" i="18"/>
  <c r="V13" i="18"/>
  <c r="W10" i="18"/>
  <c r="W13" i="18"/>
  <c r="AA21" i="18"/>
  <c r="AA22" i="18"/>
  <c r="AA10" i="18"/>
  <c r="AA13" i="18"/>
  <c r="AI21" i="18"/>
  <c r="AI22" i="18"/>
  <c r="AI10" i="18"/>
  <c r="AI13" i="18"/>
  <c r="AQ21" i="18"/>
  <c r="AS22" i="18"/>
  <c r="AT21" i="18"/>
  <c r="AT22" i="18"/>
  <c r="AY21" i="18"/>
  <c r="D13" i="17"/>
  <c r="P21" i="17"/>
  <c r="P22" i="17"/>
  <c r="Q21" i="17"/>
  <c r="Q22" i="17"/>
  <c r="T21" i="17"/>
  <c r="T22" i="17"/>
  <c r="U21" i="17"/>
  <c r="U22" i="17"/>
  <c r="AW22" i="17"/>
  <c r="AW21" i="17"/>
  <c r="AL61" i="18"/>
  <c r="AL57" i="18"/>
  <c r="G51" i="17"/>
  <c r="G46" i="17"/>
  <c r="AM10" i="18"/>
  <c r="AM13" i="18"/>
  <c r="AO10" i="18"/>
  <c r="AO13" i="18"/>
  <c r="AZ17" i="17"/>
  <c r="W21" i="17"/>
  <c r="W22" i="17"/>
  <c r="G57" i="17"/>
  <c r="L56" i="17"/>
  <c r="L62" i="17"/>
  <c r="L45" i="17"/>
  <c r="L24" i="17"/>
  <c r="V21" i="17"/>
  <c r="V22" i="17"/>
  <c r="AK33" i="17"/>
  <c r="AK44" i="17"/>
  <c r="AK55" i="17"/>
  <c r="AM22" i="17"/>
  <c r="AM21" i="17"/>
  <c r="AO22" i="17"/>
  <c r="AO21" i="17"/>
  <c r="AQ22" i="17"/>
  <c r="AQ21" i="17"/>
  <c r="X21" i="17"/>
  <c r="X22" i="17"/>
  <c r="AG21" i="17"/>
  <c r="AL21" i="17"/>
  <c r="AL22" i="17"/>
  <c r="AN21" i="17"/>
  <c r="AN22" i="17"/>
  <c r="AP21" i="17"/>
  <c r="AP22" i="17"/>
  <c r="AR22" i="17"/>
  <c r="AR21" i="17"/>
  <c r="Y21" i="17"/>
  <c r="Z21" i="17"/>
  <c r="AA21" i="17"/>
  <c r="AB21" i="17"/>
  <c r="AC21" i="17"/>
  <c r="AD21" i="17"/>
  <c r="AE34" i="17"/>
  <c r="AE56" i="17"/>
  <c r="AS22" i="17"/>
  <c r="AS21" i="17"/>
  <c r="H7" i="20"/>
  <c r="S8" i="20"/>
  <c r="Y22" i="17"/>
  <c r="Z22" i="17"/>
  <c r="AA22" i="17"/>
  <c r="AB22" i="17"/>
  <c r="AC22" i="17"/>
  <c r="AD22" i="17"/>
  <c r="AE24" i="17"/>
  <c r="AS10" i="17"/>
  <c r="AS13" i="17"/>
  <c r="D259" i="16"/>
  <c r="AZ259" i="16"/>
  <c r="BA14" i="16"/>
  <c r="D259" i="15"/>
  <c r="AZ259" i="15"/>
  <c r="BA14" i="15"/>
  <c r="D259" i="14"/>
  <c r="AZ259" i="14"/>
  <c r="BA14" i="14"/>
  <c r="AT10" i="17"/>
  <c r="AT13" i="17"/>
  <c r="AO260" i="14"/>
  <c r="AU10" i="17"/>
  <c r="AU13" i="17"/>
  <c r="AX10" i="17"/>
  <c r="AX13" i="17"/>
  <c r="I260" i="16"/>
  <c r="K260" i="16"/>
  <c r="Q260" i="16"/>
  <c r="S260" i="16"/>
  <c r="Y260" i="16"/>
  <c r="AA260" i="16"/>
  <c r="AG260" i="16"/>
  <c r="AI260" i="16"/>
  <c r="AQ260" i="16"/>
  <c r="AY260" i="16"/>
  <c r="I260" i="15"/>
  <c r="AZ260" i="15"/>
  <c r="K260" i="15"/>
  <c r="Q260" i="15"/>
  <c r="S260" i="15"/>
  <c r="Y260" i="15"/>
  <c r="AA260" i="15"/>
  <c r="AG260" i="15"/>
  <c r="AI260" i="15"/>
  <c r="AO260" i="15"/>
  <c r="AQ260" i="15"/>
  <c r="AY260" i="15"/>
  <c r="Y260" i="14"/>
  <c r="AM260" i="14"/>
  <c r="S31" i="20"/>
  <c r="T32" i="20"/>
  <c r="S7" i="20"/>
  <c r="H8" i="20"/>
  <c r="S9" i="20"/>
  <c r="H9" i="20"/>
  <c r="S40" i="20"/>
  <c r="E260" i="16"/>
  <c r="AZ260" i="16"/>
  <c r="G260" i="16"/>
  <c r="M260" i="16"/>
  <c r="O260" i="16"/>
  <c r="U260" i="16"/>
  <c r="W260" i="16"/>
  <c r="AC260" i="16"/>
  <c r="AE260" i="16"/>
  <c r="AM260" i="16"/>
  <c r="AU260" i="16"/>
  <c r="G260" i="15"/>
  <c r="M260" i="15"/>
  <c r="O260" i="15"/>
  <c r="U260" i="15"/>
  <c r="W260" i="15"/>
  <c r="AC260" i="15"/>
  <c r="AE260" i="15"/>
  <c r="AK260" i="15"/>
  <c r="AM260" i="15"/>
  <c r="AS260" i="15"/>
  <c r="AU260" i="15"/>
  <c r="E260" i="14"/>
  <c r="AZ260" i="14"/>
  <c r="G260" i="14"/>
  <c r="Q260" i="14"/>
  <c r="S260" i="14"/>
  <c r="S36" i="20"/>
  <c r="T43" i="20"/>
  <c r="M34" i="17"/>
  <c r="M40" i="17"/>
  <c r="M24" i="17"/>
  <c r="M45" i="17"/>
  <c r="M51" i="17"/>
  <c r="M56" i="17"/>
  <c r="M62" i="17"/>
  <c r="AV22" i="17"/>
  <c r="AV21" i="17"/>
  <c r="AB44" i="17"/>
  <c r="AB23" i="17"/>
  <c r="AB55" i="17"/>
  <c r="AB33" i="17"/>
  <c r="AN24" i="17"/>
  <c r="AN34" i="17"/>
  <c r="AN40" i="17"/>
  <c r="AN45" i="17"/>
  <c r="AN51" i="17"/>
  <c r="AN56" i="17"/>
  <c r="AN62" i="17"/>
  <c r="AQ45" i="17"/>
  <c r="AQ51" i="17"/>
  <c r="AQ24" i="17"/>
  <c r="AQ56" i="17"/>
  <c r="AQ62" i="17"/>
  <c r="AQ34" i="17"/>
  <c r="AQ40" i="17"/>
  <c r="V34" i="17"/>
  <c r="V40" i="17"/>
  <c r="V56" i="17"/>
  <c r="V62" i="17"/>
  <c r="V45" i="17"/>
  <c r="V51" i="17"/>
  <c r="V24" i="17"/>
  <c r="AW55" i="17"/>
  <c r="AW23" i="17"/>
  <c r="AW44" i="17"/>
  <c r="AW33" i="17"/>
  <c r="AZ10" i="17"/>
  <c r="X21" i="18"/>
  <c r="X22" i="18"/>
  <c r="AI39" i="17"/>
  <c r="H21" i="18"/>
  <c r="H22" i="18"/>
  <c r="AF21" i="18"/>
  <c r="AF22" i="18"/>
  <c r="AJ24" i="17"/>
  <c r="AJ34" i="17"/>
  <c r="AJ40" i="17"/>
  <c r="AJ45" i="17"/>
  <c r="AJ51" i="17"/>
  <c r="AJ56" i="17"/>
  <c r="AJ62" i="17"/>
  <c r="O34" i="17"/>
  <c r="O40" i="17"/>
  <c r="O24" i="17"/>
  <c r="O56" i="17"/>
  <c r="O62" i="17"/>
  <c r="O45" i="17"/>
  <c r="O51" i="17"/>
  <c r="AR34" i="18"/>
  <c r="AR40" i="18"/>
  <c r="AR45" i="18"/>
  <c r="AR51" i="18"/>
  <c r="AR56" i="18"/>
  <c r="AR62" i="18"/>
  <c r="AR24" i="18"/>
  <c r="AM34" i="18"/>
  <c r="AM40" i="18"/>
  <c r="AM45" i="18"/>
  <c r="AM51" i="18"/>
  <c r="AM56" i="18"/>
  <c r="AM62" i="18"/>
  <c r="AM24" i="18"/>
  <c r="Q34" i="18"/>
  <c r="Q40" i="18"/>
  <c r="Q45" i="18"/>
  <c r="Q51" i="18"/>
  <c r="Q56" i="18"/>
  <c r="Q62" i="18"/>
  <c r="Q24" i="18"/>
  <c r="AA44" i="17"/>
  <c r="AA23" i="17"/>
  <c r="AA55" i="17"/>
  <c r="AA33" i="17"/>
  <c r="AN33" i="17"/>
  <c r="AN23" i="17"/>
  <c r="AN55" i="17"/>
  <c r="AN44" i="17"/>
  <c r="AO33" i="17"/>
  <c r="AO44" i="17"/>
  <c r="AO55" i="17"/>
  <c r="AO23" i="17"/>
  <c r="T44" i="17"/>
  <c r="T55" i="17"/>
  <c r="T33" i="17"/>
  <c r="T23" i="17"/>
  <c r="AY44" i="18"/>
  <c r="AY23" i="18"/>
  <c r="AY33" i="18"/>
  <c r="AY55" i="18"/>
  <c r="AB21" i="18"/>
  <c r="AB22" i="18"/>
  <c r="S21" i="18"/>
  <c r="S22" i="18"/>
  <c r="AV34" i="18"/>
  <c r="AV40" i="18"/>
  <c r="AV45" i="18"/>
  <c r="AV51" i="18"/>
  <c r="AV56" i="18"/>
  <c r="AV62" i="18"/>
  <c r="AV24" i="18"/>
  <c r="AK44" i="18"/>
  <c r="AK55" i="18"/>
  <c r="AK33" i="18"/>
  <c r="AK23" i="18"/>
  <c r="F44" i="17"/>
  <c r="F55" i="17"/>
  <c r="F33" i="17"/>
  <c r="F23" i="17"/>
  <c r="H21" i="17"/>
  <c r="H22" i="17"/>
  <c r="Q44" i="18"/>
  <c r="Q55" i="18"/>
  <c r="Q23" i="18"/>
  <c r="Q33" i="18"/>
  <c r="T11" i="20"/>
  <c r="T45" i="20"/>
  <c r="AU22" i="17"/>
  <c r="AU21" i="17"/>
  <c r="AD34" i="17"/>
  <c r="AD40" i="17"/>
  <c r="AD56" i="17"/>
  <c r="AD62" i="17"/>
  <c r="AD45" i="17"/>
  <c r="AD51" i="17"/>
  <c r="AD24" i="17"/>
  <c r="Z34" i="17"/>
  <c r="Z40" i="17"/>
  <c r="Z56" i="17"/>
  <c r="Z62" i="17"/>
  <c r="Z45" i="17"/>
  <c r="Z51" i="17"/>
  <c r="Z24" i="17"/>
  <c r="AS55" i="17"/>
  <c r="AS23" i="17"/>
  <c r="AS44" i="17"/>
  <c r="AS33" i="17"/>
  <c r="AD44" i="17"/>
  <c r="AD23" i="17"/>
  <c r="AD55" i="17"/>
  <c r="AD33" i="17"/>
  <c r="Z44" i="17"/>
  <c r="Z23" i="17"/>
  <c r="Z55" i="17"/>
  <c r="Z33" i="17"/>
  <c r="AP24" i="17"/>
  <c r="AP34" i="17"/>
  <c r="AP40" i="17"/>
  <c r="AP45" i="17"/>
  <c r="AP51" i="17"/>
  <c r="AP56" i="17"/>
  <c r="AP62" i="17"/>
  <c r="AL24" i="17"/>
  <c r="AL34" i="17"/>
  <c r="AL40" i="17"/>
  <c r="AL45" i="17"/>
  <c r="AL51" i="17"/>
  <c r="AL56" i="17"/>
  <c r="AL62" i="17"/>
  <c r="X44" i="17"/>
  <c r="X23" i="17"/>
  <c r="X55" i="17"/>
  <c r="X33" i="17"/>
  <c r="AO24" i="17"/>
  <c r="AO45" i="17"/>
  <c r="AO51" i="17"/>
  <c r="AO34" i="17"/>
  <c r="AO40" i="17"/>
  <c r="AO56" i="17"/>
  <c r="AO62" i="17"/>
  <c r="AK50" i="17"/>
  <c r="AK46" i="17"/>
  <c r="W34" i="17"/>
  <c r="W40" i="17"/>
  <c r="W56" i="17"/>
  <c r="W62" i="17"/>
  <c r="W24" i="17"/>
  <c r="W45" i="17"/>
  <c r="W51" i="17"/>
  <c r="AP21" i="18"/>
  <c r="AP22" i="18"/>
  <c r="U34" i="17"/>
  <c r="U40" i="17"/>
  <c r="U24" i="17"/>
  <c r="U45" i="17"/>
  <c r="U51" i="17"/>
  <c r="U56" i="17"/>
  <c r="U62" i="17"/>
  <c r="Q34" i="17"/>
  <c r="Q40" i="17"/>
  <c r="Q24" i="17"/>
  <c r="Q45" i="17"/>
  <c r="Q51" i="17"/>
  <c r="Q56" i="17"/>
  <c r="Q62" i="17"/>
  <c r="L57" i="17"/>
  <c r="AT34" i="18"/>
  <c r="AT40" i="18"/>
  <c r="AT45" i="18"/>
  <c r="AT51" i="18"/>
  <c r="AT56" i="18"/>
  <c r="AT62" i="18"/>
  <c r="AT24" i="18"/>
  <c r="AJ21" i="18"/>
  <c r="AJ22" i="18"/>
  <c r="AA34" i="18"/>
  <c r="AA40" i="18"/>
  <c r="AA45" i="18"/>
  <c r="AA51" i="18"/>
  <c r="AA56" i="18"/>
  <c r="AA62" i="18"/>
  <c r="AA24" i="18"/>
  <c r="V21" i="18"/>
  <c r="V22" i="18"/>
  <c r="AU22" i="18"/>
  <c r="D22" i="18"/>
  <c r="AY22" i="18"/>
  <c r="AQ22" i="18"/>
  <c r="AI50" i="17"/>
  <c r="N44" i="17"/>
  <c r="N55" i="17"/>
  <c r="N23" i="17"/>
  <c r="N33" i="17"/>
  <c r="AV44" i="18"/>
  <c r="AV23" i="18"/>
  <c r="AV33" i="18"/>
  <c r="AV55" i="18"/>
  <c r="AL35" i="18"/>
  <c r="AC22" i="18"/>
  <c r="AX45" i="17"/>
  <c r="AX51" i="17"/>
  <c r="AX24" i="17"/>
  <c r="AX56" i="17"/>
  <c r="AX62" i="17"/>
  <c r="AX34" i="17"/>
  <c r="AX40" i="17"/>
  <c r="J34" i="17"/>
  <c r="J40" i="17"/>
  <c r="J45" i="17"/>
  <c r="J51" i="17"/>
  <c r="J56" i="17"/>
  <c r="J62" i="17"/>
  <c r="J24" i="17"/>
  <c r="AW22" i="18"/>
  <c r="AE44" i="18"/>
  <c r="AE55" i="18"/>
  <c r="AE23" i="18"/>
  <c r="AE33" i="18"/>
  <c r="D44" i="17"/>
  <c r="D33" i="17"/>
  <c r="D55" i="17"/>
  <c r="D23" i="17"/>
  <c r="AH22" i="17"/>
  <c r="S22" i="17"/>
  <c r="J39" i="17"/>
  <c r="AO22" i="18"/>
  <c r="AG22" i="18"/>
  <c r="AH22" i="18"/>
  <c r="P22" i="18"/>
  <c r="F22" i="18"/>
  <c r="R22" i="18"/>
  <c r="D39" i="18"/>
  <c r="K44" i="18"/>
  <c r="K55" i="18"/>
  <c r="K23" i="18"/>
  <c r="K33" i="18"/>
  <c r="AD22" i="18"/>
  <c r="J22" i="18"/>
  <c r="I22" i="18"/>
  <c r="AT22" i="17"/>
  <c r="AT21" i="17"/>
  <c r="AB34" i="17"/>
  <c r="AB40" i="17"/>
  <c r="AB56" i="17"/>
  <c r="AB62" i="17"/>
  <c r="AB45" i="17"/>
  <c r="AB51" i="17"/>
  <c r="AB24" i="17"/>
  <c r="AE62" i="17"/>
  <c r="AE57" i="17"/>
  <c r="AR55" i="17"/>
  <c r="AR33" i="17"/>
  <c r="AR44" i="17"/>
  <c r="AR23" i="17"/>
  <c r="AG44" i="17"/>
  <c r="AG23" i="17"/>
  <c r="AG33" i="17"/>
  <c r="AG55" i="17"/>
  <c r="AM24" i="17"/>
  <c r="AM45" i="17"/>
  <c r="AM51" i="17"/>
  <c r="AM34" i="17"/>
  <c r="AM40" i="17"/>
  <c r="AM56" i="17"/>
  <c r="AM62" i="17"/>
  <c r="T34" i="17"/>
  <c r="T40" i="17"/>
  <c r="T24" i="17"/>
  <c r="T56" i="17"/>
  <c r="T62" i="17"/>
  <c r="T45" i="17"/>
  <c r="T51" i="17"/>
  <c r="P34" i="17"/>
  <c r="P40" i="17"/>
  <c r="P24" i="17"/>
  <c r="P56" i="17"/>
  <c r="P62" i="17"/>
  <c r="P45" i="17"/>
  <c r="P51" i="17"/>
  <c r="AS34" i="18"/>
  <c r="AS40" i="18"/>
  <c r="AS45" i="18"/>
  <c r="AS51" i="18"/>
  <c r="AS56" i="18"/>
  <c r="AS62" i="18"/>
  <c r="AS24" i="18"/>
  <c r="AI44" i="18"/>
  <c r="AI55" i="18"/>
  <c r="AI23" i="18"/>
  <c r="AI33" i="18"/>
  <c r="T21" i="18"/>
  <c r="T22" i="18"/>
  <c r="R44" i="17"/>
  <c r="R55" i="17"/>
  <c r="R23" i="17"/>
  <c r="R33" i="17"/>
  <c r="I44" i="17"/>
  <c r="I23" i="17"/>
  <c r="I33" i="17"/>
  <c r="I55" i="17"/>
  <c r="AK34" i="18"/>
  <c r="AK40" i="18"/>
  <c r="AK45" i="18"/>
  <c r="AK51" i="18"/>
  <c r="AK56" i="18"/>
  <c r="AK62" i="18"/>
  <c r="AK24" i="18"/>
  <c r="K34" i="17"/>
  <c r="K40" i="17"/>
  <c r="K45" i="17"/>
  <c r="K51" i="17"/>
  <c r="K56" i="17"/>
  <c r="K62" i="17"/>
  <c r="K24" i="17"/>
  <c r="F34" i="17"/>
  <c r="F40" i="17"/>
  <c r="F24" i="17"/>
  <c r="F56" i="17"/>
  <c r="F62" i="17"/>
  <c r="F45" i="17"/>
  <c r="F51" i="17"/>
  <c r="AX34" i="18"/>
  <c r="AX40" i="18"/>
  <c r="AX45" i="18"/>
  <c r="AX51" i="18"/>
  <c r="AX56" i="18"/>
  <c r="AX62" i="18"/>
  <c r="AX24" i="18"/>
  <c r="G62" i="18"/>
  <c r="G57" i="18"/>
  <c r="AF34" i="17"/>
  <c r="AF40" i="17"/>
  <c r="AF56" i="17"/>
  <c r="AF62" i="17"/>
  <c r="AF24" i="17"/>
  <c r="AF45" i="17"/>
  <c r="AF51" i="17"/>
  <c r="J50" i="17"/>
  <c r="J46" i="17"/>
  <c r="Y34" i="18"/>
  <c r="Y40" i="18"/>
  <c r="Y45" i="18"/>
  <c r="Y51" i="18"/>
  <c r="Y56" i="18"/>
  <c r="Y62" i="18"/>
  <c r="Y24" i="18"/>
  <c r="Z34" i="18"/>
  <c r="Z40" i="18"/>
  <c r="Z24" i="18"/>
  <c r="Z45" i="18"/>
  <c r="Z51" i="18"/>
  <c r="Z56" i="18"/>
  <c r="Z62" i="18"/>
  <c r="L34" i="18"/>
  <c r="L40" i="18"/>
  <c r="L45" i="18"/>
  <c r="L51" i="18"/>
  <c r="L56" i="18"/>
  <c r="L62" i="18"/>
  <c r="L24" i="18"/>
  <c r="M34" i="18"/>
  <c r="M40" i="18"/>
  <c r="M45" i="18"/>
  <c r="M51" i="18"/>
  <c r="M56" i="18"/>
  <c r="M62" i="18"/>
  <c r="M24" i="18"/>
  <c r="D61" i="18"/>
  <c r="O44" i="18"/>
  <c r="O55" i="18"/>
  <c r="O23" i="18"/>
  <c r="O33" i="18"/>
  <c r="E21" i="18"/>
  <c r="E22" i="18"/>
  <c r="N34" i="18"/>
  <c r="N40" i="18"/>
  <c r="N45" i="18"/>
  <c r="N51" i="18"/>
  <c r="N56" i="18"/>
  <c r="N62" i="18"/>
  <c r="N24" i="18"/>
  <c r="AA34" i="17"/>
  <c r="AA40" i="17"/>
  <c r="AA56" i="17"/>
  <c r="AA62" i="17"/>
  <c r="AA45" i="17"/>
  <c r="AA51" i="17"/>
  <c r="AA24" i="17"/>
  <c r="AE40" i="17"/>
  <c r="AE35" i="17"/>
  <c r="AR45" i="17"/>
  <c r="AR51" i="17"/>
  <c r="AR24" i="17"/>
  <c r="AR56" i="17"/>
  <c r="AR62" i="17"/>
  <c r="AR34" i="17"/>
  <c r="AR40" i="17"/>
  <c r="X34" i="17"/>
  <c r="X40" i="17"/>
  <c r="X56" i="17"/>
  <c r="X62" i="17"/>
  <c r="X45" i="17"/>
  <c r="X51" i="17"/>
  <c r="X24" i="17"/>
  <c r="AK57" i="17"/>
  <c r="AK61" i="17"/>
  <c r="V44" i="17"/>
  <c r="V23" i="17"/>
  <c r="V55" i="17"/>
  <c r="V33" i="17"/>
  <c r="AW45" i="17"/>
  <c r="AW51" i="17"/>
  <c r="AW34" i="17"/>
  <c r="AW40" i="17"/>
  <c r="AW56" i="17"/>
  <c r="AW62" i="17"/>
  <c r="AW24" i="17"/>
  <c r="P44" i="17"/>
  <c r="P55" i="17"/>
  <c r="P33" i="17"/>
  <c r="P23" i="17"/>
  <c r="AQ44" i="18"/>
  <c r="AQ23" i="18"/>
  <c r="AQ33" i="18"/>
  <c r="AQ55" i="18"/>
  <c r="W21" i="18"/>
  <c r="W22" i="18"/>
  <c r="N34" i="17"/>
  <c r="N40" i="17"/>
  <c r="N24" i="17"/>
  <c r="N45" i="17"/>
  <c r="N51" i="17"/>
  <c r="N56" i="17"/>
  <c r="N62" i="17"/>
  <c r="AX55" i="17"/>
  <c r="AX33" i="17"/>
  <c r="AX44" i="17"/>
  <c r="AX23" i="17"/>
  <c r="K44" i="17"/>
  <c r="K23" i="17"/>
  <c r="K33" i="17"/>
  <c r="K55" i="17"/>
  <c r="AX44" i="18"/>
  <c r="AX23" i="18"/>
  <c r="AX33" i="18"/>
  <c r="AX55" i="18"/>
  <c r="AE34" i="18"/>
  <c r="AE40" i="18"/>
  <c r="AE45" i="18"/>
  <c r="AE51" i="18"/>
  <c r="AE56" i="18"/>
  <c r="AE62" i="18"/>
  <c r="AE24" i="18"/>
  <c r="AJ33" i="17"/>
  <c r="AJ23" i="17"/>
  <c r="AJ55" i="17"/>
  <c r="AJ44" i="17"/>
  <c r="AF44" i="17"/>
  <c r="AF23" i="17"/>
  <c r="AF33" i="17"/>
  <c r="AF55" i="17"/>
  <c r="O44" i="17"/>
  <c r="O55" i="17"/>
  <c r="O33" i="17"/>
  <c r="O23" i="17"/>
  <c r="AR44" i="18"/>
  <c r="AR23" i="18"/>
  <c r="AR33" i="18"/>
  <c r="AR55" i="18"/>
  <c r="Y44" i="18"/>
  <c r="Y55" i="18"/>
  <c r="Y23" i="18"/>
  <c r="Y33" i="18"/>
  <c r="AM44" i="18"/>
  <c r="AM23" i="18"/>
  <c r="AM33" i="18"/>
  <c r="AM55" i="18"/>
  <c r="Z44" i="18"/>
  <c r="Z55" i="18"/>
  <c r="Z33" i="18"/>
  <c r="Z23" i="18"/>
  <c r="L44" i="18"/>
  <c r="L55" i="18"/>
  <c r="L23" i="18"/>
  <c r="L33" i="18"/>
  <c r="G27" i="18"/>
  <c r="F30" i="18"/>
  <c r="M44" i="18"/>
  <c r="M55" i="18"/>
  <c r="M23" i="18"/>
  <c r="M33" i="18"/>
  <c r="D50" i="18"/>
  <c r="K34" i="18"/>
  <c r="K40" i="18"/>
  <c r="K45" i="18"/>
  <c r="K51" i="18"/>
  <c r="K56" i="18"/>
  <c r="K62" i="18"/>
  <c r="K24" i="18"/>
  <c r="AZ10" i="18"/>
  <c r="N44" i="18"/>
  <c r="N55" i="18"/>
  <c r="N23" i="18"/>
  <c r="N33" i="18"/>
  <c r="AY21" i="17"/>
  <c r="AY22" i="17"/>
  <c r="AC34" i="17"/>
  <c r="AC40" i="17"/>
  <c r="AC56" i="17"/>
  <c r="AC62" i="17"/>
  <c r="AC45" i="17"/>
  <c r="AC51" i="17"/>
  <c r="AC24" i="17"/>
  <c r="Y34" i="17"/>
  <c r="Y40" i="17"/>
  <c r="Y56" i="17"/>
  <c r="Y62" i="17"/>
  <c r="Y45" i="17"/>
  <c r="Y51" i="17"/>
  <c r="Y24" i="17"/>
  <c r="AS45" i="17"/>
  <c r="AS51" i="17"/>
  <c r="AS34" i="17"/>
  <c r="AS40" i="17"/>
  <c r="AS24" i="17"/>
  <c r="AS56" i="17"/>
  <c r="AS62" i="17"/>
  <c r="AC44" i="17"/>
  <c r="AC23" i="17"/>
  <c r="AC55" i="17"/>
  <c r="AC33" i="17"/>
  <c r="Y44" i="17"/>
  <c r="Y23" i="17"/>
  <c r="Y55" i="17"/>
  <c r="Y33" i="17"/>
  <c r="AP33" i="17"/>
  <c r="AP23" i="17"/>
  <c r="AP55" i="17"/>
  <c r="AP44" i="17"/>
  <c r="AL33" i="17"/>
  <c r="AL23" i="17"/>
  <c r="AL55" i="17"/>
  <c r="AL44" i="17"/>
  <c r="AQ33" i="17"/>
  <c r="AQ55" i="17"/>
  <c r="AQ44" i="17"/>
  <c r="AQ23" i="17"/>
  <c r="AM33" i="17"/>
  <c r="AM44" i="17"/>
  <c r="AM55" i="17"/>
  <c r="AM23" i="17"/>
  <c r="AK35" i="17"/>
  <c r="AK39" i="17"/>
  <c r="L51" i="17"/>
  <c r="L46" i="17"/>
  <c r="W44" i="17"/>
  <c r="W23" i="17"/>
  <c r="W55" i="17"/>
  <c r="W33" i="17"/>
  <c r="AN21" i="18"/>
  <c r="AN22" i="18"/>
  <c r="U44" i="17"/>
  <c r="U23" i="17"/>
  <c r="U33" i="17"/>
  <c r="U55" i="17"/>
  <c r="Q44" i="17"/>
  <c r="Q55" i="17"/>
  <c r="Q23" i="17"/>
  <c r="Q33" i="17"/>
  <c r="E21" i="17"/>
  <c r="AZ21" i="17"/>
  <c r="E22" i="17"/>
  <c r="AT44" i="18"/>
  <c r="AT23" i="18"/>
  <c r="AT33" i="18"/>
  <c r="AT55" i="18"/>
  <c r="AI34" i="18"/>
  <c r="AI40" i="18"/>
  <c r="AI45" i="18"/>
  <c r="AI51" i="18"/>
  <c r="AI56" i="18"/>
  <c r="AI62" i="18"/>
  <c r="AI24" i="18"/>
  <c r="AA44" i="18"/>
  <c r="AA55" i="18"/>
  <c r="AA23" i="18"/>
  <c r="AA33" i="18"/>
  <c r="U21" i="18"/>
  <c r="U22" i="18"/>
  <c r="AI61" i="17"/>
  <c r="R34" i="17"/>
  <c r="R40" i="17"/>
  <c r="R24" i="17"/>
  <c r="R45" i="17"/>
  <c r="R51" i="17"/>
  <c r="R56" i="17"/>
  <c r="R62" i="17"/>
  <c r="I34" i="17"/>
  <c r="I40" i="17"/>
  <c r="I45" i="17"/>
  <c r="I51" i="17"/>
  <c r="I56" i="17"/>
  <c r="I62" i="17"/>
  <c r="I24" i="17"/>
  <c r="AS44" i="18"/>
  <c r="AS23" i="18"/>
  <c r="AS33" i="18"/>
  <c r="AS55" i="18"/>
  <c r="AC44" i="18"/>
  <c r="AC55" i="18"/>
  <c r="AC23" i="18"/>
  <c r="AC33" i="18"/>
  <c r="AI34" i="17"/>
  <c r="AI40" i="17"/>
  <c r="AI56" i="17"/>
  <c r="AI62" i="17"/>
  <c r="AI24" i="17"/>
  <c r="AI45" i="17"/>
  <c r="AI51" i="17"/>
  <c r="J61" i="17"/>
  <c r="J57" i="17"/>
  <c r="G27" i="17"/>
  <c r="F30" i="17"/>
  <c r="AU44" i="18"/>
  <c r="AU23" i="18"/>
  <c r="AU33" i="18"/>
  <c r="AU55" i="18"/>
  <c r="D22" i="17"/>
  <c r="AG22" i="17"/>
  <c r="AH44" i="17"/>
  <c r="AH23" i="17"/>
  <c r="AH33" i="17"/>
  <c r="AH55" i="17"/>
  <c r="S44" i="17"/>
  <c r="S55" i="17"/>
  <c r="S33" i="17"/>
  <c r="S23" i="17"/>
  <c r="AW44" i="18"/>
  <c r="AW23" i="18"/>
  <c r="AW33" i="18"/>
  <c r="AW55" i="18"/>
  <c r="AO44" i="18"/>
  <c r="AO23" i="18"/>
  <c r="AO33" i="18"/>
  <c r="AO55" i="18"/>
  <c r="AG44" i="18"/>
  <c r="AG55" i="18"/>
  <c r="AG23" i="18"/>
  <c r="AG33" i="18"/>
  <c r="M44" i="17"/>
  <c r="M55" i="17"/>
  <c r="M23" i="17"/>
  <c r="M33" i="17"/>
  <c r="AH44" i="18"/>
  <c r="AH55" i="18"/>
  <c r="AH33" i="18"/>
  <c r="AH23" i="18"/>
  <c r="P44" i="18"/>
  <c r="P55" i="18"/>
  <c r="P23" i="18"/>
  <c r="P33" i="18"/>
  <c r="F44" i="18"/>
  <c r="F55" i="18"/>
  <c r="F23" i="18"/>
  <c r="F33" i="18"/>
  <c r="R44" i="18"/>
  <c r="R55" i="18"/>
  <c r="R23" i="18"/>
  <c r="R33" i="18"/>
  <c r="O22" i="18"/>
  <c r="AD44" i="18"/>
  <c r="AD33" i="18"/>
  <c r="AD23" i="18"/>
  <c r="AD55" i="18"/>
  <c r="J44" i="18"/>
  <c r="J55" i="18"/>
  <c r="J23" i="18"/>
  <c r="J33" i="18"/>
  <c r="I44" i="18"/>
  <c r="I55" i="18"/>
  <c r="I23" i="18"/>
  <c r="I33" i="18"/>
  <c r="I61" i="18"/>
  <c r="J61" i="18"/>
  <c r="AD39" i="18"/>
  <c r="R35" i="18"/>
  <c r="R39" i="18"/>
  <c r="F39" i="18"/>
  <c r="P39" i="18"/>
  <c r="M35" i="17"/>
  <c r="M39" i="17"/>
  <c r="AG35" i="18"/>
  <c r="AG39" i="18"/>
  <c r="AO61" i="18"/>
  <c r="AW61" i="18"/>
  <c r="AH61" i="17"/>
  <c r="AG34" i="17"/>
  <c r="AG40" i="17"/>
  <c r="AG56" i="17"/>
  <c r="AG62" i="17"/>
  <c r="AG24" i="17"/>
  <c r="AG45" i="17"/>
  <c r="AG51" i="17"/>
  <c r="AC61" i="18"/>
  <c r="U34" i="18"/>
  <c r="U40" i="18"/>
  <c r="U45" i="18"/>
  <c r="U51" i="18"/>
  <c r="U24" i="18"/>
  <c r="U56" i="18"/>
  <c r="U62" i="18"/>
  <c r="AA61" i="18"/>
  <c r="AA57" i="18"/>
  <c r="Q35" i="17"/>
  <c r="Q39" i="17"/>
  <c r="U61" i="17"/>
  <c r="U57" i="17"/>
  <c r="AN34" i="18"/>
  <c r="AN40" i="18"/>
  <c r="AN24" i="18"/>
  <c r="AN56" i="18"/>
  <c r="AN62" i="18"/>
  <c r="AN45" i="18"/>
  <c r="AN51" i="18"/>
  <c r="AM50" i="17"/>
  <c r="AM46" i="17"/>
  <c r="AQ57" i="17"/>
  <c r="AQ61" i="17"/>
  <c r="N35" i="18"/>
  <c r="N39" i="18"/>
  <c r="H27" i="18"/>
  <c r="G30" i="18"/>
  <c r="L46" i="18"/>
  <c r="L50" i="18"/>
  <c r="Z46" i="18"/>
  <c r="Z50" i="18"/>
  <c r="AM46" i="18"/>
  <c r="AM50" i="18"/>
  <c r="Y46" i="18"/>
  <c r="Y50" i="18"/>
  <c r="AR50" i="18"/>
  <c r="AR46" i="18"/>
  <c r="O46" i="17"/>
  <c r="O50" i="17"/>
  <c r="AF46" i="17"/>
  <c r="AF50" i="17"/>
  <c r="AJ39" i="17"/>
  <c r="AJ35" i="17"/>
  <c r="AX35" i="17"/>
  <c r="AX39" i="17"/>
  <c r="AQ61" i="18"/>
  <c r="V39" i="17"/>
  <c r="V35" i="17"/>
  <c r="E34" i="18"/>
  <c r="E40" i="18"/>
  <c r="E45" i="18"/>
  <c r="E51" i="18"/>
  <c r="E56" i="18"/>
  <c r="E62" i="18"/>
  <c r="E24" i="18"/>
  <c r="O61" i="18"/>
  <c r="I61" i="17"/>
  <c r="I57" i="17"/>
  <c r="R35" i="17"/>
  <c r="R39" i="17"/>
  <c r="T34" i="18"/>
  <c r="T40" i="18"/>
  <c r="T45" i="18"/>
  <c r="T51" i="18"/>
  <c r="T24" i="18"/>
  <c r="T56" i="18"/>
  <c r="T62" i="18"/>
  <c r="AI61" i="18"/>
  <c r="AI57" i="18"/>
  <c r="AR35" i="17"/>
  <c r="AR39" i="17"/>
  <c r="AT55" i="17"/>
  <c r="AT33" i="17"/>
  <c r="AT44" i="17"/>
  <c r="AT23" i="17"/>
  <c r="AD34" i="18"/>
  <c r="AD40" i="18"/>
  <c r="AD24" i="18"/>
  <c r="AD56" i="18"/>
  <c r="AD62" i="18"/>
  <c r="AD45" i="18"/>
  <c r="AD51" i="18"/>
  <c r="K46" i="18"/>
  <c r="K50" i="18"/>
  <c r="F34" i="18"/>
  <c r="F40" i="18"/>
  <c r="F45" i="18"/>
  <c r="F51" i="18"/>
  <c r="F56" i="18"/>
  <c r="F62" i="18"/>
  <c r="F24" i="18"/>
  <c r="AO34" i="18"/>
  <c r="AO40" i="18"/>
  <c r="AO45" i="18"/>
  <c r="AO51" i="18"/>
  <c r="AO56" i="18"/>
  <c r="AO62" i="18"/>
  <c r="AO24" i="18"/>
  <c r="AH34" i="17"/>
  <c r="AH40" i="17"/>
  <c r="AH56" i="17"/>
  <c r="AH62" i="17"/>
  <c r="AH24" i="17"/>
  <c r="AH45" i="17"/>
  <c r="AH51" i="17"/>
  <c r="D50" i="17"/>
  <c r="AE61" i="18"/>
  <c r="AE57" i="18"/>
  <c r="AV50" i="18"/>
  <c r="AV46" i="18"/>
  <c r="N46" i="17"/>
  <c r="N50" i="17"/>
  <c r="AY34" i="18"/>
  <c r="AY40" i="18"/>
  <c r="AY45" i="18"/>
  <c r="AY51" i="18"/>
  <c r="AY56" i="18"/>
  <c r="AY62" i="18"/>
  <c r="AY24" i="18"/>
  <c r="V44" i="18"/>
  <c r="V55" i="18"/>
  <c r="V23" i="18"/>
  <c r="V33" i="18"/>
  <c r="AP34" i="18"/>
  <c r="AP40" i="18"/>
  <c r="AP45" i="18"/>
  <c r="AP51" i="18"/>
  <c r="AP24" i="18"/>
  <c r="AP56" i="18"/>
  <c r="AP62" i="18"/>
  <c r="X39" i="17"/>
  <c r="X35" i="17"/>
  <c r="Z39" i="17"/>
  <c r="Z35" i="17"/>
  <c r="AD39" i="17"/>
  <c r="AD35" i="17"/>
  <c r="AS35" i="17"/>
  <c r="AS39" i="17"/>
  <c r="AU55" i="17"/>
  <c r="AU33" i="17"/>
  <c r="AU23" i="17"/>
  <c r="AU44" i="17"/>
  <c r="H44" i="17"/>
  <c r="H23" i="17"/>
  <c r="H33" i="17"/>
  <c r="H55" i="17"/>
  <c r="F46" i="17"/>
  <c r="F50" i="17"/>
  <c r="AK46" i="18"/>
  <c r="AK50" i="18"/>
  <c r="AB44" i="18"/>
  <c r="AB23" i="18"/>
  <c r="AB55" i="18"/>
  <c r="AB33" i="18"/>
  <c r="AY50" i="18"/>
  <c r="AY46" i="18"/>
  <c r="T46" i="17"/>
  <c r="T50" i="17"/>
  <c r="AO35" i="17"/>
  <c r="AO39" i="17"/>
  <c r="AN39" i="17"/>
  <c r="AN35" i="17"/>
  <c r="AA46" i="17"/>
  <c r="AA50" i="17"/>
  <c r="H44" i="18"/>
  <c r="H55" i="18"/>
  <c r="H23" i="18"/>
  <c r="H33" i="18"/>
  <c r="X44" i="18"/>
  <c r="X55" i="18"/>
  <c r="X33" i="18"/>
  <c r="X23" i="18"/>
  <c r="I46" i="18"/>
  <c r="I50" i="18"/>
  <c r="J50" i="18"/>
  <c r="AD46" i="18"/>
  <c r="AD50" i="18"/>
  <c r="AH39" i="18"/>
  <c r="AO35" i="18"/>
  <c r="AO39" i="18"/>
  <c r="AW39" i="18"/>
  <c r="S35" i="17"/>
  <c r="S39" i="17"/>
  <c r="AH39" i="17"/>
  <c r="AZ22" i="17"/>
  <c r="D34" i="17"/>
  <c r="D40" i="17"/>
  <c r="D24" i="17"/>
  <c r="D45" i="17"/>
  <c r="D51" i="17"/>
  <c r="D56" i="17"/>
  <c r="D62" i="17"/>
  <c r="AU50" i="18"/>
  <c r="AC50" i="18"/>
  <c r="AS50" i="18"/>
  <c r="AS46" i="18"/>
  <c r="U44" i="18"/>
  <c r="U55" i="18"/>
  <c r="U23" i="18"/>
  <c r="U33" i="18"/>
  <c r="AA46" i="18"/>
  <c r="AA50" i="18"/>
  <c r="AT50" i="18"/>
  <c r="AT46" i="18"/>
  <c r="U39" i="17"/>
  <c r="U35" i="17"/>
  <c r="AN44" i="18"/>
  <c r="AN23" i="18"/>
  <c r="AN33" i="18"/>
  <c r="AN55" i="18"/>
  <c r="W46" i="17"/>
  <c r="W50" i="17"/>
  <c r="AM35" i="17"/>
  <c r="AM39" i="17"/>
  <c r="AQ35" i="17"/>
  <c r="AQ39" i="17"/>
  <c r="AL39" i="17"/>
  <c r="AL35" i="17"/>
  <c r="AP39" i="17"/>
  <c r="AP35" i="17"/>
  <c r="Y46" i="17"/>
  <c r="Y50" i="17"/>
  <c r="AC46" i="17"/>
  <c r="AC50" i="17"/>
  <c r="M61" i="18"/>
  <c r="M57" i="18"/>
  <c r="L35" i="18"/>
  <c r="L39" i="18"/>
  <c r="AM61" i="18"/>
  <c r="AM57" i="18"/>
  <c r="Y35" i="18"/>
  <c r="Y39" i="18"/>
  <c r="AR61" i="18"/>
  <c r="AR57" i="18"/>
  <c r="AF61" i="17"/>
  <c r="AF57" i="17"/>
  <c r="AJ50" i="17"/>
  <c r="AJ46" i="17"/>
  <c r="AX50" i="18"/>
  <c r="AX46" i="18"/>
  <c r="K50" i="17"/>
  <c r="K46" i="17"/>
  <c r="AX61" i="17"/>
  <c r="AX57" i="17"/>
  <c r="AQ39" i="18"/>
  <c r="AQ35" i="18"/>
  <c r="P35" i="17"/>
  <c r="P39" i="17"/>
  <c r="V61" i="17"/>
  <c r="V57" i="17"/>
  <c r="E44" i="18"/>
  <c r="E55" i="18"/>
  <c r="E23" i="18"/>
  <c r="E33" i="18"/>
  <c r="AZ21" i="18"/>
  <c r="O46" i="18"/>
  <c r="O50" i="18"/>
  <c r="I39" i="17"/>
  <c r="I35" i="17"/>
  <c r="T44" i="18"/>
  <c r="T55" i="18"/>
  <c r="T23" i="18"/>
  <c r="T33" i="18"/>
  <c r="AI46" i="18"/>
  <c r="AI50" i="18"/>
  <c r="AG46" i="17"/>
  <c r="AG50" i="17"/>
  <c r="AR57" i="17"/>
  <c r="AR61" i="17"/>
  <c r="AT45" i="17"/>
  <c r="AT51" i="17"/>
  <c r="AT24" i="17"/>
  <c r="AT56" i="17"/>
  <c r="AT62" i="17"/>
  <c r="AT34" i="17"/>
  <c r="AT40" i="17"/>
  <c r="K35" i="18"/>
  <c r="K39" i="18"/>
  <c r="P34" i="18"/>
  <c r="P40" i="18"/>
  <c r="P45" i="18"/>
  <c r="P51" i="18"/>
  <c r="P56" i="18"/>
  <c r="P62" i="18"/>
  <c r="P24" i="18"/>
  <c r="J35" i="17"/>
  <c r="AE50" i="18"/>
  <c r="AE46" i="18"/>
  <c r="AV61" i="18"/>
  <c r="AV57" i="18"/>
  <c r="N35" i="17"/>
  <c r="N39" i="17"/>
  <c r="AZ22" i="18"/>
  <c r="D34" i="18"/>
  <c r="D45" i="18"/>
  <c r="D56" i="18"/>
  <c r="D24" i="18"/>
  <c r="AJ34" i="18"/>
  <c r="AJ40" i="18"/>
  <c r="AJ24" i="18"/>
  <c r="AJ45" i="18"/>
  <c r="AJ51" i="18"/>
  <c r="AJ56" i="18"/>
  <c r="AJ62" i="18"/>
  <c r="AP44" i="18"/>
  <c r="AP23" i="18"/>
  <c r="AP33" i="18"/>
  <c r="AP55" i="18"/>
  <c r="X61" i="17"/>
  <c r="X57" i="17"/>
  <c r="Z61" i="17"/>
  <c r="Z57" i="17"/>
  <c r="AD61" i="17"/>
  <c r="AD57" i="17"/>
  <c r="AS50" i="17"/>
  <c r="AS46" i="17"/>
  <c r="AU45" i="17"/>
  <c r="AU51" i="17"/>
  <c r="AU56" i="17"/>
  <c r="AU62" i="17"/>
  <c r="AU24" i="17"/>
  <c r="AU34" i="17"/>
  <c r="AU40" i="17"/>
  <c r="Q61" i="18"/>
  <c r="Q57" i="18"/>
  <c r="S34" i="18"/>
  <c r="S40" i="18"/>
  <c r="S45" i="18"/>
  <c r="S51" i="18"/>
  <c r="S24" i="18"/>
  <c r="S56" i="18"/>
  <c r="S62" i="18"/>
  <c r="AY61" i="18"/>
  <c r="AY57" i="18"/>
  <c r="AN50" i="17"/>
  <c r="AN46" i="17"/>
  <c r="AA39" i="17"/>
  <c r="AA35" i="17"/>
  <c r="AF34" i="18"/>
  <c r="AF40" i="18"/>
  <c r="AF24" i="18"/>
  <c r="AF56" i="18"/>
  <c r="AF62" i="18"/>
  <c r="AF45" i="18"/>
  <c r="AF51" i="18"/>
  <c r="AI35" i="17"/>
  <c r="AW61" i="17"/>
  <c r="AW57" i="17"/>
  <c r="AB46" i="17"/>
  <c r="AB50" i="17"/>
  <c r="I39" i="18"/>
  <c r="J35" i="18"/>
  <c r="J39" i="18"/>
  <c r="AD61" i="18"/>
  <c r="O34" i="18"/>
  <c r="O40" i="18"/>
  <c r="O45" i="18"/>
  <c r="O51" i="18"/>
  <c r="O56" i="18"/>
  <c r="O62" i="18"/>
  <c r="O24" i="18"/>
  <c r="R61" i="18"/>
  <c r="F61" i="18"/>
  <c r="P61" i="18"/>
  <c r="AH61" i="18"/>
  <c r="M61" i="17"/>
  <c r="M57" i="17"/>
  <c r="AG61" i="18"/>
  <c r="S61" i="17"/>
  <c r="AU61" i="18"/>
  <c r="AC39" i="18"/>
  <c r="AS61" i="18"/>
  <c r="AS57" i="18"/>
  <c r="AI57" i="17"/>
  <c r="AA39" i="18"/>
  <c r="AA35" i="18"/>
  <c r="AT61" i="18"/>
  <c r="AT57" i="18"/>
  <c r="E34" i="17"/>
  <c r="E40" i="17"/>
  <c r="E24" i="17"/>
  <c r="E45" i="17"/>
  <c r="E51" i="17"/>
  <c r="E56" i="17"/>
  <c r="E62" i="17"/>
  <c r="Q61" i="17"/>
  <c r="Q57" i="17"/>
  <c r="W39" i="17"/>
  <c r="W35" i="17"/>
  <c r="AL50" i="17"/>
  <c r="AL46" i="17"/>
  <c r="AP50" i="17"/>
  <c r="AP46" i="17"/>
  <c r="Y39" i="17"/>
  <c r="Y35" i="17"/>
  <c r="AC39" i="17"/>
  <c r="AC35" i="17"/>
  <c r="AY24" i="17"/>
  <c r="AY45" i="17"/>
  <c r="AY51" i="17"/>
  <c r="AY56" i="17"/>
  <c r="AY62" i="17"/>
  <c r="AY34" i="17"/>
  <c r="AY40" i="17"/>
  <c r="N61" i="18"/>
  <c r="N57" i="18"/>
  <c r="M46" i="18"/>
  <c r="M50" i="18"/>
  <c r="Z35" i="18"/>
  <c r="Z39" i="18"/>
  <c r="AM35" i="18"/>
  <c r="AM39" i="18"/>
  <c r="AR39" i="18"/>
  <c r="AR35" i="18"/>
  <c r="O35" i="17"/>
  <c r="O39" i="17"/>
  <c r="AF39" i="17"/>
  <c r="AF35" i="17"/>
  <c r="AJ61" i="17"/>
  <c r="AJ57" i="17"/>
  <c r="AX61" i="18"/>
  <c r="AX57" i="18"/>
  <c r="K61" i="17"/>
  <c r="K57" i="17"/>
  <c r="W34" i="18"/>
  <c r="W40" i="18"/>
  <c r="W45" i="18"/>
  <c r="W51" i="18"/>
  <c r="W24" i="18"/>
  <c r="W56" i="18"/>
  <c r="W62" i="18"/>
  <c r="P61" i="17"/>
  <c r="P57" i="17"/>
  <c r="O35" i="18"/>
  <c r="O39" i="18"/>
  <c r="R61" i="17"/>
  <c r="R57" i="17"/>
  <c r="AI39" i="18"/>
  <c r="AI35" i="18"/>
  <c r="AG61" i="17"/>
  <c r="AG57" i="17"/>
  <c r="I34" i="18"/>
  <c r="I40" i="18"/>
  <c r="I45" i="18"/>
  <c r="I51" i="18"/>
  <c r="I56" i="18"/>
  <c r="I62" i="18"/>
  <c r="I24" i="18"/>
  <c r="AH34" i="18"/>
  <c r="AH40" i="18"/>
  <c r="AH24" i="18"/>
  <c r="AH45" i="18"/>
  <c r="AH51" i="18"/>
  <c r="AH56" i="18"/>
  <c r="AH62" i="18"/>
  <c r="D61" i="17"/>
  <c r="AE35" i="18"/>
  <c r="AE39" i="18"/>
  <c r="AW34" i="18"/>
  <c r="AW40" i="18"/>
  <c r="AW45" i="18"/>
  <c r="AW51" i="18"/>
  <c r="AW56" i="18"/>
  <c r="AW62" i="18"/>
  <c r="AW24" i="18"/>
  <c r="AV39" i="18"/>
  <c r="AV35" i="18"/>
  <c r="AI46" i="17"/>
  <c r="AU34" i="18"/>
  <c r="AU40" i="18"/>
  <c r="AU45" i="18"/>
  <c r="AU51" i="18"/>
  <c r="AU56" i="18"/>
  <c r="AU62" i="18"/>
  <c r="AU24" i="18"/>
  <c r="AJ44" i="18"/>
  <c r="AJ23" i="18"/>
  <c r="AJ55" i="18"/>
  <c r="AJ33" i="18"/>
  <c r="Q46" i="18"/>
  <c r="Q50" i="18"/>
  <c r="F35" i="17"/>
  <c r="F39" i="17"/>
  <c r="AK35" i="18"/>
  <c r="AK39" i="18"/>
  <c r="S44" i="18"/>
  <c r="S55" i="18"/>
  <c r="S23" i="18"/>
  <c r="S33" i="18"/>
  <c r="AY39" i="18"/>
  <c r="AY35" i="18"/>
  <c r="T35" i="17"/>
  <c r="T39" i="17"/>
  <c r="AO57" i="17"/>
  <c r="AO61" i="17"/>
  <c r="AN57" i="17"/>
  <c r="AN61" i="17"/>
  <c r="AA61" i="17"/>
  <c r="AA57" i="17"/>
  <c r="AF44" i="18"/>
  <c r="AF55" i="18"/>
  <c r="AF33" i="18"/>
  <c r="AF23" i="18"/>
  <c r="AW35" i="17"/>
  <c r="AW39" i="17"/>
  <c r="AB39" i="17"/>
  <c r="AB35" i="17"/>
  <c r="AV55" i="17"/>
  <c r="AV33" i="17"/>
  <c r="AV44" i="17"/>
  <c r="AV23" i="17"/>
  <c r="R50" i="18"/>
  <c r="F46" i="18"/>
  <c r="F50" i="18"/>
  <c r="P46" i="18"/>
  <c r="P50" i="18"/>
  <c r="AH50" i="18"/>
  <c r="M46" i="17"/>
  <c r="M50" i="17"/>
  <c r="AG50" i="18"/>
  <c r="AO46" i="18"/>
  <c r="AO50" i="18"/>
  <c r="AW50" i="18"/>
  <c r="AW46" i="18"/>
  <c r="S50" i="17"/>
  <c r="AH46" i="17"/>
  <c r="AH50" i="17"/>
  <c r="AU39" i="18"/>
  <c r="AU35" i="18"/>
  <c r="H27" i="17"/>
  <c r="G30" i="17"/>
  <c r="AS39" i="18"/>
  <c r="AS35" i="18"/>
  <c r="AT39" i="18"/>
  <c r="AT35" i="18"/>
  <c r="E44" i="17"/>
  <c r="E55" i="17"/>
  <c r="E23" i="17"/>
  <c r="AZ23" i="17"/>
  <c r="E33" i="17"/>
  <c r="Q46" i="17"/>
  <c r="Q50" i="17"/>
  <c r="U46" i="17"/>
  <c r="U50" i="17"/>
  <c r="W61" i="17"/>
  <c r="W57" i="17"/>
  <c r="AM57" i="17"/>
  <c r="AM61" i="17"/>
  <c r="AQ50" i="17"/>
  <c r="AQ46" i="17"/>
  <c r="AL57" i="17"/>
  <c r="AL61" i="17"/>
  <c r="AP57" i="17"/>
  <c r="AP61" i="17"/>
  <c r="Y61" i="17"/>
  <c r="Y57" i="17"/>
  <c r="AC61" i="17"/>
  <c r="AC57" i="17"/>
  <c r="AY23" i="17"/>
  <c r="AY55" i="17"/>
  <c r="AY33" i="17"/>
  <c r="AY44" i="17"/>
  <c r="N46" i="18"/>
  <c r="N50" i="18"/>
  <c r="M35" i="18"/>
  <c r="M39" i="18"/>
  <c r="L61" i="18"/>
  <c r="L57" i="18"/>
  <c r="Z61" i="18"/>
  <c r="Z57" i="18"/>
  <c r="Y61" i="18"/>
  <c r="Y57" i="18"/>
  <c r="O61" i="17"/>
  <c r="O57" i="17"/>
  <c r="AX39" i="18"/>
  <c r="AX35" i="18"/>
  <c r="K39" i="17"/>
  <c r="K35" i="17"/>
  <c r="AX46" i="17"/>
  <c r="AX50" i="17"/>
  <c r="W44" i="18"/>
  <c r="W55" i="18"/>
  <c r="W23" i="18"/>
  <c r="W33" i="18"/>
  <c r="AQ50" i="18"/>
  <c r="P46" i="17"/>
  <c r="P50" i="17"/>
  <c r="V46" i="17"/>
  <c r="V50" i="17"/>
  <c r="I50" i="17"/>
  <c r="I46" i="17"/>
  <c r="R46" i="17"/>
  <c r="R50" i="17"/>
  <c r="AG39" i="17"/>
  <c r="AG35" i="17"/>
  <c r="AR50" i="17"/>
  <c r="AR46" i="17"/>
  <c r="J34" i="18"/>
  <c r="J40" i="18"/>
  <c r="J45" i="18"/>
  <c r="J51" i="18"/>
  <c r="J56" i="18"/>
  <c r="J62" i="18"/>
  <c r="J24" i="18"/>
  <c r="K61" i="18"/>
  <c r="K57" i="18"/>
  <c r="R34" i="18"/>
  <c r="R40" i="18"/>
  <c r="R45" i="18"/>
  <c r="R51" i="18"/>
  <c r="R56" i="18"/>
  <c r="R62" i="18"/>
  <c r="R24" i="18"/>
  <c r="AG34" i="18"/>
  <c r="AG40" i="18"/>
  <c r="AG45" i="18"/>
  <c r="AG51" i="18"/>
  <c r="AG56" i="18"/>
  <c r="AG62" i="18"/>
  <c r="AG24" i="18"/>
  <c r="S34" i="17"/>
  <c r="S40" i="17"/>
  <c r="S24" i="17"/>
  <c r="S56" i="17"/>
  <c r="S62" i="17"/>
  <c r="S45" i="17"/>
  <c r="S51" i="17"/>
  <c r="D39" i="17"/>
  <c r="D35" i="17"/>
  <c r="AC34" i="18"/>
  <c r="AC40" i="18"/>
  <c r="AC45" i="18"/>
  <c r="AC51" i="18"/>
  <c r="AC56" i="18"/>
  <c r="AC62" i="18"/>
  <c r="AC24" i="18"/>
  <c r="N61" i="17"/>
  <c r="N57" i="17"/>
  <c r="AQ34" i="18"/>
  <c r="AQ40" i="18"/>
  <c r="AQ45" i="18"/>
  <c r="AQ51" i="18"/>
  <c r="AQ56" i="18"/>
  <c r="AQ62" i="18"/>
  <c r="AQ24" i="18"/>
  <c r="V34" i="18"/>
  <c r="V40" i="18"/>
  <c r="V45" i="18"/>
  <c r="V51" i="18"/>
  <c r="V24" i="18"/>
  <c r="V56" i="18"/>
  <c r="V62" i="18"/>
  <c r="X46" i="17"/>
  <c r="X50" i="17"/>
  <c r="Z46" i="17"/>
  <c r="Z50" i="17"/>
  <c r="AD46" i="17"/>
  <c r="AD50" i="17"/>
  <c r="AS61" i="17"/>
  <c r="AS57" i="17"/>
  <c r="Q35" i="18"/>
  <c r="Q39" i="18"/>
  <c r="H34" i="17"/>
  <c r="H40" i="17"/>
  <c r="H45" i="17"/>
  <c r="H51" i="17"/>
  <c r="H56" i="17"/>
  <c r="H62" i="17"/>
  <c r="H24" i="17"/>
  <c r="F61" i="17"/>
  <c r="F57" i="17"/>
  <c r="AK61" i="18"/>
  <c r="AK57" i="18"/>
  <c r="AB34" i="18"/>
  <c r="AB40" i="18"/>
  <c r="AB24" i="18"/>
  <c r="AB45" i="18"/>
  <c r="AB51" i="18"/>
  <c r="AB56" i="18"/>
  <c r="AB62" i="18"/>
  <c r="T61" i="17"/>
  <c r="T57" i="17"/>
  <c r="AO50" i="17"/>
  <c r="AO46" i="17"/>
  <c r="H34" i="18"/>
  <c r="H40" i="18"/>
  <c r="H45" i="18"/>
  <c r="H51" i="18"/>
  <c r="H56" i="18"/>
  <c r="H62" i="18"/>
  <c r="H24" i="18"/>
  <c r="X24" i="18"/>
  <c r="X34" i="18"/>
  <c r="X40" i="18"/>
  <c r="X45" i="18"/>
  <c r="X51" i="18"/>
  <c r="X56" i="18"/>
  <c r="X62" i="18"/>
  <c r="AW50" i="17"/>
  <c r="AW46" i="17"/>
  <c r="AB61" i="17"/>
  <c r="AB57" i="17"/>
  <c r="AV45" i="17"/>
  <c r="AV51" i="17"/>
  <c r="AV24" i="17"/>
  <c r="AV56" i="17"/>
  <c r="AV62" i="17"/>
  <c r="AV34" i="17"/>
  <c r="AV40" i="17"/>
  <c r="W35" i="18"/>
  <c r="W39" i="18"/>
  <c r="AY61" i="17"/>
  <c r="AY57" i="17"/>
  <c r="E35" i="17"/>
  <c r="E39" i="17"/>
  <c r="S61" i="18"/>
  <c r="S57" i="18"/>
  <c r="AJ35" i="18"/>
  <c r="AJ39" i="18"/>
  <c r="I35" i="18"/>
  <c r="D51" i="18"/>
  <c r="D46" i="18"/>
  <c r="E35" i="18"/>
  <c r="E39" i="18"/>
  <c r="AN61" i="18"/>
  <c r="AN57" i="18"/>
  <c r="U61" i="18"/>
  <c r="U57" i="18"/>
  <c r="X46" i="18"/>
  <c r="X50" i="18"/>
  <c r="H46" i="18"/>
  <c r="H50" i="18"/>
  <c r="AB61" i="18"/>
  <c r="AB57" i="18"/>
  <c r="H39" i="17"/>
  <c r="H35" i="17"/>
  <c r="AT61" i="17"/>
  <c r="AT57" i="17"/>
  <c r="P35" i="18"/>
  <c r="I27" i="17"/>
  <c r="H30" i="17"/>
  <c r="AG46" i="18"/>
  <c r="AH46" i="18"/>
  <c r="AV50" i="17"/>
  <c r="AV46" i="17"/>
  <c r="AF35" i="18"/>
  <c r="AF39" i="18"/>
  <c r="S46" i="18"/>
  <c r="S50" i="18"/>
  <c r="AJ61" i="18"/>
  <c r="AJ57" i="18"/>
  <c r="D57" i="17"/>
  <c r="AC35" i="18"/>
  <c r="S57" i="17"/>
  <c r="P57" i="18"/>
  <c r="R57" i="18"/>
  <c r="AP50" i="18"/>
  <c r="AP46" i="18"/>
  <c r="D40" i="18"/>
  <c r="D35" i="18"/>
  <c r="T61" i="18"/>
  <c r="T57" i="18"/>
  <c r="AZ23" i="18"/>
  <c r="AN39" i="18"/>
  <c r="AN35" i="18"/>
  <c r="U46" i="18"/>
  <c r="U50" i="18"/>
  <c r="AC46" i="18"/>
  <c r="AH35" i="17"/>
  <c r="AW35" i="18"/>
  <c r="H35" i="18"/>
  <c r="H39" i="18"/>
  <c r="AU35" i="17"/>
  <c r="AU39" i="17"/>
  <c r="V61" i="18"/>
  <c r="V57" i="18"/>
  <c r="D46" i="17"/>
  <c r="O57" i="18"/>
  <c r="AQ57" i="18"/>
  <c r="AH57" i="17"/>
  <c r="AO57" i="18"/>
  <c r="I57" i="18"/>
  <c r="AQ46" i="18"/>
  <c r="W61" i="18"/>
  <c r="W57" i="18"/>
  <c r="AY50" i="17"/>
  <c r="AY46" i="17"/>
  <c r="E61" i="17"/>
  <c r="E57" i="17"/>
  <c r="AV35" i="17"/>
  <c r="AV39" i="17"/>
  <c r="AF61" i="18"/>
  <c r="AF57" i="18"/>
  <c r="S35" i="18"/>
  <c r="S39" i="18"/>
  <c r="AP61" i="18"/>
  <c r="AP57" i="18"/>
  <c r="AZ24" i="18"/>
  <c r="T46" i="18"/>
  <c r="T50" i="18"/>
  <c r="E61" i="18"/>
  <c r="E57" i="18"/>
  <c r="U35" i="18"/>
  <c r="U39" i="18"/>
  <c r="AU46" i="18"/>
  <c r="AZ24" i="17"/>
  <c r="AH35" i="18"/>
  <c r="J46" i="18"/>
  <c r="X35" i="18"/>
  <c r="X39" i="18"/>
  <c r="AB46" i="18"/>
  <c r="AB50" i="18"/>
  <c r="H50" i="17"/>
  <c r="H46" i="17"/>
  <c r="AU61" i="17"/>
  <c r="AU57" i="17"/>
  <c r="V46" i="18"/>
  <c r="V50" i="18"/>
  <c r="AT46" i="17"/>
  <c r="AT50" i="17"/>
  <c r="I27" i="18"/>
  <c r="H30" i="18"/>
  <c r="F35" i="18"/>
  <c r="AD35" i="18"/>
  <c r="W46" i="18"/>
  <c r="W50" i="18"/>
  <c r="AY35" i="17"/>
  <c r="AY39" i="17"/>
  <c r="E46" i="17"/>
  <c r="E50" i="17"/>
  <c r="S46" i="17"/>
  <c r="R46" i="18"/>
  <c r="AV57" i="17"/>
  <c r="AV61" i="17"/>
  <c r="AF46" i="18"/>
  <c r="AF50" i="18"/>
  <c r="AJ46" i="18"/>
  <c r="AJ50" i="18"/>
  <c r="AU57" i="18"/>
  <c r="AG57" i="18"/>
  <c r="AH57" i="18"/>
  <c r="F57" i="18"/>
  <c r="AD57" i="18"/>
  <c r="AP39" i="18"/>
  <c r="AP35" i="18"/>
  <c r="D62" i="18"/>
  <c r="D57" i="18"/>
  <c r="T35" i="18"/>
  <c r="T39" i="18"/>
  <c r="E46" i="18"/>
  <c r="E50" i="18"/>
  <c r="AN50" i="18"/>
  <c r="AN46" i="18"/>
  <c r="X61" i="18"/>
  <c r="X57" i="18"/>
  <c r="H61" i="18"/>
  <c r="H57" i="18"/>
  <c r="AB35" i="18"/>
  <c r="AB39" i="18"/>
  <c r="H61" i="17"/>
  <c r="H57" i="17"/>
  <c r="AU50" i="17"/>
  <c r="AU46" i="17"/>
  <c r="V35" i="18"/>
  <c r="V39" i="18"/>
  <c r="AT35" i="17"/>
  <c r="AT39" i="17"/>
  <c r="AC57" i="18"/>
  <c r="AW57" i="18"/>
  <c r="J57" i="18"/>
  <c r="J27" i="18"/>
  <c r="I30" i="18"/>
  <c r="J27" i="17"/>
  <c r="I30" i="17"/>
  <c r="K27" i="17"/>
  <c r="J30" i="17"/>
  <c r="K27" i="18"/>
  <c r="J30" i="18"/>
  <c r="L27" i="18"/>
  <c r="K30" i="18"/>
  <c r="L27" i="17"/>
  <c r="K30" i="17"/>
  <c r="M27" i="17"/>
  <c r="L30" i="17"/>
  <c r="M27" i="18"/>
  <c r="L30" i="18"/>
  <c r="N27" i="18"/>
  <c r="M30" i="18"/>
  <c r="N27" i="17"/>
  <c r="M30" i="17"/>
  <c r="O27" i="17"/>
  <c r="N30" i="17"/>
  <c r="O27" i="18"/>
  <c r="N30" i="18"/>
  <c r="P27" i="18"/>
  <c r="O30" i="18"/>
  <c r="P27" i="17"/>
  <c r="O30" i="17"/>
  <c r="Q27" i="17"/>
  <c r="P30" i="17"/>
  <c r="Q27" i="18"/>
  <c r="P30" i="18"/>
  <c r="R27" i="18"/>
  <c r="Q30" i="18"/>
  <c r="R27" i="17"/>
  <c r="Q30" i="17"/>
  <c r="S27" i="17"/>
  <c r="R30" i="17"/>
  <c r="S27" i="18"/>
  <c r="R30" i="18"/>
  <c r="T27" i="18"/>
  <c r="S30" i="18"/>
  <c r="T27" i="17"/>
  <c r="S30" i="17"/>
  <c r="U27" i="17"/>
  <c r="T30" i="17"/>
  <c r="U27" i="18"/>
  <c r="T30" i="18"/>
  <c r="V27" i="18"/>
  <c r="U30" i="18"/>
  <c r="V27" i="17"/>
  <c r="U30" i="17"/>
  <c r="W27" i="17"/>
  <c r="V30" i="17"/>
  <c r="W27" i="18"/>
  <c r="V30" i="18"/>
  <c r="X27" i="18"/>
  <c r="W30" i="18"/>
  <c r="X27" i="17"/>
  <c r="W30" i="17"/>
  <c r="Y27" i="17"/>
  <c r="X30" i="17"/>
  <c r="Y27" i="18"/>
  <c r="X30" i="18"/>
  <c r="Z27" i="18"/>
  <c r="Y30" i="18"/>
  <c r="Z27" i="17"/>
  <c r="Y30" i="17"/>
  <c r="AA27" i="17"/>
  <c r="Z30" i="17"/>
  <c r="AA27" i="18"/>
  <c r="Z30" i="18"/>
  <c r="AB27" i="18"/>
  <c r="AA30" i="18"/>
  <c r="AB27" i="17"/>
  <c r="AA30" i="17"/>
  <c r="AC27" i="17"/>
  <c r="AB30" i="17"/>
  <c r="AC27" i="18"/>
  <c r="AB30" i="18"/>
  <c r="AD27" i="18"/>
  <c r="AC30" i="18"/>
  <c r="AD27" i="17"/>
  <c r="AC30" i="17"/>
  <c r="AE27" i="17"/>
  <c r="AD30" i="17"/>
  <c r="AE27" i="18"/>
  <c r="AD30" i="18"/>
  <c r="AF27" i="18"/>
  <c r="AE30" i="18"/>
  <c r="AF27" i="17"/>
  <c r="AE30" i="17"/>
  <c r="AG27" i="17"/>
  <c r="AF30" i="17"/>
  <c r="AG27" i="18"/>
  <c r="AF30" i="18"/>
  <c r="AH27" i="18"/>
  <c r="AG30" i="18"/>
  <c r="AH27" i="17"/>
  <c r="AG30" i="17"/>
  <c r="AI27" i="17"/>
  <c r="AH30" i="17"/>
  <c r="AI27" i="18"/>
  <c r="AH30" i="18"/>
  <c r="AJ27" i="18"/>
  <c r="AI30" i="18"/>
  <c r="AI30" i="17"/>
  <c r="AJ27" i="17"/>
  <c r="AK27" i="17"/>
  <c r="AJ30" i="17"/>
  <c r="AK27" i="18"/>
  <c r="AJ30" i="18"/>
  <c r="AL27" i="18"/>
  <c r="AK30" i="18"/>
  <c r="AK30" i="17"/>
  <c r="AL27" i="17"/>
  <c r="AM27" i="17"/>
  <c r="AL30" i="17"/>
  <c r="AM27" i="18"/>
  <c r="AL30" i="18"/>
  <c r="AN27" i="18"/>
  <c r="AM30" i="18"/>
  <c r="AM30" i="17"/>
  <c r="AN27" i="17"/>
  <c r="AO27" i="17"/>
  <c r="AN30" i="17"/>
  <c r="AO27" i="18"/>
  <c r="AN30" i="18"/>
  <c r="AP27" i="18"/>
  <c r="AO30" i="18"/>
  <c r="AO30" i="17"/>
  <c r="AP27" i="17"/>
  <c r="AQ27" i="17"/>
  <c r="AP30" i="17"/>
  <c r="AQ27" i="18"/>
  <c r="AP30" i="18"/>
  <c r="AR27" i="18"/>
  <c r="AQ30" i="18"/>
  <c r="AQ30" i="17"/>
  <c r="AR27" i="17"/>
  <c r="AS27" i="17"/>
  <c r="AR30" i="17"/>
  <c r="AS27" i="18"/>
  <c r="AR30" i="18"/>
  <c r="AT27" i="18"/>
  <c r="AS30" i="18"/>
  <c r="AT27" i="17"/>
  <c r="AS30" i="17"/>
  <c r="AT30" i="17"/>
  <c r="AU27" i="17"/>
  <c r="AU27" i="18"/>
  <c r="AT30" i="18"/>
  <c r="AV27" i="17"/>
  <c r="AU30" i="17"/>
  <c r="AV27" i="18"/>
  <c r="AU30" i="18"/>
  <c r="AW27" i="18"/>
  <c r="AV30" i="18"/>
  <c r="AW27" i="17"/>
  <c r="AV30" i="17"/>
  <c r="AX27" i="17"/>
  <c r="AW30" i="17"/>
  <c r="AX27" i="18"/>
  <c r="AW30" i="18"/>
  <c r="AY27" i="18"/>
  <c r="AY30" i="18"/>
  <c r="AX30" i="18"/>
  <c r="AY27" i="17"/>
  <c r="AY30" i="17"/>
  <c r="AX30" i="17"/>
  <c r="AZ30" i="17"/>
  <c r="AZ30" i="18"/>
  <c r="G30" i="7"/>
  <c r="F30" i="7"/>
  <c r="E30" i="7"/>
  <c r="D30" i="7"/>
  <c r="C30" i="7"/>
  <c r="F19" i="7"/>
  <c r="D19" i="7"/>
  <c r="H11" i="7"/>
  <c r="H10" i="7"/>
  <c r="H9" i="7"/>
  <c r="H8" i="7"/>
  <c r="H7" i="7"/>
  <c r="H6" i="7"/>
  <c r="G12" i="5"/>
  <c r="G9" i="5"/>
  <c r="D16" i="5"/>
  <c r="P36" i="6"/>
  <c r="P30" i="6"/>
  <c r="G21" i="5"/>
  <c r="G6" i="5"/>
  <c r="G7" i="5"/>
  <c r="H7" i="5"/>
  <c r="G8" i="5"/>
  <c r="H8" i="5"/>
  <c r="H9" i="5"/>
  <c r="G10" i="5"/>
  <c r="H10" i="5"/>
  <c r="G11" i="5"/>
  <c r="H11" i="5"/>
  <c r="H12" i="5"/>
  <c r="G13" i="5"/>
  <c r="H13" i="5"/>
  <c r="G14" i="5"/>
  <c r="H14" i="5"/>
  <c r="G15" i="5"/>
  <c r="H15" i="5"/>
  <c r="G22" i="5"/>
  <c r="G23" i="5"/>
  <c r="G24" i="5"/>
  <c r="G25" i="5"/>
  <c r="G26" i="5"/>
  <c r="G27" i="5"/>
  <c r="G28" i="5"/>
  <c r="G29" i="5"/>
  <c r="G30" i="5"/>
  <c r="D31" i="5"/>
  <c r="G36" i="5"/>
  <c r="G37" i="5"/>
  <c r="H37" i="5"/>
  <c r="G38" i="5"/>
  <c r="H38" i="5"/>
  <c r="G39" i="5"/>
  <c r="H39" i="5"/>
  <c r="G40" i="5"/>
  <c r="H40" i="5"/>
  <c r="G41" i="5"/>
  <c r="H41" i="5"/>
  <c r="G42" i="5"/>
  <c r="H42" i="5"/>
  <c r="G43" i="5"/>
  <c r="H43" i="5"/>
  <c r="G44" i="5"/>
  <c r="H44" i="5"/>
  <c r="G45" i="5"/>
  <c r="H45" i="5"/>
  <c r="G46" i="5"/>
  <c r="H46" i="5"/>
  <c r="G47" i="5"/>
  <c r="H47" i="5"/>
  <c r="G48" i="5"/>
  <c r="H48" i="5"/>
  <c r="G49" i="5"/>
  <c r="H49" i="5"/>
  <c r="G50" i="5"/>
  <c r="H50" i="5"/>
  <c r="G51" i="5"/>
  <c r="H51" i="5"/>
  <c r="G52" i="5"/>
  <c r="H52" i="5"/>
  <c r="G53" i="5"/>
  <c r="H53" i="5"/>
  <c r="G54" i="5"/>
  <c r="H54" i="5"/>
  <c r="G55" i="5"/>
  <c r="H55" i="5"/>
  <c r="G56" i="5"/>
  <c r="H56" i="5"/>
  <c r="G57" i="5"/>
  <c r="H57" i="5"/>
  <c r="G58" i="5"/>
  <c r="H58" i="5"/>
  <c r="G59" i="5"/>
  <c r="H59" i="5"/>
  <c r="G60" i="5"/>
  <c r="H60" i="5"/>
  <c r="G61" i="5"/>
  <c r="H61" i="5"/>
  <c r="G62" i="5"/>
  <c r="H62" i="5"/>
  <c r="G63" i="5"/>
  <c r="H63" i="5"/>
  <c r="G64" i="5"/>
  <c r="H64" i="5"/>
  <c r="G65" i="5"/>
  <c r="H65" i="5"/>
  <c r="G66" i="5"/>
  <c r="H66" i="5"/>
  <c r="G67" i="5"/>
  <c r="H67" i="5"/>
  <c r="G68" i="5"/>
  <c r="H68" i="5"/>
  <c r="G69" i="5"/>
  <c r="H69" i="5"/>
  <c r="G70" i="5"/>
  <c r="H70" i="5"/>
  <c r="G71" i="5"/>
  <c r="H71" i="5"/>
  <c r="G72" i="5"/>
  <c r="H72" i="5"/>
  <c r="G73" i="5"/>
  <c r="H73" i="5"/>
  <c r="G74" i="5"/>
  <c r="H74" i="5"/>
  <c r="G75" i="5"/>
  <c r="H75" i="5"/>
  <c r="G76" i="5"/>
  <c r="H76" i="5"/>
  <c r="G77" i="5"/>
  <c r="H77" i="5"/>
  <c r="G78" i="5"/>
  <c r="H78" i="5"/>
  <c r="G79" i="5"/>
  <c r="H79" i="5"/>
  <c r="G80" i="5"/>
  <c r="H80" i="5"/>
  <c r="G81" i="5"/>
  <c r="H81" i="5"/>
  <c r="G82" i="5"/>
  <c r="H82" i="5"/>
  <c r="G83" i="5"/>
  <c r="H83" i="5"/>
  <c r="G84" i="5"/>
  <c r="H84" i="5"/>
  <c r="G85" i="5"/>
  <c r="H85" i="5"/>
  <c r="G86" i="5"/>
  <c r="H86" i="5"/>
  <c r="G87" i="5"/>
  <c r="H87" i="5"/>
  <c r="G88" i="5"/>
  <c r="H88" i="5"/>
  <c r="G89" i="5"/>
  <c r="H89" i="5"/>
  <c r="G90" i="5"/>
  <c r="H90" i="5"/>
  <c r="G91" i="5"/>
  <c r="H91" i="5"/>
  <c r="G92" i="5"/>
  <c r="H92" i="5"/>
  <c r="G93" i="5"/>
  <c r="H93" i="5"/>
  <c r="G94" i="5"/>
  <c r="H94" i="5"/>
  <c r="G95" i="5"/>
  <c r="H95" i="5"/>
  <c r="G96" i="5"/>
  <c r="H96" i="5"/>
  <c r="G97" i="5"/>
  <c r="H97" i="5"/>
  <c r="G98" i="5"/>
  <c r="H98" i="5"/>
  <c r="G99" i="5"/>
  <c r="H99" i="5"/>
  <c r="G100" i="5"/>
  <c r="H100" i="5"/>
  <c r="G101" i="5"/>
  <c r="H101" i="5"/>
  <c r="G102" i="5"/>
  <c r="H102" i="5"/>
  <c r="G103" i="5"/>
  <c r="H103" i="5"/>
  <c r="G104" i="5"/>
  <c r="H104" i="5"/>
  <c r="G105" i="5"/>
  <c r="H105" i="5"/>
  <c r="G106" i="5"/>
  <c r="H106" i="5"/>
  <c r="D107" i="5"/>
  <c r="P41" i="6"/>
  <c r="P40" i="6"/>
  <c r="P39" i="6"/>
  <c r="P38" i="6"/>
  <c r="P37" i="6"/>
  <c r="P35" i="6"/>
  <c r="P34" i="6"/>
  <c r="P33" i="6"/>
  <c r="P32" i="6"/>
  <c r="P31" i="6"/>
  <c r="C41" i="6"/>
  <c r="C40" i="6"/>
  <c r="C39" i="6"/>
  <c r="C38" i="6"/>
  <c r="C37" i="6"/>
  <c r="C36" i="6"/>
  <c r="D28" i="6"/>
  <c r="F28" i="6"/>
  <c r="H28" i="6"/>
  <c r="J28" i="6"/>
  <c r="L28" i="6"/>
  <c r="N28" i="6"/>
  <c r="C30" i="6"/>
  <c r="C31" i="6"/>
  <c r="C32" i="6"/>
  <c r="C33" i="6"/>
  <c r="C34" i="6"/>
  <c r="C35" i="6"/>
  <c r="O48" i="6"/>
  <c r="O47" i="6"/>
  <c r="H36" i="5"/>
  <c r="H6" i="5"/>
  <c r="G16" i="5"/>
  <c r="G107" i="5"/>
</calcChain>
</file>

<file path=xl/sharedStrings.xml><?xml version="1.0" encoding="utf-8"?>
<sst xmlns="http://schemas.openxmlformats.org/spreadsheetml/2006/main" count="2633" uniqueCount="414">
  <si>
    <t>Basic Information</t>
  </si>
  <si>
    <t>Company Name</t>
  </si>
  <si>
    <t>Facilities</t>
  </si>
  <si>
    <t>Location</t>
  </si>
  <si>
    <t>Buy/Sell capacity</t>
  </si>
  <si>
    <t>P01</t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</si>
  <si>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</si>
  <si>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</si>
  <si>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</si>
  <si>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</si>
  <si>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</si>
  <si>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</si>
  <si>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</si>
  <si>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</si>
  <si>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</si>
  <si>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</si>
  <si>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</si>
  <si>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Buy/Sell tankcars</t>
  </si>
  <si>
    <t>TankCars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</si>
  <si>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</si>
  <si>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</si>
  <si>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</si>
  <si>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</si>
  <si>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</si>
  <si>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</si>
  <si>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</si>
  <si>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</si>
  <si>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</si>
  <si>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</si>
  <si>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</si>
  <si>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</si>
  <si>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</si>
  <si>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</si>
  <si>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</si>
  <si>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</si>
  <si>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</si>
  <si>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</si>
  <si>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</si>
  <si>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</si>
  <si>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</si>
  <si>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</si>
  <si>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</si>
  <si>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</si>
  <si>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</si>
  <si>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</si>
  <si>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</si>
  <si>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</si>
  <si>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</si>
  <si>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</si>
  <si>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</si>
  <si>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</si>
  <si>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</si>
  <si>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</si>
  <si>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</si>
  <si>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</si>
  <si>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</si>
  <si>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</si>
  <si>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</si>
  <si>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</si>
  <si>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</si>
  <si>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</si>
  <si>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</si>
  <si>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</si>
  <si>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</si>
  <si>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</si>
  <si>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</si>
  <si>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</si>
  <si>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</si>
  <si>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</si>
  <si>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</si>
  <si>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</si>
  <si>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</si>
  <si>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</si>
  <si>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</si>
  <si>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</si>
  <si>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</si>
  <si>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</si>
  <si>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</si>
  <si>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</si>
  <si>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</si>
  <si>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</si>
  <si>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</si>
  <si>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</si>
  <si>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</si>
  <si>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</si>
  <si>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</si>
  <si>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</si>
  <si>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</si>
  <si>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</si>
  <si>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</si>
  <si>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</si>
  <si>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</si>
  <si>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</si>
  <si>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</si>
  <si>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</si>
  <si>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</si>
  <si>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</si>
  <si>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</si>
  <si>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</si>
  <si>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</si>
  <si>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</si>
  <si>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</si>
  <si>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</si>
  <si>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</si>
  <si>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</si>
  <si>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</si>
  <si>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</si>
  <si>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</si>
  <si>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</si>
  <si>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</si>
  <si>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 xml:space="preserve"> </t>
  </si>
  <si>
    <t>Year</t>
  </si>
  <si>
    <t>ORA Contracts</t>
  </si>
  <si>
    <t>FCOJ Contracts</t>
  </si>
  <si>
    <t>Shipping</t>
  </si>
  <si>
    <t>From:To</t>
  </si>
  <si>
    <t>Manufacturing</t>
  </si>
  <si>
    <t>Process ORA into POJ or FCOJ(%)</t>
  </si>
  <si>
    <t>Plant</t>
  </si>
  <si>
    <t>Product</t>
  </si>
  <si>
    <t>Proportion</t>
  </si>
  <si>
    <t>From</t>
  </si>
  <si>
    <t>Futures</t>
  </si>
  <si>
    <t>FCOJ</t>
  </si>
  <si>
    <t>Reconstitution</t>
  </si>
  <si>
    <t>ORA</t>
  </si>
  <si>
    <t>NE</t>
  </si>
  <si>
    <t>MA</t>
  </si>
  <si>
    <t>SE</t>
  </si>
  <si>
    <t>MW</t>
  </si>
  <si>
    <t>DS</t>
  </si>
  <si>
    <t>NW</t>
  </si>
  <si>
    <t>SW</t>
  </si>
  <si>
    <t>POJ</t>
  </si>
  <si>
    <t>ROJ</t>
  </si>
  <si>
    <t>Price 3</t>
  </si>
  <si>
    <t>Price 2</t>
  </si>
  <si>
    <t>Price 1</t>
  </si>
  <si>
    <t>Pricing for each product in each region($/lb)</t>
  </si>
  <si>
    <t>Grove:Multiplier</t>
  </si>
  <si>
    <t>Raw Materials</t>
  </si>
  <si>
    <t>Type</t>
  </si>
  <si>
    <t>Multiplier</t>
  </si>
  <si>
    <t>Reconstitute FCOJ into ROJ at Storages(%)</t>
  </si>
  <si>
    <t>Ship ORA from Groves to Plants or Storages(%)</t>
  </si>
  <si>
    <t>Ship FCOJ (futures) from FLA to Storages; Ship POJ, FCOJ from Plants to Storages(%)</t>
  </si>
  <si>
    <t>Region:Month</t>
  </si>
  <si>
    <t>Storage:Month</t>
  </si>
  <si>
    <t>TankCars(unit of cars)</t>
  </si>
  <si>
    <t>Type:Month</t>
  </si>
  <si>
    <t>Sum</t>
  </si>
  <si>
    <t>This year</t>
  </si>
  <si>
    <t>Next year</t>
  </si>
  <si>
    <t>Arrival of matured ORA Futures and FCOJ Futures(%)</t>
  </si>
  <si>
    <t>Purchases at the Futures Market(tons) (ORA and FCOJ)</t>
  </si>
  <si>
    <t>Plants(tons)</t>
  </si>
  <si>
    <t>Storages(tons)</t>
  </si>
  <si>
    <t>Quantity Multipliers(unit, $/lb)</t>
  </si>
  <si>
    <t>Pricing</t>
  </si>
  <si>
    <t>Price</t>
  </si>
  <si>
    <t>Quantity</t>
  </si>
  <si>
    <t>Maturity</t>
  </si>
  <si>
    <t>Matured Amount:</t>
  </si>
  <si>
    <r>
      <t xml:space="preserve">FLA </t>
    </r>
    <r>
      <rPr>
        <i/>
        <sz val="10"/>
        <rFont val="Arial"/>
        <family val="2"/>
      </rPr>
      <t>(spot &amp; futures)</t>
    </r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</si>
  <si>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</si>
  <si>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oriangagrande</t>
  </si>
  <si>
    <t/>
  </si>
  <si>
    <t>Region</t>
  </si>
  <si>
    <t>Market</t>
  </si>
  <si>
    <t>Nearest Storage</t>
  </si>
  <si>
    <t>Distance(miles)</t>
  </si>
  <si>
    <t>Transportation Cost($/ton)</t>
  </si>
  <si>
    <t>ANY</t>
  </si>
  <si>
    <t>BOS</t>
  </si>
  <si>
    <t>CLP</t>
  </si>
  <si>
    <t>KEE</t>
  </si>
  <si>
    <t>LAK</t>
  </si>
  <si>
    <t>MBK</t>
  </si>
  <si>
    <t>MVY</t>
  </si>
  <si>
    <t>PGH</t>
  </si>
  <si>
    <t>PHI</t>
  </si>
  <si>
    <t>PVD</t>
  </si>
  <si>
    <t>RER</t>
  </si>
  <si>
    <t>SCR</t>
  </si>
  <si>
    <t>SMS</t>
  </si>
  <si>
    <t>SUP</t>
  </si>
  <si>
    <t>CRS</t>
  </si>
  <si>
    <t>CVE</t>
  </si>
  <si>
    <t>CWV</t>
  </si>
  <si>
    <t>DTN</t>
  </si>
  <si>
    <t>FRY</t>
  </si>
  <si>
    <t>HIP</t>
  </si>
  <si>
    <t>JTC</t>
  </si>
  <si>
    <t>LXK</t>
  </si>
  <si>
    <t>MAO</t>
  </si>
  <si>
    <t>MAY</t>
  </si>
  <si>
    <t>MSD</t>
  </si>
  <si>
    <t>MSP</t>
  </si>
  <si>
    <t>MTH</t>
  </si>
  <si>
    <t>RCH</t>
  </si>
  <si>
    <t>RRN</t>
  </si>
  <si>
    <t>SHK</t>
  </si>
  <si>
    <t>TIL</t>
  </si>
  <si>
    <t>CHR</t>
  </si>
  <si>
    <t>DAY</t>
  </si>
  <si>
    <t>FPR</t>
  </si>
  <si>
    <t>FSC</t>
  </si>
  <si>
    <t>GRN</t>
  </si>
  <si>
    <t>HVA</t>
  </si>
  <si>
    <t>JFL</t>
  </si>
  <si>
    <t>MTG</t>
  </si>
  <si>
    <t>OCL</t>
  </si>
  <si>
    <t>PAN</t>
  </si>
  <si>
    <t>WPB</t>
  </si>
  <si>
    <t>YEM</t>
  </si>
  <si>
    <t>ABL</t>
  </si>
  <si>
    <t>BYO</t>
  </si>
  <si>
    <t>CED</t>
  </si>
  <si>
    <t>CUP</t>
  </si>
  <si>
    <t>ELK</t>
  </si>
  <si>
    <t>FWA</t>
  </si>
  <si>
    <t>GBW</t>
  </si>
  <si>
    <t>GEE</t>
  </si>
  <si>
    <t>GFK</t>
  </si>
  <si>
    <t>HER</t>
  </si>
  <si>
    <t>JAC</t>
  </si>
  <si>
    <t>LSL</t>
  </si>
  <si>
    <t>MAS</t>
  </si>
  <si>
    <t>MND</t>
  </si>
  <si>
    <t>NLW</t>
  </si>
  <si>
    <t>OWT</t>
  </si>
  <si>
    <t>SDL</t>
  </si>
  <si>
    <t>SHL</t>
  </si>
  <si>
    <t>SJF</t>
  </si>
  <si>
    <t>STP</t>
  </si>
  <si>
    <t>SWI</t>
  </si>
  <si>
    <t>TRV</t>
  </si>
  <si>
    <t>BST</t>
  </si>
  <si>
    <t>DEL</t>
  </si>
  <si>
    <t>ELP</t>
  </si>
  <si>
    <t>FTW</t>
  </si>
  <si>
    <t>GRL</t>
  </si>
  <si>
    <t>LAF</t>
  </si>
  <si>
    <t>LRO</t>
  </si>
  <si>
    <t>MCX</t>
  </si>
  <si>
    <t>MKO</t>
  </si>
  <si>
    <t>MRE</t>
  </si>
  <si>
    <t>PRA</t>
  </si>
  <si>
    <t>RSW</t>
  </si>
  <si>
    <t>SGE</t>
  </si>
  <si>
    <t>SME</t>
  </si>
  <si>
    <t>SNA</t>
  </si>
  <si>
    <t>TYE</t>
  </si>
  <si>
    <t>BTT</t>
  </si>
  <si>
    <t>DIM</t>
  </si>
  <si>
    <t>EUG</t>
  </si>
  <si>
    <t>LEW</t>
  </si>
  <si>
    <t>PCO</t>
  </si>
  <si>
    <t>RSP</t>
  </si>
  <si>
    <t>TWF</t>
  </si>
  <si>
    <t>YKM</t>
  </si>
  <si>
    <t>BKR</t>
  </si>
  <si>
    <t>DOZ</t>
  </si>
  <si>
    <t>FSO</t>
  </si>
  <si>
    <t>GRU</t>
  </si>
  <si>
    <t>HUL</t>
  </si>
  <si>
    <t>LOS</t>
  </si>
  <si>
    <t>RFE</t>
  </si>
  <si>
    <t>RNE</t>
  </si>
  <si>
    <t>SCM</t>
  </si>
  <si>
    <t>SFC</t>
  </si>
  <si>
    <t>TCY</t>
  </si>
  <si>
    <t>Sales</t>
  </si>
  <si>
    <t>Sales For FCOJ(tons)(1st Column), Transportation Cost($)(2nd Column) (by market and week)</t>
  </si>
  <si>
    <t>Month</t>
  </si>
  <si>
    <t>Mar:Week</t>
  </si>
  <si>
    <t>Sales(tons) (by region and month)</t>
  </si>
  <si>
    <t>Reg:Mon</t>
  </si>
  <si>
    <t>Total</t>
  </si>
  <si>
    <t>Sales Revenue($) (by region and month)</t>
  </si>
  <si>
    <t>Transportation Cost from storages to markets($) (by region and month)</t>
  </si>
  <si>
    <t>Sales For ROJ(tons)(1st Column), Transportation Cost($)(2nd Column) (by market and week)</t>
  </si>
  <si>
    <t>Sales For POJ(tons)(1st Column), Transportation Cost($)(2nd Column) (by market and week)</t>
  </si>
  <si>
    <t>Sales For ORA(tons)(1st Column), Transportation Cost($)(2nd Column) (by market and week)</t>
  </si>
  <si>
    <t>Storage</t>
  </si>
  <si>
    <t>Storage:</t>
  </si>
  <si>
    <t>Capacity:</t>
  </si>
  <si>
    <t>Time (beginning of week)</t>
  </si>
  <si>
    <t>|-------</t>
  </si>
  <si>
    <t xml:space="preserve"> -------|-------</t>
  </si>
  <si>
    <t xml:space="preserve"> -------|</t>
  </si>
  <si>
    <t>Scheduled to ship in/Sum</t>
  </si>
  <si>
    <t>Shipped In + Reconstituted</t>
  </si>
  <si>
    <t xml:space="preserve"> -</t>
  </si>
  <si>
    <t>Toss Out</t>
  </si>
  <si>
    <t>Inventory</t>
  </si>
  <si>
    <t>rotten</t>
  </si>
  <si>
    <t>% of FCOJ</t>
  </si>
  <si>
    <t>Available</t>
  </si>
  <si>
    <t>Sold</t>
  </si>
  <si>
    <t>Ship Out</t>
  </si>
  <si>
    <t>Costs at storage</t>
  </si>
  <si>
    <t>Hold Inventory</t>
  </si>
  <si>
    <t>Plant:</t>
  </si>
  <si>
    <t>Shipped In</t>
  </si>
  <si>
    <t>Breakdown?</t>
  </si>
  <si>
    <t>(Yes/"")</t>
  </si>
  <si>
    <t>Cost for POJ</t>
  </si>
  <si>
    <t>Cost for FCOJ</t>
  </si>
  <si>
    <t>At home</t>
  </si>
  <si>
    <t>Going out</t>
  </si>
  <si>
    <t>Coming home</t>
  </si>
  <si>
    <t>Hold Cost</t>
  </si>
  <si>
    <t>Grove</t>
  </si>
  <si>
    <r>
      <t xml:space="preserve">Prices of oranges at the Spot Market(Currency/lb) </t>
    </r>
    <r>
      <rPr>
        <i/>
        <u/>
        <sz val="10"/>
        <rFont val="Arial"/>
        <family val="2"/>
      </rPr>
      <t>ORA</t>
    </r>
  </si>
  <si>
    <t>Foreign Exchange Rate: US$ value of 1 BRA Real or 1 SPA Euro ($/BRL)($/EUR)</t>
  </si>
  <si>
    <t>Currency:Month</t>
  </si>
  <si>
    <t>BRA Real</t>
  </si>
  <si>
    <t>SPA Euro</t>
  </si>
  <si>
    <r>
      <t xml:space="preserve">US$ Prices of oranges at the Spot Market($/lb) </t>
    </r>
    <r>
      <rPr>
        <i/>
        <u/>
        <sz val="10"/>
        <rFont val="Arial"/>
        <family val="2"/>
      </rPr>
      <t>ORA</t>
    </r>
  </si>
  <si>
    <t>Actual Quantity Multiplier(unit)</t>
  </si>
  <si>
    <t>Gro:Mon</t>
  </si>
  <si>
    <r>
      <t xml:space="preserve">Amount of oranges harvested(tons) </t>
    </r>
    <r>
      <rPr>
        <i/>
        <u/>
        <sz val="10"/>
        <rFont val="Arial"/>
        <family val="2"/>
      </rPr>
      <t>ORA</t>
    </r>
  </si>
  <si>
    <t>Gro:Week</t>
  </si>
  <si>
    <r>
      <t xml:space="preserve">Actual amount of oranges purchased(tons) </t>
    </r>
    <r>
      <rPr>
        <i/>
        <u/>
        <sz val="10"/>
        <rFont val="Arial"/>
        <family val="2"/>
      </rPr>
      <t>ORA</t>
    </r>
  </si>
  <si>
    <t>Gro:Wk</t>
  </si>
  <si>
    <r>
      <t xml:space="preserve">Purchasing cost of oranges($) </t>
    </r>
    <r>
      <rPr>
        <i/>
        <u/>
        <sz val="10"/>
        <rFont val="Arial"/>
        <family val="2"/>
      </rPr>
      <t>ORA</t>
    </r>
  </si>
  <si>
    <r>
      <t xml:space="preserve">Amount of matured futures products(tons) </t>
    </r>
    <r>
      <rPr>
        <i/>
        <u/>
        <sz val="10"/>
        <rFont val="Arial"/>
        <family val="2"/>
      </rPr>
      <t>ORA Futures, FCOJ Futures</t>
    </r>
  </si>
  <si>
    <t>from FLA:Month</t>
  </si>
  <si>
    <t>ORA Futures</t>
  </si>
  <si>
    <t>FCOJ Futures</t>
  </si>
  <si>
    <r>
      <t xml:space="preserve">Transportation Cost($) for shipping </t>
    </r>
    <r>
      <rPr>
        <i/>
        <u/>
        <sz val="10"/>
        <rFont val="Arial"/>
        <family val="2"/>
      </rPr>
      <t>FCOJ Futures</t>
    </r>
  </si>
  <si>
    <t>Month:Storage</t>
  </si>
  <si>
    <r>
      <t xml:space="preserve">Actual amount of oranges shipped out from groves(tons) </t>
    </r>
    <r>
      <rPr>
        <i/>
        <u/>
        <sz val="10"/>
        <rFont val="Arial"/>
        <family val="2"/>
      </rPr>
      <t>ORA, ORA Futures</t>
    </r>
  </si>
  <si>
    <t>from Grove:Week</t>
  </si>
  <si>
    <r>
      <t xml:space="preserve">Transportation Cost($) for shipping </t>
    </r>
    <r>
      <rPr>
        <i/>
        <u/>
        <sz val="10"/>
        <rFont val="Arial"/>
        <family val="2"/>
      </rPr>
      <t>ORA + ORA Futures</t>
    </r>
  </si>
  <si>
    <t>To</t>
  </si>
  <si>
    <t>plants</t>
  </si>
  <si>
    <t>storages</t>
  </si>
  <si>
    <t>Yes</t>
  </si>
  <si>
    <t>Distance:</t>
  </si>
  <si>
    <t>POJ to ship</t>
  </si>
  <si>
    <t>FCOJ to ship</t>
  </si>
  <si>
    <t>OJ to ship (Sum)</t>
  </si>
  <si>
    <t>POJ by TankCars</t>
  </si>
  <si>
    <t>FCOJ by TankCars</t>
  </si>
  <si>
    <t>No. TankCars</t>
  </si>
  <si>
    <t>POJ by Carrier</t>
  </si>
  <si>
    <t>FCOJ by Carrier</t>
  </si>
  <si>
    <t>No. Weeks</t>
  </si>
  <si>
    <t>Cost by TankCars</t>
  </si>
  <si>
    <t>Cost by Carrier</t>
  </si>
  <si>
    <t>Activities</t>
  </si>
  <si>
    <t>Earnings</t>
  </si>
  <si>
    <t>Sales (tons)</t>
  </si>
  <si>
    <t>Sales Revenue</t>
  </si>
  <si>
    <t>Fresh Oranges (ORA)</t>
  </si>
  <si>
    <t>Premium Orange Juice (POJ)</t>
  </si>
  <si>
    <t>Reconstituted Orange Juice (ROJ)</t>
  </si>
  <si>
    <t>Frozen Concentrated Orange Juice (FCOJ)</t>
  </si>
  <si>
    <t>Total Revenue</t>
  </si>
  <si>
    <t>Materials Acquisitions &amp; Losses (tons)</t>
  </si>
  <si>
    <t>Oranges Harvested</t>
  </si>
  <si>
    <t>Materials Costs</t>
  </si>
  <si>
    <t>ORA Futures Matured</t>
  </si>
  <si>
    <t xml:space="preserve">Orange (ORA) Purchases </t>
  </si>
  <si>
    <t>FCOJ Futures Matured</t>
  </si>
  <si>
    <t>ORA Futures Costs</t>
  </si>
  <si>
    <t>Premium Orange Juice (POJ) Manufactured</t>
  </si>
  <si>
    <t>FCOJ Futures Costs</t>
  </si>
  <si>
    <t>Frozen Concentrated Orange Juice (FCOJ) Manufactured</t>
  </si>
  <si>
    <t>Transportation Costs from Groves (ORA &amp; ORA futures)</t>
  </si>
  <si>
    <t>Reconstituted Orange Juice (ROJ) Manufactured</t>
  </si>
  <si>
    <t>Transportation Costs from Groves (FCOJ futures)</t>
  </si>
  <si>
    <t>Products Lost due to Capacity Shortage</t>
  </si>
  <si>
    <t>Total Materials Costs</t>
  </si>
  <si>
    <t>(</t>
  </si>
  <si>
    <t>)</t>
  </si>
  <si>
    <t>Products Lost due to Spoilage</t>
  </si>
  <si>
    <t>Manufacturing Costs</t>
  </si>
  <si>
    <t>Futures Contracts Purchases (tons)</t>
  </si>
  <si>
    <t>POJ Manufacturing Costs</t>
  </si>
  <si>
    <t>ORA Futures Contracts</t>
  </si>
  <si>
    <t>FCOJ Manufacturing Costs</t>
  </si>
  <si>
    <t>FCOJ Futures Contracts</t>
  </si>
  <si>
    <t>ROJ Reconstitution Costs</t>
  </si>
  <si>
    <t>Total Processing Costs</t>
  </si>
  <si>
    <t>Facilities Adjustment (tons of capacity)</t>
  </si>
  <si>
    <t>Processing Plants Capacity Upgrade</t>
  </si>
  <si>
    <t>Transportation Costs from Plants and Storages &amp; Inventory Hold Costs</t>
  </si>
  <si>
    <t>Storage Centers Capacity Upgrade</t>
  </si>
  <si>
    <t>Transportation Costs from Plants (TankCars)</t>
  </si>
  <si>
    <t>Processing Plants Capacity Downgrade</t>
  </si>
  <si>
    <t>Transportation Costs from Plants (Carriers)</t>
  </si>
  <si>
    <t>Storage Centers Capacity Downgrade</t>
  </si>
  <si>
    <t>Inventory Hold Costs at Storages</t>
  </si>
  <si>
    <t>Transportation Costs from Storages</t>
  </si>
  <si>
    <t>Facilities Acquisitions (unit)</t>
  </si>
  <si>
    <t>Total Transportation and Storage Costs</t>
  </si>
  <si>
    <t>Processing Plants</t>
  </si>
  <si>
    <t>Storage Centers</t>
  </si>
  <si>
    <t>Facilities Adjustment &amp; Maintenance Costs</t>
  </si>
  <si>
    <t>Processing Plant Maintenance Costs</t>
  </si>
  <si>
    <t>Costs(/Gains) of Acquiring(/Selling) Processing Plant</t>
  </si>
  <si>
    <t>Facilities Sold (unit)</t>
  </si>
  <si>
    <t>Processing Plant Capacity Adjustment Costs(/Gains)</t>
  </si>
  <si>
    <t>Storage Center Maintenance Costs</t>
  </si>
  <si>
    <t>Costs(/Gains) of Acquiring(/Selling) Storage Center</t>
  </si>
  <si>
    <t>Storage Center Capacity Adjustment Costs(/Gains)</t>
  </si>
  <si>
    <t>TankCars Hold Costs</t>
  </si>
  <si>
    <t>TankCars Purchase Costs(/Selling Gains)</t>
  </si>
  <si>
    <t>Total Facilities Costs</t>
  </si>
  <si>
    <t>Net Profit</t>
  </si>
  <si>
    <t>Annual Report for the year ending August 31st,  2031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</si>
</sst>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$&quot;#,##0"/>
  </numFmts>
  <fonts count="14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i/>
      <sz val="10"/>
      <name val="Arial"/>
      <family val="2"/>
    </font>
    <font>
      <i/>
      <u/>
      <sz val="10"/>
      <name val="Arial"/>
      <family val="2"/>
    </font>
    <font>
      <b/>
      <sz val="12"/>
      <name val="Times New Roman"/>
      <family val="1"/>
    </font>
    <font>
      <u/>
      <sz val="12"/>
      <name val="Times New Roman"/>
      <family val="1"/>
    </font>
    <font>
      <sz val="10"/>
      <name val="Times New Roman"/>
      <family val="1"/>
    </font>
    <font>
      <u/>
      <sz val="10"/>
      <name val="Times New Roman"/>
      <family val="1"/>
    </font>
    <font>
      <i/>
      <sz val="10"/>
      <name val="Times New Roman"/>
      <family val="1"/>
    </font>
    <font>
      <sz val="8"/>
      <name val="Arial"/>
      <family val="2"/>
    </font>
    <font>
      <b/>
      <i/>
      <sz val="10"/>
      <name val="Times New Roman"/>
      <family val="1"/>
    </font>
  </fonts>
  <fills count="11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44"/>
        <bgColor indexed="64"/>
      </patternFill>
    </fill>
  </fills>
  <borders count="28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</borders>
  <cellStyleXfs count="2">
    <xf numFmtId="0" fontId="0" fillId="0" borderId="0"/>
    <xf numFmtId="0" fontId="4" fillId="0" borderId="0"/>
  </cellStyleXfs>
  <cellXfs count="208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/>
    <xf numFmtId="0" fontId="0" fillId="3" borderId="4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0" xfId="0" applyFill="1" applyBorder="1" applyAlignment="1"/>
    <xf numFmtId="0" fontId="0" fillId="3" borderId="2" xfId="0" applyFill="1" applyBorder="1" applyAlignment="1"/>
    <xf numFmtId="0" fontId="0" fillId="3" borderId="7" xfId="0" applyFill="1" applyBorder="1" applyAlignment="1"/>
    <xf numFmtId="0" fontId="0" fillId="3" borderId="3" xfId="0" applyFill="1" applyBorder="1" applyAlignment="1"/>
    <xf numFmtId="0" fontId="0" fillId="3" borderId="8" xfId="0" applyFill="1" applyBorder="1" applyAlignment="1"/>
    <xf numFmtId="0" fontId="0" fillId="3" borderId="4" xfId="0" applyFill="1" applyBorder="1" applyAlignment="1"/>
    <xf numFmtId="0" fontId="0" fillId="2" borderId="9" xfId="0" applyFill="1" applyBorder="1" applyAlignment="1"/>
    <xf numFmtId="0" fontId="0" fillId="2" borderId="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" xfId="0" applyFill="1" applyBorder="1" applyAlignment="1"/>
    <xf numFmtId="0" fontId="0" fillId="3" borderId="9" xfId="0" applyFill="1" applyBorder="1" applyAlignment="1"/>
    <xf numFmtId="0" fontId="0" fillId="3" borderId="12" xfId="0" applyFill="1" applyBorder="1" applyAlignment="1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5" xfId="0" applyNumberFormat="1" applyFill="1" applyBorder="1" applyAlignment="1"/>
    <xf numFmtId="0" fontId="0" fillId="3" borderId="13" xfId="0" applyNumberFormat="1" applyFill="1" applyBorder="1" applyAlignment="1"/>
    <xf numFmtId="0" fontId="0" fillId="3" borderId="14" xfId="0" applyNumberFormat="1" applyFill="1" applyBorder="1" applyAlignment="1"/>
    <xf numFmtId="0" fontId="0" fillId="3" borderId="12" xfId="0" applyNumberFormat="1" applyFill="1" applyBorder="1" applyAlignment="1"/>
    <xf numFmtId="0" fontId="0" fillId="3" borderId="15" xfId="0" applyNumberFormat="1" applyFill="1" applyBorder="1" applyAlignment="1"/>
    <xf numFmtId="0" fontId="0" fillId="2" borderId="3" xfId="0" applyNumberFormat="1" applyFill="1" applyBorder="1" applyAlignment="1"/>
    <xf numFmtId="0" fontId="0" fillId="2" borderId="8" xfId="0" applyNumberFormat="1" applyFill="1" applyBorder="1" applyAlignment="1"/>
    <xf numFmtId="0" fontId="0" fillId="2" borderId="4" xfId="0" applyNumberFormat="1" applyFill="1" applyBorder="1" applyAlignment="1"/>
    <xf numFmtId="0" fontId="0" fillId="3" borderId="10" xfId="0" applyNumberFormat="1" applyFill="1" applyBorder="1" applyAlignment="1"/>
    <xf numFmtId="0" fontId="0" fillId="2" borderId="9" xfId="0" applyNumberFormat="1" applyFill="1" applyBorder="1" applyAlignment="1"/>
    <xf numFmtId="0" fontId="3" fillId="2" borderId="9" xfId="0" applyNumberFormat="1" applyFont="1" applyFill="1" applyBorder="1" applyAlignment="1"/>
    <xf numFmtId="0" fontId="0" fillId="3" borderId="11" xfId="0" applyNumberFormat="1" applyFill="1" applyBorder="1" applyAlignment="1"/>
    <xf numFmtId="0" fontId="0" fillId="3" borderId="0" xfId="0" applyNumberFormat="1" applyFill="1" applyBorder="1" applyAlignment="1"/>
    <xf numFmtId="0" fontId="0" fillId="3" borderId="7" xfId="0" applyNumberFormat="1" applyFill="1" applyBorder="1" applyAlignment="1"/>
    <xf numFmtId="0" fontId="0" fillId="3" borderId="6" xfId="0" applyNumberFormat="1" applyFill="1" applyBorder="1" applyAlignment="1"/>
    <xf numFmtId="0" fontId="2" fillId="2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0" xfId="0" applyNumberFormat="1" applyFill="1" applyAlignment="1"/>
    <xf numFmtId="0" fontId="0" fillId="2" borderId="0" xfId="0" applyNumberFormat="1" applyFill="1" applyBorder="1" applyAlignment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3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4" fillId="3" borderId="5" xfId="0" applyNumberFormat="1" applyFont="1" applyFill="1" applyBorder="1" applyAlignment="1"/>
    <xf numFmtId="0" fontId="0" fillId="0" borderId="6" xfId="0" applyNumberFormat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0" borderId="21" xfId="0" applyNumberFormat="1" applyBorder="1" applyAlignment="1"/>
    <xf numFmtId="0" fontId="0" fillId="3" borderId="23" xfId="0" applyNumberFormat="1" applyFill="1" applyBorder="1" applyAlignment="1"/>
    <xf numFmtId="0" fontId="4" fillId="0" borderId="0" xfId="0" applyNumberFormat="1" applyFont="1" applyAlignment="1"/>
    <xf numFmtId="0" fontId="0" fillId="0" borderId="7" xfId="0" applyNumberFormat="1" applyBorder="1" applyAlignment="1">
      <alignment horizontal="right"/>
    </xf>
    <xf numFmtId="0" fontId="0" fillId="3" borderId="3" xfId="0" applyNumberFormat="1" applyFill="1" applyBorder="1" applyAlignment="1"/>
    <xf numFmtId="0" fontId="0" fillId="3" borderId="24" xfId="0" applyNumberFormat="1" applyFill="1" applyBorder="1" applyAlignment="1"/>
    <xf numFmtId="0" fontId="0" fillId="3" borderId="25" xfId="0" applyNumberFormat="1" applyFill="1" applyBorder="1" applyAlignment="1"/>
    <xf numFmtId="0" fontId="0" fillId="4" borderId="0" xfId="0" applyNumberFormat="1" applyFill="1" applyBorder="1" applyAlignment="1"/>
    <xf numFmtId="0" fontId="0" fillId="4" borderId="6" xfId="0" applyNumberFormat="1" applyFill="1" applyBorder="1" applyAlignment="1"/>
    <xf numFmtId="0" fontId="0" fillId="4" borderId="3" xfId="0" applyNumberFormat="1" applyFill="1" applyBorder="1" applyAlignment="1"/>
    <xf numFmtId="0" fontId="0" fillId="4" borderId="8" xfId="0" applyNumberFormat="1" applyFill="1" applyBorder="1" applyAlignment="1"/>
    <xf numFmtId="0" fontId="0" fillId="3" borderId="26" xfId="0" applyNumberFormat="1" applyFill="1" applyBorder="1" applyAlignment="1"/>
    <xf numFmtId="0" fontId="0" fillId="0" borderId="8" xfId="0" applyNumberFormat="1" applyBorder="1" applyAlignment="1"/>
    <xf numFmtId="0" fontId="0" fillId="0" borderId="4" xfId="0" applyNumberFormat="1" applyBorder="1" applyAlignment="1"/>
    <xf numFmtId="0" fontId="4" fillId="2" borderId="0" xfId="0" applyFont="1" applyFill="1" applyBorder="1" applyAlignment="1"/>
    <xf numFmtId="0" fontId="4" fillId="2" borderId="0" xfId="0" applyFont="1" applyFill="1" applyAlignment="1"/>
    <xf numFmtId="0" fontId="0" fillId="0" borderId="5" xfId="0" applyFill="1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4" xfId="0" applyNumberFormat="1" applyFill="1" applyBorder="1" applyAlignment="1" applyProtection="1">
      <protection locked="0"/>
    </xf>
    <xf numFmtId="0" fontId="0" fillId="0" borderId="15" xfId="0" applyNumberFormat="1" applyFill="1" applyBorder="1" applyAlignment="1" applyProtection="1">
      <protection locked="0"/>
    </xf>
    <xf numFmtId="0" fontId="0" fillId="0" borderId="14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3" fillId="0" borderId="15" xfId="0" applyNumberFormat="1" applyFont="1" applyFill="1" applyBorder="1" applyAlignment="1" applyProtection="1">
      <protection locked="0"/>
    </xf>
    <xf numFmtId="0" fontId="3" fillId="0" borderId="5" xfId="0" applyNumberFormat="1" applyFont="1" applyFill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0" borderId="10" xfId="0" applyNumberFormat="1" applyFill="1" applyBorder="1" applyAlignment="1" applyProtection="1">
      <protection locked="0"/>
    </xf>
    <xf numFmtId="0" fontId="0" fillId="3" borderId="5" xfId="0" applyNumberFormat="1" applyFill="1" applyBorder="1" applyAlignment="1" applyProtection="1"/>
    <xf numFmtId="0" fontId="0" fillId="3" borderId="10" xfId="0" applyNumberFormat="1" applyFill="1" applyBorder="1" applyAlignment="1" applyProtection="1"/>
    <xf numFmtId="0" fontId="0" fillId="3" borderId="11" xfId="0" applyNumberFormat="1" applyFill="1" applyBorder="1" applyAlignment="1" applyProtection="1"/>
    <xf numFmtId="0" fontId="4" fillId="5" borderId="0" xfId="1" applyFill="1"/>
    <xf numFmtId="0" fontId="4" fillId="0" borderId="0" xfId="1"/>
    <xf numFmtId="0" fontId="4" fillId="0" borderId="0" xfId="1" applyFill="1"/>
    <xf numFmtId="0" fontId="1" fillId="0" borderId="0" xfId="1" applyFont="1"/>
    <xf numFmtId="0" fontId="2" fillId="0" borderId="0" xfId="1" applyFont="1"/>
    <xf numFmtId="0" fontId="2" fillId="0" borderId="0" xfId="1" applyFont="1" applyFill="1"/>
    <xf numFmtId="0" fontId="4" fillId="6" borderId="0" xfId="1" applyFill="1"/>
    <xf numFmtId="0" fontId="4" fillId="0" borderId="0" xfId="1" applyFill="1" applyBorder="1"/>
    <xf numFmtId="0" fontId="4" fillId="0" borderId="5" xfId="1" applyBorder="1"/>
    <xf numFmtId="0" fontId="4" fillId="0" borderId="11" xfId="1" applyBorder="1"/>
    <xf numFmtId="0" fontId="4" fillId="0" borderId="6" xfId="1" applyBorder="1"/>
    <xf numFmtId="0" fontId="4" fillId="0" borderId="0" xfId="1" applyBorder="1"/>
    <xf numFmtId="0" fontId="4" fillId="0" borderId="0" xfId="1" applyAlignment="1"/>
    <xf numFmtId="0" fontId="4" fillId="0" borderId="0" xfId="1" applyAlignment="1">
      <alignment horizontal="center"/>
    </xf>
    <xf numFmtId="0" fontId="4" fillId="0" borderId="0" xfId="1" applyBorder="1" applyAlignment="1">
      <alignment horizontal="right"/>
    </xf>
    <xf numFmtId="0" fontId="4" fillId="0" borderId="8" xfId="1" applyFill="1" applyBorder="1"/>
    <xf numFmtId="0" fontId="4" fillId="5" borderId="13" xfId="1" applyFill="1" applyBorder="1" applyAlignment="1">
      <alignment horizontal="right"/>
    </xf>
    <xf numFmtId="0" fontId="4" fillId="7" borderId="8" xfId="1" applyFill="1" applyBorder="1"/>
    <xf numFmtId="0" fontId="4" fillId="0" borderId="13" xfId="1" applyBorder="1"/>
    <xf numFmtId="0" fontId="4" fillId="5" borderId="0" xfId="1" applyFill="1" applyAlignment="1">
      <alignment horizontal="right"/>
    </xf>
    <xf numFmtId="0" fontId="4" fillId="7" borderId="0" xfId="1" applyFill="1" applyBorder="1"/>
    <xf numFmtId="0" fontId="4" fillId="2" borderId="0" xfId="1" applyFill="1" applyBorder="1"/>
    <xf numFmtId="0" fontId="4" fillId="7" borderId="13" xfId="1" applyFill="1" applyBorder="1"/>
    <xf numFmtId="0" fontId="4" fillId="5" borderId="9" xfId="1" applyFill="1" applyBorder="1" applyAlignment="1">
      <alignment horizontal="right"/>
    </xf>
    <xf numFmtId="0" fontId="4" fillId="7" borderId="9" xfId="1" applyFill="1" applyBorder="1"/>
    <xf numFmtId="0" fontId="4" fillId="0" borderId="9" xfId="1" applyBorder="1"/>
    <xf numFmtId="0" fontId="4" fillId="0" borderId="8" xfId="1" applyBorder="1"/>
    <xf numFmtId="0" fontId="4" fillId="5" borderId="1" xfId="1" applyFill="1" applyBorder="1" applyAlignment="1">
      <alignment horizontal="right"/>
    </xf>
    <xf numFmtId="0" fontId="4" fillId="3" borderId="0" xfId="1" applyFill="1" applyBorder="1"/>
    <xf numFmtId="0" fontId="4" fillId="0" borderId="3" xfId="1" applyBorder="1"/>
    <xf numFmtId="0" fontId="4" fillId="8" borderId="8" xfId="1" applyFill="1" applyBorder="1"/>
    <xf numFmtId="0" fontId="4" fillId="8" borderId="0" xfId="1" applyFill="1" applyBorder="1"/>
    <xf numFmtId="0" fontId="4" fillId="5" borderId="6" xfId="1" applyFill="1" applyBorder="1" applyAlignment="1">
      <alignment horizontal="right"/>
    </xf>
    <xf numFmtId="0" fontId="4" fillId="9" borderId="8" xfId="1" applyFill="1" applyBorder="1" applyAlignment="1">
      <alignment horizontal="right"/>
    </xf>
    <xf numFmtId="0" fontId="4" fillId="5" borderId="13" xfId="1" applyFill="1" applyBorder="1"/>
    <xf numFmtId="10" fontId="4" fillId="0" borderId="13" xfId="1" applyNumberFormat="1" applyBorder="1"/>
    <xf numFmtId="0" fontId="4" fillId="5" borderId="9" xfId="1" applyFill="1" applyBorder="1"/>
    <xf numFmtId="0" fontId="4" fillId="5" borderId="8" xfId="1" applyFill="1" applyBorder="1"/>
    <xf numFmtId="0" fontId="4" fillId="6" borderId="9" xfId="1" applyFill="1" applyBorder="1"/>
    <xf numFmtId="0" fontId="4" fillId="0" borderId="9" xfId="1" applyFill="1" applyBorder="1"/>
    <xf numFmtId="0" fontId="4" fillId="0" borderId="10" xfId="1" applyFill="1" applyBorder="1"/>
    <xf numFmtId="0" fontId="4" fillId="6" borderId="8" xfId="1" applyFill="1" applyBorder="1"/>
    <xf numFmtId="0" fontId="4" fillId="0" borderId="15" xfId="1" applyFill="1" applyBorder="1"/>
    <xf numFmtId="0" fontId="4" fillId="0" borderId="0" xfId="1" applyFill="1" applyBorder="1" applyAlignment="1">
      <alignment horizontal="left"/>
    </xf>
    <xf numFmtId="0" fontId="4" fillId="7" borderId="13" xfId="1" applyFill="1" applyBorder="1" applyAlignment="1">
      <alignment horizontal="right"/>
    </xf>
    <xf numFmtId="0" fontId="4" fillId="0" borderId="13" xfId="1" applyFill="1" applyBorder="1"/>
    <xf numFmtId="0" fontId="4" fillId="0" borderId="9" xfId="1" applyFont="1" applyFill="1" applyBorder="1"/>
    <xf numFmtId="0" fontId="4" fillId="0" borderId="0" xfId="1" applyFont="1" applyFill="1" applyBorder="1" applyAlignment="1">
      <alignment horizontal="right"/>
    </xf>
    <xf numFmtId="0" fontId="4" fillId="0" borderId="0" xfId="1" applyFont="1" applyFill="1" applyBorder="1"/>
    <xf numFmtId="0" fontId="4" fillId="0" borderId="0" xfId="1" applyFont="1" applyFill="1" applyBorder="1" applyAlignment="1"/>
    <xf numFmtId="0" fontId="4" fillId="5" borderId="13" xfId="1" applyFont="1" applyFill="1" applyBorder="1" applyAlignment="1">
      <alignment horizontal="right"/>
    </xf>
    <xf numFmtId="0" fontId="4" fillId="7" borderId="13" xfId="1" applyFont="1" applyFill="1" applyBorder="1" applyAlignment="1"/>
    <xf numFmtId="0" fontId="4" fillId="0" borderId="5" xfId="1" applyFill="1" applyBorder="1"/>
    <xf numFmtId="0" fontId="1" fillId="0" borderId="0" xfId="1" applyFont="1" applyBorder="1"/>
    <xf numFmtId="0" fontId="4" fillId="0" borderId="9" xfId="1" applyFill="1" applyBorder="1" applyAlignment="1">
      <alignment horizontal="right"/>
    </xf>
    <xf numFmtId="10" fontId="4" fillId="5" borderId="13" xfId="1" applyNumberFormat="1" applyFill="1" applyBorder="1"/>
    <xf numFmtId="0" fontId="4" fillId="5" borderId="0" xfId="1" applyFill="1" applyBorder="1" applyAlignment="1">
      <alignment horizontal="right"/>
    </xf>
    <xf numFmtId="10" fontId="4" fillId="0" borderId="0" xfId="1" applyNumberFormat="1" applyFill="1" applyBorder="1"/>
    <xf numFmtId="0" fontId="4" fillId="0" borderId="12" xfId="1" applyFill="1" applyBorder="1"/>
    <xf numFmtId="0" fontId="4" fillId="5" borderId="8" xfId="1" applyFill="1" applyBorder="1" applyAlignment="1">
      <alignment horizontal="right"/>
    </xf>
    <xf numFmtId="10" fontId="4" fillId="0" borderId="8" xfId="1" applyNumberFormat="1" applyFill="1" applyBorder="1"/>
    <xf numFmtId="0" fontId="4" fillId="6" borderId="9" xfId="1" applyFill="1" applyBorder="1" applyAlignment="1">
      <alignment horizontal="right"/>
    </xf>
    <xf numFmtId="0" fontId="4" fillId="6" borderId="8" xfId="1" applyFill="1" applyBorder="1" applyAlignment="1">
      <alignment horizontal="right"/>
    </xf>
    <xf numFmtId="0" fontId="4" fillId="0" borderId="8" xfId="1" applyNumberFormat="1" applyFill="1" applyBorder="1"/>
    <xf numFmtId="0" fontId="1" fillId="0" borderId="0" xfId="1" applyFont="1" applyFill="1" applyBorder="1" applyAlignment="1"/>
    <xf numFmtId="0" fontId="4" fillId="0" borderId="2" xfId="1" applyBorder="1"/>
    <xf numFmtId="0" fontId="4" fillId="5" borderId="0" xfId="1" applyFill="1" applyBorder="1"/>
    <xf numFmtId="0" fontId="4" fillId="0" borderId="7" xfId="1" applyBorder="1"/>
    <xf numFmtId="0" fontId="4" fillId="0" borderId="4" xfId="1" applyBorder="1"/>
    <xf numFmtId="0" fontId="4" fillId="0" borderId="3" xfId="1" applyFill="1" applyBorder="1"/>
    <xf numFmtId="0" fontId="4" fillId="6" borderId="13" xfId="1" applyFill="1" applyBorder="1" applyAlignment="1">
      <alignment horizontal="right"/>
    </xf>
    <xf numFmtId="0" fontId="4" fillId="10" borderId="0" xfId="1" applyFill="1"/>
    <xf numFmtId="0" fontId="4" fillId="10" borderId="0" xfId="1" applyFont="1" applyFill="1"/>
    <xf numFmtId="0" fontId="4" fillId="0" borderId="0" xfId="1" applyFont="1" applyFill="1"/>
    <xf numFmtId="0" fontId="4" fillId="5" borderId="0" xfId="1" applyFont="1" applyFill="1"/>
    <xf numFmtId="0" fontId="2" fillId="0" borderId="0" xfId="1" applyNumberFormat="1" applyFont="1" applyFill="1" applyAlignment="1"/>
    <xf numFmtId="0" fontId="4" fillId="0" borderId="0" xfId="1" applyNumberFormat="1" applyAlignment="1"/>
    <xf numFmtId="0" fontId="4" fillId="6" borderId="0" xfId="1" applyNumberFormat="1" applyFill="1" applyAlignment="1"/>
    <xf numFmtId="0" fontId="4" fillId="0" borderId="0" xfId="1" applyAlignment="1">
      <alignment horizontal="right"/>
    </xf>
    <xf numFmtId="0" fontId="4" fillId="6" borderId="0" xfId="1" applyFill="1" applyBorder="1"/>
    <xf numFmtId="0" fontId="4" fillId="0" borderId="0" xfId="1" applyNumberFormat="1"/>
    <xf numFmtId="0" fontId="7" fillId="0" borderId="0" xfId="1" applyFont="1"/>
    <xf numFmtId="0" fontId="8" fillId="0" borderId="0" xfId="1" applyFont="1"/>
    <xf numFmtId="0" fontId="9" fillId="0" borderId="0" xfId="1" applyFont="1"/>
    <xf numFmtId="0" fontId="10" fillId="0" borderId="0" xfId="1" applyFont="1"/>
    <xf numFmtId="0" fontId="11" fillId="0" borderId="0" xfId="1" applyFont="1"/>
    <xf numFmtId="0" fontId="12" fillId="0" borderId="0" xfId="1" applyNumberFormat="1" applyFont="1" applyAlignment="1">
      <alignment horizontal="left"/>
    </xf>
    <xf numFmtId="1" fontId="4" fillId="0" borderId="10" xfId="1" applyNumberFormat="1" applyBorder="1"/>
    <xf numFmtId="164" fontId="4" fillId="0" borderId="10" xfId="1" applyNumberFormat="1" applyBorder="1"/>
    <xf numFmtId="1" fontId="4" fillId="0" borderId="12" xfId="1" applyNumberFormat="1" applyBorder="1"/>
    <xf numFmtId="164" fontId="4" fillId="0" borderId="12" xfId="1" applyNumberFormat="1" applyBorder="1"/>
    <xf numFmtId="1" fontId="4" fillId="0" borderId="15" xfId="1" applyNumberFormat="1" applyBorder="1"/>
    <xf numFmtId="164" fontId="4" fillId="0" borderId="15" xfId="1" applyNumberFormat="1" applyBorder="1"/>
    <xf numFmtId="164" fontId="4" fillId="0" borderId="13" xfId="1" applyNumberFormat="1" applyBorder="1"/>
    <xf numFmtId="1" fontId="4" fillId="0" borderId="5" xfId="1" applyNumberFormat="1" applyBorder="1"/>
    <xf numFmtId="1" fontId="4" fillId="0" borderId="10" xfId="1" applyNumberFormat="1" applyFill="1" applyBorder="1"/>
    <xf numFmtId="1" fontId="4" fillId="0" borderId="12" xfId="1" applyNumberFormat="1" applyFill="1" applyBorder="1"/>
    <xf numFmtId="1" fontId="4" fillId="0" borderId="15" xfId="1" applyNumberFormat="1" applyFill="1" applyBorder="1"/>
    <xf numFmtId="0" fontId="4" fillId="0" borderId="9" xfId="1" applyBorder="1" applyAlignment="1">
      <alignment horizontal="right"/>
    </xf>
    <xf numFmtId="164" fontId="4" fillId="0" borderId="0" xfId="1" applyNumberFormat="1"/>
    <xf numFmtId="0" fontId="13" fillId="0" borderId="0" xfId="1" applyFont="1"/>
    <xf numFmtId="164" fontId="4" fillId="0" borderId="27" xfId="1" applyNumberFormat="1" applyBorder="1"/>
    <xf numFmtId="0" fontId="0" fillId="3" borderId="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7" fillId="0" borderId="0" xfId="1" applyFont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haredStrings" Target="sharedStrings.xml"/><Relationship Id="rId21" Type="http://schemas.openxmlformats.org/officeDocument/2006/relationships/calcChain" Target="calcChain.xml"/><Relationship Id="rId22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theme" Target="theme/theme1.xml"/><Relationship Id="rId19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2:F12"/>
  <sheetViews>
    <sheetView showGridLines="0" workbookViewId="0"/>
  </sheetViews>
  <sheetFormatPr baseColWidth="10" defaultColWidth="8.83203125" defaultRowHeight="12" x14ac:dyDescent="0"/>
  <cols>
    <col min="1" max="1" width="4.6640625" customWidth="1" collapsed="1"/>
  </cols>
  <sheetData>
    <row r="2" spans="2:6">
      <c r="B2" s="1" t="s">
        <v>0</v>
      </c>
    </row>
    <row r="3" spans="2:6">
      <c r="B3" s="2"/>
      <c r="C3" s="3"/>
      <c r="D3" s="3"/>
      <c r="E3" s="3"/>
      <c r="F3" s="3"/>
    </row>
    <row r="4" spans="2:6">
      <c r="B4" s="4"/>
      <c r="C4" s="5" t="s">
        <v>1</v>
      </c>
      <c r="D4" s="201" t="s">
        <v>165</v>
      </c>
      <c r="E4" s="202"/>
      <c r="F4" s="203"/>
    </row>
    <row r="5" spans="2:6">
      <c r="B5" s="6"/>
      <c r="C5" s="7" t="s">
        <v>111</v>
      </c>
      <c r="D5" s="204">
        <v>2031</v>
      </c>
      <c r="E5" s="205"/>
      <c r="F5" s="206"/>
    </row>
    <row r="6" spans="2:6">
      <c r="B6" s="3"/>
      <c r="C6" s="3"/>
      <c r="D6" s="3"/>
      <c r="E6" s="3"/>
      <c r="F6" s="3"/>
    </row>
    <row r="8" spans="2:6">
      <c r="B8">
        <v>2</v>
      </c>
      <c r="C8" t="s">
        <v>337</v>
      </c>
      <c r="D8">
        <v>3</v>
      </c>
      <c r="E8" t="s">
        <v>338</v>
      </c>
    </row>
    <row r="10" spans="2:6">
      <c r="C10" t="s">
        <v>10</v>
      </c>
      <c r="E10" t="s">
        <v>22</v>
      </c>
    </row>
    <row r="11" spans="2:6">
      <c r="C11" t="s">
        <v>12</v>
      </c>
      <c r="E11" t="s">
        <v>46</v>
      </c>
    </row>
    <row r="12" spans="2:6">
      <c r="E12" t="s">
        <v>59</v>
      </c>
    </row>
  </sheetData>
  <mergeCells count="2">
    <mergeCell ref="D4:F4"/>
    <mergeCell ref="D5:F5"/>
  </mergeCells>
  <phoneticPr fontId="0" type="noConversion"/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B2:H107"/>
  <sheetViews>
    <sheetView showGridLines="0" workbookViewId="0"/>
  </sheetViews>
  <sheetFormatPr baseColWidth="10" defaultColWidth="8.83203125" defaultRowHeight="12" x14ac:dyDescent="0"/>
  <cols>
    <col min="1" max="1" width="4.6640625" style="9" customWidth="1" collapsed="1"/>
    <col min="2" max="2" width="8" style="9" bestFit="1" customWidth="1" collapsed="1"/>
    <col min="3" max="3" width="15.6640625" style="9" bestFit="1" customWidth="1" collapsed="1"/>
    <col min="4" max="4" width="8.6640625" style="9" customWidth="1" collapsed="1"/>
    <col min="5" max="5" width="4.5" style="9" customWidth="1" collapsed="1"/>
    <col min="6" max="6" width="3.33203125" style="9" bestFit="1" customWidth="1" collapsed="1"/>
    <col min="7" max="7" width="8.6640625" style="9" customWidth="1" collapsed="1"/>
    <col min="8" max="8" width="9.5" style="9" customWidth="1" collapsed="1"/>
    <col min="9" max="16384" width="8.83203125" style="9" collapsed="1"/>
  </cols>
  <sheetData>
    <row r="2" spans="2:8">
      <c r="B2" s="8" t="s">
        <v>2</v>
      </c>
    </row>
    <row r="3" spans="2:8">
      <c r="B3" s="10" t="s">
        <v>155</v>
      </c>
    </row>
    <row r="4" spans="2:8">
      <c r="B4" s="11"/>
      <c r="C4" s="12"/>
      <c r="D4" s="12"/>
      <c r="E4" s="12"/>
      <c r="F4" s="12"/>
      <c r="G4" s="12"/>
      <c r="H4" s="12"/>
    </row>
    <row r="5" spans="2:8">
      <c r="B5" s="13" t="s">
        <v>3</v>
      </c>
      <c r="C5" s="13" t="s">
        <v>4</v>
      </c>
      <c r="D5" s="13" t="s">
        <v>151</v>
      </c>
      <c r="E5" s="13"/>
      <c r="F5" s="13"/>
      <c r="G5" s="13" t="s">
        <v>152</v>
      </c>
      <c r="H5" s="13"/>
    </row>
    <row r="6" spans="2:8">
      <c r="B6" s="14" t="s">
        <v>5</v>
      </c>
      <c r="C6" s="84">
        <v>0</v>
      </c>
      <c r="D6" s="15">
        <v>0</v>
      </c>
      <c r="E6" s="15" t="s">
        <v>166</v>
      </c>
      <c r="F6" s="15" t="s">
        <v>6</v>
      </c>
      <c r="G6" s="15">
        <f t="shared" ref="G6:G15" si="0">$D6+$C6</f>
        <v>0</v>
      </c>
      <c r="H6" s="16" t="str">
        <f t="shared" ref="H6:H15" si="1">IF(AND($D6=0, $G6&gt;0),"new", IF(AND($D6&gt;0, $G6=0),"sold",""))</f>
        <v/>
      </c>
    </row>
    <row r="7" spans="2:8">
      <c r="B7" s="14" t="s">
        <v>7</v>
      </c>
      <c r="C7" s="84">
        <v>0</v>
      </c>
      <c r="D7" s="15">
        <v>0</v>
      </c>
      <c r="E7" s="15" t="s">
        <v>166</v>
      </c>
      <c r="F7" s="15" t="s">
        <v>6</v>
      </c>
      <c r="G7" s="15">
        <f t="shared" si="0"/>
        <v>0</v>
      </c>
      <c r="H7" s="17" t="str">
        <f t="shared" si="1"/>
        <v/>
      </c>
    </row>
    <row r="8" spans="2:8">
      <c r="B8" s="14" t="s">
        <v>8</v>
      </c>
      <c r="C8" s="84">
        <v>0</v>
      </c>
      <c r="D8" s="15">
        <v>0</v>
      </c>
      <c r="E8" s="15" t="s">
        <v>166</v>
      </c>
      <c r="F8" s="15" t="s">
        <v>6</v>
      </c>
      <c r="G8" s="15">
        <f t="shared" si="0"/>
        <v>0</v>
      </c>
      <c r="H8" s="17" t="str">
        <f t="shared" si="1"/>
        <v/>
      </c>
    </row>
    <row r="9" spans="2:8">
      <c r="B9" s="14" t="s">
        <v>9</v>
      </c>
      <c r="C9" s="84">
        <v>0</v>
      </c>
      <c r="D9" s="15">
        <v>0</v>
      </c>
      <c r="E9" s="15" t="s">
        <v>166</v>
      </c>
      <c r="F9" s="15" t="s">
        <v>6</v>
      </c>
      <c r="G9" s="15">
        <f t="shared" si="0"/>
        <v>0</v>
      </c>
      <c r="H9" s="17" t="str">
        <f t="shared" si="1"/>
        <v/>
      </c>
    </row>
    <row r="10" spans="2:8">
      <c r="B10" s="14" t="s">
        <v>10</v>
      </c>
      <c r="C10" s="84">
        <v>0</v>
      </c>
      <c r="D10" s="15">
        <v>600</v>
      </c>
      <c r="E10" s="15" t="s">
        <v>166</v>
      </c>
      <c r="F10" s="15" t="s">
        <v>6</v>
      </c>
      <c r="G10" s="15">
        <f t="shared" si="0"/>
        <v>600</v>
      </c>
      <c r="H10" s="17" t="str">
        <f t="shared" si="1"/>
        <v/>
      </c>
    </row>
    <row r="11" spans="2:8">
      <c r="B11" s="14" t="s">
        <v>11</v>
      </c>
      <c r="C11" s="84">
        <v>0</v>
      </c>
      <c r="D11" s="15">
        <v>0</v>
      </c>
      <c r="E11" s="15" t="s">
        <v>166</v>
      </c>
      <c r="F11" s="15" t="s">
        <v>6</v>
      </c>
      <c r="G11" s="15">
        <f t="shared" si="0"/>
        <v>0</v>
      </c>
      <c r="H11" s="17" t="str">
        <f t="shared" si="1"/>
        <v/>
      </c>
    </row>
    <row r="12" spans="2:8">
      <c r="B12" s="14" t="s">
        <v>12</v>
      </c>
      <c r="C12" s="84">
        <v>0</v>
      </c>
      <c r="D12" s="15">
        <v>3589</v>
      </c>
      <c r="E12" s="15" t="s">
        <v>166</v>
      </c>
      <c r="F12" s="15" t="s">
        <v>6</v>
      </c>
      <c r="G12" s="15">
        <f t="shared" si="0"/>
        <v>3589</v>
      </c>
      <c r="H12" s="17" t="str">
        <f t="shared" si="1"/>
        <v/>
      </c>
    </row>
    <row r="13" spans="2:8">
      <c r="B13" s="14" t="s">
        <v>13</v>
      </c>
      <c r="C13" s="84">
        <v>0</v>
      </c>
      <c r="D13" s="15">
        <v>0</v>
      </c>
      <c r="E13" s="15" t="s">
        <v>166</v>
      </c>
      <c r="F13" s="15" t="s">
        <v>6</v>
      </c>
      <c r="G13" s="15">
        <f t="shared" si="0"/>
        <v>0</v>
      </c>
      <c r="H13" s="17" t="str">
        <f t="shared" si="1"/>
        <v/>
      </c>
    </row>
    <row r="14" spans="2:8">
      <c r="B14" s="14" t="s">
        <v>14</v>
      </c>
      <c r="C14" s="84">
        <v>0</v>
      </c>
      <c r="D14" s="15">
        <v>0</v>
      </c>
      <c r="E14" s="15" t="s">
        <v>166</v>
      </c>
      <c r="F14" s="15" t="s">
        <v>6</v>
      </c>
      <c r="G14" s="15">
        <f t="shared" si="0"/>
        <v>0</v>
      </c>
      <c r="H14" s="17" t="str">
        <f t="shared" si="1"/>
        <v/>
      </c>
    </row>
    <row r="15" spans="2:8">
      <c r="B15" s="18" t="s">
        <v>15</v>
      </c>
      <c r="C15" s="84">
        <v>0</v>
      </c>
      <c r="D15" s="15">
        <v>0</v>
      </c>
      <c r="E15" s="15" t="s">
        <v>166</v>
      </c>
      <c r="F15" s="19" t="s">
        <v>6</v>
      </c>
      <c r="G15" s="15">
        <f t="shared" si="0"/>
        <v>0</v>
      </c>
      <c r="H15" s="20" t="str">
        <f t="shared" si="1"/>
        <v/>
      </c>
    </row>
    <row r="16" spans="2:8">
      <c r="B16" s="21"/>
      <c r="C16" s="21"/>
      <c r="D16" s="21">
        <f>COUNTIF($D$6:$D$15,"&gt;0")</f>
        <v>2</v>
      </c>
      <c r="E16" s="21" t="s">
        <v>16</v>
      </c>
      <c r="F16" s="12"/>
      <c r="G16" s="21">
        <f>COUNTIF(G6:G15,"&gt;0")</f>
        <v>2</v>
      </c>
      <c r="H16" s="82" t="s">
        <v>16</v>
      </c>
    </row>
    <row r="18" spans="2:8">
      <c r="B18" s="10" t="s">
        <v>148</v>
      </c>
    </row>
    <row r="19" spans="2:8">
      <c r="B19" s="11"/>
      <c r="C19" s="12"/>
      <c r="D19" s="12"/>
      <c r="E19" s="12"/>
      <c r="F19" s="12"/>
      <c r="G19" s="12"/>
      <c r="H19" s="12"/>
    </row>
    <row r="20" spans="2:8">
      <c r="B20" s="13" t="s">
        <v>3</v>
      </c>
      <c r="C20" s="13" t="s">
        <v>17</v>
      </c>
      <c r="D20" s="13" t="s">
        <v>151</v>
      </c>
      <c r="E20" s="13"/>
      <c r="F20" s="13"/>
      <c r="G20" s="13" t="s">
        <v>152</v>
      </c>
      <c r="H20" s="13"/>
    </row>
    <row r="21" spans="2:8">
      <c r="B21" s="14" t="s">
        <v>5</v>
      </c>
      <c r="C21" s="85">
        <v>0</v>
      </c>
      <c r="D21" s="15">
        <v>0</v>
      </c>
      <c r="E21" s="15"/>
      <c r="F21" s="15" t="s">
        <v>6</v>
      </c>
      <c r="G21" s="15">
        <f t="shared" ref="G21:G30" si="2">$D21+$C21</f>
        <v>0</v>
      </c>
      <c r="H21" s="17"/>
    </row>
    <row r="22" spans="2:8">
      <c r="B22" s="14" t="s">
        <v>7</v>
      </c>
      <c r="C22" s="85">
        <v>0</v>
      </c>
      <c r="D22" s="15">
        <v>0</v>
      </c>
      <c r="E22" s="15"/>
      <c r="F22" s="15" t="s">
        <v>6</v>
      </c>
      <c r="G22" s="15">
        <f t="shared" si="2"/>
        <v>0</v>
      </c>
      <c r="H22" s="17"/>
    </row>
    <row r="23" spans="2:8">
      <c r="B23" s="14" t="s">
        <v>8</v>
      </c>
      <c r="C23" s="85">
        <v>0</v>
      </c>
      <c r="D23" s="15">
        <v>0</v>
      </c>
      <c r="E23" s="15"/>
      <c r="F23" s="15" t="s">
        <v>6</v>
      </c>
      <c r="G23" s="15">
        <f t="shared" si="2"/>
        <v>0</v>
      </c>
      <c r="H23" s="17"/>
    </row>
    <row r="24" spans="2:8">
      <c r="B24" s="14" t="s">
        <v>9</v>
      </c>
      <c r="C24" s="85">
        <v>0</v>
      </c>
      <c r="D24" s="15">
        <v>0</v>
      </c>
      <c r="E24" s="15"/>
      <c r="F24" s="15" t="s">
        <v>6</v>
      </c>
      <c r="G24" s="15">
        <f t="shared" si="2"/>
        <v>0</v>
      </c>
      <c r="H24" s="17"/>
    </row>
    <row r="25" spans="2:8">
      <c r="B25" s="14" t="s">
        <v>10</v>
      </c>
      <c r="C25" s="85">
        <v>0</v>
      </c>
      <c r="D25" s="15">
        <v>22</v>
      </c>
      <c r="E25" s="15"/>
      <c r="F25" s="15" t="s">
        <v>6</v>
      </c>
      <c r="G25" s="15">
        <f t="shared" si="2"/>
        <v>22</v>
      </c>
      <c r="H25" s="17"/>
    </row>
    <row r="26" spans="2:8">
      <c r="B26" s="14" t="s">
        <v>11</v>
      </c>
      <c r="C26" s="85">
        <v>0</v>
      </c>
      <c r="D26" s="15">
        <v>0</v>
      </c>
      <c r="E26" s="15"/>
      <c r="F26" s="15" t="s">
        <v>6</v>
      </c>
      <c r="G26" s="15">
        <f t="shared" si="2"/>
        <v>0</v>
      </c>
      <c r="H26" s="17"/>
    </row>
    <row r="27" spans="2:8">
      <c r="B27" s="14" t="s">
        <v>12</v>
      </c>
      <c r="C27" s="85">
        <v>0</v>
      </c>
      <c r="D27" s="15">
        <v>15</v>
      </c>
      <c r="E27" s="15"/>
      <c r="F27" s="15" t="s">
        <v>6</v>
      </c>
      <c r="G27" s="15">
        <f t="shared" si="2"/>
        <v>15</v>
      </c>
      <c r="H27" s="17"/>
    </row>
    <row r="28" spans="2:8">
      <c r="B28" s="14" t="s">
        <v>13</v>
      </c>
      <c r="C28" s="85">
        <v>0</v>
      </c>
      <c r="D28" s="15">
        <v>0</v>
      </c>
      <c r="E28" s="15"/>
      <c r="F28" s="15" t="s">
        <v>6</v>
      </c>
      <c r="G28" s="15">
        <f t="shared" si="2"/>
        <v>0</v>
      </c>
      <c r="H28" s="17"/>
    </row>
    <row r="29" spans="2:8">
      <c r="B29" s="14" t="s">
        <v>14</v>
      </c>
      <c r="C29" s="85">
        <v>0</v>
      </c>
      <c r="D29" s="15">
        <v>0</v>
      </c>
      <c r="E29" s="15"/>
      <c r="F29" s="15" t="s">
        <v>6</v>
      </c>
      <c r="G29" s="15">
        <f t="shared" si="2"/>
        <v>0</v>
      </c>
      <c r="H29" s="17"/>
    </row>
    <row r="30" spans="2:8">
      <c r="B30" s="18" t="s">
        <v>15</v>
      </c>
      <c r="C30" s="85">
        <v>0</v>
      </c>
      <c r="D30" s="15">
        <v>0</v>
      </c>
      <c r="E30" s="15"/>
      <c r="F30" s="19" t="s">
        <v>6</v>
      </c>
      <c r="G30" s="15">
        <f t="shared" si="2"/>
        <v>0</v>
      </c>
      <c r="H30" s="20"/>
    </row>
    <row r="31" spans="2:8">
      <c r="B31" s="21"/>
      <c r="C31" s="21"/>
      <c r="D31" s="21">
        <f>SUM($D$21:$D$30)</f>
        <v>37</v>
      </c>
      <c r="E31" s="21" t="s">
        <v>18</v>
      </c>
      <c r="F31" s="21"/>
      <c r="G31" s="21"/>
      <c r="H31" s="22"/>
    </row>
    <row r="33" spans="2:8">
      <c r="B33" s="10" t="s">
        <v>156</v>
      </c>
    </row>
    <row r="34" spans="2:8">
      <c r="B34" s="11"/>
      <c r="C34" s="12"/>
      <c r="D34" s="12"/>
      <c r="E34" s="12"/>
      <c r="F34" s="12"/>
      <c r="G34" s="12"/>
      <c r="H34" s="12"/>
    </row>
    <row r="35" spans="2:8">
      <c r="B35" s="13" t="s">
        <v>3</v>
      </c>
      <c r="C35" s="13" t="s">
        <v>4</v>
      </c>
      <c r="D35" s="23" t="s">
        <v>151</v>
      </c>
      <c r="E35" s="23"/>
      <c r="F35" s="23"/>
      <c r="G35" s="24" t="s">
        <v>152</v>
      </c>
      <c r="H35" s="13"/>
    </row>
    <row r="36" spans="2:8">
      <c r="B36" s="25" t="s">
        <v>19</v>
      </c>
      <c r="C36" s="84">
        <v>0</v>
      </c>
      <c r="D36" s="25">
        <v>0</v>
      </c>
      <c r="E36" s="26" t="s">
        <v>166</v>
      </c>
      <c r="F36" s="26" t="s">
        <v>6</v>
      </c>
      <c r="G36" s="15">
        <f t="shared" ref="G36:G67" si="3">$D36+$C36</f>
        <v>0</v>
      </c>
      <c r="H36" s="17" t="str">
        <f t="shared" ref="H36:H67" si="4">IF(AND($D36=0, $G36&gt;0),"new", IF(AND($D36&gt;0, $G36=0),"sold",""))</f>
        <v/>
      </c>
    </row>
    <row r="37" spans="2:8">
      <c r="B37" s="14" t="s">
        <v>20</v>
      </c>
      <c r="C37" s="84">
        <v>0</v>
      </c>
      <c r="D37" s="14">
        <v>0</v>
      </c>
      <c r="E37" s="15" t="s">
        <v>166</v>
      </c>
      <c r="F37" s="15" t="s">
        <v>6</v>
      </c>
      <c r="G37" s="15">
        <f t="shared" si="3"/>
        <v>0</v>
      </c>
      <c r="H37" s="17" t="str">
        <f t="shared" si="4"/>
        <v/>
      </c>
    </row>
    <row r="38" spans="2:8">
      <c r="B38" s="14" t="s">
        <v>21</v>
      </c>
      <c r="C38" s="84">
        <v>0</v>
      </c>
      <c r="D38" s="14">
        <v>0</v>
      </c>
      <c r="E38" s="15" t="s">
        <v>166</v>
      </c>
      <c r="F38" s="15" t="s">
        <v>6</v>
      </c>
      <c r="G38" s="15">
        <f t="shared" si="3"/>
        <v>0</v>
      </c>
      <c r="H38" s="17" t="str">
        <f t="shared" si="4"/>
        <v/>
      </c>
    </row>
    <row r="39" spans="2:8">
      <c r="B39" s="14" t="s">
        <v>22</v>
      </c>
      <c r="C39" s="84">
        <v>0</v>
      </c>
      <c r="D39" s="14">
        <v>1300</v>
      </c>
      <c r="E39" s="15" t="s">
        <v>166</v>
      </c>
      <c r="F39" s="15" t="s">
        <v>6</v>
      </c>
      <c r="G39" s="15">
        <f t="shared" si="3"/>
        <v>1300</v>
      </c>
      <c r="H39" s="17" t="str">
        <f t="shared" si="4"/>
        <v/>
      </c>
    </row>
    <row r="40" spans="2:8">
      <c r="B40" s="14" t="s">
        <v>23</v>
      </c>
      <c r="C40" s="84">
        <v>0</v>
      </c>
      <c r="D40" s="14">
        <v>0</v>
      </c>
      <c r="E40" s="15" t="s">
        <v>166</v>
      </c>
      <c r="F40" s="15" t="s">
        <v>6</v>
      </c>
      <c r="G40" s="15">
        <f t="shared" si="3"/>
        <v>0</v>
      </c>
      <c r="H40" s="17" t="str">
        <f t="shared" si="4"/>
        <v/>
      </c>
    </row>
    <row r="41" spans="2:8">
      <c r="B41" s="14" t="s">
        <v>24</v>
      </c>
      <c r="C41" s="84">
        <v>0</v>
      </c>
      <c r="D41" s="14">
        <v>0</v>
      </c>
      <c r="E41" s="15" t="s">
        <v>166</v>
      </c>
      <c r="F41" s="15" t="s">
        <v>6</v>
      </c>
      <c r="G41" s="15">
        <f t="shared" si="3"/>
        <v>0</v>
      </c>
      <c r="H41" s="17" t="str">
        <f t="shared" si="4"/>
        <v/>
      </c>
    </row>
    <row r="42" spans="2:8">
      <c r="B42" s="14" t="s">
        <v>25</v>
      </c>
      <c r="C42" s="84">
        <v>0</v>
      </c>
      <c r="D42" s="14">
        <v>0</v>
      </c>
      <c r="E42" s="15" t="s">
        <v>166</v>
      </c>
      <c r="F42" s="15" t="s">
        <v>6</v>
      </c>
      <c r="G42" s="15">
        <f t="shared" si="3"/>
        <v>0</v>
      </c>
      <c r="H42" s="17" t="str">
        <f t="shared" si="4"/>
        <v/>
      </c>
    </row>
    <row r="43" spans="2:8">
      <c r="B43" s="14" t="s">
        <v>26</v>
      </c>
      <c r="C43" s="84">
        <v>0</v>
      </c>
      <c r="D43" s="14">
        <v>0</v>
      </c>
      <c r="E43" s="15" t="s">
        <v>166</v>
      </c>
      <c r="F43" s="15" t="s">
        <v>6</v>
      </c>
      <c r="G43" s="15">
        <f t="shared" si="3"/>
        <v>0</v>
      </c>
      <c r="H43" s="17" t="str">
        <f t="shared" si="4"/>
        <v/>
      </c>
    </row>
    <row r="44" spans="2:8">
      <c r="B44" s="14" t="s">
        <v>27</v>
      </c>
      <c r="C44" s="84">
        <v>0</v>
      </c>
      <c r="D44" s="14">
        <v>0</v>
      </c>
      <c r="E44" s="15" t="s">
        <v>166</v>
      </c>
      <c r="F44" s="15" t="s">
        <v>6</v>
      </c>
      <c r="G44" s="15">
        <f t="shared" si="3"/>
        <v>0</v>
      </c>
      <c r="H44" s="17" t="str">
        <f t="shared" si="4"/>
        <v/>
      </c>
    </row>
    <row r="45" spans="2:8">
      <c r="B45" s="14" t="s">
        <v>28</v>
      </c>
      <c r="C45" s="84">
        <v>0</v>
      </c>
      <c r="D45" s="14">
        <v>0</v>
      </c>
      <c r="E45" s="15" t="s">
        <v>166</v>
      </c>
      <c r="F45" s="15" t="s">
        <v>6</v>
      </c>
      <c r="G45" s="15">
        <f t="shared" si="3"/>
        <v>0</v>
      </c>
      <c r="H45" s="17" t="str">
        <f t="shared" si="4"/>
        <v/>
      </c>
    </row>
    <row r="46" spans="2:8">
      <c r="B46" s="14" t="s">
        <v>29</v>
      </c>
      <c r="C46" s="84">
        <v>0</v>
      </c>
      <c r="D46" s="14">
        <v>0</v>
      </c>
      <c r="E46" s="15" t="s">
        <v>166</v>
      </c>
      <c r="F46" s="15" t="s">
        <v>6</v>
      </c>
      <c r="G46" s="15">
        <f t="shared" si="3"/>
        <v>0</v>
      </c>
      <c r="H46" s="17" t="str">
        <f t="shared" si="4"/>
        <v/>
      </c>
    </row>
    <row r="47" spans="2:8">
      <c r="B47" s="14" t="s">
        <v>30</v>
      </c>
      <c r="C47" s="84">
        <v>0</v>
      </c>
      <c r="D47" s="14">
        <v>0</v>
      </c>
      <c r="E47" s="15" t="s">
        <v>166</v>
      </c>
      <c r="F47" s="15" t="s">
        <v>6</v>
      </c>
      <c r="G47" s="15">
        <f t="shared" si="3"/>
        <v>0</v>
      </c>
      <c r="H47" s="17" t="str">
        <f t="shared" si="4"/>
        <v/>
      </c>
    </row>
    <row r="48" spans="2:8">
      <c r="B48" s="14" t="s">
        <v>31</v>
      </c>
      <c r="C48" s="84">
        <v>0</v>
      </c>
      <c r="D48" s="14">
        <v>0</v>
      </c>
      <c r="E48" s="15" t="s">
        <v>166</v>
      </c>
      <c r="F48" s="15" t="s">
        <v>6</v>
      </c>
      <c r="G48" s="15">
        <f t="shared" si="3"/>
        <v>0</v>
      </c>
      <c r="H48" s="17" t="str">
        <f t="shared" si="4"/>
        <v/>
      </c>
    </row>
    <row r="49" spans="2:8">
      <c r="B49" s="14" t="s">
        <v>32</v>
      </c>
      <c r="C49" s="84">
        <v>0</v>
      </c>
      <c r="D49" s="14">
        <v>0</v>
      </c>
      <c r="E49" s="15" t="s">
        <v>166</v>
      </c>
      <c r="F49" s="15" t="s">
        <v>6</v>
      </c>
      <c r="G49" s="15">
        <f t="shared" si="3"/>
        <v>0</v>
      </c>
      <c r="H49" s="17" t="str">
        <f t="shared" si="4"/>
        <v/>
      </c>
    </row>
    <row r="50" spans="2:8">
      <c r="B50" s="14" t="s">
        <v>33</v>
      </c>
      <c r="C50" s="84">
        <v>0</v>
      </c>
      <c r="D50" s="14">
        <v>0</v>
      </c>
      <c r="E50" s="15" t="s">
        <v>166</v>
      </c>
      <c r="F50" s="15" t="s">
        <v>6</v>
      </c>
      <c r="G50" s="15">
        <f t="shared" si="3"/>
        <v>0</v>
      </c>
      <c r="H50" s="17" t="str">
        <f t="shared" si="4"/>
        <v/>
      </c>
    </row>
    <row r="51" spans="2:8">
      <c r="B51" s="14" t="s">
        <v>34</v>
      </c>
      <c r="C51" s="84">
        <v>0</v>
      </c>
      <c r="D51" s="14">
        <v>0</v>
      </c>
      <c r="E51" s="15" t="s">
        <v>166</v>
      </c>
      <c r="F51" s="15" t="s">
        <v>6</v>
      </c>
      <c r="G51" s="15">
        <f t="shared" si="3"/>
        <v>0</v>
      </c>
      <c r="H51" s="17" t="str">
        <f t="shared" si="4"/>
        <v/>
      </c>
    </row>
    <row r="52" spans="2:8">
      <c r="B52" s="14" t="s">
        <v>35</v>
      </c>
      <c r="C52" s="84">
        <v>0</v>
      </c>
      <c r="D52" s="14">
        <v>0</v>
      </c>
      <c r="E52" s="15" t="s">
        <v>166</v>
      </c>
      <c r="F52" s="15" t="s">
        <v>6</v>
      </c>
      <c r="G52" s="15">
        <f t="shared" si="3"/>
        <v>0</v>
      </c>
      <c r="H52" s="17" t="str">
        <f t="shared" si="4"/>
        <v/>
      </c>
    </row>
    <row r="53" spans="2:8">
      <c r="B53" s="14" t="s">
        <v>36</v>
      </c>
      <c r="C53" s="84">
        <v>0</v>
      </c>
      <c r="D53" s="14">
        <v>0</v>
      </c>
      <c r="E53" s="15" t="s">
        <v>166</v>
      </c>
      <c r="F53" s="15" t="s">
        <v>6</v>
      </c>
      <c r="G53" s="15">
        <f t="shared" si="3"/>
        <v>0</v>
      </c>
      <c r="H53" s="17" t="str">
        <f t="shared" si="4"/>
        <v/>
      </c>
    </row>
    <row r="54" spans="2:8">
      <c r="B54" s="14" t="s">
        <v>37</v>
      </c>
      <c r="C54" s="84">
        <v>0</v>
      </c>
      <c r="D54" s="14">
        <v>0</v>
      </c>
      <c r="E54" s="15" t="s">
        <v>166</v>
      </c>
      <c r="F54" s="15" t="s">
        <v>6</v>
      </c>
      <c r="G54" s="15">
        <f t="shared" si="3"/>
        <v>0</v>
      </c>
      <c r="H54" s="17" t="str">
        <f t="shared" si="4"/>
        <v/>
      </c>
    </row>
    <row r="55" spans="2:8">
      <c r="B55" s="14" t="s">
        <v>38</v>
      </c>
      <c r="C55" s="84">
        <v>0</v>
      </c>
      <c r="D55" s="14">
        <v>0</v>
      </c>
      <c r="E55" s="15" t="s">
        <v>166</v>
      </c>
      <c r="F55" s="15" t="s">
        <v>6</v>
      </c>
      <c r="G55" s="15">
        <f t="shared" si="3"/>
        <v>0</v>
      </c>
      <c r="H55" s="17" t="str">
        <f t="shared" si="4"/>
        <v/>
      </c>
    </row>
    <row r="56" spans="2:8">
      <c r="B56" s="14" t="s">
        <v>39</v>
      </c>
      <c r="C56" s="84">
        <v>0</v>
      </c>
      <c r="D56" s="14">
        <v>0</v>
      </c>
      <c r="E56" s="15" t="s">
        <v>166</v>
      </c>
      <c r="F56" s="15" t="s">
        <v>6</v>
      </c>
      <c r="G56" s="15">
        <f t="shared" si="3"/>
        <v>0</v>
      </c>
      <c r="H56" s="17" t="str">
        <f t="shared" si="4"/>
        <v/>
      </c>
    </row>
    <row r="57" spans="2:8">
      <c r="B57" s="14" t="s">
        <v>40</v>
      </c>
      <c r="C57" s="84">
        <v>0</v>
      </c>
      <c r="D57" s="14">
        <v>0</v>
      </c>
      <c r="E57" s="15" t="s">
        <v>166</v>
      </c>
      <c r="F57" s="15" t="s">
        <v>6</v>
      </c>
      <c r="G57" s="15">
        <f t="shared" si="3"/>
        <v>0</v>
      </c>
      <c r="H57" s="17" t="str">
        <f t="shared" si="4"/>
        <v/>
      </c>
    </row>
    <row r="58" spans="2:8">
      <c r="B58" s="14" t="s">
        <v>41</v>
      </c>
      <c r="C58" s="84">
        <v>0</v>
      </c>
      <c r="D58" s="14">
        <v>0</v>
      </c>
      <c r="E58" s="15" t="s">
        <v>166</v>
      </c>
      <c r="F58" s="15" t="s">
        <v>6</v>
      </c>
      <c r="G58" s="15">
        <f t="shared" si="3"/>
        <v>0</v>
      </c>
      <c r="H58" s="17" t="str">
        <f t="shared" si="4"/>
        <v/>
      </c>
    </row>
    <row r="59" spans="2:8">
      <c r="B59" s="14" t="s">
        <v>42</v>
      </c>
      <c r="C59" s="84">
        <v>0</v>
      </c>
      <c r="D59" s="14">
        <v>0</v>
      </c>
      <c r="E59" s="15" t="s">
        <v>166</v>
      </c>
      <c r="F59" s="15" t="s">
        <v>6</v>
      </c>
      <c r="G59" s="15">
        <f t="shared" si="3"/>
        <v>0</v>
      </c>
      <c r="H59" s="17" t="str">
        <f t="shared" si="4"/>
        <v/>
      </c>
    </row>
    <row r="60" spans="2:8">
      <c r="B60" s="14" t="s">
        <v>43</v>
      </c>
      <c r="C60" s="84">
        <v>0</v>
      </c>
      <c r="D60" s="15">
        <v>0</v>
      </c>
      <c r="E60" s="15" t="s">
        <v>166</v>
      </c>
      <c r="F60" s="15" t="s">
        <v>6</v>
      </c>
      <c r="G60" s="15">
        <f t="shared" si="3"/>
        <v>0</v>
      </c>
      <c r="H60" s="17" t="str">
        <f t="shared" si="4"/>
        <v/>
      </c>
    </row>
    <row r="61" spans="2:8">
      <c r="B61" s="14" t="s">
        <v>44</v>
      </c>
      <c r="C61" s="85">
        <v>0</v>
      </c>
      <c r="D61" s="15">
        <v>0</v>
      </c>
      <c r="E61" s="15" t="s">
        <v>166</v>
      </c>
      <c r="F61" s="15" t="s">
        <v>6</v>
      </c>
      <c r="G61" s="15">
        <f t="shared" si="3"/>
        <v>0</v>
      </c>
      <c r="H61" s="17" t="str">
        <f t="shared" si="4"/>
        <v/>
      </c>
    </row>
    <row r="62" spans="2:8">
      <c r="B62" s="14" t="s">
        <v>45</v>
      </c>
      <c r="C62" s="85">
        <v>0</v>
      </c>
      <c r="D62" s="15">
        <v>0</v>
      </c>
      <c r="E62" s="15" t="s">
        <v>166</v>
      </c>
      <c r="F62" s="15" t="s">
        <v>6</v>
      </c>
      <c r="G62" s="15">
        <f t="shared" si="3"/>
        <v>0</v>
      </c>
      <c r="H62" s="17" t="str">
        <f t="shared" si="4"/>
        <v/>
      </c>
    </row>
    <row r="63" spans="2:8">
      <c r="B63" s="14" t="s">
        <v>46</v>
      </c>
      <c r="C63" s="85">
        <v>0</v>
      </c>
      <c r="D63" s="15">
        <v>1250</v>
      </c>
      <c r="E63" s="15" t="s">
        <v>166</v>
      </c>
      <c r="F63" s="15" t="s">
        <v>6</v>
      </c>
      <c r="G63" s="15">
        <f t="shared" si="3"/>
        <v>1250</v>
      </c>
      <c r="H63" s="17" t="str">
        <f t="shared" si="4"/>
        <v/>
      </c>
    </row>
    <row r="64" spans="2:8">
      <c r="B64" s="14" t="s">
        <v>47</v>
      </c>
      <c r="C64" s="85">
        <v>0</v>
      </c>
      <c r="D64" s="15">
        <v>0</v>
      </c>
      <c r="E64" s="15" t="s">
        <v>166</v>
      </c>
      <c r="F64" s="15" t="s">
        <v>6</v>
      </c>
      <c r="G64" s="15">
        <f t="shared" si="3"/>
        <v>0</v>
      </c>
      <c r="H64" s="17" t="str">
        <f t="shared" si="4"/>
        <v/>
      </c>
    </row>
    <row r="65" spans="2:8">
      <c r="B65" s="14" t="s">
        <v>48</v>
      </c>
      <c r="C65" s="85">
        <v>0</v>
      </c>
      <c r="D65" s="15">
        <v>0</v>
      </c>
      <c r="E65" s="15" t="s">
        <v>166</v>
      </c>
      <c r="F65" s="15" t="s">
        <v>6</v>
      </c>
      <c r="G65" s="15">
        <f t="shared" si="3"/>
        <v>0</v>
      </c>
      <c r="H65" s="17" t="str">
        <f t="shared" si="4"/>
        <v/>
      </c>
    </row>
    <row r="66" spans="2:8">
      <c r="B66" s="14" t="s">
        <v>49</v>
      </c>
      <c r="C66" s="85">
        <v>0</v>
      </c>
      <c r="D66" s="15">
        <v>0</v>
      </c>
      <c r="E66" s="15" t="s">
        <v>166</v>
      </c>
      <c r="F66" s="15" t="s">
        <v>6</v>
      </c>
      <c r="G66" s="15">
        <f t="shared" si="3"/>
        <v>0</v>
      </c>
      <c r="H66" s="17" t="str">
        <f t="shared" si="4"/>
        <v/>
      </c>
    </row>
    <row r="67" spans="2:8">
      <c r="B67" s="14" t="s">
        <v>50</v>
      </c>
      <c r="C67" s="85">
        <v>0</v>
      </c>
      <c r="D67" s="15">
        <v>0</v>
      </c>
      <c r="E67" s="15" t="s">
        <v>166</v>
      </c>
      <c r="F67" s="15" t="s">
        <v>6</v>
      </c>
      <c r="G67" s="15">
        <f t="shared" si="3"/>
        <v>0</v>
      </c>
      <c r="H67" s="17" t="str">
        <f t="shared" si="4"/>
        <v/>
      </c>
    </row>
    <row r="68" spans="2:8">
      <c r="B68" s="14" t="s">
        <v>51</v>
      </c>
      <c r="C68" s="85">
        <v>0</v>
      </c>
      <c r="D68" s="15">
        <v>0</v>
      </c>
      <c r="E68" s="15" t="s">
        <v>166</v>
      </c>
      <c r="F68" s="15" t="s">
        <v>6</v>
      </c>
      <c r="G68" s="15">
        <f t="shared" ref="G68:G99" si="5">$D68+$C68</f>
        <v>0</v>
      </c>
      <c r="H68" s="17" t="str">
        <f t="shared" ref="H68:H99" si="6">IF(AND($D68=0, $G68&gt;0),"new", IF(AND($D68&gt;0, $G68=0),"sold",""))</f>
        <v/>
      </c>
    </row>
    <row r="69" spans="2:8">
      <c r="B69" s="14" t="s">
        <v>52</v>
      </c>
      <c r="C69" s="85">
        <v>0</v>
      </c>
      <c r="D69" s="15">
        <v>0</v>
      </c>
      <c r="E69" s="15" t="s">
        <v>166</v>
      </c>
      <c r="F69" s="15" t="s">
        <v>6</v>
      </c>
      <c r="G69" s="15">
        <f t="shared" si="5"/>
        <v>0</v>
      </c>
      <c r="H69" s="17" t="str">
        <f t="shared" si="6"/>
        <v/>
      </c>
    </row>
    <row r="70" spans="2:8">
      <c r="B70" s="14" t="s">
        <v>53</v>
      </c>
      <c r="C70" s="85">
        <v>0</v>
      </c>
      <c r="D70" s="15">
        <v>0</v>
      </c>
      <c r="E70" s="15" t="s">
        <v>166</v>
      </c>
      <c r="F70" s="15" t="s">
        <v>6</v>
      </c>
      <c r="G70" s="15">
        <f t="shared" si="5"/>
        <v>0</v>
      </c>
      <c r="H70" s="17" t="str">
        <f t="shared" si="6"/>
        <v/>
      </c>
    </row>
    <row r="71" spans="2:8">
      <c r="B71" s="14" t="s">
        <v>54</v>
      </c>
      <c r="C71" s="85">
        <v>0</v>
      </c>
      <c r="D71" s="15">
        <v>0</v>
      </c>
      <c r="E71" s="15" t="s">
        <v>166</v>
      </c>
      <c r="F71" s="15" t="s">
        <v>6</v>
      </c>
      <c r="G71" s="15">
        <f t="shared" si="5"/>
        <v>0</v>
      </c>
      <c r="H71" s="17" t="str">
        <f t="shared" si="6"/>
        <v/>
      </c>
    </row>
    <row r="72" spans="2:8">
      <c r="B72" s="14" t="s">
        <v>55</v>
      </c>
      <c r="C72" s="85">
        <v>0</v>
      </c>
      <c r="D72" s="15">
        <v>0</v>
      </c>
      <c r="E72" s="15" t="s">
        <v>166</v>
      </c>
      <c r="F72" s="15" t="s">
        <v>6</v>
      </c>
      <c r="G72" s="15">
        <f t="shared" si="5"/>
        <v>0</v>
      </c>
      <c r="H72" s="17" t="str">
        <f t="shared" si="6"/>
        <v/>
      </c>
    </row>
    <row r="73" spans="2:8">
      <c r="B73" s="14" t="s">
        <v>56</v>
      </c>
      <c r="C73" s="85">
        <v>0</v>
      </c>
      <c r="D73" s="15">
        <v>0</v>
      </c>
      <c r="E73" s="15" t="s">
        <v>166</v>
      </c>
      <c r="F73" s="15" t="s">
        <v>6</v>
      </c>
      <c r="G73" s="15">
        <f t="shared" si="5"/>
        <v>0</v>
      </c>
      <c r="H73" s="17" t="str">
        <f t="shared" si="6"/>
        <v/>
      </c>
    </row>
    <row r="74" spans="2:8">
      <c r="B74" s="14" t="s">
        <v>57</v>
      </c>
      <c r="C74" s="85">
        <v>0</v>
      </c>
      <c r="D74" s="15">
        <v>0</v>
      </c>
      <c r="E74" s="15" t="s">
        <v>166</v>
      </c>
      <c r="F74" s="15" t="s">
        <v>6</v>
      </c>
      <c r="G74" s="15">
        <f t="shared" si="5"/>
        <v>0</v>
      </c>
      <c r="H74" s="17" t="str">
        <f t="shared" si="6"/>
        <v/>
      </c>
    </row>
    <row r="75" spans="2:8">
      <c r="B75" s="14" t="s">
        <v>58</v>
      </c>
      <c r="C75" s="85">
        <v>0</v>
      </c>
      <c r="D75" s="15">
        <v>0</v>
      </c>
      <c r="E75" s="15" t="s">
        <v>166</v>
      </c>
      <c r="F75" s="15" t="s">
        <v>6</v>
      </c>
      <c r="G75" s="15">
        <f t="shared" si="5"/>
        <v>0</v>
      </c>
      <c r="H75" s="17" t="str">
        <f t="shared" si="6"/>
        <v/>
      </c>
    </row>
    <row r="76" spans="2:8">
      <c r="B76" s="14" t="s">
        <v>59</v>
      </c>
      <c r="C76" s="85">
        <v>0</v>
      </c>
      <c r="D76" s="15">
        <v>5000</v>
      </c>
      <c r="E76" s="15" t="s">
        <v>166</v>
      </c>
      <c r="F76" s="15" t="s">
        <v>6</v>
      </c>
      <c r="G76" s="15">
        <f t="shared" si="5"/>
        <v>5000</v>
      </c>
      <c r="H76" s="17" t="str">
        <f t="shared" si="6"/>
        <v/>
      </c>
    </row>
    <row r="77" spans="2:8">
      <c r="B77" s="14" t="s">
        <v>60</v>
      </c>
      <c r="C77" s="85">
        <v>0</v>
      </c>
      <c r="D77" s="15">
        <v>0</v>
      </c>
      <c r="E77" s="15" t="s">
        <v>166</v>
      </c>
      <c r="F77" s="15" t="s">
        <v>6</v>
      </c>
      <c r="G77" s="15">
        <f t="shared" si="5"/>
        <v>0</v>
      </c>
      <c r="H77" s="17" t="str">
        <f t="shared" si="6"/>
        <v/>
      </c>
    </row>
    <row r="78" spans="2:8">
      <c r="B78" s="14" t="s">
        <v>61</v>
      </c>
      <c r="C78" s="85">
        <v>0</v>
      </c>
      <c r="D78" s="15">
        <v>0</v>
      </c>
      <c r="E78" s="15" t="s">
        <v>166</v>
      </c>
      <c r="F78" s="15" t="s">
        <v>6</v>
      </c>
      <c r="G78" s="15">
        <f t="shared" si="5"/>
        <v>0</v>
      </c>
      <c r="H78" s="17" t="str">
        <f t="shared" si="6"/>
        <v/>
      </c>
    </row>
    <row r="79" spans="2:8">
      <c r="B79" s="14" t="s">
        <v>62</v>
      </c>
      <c r="C79" s="85">
        <v>0</v>
      </c>
      <c r="D79" s="15">
        <v>0</v>
      </c>
      <c r="E79" s="15" t="s">
        <v>166</v>
      </c>
      <c r="F79" s="15" t="s">
        <v>6</v>
      </c>
      <c r="G79" s="15">
        <f t="shared" si="5"/>
        <v>0</v>
      </c>
      <c r="H79" s="17" t="str">
        <f t="shared" si="6"/>
        <v/>
      </c>
    </row>
    <row r="80" spans="2:8">
      <c r="B80" s="14" t="s">
        <v>63</v>
      </c>
      <c r="C80" s="85">
        <v>0</v>
      </c>
      <c r="D80" s="15">
        <v>0</v>
      </c>
      <c r="E80" s="15" t="s">
        <v>166</v>
      </c>
      <c r="F80" s="15" t="s">
        <v>6</v>
      </c>
      <c r="G80" s="15">
        <f t="shared" si="5"/>
        <v>0</v>
      </c>
      <c r="H80" s="17" t="str">
        <f t="shared" si="6"/>
        <v/>
      </c>
    </row>
    <row r="81" spans="2:8">
      <c r="B81" s="14" t="s">
        <v>64</v>
      </c>
      <c r="C81" s="85">
        <v>0</v>
      </c>
      <c r="D81" s="15">
        <v>0</v>
      </c>
      <c r="E81" s="15" t="s">
        <v>166</v>
      </c>
      <c r="F81" s="15" t="s">
        <v>6</v>
      </c>
      <c r="G81" s="15">
        <f t="shared" si="5"/>
        <v>0</v>
      </c>
      <c r="H81" s="17" t="str">
        <f t="shared" si="6"/>
        <v/>
      </c>
    </row>
    <row r="82" spans="2:8">
      <c r="B82" s="14" t="s">
        <v>65</v>
      </c>
      <c r="C82" s="85">
        <v>0</v>
      </c>
      <c r="D82" s="15">
        <v>0</v>
      </c>
      <c r="E82" s="15" t="s">
        <v>166</v>
      </c>
      <c r="F82" s="15" t="s">
        <v>6</v>
      </c>
      <c r="G82" s="15">
        <f t="shared" si="5"/>
        <v>0</v>
      </c>
      <c r="H82" s="17" t="str">
        <f t="shared" si="6"/>
        <v/>
      </c>
    </row>
    <row r="83" spans="2:8">
      <c r="B83" s="27" t="s">
        <v>66</v>
      </c>
      <c r="C83" s="85">
        <v>0</v>
      </c>
      <c r="D83" s="14">
        <v>0</v>
      </c>
      <c r="E83" s="15" t="s">
        <v>166</v>
      </c>
      <c r="F83" s="15" t="s">
        <v>6</v>
      </c>
      <c r="G83" s="15">
        <f t="shared" si="5"/>
        <v>0</v>
      </c>
      <c r="H83" s="17" t="str">
        <f t="shared" si="6"/>
        <v/>
      </c>
    </row>
    <row r="84" spans="2:8">
      <c r="B84" s="14" t="s">
        <v>67</v>
      </c>
      <c r="C84" s="85">
        <v>0</v>
      </c>
      <c r="D84" s="15">
        <v>0</v>
      </c>
      <c r="E84" s="15" t="s">
        <v>166</v>
      </c>
      <c r="F84" s="15" t="s">
        <v>6</v>
      </c>
      <c r="G84" s="15">
        <f t="shared" si="5"/>
        <v>0</v>
      </c>
      <c r="H84" s="17" t="str">
        <f t="shared" si="6"/>
        <v/>
      </c>
    </row>
    <row r="85" spans="2:8">
      <c r="B85" s="14" t="s">
        <v>68</v>
      </c>
      <c r="C85" s="85">
        <v>0</v>
      </c>
      <c r="D85" s="15">
        <v>0</v>
      </c>
      <c r="E85" s="15" t="s">
        <v>166</v>
      </c>
      <c r="F85" s="15" t="s">
        <v>6</v>
      </c>
      <c r="G85" s="15">
        <f t="shared" si="5"/>
        <v>0</v>
      </c>
      <c r="H85" s="17" t="str">
        <f t="shared" si="6"/>
        <v/>
      </c>
    </row>
    <row r="86" spans="2:8">
      <c r="B86" s="14" t="s">
        <v>69</v>
      </c>
      <c r="C86" s="85">
        <v>0</v>
      </c>
      <c r="D86" s="15">
        <v>0</v>
      </c>
      <c r="E86" s="15" t="s">
        <v>166</v>
      </c>
      <c r="F86" s="15" t="s">
        <v>6</v>
      </c>
      <c r="G86" s="15">
        <f t="shared" si="5"/>
        <v>0</v>
      </c>
      <c r="H86" s="17" t="str">
        <f t="shared" si="6"/>
        <v/>
      </c>
    </row>
    <row r="87" spans="2:8">
      <c r="B87" s="14" t="s">
        <v>70</v>
      </c>
      <c r="C87" s="85">
        <v>0</v>
      </c>
      <c r="D87" s="15">
        <v>0</v>
      </c>
      <c r="E87" s="15" t="s">
        <v>166</v>
      </c>
      <c r="F87" s="15" t="s">
        <v>6</v>
      </c>
      <c r="G87" s="15">
        <f t="shared" si="5"/>
        <v>0</v>
      </c>
      <c r="H87" s="17" t="str">
        <f t="shared" si="6"/>
        <v/>
      </c>
    </row>
    <row r="88" spans="2:8">
      <c r="B88" s="14" t="s">
        <v>71</v>
      </c>
      <c r="C88" s="85">
        <v>0</v>
      </c>
      <c r="D88" s="15">
        <v>0</v>
      </c>
      <c r="E88" s="15" t="s">
        <v>166</v>
      </c>
      <c r="F88" s="15" t="s">
        <v>6</v>
      </c>
      <c r="G88" s="15">
        <f t="shared" si="5"/>
        <v>0</v>
      </c>
      <c r="H88" s="17" t="str">
        <f t="shared" si="6"/>
        <v/>
      </c>
    </row>
    <row r="89" spans="2:8">
      <c r="B89" s="14" t="s">
        <v>72</v>
      </c>
      <c r="C89" s="85">
        <v>0</v>
      </c>
      <c r="D89" s="15">
        <v>0</v>
      </c>
      <c r="E89" s="15" t="s">
        <v>166</v>
      </c>
      <c r="F89" s="15" t="s">
        <v>6</v>
      </c>
      <c r="G89" s="15">
        <f t="shared" si="5"/>
        <v>0</v>
      </c>
      <c r="H89" s="17" t="str">
        <f t="shared" si="6"/>
        <v/>
      </c>
    </row>
    <row r="90" spans="2:8">
      <c r="B90" s="14" t="s">
        <v>73</v>
      </c>
      <c r="C90" s="85">
        <v>0</v>
      </c>
      <c r="D90" s="15">
        <v>0</v>
      </c>
      <c r="E90" s="15" t="s">
        <v>166</v>
      </c>
      <c r="F90" s="15" t="s">
        <v>6</v>
      </c>
      <c r="G90" s="15">
        <f t="shared" si="5"/>
        <v>0</v>
      </c>
      <c r="H90" s="17" t="str">
        <f t="shared" si="6"/>
        <v/>
      </c>
    </row>
    <row r="91" spans="2:8">
      <c r="B91" s="14" t="s">
        <v>74</v>
      </c>
      <c r="C91" s="85">
        <v>0</v>
      </c>
      <c r="D91" s="15">
        <v>0</v>
      </c>
      <c r="E91" s="15" t="s">
        <v>166</v>
      </c>
      <c r="F91" s="15" t="s">
        <v>6</v>
      </c>
      <c r="G91" s="15">
        <f t="shared" si="5"/>
        <v>0</v>
      </c>
      <c r="H91" s="17" t="str">
        <f t="shared" si="6"/>
        <v/>
      </c>
    </row>
    <row r="92" spans="2:8">
      <c r="B92" s="14" t="s">
        <v>75</v>
      </c>
      <c r="C92" s="85">
        <v>0</v>
      </c>
      <c r="D92" s="15">
        <v>0</v>
      </c>
      <c r="E92" s="15" t="s">
        <v>166</v>
      </c>
      <c r="F92" s="15" t="s">
        <v>6</v>
      </c>
      <c r="G92" s="15">
        <f t="shared" si="5"/>
        <v>0</v>
      </c>
      <c r="H92" s="17" t="str">
        <f t="shared" si="6"/>
        <v/>
      </c>
    </row>
    <row r="93" spans="2:8">
      <c r="B93" s="14" t="s">
        <v>76</v>
      </c>
      <c r="C93" s="85">
        <v>0</v>
      </c>
      <c r="D93" s="15">
        <v>0</v>
      </c>
      <c r="E93" s="15" t="s">
        <v>166</v>
      </c>
      <c r="F93" s="15" t="s">
        <v>6</v>
      </c>
      <c r="G93" s="15">
        <f t="shared" si="5"/>
        <v>0</v>
      </c>
      <c r="H93" s="17" t="str">
        <f t="shared" si="6"/>
        <v/>
      </c>
    </row>
    <row r="94" spans="2:8">
      <c r="B94" s="14" t="s">
        <v>77</v>
      </c>
      <c r="C94" s="85">
        <v>0</v>
      </c>
      <c r="D94" s="15">
        <v>0</v>
      </c>
      <c r="E94" s="15" t="s">
        <v>166</v>
      </c>
      <c r="F94" s="15" t="s">
        <v>6</v>
      </c>
      <c r="G94" s="15">
        <f t="shared" si="5"/>
        <v>0</v>
      </c>
      <c r="H94" s="17" t="str">
        <f t="shared" si="6"/>
        <v/>
      </c>
    </row>
    <row r="95" spans="2:8">
      <c r="B95" s="14" t="s">
        <v>78</v>
      </c>
      <c r="C95" s="85">
        <v>0</v>
      </c>
      <c r="D95" s="15">
        <v>0</v>
      </c>
      <c r="E95" s="15" t="s">
        <v>166</v>
      </c>
      <c r="F95" s="15" t="s">
        <v>6</v>
      </c>
      <c r="G95" s="15">
        <f t="shared" si="5"/>
        <v>0</v>
      </c>
      <c r="H95" s="17" t="str">
        <f t="shared" si="6"/>
        <v/>
      </c>
    </row>
    <row r="96" spans="2:8">
      <c r="B96" s="14" t="s">
        <v>79</v>
      </c>
      <c r="C96" s="85">
        <v>0</v>
      </c>
      <c r="D96" s="15">
        <v>0</v>
      </c>
      <c r="E96" s="15" t="s">
        <v>166</v>
      </c>
      <c r="F96" s="15" t="s">
        <v>6</v>
      </c>
      <c r="G96" s="15">
        <f t="shared" si="5"/>
        <v>0</v>
      </c>
      <c r="H96" s="17" t="str">
        <f t="shared" si="6"/>
        <v/>
      </c>
    </row>
    <row r="97" spans="2:8">
      <c r="B97" s="14" t="s">
        <v>80</v>
      </c>
      <c r="C97" s="85">
        <v>0</v>
      </c>
      <c r="D97" s="15">
        <v>0</v>
      </c>
      <c r="E97" s="15" t="s">
        <v>166</v>
      </c>
      <c r="F97" s="15" t="s">
        <v>6</v>
      </c>
      <c r="G97" s="15">
        <f t="shared" si="5"/>
        <v>0</v>
      </c>
      <c r="H97" s="17" t="str">
        <f t="shared" si="6"/>
        <v/>
      </c>
    </row>
    <row r="98" spans="2:8">
      <c r="B98" s="14" t="s">
        <v>81</v>
      </c>
      <c r="C98" s="85">
        <v>0</v>
      </c>
      <c r="D98" s="15">
        <v>0</v>
      </c>
      <c r="E98" s="15" t="s">
        <v>166</v>
      </c>
      <c r="F98" s="15" t="s">
        <v>6</v>
      </c>
      <c r="G98" s="15">
        <f t="shared" si="5"/>
        <v>0</v>
      </c>
      <c r="H98" s="17" t="str">
        <f t="shared" si="6"/>
        <v/>
      </c>
    </row>
    <row r="99" spans="2:8">
      <c r="B99" s="14" t="s">
        <v>82</v>
      </c>
      <c r="C99" s="85">
        <v>0</v>
      </c>
      <c r="D99" s="15">
        <v>0</v>
      </c>
      <c r="E99" s="15" t="s">
        <v>166</v>
      </c>
      <c r="F99" s="15" t="s">
        <v>6</v>
      </c>
      <c r="G99" s="15">
        <f t="shared" si="5"/>
        <v>0</v>
      </c>
      <c r="H99" s="17" t="str">
        <f t="shared" si="6"/>
        <v/>
      </c>
    </row>
    <row r="100" spans="2:8">
      <c r="B100" s="14" t="s">
        <v>83</v>
      </c>
      <c r="C100" s="85">
        <v>0</v>
      </c>
      <c r="D100" s="15">
        <v>0</v>
      </c>
      <c r="E100" s="15" t="s">
        <v>166</v>
      </c>
      <c r="F100" s="15" t="s">
        <v>6</v>
      </c>
      <c r="G100" s="15">
        <f t="shared" ref="G100:G106" si="7">$D100+$C100</f>
        <v>0</v>
      </c>
      <c r="H100" s="17" t="str">
        <f t="shared" ref="H100:H106" si="8">IF(AND($D100=0, $G100&gt;0),"new", IF(AND($D100&gt;0, $G100=0),"sold",""))</f>
        <v/>
      </c>
    </row>
    <row r="101" spans="2:8">
      <c r="B101" s="14" t="s">
        <v>84</v>
      </c>
      <c r="C101" s="85">
        <v>0</v>
      </c>
      <c r="D101" s="15">
        <v>0</v>
      </c>
      <c r="E101" s="15" t="s">
        <v>166</v>
      </c>
      <c r="F101" s="15" t="s">
        <v>6</v>
      </c>
      <c r="G101" s="15">
        <f t="shared" si="7"/>
        <v>0</v>
      </c>
      <c r="H101" s="17" t="str">
        <f t="shared" si="8"/>
        <v/>
      </c>
    </row>
    <row r="102" spans="2:8">
      <c r="B102" s="14" t="s">
        <v>85</v>
      </c>
      <c r="C102" s="85">
        <v>0</v>
      </c>
      <c r="D102" s="15">
        <v>0</v>
      </c>
      <c r="E102" s="15" t="s">
        <v>166</v>
      </c>
      <c r="F102" s="15" t="s">
        <v>6</v>
      </c>
      <c r="G102" s="15">
        <f t="shared" si="7"/>
        <v>0</v>
      </c>
      <c r="H102" s="17" t="str">
        <f t="shared" si="8"/>
        <v/>
      </c>
    </row>
    <row r="103" spans="2:8">
      <c r="B103" s="14" t="s">
        <v>86</v>
      </c>
      <c r="C103" s="85">
        <v>0</v>
      </c>
      <c r="D103" s="15">
        <v>0</v>
      </c>
      <c r="E103" s="15" t="s">
        <v>166</v>
      </c>
      <c r="F103" s="15" t="s">
        <v>6</v>
      </c>
      <c r="G103" s="15">
        <f t="shared" si="7"/>
        <v>0</v>
      </c>
      <c r="H103" s="17" t="str">
        <f t="shared" si="8"/>
        <v/>
      </c>
    </row>
    <row r="104" spans="2:8">
      <c r="B104" s="14" t="s">
        <v>87</v>
      </c>
      <c r="C104" s="85">
        <v>0</v>
      </c>
      <c r="D104" s="15">
        <v>0</v>
      </c>
      <c r="E104" s="15" t="s">
        <v>166</v>
      </c>
      <c r="F104" s="15" t="s">
        <v>6</v>
      </c>
      <c r="G104" s="15">
        <f t="shared" si="7"/>
        <v>0</v>
      </c>
      <c r="H104" s="17" t="str">
        <f t="shared" si="8"/>
        <v/>
      </c>
    </row>
    <row r="105" spans="2:8">
      <c r="B105" s="14" t="s">
        <v>88</v>
      </c>
      <c r="C105" s="85">
        <v>0</v>
      </c>
      <c r="D105" s="15">
        <v>0</v>
      </c>
      <c r="E105" s="15" t="s">
        <v>166</v>
      </c>
      <c r="F105" s="15" t="s">
        <v>6</v>
      </c>
      <c r="G105" s="15">
        <f t="shared" si="7"/>
        <v>0</v>
      </c>
      <c r="H105" s="17" t="str">
        <f t="shared" si="8"/>
        <v/>
      </c>
    </row>
    <row r="106" spans="2:8">
      <c r="B106" s="18" t="s">
        <v>89</v>
      </c>
      <c r="C106" s="85">
        <v>0</v>
      </c>
      <c r="D106" s="19">
        <v>0</v>
      </c>
      <c r="E106" s="19" t="s">
        <v>166</v>
      </c>
      <c r="F106" s="19" t="s">
        <v>6</v>
      </c>
      <c r="G106" s="19">
        <f t="shared" si="7"/>
        <v>0</v>
      </c>
      <c r="H106" s="20" t="str">
        <f t="shared" si="8"/>
        <v/>
      </c>
    </row>
    <row r="107" spans="2:8">
      <c r="B107" s="12"/>
      <c r="C107" s="12"/>
      <c r="D107" s="12">
        <f>COUNTIF($D$36:$D$106,"&gt;0")</f>
        <v>3</v>
      </c>
      <c r="E107" s="12" t="s">
        <v>90</v>
      </c>
      <c r="F107" s="12"/>
      <c r="G107" s="12">
        <f>COUNTIF(G36:G106,"&gt;0")</f>
        <v>3</v>
      </c>
      <c r="H107" s="83" t="s">
        <v>90</v>
      </c>
    </row>
  </sheetData>
  <phoneticPr fontId="0" type="noConversion"/>
  <dataValidations count="3"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B2:AG49"/>
  <sheetViews>
    <sheetView showGridLines="0" workbookViewId="0"/>
  </sheetViews>
  <sheetFormatPr baseColWidth="10" defaultColWidth="8.83203125" defaultRowHeight="12" x14ac:dyDescent="0"/>
  <cols>
    <col min="1" max="1" width="4.6640625" style="29" customWidth="1" collapsed="1"/>
    <col min="2" max="2" width="16.6640625" style="29" customWidth="1" collapsed="1"/>
    <col min="3" max="14" width="8.6640625" style="29" customWidth="1" collapsed="1"/>
    <col min="15" max="16384" width="8.83203125" style="29" collapsed="1"/>
  </cols>
  <sheetData>
    <row r="2" spans="2:14">
      <c r="B2" s="28" t="s">
        <v>140</v>
      </c>
    </row>
    <row r="3" spans="2:14">
      <c r="B3" s="30" t="s">
        <v>164</v>
      </c>
    </row>
    <row r="4" spans="2:14">
      <c r="B4" s="3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2:14">
      <c r="B5" s="33" t="s">
        <v>91</v>
      </c>
      <c r="C5" s="34" t="s">
        <v>92</v>
      </c>
      <c r="D5" s="34" t="s">
        <v>93</v>
      </c>
      <c r="E5" s="34" t="s">
        <v>94</v>
      </c>
      <c r="F5" s="34" t="s">
        <v>95</v>
      </c>
      <c r="G5" s="34" t="s">
        <v>96</v>
      </c>
      <c r="H5" s="34" t="s">
        <v>97</v>
      </c>
      <c r="I5" s="34" t="s">
        <v>98</v>
      </c>
      <c r="J5" s="34" t="s">
        <v>99</v>
      </c>
      <c r="K5" s="34" t="s">
        <v>100</v>
      </c>
      <c r="L5" s="34" t="s">
        <v>101</v>
      </c>
      <c r="M5" s="34" t="s">
        <v>102</v>
      </c>
      <c r="N5" s="35" t="s">
        <v>103</v>
      </c>
    </row>
    <row r="6" spans="2:14">
      <c r="B6" s="36" t="s">
        <v>104</v>
      </c>
      <c r="C6" s="86">
        <v>2679.8214422359174</v>
      </c>
      <c r="D6" s="87">
        <v>2679.8214422359174</v>
      </c>
      <c r="E6" s="87">
        <v>2679.8214422359174</v>
      </c>
      <c r="F6" s="87">
        <v>2679.8214422359174</v>
      </c>
      <c r="G6" s="87">
        <v>2679.8214422359174</v>
      </c>
      <c r="H6" s="87">
        <v>2679.8214422359174</v>
      </c>
      <c r="I6" s="87">
        <v>2679.8214422359174</v>
      </c>
      <c r="J6" s="87">
        <v>2679.8214422359174</v>
      </c>
      <c r="K6" s="87">
        <v>2679.8214422359174</v>
      </c>
      <c r="L6" s="87">
        <v>2679.8214422359174</v>
      </c>
      <c r="M6" s="87">
        <v>2679.8214422359174</v>
      </c>
      <c r="N6" s="87">
        <v>2679.8214422359174</v>
      </c>
    </row>
    <row r="7" spans="2:14">
      <c r="B7" s="36" t="s">
        <v>105</v>
      </c>
      <c r="C7" s="88">
        <v>2.1298299012938047E-20</v>
      </c>
      <c r="D7" s="89">
        <v>2.1298299012938047E-20</v>
      </c>
      <c r="E7" s="89">
        <v>2.1298299012938047E-20</v>
      </c>
      <c r="F7" s="89">
        <v>2.1298299012938047E-20</v>
      </c>
      <c r="G7" s="89">
        <v>2.1298299012938047E-20</v>
      </c>
      <c r="H7" s="89">
        <v>2.1298299012938047E-20</v>
      </c>
      <c r="I7" s="89">
        <v>2.1298299012938047E-20</v>
      </c>
      <c r="J7" s="89">
        <v>2.1298299012938047E-20</v>
      </c>
      <c r="K7" s="89">
        <v>2.1298299012938047E-20</v>
      </c>
      <c r="L7" s="89">
        <v>2.1298299012938047E-20</v>
      </c>
      <c r="M7" s="89">
        <v>2.1298299012938047E-20</v>
      </c>
      <c r="N7" s="89">
        <v>2.1298299012938047E-20</v>
      </c>
    </row>
    <row r="8" spans="2:14">
      <c r="B8" s="36" t="s">
        <v>106</v>
      </c>
      <c r="C8" s="88">
        <v>140</v>
      </c>
      <c r="D8" s="89">
        <v>140</v>
      </c>
      <c r="E8" s="89">
        <v>140</v>
      </c>
      <c r="F8" s="89">
        <v>140</v>
      </c>
      <c r="G8" s="89">
        <v>140</v>
      </c>
      <c r="H8" s="89">
        <v>140</v>
      </c>
      <c r="I8" s="89">
        <v>140</v>
      </c>
      <c r="J8" s="89">
        <v>140</v>
      </c>
      <c r="K8" s="89">
        <v>140</v>
      </c>
      <c r="L8" s="89">
        <v>140</v>
      </c>
      <c r="M8" s="89">
        <v>140</v>
      </c>
      <c r="N8" s="89">
        <v>140</v>
      </c>
    </row>
    <row r="9" spans="2:14">
      <c r="B9" s="36" t="s">
        <v>107</v>
      </c>
      <c r="C9" s="88">
        <v>790.00000000000045</v>
      </c>
      <c r="D9" s="89">
        <v>790.00000000000045</v>
      </c>
      <c r="E9" s="89">
        <v>790.00000000000045</v>
      </c>
      <c r="F9" s="89">
        <v>790.00000000000045</v>
      </c>
      <c r="G9" s="89">
        <v>790.00000000000045</v>
      </c>
      <c r="H9" s="89">
        <v>790.00000000000045</v>
      </c>
      <c r="I9" s="89">
        <v>790.00000000000045</v>
      </c>
      <c r="J9" s="89">
        <v>790.00000000000045</v>
      </c>
      <c r="K9" s="89">
        <v>790.00000000000045</v>
      </c>
      <c r="L9" s="89">
        <v>790.00000000000045</v>
      </c>
      <c r="M9" s="89">
        <v>790.00000000000045</v>
      </c>
      <c r="N9" s="89">
        <v>790.00000000000045</v>
      </c>
    </row>
    <row r="10" spans="2:14">
      <c r="B10" s="36" t="s">
        <v>108</v>
      </c>
      <c r="C10" s="88">
        <v>4.4545693303151884E-20</v>
      </c>
      <c r="D10" s="89">
        <v>4.4545693303151884E-20</v>
      </c>
      <c r="E10" s="89">
        <v>4.4545693303151884E-20</v>
      </c>
      <c r="F10" s="89">
        <v>4.4545693303151884E-20</v>
      </c>
      <c r="G10" s="89">
        <v>4.4545693303151884E-20</v>
      </c>
      <c r="H10" s="89">
        <v>4.4545693303151884E-20</v>
      </c>
      <c r="I10" s="89">
        <v>4.4545693303151884E-20</v>
      </c>
      <c r="J10" s="89">
        <v>4.4545693303151884E-20</v>
      </c>
      <c r="K10" s="89">
        <v>4.4545693303151884E-20</v>
      </c>
      <c r="L10" s="89">
        <v>4.4545693303151884E-20</v>
      </c>
      <c r="M10" s="89">
        <v>4.4545693303151884E-20</v>
      </c>
      <c r="N10" s="89">
        <v>4.4545693303151884E-20</v>
      </c>
    </row>
    <row r="11" spans="2:14">
      <c r="B11" s="37" t="s">
        <v>109</v>
      </c>
      <c r="C11" s="88">
        <v>4.5197285678607343E-21</v>
      </c>
      <c r="D11" s="89">
        <v>4.5197285678607343E-21</v>
      </c>
      <c r="E11" s="89">
        <v>4.5197285678607343E-21</v>
      </c>
      <c r="F11" s="89">
        <v>4.5197285678607343E-21</v>
      </c>
      <c r="G11" s="89">
        <v>4.5197285678607343E-21</v>
      </c>
      <c r="H11" s="89">
        <v>4.5197285678607343E-21</v>
      </c>
      <c r="I11" s="89">
        <v>4.5197285678607343E-21</v>
      </c>
      <c r="J11" s="89">
        <v>4.5197285678607343E-21</v>
      </c>
      <c r="K11" s="89">
        <v>4.5197285678607343E-21</v>
      </c>
      <c r="L11" s="89">
        <v>4.5197285678607343E-21</v>
      </c>
      <c r="M11" s="89">
        <v>4.5197285678607343E-21</v>
      </c>
      <c r="N11" s="89">
        <v>4.5197285678607343E-21</v>
      </c>
    </row>
    <row r="12" spans="2:14"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40"/>
    </row>
    <row r="14" spans="2:14">
      <c r="B14" s="30" t="s">
        <v>157</v>
      </c>
    </row>
    <row r="15" spans="2:14">
      <c r="B15" s="31"/>
      <c r="C15" s="32"/>
      <c r="D15" s="32"/>
      <c r="E15" s="51"/>
      <c r="F15" s="32"/>
      <c r="G15" s="32"/>
      <c r="H15" s="32"/>
    </row>
    <row r="16" spans="2:14">
      <c r="B16" s="33" t="s">
        <v>139</v>
      </c>
      <c r="C16" s="34" t="s">
        <v>142</v>
      </c>
      <c r="D16" s="34" t="s">
        <v>137</v>
      </c>
      <c r="E16" s="34" t="s">
        <v>142</v>
      </c>
      <c r="F16" s="34" t="s">
        <v>136</v>
      </c>
      <c r="G16" s="34" t="s">
        <v>142</v>
      </c>
      <c r="H16" s="34" t="s">
        <v>135</v>
      </c>
    </row>
    <row r="17" spans="2:33">
      <c r="B17" s="41" t="s">
        <v>104</v>
      </c>
      <c r="C17" s="90">
        <v>1.2</v>
      </c>
      <c r="D17" s="90">
        <v>0.56062846717103609</v>
      </c>
      <c r="E17" s="90">
        <v>1</v>
      </c>
      <c r="F17" s="90">
        <v>0.77516546643387063</v>
      </c>
      <c r="G17" s="90">
        <v>0.8</v>
      </c>
      <c r="H17" s="90">
        <v>0.98970246569670506</v>
      </c>
      <c r="I17" s="29" t="s">
        <v>110</v>
      </c>
    </row>
    <row r="18" spans="2:33">
      <c r="B18" s="36" t="s">
        <v>105</v>
      </c>
      <c r="C18" s="91">
        <v>1.2</v>
      </c>
      <c r="D18" s="91">
        <v>0.64121430627495746</v>
      </c>
      <c r="E18" s="91">
        <v>1</v>
      </c>
      <c r="F18" s="91">
        <v>0.77082881568104067</v>
      </c>
      <c r="G18" s="91">
        <v>0.8</v>
      </c>
      <c r="H18" s="91">
        <v>0.90044332508712399</v>
      </c>
      <c r="I18" s="29" t="s">
        <v>110</v>
      </c>
    </row>
    <row r="19" spans="2:33">
      <c r="B19" s="36" t="s">
        <v>106</v>
      </c>
      <c r="C19" s="91">
        <v>1.2</v>
      </c>
      <c r="D19" s="91">
        <v>0.68141523821497452</v>
      </c>
      <c r="E19" s="91">
        <v>1</v>
      </c>
      <c r="F19" s="91">
        <v>0.83884117916534784</v>
      </c>
      <c r="G19" s="91">
        <v>0.8</v>
      </c>
      <c r="H19" s="91">
        <v>0.99626712011572094</v>
      </c>
      <c r="I19" s="29" t="s">
        <v>110</v>
      </c>
    </row>
    <row r="20" spans="2:33">
      <c r="B20" s="36" t="s">
        <v>107</v>
      </c>
      <c r="C20" s="91">
        <v>1.2</v>
      </c>
      <c r="D20" s="91">
        <v>0.64756638873449657</v>
      </c>
      <c r="E20" s="91">
        <v>1</v>
      </c>
      <c r="F20" s="91">
        <v>0.80923135080253827</v>
      </c>
      <c r="G20" s="91">
        <v>0.8</v>
      </c>
      <c r="H20" s="91">
        <v>0.97089631287058009</v>
      </c>
    </row>
    <row r="21" spans="2:33">
      <c r="B21" s="36" t="s">
        <v>108</v>
      </c>
      <c r="C21" s="91">
        <v>1.2</v>
      </c>
      <c r="D21" s="91">
        <v>0.70597542867744889</v>
      </c>
      <c r="E21" s="91">
        <v>1</v>
      </c>
      <c r="F21" s="91">
        <v>0.73352967411638526</v>
      </c>
      <c r="G21" s="91">
        <v>0.8</v>
      </c>
      <c r="H21" s="91">
        <v>0.76108391955532151</v>
      </c>
    </row>
    <row r="22" spans="2:33">
      <c r="B22" s="37" t="s">
        <v>109</v>
      </c>
      <c r="C22" s="91">
        <v>1.2</v>
      </c>
      <c r="D22" s="91">
        <v>0.68239702567940819</v>
      </c>
      <c r="E22" s="91">
        <v>1</v>
      </c>
      <c r="F22" s="91">
        <v>0.74480996658860044</v>
      </c>
      <c r="G22" s="91">
        <v>0.8</v>
      </c>
      <c r="H22" s="91">
        <v>0.8072229074977928</v>
      </c>
      <c r="K22" s="50"/>
      <c r="L22" s="49"/>
      <c r="M22" s="49"/>
      <c r="N22" s="49"/>
      <c r="O22" s="49"/>
      <c r="P22" s="49"/>
      <c r="Q22" s="49"/>
      <c r="R22" s="49"/>
      <c r="S22" s="49"/>
      <c r="T22" s="49"/>
      <c r="U22" s="50"/>
      <c r="V22" s="49"/>
      <c r="W22" s="50"/>
      <c r="X22" s="49"/>
      <c r="Y22" s="50"/>
      <c r="Z22" s="49"/>
      <c r="AA22" s="50"/>
      <c r="AB22" s="49"/>
      <c r="AC22" s="50"/>
      <c r="AD22" s="49"/>
      <c r="AE22" s="50"/>
      <c r="AF22" s="49"/>
      <c r="AG22" s="50"/>
    </row>
    <row r="23" spans="2:33">
      <c r="B23" s="42"/>
      <c r="C23" s="43"/>
      <c r="D23" s="43"/>
      <c r="E23" s="43"/>
      <c r="F23" s="43"/>
      <c r="G23" s="43"/>
      <c r="H23" s="32"/>
      <c r="K23" s="50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</row>
    <row r="24" spans="2:33">
      <c r="K24" s="49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2:33">
      <c r="K25" s="49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2:33">
      <c r="B26" s="30" t="s">
        <v>154</v>
      </c>
      <c r="K26" s="49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2:33">
      <c r="B27" s="31"/>
      <c r="C27" s="32"/>
      <c r="D27" s="32"/>
      <c r="E27" s="32"/>
      <c r="F27" s="32"/>
      <c r="G27" s="32"/>
      <c r="H27" s="32"/>
      <c r="I27" s="32"/>
      <c r="J27" s="32"/>
      <c r="K27" s="51"/>
      <c r="L27" s="32"/>
      <c r="M27" s="32"/>
      <c r="N27" s="32"/>
      <c r="O27" s="32"/>
      <c r="P27" s="32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2:33">
      <c r="D28" s="45">
        <f>basic_info!$D$5-5</f>
        <v>2026</v>
      </c>
      <c r="E28" s="49"/>
      <c r="F28" s="45">
        <f>basic_info!$D$5-4</f>
        <v>2027</v>
      </c>
      <c r="G28" s="49"/>
      <c r="H28" s="45">
        <f>basic_info!$D$5-3</f>
        <v>2028</v>
      </c>
      <c r="I28" s="49"/>
      <c r="J28" s="45">
        <f>basic_info!$D$5-2</f>
        <v>2029</v>
      </c>
      <c r="K28" s="49"/>
      <c r="L28" s="45">
        <f>basic_info!$D$5-1</f>
        <v>2030</v>
      </c>
      <c r="N28" s="45">
        <f>basic_info!$D$5</f>
        <v>2031</v>
      </c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2:33">
      <c r="B29" s="33" t="s">
        <v>141</v>
      </c>
      <c r="C29" s="33" t="s">
        <v>161</v>
      </c>
      <c r="D29" s="44" t="s">
        <v>159</v>
      </c>
      <c r="E29" s="35" t="s">
        <v>160</v>
      </c>
      <c r="F29" s="44" t="s">
        <v>159</v>
      </c>
      <c r="G29" s="35" t="s">
        <v>160</v>
      </c>
      <c r="H29" s="44" t="s">
        <v>159</v>
      </c>
      <c r="I29" s="35" t="s">
        <v>160</v>
      </c>
      <c r="J29" s="44" t="s">
        <v>159</v>
      </c>
      <c r="K29" s="35" t="s">
        <v>160</v>
      </c>
      <c r="L29" s="44" t="s">
        <v>159</v>
      </c>
      <c r="M29" s="35" t="s">
        <v>160</v>
      </c>
      <c r="N29" s="44" t="s">
        <v>159</v>
      </c>
      <c r="O29" s="35" t="s">
        <v>160</v>
      </c>
      <c r="P29" s="33" t="s">
        <v>150</v>
      </c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2:33">
      <c r="B30" s="41" t="s">
        <v>112</v>
      </c>
      <c r="C30" s="36">
        <f>basic_info!$D$5</f>
        <v>2031</v>
      </c>
      <c r="D30" s="44">
        <v>0.68012294996082789</v>
      </c>
      <c r="E30" s="35">
        <v>0.68012294996082789</v>
      </c>
      <c r="F30" s="47">
        <v>0.70796417212980489</v>
      </c>
      <c r="G30" s="46">
        <v>0.70796417212980489</v>
      </c>
      <c r="H30" s="47">
        <v>0.76520281338787444</v>
      </c>
      <c r="I30" s="46">
        <v>0.76520281338787444</v>
      </c>
      <c r="J30" s="47">
        <v>0.7413359861182125</v>
      </c>
      <c r="K30" s="46">
        <v>0.7413359861182125</v>
      </c>
      <c r="L30" s="47">
        <v>0.81090191034329706</v>
      </c>
      <c r="M30" s="46">
        <v>0.81090191034329706</v>
      </c>
      <c r="N30" s="60"/>
      <c r="O30" s="71" t="s">
        <v>162</v>
      </c>
      <c r="P30" s="41">
        <f>M30+K30+I30+E30+G30</f>
        <v>3.7055278319400173</v>
      </c>
      <c r="Q30" s="70"/>
    </row>
    <row r="31" spans="2:33">
      <c r="B31" s="36"/>
      <c r="C31" s="47">
        <f>basic_info!$D$5+1</f>
        <v>2032</v>
      </c>
      <c r="D31" s="76"/>
      <c r="E31" s="75"/>
      <c r="F31" s="69">
        <v>0.66081657635867597</v>
      </c>
      <c r="G31" s="79">
        <v>0.66081657635867597</v>
      </c>
      <c r="H31" s="61">
        <v>0.72379884448625331</v>
      </c>
      <c r="I31" s="62">
        <v>0.72379884448625331</v>
      </c>
      <c r="J31" s="61">
        <v>0.69143952821589572</v>
      </c>
      <c r="K31" s="62">
        <v>0.69143952821589572</v>
      </c>
      <c r="L31" s="61">
        <v>0.79834376345265456</v>
      </c>
      <c r="M31" s="62">
        <v>0.79834376345265456</v>
      </c>
      <c r="N31" s="63">
        <v>0.94619245980522715</v>
      </c>
      <c r="O31" s="89">
        <v>0.94619245980522715</v>
      </c>
      <c r="P31" s="63">
        <f>O31+M31+K31+I31+G31</f>
        <v>3.8205911723187067</v>
      </c>
    </row>
    <row r="32" spans="2:33">
      <c r="B32" s="36"/>
      <c r="C32" s="47">
        <f>basic_info!$D$5+2</f>
        <v>2033</v>
      </c>
      <c r="D32" s="76"/>
      <c r="E32" s="75"/>
      <c r="F32" s="75"/>
      <c r="G32" s="75"/>
      <c r="H32" s="69">
        <v>0.68604024631083016</v>
      </c>
      <c r="I32" s="79">
        <v>0.68604024631083016</v>
      </c>
      <c r="J32" s="61">
        <v>0.69892836613039744</v>
      </c>
      <c r="K32" s="62">
        <v>0.69892836613039744</v>
      </c>
      <c r="L32" s="61">
        <v>0.72958384051727887</v>
      </c>
      <c r="M32" s="62">
        <v>0.72958384051727887</v>
      </c>
      <c r="N32" s="63">
        <v>0.88436510431531268</v>
      </c>
      <c r="O32" s="89">
        <v>0.88436510431531268</v>
      </c>
      <c r="P32" s="63">
        <f>O32+M32+K32+I32</f>
        <v>2.9989175572738191</v>
      </c>
    </row>
    <row r="33" spans="2:17">
      <c r="B33" s="36"/>
      <c r="C33" s="47">
        <f>basic_info!$D$5+3</f>
        <v>2034</v>
      </c>
      <c r="D33" s="76"/>
      <c r="E33" s="75"/>
      <c r="F33" s="75"/>
      <c r="G33" s="75"/>
      <c r="H33" s="75"/>
      <c r="I33" s="75"/>
      <c r="J33" s="69">
        <v>0.64970057869851594</v>
      </c>
      <c r="K33" s="79">
        <v>0.64970057869851594</v>
      </c>
      <c r="L33" s="61">
        <v>0.71232034054491844</v>
      </c>
      <c r="M33" s="62">
        <v>0.71232034054491844</v>
      </c>
      <c r="N33" s="63">
        <v>0.80679373337835147</v>
      </c>
      <c r="O33" s="89">
        <v>0.80679373337835147</v>
      </c>
      <c r="P33" s="63">
        <f>O33+M33+K33</f>
        <v>2.1688146526217857</v>
      </c>
    </row>
    <row r="34" spans="2:17">
      <c r="B34" s="36"/>
      <c r="C34" s="47">
        <f>basic_info!$D$5+4</f>
        <v>2035</v>
      </c>
      <c r="D34" s="76"/>
      <c r="E34" s="75"/>
      <c r="F34" s="75"/>
      <c r="G34" s="75"/>
      <c r="H34" s="75"/>
      <c r="I34" s="75"/>
      <c r="J34" s="75"/>
      <c r="K34" s="75"/>
      <c r="L34" s="69">
        <v>0.66346635976135726</v>
      </c>
      <c r="M34" s="79">
        <v>0.66346635976135726</v>
      </c>
      <c r="N34" s="63">
        <v>0.78732311045330217</v>
      </c>
      <c r="O34" s="89">
        <v>0.78732311045330217</v>
      </c>
      <c r="P34" s="63">
        <f>O34+M34</f>
        <v>1.4507894702146595</v>
      </c>
    </row>
    <row r="35" spans="2:17">
      <c r="B35" s="37"/>
      <c r="C35" s="72">
        <f>basic_info!$D$5+5</f>
        <v>2036</v>
      </c>
      <c r="D35" s="77"/>
      <c r="E35" s="78"/>
      <c r="F35" s="78"/>
      <c r="G35" s="78"/>
      <c r="H35" s="78"/>
      <c r="I35" s="78"/>
      <c r="J35" s="78"/>
      <c r="K35" s="78"/>
      <c r="L35" s="80"/>
      <c r="M35" s="81"/>
      <c r="N35" s="64">
        <v>0.74404547180831448</v>
      </c>
      <c r="O35" s="89">
        <v>0.74404547180831448</v>
      </c>
      <c r="P35" s="65">
        <f>O35</f>
        <v>0.74404547180831448</v>
      </c>
    </row>
    <row r="36" spans="2:17">
      <c r="B36" s="41" t="s">
        <v>113</v>
      </c>
      <c r="C36" s="36">
        <f>basic_info!$D$5</f>
        <v>2031</v>
      </c>
      <c r="D36" s="44">
        <v>1.0482402778565885</v>
      </c>
      <c r="E36" s="35">
        <v>1.0482402778565885</v>
      </c>
      <c r="F36" s="73">
        <v>0.97045032301312806</v>
      </c>
      <c r="G36" s="74">
        <v>0.97045032301312806</v>
      </c>
      <c r="H36" s="73">
        <v>0.98789917790483717</v>
      </c>
      <c r="I36" s="74">
        <v>0.98789917790483717</v>
      </c>
      <c r="J36" s="73">
        <v>1.0512867234689989</v>
      </c>
      <c r="K36" s="74">
        <v>1.0512867234689989</v>
      </c>
      <c r="L36" s="66">
        <v>1.0713967576029952</v>
      </c>
      <c r="M36" s="67">
        <v>1.0713967576029952</v>
      </c>
      <c r="N36" s="68"/>
      <c r="O36" s="71" t="s">
        <v>162</v>
      </c>
      <c r="P36" s="41">
        <f>M36+K36+I36+E36+G36</f>
        <v>5.1292732598465474</v>
      </c>
      <c r="Q36" s="70"/>
    </row>
    <row r="37" spans="2:17">
      <c r="B37" s="36"/>
      <c r="C37" s="47">
        <f>basic_info!$D$5+1</f>
        <v>2032</v>
      </c>
      <c r="D37" s="76"/>
      <c r="E37" s="75"/>
      <c r="F37" s="69">
        <v>0.96112931388616563</v>
      </c>
      <c r="G37" s="79">
        <v>0.96112931388616563</v>
      </c>
      <c r="H37" s="61">
        <v>0.89988736013715631</v>
      </c>
      <c r="I37" s="62">
        <v>0.89988736013715631</v>
      </c>
      <c r="J37" s="61">
        <v>1.053586334277947</v>
      </c>
      <c r="K37" s="62">
        <v>1.053586334277947</v>
      </c>
      <c r="L37" s="61">
        <v>1.0072098965412106</v>
      </c>
      <c r="M37" s="62">
        <v>1.0072098965412106</v>
      </c>
      <c r="N37" s="61">
        <v>1.1529275049158922</v>
      </c>
      <c r="O37" s="89">
        <v>1.1529275049158922</v>
      </c>
      <c r="P37" s="63">
        <f>O37+M37+K37+I37+G37</f>
        <v>5.0747404097583715</v>
      </c>
    </row>
    <row r="38" spans="2:17">
      <c r="B38" s="36"/>
      <c r="C38" s="47">
        <f>basic_info!$D$5+2</f>
        <v>2033</v>
      </c>
      <c r="D38" s="76"/>
      <c r="E38" s="75"/>
      <c r="F38" s="75"/>
      <c r="G38" s="75"/>
      <c r="H38" s="69">
        <v>0.86972962859272962</v>
      </c>
      <c r="I38" s="79">
        <v>0.86972962859272962</v>
      </c>
      <c r="J38" s="61">
        <v>1.0074343602156002</v>
      </c>
      <c r="K38" s="62">
        <v>1.0074343602156002</v>
      </c>
      <c r="L38" s="61">
        <v>0.97524463386379778</v>
      </c>
      <c r="M38" s="62">
        <v>0.97524463386379778</v>
      </c>
      <c r="N38" s="61">
        <v>1.1000244643116297</v>
      </c>
      <c r="O38" s="89">
        <v>1.1000244643116297</v>
      </c>
      <c r="P38" s="63">
        <f>O38+M38+K38+I38</f>
        <v>3.9524330869837572</v>
      </c>
    </row>
    <row r="39" spans="2:17">
      <c r="B39" s="36"/>
      <c r="C39" s="47">
        <f>basic_info!$D$5+3</f>
        <v>2034</v>
      </c>
      <c r="D39" s="76"/>
      <c r="E39" s="75"/>
      <c r="F39" s="75"/>
      <c r="G39" s="75"/>
      <c r="H39" s="75"/>
      <c r="I39" s="75"/>
      <c r="J39" s="69">
        <v>0.9264638961553574</v>
      </c>
      <c r="K39" s="79">
        <v>0.9264638961553574</v>
      </c>
      <c r="L39" s="61">
        <v>0.9730984368342821</v>
      </c>
      <c r="M39" s="62">
        <v>0.9730984368342821</v>
      </c>
      <c r="N39" s="61">
        <v>1.0442678920247443</v>
      </c>
      <c r="O39" s="89">
        <v>1.0442678920247443</v>
      </c>
      <c r="P39" s="63">
        <f>O39+M39+K39</f>
        <v>2.9438302250143837</v>
      </c>
    </row>
    <row r="40" spans="2:17">
      <c r="B40" s="36"/>
      <c r="C40" s="47">
        <f>basic_info!$D$5+4</f>
        <v>2035</v>
      </c>
      <c r="D40" s="76"/>
      <c r="E40" s="75"/>
      <c r="F40" s="75"/>
      <c r="G40" s="75"/>
      <c r="H40" s="75"/>
      <c r="I40" s="75"/>
      <c r="J40" s="75"/>
      <c r="K40" s="75"/>
      <c r="L40" s="69">
        <v>0.8868314356505872</v>
      </c>
      <c r="M40" s="79">
        <v>0.8868314356505872</v>
      </c>
      <c r="N40" s="61">
        <v>0.99109879015775826</v>
      </c>
      <c r="O40" s="89">
        <v>0.99109879015775826</v>
      </c>
      <c r="P40" s="63">
        <f>O40+M40</f>
        <v>1.8779302258083455</v>
      </c>
    </row>
    <row r="41" spans="2:17">
      <c r="B41" s="37"/>
      <c r="C41" s="72">
        <f>basic_info!$D$5+5</f>
        <v>2036</v>
      </c>
      <c r="D41" s="77"/>
      <c r="E41" s="78"/>
      <c r="F41" s="78"/>
      <c r="G41" s="78"/>
      <c r="H41" s="78"/>
      <c r="I41" s="78"/>
      <c r="J41" s="78"/>
      <c r="K41" s="78"/>
      <c r="L41" s="80"/>
      <c r="M41" s="81"/>
      <c r="N41" s="69">
        <v>0.90685486632585532</v>
      </c>
      <c r="O41" s="89">
        <v>0.90685486632585532</v>
      </c>
      <c r="P41" s="64">
        <f>O41</f>
        <v>0.90685486632585532</v>
      </c>
    </row>
    <row r="42" spans="2:17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50"/>
    </row>
    <row r="44" spans="2:17">
      <c r="B44" s="30" t="s">
        <v>153</v>
      </c>
    </row>
    <row r="45" spans="2:17">
      <c r="B45" s="31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2:17">
      <c r="B46" s="33" t="s">
        <v>149</v>
      </c>
      <c r="C46" s="34" t="s">
        <v>92</v>
      </c>
      <c r="D46" s="34" t="s">
        <v>93</v>
      </c>
      <c r="E46" s="34" t="s">
        <v>94</v>
      </c>
      <c r="F46" s="34" t="s">
        <v>95</v>
      </c>
      <c r="G46" s="34" t="s">
        <v>96</v>
      </c>
      <c r="H46" s="34" t="s">
        <v>97</v>
      </c>
      <c r="I46" s="34" t="s">
        <v>98</v>
      </c>
      <c r="J46" s="34" t="s">
        <v>99</v>
      </c>
      <c r="K46" s="34" t="s">
        <v>100</v>
      </c>
      <c r="L46" s="34" t="s">
        <v>101</v>
      </c>
      <c r="M46" s="34" t="s">
        <v>102</v>
      </c>
      <c r="N46" s="35" t="s">
        <v>103</v>
      </c>
      <c r="O46" s="33" t="s">
        <v>150</v>
      </c>
    </row>
    <row r="47" spans="2:17">
      <c r="B47" s="41" t="s">
        <v>112</v>
      </c>
      <c r="C47" s="92">
        <v>8.3333333333333304</v>
      </c>
      <c r="D47" s="92">
        <v>8.3333333333333304</v>
      </c>
      <c r="E47" s="92">
        <v>8.3333333333333304</v>
      </c>
      <c r="F47" s="92">
        <v>8.3333333333333304</v>
      </c>
      <c r="G47" s="92">
        <v>8.3333333333333304</v>
      </c>
      <c r="H47" s="92">
        <v>8.3333333333333304</v>
      </c>
      <c r="I47" s="92">
        <v>8.3333333333333304</v>
      </c>
      <c r="J47" s="92">
        <v>8.3333333333333304</v>
      </c>
      <c r="K47" s="92">
        <v>8.3333333333333304</v>
      </c>
      <c r="L47" s="92">
        <v>8.3333333333333304</v>
      </c>
      <c r="M47" s="92">
        <v>8.3333333333333304</v>
      </c>
      <c r="N47" s="92">
        <v>8.3333333333333304</v>
      </c>
      <c r="O47" s="33">
        <f>SUM(C47:N47)</f>
        <v>99.999999999999957</v>
      </c>
    </row>
    <row r="48" spans="2:17">
      <c r="B48" s="37" t="s">
        <v>113</v>
      </c>
      <c r="C48" s="92">
        <v>8.3333333333333321</v>
      </c>
      <c r="D48" s="92">
        <v>8.3333333333333321</v>
      </c>
      <c r="E48" s="92">
        <v>8.3333333333333321</v>
      </c>
      <c r="F48" s="92">
        <v>8.3333333333333321</v>
      </c>
      <c r="G48" s="92">
        <v>8.3333333333333321</v>
      </c>
      <c r="H48" s="92">
        <v>8.3333333333333321</v>
      </c>
      <c r="I48" s="92">
        <v>8.3333333333333321</v>
      </c>
      <c r="J48" s="92">
        <v>8.3333333333333321</v>
      </c>
      <c r="K48" s="92">
        <v>8.3333333333333321</v>
      </c>
      <c r="L48" s="92">
        <v>8.3333333333333321</v>
      </c>
      <c r="M48" s="92">
        <v>8.3333333333333321</v>
      </c>
      <c r="N48" s="92">
        <v>8.3333333333333321</v>
      </c>
      <c r="O48" s="33">
        <f>SUM(C48:N48)</f>
        <v>99.999999999999957</v>
      </c>
    </row>
    <row r="49" spans="2:15"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</sheetData>
  <phoneticPr fontId="0" type="noConversion"/>
  <dataValidations count="8"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</dataValidations>
  <pageMargins left="0.75" right="0.75" top="1" bottom="1" header="0.5" footer="0.5"/>
  <pageSetup orientation="portrait" horizontalDpi="300" verticalDpi="300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B2:X65"/>
  <sheetViews>
    <sheetView showGridLines="0" workbookViewId="0">
      <selection activeCell="B35" sqref="B35"/>
    </sheetView>
  </sheetViews>
  <sheetFormatPr baseColWidth="10" defaultColWidth="8.83203125" defaultRowHeight="12" x14ac:dyDescent="0"/>
  <cols>
    <col min="1" max="1" width="4.6640625" style="29" customWidth="1" collapsed="1"/>
    <col min="2" max="2" width="17.33203125" style="29" customWidth="1" collapsed="1"/>
    <col min="3" max="16384" width="8.83203125" style="29" collapsed="1"/>
  </cols>
  <sheetData>
    <row r="2" spans="2:17">
      <c r="B2" s="28" t="s">
        <v>114</v>
      </c>
    </row>
    <row r="3" spans="2:17">
      <c r="B3" s="30" t="s">
        <v>144</v>
      </c>
    </row>
    <row r="4" spans="2:17">
      <c r="B4" s="48"/>
      <c r="C4" s="48"/>
      <c r="D4" s="48"/>
      <c r="E4" s="48"/>
      <c r="F4" s="48"/>
      <c r="G4" s="48"/>
      <c r="H4" s="48"/>
      <c r="I4" s="49"/>
      <c r="J4" s="49"/>
      <c r="K4" s="49"/>
      <c r="L4" s="49"/>
      <c r="M4" s="49"/>
      <c r="N4" s="49"/>
    </row>
    <row r="5" spans="2:17">
      <c r="B5" s="45" t="s">
        <v>115</v>
      </c>
      <c r="C5" s="45" t="s">
        <v>10</v>
      </c>
      <c r="D5" s="45" t="s">
        <v>12</v>
      </c>
      <c r="E5" s="45" t="s">
        <v>22</v>
      </c>
      <c r="F5" s="45" t="s">
        <v>46</v>
      </c>
      <c r="G5" s="45" t="s">
        <v>59</v>
      </c>
      <c r="H5" s="45" t="s">
        <v>150</v>
      </c>
      <c r="I5" s="50"/>
      <c r="J5" s="50"/>
      <c r="K5" s="50"/>
      <c r="L5" s="50"/>
      <c r="M5" s="50"/>
      <c r="N5" s="50"/>
      <c r="O5" s="50"/>
      <c r="P5" s="50"/>
      <c r="Q5" s="50"/>
    </row>
    <row r="6" spans="2:17">
      <c r="B6" s="45" t="s">
        <v>163</v>
      </c>
      <c r="C6" s="93">
        <v>2.209045603051714E-22</v>
      </c>
      <c r="D6" s="93">
        <v>60.666655517781912</v>
      </c>
      <c r="E6" s="93">
        <v>1.2619438516096409E-22</v>
      </c>
      <c r="F6" s="93">
        <v>0</v>
      </c>
      <c r="G6" s="93">
        <v>39.333344482218088</v>
      </c>
      <c r="H6" s="97">
        <f>SUM($C$6:$G$6)</f>
        <v>100</v>
      </c>
      <c r="I6" s="49"/>
      <c r="J6" s="49"/>
      <c r="K6" s="49"/>
      <c r="L6" s="49"/>
      <c r="M6" s="49"/>
      <c r="N6" s="49"/>
      <c r="O6" s="50"/>
      <c r="P6" s="50"/>
      <c r="Q6" s="50"/>
    </row>
    <row r="7" spans="2:17">
      <c r="B7" s="45" t="s">
        <v>105</v>
      </c>
      <c r="C7" s="93">
        <v>76.687615770342688</v>
      </c>
      <c r="D7" s="93">
        <v>19.946979620967539</v>
      </c>
      <c r="E7" s="93">
        <v>0</v>
      </c>
      <c r="F7" s="93">
        <v>0</v>
      </c>
      <c r="G7" s="93">
        <v>3.3654046086897638</v>
      </c>
      <c r="H7" s="97">
        <f>SUM($C$7:$G$7)</f>
        <v>99.999999999999986</v>
      </c>
      <c r="I7" s="49"/>
      <c r="J7" s="49"/>
      <c r="K7" s="49"/>
      <c r="L7" s="49"/>
      <c r="M7" s="49"/>
      <c r="N7" s="49"/>
      <c r="O7" s="50"/>
      <c r="P7" s="50"/>
      <c r="Q7" s="50"/>
    </row>
    <row r="8" spans="2:17">
      <c r="B8" s="45" t="s">
        <v>106</v>
      </c>
      <c r="C8" s="93">
        <v>1.9120801708144199E-21</v>
      </c>
      <c r="D8" s="93">
        <v>8.9150471834200633E-21</v>
      </c>
      <c r="E8" s="93">
        <v>100</v>
      </c>
      <c r="F8" s="93">
        <v>7.617934085891074E-22</v>
      </c>
      <c r="G8" s="93">
        <v>8.3398772767597634E-22</v>
      </c>
      <c r="H8" s="97">
        <f>SUM($C$8:$G$8)</f>
        <v>100</v>
      </c>
      <c r="I8" s="49"/>
      <c r="J8" s="49"/>
      <c r="K8" s="49"/>
      <c r="L8" s="49"/>
      <c r="M8" s="49"/>
      <c r="N8" s="49"/>
      <c r="O8" s="50"/>
      <c r="P8" s="50"/>
      <c r="Q8" s="50"/>
    </row>
    <row r="9" spans="2:17">
      <c r="B9" s="45" t="s">
        <v>107</v>
      </c>
      <c r="C9" s="93">
        <v>75.949367088607602</v>
      </c>
      <c r="D9" s="93">
        <v>3.3172561197800926E-22</v>
      </c>
      <c r="E9" s="93">
        <v>1.2710767754550615E-22</v>
      </c>
      <c r="F9" s="93">
        <v>24.050632911392391</v>
      </c>
      <c r="G9" s="93">
        <v>1.736939218365926E-23</v>
      </c>
      <c r="H9" s="97">
        <f>SUM($C$9:$G$9)</f>
        <v>100</v>
      </c>
      <c r="I9" s="49"/>
      <c r="J9" s="49"/>
      <c r="K9" s="49"/>
      <c r="L9" s="49"/>
      <c r="M9" s="49"/>
      <c r="N9" s="49"/>
      <c r="O9" s="50"/>
      <c r="P9" s="50"/>
      <c r="Q9" s="50"/>
    </row>
    <row r="10" spans="2:17">
      <c r="B10" s="45" t="s">
        <v>108</v>
      </c>
      <c r="C10" s="93">
        <v>52.191171121108773</v>
      </c>
      <c r="D10" s="93">
        <v>29.886844279618995</v>
      </c>
      <c r="E10" s="93">
        <v>4.6006467319062851</v>
      </c>
      <c r="F10" s="93">
        <v>13.321337867365937</v>
      </c>
      <c r="G10" s="93">
        <v>0</v>
      </c>
      <c r="H10" s="97">
        <f>SUM($C$10:$G$10)</f>
        <v>99.999999999999986</v>
      </c>
      <c r="I10" s="49"/>
      <c r="J10" s="49"/>
      <c r="K10" s="49"/>
      <c r="L10" s="49"/>
      <c r="M10" s="49"/>
      <c r="N10" s="49"/>
      <c r="O10" s="50"/>
      <c r="P10" s="50"/>
      <c r="Q10" s="50"/>
    </row>
    <row r="11" spans="2:17">
      <c r="B11" s="45" t="s">
        <v>109</v>
      </c>
      <c r="C11" s="94">
        <v>35.484619842481834</v>
      </c>
      <c r="D11" s="94">
        <v>64.515380157518166</v>
      </c>
      <c r="E11" s="94">
        <v>0</v>
      </c>
      <c r="F11" s="94">
        <v>0</v>
      </c>
      <c r="G11" s="94">
        <v>0</v>
      </c>
      <c r="H11" s="96">
        <f>SUM($C$11:$G$11)</f>
        <v>100</v>
      </c>
      <c r="I11" s="49"/>
      <c r="J11" s="49"/>
      <c r="K11" s="49"/>
      <c r="L11" s="49"/>
      <c r="M11" s="49"/>
      <c r="N11" s="49"/>
      <c r="O11" s="50"/>
      <c r="P11" s="50"/>
      <c r="Q11" s="50"/>
    </row>
    <row r="12" spans="2:17">
      <c r="B12" s="51"/>
      <c r="C12" s="51"/>
      <c r="D12" s="51"/>
      <c r="E12" s="51"/>
      <c r="F12" s="51"/>
      <c r="G12" s="51"/>
      <c r="H12" s="51"/>
      <c r="I12" s="49"/>
      <c r="J12" s="49"/>
      <c r="K12" s="49"/>
      <c r="L12" s="49"/>
      <c r="M12" s="49"/>
      <c r="N12" s="49"/>
      <c r="O12" s="50"/>
      <c r="P12" s="50"/>
      <c r="Q12" s="50"/>
    </row>
    <row r="13" spans="2:17">
      <c r="C13" s="49"/>
      <c r="D13" s="49"/>
      <c r="E13" s="49"/>
      <c r="F13" s="49"/>
      <c r="G13" s="49"/>
      <c r="H13" s="49"/>
      <c r="I13" s="50"/>
      <c r="J13" s="50"/>
      <c r="K13" s="50"/>
    </row>
    <row r="14" spans="2:17">
      <c r="B14" s="52" t="s">
        <v>116</v>
      </c>
      <c r="C14" s="49"/>
      <c r="D14" s="49"/>
      <c r="E14" s="49"/>
      <c r="F14" s="49"/>
      <c r="G14" s="49"/>
      <c r="H14" s="49"/>
      <c r="I14" s="50"/>
      <c r="J14" s="50"/>
      <c r="K14" s="50"/>
    </row>
    <row r="15" spans="2:17">
      <c r="B15" s="53" t="s">
        <v>117</v>
      </c>
      <c r="C15" s="50"/>
      <c r="D15" s="50"/>
      <c r="E15" s="50"/>
      <c r="F15" s="50"/>
      <c r="G15" s="50"/>
      <c r="H15" s="50"/>
      <c r="I15" s="50"/>
      <c r="J15" s="50"/>
      <c r="K15" s="50"/>
    </row>
    <row r="16" spans="2:17">
      <c r="B16" s="31"/>
      <c r="C16" s="31"/>
      <c r="D16" s="31"/>
      <c r="E16" s="31"/>
      <c r="F16" s="31"/>
      <c r="G16" s="50"/>
      <c r="H16" s="50"/>
      <c r="I16" s="50"/>
      <c r="J16" s="50"/>
      <c r="M16" s="50"/>
      <c r="N16" s="50"/>
      <c r="O16" s="50"/>
    </row>
    <row r="17" spans="2:16">
      <c r="B17" s="45" t="s">
        <v>118</v>
      </c>
      <c r="C17" s="45" t="s">
        <v>10</v>
      </c>
      <c r="D17" s="45"/>
      <c r="E17" s="45" t="s">
        <v>12</v>
      </c>
      <c r="F17" s="45"/>
      <c r="G17" s="50"/>
      <c r="H17" s="50"/>
      <c r="I17" s="50"/>
      <c r="J17" s="50"/>
      <c r="M17" s="50"/>
      <c r="N17" s="50"/>
      <c r="O17" s="50"/>
    </row>
    <row r="18" spans="2:16">
      <c r="B18" s="45" t="s">
        <v>119</v>
      </c>
      <c r="C18" s="45" t="s">
        <v>133</v>
      </c>
      <c r="D18" s="45" t="s">
        <v>123</v>
      </c>
      <c r="E18" s="45" t="s">
        <v>133</v>
      </c>
      <c r="F18" s="45" t="s">
        <v>123</v>
      </c>
      <c r="G18" s="50"/>
      <c r="H18" s="50"/>
      <c r="I18" s="50"/>
      <c r="J18" s="50"/>
      <c r="K18" s="50"/>
      <c r="M18" s="50"/>
      <c r="N18" s="50"/>
      <c r="O18" s="50"/>
    </row>
    <row r="19" spans="2:16">
      <c r="B19" s="45" t="s">
        <v>120</v>
      </c>
      <c r="C19" s="94">
        <v>42.966456872590378</v>
      </c>
      <c r="D19" s="44">
        <f>100-$C$19</f>
        <v>57.033543127409622</v>
      </c>
      <c r="E19" s="94">
        <v>42.953976270642904</v>
      </c>
      <c r="F19" s="33">
        <f>100-$E$19</f>
        <v>57.046023729357096</v>
      </c>
      <c r="M19" s="50"/>
      <c r="N19" s="50"/>
      <c r="O19" s="50"/>
    </row>
    <row r="20" spans="2:16">
      <c r="B20" s="54"/>
      <c r="C20" s="54"/>
      <c r="D20" s="54"/>
      <c r="E20" s="54"/>
      <c r="F20" s="54"/>
      <c r="G20" s="50"/>
      <c r="H20" s="50"/>
      <c r="I20" s="50"/>
      <c r="J20" s="50"/>
      <c r="M20" s="50"/>
      <c r="N20" s="50"/>
      <c r="O20" s="50"/>
    </row>
    <row r="21" spans="2:16">
      <c r="I21" s="50"/>
      <c r="J21" s="50"/>
      <c r="K21" s="50"/>
    </row>
    <row r="22" spans="2:16">
      <c r="B22" s="52" t="s">
        <v>114</v>
      </c>
      <c r="I22" s="50"/>
      <c r="J22" s="50"/>
      <c r="K22" s="50"/>
    </row>
    <row r="23" spans="2:16">
      <c r="B23" s="55" t="s">
        <v>145</v>
      </c>
      <c r="I23" s="50"/>
      <c r="J23" s="50"/>
      <c r="K23" s="50"/>
    </row>
    <row r="24" spans="2:16">
      <c r="B24" s="31"/>
      <c r="C24" s="31"/>
      <c r="D24" s="31"/>
      <c r="E24" s="31"/>
      <c r="F24" s="31"/>
      <c r="G24" s="31"/>
      <c r="N24" s="50"/>
      <c r="O24" s="50"/>
      <c r="P24" s="50"/>
    </row>
    <row r="25" spans="2:16">
      <c r="B25" s="45" t="s">
        <v>121</v>
      </c>
      <c r="C25" s="45" t="s">
        <v>122</v>
      </c>
      <c r="D25" s="45" t="s">
        <v>10</v>
      </c>
      <c r="E25" s="45"/>
      <c r="F25" s="45" t="s">
        <v>12</v>
      </c>
      <c r="G25" s="45"/>
      <c r="N25" s="50"/>
      <c r="O25" s="50"/>
      <c r="P25" s="50"/>
    </row>
    <row r="26" spans="2:16">
      <c r="B26" s="45" t="s">
        <v>119</v>
      </c>
      <c r="C26" s="45" t="s">
        <v>123</v>
      </c>
      <c r="D26" s="45" t="s">
        <v>133</v>
      </c>
      <c r="E26" s="45" t="s">
        <v>123</v>
      </c>
      <c r="F26" s="45" t="s">
        <v>133</v>
      </c>
      <c r="G26" s="45" t="s">
        <v>123</v>
      </c>
      <c r="N26" s="50"/>
      <c r="O26" s="50"/>
      <c r="P26" s="50"/>
    </row>
    <row r="27" spans="2:16">
      <c r="B27" s="45" t="s">
        <v>22</v>
      </c>
      <c r="C27" s="93">
        <v>14.386303434413811</v>
      </c>
      <c r="D27" s="93">
        <v>34.057086863478339</v>
      </c>
      <c r="E27" s="93">
        <v>28.862673093875447</v>
      </c>
      <c r="F27" s="93">
        <v>13.202769932741633</v>
      </c>
      <c r="G27" s="95">
        <v>11.123980638303948</v>
      </c>
      <c r="N27" s="50"/>
      <c r="O27" s="50"/>
      <c r="P27" s="50"/>
    </row>
    <row r="28" spans="2:16">
      <c r="B28" s="45" t="s">
        <v>46</v>
      </c>
      <c r="C28" s="93">
        <v>17.51835402849861</v>
      </c>
      <c r="D28" s="93">
        <v>65.942913136521653</v>
      </c>
      <c r="E28" s="93">
        <v>71.137326906124557</v>
      </c>
      <c r="F28" s="93">
        <v>0</v>
      </c>
      <c r="G28" s="95">
        <v>0</v>
      </c>
      <c r="N28" s="50"/>
      <c r="O28" s="50"/>
      <c r="P28" s="50"/>
    </row>
    <row r="29" spans="2:16">
      <c r="B29" s="45" t="s">
        <v>59</v>
      </c>
      <c r="C29" s="93">
        <v>68.095342537087575</v>
      </c>
      <c r="D29" s="93">
        <v>0</v>
      </c>
      <c r="E29" s="93">
        <v>0</v>
      </c>
      <c r="F29" s="93">
        <v>86.797230067258369</v>
      </c>
      <c r="G29" s="95">
        <v>88.876019361696052</v>
      </c>
      <c r="N29" s="50"/>
      <c r="O29" s="50"/>
      <c r="P29" s="50"/>
    </row>
    <row r="30" spans="2:16">
      <c r="B30" s="45" t="s">
        <v>150</v>
      </c>
      <c r="C30" s="98">
        <f>SUM($C$27:$C$29)</f>
        <v>100</v>
      </c>
      <c r="D30" s="98">
        <f>SUM($D$27:$D$29)</f>
        <v>100</v>
      </c>
      <c r="E30" s="98">
        <f>SUM($E$27:$E$29)</f>
        <v>100</v>
      </c>
      <c r="F30" s="98">
        <f>SUM($F$27:$F$29)</f>
        <v>100</v>
      </c>
      <c r="G30" s="96">
        <f>SUM($G$27:$G$29)</f>
        <v>100</v>
      </c>
      <c r="N30" s="50"/>
      <c r="O30" s="50"/>
      <c r="P30" s="50"/>
    </row>
    <row r="31" spans="2:16">
      <c r="B31" s="54"/>
      <c r="C31" s="54"/>
      <c r="D31" s="54"/>
      <c r="E31" s="54"/>
      <c r="F31" s="54"/>
      <c r="G31" s="54"/>
      <c r="N31" s="50"/>
      <c r="O31" s="50"/>
      <c r="P31" s="50"/>
    </row>
    <row r="32" spans="2:16">
      <c r="I32" s="50"/>
      <c r="J32" s="50"/>
      <c r="K32" s="50"/>
    </row>
    <row r="33" spans="2:14">
      <c r="B33" s="52" t="s">
        <v>124</v>
      </c>
      <c r="C33" s="50"/>
      <c r="D33" s="50"/>
      <c r="E33" s="50"/>
      <c r="F33" s="50"/>
      <c r="G33" s="50"/>
      <c r="H33" s="50"/>
      <c r="I33" s="50"/>
      <c r="J33" s="50"/>
      <c r="K33" s="50"/>
    </row>
    <row r="34" spans="2:14">
      <c r="B34" s="53" t="s">
        <v>143</v>
      </c>
      <c r="C34" s="50"/>
      <c r="D34" s="50"/>
      <c r="E34" s="50"/>
      <c r="F34" s="50"/>
      <c r="G34" s="50"/>
      <c r="H34" s="50"/>
      <c r="I34" s="50"/>
      <c r="J34" s="50"/>
      <c r="K34" s="50"/>
    </row>
    <row r="35" spans="2:14"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</row>
    <row r="36" spans="2:14">
      <c r="B36" s="45" t="s">
        <v>147</v>
      </c>
      <c r="C36" s="45" t="s">
        <v>92</v>
      </c>
      <c r="D36" s="45" t="s">
        <v>93</v>
      </c>
      <c r="E36" s="45" t="s">
        <v>94</v>
      </c>
      <c r="F36" s="45" t="s">
        <v>95</v>
      </c>
      <c r="G36" s="45" t="s">
        <v>96</v>
      </c>
      <c r="H36" s="45" t="s">
        <v>97</v>
      </c>
      <c r="I36" s="45" t="s">
        <v>98</v>
      </c>
      <c r="J36" s="45" t="s">
        <v>99</v>
      </c>
      <c r="K36" s="45" t="s">
        <v>100</v>
      </c>
      <c r="L36" s="45" t="s">
        <v>101</v>
      </c>
      <c r="M36" s="45" t="s">
        <v>102</v>
      </c>
      <c r="N36" s="45" t="s">
        <v>103</v>
      </c>
    </row>
    <row r="37" spans="2:14">
      <c r="B37" s="45" t="s">
        <v>22</v>
      </c>
      <c r="C37" s="93">
        <v>35.62888803084072</v>
      </c>
      <c r="D37" s="93">
        <v>35.62888803084072</v>
      </c>
      <c r="E37" s="93">
        <v>35.62888803084072</v>
      </c>
      <c r="F37" s="93">
        <v>35.62888803084072</v>
      </c>
      <c r="G37" s="93">
        <v>35.62888803084072</v>
      </c>
      <c r="H37" s="93">
        <v>35.62888803084072</v>
      </c>
      <c r="I37" s="93">
        <v>35.62888803084072</v>
      </c>
      <c r="J37" s="93">
        <v>35.62888803084072</v>
      </c>
      <c r="K37" s="93">
        <v>35.62888803084072</v>
      </c>
      <c r="L37" s="93">
        <v>35.62888803084072</v>
      </c>
      <c r="M37" s="93">
        <v>35.62888803084072</v>
      </c>
      <c r="N37" s="95">
        <v>35.62888803084072</v>
      </c>
    </row>
    <row r="38" spans="2:14">
      <c r="B38" s="45" t="s">
        <v>46</v>
      </c>
      <c r="C38" s="93">
        <v>49.291122147712471</v>
      </c>
      <c r="D38" s="93">
        <v>49.291122147712471</v>
      </c>
      <c r="E38" s="93">
        <v>49.291122147712471</v>
      </c>
      <c r="F38" s="93">
        <v>49.291122147712471</v>
      </c>
      <c r="G38" s="93">
        <v>49.291122147712471</v>
      </c>
      <c r="H38" s="93">
        <v>49.291122147712471</v>
      </c>
      <c r="I38" s="93">
        <v>49.291122147712471</v>
      </c>
      <c r="J38" s="93">
        <v>49.291122147712471</v>
      </c>
      <c r="K38" s="93">
        <v>49.291122147712471</v>
      </c>
      <c r="L38" s="93">
        <v>49.291122147712471</v>
      </c>
      <c r="M38" s="93">
        <v>49.291122147712471</v>
      </c>
      <c r="N38" s="95">
        <v>49.291122147712471</v>
      </c>
    </row>
    <row r="39" spans="2:14">
      <c r="B39" s="45" t="s">
        <v>59</v>
      </c>
      <c r="C39" s="94">
        <v>44.782961610582781</v>
      </c>
      <c r="D39" s="94">
        <v>44.782961610582781</v>
      </c>
      <c r="E39" s="94">
        <v>44.782961610582781</v>
      </c>
      <c r="F39" s="94">
        <v>44.782961610582781</v>
      </c>
      <c r="G39" s="94">
        <v>44.782961610582781</v>
      </c>
      <c r="H39" s="94">
        <v>44.782961610582781</v>
      </c>
      <c r="I39" s="94">
        <v>44.782961610582781</v>
      </c>
      <c r="J39" s="94">
        <v>44.782961610582781</v>
      </c>
      <c r="K39" s="94">
        <v>44.782961610582781</v>
      </c>
      <c r="L39" s="94">
        <v>44.782961610582781</v>
      </c>
      <c r="M39" s="94">
        <v>44.782961610582781</v>
      </c>
      <c r="N39" s="89">
        <v>44.782961610582781</v>
      </c>
    </row>
    <row r="40" spans="2:14"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</row>
    <row r="41" spans="2:14">
      <c r="I41" s="50"/>
      <c r="J41" s="50"/>
      <c r="K41" s="50"/>
    </row>
    <row r="42" spans="2:14"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</row>
    <row r="43" spans="2:14">
      <c r="B43" s="50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</row>
    <row r="44" spans="2:14"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2:14">
      <c r="B45" s="56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2:14"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2:14"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8" spans="2:14">
      <c r="B48" s="50"/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50"/>
      <c r="N48" s="50"/>
    </row>
    <row r="49" spans="2:24">
      <c r="B49" s="50"/>
      <c r="C49" s="50"/>
      <c r="D49" s="50"/>
      <c r="E49" s="50"/>
      <c r="F49" s="50"/>
      <c r="G49" s="50"/>
      <c r="H49" s="50"/>
      <c r="I49" s="50"/>
      <c r="J49" s="50"/>
      <c r="K49" s="50"/>
      <c r="L49" s="50"/>
      <c r="M49" s="50"/>
      <c r="N49" s="50"/>
    </row>
    <row r="51" spans="2:24">
      <c r="P51" s="50"/>
      <c r="Q51" s="50"/>
      <c r="R51" s="50"/>
      <c r="S51" s="50"/>
      <c r="T51" s="50"/>
      <c r="U51" s="50"/>
      <c r="V51" s="50"/>
      <c r="W51" s="50"/>
      <c r="X51" s="50"/>
    </row>
    <row r="63" spans="2:24">
      <c r="I63" s="50"/>
      <c r="J63" s="50"/>
    </row>
    <row r="64" spans="2:24">
      <c r="I64" s="50"/>
      <c r="J64" s="50"/>
    </row>
    <row r="65" spans="9:10">
      <c r="I65" s="50"/>
      <c r="J65" s="50"/>
    </row>
  </sheetData>
  <phoneticPr fontId="0" type="noConversion"/>
  <dataValidations count="2">
    <dataValidation type="decimal" allowBlank="1" showInputMessage="1" showErrorMessage="1" errorTitle="Error" error="You must enter a number between 0 and 100 (inclusive)" promptTitle="Percentage" prompt="Enter a number between 0 and 100 (inclusive)" sqref="C6:G11 C19 E19 C27:G29">
      <formula1>0</formula1>
      <formula2>100</formula2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37:N39">
      <formula1>0</formula1>
      <formula2>100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B2:O41"/>
  <sheetViews>
    <sheetView showGridLines="0" workbookViewId="0"/>
  </sheetViews>
  <sheetFormatPr baseColWidth="10" defaultColWidth="8.83203125" defaultRowHeight="12" x14ac:dyDescent="0"/>
  <cols>
    <col min="1" max="2" width="4.6640625" style="29" customWidth="1" collapsed="1"/>
    <col min="3" max="3" width="12.6640625" style="29" customWidth="1" collapsed="1"/>
    <col min="4" max="15" width="8.6640625" style="29" customWidth="1" collapsed="1"/>
    <col min="16" max="16384" width="8.83203125" style="29" collapsed="1"/>
  </cols>
  <sheetData>
    <row r="2" spans="2:15">
      <c r="C2" s="28" t="s">
        <v>158</v>
      </c>
    </row>
    <row r="3" spans="2:15">
      <c r="C3" s="30" t="s">
        <v>138</v>
      </c>
    </row>
    <row r="4" spans="2:15">
      <c r="C4" s="57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</row>
    <row r="5" spans="2:15">
      <c r="B5" s="58" t="s">
        <v>125</v>
      </c>
      <c r="C5" s="59" t="s">
        <v>146</v>
      </c>
      <c r="D5" s="34" t="s">
        <v>92</v>
      </c>
      <c r="E5" s="34" t="s">
        <v>93</v>
      </c>
      <c r="F5" s="34" t="s">
        <v>94</v>
      </c>
      <c r="G5" s="34" t="s">
        <v>95</v>
      </c>
      <c r="H5" s="34" t="s">
        <v>96</v>
      </c>
      <c r="I5" s="34" t="s">
        <v>97</v>
      </c>
      <c r="J5" s="34" t="s">
        <v>98</v>
      </c>
      <c r="K5" s="34" t="s">
        <v>99</v>
      </c>
      <c r="L5" s="34" t="s">
        <v>100</v>
      </c>
      <c r="M5" s="34" t="s">
        <v>101</v>
      </c>
      <c r="N5" s="34" t="s">
        <v>102</v>
      </c>
      <c r="O5" s="35" t="s">
        <v>103</v>
      </c>
    </row>
    <row r="6" spans="2:15">
      <c r="C6" s="41" t="s">
        <v>126</v>
      </c>
      <c r="D6" s="89">
        <v>1.7</v>
      </c>
      <c r="E6" s="89">
        <v>1.7</v>
      </c>
      <c r="F6" s="89">
        <v>1.7</v>
      </c>
      <c r="G6" s="89">
        <v>1.7</v>
      </c>
      <c r="H6" s="89">
        <v>1.7</v>
      </c>
      <c r="I6" s="89">
        <v>1.7</v>
      </c>
      <c r="J6" s="89">
        <v>1.7</v>
      </c>
      <c r="K6" s="89">
        <v>1.7</v>
      </c>
      <c r="L6" s="89">
        <v>1.7</v>
      </c>
      <c r="M6" s="89">
        <v>1.7</v>
      </c>
      <c r="N6" s="89">
        <v>1.7</v>
      </c>
      <c r="O6" s="89">
        <v>1.7</v>
      </c>
    </row>
    <row r="7" spans="2:15">
      <c r="C7" s="36" t="s">
        <v>127</v>
      </c>
      <c r="D7" s="89">
        <v>2</v>
      </c>
      <c r="E7" s="89">
        <v>2</v>
      </c>
      <c r="F7" s="89">
        <v>2</v>
      </c>
      <c r="G7" s="89">
        <v>2</v>
      </c>
      <c r="H7" s="89">
        <v>2</v>
      </c>
      <c r="I7" s="89">
        <v>2</v>
      </c>
      <c r="J7" s="89">
        <v>2</v>
      </c>
      <c r="K7" s="89">
        <v>2</v>
      </c>
      <c r="L7" s="89">
        <v>2</v>
      </c>
      <c r="M7" s="89">
        <v>2</v>
      </c>
      <c r="N7" s="89">
        <v>2</v>
      </c>
      <c r="O7" s="89">
        <v>2</v>
      </c>
    </row>
    <row r="8" spans="2:15">
      <c r="C8" s="36" t="s">
        <v>128</v>
      </c>
      <c r="D8" s="89">
        <v>2.25</v>
      </c>
      <c r="E8" s="89">
        <v>2.25</v>
      </c>
      <c r="F8" s="89">
        <v>2.25</v>
      </c>
      <c r="G8" s="89">
        <v>2.25</v>
      </c>
      <c r="H8" s="89">
        <v>2.25</v>
      </c>
      <c r="I8" s="89">
        <v>2.25</v>
      </c>
      <c r="J8" s="89">
        <v>2.25</v>
      </c>
      <c r="K8" s="89">
        <v>2.25</v>
      </c>
      <c r="L8" s="89">
        <v>2.25</v>
      </c>
      <c r="M8" s="89">
        <v>2.25</v>
      </c>
      <c r="N8" s="89">
        <v>2.25</v>
      </c>
      <c r="O8" s="89">
        <v>2.25</v>
      </c>
    </row>
    <row r="9" spans="2:15">
      <c r="C9" s="36" t="s">
        <v>129</v>
      </c>
      <c r="D9" s="89">
        <v>2.25</v>
      </c>
      <c r="E9" s="89">
        <v>2.25</v>
      </c>
      <c r="F9" s="89">
        <v>2.25</v>
      </c>
      <c r="G9" s="89">
        <v>2.25</v>
      </c>
      <c r="H9" s="89">
        <v>2.25</v>
      </c>
      <c r="I9" s="89">
        <v>2.25</v>
      </c>
      <c r="J9" s="89">
        <v>2.25</v>
      </c>
      <c r="K9" s="89">
        <v>2.25</v>
      </c>
      <c r="L9" s="89">
        <v>2.25</v>
      </c>
      <c r="M9" s="89">
        <v>2.25</v>
      </c>
      <c r="N9" s="89">
        <v>2.25</v>
      </c>
      <c r="O9" s="89">
        <v>2.25</v>
      </c>
    </row>
    <row r="10" spans="2:15">
      <c r="C10" s="36" t="s">
        <v>130</v>
      </c>
      <c r="D10" s="89">
        <v>2.5</v>
      </c>
      <c r="E10" s="89">
        <v>2.5</v>
      </c>
      <c r="F10" s="89">
        <v>2.5</v>
      </c>
      <c r="G10" s="89">
        <v>2.5</v>
      </c>
      <c r="H10" s="89">
        <v>2.5</v>
      </c>
      <c r="I10" s="89">
        <v>2.5</v>
      </c>
      <c r="J10" s="89">
        <v>2.5</v>
      </c>
      <c r="K10" s="89">
        <v>2.5</v>
      </c>
      <c r="L10" s="89">
        <v>2.5</v>
      </c>
      <c r="M10" s="89">
        <v>2.5</v>
      </c>
      <c r="N10" s="89">
        <v>2.5</v>
      </c>
      <c r="O10" s="89">
        <v>2.5</v>
      </c>
    </row>
    <row r="11" spans="2:15">
      <c r="C11" s="36" t="s">
        <v>131</v>
      </c>
      <c r="D11" s="89">
        <v>2.6</v>
      </c>
      <c r="E11" s="89">
        <v>2.6</v>
      </c>
      <c r="F11" s="89">
        <v>2.6</v>
      </c>
      <c r="G11" s="89">
        <v>2.6</v>
      </c>
      <c r="H11" s="89">
        <v>2.6</v>
      </c>
      <c r="I11" s="89">
        <v>2.6</v>
      </c>
      <c r="J11" s="89">
        <v>2.6</v>
      </c>
      <c r="K11" s="89">
        <v>2.6</v>
      </c>
      <c r="L11" s="89">
        <v>2.6</v>
      </c>
      <c r="M11" s="89">
        <v>2.6</v>
      </c>
      <c r="N11" s="89">
        <v>2.6</v>
      </c>
      <c r="O11" s="89">
        <v>2.6</v>
      </c>
    </row>
    <row r="12" spans="2:15">
      <c r="C12" s="37" t="s">
        <v>132</v>
      </c>
      <c r="D12" s="89">
        <v>2.7</v>
      </c>
      <c r="E12" s="89">
        <v>2.7</v>
      </c>
      <c r="F12" s="89">
        <v>2.7</v>
      </c>
      <c r="G12" s="89">
        <v>2.7</v>
      </c>
      <c r="H12" s="89">
        <v>2.7</v>
      </c>
      <c r="I12" s="89">
        <v>2.7</v>
      </c>
      <c r="J12" s="89">
        <v>2.7</v>
      </c>
      <c r="K12" s="89">
        <v>2.7</v>
      </c>
      <c r="L12" s="89">
        <v>2.7</v>
      </c>
      <c r="M12" s="89">
        <v>2.7</v>
      </c>
      <c r="N12" s="89">
        <v>2.7</v>
      </c>
      <c r="O12" s="89">
        <v>2.7</v>
      </c>
    </row>
    <row r="13" spans="2:15">
      <c r="C13" s="57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2:15">
      <c r="B14" s="58" t="s">
        <v>133</v>
      </c>
      <c r="C14" s="59" t="s">
        <v>146</v>
      </c>
      <c r="D14" s="34" t="s">
        <v>92</v>
      </c>
      <c r="E14" s="34" t="s">
        <v>93</v>
      </c>
      <c r="F14" s="34" t="s">
        <v>94</v>
      </c>
      <c r="G14" s="34" t="s">
        <v>95</v>
      </c>
      <c r="H14" s="34" t="s">
        <v>96</v>
      </c>
      <c r="I14" s="34" t="s">
        <v>97</v>
      </c>
      <c r="J14" s="34" t="s">
        <v>98</v>
      </c>
      <c r="K14" s="34" t="s">
        <v>99</v>
      </c>
      <c r="L14" s="34" t="s">
        <v>100</v>
      </c>
      <c r="M14" s="34" t="s">
        <v>101</v>
      </c>
      <c r="N14" s="34" t="s">
        <v>102</v>
      </c>
      <c r="O14" s="35" t="s">
        <v>103</v>
      </c>
    </row>
    <row r="15" spans="2:15">
      <c r="C15" s="41" t="s">
        <v>126</v>
      </c>
      <c r="D15" s="89">
        <v>3.5</v>
      </c>
      <c r="E15" s="89">
        <v>3.5</v>
      </c>
      <c r="F15" s="89">
        <v>3.5</v>
      </c>
      <c r="G15" s="89">
        <v>3.5</v>
      </c>
      <c r="H15" s="89">
        <v>3.5</v>
      </c>
      <c r="I15" s="89">
        <v>3.5</v>
      </c>
      <c r="J15" s="89">
        <v>3.5</v>
      </c>
      <c r="K15" s="89">
        <v>3.5</v>
      </c>
      <c r="L15" s="89">
        <v>3.5</v>
      </c>
      <c r="M15" s="89">
        <v>3.5</v>
      </c>
      <c r="N15" s="89">
        <v>3.5</v>
      </c>
      <c r="O15" s="89">
        <v>3.5</v>
      </c>
    </row>
    <row r="16" spans="2:15">
      <c r="C16" s="36" t="s">
        <v>127</v>
      </c>
      <c r="D16" s="89">
        <v>3.5</v>
      </c>
      <c r="E16" s="89">
        <v>3.5</v>
      </c>
      <c r="F16" s="89">
        <v>3.5</v>
      </c>
      <c r="G16" s="89">
        <v>3.5</v>
      </c>
      <c r="H16" s="89">
        <v>3.5</v>
      </c>
      <c r="I16" s="89">
        <v>3.5</v>
      </c>
      <c r="J16" s="89">
        <v>3.5</v>
      </c>
      <c r="K16" s="89">
        <v>3.5</v>
      </c>
      <c r="L16" s="89">
        <v>3.5</v>
      </c>
      <c r="M16" s="89">
        <v>3.5</v>
      </c>
      <c r="N16" s="89">
        <v>3.5</v>
      </c>
      <c r="O16" s="89">
        <v>3.5</v>
      </c>
    </row>
    <row r="17" spans="2:15">
      <c r="C17" s="36" t="s">
        <v>128</v>
      </c>
      <c r="D17" s="89">
        <v>3.5</v>
      </c>
      <c r="E17" s="89">
        <v>3.5</v>
      </c>
      <c r="F17" s="89">
        <v>3.5</v>
      </c>
      <c r="G17" s="89">
        <v>3.5</v>
      </c>
      <c r="H17" s="89">
        <v>3.5</v>
      </c>
      <c r="I17" s="89">
        <v>3.5</v>
      </c>
      <c r="J17" s="89">
        <v>3.5</v>
      </c>
      <c r="K17" s="89">
        <v>3.5</v>
      </c>
      <c r="L17" s="89">
        <v>3.5</v>
      </c>
      <c r="M17" s="89">
        <v>3.5</v>
      </c>
      <c r="N17" s="89">
        <v>3.5</v>
      </c>
      <c r="O17" s="89">
        <v>3.5</v>
      </c>
    </row>
    <row r="18" spans="2:15">
      <c r="C18" s="36" t="s">
        <v>129</v>
      </c>
      <c r="D18" s="89">
        <v>3.5</v>
      </c>
      <c r="E18" s="89">
        <v>3.5</v>
      </c>
      <c r="F18" s="89">
        <v>3.5</v>
      </c>
      <c r="G18" s="89">
        <v>3.5</v>
      </c>
      <c r="H18" s="89">
        <v>3.5</v>
      </c>
      <c r="I18" s="89">
        <v>3.5</v>
      </c>
      <c r="J18" s="89">
        <v>3.5</v>
      </c>
      <c r="K18" s="89">
        <v>3.5</v>
      </c>
      <c r="L18" s="89">
        <v>3.5</v>
      </c>
      <c r="M18" s="89">
        <v>3.5</v>
      </c>
      <c r="N18" s="89">
        <v>3.5</v>
      </c>
      <c r="O18" s="89">
        <v>3.5</v>
      </c>
    </row>
    <row r="19" spans="2:15">
      <c r="C19" s="36" t="s">
        <v>130</v>
      </c>
      <c r="D19" s="89">
        <v>3.5</v>
      </c>
      <c r="E19" s="89">
        <v>3.5</v>
      </c>
      <c r="F19" s="89">
        <v>3.5</v>
      </c>
      <c r="G19" s="89">
        <v>3.5</v>
      </c>
      <c r="H19" s="89">
        <v>3.5</v>
      </c>
      <c r="I19" s="89">
        <v>3.5</v>
      </c>
      <c r="J19" s="89">
        <v>3.5</v>
      </c>
      <c r="K19" s="89">
        <v>3.5</v>
      </c>
      <c r="L19" s="89">
        <v>3.5</v>
      </c>
      <c r="M19" s="89">
        <v>3.5</v>
      </c>
      <c r="N19" s="89">
        <v>3.5</v>
      </c>
      <c r="O19" s="89">
        <v>3.5</v>
      </c>
    </row>
    <row r="20" spans="2:15">
      <c r="C20" s="36" t="s">
        <v>131</v>
      </c>
      <c r="D20" s="89">
        <v>3.5</v>
      </c>
      <c r="E20" s="89">
        <v>3.5</v>
      </c>
      <c r="F20" s="89">
        <v>3.5</v>
      </c>
      <c r="G20" s="89">
        <v>3.5</v>
      </c>
      <c r="H20" s="89">
        <v>3.5</v>
      </c>
      <c r="I20" s="89">
        <v>3.5</v>
      </c>
      <c r="J20" s="89">
        <v>3.5</v>
      </c>
      <c r="K20" s="89">
        <v>3.5</v>
      </c>
      <c r="L20" s="89">
        <v>3.5</v>
      </c>
      <c r="M20" s="89">
        <v>3.5</v>
      </c>
      <c r="N20" s="89">
        <v>3.5</v>
      </c>
      <c r="O20" s="89">
        <v>3.5</v>
      </c>
    </row>
    <row r="21" spans="2:15">
      <c r="C21" s="37" t="s">
        <v>132</v>
      </c>
      <c r="D21" s="89">
        <v>3.5</v>
      </c>
      <c r="E21" s="89">
        <v>3.5</v>
      </c>
      <c r="F21" s="89">
        <v>3.5</v>
      </c>
      <c r="G21" s="89">
        <v>3.5</v>
      </c>
      <c r="H21" s="89">
        <v>3.5</v>
      </c>
      <c r="I21" s="89">
        <v>3.5</v>
      </c>
      <c r="J21" s="89">
        <v>3.5</v>
      </c>
      <c r="K21" s="89">
        <v>3.5</v>
      </c>
      <c r="L21" s="89">
        <v>3.5</v>
      </c>
      <c r="M21" s="89">
        <v>3.5</v>
      </c>
      <c r="N21" s="89">
        <v>3.5</v>
      </c>
      <c r="O21" s="89">
        <v>3.5</v>
      </c>
    </row>
    <row r="22" spans="2:15">
      <c r="C22" s="57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</row>
    <row r="23" spans="2:15">
      <c r="B23" s="58" t="s">
        <v>134</v>
      </c>
      <c r="C23" s="59" t="s">
        <v>146</v>
      </c>
      <c r="D23" s="34" t="s">
        <v>92</v>
      </c>
      <c r="E23" s="34" t="s">
        <v>93</v>
      </c>
      <c r="F23" s="34" t="s">
        <v>94</v>
      </c>
      <c r="G23" s="34" t="s">
        <v>95</v>
      </c>
      <c r="H23" s="34" t="s">
        <v>96</v>
      </c>
      <c r="I23" s="34" t="s">
        <v>97</v>
      </c>
      <c r="J23" s="34" t="s">
        <v>98</v>
      </c>
      <c r="K23" s="34" t="s">
        <v>99</v>
      </c>
      <c r="L23" s="34" t="s">
        <v>100</v>
      </c>
      <c r="M23" s="34" t="s">
        <v>101</v>
      </c>
      <c r="N23" s="34" t="s">
        <v>102</v>
      </c>
      <c r="O23" s="35" t="s">
        <v>103</v>
      </c>
    </row>
    <row r="24" spans="2:15">
      <c r="C24" s="41" t="s">
        <v>126</v>
      </c>
      <c r="D24" s="89">
        <v>3.8</v>
      </c>
      <c r="E24" s="89">
        <v>3.8</v>
      </c>
      <c r="F24" s="89">
        <v>3.8</v>
      </c>
      <c r="G24" s="89">
        <v>3.8</v>
      </c>
      <c r="H24" s="89">
        <v>3.8</v>
      </c>
      <c r="I24" s="89">
        <v>3.8</v>
      </c>
      <c r="J24" s="89">
        <v>3.8</v>
      </c>
      <c r="K24" s="89">
        <v>3.8</v>
      </c>
      <c r="L24" s="89">
        <v>3.8</v>
      </c>
      <c r="M24" s="89">
        <v>3.8</v>
      </c>
      <c r="N24" s="89">
        <v>3.8</v>
      </c>
      <c r="O24" s="89">
        <v>3.8</v>
      </c>
    </row>
    <row r="25" spans="2:15">
      <c r="C25" s="36" t="s">
        <v>127</v>
      </c>
      <c r="D25" s="89">
        <v>3.8</v>
      </c>
      <c r="E25" s="89">
        <v>3.8</v>
      </c>
      <c r="F25" s="89">
        <v>3.8</v>
      </c>
      <c r="G25" s="89">
        <v>3.8</v>
      </c>
      <c r="H25" s="89">
        <v>3.8</v>
      </c>
      <c r="I25" s="89">
        <v>3.8</v>
      </c>
      <c r="J25" s="89">
        <v>3.8</v>
      </c>
      <c r="K25" s="89">
        <v>3.8</v>
      </c>
      <c r="L25" s="89">
        <v>3.8</v>
      </c>
      <c r="M25" s="89">
        <v>3.8</v>
      </c>
      <c r="N25" s="89">
        <v>3.8</v>
      </c>
      <c r="O25" s="89">
        <v>3.8</v>
      </c>
    </row>
    <row r="26" spans="2:15">
      <c r="C26" s="36" t="s">
        <v>128</v>
      </c>
      <c r="D26" s="89">
        <v>3.8</v>
      </c>
      <c r="E26" s="89">
        <v>3.8</v>
      </c>
      <c r="F26" s="89">
        <v>3.8</v>
      </c>
      <c r="G26" s="89">
        <v>3.8</v>
      </c>
      <c r="H26" s="89">
        <v>3.8</v>
      </c>
      <c r="I26" s="89">
        <v>3.8</v>
      </c>
      <c r="J26" s="89">
        <v>3.8</v>
      </c>
      <c r="K26" s="89">
        <v>3.8</v>
      </c>
      <c r="L26" s="89">
        <v>3.8</v>
      </c>
      <c r="M26" s="89">
        <v>3.8</v>
      </c>
      <c r="N26" s="89">
        <v>3.8</v>
      </c>
      <c r="O26" s="89">
        <v>3.8</v>
      </c>
    </row>
    <row r="27" spans="2:15">
      <c r="C27" s="36" t="s">
        <v>129</v>
      </c>
      <c r="D27" s="89">
        <v>3.8</v>
      </c>
      <c r="E27" s="89">
        <v>3.8</v>
      </c>
      <c r="F27" s="89">
        <v>3.8</v>
      </c>
      <c r="G27" s="89">
        <v>3.8</v>
      </c>
      <c r="H27" s="89">
        <v>3.8</v>
      </c>
      <c r="I27" s="89">
        <v>3.8</v>
      </c>
      <c r="J27" s="89">
        <v>3.8</v>
      </c>
      <c r="K27" s="89">
        <v>3.8</v>
      </c>
      <c r="L27" s="89">
        <v>3.8</v>
      </c>
      <c r="M27" s="89">
        <v>3.8</v>
      </c>
      <c r="N27" s="89">
        <v>3.8</v>
      </c>
      <c r="O27" s="89">
        <v>3.8</v>
      </c>
    </row>
    <row r="28" spans="2:15">
      <c r="C28" s="36" t="s">
        <v>130</v>
      </c>
      <c r="D28" s="89">
        <v>3.8</v>
      </c>
      <c r="E28" s="89">
        <v>3.8</v>
      </c>
      <c r="F28" s="89">
        <v>3.8</v>
      </c>
      <c r="G28" s="89">
        <v>3.8</v>
      </c>
      <c r="H28" s="89">
        <v>3.8</v>
      </c>
      <c r="I28" s="89">
        <v>3.8</v>
      </c>
      <c r="J28" s="89">
        <v>3.8</v>
      </c>
      <c r="K28" s="89">
        <v>3.8</v>
      </c>
      <c r="L28" s="89">
        <v>3.8</v>
      </c>
      <c r="M28" s="89">
        <v>3.8</v>
      </c>
      <c r="N28" s="89">
        <v>3.8</v>
      </c>
      <c r="O28" s="89">
        <v>3.8</v>
      </c>
    </row>
    <row r="29" spans="2:15">
      <c r="C29" s="36" t="s">
        <v>131</v>
      </c>
      <c r="D29" s="89">
        <v>3.8</v>
      </c>
      <c r="E29" s="89">
        <v>3.8</v>
      </c>
      <c r="F29" s="89">
        <v>3.8</v>
      </c>
      <c r="G29" s="89">
        <v>3.8</v>
      </c>
      <c r="H29" s="89">
        <v>3.8</v>
      </c>
      <c r="I29" s="89">
        <v>3.8</v>
      </c>
      <c r="J29" s="89">
        <v>3.8</v>
      </c>
      <c r="K29" s="89">
        <v>3.8</v>
      </c>
      <c r="L29" s="89">
        <v>3.8</v>
      </c>
      <c r="M29" s="89">
        <v>3.8</v>
      </c>
      <c r="N29" s="89">
        <v>3.8</v>
      </c>
      <c r="O29" s="89">
        <v>3.8</v>
      </c>
    </row>
    <row r="30" spans="2:15">
      <c r="C30" s="37" t="s">
        <v>132</v>
      </c>
      <c r="D30" s="89">
        <v>3.8</v>
      </c>
      <c r="E30" s="89">
        <v>3.8</v>
      </c>
      <c r="F30" s="89">
        <v>3.8</v>
      </c>
      <c r="G30" s="89">
        <v>3.8</v>
      </c>
      <c r="H30" s="89">
        <v>3.8</v>
      </c>
      <c r="I30" s="89">
        <v>3.8</v>
      </c>
      <c r="J30" s="89">
        <v>3.8</v>
      </c>
      <c r="K30" s="89">
        <v>3.8</v>
      </c>
      <c r="L30" s="89">
        <v>3.8</v>
      </c>
      <c r="M30" s="89">
        <v>3.8</v>
      </c>
      <c r="N30" s="89">
        <v>3.8</v>
      </c>
      <c r="O30" s="89">
        <v>3.8</v>
      </c>
    </row>
    <row r="31" spans="2:15">
      <c r="C31" s="57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</row>
    <row r="32" spans="2:15">
      <c r="B32" s="58" t="s">
        <v>123</v>
      </c>
      <c r="C32" s="59" t="s">
        <v>146</v>
      </c>
      <c r="D32" s="34" t="s">
        <v>92</v>
      </c>
      <c r="E32" s="34" t="s">
        <v>93</v>
      </c>
      <c r="F32" s="34" t="s">
        <v>94</v>
      </c>
      <c r="G32" s="34" t="s">
        <v>95</v>
      </c>
      <c r="H32" s="34" t="s">
        <v>96</v>
      </c>
      <c r="I32" s="34" t="s">
        <v>97</v>
      </c>
      <c r="J32" s="34" t="s">
        <v>98</v>
      </c>
      <c r="K32" s="34" t="s">
        <v>99</v>
      </c>
      <c r="L32" s="34" t="s">
        <v>100</v>
      </c>
      <c r="M32" s="34" t="s">
        <v>101</v>
      </c>
      <c r="N32" s="34" t="s">
        <v>102</v>
      </c>
      <c r="O32" s="35" t="s">
        <v>103</v>
      </c>
    </row>
    <row r="33" spans="3:15">
      <c r="C33" s="41" t="s">
        <v>126</v>
      </c>
      <c r="D33" s="89">
        <v>2.7</v>
      </c>
      <c r="E33" s="89">
        <v>2.7</v>
      </c>
      <c r="F33" s="89">
        <v>2.7</v>
      </c>
      <c r="G33" s="89">
        <v>2.7</v>
      </c>
      <c r="H33" s="89">
        <v>2.7</v>
      </c>
      <c r="I33" s="89">
        <v>2.7</v>
      </c>
      <c r="J33" s="89">
        <v>2.7</v>
      </c>
      <c r="K33" s="89">
        <v>2.7</v>
      </c>
      <c r="L33" s="89">
        <v>2.7</v>
      </c>
      <c r="M33" s="89">
        <v>2.7</v>
      </c>
      <c r="N33" s="89">
        <v>2.7</v>
      </c>
      <c r="O33" s="89">
        <v>2.7</v>
      </c>
    </row>
    <row r="34" spans="3:15">
      <c r="C34" s="36" t="s">
        <v>127</v>
      </c>
      <c r="D34" s="89">
        <v>2.4</v>
      </c>
      <c r="E34" s="89">
        <v>2.4</v>
      </c>
      <c r="F34" s="89">
        <v>2.4</v>
      </c>
      <c r="G34" s="89">
        <v>2.4</v>
      </c>
      <c r="H34" s="89">
        <v>2.4</v>
      </c>
      <c r="I34" s="89">
        <v>2.4</v>
      </c>
      <c r="J34" s="89">
        <v>2.4</v>
      </c>
      <c r="K34" s="89">
        <v>2.4</v>
      </c>
      <c r="L34" s="89">
        <v>2.4</v>
      </c>
      <c r="M34" s="89">
        <v>2.4</v>
      </c>
      <c r="N34" s="89">
        <v>2.4</v>
      </c>
      <c r="O34" s="89">
        <v>2.4</v>
      </c>
    </row>
    <row r="35" spans="3:15">
      <c r="C35" s="36" t="s">
        <v>128</v>
      </c>
      <c r="D35" s="89">
        <v>2.2999999999999998</v>
      </c>
      <c r="E35" s="89">
        <v>2.2999999999999998</v>
      </c>
      <c r="F35" s="89">
        <v>2.2999999999999998</v>
      </c>
      <c r="G35" s="89">
        <v>2.2999999999999998</v>
      </c>
      <c r="H35" s="89">
        <v>2.2999999999999998</v>
      </c>
      <c r="I35" s="89">
        <v>2.2999999999999998</v>
      </c>
      <c r="J35" s="89">
        <v>2.2999999999999998</v>
      </c>
      <c r="K35" s="89">
        <v>2.2999999999999998</v>
      </c>
      <c r="L35" s="89">
        <v>2.2999999999999998</v>
      </c>
      <c r="M35" s="89">
        <v>2.2999999999999998</v>
      </c>
      <c r="N35" s="89">
        <v>2.2999999999999998</v>
      </c>
      <c r="O35" s="89">
        <v>2.2999999999999998</v>
      </c>
    </row>
    <row r="36" spans="3:15">
      <c r="C36" s="36" t="s">
        <v>129</v>
      </c>
      <c r="D36" s="89">
        <v>2.5</v>
      </c>
      <c r="E36" s="89">
        <v>2.5</v>
      </c>
      <c r="F36" s="89">
        <v>2.5</v>
      </c>
      <c r="G36" s="89">
        <v>2.5</v>
      </c>
      <c r="H36" s="89">
        <v>2.5</v>
      </c>
      <c r="I36" s="89">
        <v>2.5</v>
      </c>
      <c r="J36" s="89">
        <v>2.5</v>
      </c>
      <c r="K36" s="89">
        <v>2.5</v>
      </c>
      <c r="L36" s="89">
        <v>2.5</v>
      </c>
      <c r="M36" s="89">
        <v>2.5</v>
      </c>
      <c r="N36" s="89">
        <v>2.5</v>
      </c>
      <c r="O36" s="89">
        <v>2.5</v>
      </c>
    </row>
    <row r="37" spans="3:15">
      <c r="C37" s="36" t="s">
        <v>130</v>
      </c>
      <c r="D37" s="89">
        <v>2.6</v>
      </c>
      <c r="E37" s="89">
        <v>2.6</v>
      </c>
      <c r="F37" s="89">
        <v>2.6</v>
      </c>
      <c r="G37" s="89">
        <v>2.6</v>
      </c>
      <c r="H37" s="89">
        <v>2.6</v>
      </c>
      <c r="I37" s="89">
        <v>2.6</v>
      </c>
      <c r="J37" s="89">
        <v>2.6</v>
      </c>
      <c r="K37" s="89">
        <v>2.6</v>
      </c>
      <c r="L37" s="89">
        <v>2.6</v>
      </c>
      <c r="M37" s="89">
        <v>2.6</v>
      </c>
      <c r="N37" s="89">
        <v>2.6</v>
      </c>
      <c r="O37" s="89">
        <v>2.6</v>
      </c>
    </row>
    <row r="38" spans="3:15">
      <c r="C38" s="36" t="s">
        <v>131</v>
      </c>
      <c r="D38" s="89">
        <v>2.8</v>
      </c>
      <c r="E38" s="89">
        <v>2.8</v>
      </c>
      <c r="F38" s="89">
        <v>2.8</v>
      </c>
      <c r="G38" s="89">
        <v>2.8</v>
      </c>
      <c r="H38" s="89">
        <v>2.8</v>
      </c>
      <c r="I38" s="89">
        <v>2.8</v>
      </c>
      <c r="J38" s="89">
        <v>2.8</v>
      </c>
      <c r="K38" s="89">
        <v>2.8</v>
      </c>
      <c r="L38" s="89">
        <v>2.8</v>
      </c>
      <c r="M38" s="89">
        <v>2.8</v>
      </c>
      <c r="N38" s="89">
        <v>2.8</v>
      </c>
      <c r="O38" s="89">
        <v>2.8</v>
      </c>
    </row>
    <row r="39" spans="3:15">
      <c r="C39" s="37" t="s">
        <v>132</v>
      </c>
      <c r="D39" s="89">
        <v>2.6</v>
      </c>
      <c r="E39" s="89">
        <v>2.6</v>
      </c>
      <c r="F39" s="89">
        <v>2.6</v>
      </c>
      <c r="G39" s="89">
        <v>2.6</v>
      </c>
      <c r="H39" s="89">
        <v>2.6</v>
      </c>
      <c r="I39" s="89">
        <v>2.6</v>
      </c>
      <c r="J39" s="89">
        <v>2.6</v>
      </c>
      <c r="K39" s="89">
        <v>2.6</v>
      </c>
      <c r="L39" s="89">
        <v>2.6</v>
      </c>
      <c r="M39" s="89">
        <v>2.6</v>
      </c>
      <c r="N39" s="89">
        <v>2.6</v>
      </c>
      <c r="O39" s="89">
        <v>2.6</v>
      </c>
    </row>
    <row r="40" spans="3:15"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</row>
    <row r="41" spans="3:15"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</sheetData>
  <phoneticPr fontId="0" type="noConversion"/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350"/>
  <sheetViews>
    <sheetView showGridLines="0" tabSelected="1" workbookViewId="0"/>
  </sheetViews>
  <sheetFormatPr baseColWidth="10" defaultColWidth="8.83203125" defaultRowHeight="12" x14ac:dyDescent="0"/>
  <cols>
    <col min="1" max="1" width="4.6640625" style="100" customWidth="1"/>
    <col min="2" max="6" width="8.83203125" style="100"/>
    <col min="7" max="7" width="2.6640625" style="100" customWidth="1"/>
    <col min="8" max="8" width="11.1640625" style="100" customWidth="1"/>
    <col min="9" max="10" width="8.83203125" style="100"/>
    <col min="11" max="12" width="4.6640625" style="100" customWidth="1"/>
    <col min="13" max="17" width="8.83203125" style="100"/>
    <col min="18" max="18" width="2.6640625" style="100" customWidth="1"/>
    <col min="19" max="19" width="14.6640625" style="100" customWidth="1"/>
    <col min="20" max="20" width="16.6640625" style="100" customWidth="1"/>
    <col min="21" max="21" width="4.6640625" style="100" customWidth="1"/>
    <col min="22" max="16384" width="8.83203125" style="100"/>
  </cols>
  <sheetData>
    <row r="1" spans="1:20">
      <c r="A1" s="179"/>
    </row>
    <row r="2" spans="1:20" ht="15">
      <c r="C2" s="207" t="s">
        <v>165</v>
      </c>
      <c r="D2" s="207"/>
      <c r="E2" s="207"/>
      <c r="F2" s="207"/>
      <c r="G2" s="207"/>
      <c r="H2" s="207"/>
    </row>
    <row r="3" spans="1:20" ht="15">
      <c r="C3" s="180" t="s">
        <v>413</v>
      </c>
      <c r="D3" s="180"/>
      <c r="E3" s="180"/>
      <c r="F3" s="180"/>
      <c r="G3" s="180"/>
    </row>
    <row r="5" spans="1:20" ht="15">
      <c r="A5" s="181" t="s">
        <v>352</v>
      </c>
      <c r="B5" s="182"/>
      <c r="G5" s="183"/>
      <c r="L5" s="181" t="s">
        <v>353</v>
      </c>
      <c r="M5" s="182"/>
      <c r="R5" s="183"/>
    </row>
    <row r="6" spans="1:20">
      <c r="A6" s="184" t="s">
        <v>354</v>
      </c>
      <c r="B6" s="182"/>
      <c r="G6" s="185"/>
      <c r="H6" s="110"/>
      <c r="L6" s="184" t="s">
        <v>355</v>
      </c>
      <c r="M6" s="182"/>
      <c r="S6" s="125"/>
    </row>
    <row r="7" spans="1:20">
      <c r="A7" s="182"/>
      <c r="B7" s="182" t="s">
        <v>356</v>
      </c>
      <c r="G7" s="185"/>
      <c r="H7" s="186">
        <f>SUM(ORA!$D$116:$O$116)</f>
        <v>66160.503855135859</v>
      </c>
      <c r="L7" s="182"/>
      <c r="M7" s="182" t="s">
        <v>356</v>
      </c>
      <c r="S7" s="187">
        <f>SUM(ORA!$D$127:$O$127)</f>
        <v>282352252.31322557</v>
      </c>
    </row>
    <row r="8" spans="1:20">
      <c r="A8" s="182"/>
      <c r="B8" s="182" t="s">
        <v>357</v>
      </c>
      <c r="G8" s="185"/>
      <c r="H8" s="188">
        <f>SUM(POJ!$D$116:$O$116)</f>
        <v>45980.516370161262</v>
      </c>
      <c r="L8" s="182"/>
      <c r="M8" s="182" t="s">
        <v>357</v>
      </c>
      <c r="S8" s="189">
        <f>SUM(POJ!$D$127:$O$127)</f>
        <v>321863614.59112883</v>
      </c>
    </row>
    <row r="9" spans="1:20">
      <c r="A9" s="182"/>
      <c r="B9" s="182" t="s">
        <v>358</v>
      </c>
      <c r="G9" s="185"/>
      <c r="H9" s="188">
        <f>SUM(ROJ!$D$116:$O$116)</f>
        <v>29573.709213072845</v>
      </c>
      <c r="L9" s="182"/>
      <c r="M9" s="182" t="s">
        <v>358</v>
      </c>
      <c r="S9" s="189">
        <f>SUM(ROJ!$D$127:$O$127)</f>
        <v>224760190.01935363</v>
      </c>
    </row>
    <row r="10" spans="1:20">
      <c r="A10" s="182"/>
      <c r="B10" s="182" t="s">
        <v>359</v>
      </c>
      <c r="G10" s="185"/>
      <c r="H10" s="190">
        <f>SUM(FCOJ!$D$116:$O$116)</f>
        <v>31451.476353141479</v>
      </c>
      <c r="L10" s="182"/>
      <c r="M10" s="182" t="s">
        <v>359</v>
      </c>
      <c r="S10" s="191">
        <f>SUM(FCOJ!$D$127:$O$127)</f>
        <v>157665769.01892948</v>
      </c>
    </row>
    <row r="11" spans="1:20">
      <c r="A11" s="182"/>
      <c r="B11" s="182"/>
      <c r="G11" s="185"/>
      <c r="M11" s="182" t="s">
        <v>360</v>
      </c>
      <c r="T11" s="192">
        <f>SUM($S$7:$S$10)</f>
        <v>986641825.94263744</v>
      </c>
    </row>
    <row r="12" spans="1:20">
      <c r="A12" s="184" t="s">
        <v>361</v>
      </c>
      <c r="B12" s="182"/>
      <c r="G12" s="185"/>
    </row>
    <row r="13" spans="1:20">
      <c r="A13" s="182"/>
      <c r="B13" s="182" t="s">
        <v>362</v>
      </c>
      <c r="G13" s="185"/>
      <c r="H13" s="193">
        <f>SUM(grove!$C$48:$AX$53)</f>
        <v>174945.91657125545</v>
      </c>
      <c r="L13" s="184" t="s">
        <v>363</v>
      </c>
      <c r="M13" s="182"/>
    </row>
    <row r="14" spans="1:20">
      <c r="A14" s="182"/>
      <c r="B14" s="182" t="s">
        <v>364</v>
      </c>
      <c r="G14" s="185"/>
      <c r="H14" s="186">
        <f>raw_materials!$P$30</f>
        <v>3.7055278319400173</v>
      </c>
      <c r="L14" s="182"/>
      <c r="M14" s="182" t="s">
        <v>365</v>
      </c>
      <c r="S14" s="187">
        <f>SUM(grove!$C$58:$AX$63)</f>
        <v>233879721.60700619</v>
      </c>
    </row>
    <row r="15" spans="1:20">
      <c r="A15" s="182"/>
      <c r="B15" s="182" t="s">
        <v>366</v>
      </c>
      <c r="G15" s="185"/>
      <c r="H15" s="190">
        <f>raw_materials!$P$36</f>
        <v>5.1292732598465474</v>
      </c>
      <c r="L15" s="182"/>
      <c r="M15" s="182" t="s">
        <v>367</v>
      </c>
      <c r="S15" s="189">
        <f>(raw_materials!D30*raw_materials!E30+raw_materials!F30*raw_materials!G30+raw_materials!H30*raw_materials!I30+raw_materials!J30*raw_materials!K30+raw_materials!L30*raw_materials!M30)*2000</f>
        <v>5512.9135884236966</v>
      </c>
    </row>
    <row r="16" spans="1:20">
      <c r="A16" s="182"/>
      <c r="B16" s="182" t="s">
        <v>368</v>
      </c>
      <c r="G16" s="185"/>
      <c r="H16" s="194">
        <v>46485.237965146473</v>
      </c>
      <c r="L16" s="182"/>
      <c r="M16" s="182" t="s">
        <v>369</v>
      </c>
      <c r="S16" s="189">
        <f>(raw_materials!D36*raw_materials!E36+raw_materials!F36*raw_materials!G36+raw_materials!H36*raw_materials!I36+raw_materials!J36*raw_materials!K36+raw_materials!L36*raw_materials!M36)*2000</f>
        <v>10539.24216481318</v>
      </c>
    </row>
    <row r="17" spans="1:21">
      <c r="A17" s="182"/>
      <c r="B17" s="182" t="s">
        <v>370</v>
      </c>
      <c r="G17" s="185"/>
      <c r="H17" s="195">
        <v>61727.881857363071</v>
      </c>
      <c r="L17" s="182"/>
      <c r="M17" s="182" t="s">
        <v>371</v>
      </c>
      <c r="S17" s="189">
        <v>33918221.924092457</v>
      </c>
    </row>
    <row r="18" spans="1:21">
      <c r="A18" s="182"/>
      <c r="B18" s="182" t="s">
        <v>372</v>
      </c>
      <c r="G18" s="185"/>
      <c r="H18" s="196">
        <v>30025.098437534169</v>
      </c>
      <c r="L18" s="182"/>
      <c r="M18" s="182" t="s">
        <v>373</v>
      </c>
      <c r="S18" s="191">
        <v>1628.9767881044709</v>
      </c>
    </row>
    <row r="19" spans="1:21">
      <c r="A19" s="182"/>
      <c r="B19" s="182" t="s">
        <v>374</v>
      </c>
      <c r="G19" s="185"/>
      <c r="H19" s="195">
        <v>2451.2243198109772</v>
      </c>
      <c r="L19" s="182"/>
      <c r="M19" s="182" t="s">
        <v>375</v>
      </c>
      <c r="S19" s="197" t="s">
        <v>376</v>
      </c>
      <c r="T19" s="198">
        <f>SUM($S$14:$S$18)</f>
        <v>267815624.66364002</v>
      </c>
      <c r="U19" s="100" t="s">
        <v>377</v>
      </c>
    </row>
    <row r="20" spans="1:21">
      <c r="A20" s="182"/>
      <c r="B20" s="182" t="s">
        <v>378</v>
      </c>
      <c r="G20" s="185"/>
      <c r="H20" s="190">
        <v>0</v>
      </c>
      <c r="L20" s="182"/>
      <c r="M20" s="182"/>
    </row>
    <row r="21" spans="1:21">
      <c r="A21" s="182"/>
      <c r="B21" s="182"/>
      <c r="G21" s="185"/>
      <c r="L21" s="184" t="s">
        <v>379</v>
      </c>
      <c r="M21" s="182"/>
      <c r="S21" s="125"/>
    </row>
    <row r="22" spans="1:21">
      <c r="A22" s="184" t="s">
        <v>380</v>
      </c>
      <c r="B22" s="182"/>
      <c r="G22" s="185"/>
      <c r="L22" s="182"/>
      <c r="M22" s="182" t="s">
        <v>381</v>
      </c>
      <c r="S22" s="189">
        <v>92970475.930292934</v>
      </c>
    </row>
    <row r="23" spans="1:21">
      <c r="A23" s="182"/>
      <c r="B23" s="182" t="s">
        <v>382</v>
      </c>
      <c r="G23" s="185"/>
      <c r="H23" s="186">
        <f>SUM(raw_materials!$O$31:$O$35)</f>
        <v>4.1687198797605074</v>
      </c>
      <c r="L23" s="182"/>
      <c r="M23" s="182" t="s">
        <v>383</v>
      </c>
      <c r="S23" s="189">
        <v>61727881.857363008</v>
      </c>
    </row>
    <row r="24" spans="1:21">
      <c r="A24" s="182"/>
      <c r="B24" s="182" t="s">
        <v>384</v>
      </c>
      <c r="G24" s="185"/>
      <c r="H24" s="190">
        <f>SUM(raw_materials!$O$37:$O$41)</f>
        <v>5.1951735177358795</v>
      </c>
      <c r="L24" s="182"/>
      <c r="M24" s="182" t="s">
        <v>385</v>
      </c>
      <c r="S24" s="191">
        <v>19516313.984397218</v>
      </c>
    </row>
    <row r="25" spans="1:21">
      <c r="A25" s="182"/>
      <c r="B25" s="182"/>
      <c r="G25" s="185"/>
      <c r="L25" s="182"/>
      <c r="M25" s="182" t="s">
        <v>386</v>
      </c>
      <c r="S25" s="197" t="s">
        <v>376</v>
      </c>
      <c r="T25" s="198">
        <f>SUM($S$22:$S$24)</f>
        <v>174214671.77205318</v>
      </c>
      <c r="U25" s="100" t="s">
        <v>377</v>
      </c>
    </row>
    <row r="26" spans="1:21">
      <c r="A26" s="184" t="s">
        <v>387</v>
      </c>
      <c r="B26" s="182"/>
      <c r="G26" s="185"/>
      <c r="L26" s="182"/>
      <c r="M26" s="182"/>
    </row>
    <row r="27" spans="1:21">
      <c r="A27" s="182"/>
      <c r="B27" s="182" t="s">
        <v>388</v>
      </c>
      <c r="G27" s="185"/>
      <c r="H27" s="186">
        <f>SUMIF(facilities!$C$6:$C$15,"&gt;0",facilities!$C$6:$C$15)</f>
        <v>0</v>
      </c>
      <c r="L27" s="184" t="s">
        <v>389</v>
      </c>
      <c r="M27" s="182"/>
    </row>
    <row r="28" spans="1:21">
      <c r="A28" s="182"/>
      <c r="B28" s="182" t="s">
        <v>390</v>
      </c>
      <c r="G28" s="185"/>
      <c r="H28" s="188">
        <f>SUMIF(facilities!$C$36:$C$106,"&gt;0",facilities!$C$36:$C$106)</f>
        <v>0</v>
      </c>
      <c r="L28" s="182"/>
      <c r="M28" s="182" t="s">
        <v>391</v>
      </c>
      <c r="S28" s="187">
        <v>14312484</v>
      </c>
    </row>
    <row r="29" spans="1:21">
      <c r="A29" s="182"/>
      <c r="B29" s="182" t="s">
        <v>392</v>
      </c>
      <c r="G29" s="185"/>
      <c r="H29" s="188">
        <f>SUMIF(facilities!$C$6:$C$15,"&lt;0",facilities!$C$6:$C$15)</f>
        <v>0</v>
      </c>
      <c r="L29" s="182"/>
      <c r="M29" s="182" t="s">
        <v>393</v>
      </c>
      <c r="S29" s="189">
        <v>31304890.403933</v>
      </c>
    </row>
    <row r="30" spans="1:21">
      <c r="A30" s="182"/>
      <c r="B30" s="182" t="s">
        <v>394</v>
      </c>
      <c r="G30" s="185"/>
      <c r="H30" s="190">
        <f>SUMIF(facilities!$C$36:$C$106,"&lt;0",facilities!$C$36:$C$106)</f>
        <v>0</v>
      </c>
      <c r="L30" s="182"/>
      <c r="M30" s="182" t="s">
        <v>395</v>
      </c>
      <c r="S30" s="189">
        <v>3197537.5912411134</v>
      </c>
    </row>
    <row r="31" spans="1:21">
      <c r="L31" s="182"/>
      <c r="M31" s="182" t="s">
        <v>396</v>
      </c>
      <c r="S31" s="191">
        <f>SUM(ORA!D138:O138)+SUM(POJ!D138:O138)+SUM(ROJ!D138:O138)+SUM(FCOJ!D138:O138)</f>
        <v>117975017.6866595</v>
      </c>
    </row>
    <row r="32" spans="1:21">
      <c r="A32" s="184" t="s">
        <v>397</v>
      </c>
      <c r="B32" s="182"/>
      <c r="G32" s="185"/>
      <c r="L32" s="182"/>
      <c r="M32" s="182" t="s">
        <v>398</v>
      </c>
      <c r="S32" s="113" t="s">
        <v>376</v>
      </c>
      <c r="T32" s="198">
        <f>SUM($S$28:$S$31)</f>
        <v>166789929.68183362</v>
      </c>
      <c r="U32" s="100" t="s">
        <v>377</v>
      </c>
    </row>
    <row r="33" spans="1:21">
      <c r="A33" s="182"/>
      <c r="B33" s="182" t="s">
        <v>399</v>
      </c>
      <c r="G33" s="185"/>
      <c r="H33" s="186">
        <f>COUNTIF(facilities!$H$6:$H$15,"=new")</f>
        <v>0</v>
      </c>
      <c r="M33" s="182"/>
    </row>
    <row r="34" spans="1:21">
      <c r="A34" s="182"/>
      <c r="B34" s="182" t="s">
        <v>400</v>
      </c>
      <c r="G34" s="185"/>
      <c r="H34" s="188">
        <f>COUNTIF(facilities!$H$36:$H$106,"=new")</f>
        <v>0</v>
      </c>
      <c r="L34" s="184" t="s">
        <v>401</v>
      </c>
      <c r="M34" s="182"/>
    </row>
    <row r="35" spans="1:21">
      <c r="B35" s="182" t="s">
        <v>18</v>
      </c>
      <c r="H35" s="190">
        <f>SUMIF(facilities!$C$21:$C$30,"&gt;0",facilities!$C$21:$C$30)</f>
        <v>0</v>
      </c>
      <c r="L35" s="182"/>
      <c r="M35" s="182" t="s">
        <v>402</v>
      </c>
      <c r="S35" s="187">
        <v>26472500</v>
      </c>
    </row>
    <row r="36" spans="1:21">
      <c r="L36" s="182"/>
      <c r="M36" s="182" t="s">
        <v>403</v>
      </c>
      <c r="S36" s="189">
        <f>H33*12000000-H38*70/100*12000000</f>
        <v>0</v>
      </c>
    </row>
    <row r="37" spans="1:21">
      <c r="A37" s="184" t="s">
        <v>404</v>
      </c>
      <c r="L37" s="182"/>
      <c r="M37" s="182" t="s">
        <v>405</v>
      </c>
      <c r="S37" s="189">
        <f>H27*8000+H29*70/100*8000</f>
        <v>0</v>
      </c>
    </row>
    <row r="38" spans="1:21">
      <c r="B38" s="182" t="s">
        <v>399</v>
      </c>
      <c r="H38" s="186">
        <f>COUNTIF(facilities!$H$6:$H$15,"=sold")</f>
        <v>0</v>
      </c>
      <c r="L38" s="182"/>
      <c r="M38" s="182" t="s">
        <v>406</v>
      </c>
      <c r="S38" s="189">
        <v>27407500</v>
      </c>
    </row>
    <row r="39" spans="1:21">
      <c r="B39" s="182" t="s">
        <v>400</v>
      </c>
      <c r="H39" s="188">
        <f>COUNTIF(facilities!$H$36:$H$106,"=sold")</f>
        <v>0</v>
      </c>
      <c r="L39" s="182"/>
      <c r="M39" s="182" t="s">
        <v>407</v>
      </c>
      <c r="S39" s="189">
        <f>H34*9000000-H39*80/100*9000000</f>
        <v>0</v>
      </c>
    </row>
    <row r="40" spans="1:21">
      <c r="B40" s="182" t="s">
        <v>18</v>
      </c>
      <c r="H40" s="190">
        <f>-SUMIF(facilities!$C$21:$C$30,"&lt;0",facilities!$C$21:$C$30)</f>
        <v>0</v>
      </c>
      <c r="L40" s="182"/>
      <c r="M40" s="182" t="s">
        <v>408</v>
      </c>
      <c r="S40" s="189">
        <f>H28*6000+H30*80/100*6000</f>
        <v>0</v>
      </c>
    </row>
    <row r="41" spans="1:21">
      <c r="L41" s="182"/>
      <c r="M41" s="182" t="s">
        <v>409</v>
      </c>
      <c r="S41" s="189">
        <v>9250</v>
      </c>
    </row>
    <row r="42" spans="1:21">
      <c r="L42" s="182"/>
      <c r="M42" s="182" t="s">
        <v>410</v>
      </c>
      <c r="S42" s="191">
        <f>H35*100000-H40*60/100*100000</f>
        <v>0</v>
      </c>
    </row>
    <row r="43" spans="1:21">
      <c r="L43" s="182"/>
      <c r="M43" s="182" t="s">
        <v>411</v>
      </c>
      <c r="S43" s="177" t="s">
        <v>376</v>
      </c>
      <c r="T43" s="198">
        <f>SUM($S$35:$S$42)</f>
        <v>53889250</v>
      </c>
      <c r="U43" s="100" t="s">
        <v>377</v>
      </c>
    </row>
    <row r="44" spans="1:21">
      <c r="L44" s="182"/>
      <c r="S44" s="110"/>
    </row>
    <row r="45" spans="1:21" ht="13" thickBot="1">
      <c r="L45" s="199" t="s">
        <v>412</v>
      </c>
      <c r="M45" s="182"/>
      <c r="T45" s="200">
        <f>$T$11-$T$19-$T$25-$T$32-$T$43</f>
        <v>323932349.82511055</v>
      </c>
    </row>
    <row r="46" spans="1:21" ht="13" thickTop="1">
      <c r="M46" s="182"/>
    </row>
    <row r="316" spans="1:1">
      <c r="A316" s="179"/>
    </row>
    <row r="317" spans="1:1">
      <c r="A317" s="179"/>
    </row>
    <row r="318" spans="1:1">
      <c r="A318" s="179"/>
    </row>
    <row r="319" spans="1:1">
      <c r="A319" s="179"/>
    </row>
    <row r="320" spans="1:1">
      <c r="A320" s="179"/>
    </row>
    <row r="321" spans="1:1">
      <c r="A321" s="179"/>
    </row>
    <row r="322" spans="1:1">
      <c r="A322" s="179"/>
    </row>
    <row r="323" spans="1:1">
      <c r="A323" s="179"/>
    </row>
    <row r="325" spans="1:1">
      <c r="A325" s="179"/>
    </row>
    <row r="326" spans="1:1">
      <c r="A326" s="179"/>
    </row>
    <row r="327" spans="1:1">
      <c r="A327" s="179"/>
    </row>
    <row r="328" spans="1:1">
      <c r="A328" s="179"/>
    </row>
    <row r="329" spans="1:1">
      <c r="A329" s="179"/>
    </row>
    <row r="330" spans="1:1">
      <c r="A330" s="179"/>
    </row>
    <row r="331" spans="1:1">
      <c r="A331" s="179"/>
    </row>
    <row r="332" spans="1:1">
      <c r="A332" s="179"/>
    </row>
    <row r="334" spans="1:1">
      <c r="A334" s="179"/>
    </row>
    <row r="335" spans="1:1">
      <c r="A335" s="179"/>
    </row>
    <row r="336" spans="1:1">
      <c r="A336" s="179"/>
    </row>
    <row r="337" spans="1:1">
      <c r="A337" s="179"/>
    </row>
    <row r="338" spans="1:1">
      <c r="A338" s="179"/>
    </row>
    <row r="339" spans="1:1">
      <c r="A339" s="179"/>
    </row>
    <row r="340" spans="1:1">
      <c r="A340" s="179"/>
    </row>
    <row r="341" spans="1:1">
      <c r="A341" s="179"/>
    </row>
    <row r="343" spans="1:1">
      <c r="A343" s="179"/>
    </row>
    <row r="344" spans="1:1">
      <c r="A344" s="179"/>
    </row>
    <row r="345" spans="1:1">
      <c r="A345" s="179"/>
    </row>
    <row r="346" spans="1:1">
      <c r="A346" s="179"/>
    </row>
    <row r="347" spans="1:1">
      <c r="A347" s="179"/>
    </row>
    <row r="348" spans="1:1">
      <c r="A348" s="179"/>
    </row>
    <row r="349" spans="1:1">
      <c r="A349" s="179"/>
    </row>
    <row r="350" spans="1:1">
      <c r="A350" s="179"/>
    </row>
  </sheetData>
  <mergeCells count="1">
    <mergeCell ref="C2:H2"/>
  </mergeCell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Y133"/>
  <sheetViews>
    <sheetView workbookViewId="0">
      <selection activeCell="C38" sqref="C38:AX43"/>
    </sheetView>
  </sheetViews>
  <sheetFormatPr baseColWidth="10" defaultColWidth="8.83203125" defaultRowHeight="12" x14ac:dyDescent="0"/>
  <cols>
    <col min="1" max="1" width="4.6640625" style="100" customWidth="1"/>
    <col min="2" max="2" width="15.6640625" style="100" customWidth="1"/>
    <col min="3" max="16384" width="8.83203125" style="100"/>
  </cols>
  <sheetData>
    <row r="2" spans="2:14">
      <c r="B2" s="102" t="s">
        <v>313</v>
      </c>
    </row>
    <row r="3" spans="2:14">
      <c r="B3" s="103" t="s">
        <v>314</v>
      </c>
    </row>
    <row r="4" spans="2:14">
      <c r="B4" s="170" t="s">
        <v>91</v>
      </c>
      <c r="C4" s="170" t="s">
        <v>92</v>
      </c>
      <c r="D4" s="170" t="s">
        <v>93</v>
      </c>
      <c r="E4" s="170" t="s">
        <v>94</v>
      </c>
      <c r="F4" s="170" t="s">
        <v>95</v>
      </c>
      <c r="G4" s="170" t="s">
        <v>96</v>
      </c>
      <c r="H4" s="170" t="s">
        <v>97</v>
      </c>
      <c r="I4" s="170" t="s">
        <v>98</v>
      </c>
      <c r="J4" s="170" t="s">
        <v>99</v>
      </c>
      <c r="K4" s="170" t="s">
        <v>100</v>
      </c>
      <c r="L4" s="170" t="s">
        <v>101</v>
      </c>
      <c r="M4" s="170" t="s">
        <v>102</v>
      </c>
      <c r="N4" s="170" t="s">
        <v>103</v>
      </c>
    </row>
    <row r="5" spans="2:14">
      <c r="B5" s="171" t="s">
        <v>104</v>
      </c>
      <c r="C5" s="100">
        <v>0.61313606472821314</v>
      </c>
      <c r="D5" s="100">
        <v>0.71138702753354899</v>
      </c>
      <c r="E5" s="100">
        <v>0.64426328359399199</v>
      </c>
      <c r="F5" s="100">
        <v>0.62054924193975347</v>
      </c>
      <c r="G5" s="100">
        <v>0.66790350289409661</v>
      </c>
      <c r="H5" s="100">
        <v>0.7182688112896527</v>
      </c>
      <c r="I5" s="100">
        <v>0.61136220306630074</v>
      </c>
      <c r="J5" s="100">
        <v>0.54132155384861047</v>
      </c>
      <c r="K5" s="100">
        <v>0.66126366167720874</v>
      </c>
      <c r="L5" s="100">
        <v>0.65489805451466532</v>
      </c>
      <c r="M5" s="100">
        <v>0.77159916838598874</v>
      </c>
      <c r="N5" s="100">
        <v>0.60679327946146022</v>
      </c>
    </row>
    <row r="6" spans="2:14">
      <c r="B6" s="171" t="s">
        <v>105</v>
      </c>
      <c r="C6" s="100">
        <v>0.7957973305759336</v>
      </c>
      <c r="D6" s="100">
        <v>0.73533663803316973</v>
      </c>
      <c r="E6" s="100">
        <v>0.75860147064324268</v>
      </c>
      <c r="F6" s="100">
        <v>0.69148514069395373</v>
      </c>
      <c r="G6" s="100">
        <v>0.74003369334381075</v>
      </c>
      <c r="H6" s="100">
        <v>0.69862843260937546</v>
      </c>
      <c r="I6" s="100">
        <v>0.7337665420690922</v>
      </c>
      <c r="J6" s="100">
        <v>0.64548552734916009</v>
      </c>
      <c r="K6" s="100">
        <v>0.63515346000157547</v>
      </c>
      <c r="L6" s="100">
        <v>0.69428583329013027</v>
      </c>
      <c r="M6" s="100">
        <v>0.6615325842418166</v>
      </c>
      <c r="N6" s="100">
        <v>0.70760648388253511</v>
      </c>
    </row>
    <row r="7" spans="2:14">
      <c r="B7" s="171" t="s">
        <v>106</v>
      </c>
      <c r="C7" s="100">
        <v>0.79660910364354676</v>
      </c>
      <c r="D7" s="100">
        <v>0.7152165964272803</v>
      </c>
      <c r="E7" s="100">
        <v>0.72342169464436856</v>
      </c>
      <c r="F7" s="100">
        <v>0.81251081870890385</v>
      </c>
      <c r="G7" s="100">
        <v>0.73641770020272901</v>
      </c>
      <c r="H7" s="100">
        <v>0.73329918392982674</v>
      </c>
      <c r="I7" s="100">
        <v>0.77215040938965507</v>
      </c>
      <c r="J7" s="100">
        <v>0.75483966009278847</v>
      </c>
      <c r="K7" s="100">
        <v>0.7182009332952537</v>
      </c>
      <c r="L7" s="100">
        <v>0.76448196207395358</v>
      </c>
      <c r="M7" s="100">
        <v>0.77729874040508973</v>
      </c>
      <c r="N7" s="100">
        <v>0.70042505523602905</v>
      </c>
    </row>
    <row r="8" spans="2:14">
      <c r="B8" s="171" t="s">
        <v>107</v>
      </c>
      <c r="C8" s="100">
        <v>0.73623722916906786</v>
      </c>
      <c r="D8" s="100">
        <v>0.69830067504159254</v>
      </c>
      <c r="E8" s="100">
        <v>0.70846221280186394</v>
      </c>
      <c r="F8" s="100">
        <v>0.73482031849130613</v>
      </c>
      <c r="G8" s="100">
        <v>0.68844346555808111</v>
      </c>
      <c r="H8" s="100">
        <v>0.70882306332471023</v>
      </c>
      <c r="I8" s="100">
        <v>0.69947680915418098</v>
      </c>
      <c r="J8" s="100">
        <v>0.80228792225503198</v>
      </c>
      <c r="K8" s="100">
        <v>0.69650277241439196</v>
      </c>
      <c r="L8" s="100">
        <v>0.70111469934499682</v>
      </c>
      <c r="M8" s="100">
        <v>0.76094213421392332</v>
      </c>
      <c r="N8" s="100">
        <v>0.69083487271930666</v>
      </c>
    </row>
    <row r="9" spans="2:14">
      <c r="B9" s="171" t="s">
        <v>108</v>
      </c>
      <c r="C9" s="100">
        <v>2.0415864145755767</v>
      </c>
      <c r="D9" s="100">
        <v>2.1061629390716554</v>
      </c>
      <c r="E9" s="100">
        <v>2.0992436683177949</v>
      </c>
      <c r="F9" s="100">
        <v>2.0533205723762511</v>
      </c>
      <c r="G9" s="100">
        <v>2.1098825848102569</v>
      </c>
      <c r="H9" s="100">
        <v>2.0275683736801149</v>
      </c>
      <c r="I9" s="100">
        <v>2.0811455285549165</v>
      </c>
      <c r="J9" s="100">
        <v>2.0942604994773864</v>
      </c>
      <c r="K9" s="100">
        <v>2.0521262800693512</v>
      </c>
      <c r="L9" s="100">
        <v>2.0306468582153321</v>
      </c>
      <c r="M9" s="100">
        <v>2.1074813640117647</v>
      </c>
      <c r="N9" s="100">
        <v>2.0335391259193423</v>
      </c>
    </row>
    <row r="10" spans="2:14">
      <c r="B10" s="171" t="s">
        <v>109</v>
      </c>
      <c r="C10" s="100">
        <v>0.69443200230598456</v>
      </c>
      <c r="D10" s="100">
        <v>0.67830488681793211</v>
      </c>
      <c r="E10" s="100">
        <v>0.60578169226646428</v>
      </c>
      <c r="F10" s="100">
        <v>0.67981489896774294</v>
      </c>
      <c r="G10" s="100">
        <v>0.60707440972328186</v>
      </c>
      <c r="H10" s="100">
        <v>0.62096848487854006</v>
      </c>
      <c r="I10" s="100">
        <v>0.66101843714714048</v>
      </c>
      <c r="J10" s="100">
        <v>0.68942204713821409</v>
      </c>
      <c r="K10" s="100">
        <v>0.67730081677436826</v>
      </c>
      <c r="L10" s="100">
        <v>0.63814570903778078</v>
      </c>
      <c r="M10" s="100">
        <v>0.65091742873191838</v>
      </c>
      <c r="N10" s="100">
        <v>0.62043308019638066</v>
      </c>
    </row>
    <row r="11" spans="2:14">
      <c r="B11" s="172"/>
      <c r="C11" s="101"/>
      <c r="D11" s="101"/>
      <c r="E11" s="101"/>
      <c r="F11" s="101"/>
      <c r="G11" s="101"/>
    </row>
    <row r="12" spans="2:14">
      <c r="B12" s="104" t="s">
        <v>315</v>
      </c>
      <c r="C12" s="101"/>
      <c r="D12" s="101"/>
      <c r="E12" s="101"/>
      <c r="F12" s="101"/>
      <c r="G12" s="101"/>
    </row>
    <row r="13" spans="2:14">
      <c r="B13" s="171" t="s">
        <v>316</v>
      </c>
      <c r="C13" s="171" t="s">
        <v>92</v>
      </c>
      <c r="D13" s="171" t="s">
        <v>93</v>
      </c>
      <c r="E13" s="170" t="s">
        <v>94</v>
      </c>
      <c r="F13" s="170" t="s">
        <v>95</v>
      </c>
      <c r="G13" s="170" t="s">
        <v>96</v>
      </c>
      <c r="H13" s="170" t="s">
        <v>97</v>
      </c>
      <c r="I13" s="170" t="s">
        <v>98</v>
      </c>
      <c r="J13" s="170" t="s">
        <v>99</v>
      </c>
      <c r="K13" s="170" t="s">
        <v>100</v>
      </c>
      <c r="L13" s="170" t="s">
        <v>101</v>
      </c>
      <c r="M13" s="170" t="s">
        <v>102</v>
      </c>
      <c r="N13" s="170" t="s">
        <v>103</v>
      </c>
    </row>
    <row r="14" spans="2:14">
      <c r="B14" s="170" t="s">
        <v>317</v>
      </c>
      <c r="C14" s="101">
        <v>0.37184175102884176</v>
      </c>
      <c r="D14" s="101">
        <v>0.37322198060894418</v>
      </c>
      <c r="E14" s="101">
        <v>0.37459832647520586</v>
      </c>
      <c r="F14" s="101">
        <v>0.37596691584184733</v>
      </c>
      <c r="G14" s="101">
        <v>0.37732389774846142</v>
      </c>
      <c r="H14" s="100">
        <v>0.378665453895913</v>
      </c>
      <c r="I14" s="100">
        <v>0.37998780939033416</v>
      </c>
      <c r="J14" s="100">
        <v>0.38128724336498665</v>
      </c>
      <c r="K14" s="100">
        <v>0.38256009945010039</v>
      </c>
      <c r="L14" s="100">
        <v>0.38380279606122997</v>
      </c>
      <c r="M14" s="100">
        <v>0.38501183647717924</v>
      </c>
      <c r="N14" s="100">
        <v>0.38618381867913543</v>
      </c>
    </row>
    <row r="15" spans="2:14">
      <c r="B15" s="170" t="s">
        <v>318</v>
      </c>
      <c r="C15" s="100">
        <v>1.0950624895263299</v>
      </c>
      <c r="D15" s="100">
        <v>1.0979658706323339</v>
      </c>
      <c r="E15" s="100">
        <v>1.100861082154416</v>
      </c>
      <c r="F15" s="100">
        <v>1.1037399774963705</v>
      </c>
      <c r="G15" s="100">
        <v>1.1065944559727414</v>
      </c>
      <c r="H15" s="100">
        <v>1.1094164856026711</v>
      </c>
      <c r="I15" s="100">
        <v>1.1121981257104265</v>
      </c>
      <c r="J15" s="100">
        <v>1.1149315492690099</v>
      </c>
      <c r="K15" s="100">
        <v>1.1176090649239832</v>
      </c>
      <c r="L15" s="100">
        <v>1.1202231386355328</v>
      </c>
      <c r="M15" s="100">
        <v>1.1227664148778822</v>
      </c>
      <c r="N15" s="100">
        <v>1.1252317373363967</v>
      </c>
    </row>
    <row r="16" spans="2:14">
      <c r="B16" s="101"/>
    </row>
    <row r="17" spans="2:14">
      <c r="B17" s="103" t="s">
        <v>319</v>
      </c>
    </row>
    <row r="18" spans="2:14">
      <c r="B18" s="99" t="s">
        <v>91</v>
      </c>
      <c r="C18" s="99" t="s">
        <v>92</v>
      </c>
      <c r="D18" s="99" t="s">
        <v>93</v>
      </c>
      <c r="E18" s="99" t="s">
        <v>94</v>
      </c>
      <c r="F18" s="99" t="s">
        <v>95</v>
      </c>
      <c r="G18" s="99" t="s">
        <v>96</v>
      </c>
      <c r="H18" s="99" t="s">
        <v>97</v>
      </c>
      <c r="I18" s="99" t="s">
        <v>98</v>
      </c>
      <c r="J18" s="99" t="s">
        <v>99</v>
      </c>
      <c r="K18" s="99" t="s">
        <v>100</v>
      </c>
      <c r="L18" s="99" t="s">
        <v>101</v>
      </c>
      <c r="M18" s="99" t="s">
        <v>102</v>
      </c>
      <c r="N18" s="99" t="s">
        <v>103</v>
      </c>
    </row>
    <row r="19" spans="2:14">
      <c r="B19" s="173" t="s">
        <v>104</v>
      </c>
      <c r="C19" s="100">
        <f>C5</f>
        <v>0.61313606472821314</v>
      </c>
      <c r="D19" s="100">
        <f t="shared" ref="D19:N20" si="0">D5</f>
        <v>0.71138702753354899</v>
      </c>
      <c r="E19" s="100">
        <f t="shared" si="0"/>
        <v>0.64426328359399199</v>
      </c>
      <c r="F19" s="100">
        <f t="shared" si="0"/>
        <v>0.62054924193975347</v>
      </c>
      <c r="G19" s="100">
        <f t="shared" si="0"/>
        <v>0.66790350289409661</v>
      </c>
      <c r="H19" s="100">
        <f t="shared" si="0"/>
        <v>0.7182688112896527</v>
      </c>
      <c r="I19" s="100">
        <f t="shared" si="0"/>
        <v>0.61136220306630074</v>
      </c>
      <c r="J19" s="100">
        <f t="shared" si="0"/>
        <v>0.54132155384861047</v>
      </c>
      <c r="K19" s="100">
        <f t="shared" si="0"/>
        <v>0.66126366167720874</v>
      </c>
      <c r="L19" s="100">
        <f t="shared" si="0"/>
        <v>0.65489805451466532</v>
      </c>
      <c r="M19" s="100">
        <f t="shared" si="0"/>
        <v>0.77159916838598874</v>
      </c>
      <c r="N19" s="100">
        <f t="shared" si="0"/>
        <v>0.60679327946146022</v>
      </c>
    </row>
    <row r="20" spans="2:14">
      <c r="B20" s="173" t="s">
        <v>105</v>
      </c>
      <c r="C20" s="100">
        <f>C6</f>
        <v>0.7957973305759336</v>
      </c>
      <c r="D20" s="100">
        <f t="shared" si="0"/>
        <v>0.73533663803316973</v>
      </c>
      <c r="E20" s="100">
        <f t="shared" si="0"/>
        <v>0.75860147064324268</v>
      </c>
      <c r="F20" s="100">
        <f t="shared" si="0"/>
        <v>0.69148514069395373</v>
      </c>
      <c r="G20" s="100">
        <f t="shared" si="0"/>
        <v>0.74003369334381075</v>
      </c>
      <c r="H20" s="100">
        <f t="shared" si="0"/>
        <v>0.69862843260937546</v>
      </c>
      <c r="I20" s="100">
        <f t="shared" si="0"/>
        <v>0.7337665420690922</v>
      </c>
      <c r="J20" s="100">
        <f t="shared" si="0"/>
        <v>0.64548552734916009</v>
      </c>
      <c r="K20" s="100">
        <f t="shared" si="0"/>
        <v>0.63515346000157547</v>
      </c>
      <c r="L20" s="100">
        <f t="shared" si="0"/>
        <v>0.69428583329013027</v>
      </c>
      <c r="M20" s="100">
        <f t="shared" si="0"/>
        <v>0.6615325842418166</v>
      </c>
      <c r="N20" s="100">
        <f t="shared" si="0"/>
        <v>0.70760648388253511</v>
      </c>
    </row>
    <row r="21" spans="2:14">
      <c r="B21" s="173" t="s">
        <v>106</v>
      </c>
      <c r="C21" s="100">
        <f t="shared" ref="C21:N22" si="1">C7</f>
        <v>0.79660910364354676</v>
      </c>
      <c r="D21" s="100">
        <f t="shared" si="1"/>
        <v>0.7152165964272803</v>
      </c>
      <c r="E21" s="100">
        <f t="shared" si="1"/>
        <v>0.72342169464436856</v>
      </c>
      <c r="F21" s="100">
        <f t="shared" si="1"/>
        <v>0.81251081870890385</v>
      </c>
      <c r="G21" s="100">
        <f t="shared" si="1"/>
        <v>0.73641770020272901</v>
      </c>
      <c r="H21" s="100">
        <f t="shared" si="1"/>
        <v>0.73329918392982674</v>
      </c>
      <c r="I21" s="100">
        <f t="shared" si="1"/>
        <v>0.77215040938965507</v>
      </c>
      <c r="J21" s="100">
        <f t="shared" si="1"/>
        <v>0.75483966009278847</v>
      </c>
      <c r="K21" s="100">
        <f t="shared" si="1"/>
        <v>0.7182009332952537</v>
      </c>
      <c r="L21" s="100">
        <f t="shared" si="1"/>
        <v>0.76448196207395358</v>
      </c>
      <c r="M21" s="100">
        <f t="shared" si="1"/>
        <v>0.77729874040508973</v>
      </c>
      <c r="N21" s="100">
        <f t="shared" si="1"/>
        <v>0.70042505523602905</v>
      </c>
    </row>
    <row r="22" spans="2:14">
      <c r="B22" s="173" t="s">
        <v>107</v>
      </c>
      <c r="C22" s="100">
        <f t="shared" si="1"/>
        <v>0.73623722916906786</v>
      </c>
      <c r="D22" s="100">
        <f t="shared" si="1"/>
        <v>0.69830067504159254</v>
      </c>
      <c r="E22" s="100">
        <f t="shared" si="1"/>
        <v>0.70846221280186394</v>
      </c>
      <c r="F22" s="100">
        <f t="shared" si="1"/>
        <v>0.73482031849130613</v>
      </c>
      <c r="G22" s="100">
        <f t="shared" si="1"/>
        <v>0.68844346555808111</v>
      </c>
      <c r="H22" s="100">
        <f t="shared" si="1"/>
        <v>0.70882306332471023</v>
      </c>
      <c r="I22" s="100">
        <f t="shared" si="1"/>
        <v>0.69947680915418098</v>
      </c>
      <c r="J22" s="100">
        <f t="shared" si="1"/>
        <v>0.80228792225503198</v>
      </c>
      <c r="K22" s="100">
        <f t="shared" si="1"/>
        <v>0.69650277241439196</v>
      </c>
      <c r="L22" s="100">
        <f t="shared" si="1"/>
        <v>0.70111469934499682</v>
      </c>
      <c r="M22" s="100">
        <f t="shared" si="1"/>
        <v>0.76094213421392332</v>
      </c>
      <c r="N22" s="100">
        <f t="shared" si="1"/>
        <v>0.69083487271930666</v>
      </c>
    </row>
    <row r="23" spans="2:14">
      <c r="B23" s="173" t="s">
        <v>108</v>
      </c>
      <c r="C23" s="100">
        <f>C9*C14</f>
        <v>0.75914706727247727</v>
      </c>
      <c r="D23" s="100">
        <f t="shared" ref="D23:N24" si="2">D9*D14</f>
        <v>0.78606630360547824</v>
      </c>
      <c r="E23" s="100">
        <f t="shared" si="2"/>
        <v>0.78637316501551813</v>
      </c>
      <c r="F23" s="100">
        <f t="shared" si="2"/>
        <v>0.77198060283091574</v>
      </c>
      <c r="G23" s="100">
        <f t="shared" si="2"/>
        <v>0.79610912069220485</v>
      </c>
      <c r="H23" s="100">
        <f t="shared" si="2"/>
        <v>0.76777009852457878</v>
      </c>
      <c r="I23" s="100">
        <f t="shared" si="2"/>
        <v>0.7908099304180719</v>
      </c>
      <c r="J23" s="100">
        <f t="shared" si="2"/>
        <v>0.79851481273391267</v>
      </c>
      <c r="K23" s="100">
        <f t="shared" si="2"/>
        <v>0.78506163378749549</v>
      </c>
      <c r="L23" s="100">
        <f t="shared" si="2"/>
        <v>0.77936794199599646</v>
      </c>
      <c r="M23" s="100">
        <f t="shared" si="2"/>
        <v>0.81140527029960019</v>
      </c>
      <c r="N23" s="100">
        <f t="shared" si="2"/>
        <v>0.78531990508096283</v>
      </c>
    </row>
    <row r="24" spans="2:14">
      <c r="B24" s="173" t="s">
        <v>109</v>
      </c>
      <c r="C24" s="100">
        <f>C10*C15</f>
        <v>0.7604464372519455</v>
      </c>
      <c r="D24" s="100">
        <f t="shared" si="2"/>
        <v>0.74475561560921755</v>
      </c>
      <c r="E24" s="100">
        <f t="shared" si="2"/>
        <v>0.66688148929779334</v>
      </c>
      <c r="F24" s="100">
        <f t="shared" si="2"/>
        <v>0.75033888128835402</v>
      </c>
      <c r="G24" s="100">
        <f t="shared" si="2"/>
        <v>0.67178517616270816</v>
      </c>
      <c r="H24" s="100">
        <f t="shared" si="2"/>
        <v>0.6889126741639654</v>
      </c>
      <c r="I24" s="100">
        <f t="shared" si="2"/>
        <v>0.73518346685508507</v>
      </c>
      <c r="J24" s="100">
        <f t="shared" si="2"/>
        <v>0.76865839111602141</v>
      </c>
      <c r="K24" s="100">
        <f t="shared" si="2"/>
        <v>0.75695753250745179</v>
      </c>
      <c r="L24" s="100">
        <f t="shared" si="2"/>
        <v>0.71486558908510023</v>
      </c>
      <c r="M24" s="100">
        <f t="shared" si="2"/>
        <v>0.73082822783886536</v>
      </c>
      <c r="N24" s="100">
        <f t="shared" si="2"/>
        <v>0.6981309927303454</v>
      </c>
    </row>
    <row r="25" spans="2:14">
      <c r="B25" s="172"/>
    </row>
    <row r="26" spans="2:14">
      <c r="B26" s="104" t="s">
        <v>320</v>
      </c>
    </row>
    <row r="27" spans="2:14">
      <c r="B27" s="99" t="s">
        <v>321</v>
      </c>
      <c r="C27" s="99" t="s">
        <v>92</v>
      </c>
      <c r="D27" s="99" t="s">
        <v>93</v>
      </c>
      <c r="E27" s="99" t="s">
        <v>94</v>
      </c>
      <c r="F27" s="99" t="s">
        <v>95</v>
      </c>
      <c r="G27" s="99" t="s">
        <v>96</v>
      </c>
      <c r="H27" s="99" t="s">
        <v>97</v>
      </c>
      <c r="I27" s="99" t="s">
        <v>98</v>
      </c>
      <c r="J27" s="99" t="s">
        <v>99</v>
      </c>
      <c r="K27" s="99" t="s">
        <v>100</v>
      </c>
      <c r="L27" s="99" t="s">
        <v>101</v>
      </c>
      <c r="M27" s="99" t="s">
        <v>102</v>
      </c>
      <c r="N27" s="99" t="s">
        <v>103</v>
      </c>
    </row>
    <row r="28" spans="2:14">
      <c r="B28" s="99" t="s">
        <v>104</v>
      </c>
      <c r="C28" s="100">
        <f>IF(C19&lt;=raw_materials!$D17,raw_materials!$C17,IF(C19&lt;=raw_materials!$F17,raw_materials!$E17,IF(C19&lt;=raw_materials!$H17,raw_materials!$G17,0)))</f>
        <v>1</v>
      </c>
      <c r="D28" s="100">
        <f>IF(D19&lt;=raw_materials!$D17,raw_materials!$C17,IF(D19&lt;=raw_materials!$F17,raw_materials!$E17,IF(D19&lt;=raw_materials!$H17,raw_materials!$G17,0)))</f>
        <v>1</v>
      </c>
      <c r="E28" s="100">
        <f>IF(E19&lt;=raw_materials!$D17,raw_materials!$C17,IF(E19&lt;=raw_materials!$F17,raw_materials!$E17,IF(E19&lt;=raw_materials!$H17,raw_materials!$G17,0)))</f>
        <v>1</v>
      </c>
      <c r="F28" s="100">
        <f>IF(F19&lt;=raw_materials!$D17,raw_materials!$C17,IF(F19&lt;=raw_materials!$F17,raw_materials!$E17,IF(F19&lt;=raw_materials!$H17,raw_materials!$G17,0)))</f>
        <v>1</v>
      </c>
      <c r="G28" s="100">
        <f>IF(G19&lt;=raw_materials!$D17,raw_materials!$C17,IF(G19&lt;=raw_materials!$F17,raw_materials!$E17,IF(G19&lt;=raw_materials!$H17,raw_materials!$G17,0)))</f>
        <v>1</v>
      </c>
      <c r="H28" s="100">
        <f>IF(H19&lt;=raw_materials!$D17,raw_materials!$C17,IF(H19&lt;=raw_materials!$F17,raw_materials!$E17,IF(H19&lt;=raw_materials!$H17,raw_materials!$G17,0)))</f>
        <v>1</v>
      </c>
      <c r="I28" s="100">
        <f>IF(I19&lt;=raw_materials!$D17,raw_materials!$C17,IF(I19&lt;=raw_materials!$F17,raw_materials!$E17,IF(I19&lt;=raw_materials!$H17,raw_materials!$G17,0)))</f>
        <v>1</v>
      </c>
      <c r="J28" s="100">
        <f>IF(J19&lt;=raw_materials!$D17,raw_materials!$C17,IF(J19&lt;=raw_materials!$F17,raw_materials!$E17,IF(J19&lt;=raw_materials!$H17,raw_materials!$G17,0)))</f>
        <v>1.2</v>
      </c>
      <c r="K28" s="100">
        <f>IF(K19&lt;=raw_materials!$D17,raw_materials!$C17,IF(K19&lt;=raw_materials!$F17,raw_materials!$E17,IF(K19&lt;=raw_materials!$H17,raw_materials!$G17,0)))</f>
        <v>1</v>
      </c>
      <c r="L28" s="100">
        <f>IF(L19&lt;=raw_materials!$D17,raw_materials!$C17,IF(L19&lt;=raw_materials!$F17,raw_materials!$E17,IF(L19&lt;=raw_materials!$H17,raw_materials!$G17,0)))</f>
        <v>1</v>
      </c>
      <c r="M28" s="100">
        <f>IF(M19&lt;=raw_materials!$D17,raw_materials!$C17,IF(M19&lt;=raw_materials!$F17,raw_materials!$E17,IF(M19&lt;=raw_materials!$H17,raw_materials!$G17,0)))</f>
        <v>1</v>
      </c>
      <c r="N28" s="100">
        <f>IF(N19&lt;=raw_materials!$D17,raw_materials!$C17,IF(N19&lt;=raw_materials!$F17,raw_materials!$E17,IF(N19&lt;=raw_materials!$H17,raw_materials!$G17,0)))</f>
        <v>1</v>
      </c>
    </row>
    <row r="29" spans="2:14">
      <c r="B29" s="99" t="s">
        <v>105</v>
      </c>
      <c r="C29" s="100">
        <f>IF(C20&lt;=raw_materials!$D18,raw_materials!$C18,IF(C20&lt;=raw_materials!$F18,raw_materials!$E18,IF(C20&lt;=raw_materials!$H18,raw_materials!$G18,0)))</f>
        <v>0.8</v>
      </c>
      <c r="D29" s="100">
        <f>IF(D20&lt;=raw_materials!$D18,raw_materials!$C18,IF(D20&lt;=raw_materials!$F18,raw_materials!$E18,IF(D20&lt;=raw_materials!$H18,raw_materials!$G18,0)))</f>
        <v>1</v>
      </c>
      <c r="E29" s="100">
        <f>IF(E20&lt;=raw_materials!$D18,raw_materials!$C18,IF(E20&lt;=raw_materials!$F18,raw_materials!$E18,IF(E20&lt;=raw_materials!$H18,raw_materials!$G18,0)))</f>
        <v>1</v>
      </c>
      <c r="F29" s="100">
        <f>IF(F20&lt;=raw_materials!$D18,raw_materials!$C18,IF(F20&lt;=raw_materials!$F18,raw_materials!$E18,IF(F20&lt;=raw_materials!$H18,raw_materials!$G18,0)))</f>
        <v>1</v>
      </c>
      <c r="G29" s="100">
        <f>IF(G20&lt;=raw_materials!$D18,raw_materials!$C18,IF(G20&lt;=raw_materials!$F18,raw_materials!$E18,IF(G20&lt;=raw_materials!$H18,raw_materials!$G18,0)))</f>
        <v>1</v>
      </c>
      <c r="H29" s="100">
        <f>IF(H20&lt;=raw_materials!$D18,raw_materials!$C18,IF(H20&lt;=raw_materials!$F18,raw_materials!$E18,IF(H20&lt;=raw_materials!$H18,raw_materials!$G18,0)))</f>
        <v>1</v>
      </c>
      <c r="I29" s="100">
        <f>IF(I20&lt;=raw_materials!$D18,raw_materials!$C18,IF(I20&lt;=raw_materials!$F18,raw_materials!$E18,IF(I20&lt;=raw_materials!$H18,raw_materials!$G18,0)))</f>
        <v>1</v>
      </c>
      <c r="J29" s="100">
        <f>IF(J20&lt;=raw_materials!$D18,raw_materials!$C18,IF(J20&lt;=raw_materials!$F18,raw_materials!$E18,IF(J20&lt;=raw_materials!$H18,raw_materials!$G18,0)))</f>
        <v>1</v>
      </c>
      <c r="K29" s="100">
        <f>IF(K20&lt;=raw_materials!$D18,raw_materials!$C18,IF(K20&lt;=raw_materials!$F18,raw_materials!$E18,IF(K20&lt;=raw_materials!$H18,raw_materials!$G18,0)))</f>
        <v>1.2</v>
      </c>
      <c r="L29" s="100">
        <f>IF(L20&lt;=raw_materials!$D18,raw_materials!$C18,IF(L20&lt;=raw_materials!$F18,raw_materials!$E18,IF(L20&lt;=raw_materials!$H18,raw_materials!$G18,0)))</f>
        <v>1</v>
      </c>
      <c r="M29" s="100">
        <f>IF(M20&lt;=raw_materials!$D18,raw_materials!$C18,IF(M20&lt;=raw_materials!$F18,raw_materials!$E18,IF(M20&lt;=raw_materials!$H18,raw_materials!$G18,0)))</f>
        <v>1</v>
      </c>
      <c r="N29" s="100">
        <f>IF(N20&lt;=raw_materials!$D18,raw_materials!$C18,IF(N20&lt;=raw_materials!$F18,raw_materials!$E18,IF(N20&lt;=raw_materials!$H18,raw_materials!$G18,0)))</f>
        <v>1</v>
      </c>
    </row>
    <row r="30" spans="2:14">
      <c r="B30" s="99" t="s">
        <v>106</v>
      </c>
      <c r="C30" s="100">
        <f>IF(C21&lt;=raw_materials!$D19,raw_materials!$C19,IF(C21&lt;=raw_materials!$F19,raw_materials!$E19,IF(C21&lt;=raw_materials!$H19,raw_materials!$G19,0)))</f>
        <v>1</v>
      </c>
      <c r="D30" s="100">
        <f>IF(D21&lt;=raw_materials!$D19,raw_materials!$C19,IF(D21&lt;=raw_materials!$F19,raw_materials!$E19,IF(D21&lt;=raw_materials!$H19,raw_materials!$G19,0)))</f>
        <v>1</v>
      </c>
      <c r="E30" s="100">
        <f>IF(E21&lt;=raw_materials!$D19,raw_materials!$C19,IF(E21&lt;=raw_materials!$F19,raw_materials!$E19,IF(E21&lt;=raw_materials!$H19,raw_materials!$G19,0)))</f>
        <v>1</v>
      </c>
      <c r="F30" s="100">
        <f>IF(F21&lt;=raw_materials!$D19,raw_materials!$C19,IF(F21&lt;=raw_materials!$F19,raw_materials!$E19,IF(F21&lt;=raw_materials!$H19,raw_materials!$G19,0)))</f>
        <v>1</v>
      </c>
      <c r="G30" s="100">
        <f>IF(G21&lt;=raw_materials!$D19,raw_materials!$C19,IF(G21&lt;=raw_materials!$F19,raw_materials!$E19,IF(G21&lt;=raw_materials!$H19,raw_materials!$G19,0)))</f>
        <v>1</v>
      </c>
      <c r="H30" s="100">
        <f>IF(H21&lt;=raw_materials!$D19,raw_materials!$C19,IF(H21&lt;=raw_materials!$F19,raw_materials!$E19,IF(H21&lt;=raw_materials!$H19,raw_materials!$G19,0)))</f>
        <v>1</v>
      </c>
      <c r="I30" s="100">
        <f>IF(I21&lt;=raw_materials!$D19,raw_materials!$C19,IF(I21&lt;=raw_materials!$F19,raw_materials!$E19,IF(I21&lt;=raw_materials!$H19,raw_materials!$G19,0)))</f>
        <v>1</v>
      </c>
      <c r="J30" s="100">
        <f>IF(J21&lt;=raw_materials!$D19,raw_materials!$C19,IF(J21&lt;=raw_materials!$F19,raw_materials!$E19,IF(J21&lt;=raw_materials!$H19,raw_materials!$G19,0)))</f>
        <v>1</v>
      </c>
      <c r="K30" s="100">
        <f>IF(K21&lt;=raw_materials!$D19,raw_materials!$C19,IF(K21&lt;=raw_materials!$F19,raw_materials!$E19,IF(K21&lt;=raw_materials!$H19,raw_materials!$G19,0)))</f>
        <v>1</v>
      </c>
      <c r="L30" s="100">
        <f>IF(L21&lt;=raw_materials!$D19,raw_materials!$C19,IF(L21&lt;=raw_materials!$F19,raw_materials!$E19,IF(L21&lt;=raw_materials!$H19,raw_materials!$G19,0)))</f>
        <v>1</v>
      </c>
      <c r="M30" s="100">
        <f>IF(M21&lt;=raw_materials!$D19,raw_materials!$C19,IF(M21&lt;=raw_materials!$F19,raw_materials!$E19,IF(M21&lt;=raw_materials!$H19,raw_materials!$G19,0)))</f>
        <v>1</v>
      </c>
      <c r="N30" s="100">
        <f>IF(N21&lt;=raw_materials!$D19,raw_materials!$C19,IF(N21&lt;=raw_materials!$F19,raw_materials!$E19,IF(N21&lt;=raw_materials!$H19,raw_materials!$G19,0)))</f>
        <v>1</v>
      </c>
    </row>
    <row r="31" spans="2:14">
      <c r="B31" s="99" t="s">
        <v>107</v>
      </c>
      <c r="C31" s="100">
        <f>IF(C22&lt;=raw_materials!$D20,raw_materials!$C20,IF(C22&lt;=raw_materials!$F20,raw_materials!$E20,IF(C22&lt;=raw_materials!$H20,raw_materials!$G20,0)))</f>
        <v>1</v>
      </c>
      <c r="D31" s="100">
        <f>IF(D22&lt;=raw_materials!$D20,raw_materials!$C20,IF(D22&lt;=raw_materials!$F20,raw_materials!$E20,IF(D22&lt;=raw_materials!$H20,raw_materials!$G20,0)))</f>
        <v>1</v>
      </c>
      <c r="E31" s="100">
        <f>IF(E22&lt;=raw_materials!$D20,raw_materials!$C20,IF(E22&lt;=raw_materials!$F20,raw_materials!$E20,IF(E22&lt;=raw_materials!$H20,raw_materials!$G20,0)))</f>
        <v>1</v>
      </c>
      <c r="F31" s="100">
        <f>IF(F22&lt;=raw_materials!$D20,raw_materials!$C20,IF(F22&lt;=raw_materials!$F20,raw_materials!$E20,IF(F22&lt;=raw_materials!$H20,raw_materials!$G20,0)))</f>
        <v>1</v>
      </c>
      <c r="G31" s="100">
        <f>IF(G22&lt;=raw_materials!$D20,raw_materials!$C20,IF(G22&lt;=raw_materials!$F20,raw_materials!$E20,IF(G22&lt;=raw_materials!$H20,raw_materials!$G20,0)))</f>
        <v>1</v>
      </c>
      <c r="H31" s="100">
        <f>IF(H22&lt;=raw_materials!$D20,raw_materials!$C20,IF(H22&lt;=raw_materials!$F20,raw_materials!$E20,IF(H22&lt;=raw_materials!$H20,raw_materials!$G20,0)))</f>
        <v>1</v>
      </c>
      <c r="I31" s="100">
        <f>IF(I22&lt;=raw_materials!$D20,raw_materials!$C20,IF(I22&lt;=raw_materials!$F20,raw_materials!$E20,IF(I22&lt;=raw_materials!$H20,raw_materials!$G20,0)))</f>
        <v>1</v>
      </c>
      <c r="J31" s="100">
        <f>IF(J22&lt;=raw_materials!$D20,raw_materials!$C20,IF(J22&lt;=raw_materials!$F20,raw_materials!$E20,IF(J22&lt;=raw_materials!$H20,raw_materials!$G20,0)))</f>
        <v>1</v>
      </c>
      <c r="K31" s="100">
        <f>IF(K22&lt;=raw_materials!$D20,raw_materials!$C20,IF(K22&lt;=raw_materials!$F20,raw_materials!$E20,IF(K22&lt;=raw_materials!$H20,raw_materials!$G20,0)))</f>
        <v>1</v>
      </c>
      <c r="L31" s="100">
        <f>IF(L22&lt;=raw_materials!$D20,raw_materials!$C20,IF(L22&lt;=raw_materials!$F20,raw_materials!$E20,IF(L22&lt;=raw_materials!$H20,raw_materials!$G20,0)))</f>
        <v>1</v>
      </c>
      <c r="M31" s="100">
        <f>IF(M22&lt;=raw_materials!$D20,raw_materials!$C20,IF(M22&lt;=raw_materials!$F20,raw_materials!$E20,IF(M22&lt;=raw_materials!$H20,raw_materials!$G20,0)))</f>
        <v>1</v>
      </c>
      <c r="N31" s="100">
        <f>IF(N22&lt;=raw_materials!$D20,raw_materials!$C20,IF(N22&lt;=raw_materials!$F20,raw_materials!$E20,IF(N22&lt;=raw_materials!$H20,raw_materials!$G20,0)))</f>
        <v>1</v>
      </c>
    </row>
    <row r="32" spans="2:14">
      <c r="B32" s="99" t="s">
        <v>108</v>
      </c>
      <c r="C32" s="100">
        <f>IF(C23&lt;=raw_materials!$D21,raw_materials!$C21,IF(C23&lt;=raw_materials!$F21,raw_materials!$E21,IF(C23&lt;=raw_materials!$H21,raw_materials!$G21,0)))</f>
        <v>0.8</v>
      </c>
      <c r="D32" s="100">
        <f>IF(D23&lt;=raw_materials!$D21,raw_materials!$C21,IF(D23&lt;=raw_materials!$F21,raw_materials!$E21,IF(D23&lt;=raw_materials!$H21,raw_materials!$G21,0)))</f>
        <v>0</v>
      </c>
      <c r="E32" s="100">
        <f>IF(E23&lt;=raw_materials!$D21,raw_materials!$C21,IF(E23&lt;=raw_materials!$F21,raw_materials!$E21,IF(E23&lt;=raw_materials!$H21,raw_materials!$G21,0)))</f>
        <v>0</v>
      </c>
      <c r="F32" s="100">
        <f>IF(F23&lt;=raw_materials!$D21,raw_materials!$C21,IF(F23&lt;=raw_materials!$F21,raw_materials!$E21,IF(F23&lt;=raw_materials!$H21,raw_materials!$G21,0)))</f>
        <v>0</v>
      </c>
      <c r="G32" s="100">
        <f>IF(G23&lt;=raw_materials!$D21,raw_materials!$C21,IF(G23&lt;=raw_materials!$F21,raw_materials!$E21,IF(G23&lt;=raw_materials!$H21,raw_materials!$G21,0)))</f>
        <v>0</v>
      </c>
      <c r="H32" s="100">
        <f>IF(H23&lt;=raw_materials!$D21,raw_materials!$C21,IF(H23&lt;=raw_materials!$F21,raw_materials!$E21,IF(H23&lt;=raw_materials!$H21,raw_materials!$G21,0)))</f>
        <v>0</v>
      </c>
      <c r="I32" s="100">
        <f>IF(I23&lt;=raw_materials!$D21,raw_materials!$C21,IF(I23&lt;=raw_materials!$F21,raw_materials!$E21,IF(I23&lt;=raw_materials!$H21,raw_materials!$G21,0)))</f>
        <v>0</v>
      </c>
      <c r="J32" s="100">
        <f>IF(J23&lt;=raw_materials!$D21,raw_materials!$C21,IF(J23&lt;=raw_materials!$F21,raw_materials!$E21,IF(J23&lt;=raw_materials!$H21,raw_materials!$G21,0)))</f>
        <v>0</v>
      </c>
      <c r="K32" s="100">
        <f>IF(K23&lt;=raw_materials!$D21,raw_materials!$C21,IF(K23&lt;=raw_materials!$F21,raw_materials!$E21,IF(K23&lt;=raw_materials!$H21,raw_materials!$G21,0)))</f>
        <v>0</v>
      </c>
      <c r="L32" s="100">
        <f>IF(L23&lt;=raw_materials!$D21,raw_materials!$C21,IF(L23&lt;=raw_materials!$F21,raw_materials!$E21,IF(L23&lt;=raw_materials!$H21,raw_materials!$G21,0)))</f>
        <v>0</v>
      </c>
      <c r="M32" s="100">
        <f>IF(M23&lt;=raw_materials!$D21,raw_materials!$C21,IF(M23&lt;=raw_materials!$F21,raw_materials!$E21,IF(M23&lt;=raw_materials!$H21,raw_materials!$G21,0)))</f>
        <v>0</v>
      </c>
      <c r="N32" s="100">
        <f>IF(N23&lt;=raw_materials!$D21,raw_materials!$C21,IF(N23&lt;=raw_materials!$F21,raw_materials!$E21,IF(N23&lt;=raw_materials!$H21,raw_materials!$G21,0)))</f>
        <v>0</v>
      </c>
    </row>
    <row r="33" spans="2:50">
      <c r="B33" s="99" t="s">
        <v>109</v>
      </c>
      <c r="C33" s="100">
        <f>IF(C24&lt;=raw_materials!$D22,raw_materials!$C22,IF(C24&lt;=raw_materials!$F22,raw_materials!$E22,IF(C24&lt;=raw_materials!$H22,raw_materials!$G22,0)))</f>
        <v>0.8</v>
      </c>
      <c r="D33" s="100">
        <f>IF(D24&lt;=raw_materials!$D22,raw_materials!$C22,IF(D24&lt;=raw_materials!$F22,raw_materials!$E22,IF(D24&lt;=raw_materials!$H22,raw_materials!$G22,0)))</f>
        <v>1</v>
      </c>
      <c r="E33" s="100">
        <f>IF(E24&lt;=raw_materials!$D22,raw_materials!$C22,IF(E24&lt;=raw_materials!$F22,raw_materials!$E22,IF(E24&lt;=raw_materials!$H22,raw_materials!$G22,0)))</f>
        <v>1.2</v>
      </c>
      <c r="F33" s="100">
        <f>IF(F24&lt;=raw_materials!$D22,raw_materials!$C22,IF(F24&lt;=raw_materials!$F22,raw_materials!$E22,IF(F24&lt;=raw_materials!$H22,raw_materials!$G22,0)))</f>
        <v>0.8</v>
      </c>
      <c r="G33" s="100">
        <f>IF(G24&lt;=raw_materials!$D22,raw_materials!$C22,IF(G24&lt;=raw_materials!$F22,raw_materials!$E22,IF(G24&lt;=raw_materials!$H22,raw_materials!$G22,0)))</f>
        <v>1.2</v>
      </c>
      <c r="H33" s="100">
        <f>IF(H24&lt;=raw_materials!$D22,raw_materials!$C22,IF(H24&lt;=raw_materials!$F22,raw_materials!$E22,IF(H24&lt;=raw_materials!$H22,raw_materials!$G22,0)))</f>
        <v>1</v>
      </c>
      <c r="I33" s="100">
        <f>IF(I24&lt;=raw_materials!$D22,raw_materials!$C22,IF(I24&lt;=raw_materials!$F22,raw_materials!$E22,IF(I24&lt;=raw_materials!$H22,raw_materials!$G22,0)))</f>
        <v>1</v>
      </c>
      <c r="J33" s="100">
        <f>IF(J24&lt;=raw_materials!$D22,raw_materials!$C22,IF(J24&lt;=raw_materials!$F22,raw_materials!$E22,IF(J24&lt;=raw_materials!$H22,raw_materials!$G22,0)))</f>
        <v>0.8</v>
      </c>
      <c r="K33" s="100">
        <f>IF(K24&lt;=raw_materials!$D22,raw_materials!$C22,IF(K24&lt;=raw_materials!$F22,raw_materials!$E22,IF(K24&lt;=raw_materials!$H22,raw_materials!$G22,0)))</f>
        <v>0.8</v>
      </c>
      <c r="L33" s="100">
        <f>IF(L24&lt;=raw_materials!$D22,raw_materials!$C22,IF(L24&lt;=raw_materials!$F22,raw_materials!$E22,IF(L24&lt;=raw_materials!$H22,raw_materials!$G22,0)))</f>
        <v>1</v>
      </c>
      <c r="M33" s="100">
        <f>IF(M24&lt;=raw_materials!$D22,raw_materials!$C22,IF(M24&lt;=raw_materials!$F22,raw_materials!$E22,IF(M24&lt;=raw_materials!$H22,raw_materials!$G22,0)))</f>
        <v>1</v>
      </c>
      <c r="N33" s="100">
        <f>IF(N24&lt;=raw_materials!$D22,raw_materials!$C22,IF(N24&lt;=raw_materials!$F22,raw_materials!$E22,IF(N24&lt;=raw_materials!$H22,raw_materials!$G22,0)))</f>
        <v>1</v>
      </c>
    </row>
    <row r="35" spans="2:50">
      <c r="B35" s="103" t="s">
        <v>322</v>
      </c>
    </row>
    <row r="36" spans="2:50">
      <c r="B36" s="170" t="s">
        <v>274</v>
      </c>
      <c r="C36" s="170" t="s">
        <v>92</v>
      </c>
      <c r="D36" s="101"/>
      <c r="E36" s="101"/>
      <c r="F36" s="101"/>
      <c r="G36" s="170" t="s">
        <v>93</v>
      </c>
      <c r="H36" s="101"/>
      <c r="I36" s="101"/>
      <c r="J36" s="101"/>
      <c r="K36" s="170" t="s">
        <v>94</v>
      </c>
      <c r="L36" s="101"/>
      <c r="M36" s="101"/>
      <c r="N36" s="101"/>
      <c r="O36" s="170" t="s">
        <v>95</v>
      </c>
      <c r="P36" s="101"/>
      <c r="Q36" s="101"/>
      <c r="R36" s="101"/>
      <c r="S36" s="170" t="s">
        <v>96</v>
      </c>
      <c r="T36" s="101"/>
      <c r="U36" s="101"/>
      <c r="V36" s="101"/>
      <c r="W36" s="170" t="s">
        <v>97</v>
      </c>
      <c r="X36" s="101"/>
      <c r="Y36" s="101"/>
      <c r="Z36" s="101"/>
      <c r="AA36" s="170" t="s">
        <v>98</v>
      </c>
      <c r="AB36" s="101"/>
      <c r="AC36" s="101"/>
      <c r="AD36" s="101"/>
      <c r="AE36" s="170" t="s">
        <v>99</v>
      </c>
      <c r="AF36" s="101"/>
      <c r="AG36" s="101"/>
      <c r="AH36" s="101"/>
      <c r="AI36" s="170" t="s">
        <v>100</v>
      </c>
      <c r="AJ36" s="101"/>
      <c r="AK36" s="101"/>
      <c r="AL36" s="101"/>
      <c r="AM36" s="170" t="s">
        <v>101</v>
      </c>
      <c r="AN36" s="101"/>
      <c r="AO36" s="101"/>
      <c r="AP36" s="101"/>
      <c r="AQ36" s="170" t="s">
        <v>102</v>
      </c>
      <c r="AR36" s="101"/>
      <c r="AS36" s="101"/>
      <c r="AT36" s="101"/>
      <c r="AU36" s="170" t="s">
        <v>103</v>
      </c>
      <c r="AV36" s="101"/>
      <c r="AW36" s="101"/>
      <c r="AX36" s="101"/>
    </row>
    <row r="37" spans="2:50">
      <c r="B37" s="170" t="s">
        <v>323</v>
      </c>
      <c r="C37" s="170">
        <v>1</v>
      </c>
      <c r="D37" s="170">
        <v>2</v>
      </c>
      <c r="E37" s="170">
        <v>3</v>
      </c>
      <c r="F37" s="170">
        <v>4</v>
      </c>
      <c r="G37" s="170">
        <v>1</v>
      </c>
      <c r="H37" s="170">
        <v>2</v>
      </c>
      <c r="I37" s="170">
        <v>3</v>
      </c>
      <c r="J37" s="170">
        <v>4</v>
      </c>
      <c r="K37" s="170">
        <v>1</v>
      </c>
      <c r="L37" s="170">
        <v>2</v>
      </c>
      <c r="M37" s="170">
        <v>3</v>
      </c>
      <c r="N37" s="170">
        <v>4</v>
      </c>
      <c r="O37" s="170">
        <v>1</v>
      </c>
      <c r="P37" s="170">
        <v>2</v>
      </c>
      <c r="Q37" s="170">
        <v>3</v>
      </c>
      <c r="R37" s="170">
        <v>4</v>
      </c>
      <c r="S37" s="170">
        <v>1</v>
      </c>
      <c r="T37" s="170">
        <v>2</v>
      </c>
      <c r="U37" s="170">
        <v>3</v>
      </c>
      <c r="V37" s="170">
        <v>4</v>
      </c>
      <c r="W37" s="170">
        <v>1</v>
      </c>
      <c r="X37" s="170">
        <v>2</v>
      </c>
      <c r="Y37" s="170">
        <v>3</v>
      </c>
      <c r="Z37" s="170">
        <v>4</v>
      </c>
      <c r="AA37" s="170">
        <v>1</v>
      </c>
      <c r="AB37" s="170">
        <v>2</v>
      </c>
      <c r="AC37" s="170">
        <v>3</v>
      </c>
      <c r="AD37" s="170">
        <v>4</v>
      </c>
      <c r="AE37" s="170">
        <v>1</v>
      </c>
      <c r="AF37" s="170">
        <v>2</v>
      </c>
      <c r="AG37" s="170">
        <v>3</v>
      </c>
      <c r="AH37" s="170">
        <v>4</v>
      </c>
      <c r="AI37" s="170">
        <v>1</v>
      </c>
      <c r="AJ37" s="170">
        <v>2</v>
      </c>
      <c r="AK37" s="170">
        <v>3</v>
      </c>
      <c r="AL37" s="170">
        <v>4</v>
      </c>
      <c r="AM37" s="170">
        <v>1</v>
      </c>
      <c r="AN37" s="170">
        <v>2</v>
      </c>
      <c r="AO37" s="170">
        <v>3</v>
      </c>
      <c r="AP37" s="170">
        <v>4</v>
      </c>
      <c r="AQ37" s="170">
        <v>1</v>
      </c>
      <c r="AR37" s="170">
        <v>2</v>
      </c>
      <c r="AS37" s="170">
        <v>3</v>
      </c>
      <c r="AT37" s="170">
        <v>4</v>
      </c>
      <c r="AU37" s="170">
        <v>1</v>
      </c>
      <c r="AV37" s="170">
        <v>2</v>
      </c>
      <c r="AW37" s="170">
        <v>3</v>
      </c>
      <c r="AX37" s="170">
        <v>4</v>
      </c>
    </row>
    <row r="38" spans="2:50">
      <c r="B38" s="170" t="s">
        <v>104</v>
      </c>
      <c r="C38" s="100">
        <v>25054.902514011505</v>
      </c>
      <c r="D38" s="100">
        <v>25109.81675262624</v>
      </c>
      <c r="E38" s="100">
        <v>25164.733912812586</v>
      </c>
      <c r="F38" s="100">
        <v>25219.64518704552</v>
      </c>
      <c r="G38" s="100">
        <v>25274.541764850626</v>
      </c>
      <c r="H38" s="100">
        <v>25329.41483434946</v>
      </c>
      <c r="I38" s="100">
        <v>10153.702233522454</v>
      </c>
      <c r="J38" s="100">
        <v>25439.055203174696</v>
      </c>
      <c r="K38" s="100">
        <v>25493.804885647136</v>
      </c>
      <c r="L38" s="100">
        <v>17883.947080441183</v>
      </c>
      <c r="M38" s="100">
        <v>25603.119238151201</v>
      </c>
      <c r="N38" s="100">
        <v>25657.666324691218</v>
      </c>
      <c r="O38" s="100">
        <v>25712.128310447646</v>
      </c>
      <c r="P38" s="100">
        <v>18036.547499616488</v>
      </c>
      <c r="Q38" s="100">
        <v>25820.761922544945</v>
      </c>
      <c r="R38" s="100">
        <v>25874.916053205223</v>
      </c>
      <c r="S38" s="100">
        <v>25928.950094808049</v>
      </c>
      <c r="T38" s="100">
        <v>25982.855339308269</v>
      </c>
      <c r="U38" s="100">
        <v>26036.623097350748</v>
      </c>
      <c r="V38" s="100">
        <v>26090.24469980675</v>
      </c>
      <c r="W38" s="100">
        <v>26143.711499307632</v>
      </c>
      <c r="X38" s="100">
        <v>26197.014871775551</v>
      </c>
      <c r="Y38" s="100">
        <v>26250.146217950878</v>
      </c>
      <c r="Z38" s="100">
        <v>18412.167875441355</v>
      </c>
      <c r="AA38" s="100">
        <v>18449.100997331538</v>
      </c>
      <c r="AB38" s="100">
        <v>26408.422510375025</v>
      </c>
      <c r="AC38" s="100">
        <v>26460.780308405316</v>
      </c>
      <c r="AD38" s="100">
        <v>26512.923509318131</v>
      </c>
      <c r="AE38" s="100">
        <v>26564.8436946238</v>
      </c>
      <c r="AF38" s="100">
        <v>26616.532481229282</v>
      </c>
      <c r="AG38" s="100">
        <v>26667.981522929855</v>
      </c>
      <c r="AH38" s="100">
        <v>26719.182511895149</v>
      </c>
      <c r="AI38" s="100">
        <v>26770.127180149142</v>
      </c>
      <c r="AJ38" s="100">
        <v>10728.322920417615</v>
      </c>
      <c r="AK38" s="100">
        <v>18809.850283509291</v>
      </c>
      <c r="AL38" s="100">
        <v>26921.341209603564</v>
      </c>
      <c r="AM38" s="100">
        <v>18879.825134649927</v>
      </c>
      <c r="AN38" s="100">
        <v>27020.719306543244</v>
      </c>
      <c r="AO38" s="100">
        <v>27069.954839740756</v>
      </c>
      <c r="AP38" s="100">
        <v>27118.877415268147</v>
      </c>
      <c r="AQ38" s="100">
        <v>27167.47913646403</v>
      </c>
      <c r="AR38" s="100">
        <v>2721.5752159530175</v>
      </c>
      <c r="AS38" s="100">
        <v>27263.688694937566</v>
      </c>
      <c r="AT38" s="100">
        <v>27311.281008823513</v>
      </c>
      <c r="AU38" s="100">
        <v>27358.521424379818</v>
      </c>
      <c r="AV38" s="100">
        <v>27405.40232323145</v>
      </c>
      <c r="AW38" s="100">
        <v>27451.916146805794</v>
      </c>
      <c r="AX38" s="100">
        <v>27498.055397691911</v>
      </c>
    </row>
    <row r="39" spans="2:50">
      <c r="B39" s="170" t="s">
        <v>105</v>
      </c>
      <c r="C39" s="100">
        <v>15032.941508406904</v>
      </c>
      <c r="D39" s="100">
        <v>15065.890051575743</v>
      </c>
      <c r="E39" s="100">
        <v>1509.8840347687551</v>
      </c>
      <c r="F39" s="100">
        <v>15131.787112227312</v>
      </c>
      <c r="G39" s="100">
        <v>15164.725058910377</v>
      </c>
      <c r="H39" s="100">
        <v>15197.648900609674</v>
      </c>
      <c r="I39" s="100">
        <v>15230.553350283679</v>
      </c>
      <c r="J39" s="100">
        <v>15263.433121904818</v>
      </c>
      <c r="K39" s="100">
        <v>15296.282931388283</v>
      </c>
      <c r="L39" s="100">
        <v>15329.097497521014</v>
      </c>
      <c r="M39" s="100">
        <v>6144.7486171562887</v>
      </c>
      <c r="N39" s="100">
        <v>15394.599794814729</v>
      </c>
      <c r="O39" s="100">
        <v>15427.276986268587</v>
      </c>
      <c r="P39" s="100">
        <v>15459.897856814132</v>
      </c>
      <c r="Q39" s="100">
        <v>15492.457153526968</v>
      </c>
      <c r="R39" s="100">
        <v>15524.949631923135</v>
      </c>
      <c r="S39" s="100">
        <v>15557.370056884829</v>
      </c>
      <c r="T39" s="100">
        <v>15589.713203584963</v>
      </c>
      <c r="U39" s="100">
        <v>15621.973858410449</v>
      </c>
      <c r="V39" s="100">
        <v>15654.14681988405</v>
      </c>
      <c r="W39" s="100">
        <v>15686.226899584581</v>
      </c>
      <c r="X39" s="100">
        <v>15718.208923065331</v>
      </c>
      <c r="Y39" s="100">
        <v>15750.087730770527</v>
      </c>
      <c r="Z39" s="100">
        <v>15781.858178949733</v>
      </c>
      <c r="AA39" s="100">
        <v>15813.515140569893</v>
      </c>
      <c r="AB39" s="100">
        <v>15845.053506225015</v>
      </c>
      <c r="AC39" s="100">
        <v>15876.468185043188</v>
      </c>
      <c r="AD39" s="100">
        <v>15907.754105590879</v>
      </c>
      <c r="AE39" s="100">
        <v>15938.90621677428</v>
      </c>
      <c r="AF39" s="100">
        <v>15969.919488737569</v>
      </c>
      <c r="AG39" s="100">
        <v>16000.788913757913</v>
      </c>
      <c r="AH39" s="100">
        <v>16031.509507137089</v>
      </c>
      <c r="AI39" s="100">
        <v>16062.076308089485</v>
      </c>
      <c r="AJ39" s="100">
        <v>16092.48438062642</v>
      </c>
      <c r="AK39" s="100">
        <v>16122.728814436536</v>
      </c>
      <c r="AL39" s="100">
        <v>16152.80472576214</v>
      </c>
      <c r="AM39" s="100">
        <v>16182.707258271368</v>
      </c>
      <c r="AN39" s="100">
        <v>16212.431583925947</v>
      </c>
      <c r="AO39" s="100">
        <v>16241.972903844453</v>
      </c>
      <c r="AP39" s="100">
        <v>16271.326449160888</v>
      </c>
      <c r="AQ39" s="100">
        <v>16300.487481878417</v>
      </c>
      <c r="AR39" s="100">
        <v>16329.451295718105</v>
      </c>
      <c r="AS39" s="100">
        <v>16358.213216962538</v>
      </c>
      <c r="AT39" s="100">
        <v>16386.768605294106</v>
      </c>
      <c r="AU39" s="100">
        <v>16415.112854627889</v>
      </c>
      <c r="AV39" s="100">
        <v>11510.268975757208</v>
      </c>
      <c r="AW39" s="100">
        <v>16471.149688083475</v>
      </c>
      <c r="AX39" s="100">
        <v>16498.833238615145</v>
      </c>
    </row>
    <row r="40" spans="2:50">
      <c r="B40" s="170" t="s">
        <v>106</v>
      </c>
      <c r="C40" s="100">
        <v>3507.6863519616104</v>
      </c>
      <c r="D40" s="100">
        <v>3515.3743453676734</v>
      </c>
      <c r="E40" s="100">
        <v>5032.946782562517</v>
      </c>
      <c r="F40" s="100">
        <v>5043.9290374091042</v>
      </c>
      <c r="G40" s="100">
        <v>5054.9083529701256</v>
      </c>
      <c r="H40" s="100">
        <v>5065.8829668698918</v>
      </c>
      <c r="I40" s="100">
        <v>5076.851116761226</v>
      </c>
      <c r="J40" s="100">
        <v>5087.8110406349388</v>
      </c>
      <c r="K40" s="100">
        <v>5098.7609771294274</v>
      </c>
      <c r="L40" s="100">
        <v>5109.6991658403376</v>
      </c>
      <c r="M40" s="100">
        <v>5120.6238476302397</v>
      </c>
      <c r="N40" s="100">
        <v>5131.5332649382435</v>
      </c>
      <c r="O40" s="100">
        <v>5142.4256620895294</v>
      </c>
      <c r="P40" s="100">
        <v>5153.2992856047113</v>
      </c>
      <c r="Q40" s="100">
        <v>5164.1523845089887</v>
      </c>
      <c r="R40" s="100">
        <v>2069.9932842564181</v>
      </c>
      <c r="S40" s="100">
        <v>5185.7900189616103</v>
      </c>
      <c r="T40" s="100">
        <v>5196.5710678616542</v>
      </c>
      <c r="U40" s="100">
        <v>5207.3246194701496</v>
      </c>
      <c r="V40" s="100">
        <v>5218.0489399613498</v>
      </c>
      <c r="W40" s="100">
        <v>5228.7422998615266</v>
      </c>
      <c r="X40" s="100">
        <v>5239.40297435511</v>
      </c>
      <c r="Y40" s="100">
        <v>5250.0292435901756</v>
      </c>
      <c r="Z40" s="100">
        <v>5260.6193929832443</v>
      </c>
      <c r="AA40" s="100">
        <v>5271.1717135232975</v>
      </c>
      <c r="AB40" s="100">
        <v>5281.6845020750052</v>
      </c>
      <c r="AC40" s="100">
        <v>5292.156061681063</v>
      </c>
      <c r="AD40" s="100">
        <v>5302.5847018636268</v>
      </c>
      <c r="AE40" s="100">
        <v>5312.9687389247601</v>
      </c>
      <c r="AF40" s="100">
        <v>5323.3064962458566</v>
      </c>
      <c r="AG40" s="100">
        <v>5333.5963045859717</v>
      </c>
      <c r="AH40" s="100">
        <v>5343.8365023790293</v>
      </c>
      <c r="AI40" s="100">
        <v>5354.0254360298286</v>
      </c>
      <c r="AJ40" s="100">
        <v>5364.1614602088066</v>
      </c>
      <c r="AK40" s="100">
        <v>5374.2429381455113</v>
      </c>
      <c r="AL40" s="100">
        <v>5384.2682419207131</v>
      </c>
      <c r="AM40" s="100">
        <v>5394.2357527571221</v>
      </c>
      <c r="AN40" s="100">
        <v>5404.1438613086484</v>
      </c>
      <c r="AO40" s="100">
        <v>5413.9909679481507</v>
      </c>
      <c r="AP40" s="100">
        <v>5423.7754830536296</v>
      </c>
      <c r="AQ40" s="100">
        <v>5433.4958272928061</v>
      </c>
      <c r="AR40" s="100">
        <v>5443.150431906035</v>
      </c>
      <c r="AS40" s="100">
        <v>5452.7377389875128</v>
      </c>
      <c r="AT40" s="100">
        <v>3823.5793412352914</v>
      </c>
      <c r="AU40" s="100">
        <v>5471.7042848759638</v>
      </c>
      <c r="AV40" s="100">
        <v>5481.0804646462902</v>
      </c>
      <c r="AW40" s="100">
        <v>5490.3832293611586</v>
      </c>
      <c r="AX40" s="100">
        <v>5499.611079538382</v>
      </c>
    </row>
    <row r="41" spans="2:50">
      <c r="B41" s="170" t="s">
        <v>107</v>
      </c>
      <c r="C41" s="100">
        <v>3006.5883016813805</v>
      </c>
      <c r="D41" s="100">
        <v>3013.1780103151486</v>
      </c>
      <c r="E41" s="100">
        <v>2113.8376486762568</v>
      </c>
      <c r="F41" s="100">
        <v>3026.3574224454624</v>
      </c>
      <c r="G41" s="100">
        <v>3032.9450117820752</v>
      </c>
      <c r="H41" s="100">
        <v>3039.5297801219349</v>
      </c>
      <c r="I41" s="100">
        <v>3046.1106700567357</v>
      </c>
      <c r="J41" s="100">
        <v>3052.6866243809636</v>
      </c>
      <c r="K41" s="100">
        <v>3059.2565862776564</v>
      </c>
      <c r="L41" s="100">
        <v>3065.8194995042027</v>
      </c>
      <c r="M41" s="100">
        <v>3072.3743085781439</v>
      </c>
      <c r="N41" s="100">
        <v>3078.9199589629461</v>
      </c>
      <c r="O41" s="100">
        <v>3085.4553972537178</v>
      </c>
      <c r="P41" s="100">
        <v>3091.9795713628264</v>
      </c>
      <c r="Q41" s="100">
        <v>3098.4914307053937</v>
      </c>
      <c r="R41" s="100">
        <v>3104.9899263846269</v>
      </c>
      <c r="S41" s="100">
        <v>3111.4740113769658</v>
      </c>
      <c r="T41" s="100">
        <v>3117.9426407169926</v>
      </c>
      <c r="U41" s="100">
        <v>3124.3947716820899</v>
      </c>
      <c r="V41" s="100">
        <v>3130.8293639768099</v>
      </c>
      <c r="W41" s="100">
        <v>3137.2453799169161</v>
      </c>
      <c r="X41" s="100">
        <v>3143.6417846130662</v>
      </c>
      <c r="Y41" s="100">
        <v>3150.0175461541053</v>
      </c>
      <c r="Z41" s="100">
        <v>3156.3716357899466</v>
      </c>
      <c r="AA41" s="100">
        <v>3162.7030281139782</v>
      </c>
      <c r="AB41" s="100">
        <v>3169.010701245003</v>
      </c>
      <c r="AC41" s="100">
        <v>3175.2936370086377</v>
      </c>
      <c r="AD41" s="100">
        <v>3181.5508211181759</v>
      </c>
      <c r="AE41" s="100">
        <v>3187.7812433548561</v>
      </c>
      <c r="AF41" s="100">
        <v>3193.9838977475138</v>
      </c>
      <c r="AG41" s="100">
        <v>3200.1577827515825</v>
      </c>
      <c r="AH41" s="100">
        <v>320.63019014274181</v>
      </c>
      <c r="AI41" s="100">
        <v>3212.4152616178967</v>
      </c>
      <c r="AJ41" s="100">
        <v>2252.9478132876989</v>
      </c>
      <c r="AK41" s="100">
        <v>3224.5457628873069</v>
      </c>
      <c r="AL41" s="100">
        <v>3230.5609451524278</v>
      </c>
      <c r="AM41" s="100">
        <v>3236.5414516542737</v>
      </c>
      <c r="AN41" s="100">
        <v>3242.486316785189</v>
      </c>
      <c r="AO41" s="100">
        <v>3248.3945807688906</v>
      </c>
      <c r="AP41" s="100">
        <v>3254.2652898321776</v>
      </c>
      <c r="AQ41" s="100">
        <v>1304.0389985502734</v>
      </c>
      <c r="AR41" s="100">
        <v>3265.8902591436208</v>
      </c>
      <c r="AS41" s="100">
        <v>3271.6426433925076</v>
      </c>
      <c r="AT41" s="100">
        <v>3277.3537210588215</v>
      </c>
      <c r="AU41" s="100">
        <v>3283.0225709255783</v>
      </c>
      <c r="AV41" s="100">
        <v>3288.648278787774</v>
      </c>
      <c r="AW41" s="100">
        <v>3294.2299376166952</v>
      </c>
      <c r="AX41" s="100">
        <v>2309.8366534061201</v>
      </c>
    </row>
    <row r="42" spans="2:50">
      <c r="B42" s="170" t="s">
        <v>108</v>
      </c>
      <c r="C42" s="100">
        <v>10000000</v>
      </c>
      <c r="D42" s="100">
        <v>10000000</v>
      </c>
      <c r="E42" s="100">
        <v>10000000</v>
      </c>
      <c r="F42" s="100">
        <v>10000000</v>
      </c>
      <c r="G42" s="100">
        <v>10000000</v>
      </c>
      <c r="H42" s="100">
        <v>10000000</v>
      </c>
      <c r="I42" s="100">
        <v>10000000</v>
      </c>
      <c r="J42" s="100">
        <v>10000000</v>
      </c>
      <c r="K42" s="100">
        <v>10000000</v>
      </c>
      <c r="L42" s="100">
        <v>10000000</v>
      </c>
      <c r="M42" s="100">
        <v>10000000</v>
      </c>
      <c r="N42" s="100">
        <v>10000000</v>
      </c>
      <c r="O42" s="100">
        <v>10000000</v>
      </c>
      <c r="P42" s="100">
        <v>10000000</v>
      </c>
      <c r="Q42" s="100">
        <v>10000000</v>
      </c>
      <c r="R42" s="100">
        <v>10000000</v>
      </c>
      <c r="S42" s="100">
        <v>10000000</v>
      </c>
      <c r="T42" s="100">
        <v>10000000</v>
      </c>
      <c r="U42" s="100">
        <v>10000000</v>
      </c>
      <c r="V42" s="100">
        <v>10000000</v>
      </c>
      <c r="W42" s="100">
        <v>10000000</v>
      </c>
      <c r="X42" s="100">
        <v>10000000</v>
      </c>
      <c r="Y42" s="100">
        <v>10000000</v>
      </c>
      <c r="Z42" s="100">
        <v>10000000</v>
      </c>
      <c r="AA42" s="100">
        <v>10000000</v>
      </c>
      <c r="AB42" s="100">
        <v>10000000</v>
      </c>
      <c r="AC42" s="100">
        <v>10000000</v>
      </c>
      <c r="AD42" s="100">
        <v>10000000</v>
      </c>
      <c r="AE42" s="100">
        <v>10000000</v>
      </c>
      <c r="AF42" s="100">
        <v>10000000</v>
      </c>
      <c r="AG42" s="100">
        <v>10000000</v>
      </c>
      <c r="AH42" s="100">
        <v>10000000</v>
      </c>
      <c r="AI42" s="100">
        <v>10000000</v>
      </c>
      <c r="AJ42" s="100">
        <v>10000000</v>
      </c>
      <c r="AK42" s="100">
        <v>10000000</v>
      </c>
      <c r="AL42" s="100">
        <v>10000000</v>
      </c>
      <c r="AM42" s="100">
        <v>10000000</v>
      </c>
      <c r="AN42" s="100">
        <v>10000000</v>
      </c>
      <c r="AO42" s="100">
        <v>10000000</v>
      </c>
      <c r="AP42" s="100">
        <v>10000000</v>
      </c>
      <c r="AQ42" s="100">
        <v>10000000</v>
      </c>
      <c r="AR42" s="100">
        <v>10000000</v>
      </c>
      <c r="AS42" s="100">
        <v>10000000</v>
      </c>
      <c r="AT42" s="100">
        <v>10000000</v>
      </c>
      <c r="AU42" s="100">
        <v>10000000</v>
      </c>
      <c r="AV42" s="100">
        <v>10000000</v>
      </c>
      <c r="AW42" s="100">
        <v>10000000</v>
      </c>
      <c r="AX42" s="100">
        <v>10000000</v>
      </c>
    </row>
    <row r="43" spans="2:50">
      <c r="B43" s="170" t="s">
        <v>109</v>
      </c>
      <c r="C43" s="100">
        <v>10000000</v>
      </c>
      <c r="D43" s="100">
        <v>10000000</v>
      </c>
      <c r="E43" s="100">
        <v>10000000</v>
      </c>
      <c r="F43" s="100">
        <v>10000000</v>
      </c>
      <c r="G43" s="100">
        <v>10000000</v>
      </c>
      <c r="H43" s="100">
        <v>10000000</v>
      </c>
      <c r="I43" s="100">
        <v>10000000</v>
      </c>
      <c r="J43" s="100">
        <v>10000000</v>
      </c>
      <c r="K43" s="100">
        <v>10000000</v>
      </c>
      <c r="L43" s="100">
        <v>10000000</v>
      </c>
      <c r="M43" s="100">
        <v>10000000</v>
      </c>
      <c r="N43" s="100">
        <v>10000000</v>
      </c>
      <c r="O43" s="100">
        <v>10000000</v>
      </c>
      <c r="P43" s="100">
        <v>10000000</v>
      </c>
      <c r="Q43" s="100">
        <v>10000000</v>
      </c>
      <c r="R43" s="100">
        <v>10000000</v>
      </c>
      <c r="S43" s="100">
        <v>10000000</v>
      </c>
      <c r="T43" s="100">
        <v>10000000</v>
      </c>
      <c r="U43" s="100">
        <v>10000000</v>
      </c>
      <c r="V43" s="100">
        <v>10000000</v>
      </c>
      <c r="W43" s="100">
        <v>10000000</v>
      </c>
      <c r="X43" s="100">
        <v>10000000</v>
      </c>
      <c r="Y43" s="100">
        <v>10000000</v>
      </c>
      <c r="Z43" s="100">
        <v>10000000</v>
      </c>
      <c r="AA43" s="100">
        <v>10000000</v>
      </c>
      <c r="AB43" s="100">
        <v>10000000</v>
      </c>
      <c r="AC43" s="100">
        <v>10000000</v>
      </c>
      <c r="AD43" s="100">
        <v>10000000</v>
      </c>
      <c r="AE43" s="100">
        <v>10000000</v>
      </c>
      <c r="AF43" s="100">
        <v>10000000</v>
      </c>
      <c r="AG43" s="100">
        <v>10000000</v>
      </c>
      <c r="AH43" s="100">
        <v>10000000</v>
      </c>
      <c r="AI43" s="100">
        <v>10000000</v>
      </c>
      <c r="AJ43" s="100">
        <v>10000000</v>
      </c>
      <c r="AK43" s="100">
        <v>10000000</v>
      </c>
      <c r="AL43" s="100">
        <v>10000000</v>
      </c>
      <c r="AM43" s="100">
        <v>10000000</v>
      </c>
      <c r="AN43" s="100">
        <v>10000000</v>
      </c>
      <c r="AO43" s="100">
        <v>10000000</v>
      </c>
      <c r="AP43" s="100">
        <v>10000000</v>
      </c>
      <c r="AQ43" s="100">
        <v>10000000</v>
      </c>
      <c r="AR43" s="100">
        <v>10000000</v>
      </c>
      <c r="AS43" s="100">
        <v>10000000</v>
      </c>
      <c r="AT43" s="100">
        <v>10000000</v>
      </c>
      <c r="AU43" s="100">
        <v>10000000</v>
      </c>
      <c r="AV43" s="100">
        <v>10000000</v>
      </c>
      <c r="AW43" s="100">
        <v>10000000</v>
      </c>
      <c r="AX43" s="100">
        <v>10000000</v>
      </c>
    </row>
    <row r="45" spans="2:50">
      <c r="B45" s="103" t="s">
        <v>324</v>
      </c>
    </row>
    <row r="46" spans="2:50">
      <c r="B46" s="99" t="s">
        <v>274</v>
      </c>
      <c r="C46" s="99" t="s">
        <v>92</v>
      </c>
      <c r="D46" s="101"/>
      <c r="E46" s="101"/>
      <c r="F46" s="101"/>
      <c r="G46" s="99" t="s">
        <v>93</v>
      </c>
      <c r="H46" s="101"/>
      <c r="I46" s="101"/>
      <c r="J46" s="101"/>
      <c r="K46" s="99" t="s">
        <v>94</v>
      </c>
      <c r="L46" s="101"/>
      <c r="M46" s="101"/>
      <c r="N46" s="101"/>
      <c r="O46" s="99" t="s">
        <v>95</v>
      </c>
      <c r="P46" s="101"/>
      <c r="Q46" s="101"/>
      <c r="R46" s="101"/>
      <c r="S46" s="99" t="s">
        <v>96</v>
      </c>
      <c r="T46" s="101"/>
      <c r="U46" s="101"/>
      <c r="V46" s="101"/>
      <c r="W46" s="99" t="s">
        <v>97</v>
      </c>
      <c r="X46" s="101"/>
      <c r="Y46" s="101"/>
      <c r="Z46" s="101"/>
      <c r="AA46" s="99" t="s">
        <v>98</v>
      </c>
      <c r="AB46" s="101"/>
      <c r="AC46" s="101"/>
      <c r="AD46" s="101"/>
      <c r="AE46" s="99" t="s">
        <v>99</v>
      </c>
      <c r="AF46" s="101"/>
      <c r="AG46" s="101"/>
      <c r="AH46" s="101"/>
      <c r="AI46" s="99" t="s">
        <v>100</v>
      </c>
      <c r="AJ46" s="101"/>
      <c r="AK46" s="101"/>
      <c r="AL46" s="101"/>
      <c r="AM46" s="99" t="s">
        <v>101</v>
      </c>
      <c r="AN46" s="101"/>
      <c r="AO46" s="101"/>
      <c r="AP46" s="101"/>
      <c r="AQ46" s="99" t="s">
        <v>102</v>
      </c>
      <c r="AR46" s="101"/>
      <c r="AS46" s="101"/>
      <c r="AT46" s="101"/>
      <c r="AU46" s="99" t="s">
        <v>103</v>
      </c>
      <c r="AV46" s="101"/>
      <c r="AW46" s="101"/>
    </row>
    <row r="47" spans="2:50">
      <c r="B47" s="99" t="s">
        <v>325</v>
      </c>
      <c r="C47" s="99">
        <v>1</v>
      </c>
      <c r="D47" s="99">
        <v>2</v>
      </c>
      <c r="E47" s="99">
        <v>3</v>
      </c>
      <c r="F47" s="99">
        <v>4</v>
      </c>
      <c r="G47" s="99">
        <v>1</v>
      </c>
      <c r="H47" s="99">
        <v>2</v>
      </c>
      <c r="I47" s="99">
        <v>3</v>
      </c>
      <c r="J47" s="99">
        <v>4</v>
      </c>
      <c r="K47" s="99">
        <v>1</v>
      </c>
      <c r="L47" s="99">
        <v>2</v>
      </c>
      <c r="M47" s="99">
        <v>3</v>
      </c>
      <c r="N47" s="99">
        <v>4</v>
      </c>
      <c r="O47" s="99">
        <v>1</v>
      </c>
      <c r="P47" s="99">
        <v>2</v>
      </c>
      <c r="Q47" s="99">
        <v>3</v>
      </c>
      <c r="R47" s="99">
        <v>4</v>
      </c>
      <c r="S47" s="99">
        <v>1</v>
      </c>
      <c r="T47" s="99">
        <v>2</v>
      </c>
      <c r="U47" s="99">
        <v>3</v>
      </c>
      <c r="V47" s="99">
        <v>4</v>
      </c>
      <c r="W47" s="99">
        <v>1</v>
      </c>
      <c r="X47" s="99">
        <v>2</v>
      </c>
      <c r="Y47" s="99">
        <v>3</v>
      </c>
      <c r="Z47" s="99">
        <v>4</v>
      </c>
      <c r="AA47" s="99">
        <v>1</v>
      </c>
      <c r="AB47" s="99">
        <v>2</v>
      </c>
      <c r="AC47" s="99">
        <v>3</v>
      </c>
      <c r="AD47" s="99">
        <v>4</v>
      </c>
      <c r="AE47" s="99">
        <v>1</v>
      </c>
      <c r="AF47" s="99">
        <v>2</v>
      </c>
      <c r="AG47" s="99">
        <v>3</v>
      </c>
      <c r="AH47" s="99">
        <v>4</v>
      </c>
      <c r="AI47" s="99">
        <v>1</v>
      </c>
      <c r="AJ47" s="99">
        <v>2</v>
      </c>
      <c r="AK47" s="99">
        <v>3</v>
      </c>
      <c r="AL47" s="99">
        <v>4</v>
      </c>
      <c r="AM47" s="99">
        <v>1</v>
      </c>
      <c r="AN47" s="99">
        <v>2</v>
      </c>
      <c r="AO47" s="99">
        <v>3</v>
      </c>
      <c r="AP47" s="99">
        <v>4</v>
      </c>
      <c r="AQ47" s="99">
        <v>1</v>
      </c>
      <c r="AR47" s="99">
        <v>2</v>
      </c>
      <c r="AS47" s="99">
        <v>3</v>
      </c>
      <c r="AT47" s="99">
        <v>4</v>
      </c>
      <c r="AU47" s="99">
        <v>1</v>
      </c>
      <c r="AV47" s="99">
        <v>2</v>
      </c>
      <c r="AW47" s="99">
        <v>3</v>
      </c>
      <c r="AX47" s="99">
        <v>4</v>
      </c>
    </row>
    <row r="48" spans="2:50">
      <c r="B48" s="99" t="s">
        <v>104</v>
      </c>
      <c r="C48" s="100">
        <v>2679.8214422359174</v>
      </c>
      <c r="D48" s="100">
        <v>2679.8214422359174</v>
      </c>
      <c r="E48" s="100">
        <v>2679.8214422359174</v>
      </c>
      <c r="F48" s="100">
        <v>2679.8214422359174</v>
      </c>
      <c r="G48" s="100">
        <v>2679.8214422359174</v>
      </c>
      <c r="H48" s="100">
        <v>2679.8214422359174</v>
      </c>
      <c r="I48" s="100">
        <v>2679.8214422359174</v>
      </c>
      <c r="J48" s="100">
        <v>2679.8214422359174</v>
      </c>
      <c r="K48" s="100">
        <v>2679.8214422359174</v>
      </c>
      <c r="L48" s="100">
        <v>2679.8214422359174</v>
      </c>
      <c r="M48" s="100">
        <v>2679.8214422359174</v>
      </c>
      <c r="N48" s="100">
        <v>2679.8214422359174</v>
      </c>
      <c r="O48" s="100">
        <v>2679.8214422359174</v>
      </c>
      <c r="P48" s="100">
        <v>2679.8214422359174</v>
      </c>
      <c r="Q48" s="100">
        <v>2679.8214422359174</v>
      </c>
      <c r="R48" s="100">
        <v>2679.8214422359174</v>
      </c>
      <c r="S48" s="100">
        <v>2679.8214422359174</v>
      </c>
      <c r="T48" s="100">
        <v>2679.8214422359174</v>
      </c>
      <c r="U48" s="100">
        <v>2679.8214422359174</v>
      </c>
      <c r="V48" s="100">
        <v>2679.8214422359174</v>
      </c>
      <c r="W48" s="100">
        <v>2679.8214422359174</v>
      </c>
      <c r="X48" s="100">
        <v>2679.8214422359174</v>
      </c>
      <c r="Y48" s="100">
        <v>2679.8214422359174</v>
      </c>
      <c r="Z48" s="100">
        <v>2679.8214422359174</v>
      </c>
      <c r="AA48" s="100">
        <v>2679.8214422359174</v>
      </c>
      <c r="AB48" s="100">
        <v>2679.8214422359174</v>
      </c>
      <c r="AC48" s="100">
        <v>2679.8214422359174</v>
      </c>
      <c r="AD48" s="100">
        <v>2679.8214422359174</v>
      </c>
      <c r="AE48" s="100">
        <v>3215.7857306831006</v>
      </c>
      <c r="AF48" s="100">
        <v>3215.7857306831006</v>
      </c>
      <c r="AG48" s="100">
        <v>3215.7857306831006</v>
      </c>
      <c r="AH48" s="100">
        <v>3215.7857306831006</v>
      </c>
      <c r="AI48" s="100">
        <v>2679.8214422359174</v>
      </c>
      <c r="AJ48" s="100">
        <v>2679.8214422359174</v>
      </c>
      <c r="AK48" s="100">
        <v>2679.8214422359174</v>
      </c>
      <c r="AL48" s="100">
        <v>2679.8214422359174</v>
      </c>
      <c r="AM48" s="100">
        <v>2679.8214422359174</v>
      </c>
      <c r="AN48" s="100">
        <v>2679.8214422359174</v>
      </c>
      <c r="AO48" s="100">
        <v>2679.8214422359174</v>
      </c>
      <c r="AP48" s="100">
        <v>2679.8214422359174</v>
      </c>
      <c r="AQ48" s="100">
        <v>2679.8214422359174</v>
      </c>
      <c r="AR48" s="100">
        <v>2679.8214422359174</v>
      </c>
      <c r="AS48" s="100">
        <v>2679.8214422359174</v>
      </c>
      <c r="AT48" s="100">
        <v>2679.8214422359174</v>
      </c>
      <c r="AU48" s="100">
        <v>2679.8214422359174</v>
      </c>
      <c r="AV48" s="100">
        <v>2679.8214422359174</v>
      </c>
      <c r="AW48" s="100">
        <v>2679.8214422359174</v>
      </c>
      <c r="AX48" s="100">
        <v>2679.8214422359174</v>
      </c>
    </row>
    <row r="49" spans="2:51">
      <c r="B49" s="99" t="s">
        <v>105</v>
      </c>
      <c r="C49" s="100">
        <v>1.7038639210350439E-20</v>
      </c>
      <c r="D49" s="100">
        <v>1.7038639210350439E-20</v>
      </c>
      <c r="E49" s="100">
        <v>1.7038639210350439E-20</v>
      </c>
      <c r="F49" s="100">
        <v>1.7038639210350439E-20</v>
      </c>
      <c r="G49" s="100">
        <v>2.1298299012938047E-20</v>
      </c>
      <c r="H49" s="100">
        <v>2.1298299012938047E-20</v>
      </c>
      <c r="I49" s="100">
        <v>2.1298299012938047E-20</v>
      </c>
      <c r="J49" s="100">
        <v>2.1298299012938047E-20</v>
      </c>
      <c r="K49" s="100">
        <v>2.1298299012938047E-20</v>
      </c>
      <c r="L49" s="100">
        <v>2.1298299012938047E-20</v>
      </c>
      <c r="M49" s="100">
        <v>2.1298299012938047E-20</v>
      </c>
      <c r="N49" s="100">
        <v>2.1298299012938047E-20</v>
      </c>
      <c r="O49" s="100">
        <v>2.1298299012938047E-20</v>
      </c>
      <c r="P49" s="100">
        <v>2.1298299012938047E-20</v>
      </c>
      <c r="Q49" s="100">
        <v>2.1298299012938047E-20</v>
      </c>
      <c r="R49" s="100">
        <v>2.1298299012938047E-20</v>
      </c>
      <c r="S49" s="100">
        <v>2.1298299012938047E-20</v>
      </c>
      <c r="T49" s="100">
        <v>2.1298299012938047E-20</v>
      </c>
      <c r="U49" s="100">
        <v>2.1298299012938047E-20</v>
      </c>
      <c r="V49" s="100">
        <v>2.1298299012938047E-20</v>
      </c>
      <c r="W49" s="100">
        <v>2.1298299012938047E-20</v>
      </c>
      <c r="X49" s="100">
        <v>2.1298299012938047E-20</v>
      </c>
      <c r="Y49" s="100">
        <v>2.1298299012938047E-20</v>
      </c>
      <c r="Z49" s="100">
        <v>2.1298299012938047E-20</v>
      </c>
      <c r="AA49" s="100">
        <v>2.1298299012938047E-20</v>
      </c>
      <c r="AB49" s="100">
        <v>2.1298299012938047E-20</v>
      </c>
      <c r="AC49" s="100">
        <v>2.1298299012938047E-20</v>
      </c>
      <c r="AD49" s="100">
        <v>2.1298299012938047E-20</v>
      </c>
      <c r="AE49" s="100">
        <v>2.1298299012938047E-20</v>
      </c>
      <c r="AF49" s="100">
        <v>2.1298299012938047E-20</v>
      </c>
      <c r="AG49" s="100">
        <v>2.1298299012938047E-20</v>
      </c>
      <c r="AH49" s="100">
        <v>2.1298299012938047E-20</v>
      </c>
      <c r="AI49" s="100">
        <v>2.5557958815525654E-20</v>
      </c>
      <c r="AJ49" s="100">
        <v>2.5557958815525654E-20</v>
      </c>
      <c r="AK49" s="100">
        <v>2.5557958815525654E-20</v>
      </c>
      <c r="AL49" s="100">
        <v>2.5557958815525654E-20</v>
      </c>
      <c r="AM49" s="100">
        <v>2.1298299012938047E-20</v>
      </c>
      <c r="AN49" s="100">
        <v>2.1298299012938047E-20</v>
      </c>
      <c r="AO49" s="100">
        <v>2.1298299012938047E-20</v>
      </c>
      <c r="AP49" s="100">
        <v>2.1298299012938047E-20</v>
      </c>
      <c r="AQ49" s="100">
        <v>2.1298299012938047E-20</v>
      </c>
      <c r="AR49" s="100">
        <v>2.1298299012938047E-20</v>
      </c>
      <c r="AS49" s="100">
        <v>2.1298299012938047E-20</v>
      </c>
      <c r="AT49" s="100">
        <v>2.1298299012938047E-20</v>
      </c>
      <c r="AU49" s="100">
        <v>2.1298299012938047E-20</v>
      </c>
      <c r="AV49" s="100">
        <v>2.1298299012938047E-20</v>
      </c>
      <c r="AW49" s="100">
        <v>2.1298299012938047E-20</v>
      </c>
      <c r="AX49" s="100">
        <v>2.1298299012938047E-20</v>
      </c>
    </row>
    <row r="50" spans="2:51">
      <c r="B50" s="99" t="s">
        <v>106</v>
      </c>
      <c r="C50" s="100">
        <v>140</v>
      </c>
      <c r="D50" s="100">
        <v>140</v>
      </c>
      <c r="E50" s="100">
        <v>140</v>
      </c>
      <c r="F50" s="100">
        <v>140</v>
      </c>
      <c r="G50" s="100">
        <v>140</v>
      </c>
      <c r="H50" s="100">
        <v>140</v>
      </c>
      <c r="I50" s="100">
        <v>140</v>
      </c>
      <c r="J50" s="100">
        <v>140</v>
      </c>
      <c r="K50" s="100">
        <v>140</v>
      </c>
      <c r="L50" s="100">
        <v>140</v>
      </c>
      <c r="M50" s="100">
        <v>140</v>
      </c>
      <c r="N50" s="100">
        <v>140</v>
      </c>
      <c r="O50" s="100">
        <v>140</v>
      </c>
      <c r="P50" s="100">
        <v>140</v>
      </c>
      <c r="Q50" s="100">
        <v>140</v>
      </c>
      <c r="R50" s="100">
        <v>140</v>
      </c>
      <c r="S50" s="100">
        <v>140</v>
      </c>
      <c r="T50" s="100">
        <v>140</v>
      </c>
      <c r="U50" s="100">
        <v>140</v>
      </c>
      <c r="V50" s="100">
        <v>140</v>
      </c>
      <c r="W50" s="100">
        <v>140</v>
      </c>
      <c r="X50" s="100">
        <v>140</v>
      </c>
      <c r="Y50" s="100">
        <v>140</v>
      </c>
      <c r="Z50" s="100">
        <v>140</v>
      </c>
      <c r="AA50" s="100">
        <v>140</v>
      </c>
      <c r="AB50" s="100">
        <v>140</v>
      </c>
      <c r="AC50" s="100">
        <v>140</v>
      </c>
      <c r="AD50" s="100">
        <v>140</v>
      </c>
      <c r="AE50" s="100">
        <v>140</v>
      </c>
      <c r="AF50" s="100">
        <v>140</v>
      </c>
      <c r="AG50" s="100">
        <v>140</v>
      </c>
      <c r="AH50" s="100">
        <v>140</v>
      </c>
      <c r="AI50" s="100">
        <v>140</v>
      </c>
      <c r="AJ50" s="100">
        <v>140</v>
      </c>
      <c r="AK50" s="100">
        <v>140</v>
      </c>
      <c r="AL50" s="100">
        <v>140</v>
      </c>
      <c r="AM50" s="100">
        <v>140</v>
      </c>
      <c r="AN50" s="100">
        <v>140</v>
      </c>
      <c r="AO50" s="100">
        <v>140</v>
      </c>
      <c r="AP50" s="100">
        <v>140</v>
      </c>
      <c r="AQ50" s="100">
        <v>140</v>
      </c>
      <c r="AR50" s="100">
        <v>140</v>
      </c>
      <c r="AS50" s="100">
        <v>140</v>
      </c>
      <c r="AT50" s="100">
        <v>140</v>
      </c>
      <c r="AU50" s="100">
        <v>140</v>
      </c>
      <c r="AV50" s="100">
        <v>140</v>
      </c>
      <c r="AW50" s="100">
        <v>140</v>
      </c>
      <c r="AX50" s="100">
        <v>140</v>
      </c>
      <c r="AY50" s="112"/>
    </row>
    <row r="51" spans="2:51">
      <c r="B51" s="99" t="s">
        <v>107</v>
      </c>
      <c r="C51" s="100">
        <v>790.00000000000045</v>
      </c>
      <c r="D51" s="100">
        <v>790.00000000000045</v>
      </c>
      <c r="E51" s="100">
        <v>790.00000000000045</v>
      </c>
      <c r="F51" s="100">
        <v>790.00000000000045</v>
      </c>
      <c r="G51" s="100">
        <v>790.00000000000045</v>
      </c>
      <c r="H51" s="100">
        <v>790.00000000000045</v>
      </c>
      <c r="I51" s="100">
        <v>790.00000000000045</v>
      </c>
      <c r="J51" s="100">
        <v>790.00000000000045</v>
      </c>
      <c r="K51" s="100">
        <v>790.00000000000045</v>
      </c>
      <c r="L51" s="100">
        <v>790.00000000000045</v>
      </c>
      <c r="M51" s="100">
        <v>790.00000000000045</v>
      </c>
      <c r="N51" s="100">
        <v>790.00000000000045</v>
      </c>
      <c r="O51" s="100">
        <v>790.00000000000045</v>
      </c>
      <c r="P51" s="100">
        <v>790.00000000000045</v>
      </c>
      <c r="Q51" s="100">
        <v>790.00000000000045</v>
      </c>
      <c r="R51" s="100">
        <v>790.00000000000045</v>
      </c>
      <c r="S51" s="100">
        <v>790.00000000000045</v>
      </c>
      <c r="T51" s="100">
        <v>790.00000000000045</v>
      </c>
      <c r="U51" s="100">
        <v>790.00000000000045</v>
      </c>
      <c r="V51" s="100">
        <v>790.00000000000045</v>
      </c>
      <c r="W51" s="100">
        <v>790.00000000000045</v>
      </c>
      <c r="X51" s="100">
        <v>790.00000000000045</v>
      </c>
      <c r="Y51" s="100">
        <v>790.00000000000045</v>
      </c>
      <c r="Z51" s="100">
        <v>790.00000000000045</v>
      </c>
      <c r="AA51" s="100">
        <v>790.00000000000045</v>
      </c>
      <c r="AB51" s="100">
        <v>790.00000000000045</v>
      </c>
      <c r="AC51" s="100">
        <v>790.00000000000045</v>
      </c>
      <c r="AD51" s="100">
        <v>790.00000000000045</v>
      </c>
      <c r="AE51" s="100">
        <v>790.00000000000045</v>
      </c>
      <c r="AF51" s="100">
        <v>790.00000000000045</v>
      </c>
      <c r="AG51" s="100">
        <v>790.00000000000045</v>
      </c>
      <c r="AH51" s="100">
        <v>320.63019014274181</v>
      </c>
      <c r="AI51" s="100">
        <v>790.00000000000045</v>
      </c>
      <c r="AJ51" s="100">
        <v>790.00000000000045</v>
      </c>
      <c r="AK51" s="100">
        <v>790.00000000000045</v>
      </c>
      <c r="AL51" s="100">
        <v>790.00000000000045</v>
      </c>
      <c r="AM51" s="100">
        <v>790.00000000000045</v>
      </c>
      <c r="AN51" s="100">
        <v>790.00000000000045</v>
      </c>
      <c r="AO51" s="100">
        <v>790.00000000000045</v>
      </c>
      <c r="AP51" s="100">
        <v>790.00000000000045</v>
      </c>
      <c r="AQ51" s="100">
        <v>790.00000000000045</v>
      </c>
      <c r="AR51" s="100">
        <v>790.00000000000045</v>
      </c>
      <c r="AS51" s="100">
        <v>790.00000000000045</v>
      </c>
      <c r="AT51" s="100">
        <v>790.00000000000045</v>
      </c>
      <c r="AU51" s="100">
        <v>790.00000000000045</v>
      </c>
      <c r="AV51" s="100">
        <v>790.00000000000045</v>
      </c>
      <c r="AW51" s="100">
        <v>790.00000000000045</v>
      </c>
      <c r="AX51" s="100">
        <v>790.00000000000045</v>
      </c>
      <c r="AY51" s="111"/>
    </row>
    <row r="52" spans="2:51">
      <c r="B52" s="99" t="s">
        <v>108</v>
      </c>
      <c r="C52" s="100">
        <v>3.5636554642521509E-20</v>
      </c>
      <c r="D52" s="100">
        <v>3.5636554642521509E-20</v>
      </c>
      <c r="E52" s="100">
        <v>3.5636554642521509E-20</v>
      </c>
      <c r="F52" s="100">
        <v>3.5636554642521509E-20</v>
      </c>
      <c r="G52" s="100">
        <v>0</v>
      </c>
      <c r="H52" s="100">
        <v>0</v>
      </c>
      <c r="I52" s="100">
        <v>0</v>
      </c>
      <c r="J52" s="100">
        <v>0</v>
      </c>
      <c r="K52" s="100">
        <v>0</v>
      </c>
      <c r="L52" s="100">
        <v>0</v>
      </c>
      <c r="M52" s="100">
        <v>0</v>
      </c>
      <c r="N52" s="100">
        <v>0</v>
      </c>
      <c r="O52" s="100">
        <v>0</v>
      </c>
      <c r="P52" s="100">
        <v>0</v>
      </c>
      <c r="Q52" s="100">
        <v>0</v>
      </c>
      <c r="R52" s="100">
        <v>0</v>
      </c>
      <c r="S52" s="100">
        <v>0</v>
      </c>
      <c r="T52" s="100">
        <v>0</v>
      </c>
      <c r="U52" s="100">
        <v>0</v>
      </c>
      <c r="V52" s="100">
        <v>0</v>
      </c>
      <c r="W52" s="100">
        <v>0</v>
      </c>
      <c r="X52" s="100">
        <v>0</v>
      </c>
      <c r="Y52" s="100">
        <v>0</v>
      </c>
      <c r="Z52" s="100">
        <v>0</v>
      </c>
      <c r="AA52" s="100">
        <v>0</v>
      </c>
      <c r="AB52" s="100">
        <v>0</v>
      </c>
      <c r="AC52" s="100">
        <v>0</v>
      </c>
      <c r="AD52" s="100">
        <v>0</v>
      </c>
      <c r="AE52" s="100">
        <v>0</v>
      </c>
      <c r="AF52" s="100">
        <v>0</v>
      </c>
      <c r="AG52" s="100">
        <v>0</v>
      </c>
      <c r="AH52" s="100">
        <v>0</v>
      </c>
      <c r="AI52" s="100">
        <v>0</v>
      </c>
      <c r="AJ52" s="100">
        <v>0</v>
      </c>
      <c r="AK52" s="100">
        <v>0</v>
      </c>
      <c r="AL52" s="100">
        <v>0</v>
      </c>
      <c r="AM52" s="100">
        <v>0</v>
      </c>
      <c r="AN52" s="100">
        <v>0</v>
      </c>
      <c r="AO52" s="100">
        <v>0</v>
      </c>
      <c r="AP52" s="100">
        <v>0</v>
      </c>
      <c r="AQ52" s="100">
        <v>0</v>
      </c>
      <c r="AR52" s="100">
        <v>0</v>
      </c>
      <c r="AS52" s="100">
        <v>0</v>
      </c>
      <c r="AT52" s="100">
        <v>0</v>
      </c>
      <c r="AU52" s="100">
        <v>0</v>
      </c>
      <c r="AV52" s="100">
        <v>0</v>
      </c>
      <c r="AW52" s="100">
        <v>0</v>
      </c>
      <c r="AX52" s="100">
        <v>0</v>
      </c>
    </row>
    <row r="53" spans="2:51">
      <c r="B53" s="99" t="s">
        <v>109</v>
      </c>
      <c r="C53" s="100">
        <v>3.6157828542885877E-21</v>
      </c>
      <c r="D53" s="100">
        <v>3.6157828542885877E-21</v>
      </c>
      <c r="E53" s="100">
        <v>3.6157828542885877E-21</v>
      </c>
      <c r="F53" s="100">
        <v>3.6157828542885877E-21</v>
      </c>
      <c r="G53" s="100">
        <v>4.5197285678607343E-21</v>
      </c>
      <c r="H53" s="100">
        <v>4.5197285678607343E-21</v>
      </c>
      <c r="I53" s="100">
        <v>4.5197285678607343E-21</v>
      </c>
      <c r="J53" s="100">
        <v>4.5197285678607343E-21</v>
      </c>
      <c r="K53" s="100">
        <v>5.4236742814328809E-21</v>
      </c>
      <c r="L53" s="100">
        <v>5.4236742814328809E-21</v>
      </c>
      <c r="M53" s="100">
        <v>5.4236742814328809E-21</v>
      </c>
      <c r="N53" s="100">
        <v>5.4236742814328809E-21</v>
      </c>
      <c r="O53" s="100">
        <v>3.6157828542885877E-21</v>
      </c>
      <c r="P53" s="100">
        <v>3.6157828542885877E-21</v>
      </c>
      <c r="Q53" s="100">
        <v>3.6157828542885877E-21</v>
      </c>
      <c r="R53" s="100">
        <v>3.6157828542885877E-21</v>
      </c>
      <c r="S53" s="100">
        <v>5.4236742814328809E-21</v>
      </c>
      <c r="T53" s="100">
        <v>5.4236742814328809E-21</v>
      </c>
      <c r="U53" s="100">
        <v>5.4236742814328809E-21</v>
      </c>
      <c r="V53" s="100">
        <v>5.4236742814328809E-21</v>
      </c>
      <c r="W53" s="100">
        <v>4.5197285678607343E-21</v>
      </c>
      <c r="X53" s="100">
        <v>4.5197285678607343E-21</v>
      </c>
      <c r="Y53" s="100">
        <v>4.5197285678607343E-21</v>
      </c>
      <c r="Z53" s="100">
        <v>4.5197285678607343E-21</v>
      </c>
      <c r="AA53" s="100">
        <v>4.5197285678607343E-21</v>
      </c>
      <c r="AB53" s="100">
        <v>4.5197285678607343E-21</v>
      </c>
      <c r="AC53" s="100">
        <v>4.5197285678607343E-21</v>
      </c>
      <c r="AD53" s="100">
        <v>4.5197285678607343E-21</v>
      </c>
      <c r="AE53" s="100">
        <v>3.6157828542885877E-21</v>
      </c>
      <c r="AF53" s="100">
        <v>3.6157828542885877E-21</v>
      </c>
      <c r="AG53" s="100">
        <v>3.6157828542885877E-21</v>
      </c>
      <c r="AH53" s="100">
        <v>3.6157828542885877E-21</v>
      </c>
      <c r="AI53" s="100">
        <v>3.6157828542885877E-21</v>
      </c>
      <c r="AJ53" s="100">
        <v>3.6157828542885877E-21</v>
      </c>
      <c r="AK53" s="100">
        <v>3.6157828542885877E-21</v>
      </c>
      <c r="AL53" s="100">
        <v>3.6157828542885877E-21</v>
      </c>
      <c r="AM53" s="100">
        <v>4.5197285678607343E-21</v>
      </c>
      <c r="AN53" s="100">
        <v>4.5197285678607343E-21</v>
      </c>
      <c r="AO53" s="100">
        <v>4.5197285678607343E-21</v>
      </c>
      <c r="AP53" s="100">
        <v>4.5197285678607343E-21</v>
      </c>
      <c r="AQ53" s="100">
        <v>4.5197285678607343E-21</v>
      </c>
      <c r="AR53" s="100">
        <v>4.5197285678607343E-21</v>
      </c>
      <c r="AS53" s="100">
        <v>4.5197285678607343E-21</v>
      </c>
      <c r="AT53" s="100">
        <v>4.5197285678607343E-21</v>
      </c>
      <c r="AU53" s="100">
        <v>4.5197285678607343E-21</v>
      </c>
      <c r="AV53" s="100">
        <v>4.5197285678607343E-21</v>
      </c>
      <c r="AW53" s="100">
        <v>4.5197285678607343E-21</v>
      </c>
      <c r="AX53" s="100">
        <v>4.5197285678607343E-21</v>
      </c>
    </row>
    <row r="55" spans="2:51">
      <c r="B55" s="174" t="s">
        <v>326</v>
      </c>
      <c r="C55" s="175"/>
      <c r="D55" s="175"/>
      <c r="E55" s="175"/>
      <c r="F55" s="175"/>
      <c r="G55" s="175"/>
      <c r="H55" s="175"/>
      <c r="I55" s="175"/>
      <c r="J55" s="175"/>
      <c r="K55" s="175"/>
      <c r="L55" s="175"/>
      <c r="M55" s="175"/>
      <c r="N55" s="175"/>
      <c r="O55" s="175"/>
      <c r="P55" s="175"/>
      <c r="Q55" s="175"/>
      <c r="R55" s="175"/>
      <c r="S55" s="175"/>
      <c r="T55" s="175"/>
      <c r="U55" s="175"/>
      <c r="V55" s="175"/>
      <c r="W55" s="175"/>
      <c r="X55" s="175"/>
      <c r="Y55" s="175"/>
      <c r="Z55" s="175"/>
      <c r="AA55" s="175"/>
      <c r="AB55" s="175"/>
      <c r="AC55" s="175"/>
      <c r="AD55" s="175"/>
      <c r="AE55" s="175"/>
      <c r="AF55" s="175"/>
      <c r="AG55" s="175"/>
      <c r="AH55" s="175"/>
      <c r="AI55" s="175"/>
      <c r="AJ55" s="175"/>
      <c r="AK55" s="175"/>
      <c r="AL55" s="175"/>
      <c r="AM55" s="175"/>
      <c r="AN55" s="175"/>
      <c r="AO55" s="175"/>
      <c r="AP55" s="175"/>
      <c r="AQ55" s="175"/>
      <c r="AR55" s="175"/>
      <c r="AS55" s="175"/>
      <c r="AT55" s="175"/>
      <c r="AU55" s="175"/>
      <c r="AV55" s="175"/>
      <c r="AW55" s="175"/>
      <c r="AX55" s="175"/>
    </row>
    <row r="56" spans="2:51">
      <c r="B56" s="105" t="s">
        <v>274</v>
      </c>
      <c r="C56" s="105" t="s">
        <v>92</v>
      </c>
      <c r="D56" s="101"/>
      <c r="E56" s="101"/>
      <c r="F56" s="101"/>
      <c r="G56" s="105" t="s">
        <v>93</v>
      </c>
      <c r="H56" s="101"/>
      <c r="I56" s="101"/>
      <c r="J56" s="101"/>
      <c r="K56" s="105" t="s">
        <v>94</v>
      </c>
      <c r="L56" s="101"/>
      <c r="M56" s="101"/>
      <c r="N56" s="101"/>
      <c r="O56" s="105" t="s">
        <v>95</v>
      </c>
      <c r="P56" s="101"/>
      <c r="Q56" s="101"/>
      <c r="R56" s="101"/>
      <c r="S56" s="105" t="s">
        <v>96</v>
      </c>
      <c r="T56" s="101"/>
      <c r="U56" s="101"/>
      <c r="V56" s="101"/>
      <c r="W56" s="105" t="s">
        <v>97</v>
      </c>
      <c r="X56" s="101"/>
      <c r="Y56" s="101"/>
      <c r="Z56" s="101"/>
      <c r="AA56" s="105" t="s">
        <v>98</v>
      </c>
      <c r="AB56" s="101"/>
      <c r="AC56" s="101"/>
      <c r="AD56" s="101"/>
      <c r="AE56" s="105" t="s">
        <v>99</v>
      </c>
      <c r="AF56" s="101"/>
      <c r="AG56" s="101"/>
      <c r="AH56" s="101"/>
      <c r="AI56" s="105" t="s">
        <v>100</v>
      </c>
      <c r="AJ56" s="101"/>
      <c r="AK56" s="101"/>
      <c r="AL56" s="101"/>
      <c r="AM56" s="105" t="s">
        <v>101</v>
      </c>
      <c r="AN56" s="101"/>
      <c r="AO56" s="101"/>
      <c r="AP56" s="101"/>
      <c r="AQ56" s="105" t="s">
        <v>102</v>
      </c>
      <c r="AR56" s="101"/>
      <c r="AS56" s="101"/>
      <c r="AT56" s="101"/>
      <c r="AU56" s="105" t="s">
        <v>103</v>
      </c>
      <c r="AV56" s="101"/>
      <c r="AW56" s="101"/>
    </row>
    <row r="57" spans="2:51">
      <c r="B57" s="105" t="s">
        <v>325</v>
      </c>
      <c r="C57" s="105">
        <v>1</v>
      </c>
      <c r="D57" s="105">
        <v>2</v>
      </c>
      <c r="E57" s="105">
        <v>3</v>
      </c>
      <c r="F57" s="105">
        <v>4</v>
      </c>
      <c r="G57" s="105">
        <v>1</v>
      </c>
      <c r="H57" s="105">
        <v>2</v>
      </c>
      <c r="I57" s="105">
        <v>3</v>
      </c>
      <c r="J57" s="105">
        <v>4</v>
      </c>
      <c r="K57" s="105">
        <v>1</v>
      </c>
      <c r="L57" s="105">
        <v>2</v>
      </c>
      <c r="M57" s="105">
        <v>3</v>
      </c>
      <c r="N57" s="105">
        <v>4</v>
      </c>
      <c r="O57" s="105">
        <v>1</v>
      </c>
      <c r="P57" s="105">
        <v>2</v>
      </c>
      <c r="Q57" s="105">
        <v>3</v>
      </c>
      <c r="R57" s="105">
        <v>4</v>
      </c>
      <c r="S57" s="105">
        <v>1</v>
      </c>
      <c r="T57" s="105">
        <v>2</v>
      </c>
      <c r="U57" s="105">
        <v>3</v>
      </c>
      <c r="V57" s="105">
        <v>4</v>
      </c>
      <c r="W57" s="105">
        <v>1</v>
      </c>
      <c r="X57" s="105">
        <v>2</v>
      </c>
      <c r="Y57" s="105">
        <v>3</v>
      </c>
      <c r="Z57" s="105">
        <v>4</v>
      </c>
      <c r="AA57" s="105">
        <v>1</v>
      </c>
      <c r="AB57" s="105">
        <v>2</v>
      </c>
      <c r="AC57" s="105">
        <v>3</v>
      </c>
      <c r="AD57" s="105">
        <v>4</v>
      </c>
      <c r="AE57" s="105">
        <v>1</v>
      </c>
      <c r="AF57" s="105">
        <v>2</v>
      </c>
      <c r="AG57" s="105">
        <v>3</v>
      </c>
      <c r="AH57" s="105">
        <v>4</v>
      </c>
      <c r="AI57" s="105">
        <v>1</v>
      </c>
      <c r="AJ57" s="105">
        <v>2</v>
      </c>
      <c r="AK57" s="105">
        <v>3</v>
      </c>
      <c r="AL57" s="105">
        <v>4</v>
      </c>
      <c r="AM57" s="105">
        <v>1</v>
      </c>
      <c r="AN57" s="105">
        <v>2</v>
      </c>
      <c r="AO57" s="105">
        <v>3</v>
      </c>
      <c r="AP57" s="105">
        <v>4</v>
      </c>
      <c r="AQ57" s="105">
        <v>1</v>
      </c>
      <c r="AR57" s="105">
        <v>2</v>
      </c>
      <c r="AS57" s="105">
        <v>3</v>
      </c>
      <c r="AT57" s="105">
        <v>4</v>
      </c>
      <c r="AU57" s="105">
        <v>1</v>
      </c>
      <c r="AV57" s="105">
        <v>2</v>
      </c>
      <c r="AW57" s="105">
        <v>3</v>
      </c>
      <c r="AX57" s="105">
        <v>4</v>
      </c>
    </row>
    <row r="58" spans="2:51">
      <c r="B58" s="105" t="s">
        <v>104</v>
      </c>
      <c r="C58" s="100">
        <v>3286190.34653363</v>
      </c>
      <c r="D58" s="100">
        <v>3286190.34653363</v>
      </c>
      <c r="E58" s="100">
        <v>3286190.34653363</v>
      </c>
      <c r="F58" s="100">
        <v>3286190.34653363</v>
      </c>
      <c r="G58" s="100">
        <v>3812780.4202257553</v>
      </c>
      <c r="H58" s="100">
        <v>3812780.4202257553</v>
      </c>
      <c r="I58" s="100">
        <v>3812780.4202257553</v>
      </c>
      <c r="J58" s="100">
        <v>3812780.4202257553</v>
      </c>
      <c r="K58" s="100">
        <v>3453021.1236409992</v>
      </c>
      <c r="L58" s="100">
        <v>3453021.1236409992</v>
      </c>
      <c r="M58" s="100">
        <v>3453021.1236409992</v>
      </c>
      <c r="N58" s="100">
        <v>3453021.1236409992</v>
      </c>
      <c r="O58" s="100">
        <v>3325922.3290267908</v>
      </c>
      <c r="P58" s="100">
        <v>3325922.3290267908</v>
      </c>
      <c r="Q58" s="100">
        <v>3325922.3290267908</v>
      </c>
      <c r="R58" s="100">
        <v>3325922.3290267908</v>
      </c>
      <c r="S58" s="100">
        <v>3579724.2568001584</v>
      </c>
      <c r="T58" s="100">
        <v>3579724.2568001584</v>
      </c>
      <c r="U58" s="100">
        <v>3579724.2568001584</v>
      </c>
      <c r="V58" s="100">
        <v>3579724.2568001584</v>
      </c>
      <c r="W58" s="100">
        <v>3849664.32356663</v>
      </c>
      <c r="X58" s="100">
        <v>3849664.32356663</v>
      </c>
      <c r="Y58" s="100">
        <v>3849664.32356663</v>
      </c>
      <c r="Z58" s="100">
        <v>3849664.32356663</v>
      </c>
      <c r="AA58" s="100">
        <v>3276683.0814993237</v>
      </c>
      <c r="AB58" s="100">
        <v>3276683.0814993237</v>
      </c>
      <c r="AC58" s="100">
        <v>3276683.0814993237</v>
      </c>
      <c r="AD58" s="100">
        <v>3276683.0814993237</v>
      </c>
      <c r="AE58" s="100">
        <v>3481548.2571551306</v>
      </c>
      <c r="AF58" s="100">
        <v>3481548.2571551306</v>
      </c>
      <c r="AG58" s="100">
        <v>3481548.2571551306</v>
      </c>
      <c r="AH58" s="100">
        <v>3481548.2571551306</v>
      </c>
      <c r="AI58" s="100">
        <v>3544137.0790680423</v>
      </c>
      <c r="AJ58" s="100">
        <v>3544137.0790680423</v>
      </c>
      <c r="AK58" s="100">
        <v>3544137.0790680423</v>
      </c>
      <c r="AL58" s="100">
        <v>3544137.0790680423</v>
      </c>
      <c r="AM58" s="100">
        <v>3510019.6979339737</v>
      </c>
      <c r="AN58" s="100">
        <v>3510019.6979339737</v>
      </c>
      <c r="AO58" s="100">
        <v>3510019.6979339737</v>
      </c>
      <c r="AP58" s="100">
        <v>3510019.6979339737</v>
      </c>
      <c r="AQ58" s="100">
        <v>4135495.9925043494</v>
      </c>
      <c r="AR58" s="100">
        <v>4135495.9925043494</v>
      </c>
      <c r="AS58" s="100">
        <v>4135495.9925043494</v>
      </c>
      <c r="AT58" s="100">
        <v>4135495.9925043494</v>
      </c>
      <c r="AU58" s="100">
        <v>3252195.2826109449</v>
      </c>
      <c r="AV58" s="100">
        <v>3252195.2826109449</v>
      </c>
      <c r="AW58" s="100">
        <v>3252195.2826109449</v>
      </c>
      <c r="AX58" s="100">
        <v>3252195.2826109449</v>
      </c>
    </row>
    <row r="59" spans="2:51">
      <c r="B59" s="105" t="s">
        <v>105</v>
      </c>
      <c r="C59" s="100">
        <v>2.7118607200486624E-17</v>
      </c>
      <c r="D59" s="100">
        <v>2.7118607200486624E-17</v>
      </c>
      <c r="E59" s="100">
        <v>2.7118607200486624E-17</v>
      </c>
      <c r="F59" s="100">
        <v>2.7118607200486624E-17</v>
      </c>
      <c r="G59" s="100">
        <v>3.132283918399808E-17</v>
      </c>
      <c r="H59" s="100">
        <v>3.132283918399808E-17</v>
      </c>
      <c r="I59" s="100">
        <v>3.132283918399808E-17</v>
      </c>
      <c r="J59" s="100">
        <v>3.132283918399808E-17</v>
      </c>
      <c r="K59" s="100">
        <v>3.2313841906828652E-17</v>
      </c>
      <c r="L59" s="100">
        <v>3.2313841906828652E-17</v>
      </c>
      <c r="M59" s="100">
        <v>3.2313841906828652E-17</v>
      </c>
      <c r="N59" s="100">
        <v>3.2313841906828652E-17</v>
      </c>
      <c r="O59" s="100">
        <v>2.9454914579006726E-17</v>
      </c>
      <c r="P59" s="100">
        <v>2.9454914579006726E-17</v>
      </c>
      <c r="Q59" s="100">
        <v>2.9454914579006726E-17</v>
      </c>
      <c r="R59" s="100">
        <v>2.9454914579006726E-17</v>
      </c>
      <c r="S59" s="100">
        <v>3.1522917760970765E-17</v>
      </c>
      <c r="T59" s="100">
        <v>3.1522917760970765E-17</v>
      </c>
      <c r="U59" s="100">
        <v>3.1522917760970765E-17</v>
      </c>
      <c r="V59" s="100">
        <v>3.1522917760970765E-17</v>
      </c>
      <c r="W59" s="100">
        <v>2.9759194513309428E-17</v>
      </c>
      <c r="X59" s="100">
        <v>2.9759194513309428E-17</v>
      </c>
      <c r="Y59" s="100">
        <v>2.9759194513309428E-17</v>
      </c>
      <c r="Z59" s="100">
        <v>2.9759194513309428E-17</v>
      </c>
      <c r="AA59" s="100">
        <v>3.1255958437354223E-17</v>
      </c>
      <c r="AB59" s="100">
        <v>3.1255958437354223E-17</v>
      </c>
      <c r="AC59" s="100">
        <v>3.1255958437354223E-17</v>
      </c>
      <c r="AD59" s="100">
        <v>3.1255958437354223E-17</v>
      </c>
      <c r="AE59" s="100">
        <v>2.7495487540012821E-17</v>
      </c>
      <c r="AF59" s="100">
        <v>2.7495487540012821E-17</v>
      </c>
      <c r="AG59" s="100">
        <v>2.7495487540012821E-17</v>
      </c>
      <c r="AH59" s="100">
        <v>2.7495487540012821E-17</v>
      </c>
      <c r="AI59" s="100">
        <v>3.2466451944517774E-17</v>
      </c>
      <c r="AJ59" s="100">
        <v>3.2466451944517774E-17</v>
      </c>
      <c r="AK59" s="100">
        <v>3.2466451944517774E-17</v>
      </c>
      <c r="AL59" s="100">
        <v>3.2466451944517774E-17</v>
      </c>
      <c r="AM59" s="100">
        <v>2.9574214555720106E-17</v>
      </c>
      <c r="AN59" s="100">
        <v>2.9574214555720106E-17</v>
      </c>
      <c r="AO59" s="100">
        <v>2.9574214555720106E-17</v>
      </c>
      <c r="AP59" s="100">
        <v>2.9574214555720106E-17</v>
      </c>
      <c r="AQ59" s="100">
        <v>2.8179037571967673E-17</v>
      </c>
      <c r="AR59" s="100">
        <v>2.8179037571967673E-17</v>
      </c>
      <c r="AS59" s="100">
        <v>2.8179037571967673E-17</v>
      </c>
      <c r="AT59" s="100">
        <v>2.8179037571967673E-17</v>
      </c>
      <c r="AU59" s="100">
        <v>3.014162895444792E-17</v>
      </c>
      <c r="AV59" s="100">
        <v>3.014162895444792E-17</v>
      </c>
      <c r="AW59" s="100">
        <v>3.014162895444792E-17</v>
      </c>
      <c r="AX59" s="100">
        <v>3.014162895444792E-17</v>
      </c>
    </row>
    <row r="60" spans="2:51">
      <c r="B60" s="105" t="s">
        <v>106</v>
      </c>
      <c r="C60" s="100">
        <v>223050.54902019311</v>
      </c>
      <c r="D60" s="100">
        <v>223050.54902019311</v>
      </c>
      <c r="E60" s="100">
        <v>223050.54902019311</v>
      </c>
      <c r="F60" s="100">
        <v>223050.54902019311</v>
      </c>
      <c r="G60" s="100">
        <v>200260.64699963847</v>
      </c>
      <c r="H60" s="100">
        <v>200260.64699963847</v>
      </c>
      <c r="I60" s="100">
        <v>200260.64699963847</v>
      </c>
      <c r="J60" s="100">
        <v>200260.64699963847</v>
      </c>
      <c r="K60" s="100">
        <v>202558.07450042322</v>
      </c>
      <c r="L60" s="100">
        <v>202558.07450042322</v>
      </c>
      <c r="M60" s="100">
        <v>202558.07450042322</v>
      </c>
      <c r="N60" s="100">
        <v>202558.07450042322</v>
      </c>
      <c r="O60" s="100">
        <v>227503.02923849307</v>
      </c>
      <c r="P60" s="100">
        <v>227503.02923849307</v>
      </c>
      <c r="Q60" s="100">
        <v>227503.02923849307</v>
      </c>
      <c r="R60" s="100">
        <v>227503.02923849307</v>
      </c>
      <c r="S60" s="100">
        <v>206196.95605676412</v>
      </c>
      <c r="T60" s="100">
        <v>206196.95605676412</v>
      </c>
      <c r="U60" s="100">
        <v>206196.95605676412</v>
      </c>
      <c r="V60" s="100">
        <v>206196.95605676412</v>
      </c>
      <c r="W60" s="100">
        <v>205323.77150035149</v>
      </c>
      <c r="X60" s="100">
        <v>205323.77150035149</v>
      </c>
      <c r="Y60" s="100">
        <v>205323.77150035149</v>
      </c>
      <c r="Z60" s="100">
        <v>205323.77150035149</v>
      </c>
      <c r="AA60" s="100">
        <v>216202.11462910342</v>
      </c>
      <c r="AB60" s="100">
        <v>216202.11462910342</v>
      </c>
      <c r="AC60" s="100">
        <v>216202.11462910342</v>
      </c>
      <c r="AD60" s="100">
        <v>216202.11462910342</v>
      </c>
      <c r="AE60" s="100">
        <v>211355.10482598076</v>
      </c>
      <c r="AF60" s="100">
        <v>211355.10482598076</v>
      </c>
      <c r="AG60" s="100">
        <v>211355.10482598076</v>
      </c>
      <c r="AH60" s="100">
        <v>211355.10482598076</v>
      </c>
      <c r="AI60" s="100">
        <v>201096.26132267105</v>
      </c>
      <c r="AJ60" s="100">
        <v>201096.26132267105</v>
      </c>
      <c r="AK60" s="100">
        <v>201096.26132267105</v>
      </c>
      <c r="AL60" s="100">
        <v>201096.26132267105</v>
      </c>
      <c r="AM60" s="100">
        <v>214054.949380707</v>
      </c>
      <c r="AN60" s="100">
        <v>214054.949380707</v>
      </c>
      <c r="AO60" s="100">
        <v>214054.949380707</v>
      </c>
      <c r="AP60" s="100">
        <v>214054.949380707</v>
      </c>
      <c r="AQ60" s="100">
        <v>217643.64731342514</v>
      </c>
      <c r="AR60" s="100">
        <v>217643.64731342514</v>
      </c>
      <c r="AS60" s="100">
        <v>217643.64731342514</v>
      </c>
      <c r="AT60" s="100">
        <v>217643.64731342514</v>
      </c>
      <c r="AU60" s="100">
        <v>196119.01546608814</v>
      </c>
      <c r="AV60" s="100">
        <v>196119.01546608814</v>
      </c>
      <c r="AW60" s="100">
        <v>196119.01546608814</v>
      </c>
      <c r="AX60" s="100">
        <v>196119.01546608814</v>
      </c>
    </row>
    <row r="61" spans="2:51">
      <c r="B61" s="105" t="s">
        <v>107</v>
      </c>
      <c r="C61" s="100">
        <v>1163254.8220871279</v>
      </c>
      <c r="D61" s="100">
        <v>1163254.8220871279</v>
      </c>
      <c r="E61" s="100">
        <v>1163254.8220871279</v>
      </c>
      <c r="F61" s="100">
        <v>1163254.8220871279</v>
      </c>
      <c r="G61" s="100">
        <v>1103315.0665657169</v>
      </c>
      <c r="H61" s="100">
        <v>1103315.0665657169</v>
      </c>
      <c r="I61" s="100">
        <v>1103315.0665657169</v>
      </c>
      <c r="J61" s="100">
        <v>1103315.0665657169</v>
      </c>
      <c r="K61" s="100">
        <v>1119370.2962269455</v>
      </c>
      <c r="L61" s="100">
        <v>1119370.2962269455</v>
      </c>
      <c r="M61" s="100">
        <v>1119370.2962269455</v>
      </c>
      <c r="N61" s="100">
        <v>1119370.2962269455</v>
      </c>
      <c r="O61" s="100">
        <v>1161016.1032162644</v>
      </c>
      <c r="P61" s="100">
        <v>1161016.1032162644</v>
      </c>
      <c r="Q61" s="100">
        <v>1161016.1032162644</v>
      </c>
      <c r="R61" s="100">
        <v>1161016.1032162644</v>
      </c>
      <c r="S61" s="100">
        <v>1087740.6755817689</v>
      </c>
      <c r="T61" s="100">
        <v>1087740.6755817689</v>
      </c>
      <c r="U61" s="100">
        <v>1087740.6755817689</v>
      </c>
      <c r="V61" s="100">
        <v>1087740.6755817689</v>
      </c>
      <c r="W61" s="100">
        <v>1119940.4400530427</v>
      </c>
      <c r="X61" s="100">
        <v>1119940.4400530427</v>
      </c>
      <c r="Y61" s="100">
        <v>1119940.4400530427</v>
      </c>
      <c r="Z61" s="100">
        <v>1119940.4400530427</v>
      </c>
      <c r="AA61" s="100">
        <v>1105173.3584636066</v>
      </c>
      <c r="AB61" s="100">
        <v>1105173.3584636066</v>
      </c>
      <c r="AC61" s="100">
        <v>1105173.3584636066</v>
      </c>
      <c r="AD61" s="100">
        <v>1105173.3584636066</v>
      </c>
      <c r="AE61" s="100">
        <v>1267614.9171629513</v>
      </c>
      <c r="AF61" s="100">
        <v>1267614.9171629513</v>
      </c>
      <c r="AG61" s="100">
        <v>1267614.9171629513</v>
      </c>
      <c r="AH61" s="100">
        <v>514475.45812371233</v>
      </c>
      <c r="AI61" s="100">
        <v>1100474.3804147399</v>
      </c>
      <c r="AJ61" s="100">
        <v>1100474.3804147399</v>
      </c>
      <c r="AK61" s="100">
        <v>1100474.3804147399</v>
      </c>
      <c r="AL61" s="100">
        <v>1100474.3804147399</v>
      </c>
      <c r="AM61" s="100">
        <v>1107761.2249650955</v>
      </c>
      <c r="AN61" s="100">
        <v>1107761.2249650955</v>
      </c>
      <c r="AO61" s="100">
        <v>1107761.2249650955</v>
      </c>
      <c r="AP61" s="100">
        <v>1107761.2249650955</v>
      </c>
      <c r="AQ61" s="100">
        <v>1202288.5720579994</v>
      </c>
      <c r="AR61" s="100">
        <v>1202288.5720579994</v>
      </c>
      <c r="AS61" s="100">
        <v>1202288.5720579994</v>
      </c>
      <c r="AT61" s="100">
        <v>1202288.5720579994</v>
      </c>
      <c r="AU61" s="100">
        <v>1091519.0988965051</v>
      </c>
      <c r="AV61" s="100">
        <v>1091519.0988965051</v>
      </c>
      <c r="AW61" s="100">
        <v>1091519.0988965051</v>
      </c>
      <c r="AX61" s="100">
        <v>1091519.0988965051</v>
      </c>
    </row>
    <row r="62" spans="2:51">
      <c r="B62" s="105" t="s">
        <v>108</v>
      </c>
      <c r="C62" s="100">
        <v>5.4106771889131175E-17</v>
      </c>
      <c r="D62" s="100">
        <v>5.4106771889131175E-17</v>
      </c>
      <c r="E62" s="100">
        <v>5.4106771889131175E-17</v>
      </c>
      <c r="F62" s="100">
        <v>5.4106771889131175E-17</v>
      </c>
      <c r="G62" s="100">
        <v>0</v>
      </c>
      <c r="H62" s="100">
        <v>0</v>
      </c>
      <c r="I62" s="100">
        <v>0</v>
      </c>
      <c r="J62" s="100">
        <v>0</v>
      </c>
      <c r="K62" s="100">
        <v>0</v>
      </c>
      <c r="L62" s="100">
        <v>0</v>
      </c>
      <c r="M62" s="100">
        <v>0</v>
      </c>
      <c r="N62" s="100">
        <v>0</v>
      </c>
      <c r="O62" s="100">
        <v>0</v>
      </c>
      <c r="P62" s="100">
        <v>0</v>
      </c>
      <c r="Q62" s="100">
        <v>0</v>
      </c>
      <c r="R62" s="100">
        <v>0</v>
      </c>
      <c r="S62" s="100">
        <v>0</v>
      </c>
      <c r="T62" s="100">
        <v>0</v>
      </c>
      <c r="U62" s="100">
        <v>0</v>
      </c>
      <c r="V62" s="100">
        <v>0</v>
      </c>
      <c r="W62" s="100">
        <v>0</v>
      </c>
      <c r="X62" s="100">
        <v>0</v>
      </c>
      <c r="Y62" s="100">
        <v>0</v>
      </c>
      <c r="Z62" s="100">
        <v>0</v>
      </c>
      <c r="AA62" s="100">
        <v>0</v>
      </c>
      <c r="AB62" s="100">
        <v>0</v>
      </c>
      <c r="AC62" s="100">
        <v>0</v>
      </c>
      <c r="AD62" s="100">
        <v>0</v>
      </c>
      <c r="AE62" s="100">
        <v>0</v>
      </c>
      <c r="AF62" s="100">
        <v>0</v>
      </c>
      <c r="AG62" s="100">
        <v>0</v>
      </c>
      <c r="AH62" s="100">
        <v>0</v>
      </c>
      <c r="AI62" s="100">
        <v>0</v>
      </c>
      <c r="AJ62" s="100">
        <v>0</v>
      </c>
      <c r="AK62" s="100">
        <v>0</v>
      </c>
      <c r="AL62" s="100">
        <v>0</v>
      </c>
      <c r="AM62" s="100">
        <v>0</v>
      </c>
      <c r="AN62" s="100">
        <v>0</v>
      </c>
      <c r="AO62" s="100">
        <v>0</v>
      </c>
      <c r="AP62" s="100">
        <v>0</v>
      </c>
      <c r="AQ62" s="100">
        <v>0</v>
      </c>
      <c r="AR62" s="100">
        <v>0</v>
      </c>
      <c r="AS62" s="100">
        <v>0</v>
      </c>
      <c r="AT62" s="100">
        <v>0</v>
      </c>
      <c r="AU62" s="100">
        <v>0</v>
      </c>
      <c r="AV62" s="100">
        <v>0</v>
      </c>
      <c r="AW62" s="100">
        <v>0</v>
      </c>
      <c r="AX62" s="100">
        <v>0</v>
      </c>
    </row>
    <row r="63" spans="2:51">
      <c r="B63" s="105" t="s">
        <v>109</v>
      </c>
      <c r="C63" s="100">
        <v>5.4992183788408536E-18</v>
      </c>
      <c r="D63" s="100">
        <v>5.4992183788408536E-18</v>
      </c>
      <c r="E63" s="100">
        <v>5.4992183788408536E-18</v>
      </c>
      <c r="F63" s="100">
        <v>5.4992183788408536E-18</v>
      </c>
      <c r="G63" s="100">
        <v>6.7321864638873767E-18</v>
      </c>
      <c r="H63" s="100">
        <v>6.7321864638873767E-18</v>
      </c>
      <c r="I63" s="100">
        <v>6.7321864638873767E-18</v>
      </c>
      <c r="J63" s="100">
        <v>6.7321864638873767E-18</v>
      </c>
      <c r="K63" s="100">
        <v>7.2338959645361973E-18</v>
      </c>
      <c r="L63" s="100">
        <v>7.2338959645361973E-18</v>
      </c>
      <c r="M63" s="100">
        <v>7.2338959645361973E-18</v>
      </c>
      <c r="N63" s="100">
        <v>7.2338959645361973E-18</v>
      </c>
      <c r="O63" s="100">
        <v>5.4261249237370208E-18</v>
      </c>
      <c r="P63" s="100">
        <v>5.4261249237370208E-18</v>
      </c>
      <c r="Q63" s="100">
        <v>5.4261249237370208E-18</v>
      </c>
      <c r="R63" s="100">
        <v>5.4261249237370208E-18</v>
      </c>
      <c r="S63" s="100">
        <v>7.2870879652030743E-18</v>
      </c>
      <c r="T63" s="100">
        <v>7.2870879652030743E-18</v>
      </c>
      <c r="U63" s="100">
        <v>7.2870879652030743E-18</v>
      </c>
      <c r="V63" s="100">
        <v>7.2870879652030743E-18</v>
      </c>
      <c r="W63" s="100">
        <v>6.2273965883604162E-18</v>
      </c>
      <c r="X63" s="100">
        <v>6.2273965883604162E-18</v>
      </c>
      <c r="Y63" s="100">
        <v>6.2273965883604162E-18</v>
      </c>
      <c r="Z63" s="100">
        <v>6.2273965883604162E-18</v>
      </c>
      <c r="AA63" s="100">
        <v>6.6456594355276467E-18</v>
      </c>
      <c r="AB63" s="100">
        <v>6.6456594355276467E-18</v>
      </c>
      <c r="AC63" s="100">
        <v>6.6456594355276467E-18</v>
      </c>
      <c r="AD63" s="100">
        <v>6.6456594355276467E-18</v>
      </c>
      <c r="AE63" s="100">
        <v>5.5586036628047227E-18</v>
      </c>
      <c r="AF63" s="100">
        <v>5.5586036628047227E-18</v>
      </c>
      <c r="AG63" s="100">
        <v>5.5586036628047227E-18</v>
      </c>
      <c r="AH63" s="100">
        <v>5.5586036628047227E-18</v>
      </c>
      <c r="AI63" s="100">
        <v>5.4739881349300811E-18</v>
      </c>
      <c r="AJ63" s="100">
        <v>5.4739881349300811E-18</v>
      </c>
      <c r="AK63" s="100">
        <v>5.4739881349300811E-18</v>
      </c>
      <c r="AL63" s="100">
        <v>5.4739881349300811E-18</v>
      </c>
      <c r="AM63" s="100">
        <v>6.4619968503370401E-18</v>
      </c>
      <c r="AN63" s="100">
        <v>6.4619968503370401E-18</v>
      </c>
      <c r="AO63" s="100">
        <v>6.4619968503370401E-18</v>
      </c>
      <c r="AP63" s="100">
        <v>6.4619968503370401E-18</v>
      </c>
      <c r="AQ63" s="100">
        <v>6.6062904391247072E-18</v>
      </c>
      <c r="AR63" s="100">
        <v>6.6062904391247072E-18</v>
      </c>
      <c r="AS63" s="100">
        <v>6.6062904391247072E-18</v>
      </c>
      <c r="AT63" s="100">
        <v>6.6062904391247072E-18</v>
      </c>
      <c r="AU63" s="100">
        <v>6.3107251839046337E-18</v>
      </c>
      <c r="AV63" s="100">
        <v>6.3107251839046337E-18</v>
      </c>
      <c r="AW63" s="100">
        <v>6.3107251839046337E-18</v>
      </c>
      <c r="AX63" s="100">
        <v>6.3107251839046337E-18</v>
      </c>
    </row>
    <row r="64" spans="2:51">
      <c r="B64" s="101"/>
    </row>
    <row r="65" spans="1:14">
      <c r="B65" s="104" t="s">
        <v>327</v>
      </c>
    </row>
    <row r="66" spans="1:14">
      <c r="B66" s="99" t="s">
        <v>328</v>
      </c>
      <c r="C66" s="99" t="s">
        <v>92</v>
      </c>
      <c r="D66" s="99" t="s">
        <v>93</v>
      </c>
      <c r="E66" s="99" t="s">
        <v>94</v>
      </c>
      <c r="F66" s="99" t="s">
        <v>95</v>
      </c>
      <c r="G66" s="99" t="s">
        <v>96</v>
      </c>
      <c r="H66" s="99" t="s">
        <v>97</v>
      </c>
      <c r="I66" s="99" t="s">
        <v>98</v>
      </c>
      <c r="J66" s="99" t="s">
        <v>99</v>
      </c>
      <c r="K66" s="99" t="s">
        <v>100</v>
      </c>
      <c r="L66" s="99" t="s">
        <v>101</v>
      </c>
      <c r="M66" s="99" t="s">
        <v>102</v>
      </c>
      <c r="N66" s="99" t="s">
        <v>103</v>
      </c>
    </row>
    <row r="67" spans="1:14">
      <c r="B67" s="99" t="s">
        <v>329</v>
      </c>
      <c r="C67" s="100">
        <v>0.30879398599500135</v>
      </c>
      <c r="D67" s="100">
        <v>0.30879398599500135</v>
      </c>
      <c r="E67" s="100">
        <v>0.30879398599500135</v>
      </c>
      <c r="F67" s="100">
        <v>0.30879398599500135</v>
      </c>
      <c r="G67" s="100">
        <v>0.30879398599500135</v>
      </c>
      <c r="H67" s="100">
        <v>0.30879398599500135</v>
      </c>
      <c r="I67" s="100">
        <v>0.30879398599500135</v>
      </c>
      <c r="J67" s="100">
        <v>0.30879398599500135</v>
      </c>
      <c r="K67" s="100">
        <v>0.30879398599500135</v>
      </c>
      <c r="L67" s="100">
        <v>0.30879398599500135</v>
      </c>
      <c r="M67" s="100">
        <v>0.30879398599500135</v>
      </c>
      <c r="N67" s="100">
        <v>0.30879398599500135</v>
      </c>
    </row>
    <row r="68" spans="1:14">
      <c r="B68" s="99" t="s">
        <v>330</v>
      </c>
      <c r="C68" s="100">
        <v>0.42743943832054554</v>
      </c>
      <c r="D68" s="100">
        <v>0.42743943832054554</v>
      </c>
      <c r="E68" s="100">
        <v>0.42743943832054554</v>
      </c>
      <c r="F68" s="100">
        <v>0.42743943832054554</v>
      </c>
      <c r="G68" s="100">
        <v>0.42743943832054554</v>
      </c>
      <c r="H68" s="100">
        <v>0.42743943832054554</v>
      </c>
      <c r="I68" s="100">
        <v>0.42743943832054554</v>
      </c>
      <c r="J68" s="100">
        <v>0.42743943832054554</v>
      </c>
      <c r="K68" s="100">
        <v>0.42743943832054554</v>
      </c>
      <c r="L68" s="100">
        <v>0.42743943832054554</v>
      </c>
      <c r="M68" s="100">
        <v>0.42743943832054554</v>
      </c>
      <c r="N68" s="100">
        <v>0.42743943832054554</v>
      </c>
    </row>
    <row r="70" spans="1:14">
      <c r="B70" s="104" t="s">
        <v>331</v>
      </c>
    </row>
    <row r="71" spans="1:14">
      <c r="A71" s="105" t="s">
        <v>121</v>
      </c>
      <c r="B71" s="105" t="s">
        <v>332</v>
      </c>
      <c r="C71" s="105" t="s">
        <v>22</v>
      </c>
      <c r="D71" s="105" t="s">
        <v>46</v>
      </c>
      <c r="E71" s="105" t="s">
        <v>59</v>
      </c>
    </row>
    <row r="72" spans="1:14">
      <c r="A72" s="105" t="s">
        <v>104</v>
      </c>
      <c r="B72" s="105" t="s">
        <v>92</v>
      </c>
      <c r="C72" s="100">
        <v>19.873221966459848</v>
      </c>
      <c r="D72" s="100">
        <v>42.683299422660149</v>
      </c>
      <c r="E72" s="100">
        <v>73.191544286252622</v>
      </c>
    </row>
    <row r="73" spans="1:14">
      <c r="B73" s="105" t="s">
        <v>93</v>
      </c>
      <c r="C73" s="100">
        <v>19.873221966459848</v>
      </c>
      <c r="D73" s="100">
        <v>42.683299422660149</v>
      </c>
      <c r="E73" s="100">
        <v>73.191544286252622</v>
      </c>
    </row>
    <row r="74" spans="1:14">
      <c r="B74" s="105" t="s">
        <v>94</v>
      </c>
      <c r="C74" s="100">
        <v>19.873221966459848</v>
      </c>
      <c r="D74" s="100">
        <v>42.683299422660149</v>
      </c>
      <c r="E74" s="100">
        <v>73.191544286252622</v>
      </c>
    </row>
    <row r="75" spans="1:14">
      <c r="B75" s="105" t="s">
        <v>95</v>
      </c>
      <c r="C75" s="100">
        <v>19.873221966459848</v>
      </c>
      <c r="D75" s="100">
        <v>42.683299422660149</v>
      </c>
      <c r="E75" s="100">
        <v>73.191544286252622</v>
      </c>
    </row>
    <row r="76" spans="1:14">
      <c r="B76" s="105" t="s">
        <v>96</v>
      </c>
      <c r="C76" s="100">
        <v>19.873221966459848</v>
      </c>
      <c r="D76" s="100">
        <v>42.683299422660149</v>
      </c>
      <c r="E76" s="100">
        <v>73.191544286252622</v>
      </c>
    </row>
    <row r="77" spans="1:14">
      <c r="B77" s="105" t="s">
        <v>97</v>
      </c>
      <c r="C77" s="100">
        <v>19.873221966459848</v>
      </c>
      <c r="D77" s="100">
        <v>42.683299422660149</v>
      </c>
      <c r="E77" s="100">
        <v>73.191544286252622</v>
      </c>
    </row>
    <row r="78" spans="1:14">
      <c r="B78" s="105" t="s">
        <v>98</v>
      </c>
      <c r="C78" s="100">
        <v>19.873221966459848</v>
      </c>
      <c r="D78" s="100">
        <v>42.683299422660149</v>
      </c>
      <c r="E78" s="100">
        <v>73.191544286252622</v>
      </c>
    </row>
    <row r="79" spans="1:14">
      <c r="B79" s="105" t="s">
        <v>99</v>
      </c>
      <c r="C79" s="100">
        <v>19.873221966459848</v>
      </c>
      <c r="D79" s="100">
        <v>42.683299422660149</v>
      </c>
      <c r="E79" s="100">
        <v>73.191544286252622</v>
      </c>
    </row>
    <row r="80" spans="1:14">
      <c r="B80" s="105" t="s">
        <v>100</v>
      </c>
      <c r="C80" s="100">
        <v>19.873221966459848</v>
      </c>
      <c r="D80" s="100">
        <v>42.683299422660149</v>
      </c>
      <c r="E80" s="100">
        <v>73.191544286252622</v>
      </c>
    </row>
    <row r="81" spans="2:50">
      <c r="B81" s="105" t="s">
        <v>101</v>
      </c>
      <c r="C81" s="100">
        <v>19.873221966459848</v>
      </c>
      <c r="D81" s="100">
        <v>42.683299422660149</v>
      </c>
      <c r="E81" s="100">
        <v>73.191544286252622</v>
      </c>
    </row>
    <row r="82" spans="2:50">
      <c r="B82" s="105" t="s">
        <v>102</v>
      </c>
      <c r="C82" s="100">
        <v>19.873221966459848</v>
      </c>
      <c r="D82" s="100">
        <v>42.683299422660149</v>
      </c>
      <c r="E82" s="100">
        <v>73.191544286252622</v>
      </c>
    </row>
    <row r="83" spans="2:50">
      <c r="B83" s="105" t="s">
        <v>103</v>
      </c>
      <c r="C83" s="100">
        <v>19.873221966459848</v>
      </c>
      <c r="D83" s="100">
        <v>42.683299422660149</v>
      </c>
      <c r="E83" s="100">
        <v>73.191544286252622</v>
      </c>
    </row>
    <row r="85" spans="2:50">
      <c r="B85" s="103" t="s">
        <v>333</v>
      </c>
    </row>
    <row r="86" spans="2:50">
      <c r="B86" s="99" t="s">
        <v>274</v>
      </c>
      <c r="C86" s="99" t="s">
        <v>92</v>
      </c>
      <c r="D86" s="101"/>
      <c r="E86" s="101"/>
      <c r="F86" s="101"/>
      <c r="G86" s="99" t="s">
        <v>93</v>
      </c>
      <c r="H86" s="101"/>
      <c r="I86" s="101"/>
      <c r="J86" s="101"/>
      <c r="K86" s="99" t="s">
        <v>94</v>
      </c>
      <c r="L86" s="101"/>
      <c r="M86" s="101"/>
      <c r="N86" s="101"/>
      <c r="O86" s="99" t="s">
        <v>95</v>
      </c>
      <c r="P86" s="101"/>
      <c r="Q86" s="101"/>
      <c r="R86" s="101"/>
      <c r="S86" s="99" t="s">
        <v>96</v>
      </c>
      <c r="T86" s="101"/>
      <c r="U86" s="101"/>
      <c r="V86" s="101"/>
      <c r="W86" s="99" t="s">
        <v>97</v>
      </c>
      <c r="X86" s="101"/>
      <c r="Y86" s="101"/>
      <c r="Z86" s="101"/>
      <c r="AA86" s="99" t="s">
        <v>98</v>
      </c>
      <c r="AB86" s="101"/>
      <c r="AC86" s="101"/>
      <c r="AD86" s="101"/>
      <c r="AE86" s="99" t="s">
        <v>99</v>
      </c>
      <c r="AF86" s="101"/>
      <c r="AG86" s="101"/>
      <c r="AH86" s="101"/>
      <c r="AI86" s="99" t="s">
        <v>100</v>
      </c>
      <c r="AJ86" s="101"/>
      <c r="AK86" s="101"/>
      <c r="AL86" s="101"/>
      <c r="AM86" s="99" t="s">
        <v>101</v>
      </c>
      <c r="AN86" s="101"/>
      <c r="AO86" s="101"/>
      <c r="AP86" s="101"/>
      <c r="AQ86" s="99" t="s">
        <v>102</v>
      </c>
      <c r="AR86" s="101"/>
      <c r="AS86" s="101"/>
      <c r="AT86" s="101"/>
      <c r="AU86" s="99" t="s">
        <v>103</v>
      </c>
      <c r="AV86" s="101"/>
      <c r="AW86" s="101"/>
    </row>
    <row r="87" spans="2:50">
      <c r="B87" s="99" t="s">
        <v>334</v>
      </c>
      <c r="C87" s="99">
        <v>1</v>
      </c>
      <c r="D87" s="99">
        <v>2</v>
      </c>
      <c r="E87" s="99">
        <v>3</v>
      </c>
      <c r="F87" s="99">
        <v>4</v>
      </c>
      <c r="G87" s="99">
        <v>1</v>
      </c>
      <c r="H87" s="99">
        <v>2</v>
      </c>
      <c r="I87" s="99">
        <v>3</v>
      </c>
      <c r="J87" s="99">
        <v>4</v>
      </c>
      <c r="K87" s="99">
        <v>1</v>
      </c>
      <c r="L87" s="99">
        <v>2</v>
      </c>
      <c r="M87" s="99">
        <v>3</v>
      </c>
      <c r="N87" s="99">
        <v>4</v>
      </c>
      <c r="O87" s="99">
        <v>1</v>
      </c>
      <c r="P87" s="99">
        <v>2</v>
      </c>
      <c r="Q87" s="99">
        <v>3</v>
      </c>
      <c r="R87" s="99">
        <v>4</v>
      </c>
      <c r="S87" s="99">
        <v>1</v>
      </c>
      <c r="T87" s="99">
        <v>2</v>
      </c>
      <c r="U87" s="99">
        <v>3</v>
      </c>
      <c r="V87" s="99">
        <v>4</v>
      </c>
      <c r="W87" s="99">
        <v>1</v>
      </c>
      <c r="X87" s="99">
        <v>2</v>
      </c>
      <c r="Y87" s="99">
        <v>3</v>
      </c>
      <c r="Z87" s="99">
        <v>4</v>
      </c>
      <c r="AA87" s="99">
        <v>1</v>
      </c>
      <c r="AB87" s="99">
        <v>2</v>
      </c>
      <c r="AC87" s="99">
        <v>3</v>
      </c>
      <c r="AD87" s="99">
        <v>4</v>
      </c>
      <c r="AE87" s="99">
        <v>1</v>
      </c>
      <c r="AF87" s="99">
        <v>2</v>
      </c>
      <c r="AG87" s="99">
        <v>3</v>
      </c>
      <c r="AH87" s="99">
        <v>4</v>
      </c>
      <c r="AI87" s="99">
        <v>1</v>
      </c>
      <c r="AJ87" s="99">
        <v>2</v>
      </c>
      <c r="AK87" s="99">
        <v>3</v>
      </c>
      <c r="AL87" s="99">
        <v>4</v>
      </c>
      <c r="AM87" s="99">
        <v>1</v>
      </c>
      <c r="AN87" s="99">
        <v>2</v>
      </c>
      <c r="AO87" s="99">
        <v>3</v>
      </c>
      <c r="AP87" s="99">
        <v>4</v>
      </c>
      <c r="AQ87" s="99">
        <v>1</v>
      </c>
      <c r="AR87" s="99">
        <v>2</v>
      </c>
      <c r="AS87" s="99">
        <v>3</v>
      </c>
      <c r="AT87" s="99">
        <v>4</v>
      </c>
      <c r="AU87" s="99">
        <v>1</v>
      </c>
      <c r="AV87" s="99">
        <v>2</v>
      </c>
      <c r="AW87" s="99">
        <v>3</v>
      </c>
      <c r="AX87" s="99">
        <v>4</v>
      </c>
    </row>
    <row r="88" spans="2:50">
      <c r="B88" s="99" t="s">
        <v>104</v>
      </c>
      <c r="C88" s="100">
        <f>C48+$C$67/4</f>
        <v>2679.898640732416</v>
      </c>
      <c r="D88" s="100">
        <f>D48+$C$67/4</f>
        <v>2679.898640732416</v>
      </c>
      <c r="E88" s="100">
        <f>E48+$C$67/4</f>
        <v>2679.898640732416</v>
      </c>
      <c r="F88" s="100">
        <f>F48+$C$67/4</f>
        <v>2679.898640732416</v>
      </c>
      <c r="G88" s="100">
        <f>G48+$D$67/4</f>
        <v>2679.898640732416</v>
      </c>
      <c r="H88" s="100">
        <f>H48+$D$67/4</f>
        <v>2679.898640732416</v>
      </c>
      <c r="I88" s="100">
        <f>I48+$D$67/4</f>
        <v>2679.898640732416</v>
      </c>
      <c r="J88" s="100">
        <f>J48+$D$67/4</f>
        <v>2679.898640732416</v>
      </c>
      <c r="K88" s="100">
        <f>K48+$E$67/4</f>
        <v>2679.898640732416</v>
      </c>
      <c r="L88" s="100">
        <f>L48+$E$67/4</f>
        <v>2679.898640732416</v>
      </c>
      <c r="M88" s="100">
        <f>M48+$E$67/4</f>
        <v>2679.898640732416</v>
      </c>
      <c r="N88" s="100">
        <f>N48+$E$67/4</f>
        <v>2679.898640732416</v>
      </c>
      <c r="O88" s="100">
        <f>O48+$F$67/4</f>
        <v>2679.898640732416</v>
      </c>
      <c r="P88" s="100">
        <f>P48+$F$67/4</f>
        <v>2679.898640732416</v>
      </c>
      <c r="Q88" s="100">
        <f>Q48+$F$67/4</f>
        <v>2679.898640732416</v>
      </c>
      <c r="R88" s="100">
        <f>R48+$F$67/4</f>
        <v>2679.898640732416</v>
      </c>
      <c r="S88" s="100">
        <f>S48+$G$67/4</f>
        <v>2679.898640732416</v>
      </c>
      <c r="T88" s="100">
        <f>T48+$G$67/4</f>
        <v>2679.898640732416</v>
      </c>
      <c r="U88" s="100">
        <f>U48+$G$67/4</f>
        <v>2679.898640732416</v>
      </c>
      <c r="V88" s="100">
        <f>V48+$G$67/4</f>
        <v>2679.898640732416</v>
      </c>
      <c r="W88" s="100">
        <f>W48+$H$67/4</f>
        <v>2679.898640732416</v>
      </c>
      <c r="X88" s="100">
        <f>X48+$H$67/4</f>
        <v>2679.898640732416</v>
      </c>
      <c r="Y88" s="100">
        <f>Y48+$H$67/4</f>
        <v>2679.898640732416</v>
      </c>
      <c r="Z88" s="100">
        <f>Z48+$H$67/4</f>
        <v>2679.898640732416</v>
      </c>
      <c r="AA88" s="100">
        <f>AA48+$I$67/4</f>
        <v>2679.898640732416</v>
      </c>
      <c r="AB88" s="100">
        <f>AB48+$I$67/4</f>
        <v>2679.898640732416</v>
      </c>
      <c r="AC88" s="100">
        <f>AC48+$I$67/4</f>
        <v>2679.898640732416</v>
      </c>
      <c r="AD88" s="100">
        <f>AD48+$I$67/4</f>
        <v>2679.898640732416</v>
      </c>
      <c r="AE88" s="100">
        <f>AE48+$J$67/4</f>
        <v>3215.8629291795992</v>
      </c>
      <c r="AF88" s="100">
        <f>AF48+$J$67/4</f>
        <v>3215.8629291795992</v>
      </c>
      <c r="AG88" s="100">
        <f>AG48+$J$67/4</f>
        <v>3215.8629291795992</v>
      </c>
      <c r="AH88" s="100">
        <f>AH48+$J$67/4</f>
        <v>3215.8629291795992</v>
      </c>
      <c r="AI88" s="100">
        <f>AI48+$K$67/4</f>
        <v>2679.898640732416</v>
      </c>
      <c r="AJ88" s="100">
        <f>AJ48+$K$67/4</f>
        <v>2679.898640732416</v>
      </c>
      <c r="AK88" s="100">
        <f>AK48+$K$67/4</f>
        <v>2679.898640732416</v>
      </c>
      <c r="AL88" s="100">
        <f>AL48+$K$67/4</f>
        <v>2679.898640732416</v>
      </c>
      <c r="AM88" s="100">
        <f>AM48+$L$67/4</f>
        <v>2679.898640732416</v>
      </c>
      <c r="AN88" s="100">
        <f>AN48+$L$67/4</f>
        <v>2679.898640732416</v>
      </c>
      <c r="AO88" s="100">
        <f>AO48+$L$67/4</f>
        <v>2679.898640732416</v>
      </c>
      <c r="AP88" s="100">
        <f>AP48+$L$67/4</f>
        <v>2679.898640732416</v>
      </c>
      <c r="AQ88" s="100">
        <f>AQ48+$M$67/4</f>
        <v>2679.898640732416</v>
      </c>
      <c r="AR88" s="100">
        <f>AR48+$M$67/4</f>
        <v>2679.898640732416</v>
      </c>
      <c r="AS88" s="100">
        <f>AS48+$M$67/4</f>
        <v>2679.898640732416</v>
      </c>
      <c r="AT88" s="100">
        <f>AT48+$M$67/4</f>
        <v>2679.898640732416</v>
      </c>
      <c r="AU88" s="100">
        <f>AU48+$N$67/4</f>
        <v>2679.898640732416</v>
      </c>
      <c r="AV88" s="100">
        <f>AV48+$N$67/4</f>
        <v>2679.898640732416</v>
      </c>
      <c r="AW88" s="100">
        <f>AW48+$N$67/4</f>
        <v>2679.898640732416</v>
      </c>
      <c r="AX88" s="100">
        <f>AX48+$N$67/4</f>
        <v>2679.898640732416</v>
      </c>
    </row>
    <row r="89" spans="2:50">
      <c r="B89" s="99" t="s">
        <v>105</v>
      </c>
      <c r="C89" s="100">
        <f>C49</f>
        <v>1.7038639210350439E-20</v>
      </c>
      <c r="D89" s="100">
        <f t="shared" ref="D89:AX93" si="3">D49</f>
        <v>1.7038639210350439E-20</v>
      </c>
      <c r="E89" s="100">
        <f t="shared" si="3"/>
        <v>1.7038639210350439E-20</v>
      </c>
      <c r="F89" s="100">
        <f t="shared" si="3"/>
        <v>1.7038639210350439E-20</v>
      </c>
      <c r="G89" s="100">
        <f t="shared" si="3"/>
        <v>2.1298299012938047E-20</v>
      </c>
      <c r="H89" s="100">
        <f t="shared" si="3"/>
        <v>2.1298299012938047E-20</v>
      </c>
      <c r="I89" s="100">
        <f t="shared" si="3"/>
        <v>2.1298299012938047E-20</v>
      </c>
      <c r="J89" s="100">
        <f t="shared" si="3"/>
        <v>2.1298299012938047E-20</v>
      </c>
      <c r="K89" s="100">
        <f t="shared" si="3"/>
        <v>2.1298299012938047E-20</v>
      </c>
      <c r="L89" s="100">
        <f t="shared" si="3"/>
        <v>2.1298299012938047E-20</v>
      </c>
      <c r="M89" s="100">
        <f t="shared" si="3"/>
        <v>2.1298299012938047E-20</v>
      </c>
      <c r="N89" s="100">
        <f t="shared" si="3"/>
        <v>2.1298299012938047E-20</v>
      </c>
      <c r="O89" s="100">
        <f t="shared" si="3"/>
        <v>2.1298299012938047E-20</v>
      </c>
      <c r="P89" s="100">
        <f t="shared" si="3"/>
        <v>2.1298299012938047E-20</v>
      </c>
      <c r="Q89" s="100">
        <f t="shared" si="3"/>
        <v>2.1298299012938047E-20</v>
      </c>
      <c r="R89" s="100">
        <f t="shared" si="3"/>
        <v>2.1298299012938047E-20</v>
      </c>
      <c r="S89" s="100">
        <f t="shared" si="3"/>
        <v>2.1298299012938047E-20</v>
      </c>
      <c r="T89" s="100">
        <f t="shared" si="3"/>
        <v>2.1298299012938047E-20</v>
      </c>
      <c r="U89" s="100">
        <f t="shared" si="3"/>
        <v>2.1298299012938047E-20</v>
      </c>
      <c r="V89" s="100">
        <f t="shared" si="3"/>
        <v>2.1298299012938047E-20</v>
      </c>
      <c r="W89" s="100">
        <f t="shared" si="3"/>
        <v>2.1298299012938047E-20</v>
      </c>
      <c r="X89" s="100">
        <f t="shared" si="3"/>
        <v>2.1298299012938047E-20</v>
      </c>
      <c r="Y89" s="100">
        <f t="shared" si="3"/>
        <v>2.1298299012938047E-20</v>
      </c>
      <c r="Z89" s="100">
        <f t="shared" si="3"/>
        <v>2.1298299012938047E-20</v>
      </c>
      <c r="AA89" s="100">
        <f t="shared" si="3"/>
        <v>2.1298299012938047E-20</v>
      </c>
      <c r="AB89" s="100">
        <f t="shared" si="3"/>
        <v>2.1298299012938047E-20</v>
      </c>
      <c r="AC89" s="100">
        <f t="shared" si="3"/>
        <v>2.1298299012938047E-20</v>
      </c>
      <c r="AD89" s="100">
        <f t="shared" si="3"/>
        <v>2.1298299012938047E-20</v>
      </c>
      <c r="AE89" s="100">
        <f t="shared" si="3"/>
        <v>2.1298299012938047E-20</v>
      </c>
      <c r="AF89" s="100">
        <f t="shared" si="3"/>
        <v>2.1298299012938047E-20</v>
      </c>
      <c r="AG89" s="100">
        <f t="shared" si="3"/>
        <v>2.1298299012938047E-20</v>
      </c>
      <c r="AH89" s="100">
        <f t="shared" si="3"/>
        <v>2.1298299012938047E-20</v>
      </c>
      <c r="AI89" s="100">
        <f t="shared" si="3"/>
        <v>2.5557958815525654E-20</v>
      </c>
      <c r="AJ89" s="100">
        <f t="shared" si="3"/>
        <v>2.5557958815525654E-20</v>
      </c>
      <c r="AK89" s="100">
        <f t="shared" si="3"/>
        <v>2.5557958815525654E-20</v>
      </c>
      <c r="AL89" s="100">
        <f t="shared" si="3"/>
        <v>2.5557958815525654E-20</v>
      </c>
      <c r="AM89" s="100">
        <f t="shared" si="3"/>
        <v>2.1298299012938047E-20</v>
      </c>
      <c r="AN89" s="100">
        <f t="shared" si="3"/>
        <v>2.1298299012938047E-20</v>
      </c>
      <c r="AO89" s="100">
        <f t="shared" si="3"/>
        <v>2.1298299012938047E-20</v>
      </c>
      <c r="AP89" s="100">
        <f t="shared" si="3"/>
        <v>2.1298299012938047E-20</v>
      </c>
      <c r="AQ89" s="100">
        <f t="shared" si="3"/>
        <v>2.1298299012938047E-20</v>
      </c>
      <c r="AR89" s="100">
        <f t="shared" si="3"/>
        <v>2.1298299012938047E-20</v>
      </c>
      <c r="AS89" s="100">
        <f t="shared" si="3"/>
        <v>2.1298299012938047E-20</v>
      </c>
      <c r="AT89" s="100">
        <f t="shared" si="3"/>
        <v>2.1298299012938047E-20</v>
      </c>
      <c r="AU89" s="100">
        <f t="shared" si="3"/>
        <v>2.1298299012938047E-20</v>
      </c>
      <c r="AV89" s="100">
        <f t="shared" si="3"/>
        <v>2.1298299012938047E-20</v>
      </c>
      <c r="AW89" s="100">
        <f t="shared" si="3"/>
        <v>2.1298299012938047E-20</v>
      </c>
      <c r="AX89" s="100">
        <f t="shared" si="3"/>
        <v>2.1298299012938047E-20</v>
      </c>
    </row>
    <row r="90" spans="2:50">
      <c r="B90" s="99" t="s">
        <v>106</v>
      </c>
      <c r="C90" s="100">
        <f t="shared" ref="C90:R93" si="4">C50</f>
        <v>140</v>
      </c>
      <c r="D90" s="100">
        <f t="shared" si="4"/>
        <v>140</v>
      </c>
      <c r="E90" s="100">
        <f t="shared" si="4"/>
        <v>140</v>
      </c>
      <c r="F90" s="100">
        <f t="shared" si="4"/>
        <v>140</v>
      </c>
      <c r="G90" s="100">
        <f t="shared" si="4"/>
        <v>140</v>
      </c>
      <c r="H90" s="100">
        <f t="shared" si="4"/>
        <v>140</v>
      </c>
      <c r="I90" s="100">
        <f t="shared" si="4"/>
        <v>140</v>
      </c>
      <c r="J90" s="100">
        <f t="shared" si="4"/>
        <v>140</v>
      </c>
      <c r="K90" s="100">
        <f t="shared" si="4"/>
        <v>140</v>
      </c>
      <c r="L90" s="100">
        <f t="shared" si="4"/>
        <v>140</v>
      </c>
      <c r="M90" s="100">
        <f t="shared" si="4"/>
        <v>140</v>
      </c>
      <c r="N90" s="100">
        <f t="shared" si="4"/>
        <v>140</v>
      </c>
      <c r="O90" s="100">
        <f t="shared" si="4"/>
        <v>140</v>
      </c>
      <c r="P90" s="100">
        <f t="shared" si="4"/>
        <v>140</v>
      </c>
      <c r="Q90" s="100">
        <f t="shared" si="4"/>
        <v>140</v>
      </c>
      <c r="R90" s="100">
        <f t="shared" si="4"/>
        <v>140</v>
      </c>
      <c r="S90" s="100">
        <f t="shared" si="3"/>
        <v>140</v>
      </c>
      <c r="T90" s="100">
        <f t="shared" si="3"/>
        <v>140</v>
      </c>
      <c r="U90" s="100">
        <f t="shared" si="3"/>
        <v>140</v>
      </c>
      <c r="V90" s="100">
        <f t="shared" si="3"/>
        <v>140</v>
      </c>
      <c r="W90" s="100">
        <f t="shared" si="3"/>
        <v>140</v>
      </c>
      <c r="X90" s="100">
        <f t="shared" si="3"/>
        <v>140</v>
      </c>
      <c r="Y90" s="100">
        <f t="shared" si="3"/>
        <v>140</v>
      </c>
      <c r="Z90" s="100">
        <f t="shared" si="3"/>
        <v>140</v>
      </c>
      <c r="AA90" s="100">
        <f t="shared" si="3"/>
        <v>140</v>
      </c>
      <c r="AB90" s="100">
        <f t="shared" si="3"/>
        <v>140</v>
      </c>
      <c r="AC90" s="100">
        <f t="shared" si="3"/>
        <v>140</v>
      </c>
      <c r="AD90" s="100">
        <f t="shared" si="3"/>
        <v>140</v>
      </c>
      <c r="AE90" s="100">
        <f t="shared" si="3"/>
        <v>140</v>
      </c>
      <c r="AF90" s="100">
        <f t="shared" si="3"/>
        <v>140</v>
      </c>
      <c r="AG90" s="100">
        <f t="shared" si="3"/>
        <v>140</v>
      </c>
      <c r="AH90" s="100">
        <f t="shared" si="3"/>
        <v>140</v>
      </c>
      <c r="AI90" s="100">
        <f t="shared" si="3"/>
        <v>140</v>
      </c>
      <c r="AJ90" s="100">
        <f t="shared" si="3"/>
        <v>140</v>
      </c>
      <c r="AK90" s="100">
        <f t="shared" si="3"/>
        <v>140</v>
      </c>
      <c r="AL90" s="100">
        <f t="shared" si="3"/>
        <v>140</v>
      </c>
      <c r="AM90" s="100">
        <f t="shared" si="3"/>
        <v>140</v>
      </c>
      <c r="AN90" s="100">
        <f t="shared" si="3"/>
        <v>140</v>
      </c>
      <c r="AO90" s="100">
        <f t="shared" si="3"/>
        <v>140</v>
      </c>
      <c r="AP90" s="100">
        <f t="shared" si="3"/>
        <v>140</v>
      </c>
      <c r="AQ90" s="100">
        <f t="shared" si="3"/>
        <v>140</v>
      </c>
      <c r="AR90" s="100">
        <f t="shared" si="3"/>
        <v>140</v>
      </c>
      <c r="AS90" s="100">
        <f t="shared" si="3"/>
        <v>140</v>
      </c>
      <c r="AT90" s="100">
        <f t="shared" si="3"/>
        <v>140</v>
      </c>
      <c r="AU90" s="100">
        <f t="shared" si="3"/>
        <v>140</v>
      </c>
      <c r="AV90" s="100">
        <f t="shared" si="3"/>
        <v>140</v>
      </c>
      <c r="AW90" s="100">
        <f t="shared" si="3"/>
        <v>140</v>
      </c>
      <c r="AX90" s="100">
        <f t="shared" si="3"/>
        <v>140</v>
      </c>
    </row>
    <row r="91" spans="2:50">
      <c r="B91" s="99" t="s">
        <v>107</v>
      </c>
      <c r="C91" s="100">
        <f t="shared" si="4"/>
        <v>790.00000000000045</v>
      </c>
      <c r="D91" s="100">
        <f t="shared" si="3"/>
        <v>790.00000000000045</v>
      </c>
      <c r="E91" s="100">
        <f t="shared" si="3"/>
        <v>790.00000000000045</v>
      </c>
      <c r="F91" s="100">
        <f t="shared" si="3"/>
        <v>790.00000000000045</v>
      </c>
      <c r="G91" s="100">
        <f t="shared" si="3"/>
        <v>790.00000000000045</v>
      </c>
      <c r="H91" s="100">
        <f t="shared" si="3"/>
        <v>790.00000000000045</v>
      </c>
      <c r="I91" s="100">
        <f t="shared" si="3"/>
        <v>790.00000000000045</v>
      </c>
      <c r="J91" s="100">
        <f t="shared" si="3"/>
        <v>790.00000000000045</v>
      </c>
      <c r="K91" s="100">
        <f t="shared" si="3"/>
        <v>790.00000000000045</v>
      </c>
      <c r="L91" s="100">
        <f t="shared" si="3"/>
        <v>790.00000000000045</v>
      </c>
      <c r="M91" s="100">
        <f t="shared" si="3"/>
        <v>790.00000000000045</v>
      </c>
      <c r="N91" s="100">
        <f t="shared" si="3"/>
        <v>790.00000000000045</v>
      </c>
      <c r="O91" s="100">
        <f t="shared" si="3"/>
        <v>790.00000000000045</v>
      </c>
      <c r="P91" s="100">
        <f t="shared" si="3"/>
        <v>790.00000000000045</v>
      </c>
      <c r="Q91" s="100">
        <f t="shared" si="3"/>
        <v>790.00000000000045</v>
      </c>
      <c r="R91" s="100">
        <f t="shared" si="3"/>
        <v>790.00000000000045</v>
      </c>
      <c r="S91" s="100">
        <f t="shared" si="3"/>
        <v>790.00000000000045</v>
      </c>
      <c r="T91" s="100">
        <f t="shared" si="3"/>
        <v>790.00000000000045</v>
      </c>
      <c r="U91" s="100">
        <f t="shared" si="3"/>
        <v>790.00000000000045</v>
      </c>
      <c r="V91" s="100">
        <f t="shared" si="3"/>
        <v>790.00000000000045</v>
      </c>
      <c r="W91" s="100">
        <f t="shared" si="3"/>
        <v>790.00000000000045</v>
      </c>
      <c r="X91" s="100">
        <f t="shared" si="3"/>
        <v>790.00000000000045</v>
      </c>
      <c r="Y91" s="100">
        <f t="shared" si="3"/>
        <v>790.00000000000045</v>
      </c>
      <c r="Z91" s="100">
        <f t="shared" si="3"/>
        <v>790.00000000000045</v>
      </c>
      <c r="AA91" s="100">
        <f t="shared" si="3"/>
        <v>790.00000000000045</v>
      </c>
      <c r="AB91" s="100">
        <f t="shared" si="3"/>
        <v>790.00000000000045</v>
      </c>
      <c r="AC91" s="100">
        <f t="shared" si="3"/>
        <v>790.00000000000045</v>
      </c>
      <c r="AD91" s="100">
        <f t="shared" si="3"/>
        <v>790.00000000000045</v>
      </c>
      <c r="AE91" s="100">
        <f t="shared" si="3"/>
        <v>790.00000000000045</v>
      </c>
      <c r="AF91" s="100">
        <f t="shared" si="3"/>
        <v>790.00000000000045</v>
      </c>
      <c r="AG91" s="100">
        <f t="shared" si="3"/>
        <v>790.00000000000045</v>
      </c>
      <c r="AH91" s="100">
        <f t="shared" si="3"/>
        <v>320.63019014274181</v>
      </c>
      <c r="AI91" s="100">
        <f t="shared" si="3"/>
        <v>790.00000000000045</v>
      </c>
      <c r="AJ91" s="100">
        <f t="shared" si="3"/>
        <v>790.00000000000045</v>
      </c>
      <c r="AK91" s="100">
        <f t="shared" si="3"/>
        <v>790.00000000000045</v>
      </c>
      <c r="AL91" s="100">
        <f t="shared" si="3"/>
        <v>790.00000000000045</v>
      </c>
      <c r="AM91" s="100">
        <f t="shared" si="3"/>
        <v>790.00000000000045</v>
      </c>
      <c r="AN91" s="100">
        <f t="shared" si="3"/>
        <v>790.00000000000045</v>
      </c>
      <c r="AO91" s="100">
        <f t="shared" si="3"/>
        <v>790.00000000000045</v>
      </c>
      <c r="AP91" s="100">
        <f t="shared" si="3"/>
        <v>790.00000000000045</v>
      </c>
      <c r="AQ91" s="100">
        <f t="shared" si="3"/>
        <v>790.00000000000045</v>
      </c>
      <c r="AR91" s="100">
        <f t="shared" si="3"/>
        <v>790.00000000000045</v>
      </c>
      <c r="AS91" s="100">
        <f t="shared" si="3"/>
        <v>790.00000000000045</v>
      </c>
      <c r="AT91" s="100">
        <f t="shared" si="3"/>
        <v>790.00000000000045</v>
      </c>
      <c r="AU91" s="100">
        <f t="shared" si="3"/>
        <v>790.00000000000045</v>
      </c>
      <c r="AV91" s="100">
        <f t="shared" si="3"/>
        <v>790.00000000000045</v>
      </c>
      <c r="AW91" s="100">
        <f t="shared" si="3"/>
        <v>790.00000000000045</v>
      </c>
      <c r="AX91" s="100">
        <f t="shared" si="3"/>
        <v>790.00000000000045</v>
      </c>
    </row>
    <row r="92" spans="2:50">
      <c r="B92" s="99" t="s">
        <v>108</v>
      </c>
      <c r="C92" s="100">
        <f t="shared" si="4"/>
        <v>3.5636554642521509E-20</v>
      </c>
      <c r="D92" s="100">
        <f t="shared" si="4"/>
        <v>3.5636554642521509E-20</v>
      </c>
      <c r="E92" s="100">
        <f t="shared" si="4"/>
        <v>3.5636554642521509E-20</v>
      </c>
      <c r="F92" s="100">
        <f t="shared" si="4"/>
        <v>3.5636554642521509E-20</v>
      </c>
      <c r="G92" s="100">
        <f t="shared" si="4"/>
        <v>0</v>
      </c>
      <c r="H92" s="100">
        <f t="shared" si="4"/>
        <v>0</v>
      </c>
      <c r="I92" s="100">
        <f t="shared" si="4"/>
        <v>0</v>
      </c>
      <c r="J92" s="100">
        <f t="shared" si="4"/>
        <v>0</v>
      </c>
      <c r="K92" s="100">
        <f t="shared" si="4"/>
        <v>0</v>
      </c>
      <c r="L92" s="100">
        <f t="shared" si="4"/>
        <v>0</v>
      </c>
      <c r="M92" s="100">
        <f t="shared" si="4"/>
        <v>0</v>
      </c>
      <c r="N92" s="100">
        <f t="shared" si="4"/>
        <v>0</v>
      </c>
      <c r="O92" s="100">
        <f t="shared" si="4"/>
        <v>0</v>
      </c>
      <c r="P92" s="100">
        <f t="shared" si="4"/>
        <v>0</v>
      </c>
      <c r="Q92" s="100">
        <f t="shared" si="4"/>
        <v>0</v>
      </c>
      <c r="R92" s="100">
        <f t="shared" si="4"/>
        <v>0</v>
      </c>
      <c r="S92" s="100">
        <f t="shared" si="3"/>
        <v>0</v>
      </c>
      <c r="T92" s="100">
        <f t="shared" si="3"/>
        <v>0</v>
      </c>
      <c r="U92" s="100">
        <f t="shared" si="3"/>
        <v>0</v>
      </c>
      <c r="V92" s="100">
        <f t="shared" si="3"/>
        <v>0</v>
      </c>
      <c r="W92" s="100">
        <f t="shared" si="3"/>
        <v>0</v>
      </c>
      <c r="X92" s="100">
        <f t="shared" si="3"/>
        <v>0</v>
      </c>
      <c r="Y92" s="100">
        <f t="shared" si="3"/>
        <v>0</v>
      </c>
      <c r="Z92" s="100">
        <f t="shared" si="3"/>
        <v>0</v>
      </c>
      <c r="AA92" s="100">
        <f t="shared" si="3"/>
        <v>0</v>
      </c>
      <c r="AB92" s="100">
        <f t="shared" si="3"/>
        <v>0</v>
      </c>
      <c r="AC92" s="100">
        <f t="shared" si="3"/>
        <v>0</v>
      </c>
      <c r="AD92" s="100">
        <f t="shared" si="3"/>
        <v>0</v>
      </c>
      <c r="AE92" s="100">
        <f t="shared" si="3"/>
        <v>0</v>
      </c>
      <c r="AF92" s="100">
        <f t="shared" si="3"/>
        <v>0</v>
      </c>
      <c r="AG92" s="100">
        <f t="shared" si="3"/>
        <v>0</v>
      </c>
      <c r="AH92" s="100">
        <f t="shared" si="3"/>
        <v>0</v>
      </c>
      <c r="AI92" s="100">
        <f t="shared" si="3"/>
        <v>0</v>
      </c>
      <c r="AJ92" s="100">
        <f t="shared" si="3"/>
        <v>0</v>
      </c>
      <c r="AK92" s="100">
        <f t="shared" si="3"/>
        <v>0</v>
      </c>
      <c r="AL92" s="100">
        <f t="shared" si="3"/>
        <v>0</v>
      </c>
      <c r="AM92" s="100">
        <f t="shared" si="3"/>
        <v>0</v>
      </c>
      <c r="AN92" s="100">
        <f t="shared" si="3"/>
        <v>0</v>
      </c>
      <c r="AO92" s="100">
        <f t="shared" si="3"/>
        <v>0</v>
      </c>
      <c r="AP92" s="100">
        <f t="shared" si="3"/>
        <v>0</v>
      </c>
      <c r="AQ92" s="100">
        <f t="shared" si="3"/>
        <v>0</v>
      </c>
      <c r="AR92" s="100">
        <f t="shared" si="3"/>
        <v>0</v>
      </c>
      <c r="AS92" s="100">
        <f t="shared" si="3"/>
        <v>0</v>
      </c>
      <c r="AT92" s="100">
        <f t="shared" si="3"/>
        <v>0</v>
      </c>
      <c r="AU92" s="100">
        <f t="shared" si="3"/>
        <v>0</v>
      </c>
      <c r="AV92" s="100">
        <f t="shared" si="3"/>
        <v>0</v>
      </c>
      <c r="AW92" s="100">
        <f t="shared" si="3"/>
        <v>0</v>
      </c>
      <c r="AX92" s="100">
        <f t="shared" si="3"/>
        <v>0</v>
      </c>
    </row>
    <row r="93" spans="2:50">
      <c r="B93" s="99" t="s">
        <v>109</v>
      </c>
      <c r="C93" s="100">
        <f t="shared" si="4"/>
        <v>3.6157828542885877E-21</v>
      </c>
      <c r="D93" s="100">
        <f t="shared" si="4"/>
        <v>3.6157828542885877E-21</v>
      </c>
      <c r="E93" s="100">
        <f t="shared" si="4"/>
        <v>3.6157828542885877E-21</v>
      </c>
      <c r="F93" s="100">
        <f t="shared" si="4"/>
        <v>3.6157828542885877E-21</v>
      </c>
      <c r="G93" s="100">
        <f t="shared" si="4"/>
        <v>4.5197285678607343E-21</v>
      </c>
      <c r="H93" s="100">
        <f t="shared" si="4"/>
        <v>4.5197285678607343E-21</v>
      </c>
      <c r="I93" s="100">
        <f t="shared" si="4"/>
        <v>4.5197285678607343E-21</v>
      </c>
      <c r="J93" s="100">
        <f t="shared" si="4"/>
        <v>4.5197285678607343E-21</v>
      </c>
      <c r="K93" s="100">
        <f t="shared" si="4"/>
        <v>5.4236742814328809E-21</v>
      </c>
      <c r="L93" s="100">
        <f t="shared" si="4"/>
        <v>5.4236742814328809E-21</v>
      </c>
      <c r="M93" s="100">
        <f t="shared" si="4"/>
        <v>5.4236742814328809E-21</v>
      </c>
      <c r="N93" s="100">
        <f t="shared" si="4"/>
        <v>5.4236742814328809E-21</v>
      </c>
      <c r="O93" s="100">
        <f t="shared" si="4"/>
        <v>3.6157828542885877E-21</v>
      </c>
      <c r="P93" s="100">
        <f t="shared" si="4"/>
        <v>3.6157828542885877E-21</v>
      </c>
      <c r="Q93" s="100">
        <f t="shared" si="4"/>
        <v>3.6157828542885877E-21</v>
      </c>
      <c r="R93" s="100">
        <f t="shared" si="4"/>
        <v>3.6157828542885877E-21</v>
      </c>
      <c r="S93" s="100">
        <f t="shared" si="3"/>
        <v>5.4236742814328809E-21</v>
      </c>
      <c r="T93" s="100">
        <f t="shared" si="3"/>
        <v>5.4236742814328809E-21</v>
      </c>
      <c r="U93" s="100">
        <f t="shared" si="3"/>
        <v>5.4236742814328809E-21</v>
      </c>
      <c r="V93" s="100">
        <f t="shared" si="3"/>
        <v>5.4236742814328809E-21</v>
      </c>
      <c r="W93" s="100">
        <f t="shared" si="3"/>
        <v>4.5197285678607343E-21</v>
      </c>
      <c r="X93" s="100">
        <f t="shared" si="3"/>
        <v>4.5197285678607343E-21</v>
      </c>
      <c r="Y93" s="100">
        <f t="shared" si="3"/>
        <v>4.5197285678607343E-21</v>
      </c>
      <c r="Z93" s="100">
        <f t="shared" si="3"/>
        <v>4.5197285678607343E-21</v>
      </c>
      <c r="AA93" s="100">
        <f t="shared" si="3"/>
        <v>4.5197285678607343E-21</v>
      </c>
      <c r="AB93" s="100">
        <f t="shared" si="3"/>
        <v>4.5197285678607343E-21</v>
      </c>
      <c r="AC93" s="100">
        <f t="shared" si="3"/>
        <v>4.5197285678607343E-21</v>
      </c>
      <c r="AD93" s="100">
        <f t="shared" si="3"/>
        <v>4.5197285678607343E-21</v>
      </c>
      <c r="AE93" s="100">
        <f t="shared" si="3"/>
        <v>3.6157828542885877E-21</v>
      </c>
      <c r="AF93" s="100">
        <f t="shared" si="3"/>
        <v>3.6157828542885877E-21</v>
      </c>
      <c r="AG93" s="100">
        <f t="shared" si="3"/>
        <v>3.6157828542885877E-21</v>
      </c>
      <c r="AH93" s="100">
        <f t="shared" si="3"/>
        <v>3.6157828542885877E-21</v>
      </c>
      <c r="AI93" s="100">
        <f t="shared" si="3"/>
        <v>3.6157828542885877E-21</v>
      </c>
      <c r="AJ93" s="100">
        <f t="shared" si="3"/>
        <v>3.6157828542885877E-21</v>
      </c>
      <c r="AK93" s="100">
        <f t="shared" si="3"/>
        <v>3.6157828542885877E-21</v>
      </c>
      <c r="AL93" s="100">
        <f t="shared" si="3"/>
        <v>3.6157828542885877E-21</v>
      </c>
      <c r="AM93" s="100">
        <f t="shared" si="3"/>
        <v>4.5197285678607343E-21</v>
      </c>
      <c r="AN93" s="100">
        <f t="shared" si="3"/>
        <v>4.5197285678607343E-21</v>
      </c>
      <c r="AO93" s="100">
        <f t="shared" si="3"/>
        <v>4.5197285678607343E-21</v>
      </c>
      <c r="AP93" s="100">
        <f t="shared" si="3"/>
        <v>4.5197285678607343E-21</v>
      </c>
      <c r="AQ93" s="100">
        <f t="shared" si="3"/>
        <v>4.5197285678607343E-21</v>
      </c>
      <c r="AR93" s="100">
        <f t="shared" si="3"/>
        <v>4.5197285678607343E-21</v>
      </c>
      <c r="AS93" s="100">
        <f t="shared" si="3"/>
        <v>4.5197285678607343E-21</v>
      </c>
      <c r="AT93" s="100">
        <f t="shared" si="3"/>
        <v>4.5197285678607343E-21</v>
      </c>
      <c r="AU93" s="100">
        <f t="shared" si="3"/>
        <v>4.5197285678607343E-21</v>
      </c>
      <c r="AV93" s="100">
        <f t="shared" si="3"/>
        <v>4.5197285678607343E-21</v>
      </c>
      <c r="AW93" s="100">
        <f t="shared" si="3"/>
        <v>4.5197285678607343E-21</v>
      </c>
      <c r="AX93" s="100">
        <f t="shared" si="3"/>
        <v>4.5197285678607343E-21</v>
      </c>
    </row>
    <row r="94" spans="2:50">
      <c r="B94" s="101"/>
    </row>
    <row r="95" spans="2:50">
      <c r="B95" s="174" t="s">
        <v>335</v>
      </c>
    </row>
    <row r="96" spans="2:50">
      <c r="B96" s="175"/>
      <c r="C96" s="105" t="s">
        <v>92</v>
      </c>
      <c r="D96" s="101"/>
      <c r="E96" s="101"/>
      <c r="F96" s="101"/>
      <c r="G96" s="105" t="s">
        <v>93</v>
      </c>
      <c r="H96" s="101"/>
      <c r="I96" s="101"/>
      <c r="J96" s="101"/>
      <c r="K96" s="105" t="s">
        <v>94</v>
      </c>
      <c r="L96" s="101"/>
      <c r="M96" s="101"/>
      <c r="N96" s="101"/>
      <c r="O96" s="105" t="s">
        <v>95</v>
      </c>
      <c r="P96" s="101"/>
      <c r="Q96" s="101"/>
      <c r="R96" s="101"/>
      <c r="S96" s="105" t="s">
        <v>96</v>
      </c>
      <c r="T96" s="101"/>
      <c r="U96" s="101"/>
      <c r="V96" s="101"/>
      <c r="W96" s="105" t="s">
        <v>97</v>
      </c>
      <c r="X96" s="101"/>
      <c r="Y96" s="101"/>
      <c r="Z96" s="101"/>
      <c r="AA96" s="105" t="s">
        <v>98</v>
      </c>
      <c r="AB96" s="101"/>
      <c r="AC96" s="101"/>
      <c r="AD96" s="101"/>
      <c r="AE96" s="105" t="s">
        <v>99</v>
      </c>
      <c r="AF96" s="101"/>
      <c r="AG96" s="101"/>
      <c r="AH96" s="101"/>
      <c r="AI96" s="105" t="s">
        <v>100</v>
      </c>
      <c r="AJ96" s="101"/>
      <c r="AK96" s="101"/>
      <c r="AL96" s="101"/>
      <c r="AM96" s="105" t="s">
        <v>101</v>
      </c>
      <c r="AN96" s="101"/>
      <c r="AO96" s="101"/>
      <c r="AP96" s="101"/>
      <c r="AQ96" s="105" t="s">
        <v>102</v>
      </c>
      <c r="AR96" s="101"/>
      <c r="AS96" s="101"/>
      <c r="AT96" s="101"/>
      <c r="AU96" s="105" t="s">
        <v>103</v>
      </c>
      <c r="AV96" s="101"/>
      <c r="AW96" s="101"/>
    </row>
    <row r="97" spans="1:50">
      <c r="A97" s="176" t="s">
        <v>121</v>
      </c>
      <c r="B97" s="176" t="s">
        <v>336</v>
      </c>
      <c r="C97" s="105">
        <v>1</v>
      </c>
      <c r="D97" s="105">
        <v>2</v>
      </c>
      <c r="E97" s="105">
        <v>3</v>
      </c>
      <c r="F97" s="105">
        <v>4</v>
      </c>
      <c r="G97" s="105">
        <v>1</v>
      </c>
      <c r="H97" s="105">
        <v>2</v>
      </c>
      <c r="I97" s="105">
        <v>3</v>
      </c>
      <c r="J97" s="105">
        <v>4</v>
      </c>
      <c r="K97" s="105">
        <v>1</v>
      </c>
      <c r="L97" s="105">
        <v>2</v>
      </c>
      <c r="M97" s="105">
        <v>3</v>
      </c>
      <c r="N97" s="105">
        <v>4</v>
      </c>
      <c r="O97" s="105">
        <v>1</v>
      </c>
      <c r="P97" s="105">
        <v>2</v>
      </c>
      <c r="Q97" s="105">
        <v>3</v>
      </c>
      <c r="R97" s="105">
        <v>4</v>
      </c>
      <c r="S97" s="105">
        <v>1</v>
      </c>
      <c r="T97" s="105">
        <v>2</v>
      </c>
      <c r="U97" s="105">
        <v>3</v>
      </c>
      <c r="V97" s="105">
        <v>4</v>
      </c>
      <c r="W97" s="105">
        <v>1</v>
      </c>
      <c r="X97" s="105">
        <v>2</v>
      </c>
      <c r="Y97" s="105">
        <v>3</v>
      </c>
      <c r="Z97" s="105">
        <v>4</v>
      </c>
      <c r="AA97" s="105">
        <v>1</v>
      </c>
      <c r="AB97" s="105">
        <v>2</v>
      </c>
      <c r="AC97" s="105">
        <v>3</v>
      </c>
      <c r="AD97" s="105">
        <v>4</v>
      </c>
      <c r="AE97" s="105">
        <v>1</v>
      </c>
      <c r="AF97" s="105">
        <v>2</v>
      </c>
      <c r="AG97" s="105">
        <v>3</v>
      </c>
      <c r="AH97" s="105">
        <v>4</v>
      </c>
      <c r="AI97" s="105">
        <v>1</v>
      </c>
      <c r="AJ97" s="105">
        <v>2</v>
      </c>
      <c r="AK97" s="105">
        <v>3</v>
      </c>
      <c r="AL97" s="105">
        <v>4</v>
      </c>
      <c r="AM97" s="105">
        <v>1</v>
      </c>
      <c r="AN97" s="105">
        <v>2</v>
      </c>
      <c r="AO97" s="105">
        <v>3</v>
      </c>
      <c r="AP97" s="105">
        <v>4</v>
      </c>
      <c r="AQ97" s="105">
        <v>1</v>
      </c>
      <c r="AR97" s="105">
        <v>2</v>
      </c>
      <c r="AS97" s="105">
        <v>3</v>
      </c>
      <c r="AT97" s="105">
        <v>4</v>
      </c>
      <c r="AU97" s="105">
        <v>1</v>
      </c>
      <c r="AV97" s="105">
        <v>2</v>
      </c>
      <c r="AW97" s="105">
        <v>3</v>
      </c>
      <c r="AX97" s="105">
        <v>4</v>
      </c>
    </row>
    <row r="98" spans="1:50">
      <c r="A98" s="105" t="s">
        <v>104</v>
      </c>
      <c r="B98" s="105" t="s">
        <v>10</v>
      </c>
      <c r="C98" s="100">
        <v>3.3719240284027466E-18</v>
      </c>
      <c r="D98" s="100">
        <v>3.3719240284027466E-18</v>
      </c>
      <c r="E98" s="100">
        <v>3.3719240284027466E-18</v>
      </c>
      <c r="F98" s="100">
        <v>3.3719240284027466E-18</v>
      </c>
      <c r="G98" s="100">
        <v>3.3719240284027466E-18</v>
      </c>
      <c r="H98" s="100">
        <v>3.3719240284027466E-18</v>
      </c>
      <c r="I98" s="100">
        <v>3.3719240284027466E-18</v>
      </c>
      <c r="J98" s="100">
        <v>3.3719240284027466E-18</v>
      </c>
      <c r="K98" s="100">
        <v>3.3719240284027466E-18</v>
      </c>
      <c r="L98" s="100">
        <v>3.3719240284027466E-18</v>
      </c>
      <c r="M98" s="100">
        <v>3.3719240284027466E-18</v>
      </c>
      <c r="N98" s="100">
        <v>3.3719240284027466E-18</v>
      </c>
      <c r="O98" s="100">
        <v>3.3719240284027466E-18</v>
      </c>
      <c r="P98" s="100">
        <v>3.3719240284027466E-18</v>
      </c>
      <c r="Q98" s="100">
        <v>3.3719240284027466E-18</v>
      </c>
      <c r="R98" s="100">
        <v>3.3719240284027466E-18</v>
      </c>
      <c r="S98" s="100">
        <v>3.3719240284027466E-18</v>
      </c>
      <c r="T98" s="100">
        <v>3.3719240284027466E-18</v>
      </c>
      <c r="U98" s="100">
        <v>3.3719240284027466E-18</v>
      </c>
      <c r="V98" s="100">
        <v>3.3719240284027466E-18</v>
      </c>
      <c r="W98" s="100">
        <v>3.3719240284027466E-18</v>
      </c>
      <c r="X98" s="100">
        <v>3.3719240284027466E-18</v>
      </c>
      <c r="Y98" s="100">
        <v>3.3719240284027466E-18</v>
      </c>
      <c r="Z98" s="100">
        <v>3.3719240284027466E-18</v>
      </c>
      <c r="AA98" s="100">
        <v>3.3719240284027466E-18</v>
      </c>
      <c r="AB98" s="100">
        <v>3.3719240284027466E-18</v>
      </c>
      <c r="AC98" s="100">
        <v>3.3719240284027466E-18</v>
      </c>
      <c r="AD98" s="100">
        <v>3.3719240284027466E-18</v>
      </c>
      <c r="AE98" s="100">
        <v>4.0462894074183207E-18</v>
      </c>
      <c r="AF98" s="100">
        <v>4.0462894074183207E-18</v>
      </c>
      <c r="AG98" s="100">
        <v>4.0462894074183207E-18</v>
      </c>
      <c r="AH98" s="100">
        <v>4.0462894074183207E-18</v>
      </c>
      <c r="AI98" s="100">
        <v>3.3719240284027466E-18</v>
      </c>
      <c r="AJ98" s="100">
        <v>3.3719240284027466E-18</v>
      </c>
      <c r="AK98" s="100">
        <v>3.3719240284027466E-18</v>
      </c>
      <c r="AL98" s="100">
        <v>3.3719240284027466E-18</v>
      </c>
      <c r="AM98" s="100">
        <v>3.3719240284027466E-18</v>
      </c>
      <c r="AN98" s="100">
        <v>3.3719240284027466E-18</v>
      </c>
      <c r="AO98" s="100">
        <v>3.3719240284027466E-18</v>
      </c>
      <c r="AP98" s="100">
        <v>3.3719240284027466E-18</v>
      </c>
      <c r="AQ98" s="100">
        <v>3.3719240284027466E-18</v>
      </c>
      <c r="AR98" s="100">
        <v>3.3719240284027466E-18</v>
      </c>
      <c r="AS98" s="100">
        <v>3.3719240284027466E-18</v>
      </c>
      <c r="AT98" s="100">
        <v>3.3719240284027466E-18</v>
      </c>
      <c r="AU98" s="100">
        <v>3.3719240284027466E-18</v>
      </c>
      <c r="AV98" s="100">
        <v>3.3719240284027466E-18</v>
      </c>
      <c r="AW98" s="100">
        <v>3.3719240284027466E-18</v>
      </c>
      <c r="AX98" s="100">
        <v>3.3719240284027466E-18</v>
      </c>
    </row>
    <row r="99" spans="1:50">
      <c r="B99" s="105" t="s">
        <v>12</v>
      </c>
      <c r="C99" s="100">
        <v>415263.08158087946</v>
      </c>
      <c r="D99" s="100">
        <v>415263.08158087946</v>
      </c>
      <c r="E99" s="100">
        <v>415263.08158087946</v>
      </c>
      <c r="F99" s="100">
        <v>415263.08158087946</v>
      </c>
      <c r="G99" s="100">
        <v>415263.08158087946</v>
      </c>
      <c r="H99" s="100">
        <v>415263.08158087946</v>
      </c>
      <c r="I99" s="100">
        <v>415263.08158087946</v>
      </c>
      <c r="J99" s="100">
        <v>415263.08158087946</v>
      </c>
      <c r="K99" s="100">
        <v>415263.08158087946</v>
      </c>
      <c r="L99" s="100">
        <v>415263.08158087946</v>
      </c>
      <c r="M99" s="100">
        <v>415263.08158087946</v>
      </c>
      <c r="N99" s="100">
        <v>415263.08158087946</v>
      </c>
      <c r="O99" s="100">
        <v>415263.08158087946</v>
      </c>
      <c r="P99" s="100">
        <v>415263.08158087946</v>
      </c>
      <c r="Q99" s="100">
        <v>415263.08158087946</v>
      </c>
      <c r="R99" s="100">
        <v>415263.08158087946</v>
      </c>
      <c r="S99" s="100">
        <v>415263.08158087946</v>
      </c>
      <c r="T99" s="100">
        <v>415263.08158087946</v>
      </c>
      <c r="U99" s="100">
        <v>415263.08158087946</v>
      </c>
      <c r="V99" s="100">
        <v>415263.08158087946</v>
      </c>
      <c r="W99" s="100">
        <v>415263.08158087946</v>
      </c>
      <c r="X99" s="100">
        <v>415263.08158087946</v>
      </c>
      <c r="Y99" s="100">
        <v>415263.08158087946</v>
      </c>
      <c r="Z99" s="100">
        <v>415263.08158087946</v>
      </c>
      <c r="AA99" s="100">
        <v>415263.08158087946</v>
      </c>
      <c r="AB99" s="100">
        <v>415263.08158087946</v>
      </c>
      <c r="AC99" s="100">
        <v>415263.08158087946</v>
      </c>
      <c r="AD99" s="100">
        <v>415263.08158087946</v>
      </c>
      <c r="AE99" s="100">
        <v>498313.30544197792</v>
      </c>
      <c r="AF99" s="100">
        <v>498313.30544197792</v>
      </c>
      <c r="AG99" s="100">
        <v>498313.30544197792</v>
      </c>
      <c r="AH99" s="100">
        <v>498313.30544197792</v>
      </c>
      <c r="AI99" s="100">
        <v>415263.08158087946</v>
      </c>
      <c r="AJ99" s="100">
        <v>415263.08158087946</v>
      </c>
      <c r="AK99" s="100">
        <v>415263.08158087946</v>
      </c>
      <c r="AL99" s="100">
        <v>415263.08158087946</v>
      </c>
      <c r="AM99" s="100">
        <v>415263.08158087946</v>
      </c>
      <c r="AN99" s="100">
        <v>415263.08158087946</v>
      </c>
      <c r="AO99" s="100">
        <v>415263.08158087946</v>
      </c>
      <c r="AP99" s="100">
        <v>415263.08158087946</v>
      </c>
      <c r="AQ99" s="100">
        <v>415263.08158087946</v>
      </c>
      <c r="AR99" s="100">
        <v>415263.08158087946</v>
      </c>
      <c r="AS99" s="100">
        <v>415263.08158087946</v>
      </c>
      <c r="AT99" s="100">
        <v>415263.08158087946</v>
      </c>
      <c r="AU99" s="100">
        <v>415263.08158087946</v>
      </c>
      <c r="AV99" s="100">
        <v>415263.08158087946</v>
      </c>
      <c r="AW99" s="100">
        <v>415263.08158087946</v>
      </c>
      <c r="AX99" s="100">
        <v>415263.08158087946</v>
      </c>
    </row>
    <row r="100" spans="1:50">
      <c r="B100" s="105" t="s">
        <v>22</v>
      </c>
      <c r="C100" s="100">
        <v>1.0929564995630758E-18</v>
      </c>
      <c r="D100" s="100">
        <v>1.0929564995630758E-18</v>
      </c>
      <c r="E100" s="100">
        <v>1.0929564995630758E-18</v>
      </c>
      <c r="F100" s="100">
        <v>1.0929564995630758E-18</v>
      </c>
      <c r="G100" s="100">
        <v>1.0929564995630758E-18</v>
      </c>
      <c r="H100" s="100">
        <v>1.0929564995630758E-18</v>
      </c>
      <c r="I100" s="100">
        <v>1.0929564995630758E-18</v>
      </c>
      <c r="J100" s="100">
        <v>1.0929564995630758E-18</v>
      </c>
      <c r="K100" s="100">
        <v>1.0929564995630758E-18</v>
      </c>
      <c r="L100" s="100">
        <v>1.0929564995630758E-18</v>
      </c>
      <c r="M100" s="100">
        <v>1.0929564995630758E-18</v>
      </c>
      <c r="N100" s="100">
        <v>1.0929564995630758E-18</v>
      </c>
      <c r="O100" s="100">
        <v>1.0929564995630758E-18</v>
      </c>
      <c r="P100" s="100">
        <v>1.0929564995630758E-18</v>
      </c>
      <c r="Q100" s="100">
        <v>1.0929564995630758E-18</v>
      </c>
      <c r="R100" s="100">
        <v>1.0929564995630758E-18</v>
      </c>
      <c r="S100" s="100">
        <v>1.0929564995630758E-18</v>
      </c>
      <c r="T100" s="100">
        <v>1.0929564995630758E-18</v>
      </c>
      <c r="U100" s="100">
        <v>1.0929564995630758E-18</v>
      </c>
      <c r="V100" s="100">
        <v>1.0929564995630758E-18</v>
      </c>
      <c r="W100" s="100">
        <v>1.0929564995630758E-18</v>
      </c>
      <c r="X100" s="100">
        <v>1.0929564995630758E-18</v>
      </c>
      <c r="Y100" s="100">
        <v>1.0929564995630758E-18</v>
      </c>
      <c r="Z100" s="100">
        <v>1.0929564995630758E-18</v>
      </c>
      <c r="AA100" s="100">
        <v>1.0929564995630758E-18</v>
      </c>
      <c r="AB100" s="100">
        <v>1.0929564995630758E-18</v>
      </c>
      <c r="AC100" s="100">
        <v>1.0929564995630758E-18</v>
      </c>
      <c r="AD100" s="100">
        <v>1.0929564995630758E-18</v>
      </c>
      <c r="AE100" s="100">
        <v>1.3115415026257113E-18</v>
      </c>
      <c r="AF100" s="100">
        <v>1.3115415026257113E-18</v>
      </c>
      <c r="AG100" s="100">
        <v>1.3115415026257113E-18</v>
      </c>
      <c r="AH100" s="100">
        <v>1.3115415026257113E-18</v>
      </c>
      <c r="AI100" s="100">
        <v>1.0929564995630758E-18</v>
      </c>
      <c r="AJ100" s="100">
        <v>1.0929564995630758E-18</v>
      </c>
      <c r="AK100" s="100">
        <v>1.0929564995630758E-18</v>
      </c>
      <c r="AL100" s="100">
        <v>1.0929564995630758E-18</v>
      </c>
      <c r="AM100" s="100">
        <v>1.0929564995630758E-18</v>
      </c>
      <c r="AN100" s="100">
        <v>1.0929564995630758E-18</v>
      </c>
      <c r="AO100" s="100">
        <v>1.0929564995630758E-18</v>
      </c>
      <c r="AP100" s="100">
        <v>1.0929564995630758E-18</v>
      </c>
      <c r="AQ100" s="100">
        <v>1.0929564995630758E-18</v>
      </c>
      <c r="AR100" s="100">
        <v>1.0929564995630758E-18</v>
      </c>
      <c r="AS100" s="100">
        <v>1.0929564995630758E-18</v>
      </c>
      <c r="AT100" s="100">
        <v>1.0929564995630758E-18</v>
      </c>
      <c r="AU100" s="100">
        <v>1.0929564995630758E-18</v>
      </c>
      <c r="AV100" s="100">
        <v>1.0929564995630758E-18</v>
      </c>
      <c r="AW100" s="100">
        <v>1.0929564995630758E-18</v>
      </c>
      <c r="AX100" s="100">
        <v>1.0929564995630758E-18</v>
      </c>
    </row>
    <row r="101" spans="1:50">
      <c r="B101" s="105" t="s">
        <v>46</v>
      </c>
      <c r="C101" s="100">
        <v>0</v>
      </c>
      <c r="D101" s="100">
        <v>0</v>
      </c>
      <c r="E101" s="100">
        <v>0</v>
      </c>
      <c r="F101" s="100">
        <v>0</v>
      </c>
      <c r="G101" s="100">
        <v>0</v>
      </c>
      <c r="H101" s="100">
        <v>0</v>
      </c>
      <c r="I101" s="100">
        <v>0</v>
      </c>
      <c r="J101" s="100">
        <v>0</v>
      </c>
      <c r="K101" s="100">
        <v>0</v>
      </c>
      <c r="L101" s="100">
        <v>0</v>
      </c>
      <c r="M101" s="100">
        <v>0</v>
      </c>
      <c r="N101" s="100">
        <v>0</v>
      </c>
      <c r="O101" s="100">
        <v>0</v>
      </c>
      <c r="P101" s="100">
        <v>0</v>
      </c>
      <c r="Q101" s="100">
        <v>0</v>
      </c>
      <c r="R101" s="100">
        <v>0</v>
      </c>
      <c r="S101" s="100">
        <v>0</v>
      </c>
      <c r="T101" s="100">
        <v>0</v>
      </c>
      <c r="U101" s="100">
        <v>0</v>
      </c>
      <c r="V101" s="100">
        <v>0</v>
      </c>
      <c r="W101" s="100">
        <v>0</v>
      </c>
      <c r="X101" s="100">
        <v>0</v>
      </c>
      <c r="Y101" s="100">
        <v>0</v>
      </c>
      <c r="Z101" s="100">
        <v>0</v>
      </c>
      <c r="AA101" s="100">
        <v>0</v>
      </c>
      <c r="AB101" s="100">
        <v>0</v>
      </c>
      <c r="AC101" s="100">
        <v>0</v>
      </c>
      <c r="AD101" s="100">
        <v>0</v>
      </c>
      <c r="AE101" s="100">
        <v>0</v>
      </c>
      <c r="AF101" s="100">
        <v>0</v>
      </c>
      <c r="AG101" s="100">
        <v>0</v>
      </c>
      <c r="AH101" s="100">
        <v>0</v>
      </c>
      <c r="AI101" s="100">
        <v>0</v>
      </c>
      <c r="AJ101" s="100">
        <v>0</v>
      </c>
      <c r="AK101" s="100">
        <v>0</v>
      </c>
      <c r="AL101" s="100">
        <v>0</v>
      </c>
      <c r="AM101" s="100">
        <v>0</v>
      </c>
      <c r="AN101" s="100">
        <v>0</v>
      </c>
      <c r="AO101" s="100">
        <v>0</v>
      </c>
      <c r="AP101" s="100">
        <v>0</v>
      </c>
      <c r="AQ101" s="100">
        <v>0</v>
      </c>
      <c r="AR101" s="100">
        <v>0</v>
      </c>
      <c r="AS101" s="100">
        <v>0</v>
      </c>
      <c r="AT101" s="100">
        <v>0</v>
      </c>
      <c r="AU101" s="100">
        <v>0</v>
      </c>
      <c r="AV101" s="100">
        <v>0</v>
      </c>
      <c r="AW101" s="100">
        <v>0</v>
      </c>
      <c r="AX101" s="100">
        <v>0</v>
      </c>
    </row>
    <row r="102" spans="1:50">
      <c r="B102" s="105" t="s">
        <v>59</v>
      </c>
      <c r="C102" s="100">
        <v>265062.41792902531</v>
      </c>
      <c r="D102" s="100">
        <v>265062.41792902531</v>
      </c>
      <c r="E102" s="100">
        <v>265062.41792902531</v>
      </c>
      <c r="F102" s="100">
        <v>265062.41792902531</v>
      </c>
      <c r="G102" s="100">
        <v>265062.41792902531</v>
      </c>
      <c r="H102" s="100">
        <v>265062.41792902531</v>
      </c>
      <c r="I102" s="100">
        <v>265062.41792902531</v>
      </c>
      <c r="J102" s="100">
        <v>265062.41792902531</v>
      </c>
      <c r="K102" s="100">
        <v>265062.41792902531</v>
      </c>
      <c r="L102" s="100">
        <v>265062.41792902531</v>
      </c>
      <c r="M102" s="100">
        <v>265062.41792902531</v>
      </c>
      <c r="N102" s="100">
        <v>265062.41792902531</v>
      </c>
      <c r="O102" s="100">
        <v>265062.41792902531</v>
      </c>
      <c r="P102" s="100">
        <v>265062.41792902531</v>
      </c>
      <c r="Q102" s="100">
        <v>265062.41792902531</v>
      </c>
      <c r="R102" s="100">
        <v>265062.41792902531</v>
      </c>
      <c r="S102" s="100">
        <v>265062.41792902531</v>
      </c>
      <c r="T102" s="100">
        <v>265062.41792902531</v>
      </c>
      <c r="U102" s="100">
        <v>265062.41792902531</v>
      </c>
      <c r="V102" s="100">
        <v>265062.41792902531</v>
      </c>
      <c r="W102" s="100">
        <v>265062.41792902531</v>
      </c>
      <c r="X102" s="100">
        <v>265062.41792902531</v>
      </c>
      <c r="Y102" s="100">
        <v>265062.41792902531</v>
      </c>
      <c r="Z102" s="100">
        <v>265062.41792902531</v>
      </c>
      <c r="AA102" s="100">
        <v>265062.41792902531</v>
      </c>
      <c r="AB102" s="100">
        <v>265062.41792902531</v>
      </c>
      <c r="AC102" s="100">
        <v>265062.41792902531</v>
      </c>
      <c r="AD102" s="100">
        <v>265062.41792902531</v>
      </c>
      <c r="AE102" s="100">
        <v>318073.37441079505</v>
      </c>
      <c r="AF102" s="100">
        <v>318073.37441079505</v>
      </c>
      <c r="AG102" s="100">
        <v>318073.37441079505</v>
      </c>
      <c r="AH102" s="100">
        <v>318073.37441079505</v>
      </c>
      <c r="AI102" s="100">
        <v>265062.41792902531</v>
      </c>
      <c r="AJ102" s="100">
        <v>265062.41792902531</v>
      </c>
      <c r="AK102" s="100">
        <v>265062.41792902531</v>
      </c>
      <c r="AL102" s="100">
        <v>265062.41792902531</v>
      </c>
      <c r="AM102" s="100">
        <v>265062.41792902531</v>
      </c>
      <c r="AN102" s="100">
        <v>265062.41792902531</v>
      </c>
      <c r="AO102" s="100">
        <v>265062.41792902531</v>
      </c>
      <c r="AP102" s="100">
        <v>265062.41792902531</v>
      </c>
      <c r="AQ102" s="100">
        <v>265062.41792902531</v>
      </c>
      <c r="AR102" s="100">
        <v>265062.41792902531</v>
      </c>
      <c r="AS102" s="100">
        <v>265062.41792902531</v>
      </c>
      <c r="AT102" s="100">
        <v>265062.41792902531</v>
      </c>
      <c r="AU102" s="100">
        <v>265062.41792902531</v>
      </c>
      <c r="AV102" s="100">
        <v>265062.41792902531</v>
      </c>
      <c r="AW102" s="100">
        <v>265062.41792902531</v>
      </c>
      <c r="AX102" s="100">
        <v>265062.41792902531</v>
      </c>
    </row>
    <row r="103" spans="1:50">
      <c r="B103" s="100" t="s">
        <v>278</v>
      </c>
      <c r="C103" s="105">
        <f>SUM(C$98:C$102)</f>
        <v>680325.49950990477</v>
      </c>
      <c r="D103" s="105">
        <f t="shared" ref="D103:AX103" si="5">SUM(D$98:D$102)</f>
        <v>680325.49950990477</v>
      </c>
      <c r="E103" s="105">
        <f t="shared" si="5"/>
        <v>680325.49950990477</v>
      </c>
      <c r="F103" s="105">
        <f t="shared" si="5"/>
        <v>680325.49950990477</v>
      </c>
      <c r="G103" s="105">
        <f t="shared" si="5"/>
        <v>680325.49950990477</v>
      </c>
      <c r="H103" s="105">
        <f t="shared" si="5"/>
        <v>680325.49950990477</v>
      </c>
      <c r="I103" s="105">
        <f t="shared" si="5"/>
        <v>680325.49950990477</v>
      </c>
      <c r="J103" s="105">
        <f t="shared" si="5"/>
        <v>680325.49950990477</v>
      </c>
      <c r="K103" s="105">
        <f t="shared" si="5"/>
        <v>680325.49950990477</v>
      </c>
      <c r="L103" s="105">
        <f t="shared" si="5"/>
        <v>680325.49950990477</v>
      </c>
      <c r="M103" s="105">
        <f t="shared" si="5"/>
        <v>680325.49950990477</v>
      </c>
      <c r="N103" s="105">
        <f t="shared" si="5"/>
        <v>680325.49950990477</v>
      </c>
      <c r="O103" s="105">
        <f t="shared" si="5"/>
        <v>680325.49950990477</v>
      </c>
      <c r="P103" s="105">
        <f t="shared" si="5"/>
        <v>680325.49950990477</v>
      </c>
      <c r="Q103" s="105">
        <f t="shared" si="5"/>
        <v>680325.49950990477</v>
      </c>
      <c r="R103" s="105">
        <f t="shared" si="5"/>
        <v>680325.49950990477</v>
      </c>
      <c r="S103" s="105">
        <f t="shared" si="5"/>
        <v>680325.49950990477</v>
      </c>
      <c r="T103" s="105">
        <f t="shared" si="5"/>
        <v>680325.49950990477</v>
      </c>
      <c r="U103" s="105">
        <f t="shared" si="5"/>
        <v>680325.49950990477</v>
      </c>
      <c r="V103" s="105">
        <f t="shared" si="5"/>
        <v>680325.49950990477</v>
      </c>
      <c r="W103" s="105">
        <f t="shared" si="5"/>
        <v>680325.49950990477</v>
      </c>
      <c r="X103" s="105">
        <f t="shared" si="5"/>
        <v>680325.49950990477</v>
      </c>
      <c r="Y103" s="105">
        <f t="shared" si="5"/>
        <v>680325.49950990477</v>
      </c>
      <c r="Z103" s="105">
        <f t="shared" si="5"/>
        <v>680325.49950990477</v>
      </c>
      <c r="AA103" s="105">
        <f t="shared" si="5"/>
        <v>680325.49950990477</v>
      </c>
      <c r="AB103" s="105">
        <f t="shared" si="5"/>
        <v>680325.49950990477</v>
      </c>
      <c r="AC103" s="105">
        <f t="shared" si="5"/>
        <v>680325.49950990477</v>
      </c>
      <c r="AD103" s="105">
        <f t="shared" si="5"/>
        <v>680325.49950990477</v>
      </c>
      <c r="AE103" s="105">
        <f t="shared" si="5"/>
        <v>816386.67985277297</v>
      </c>
      <c r="AF103" s="105">
        <f t="shared" si="5"/>
        <v>816386.67985277297</v>
      </c>
      <c r="AG103" s="105">
        <f t="shared" si="5"/>
        <v>816386.67985277297</v>
      </c>
      <c r="AH103" s="105">
        <f t="shared" si="5"/>
        <v>816386.67985277297</v>
      </c>
      <c r="AI103" s="105">
        <f t="shared" si="5"/>
        <v>680325.49950990477</v>
      </c>
      <c r="AJ103" s="105">
        <f t="shared" si="5"/>
        <v>680325.49950990477</v>
      </c>
      <c r="AK103" s="105">
        <f t="shared" si="5"/>
        <v>680325.49950990477</v>
      </c>
      <c r="AL103" s="105">
        <f t="shared" si="5"/>
        <v>680325.49950990477</v>
      </c>
      <c r="AM103" s="105">
        <f t="shared" si="5"/>
        <v>680325.49950990477</v>
      </c>
      <c r="AN103" s="105">
        <f t="shared" si="5"/>
        <v>680325.49950990477</v>
      </c>
      <c r="AO103" s="105">
        <f t="shared" si="5"/>
        <v>680325.49950990477</v>
      </c>
      <c r="AP103" s="105">
        <f t="shared" si="5"/>
        <v>680325.49950990477</v>
      </c>
      <c r="AQ103" s="105">
        <f t="shared" si="5"/>
        <v>680325.49950990477</v>
      </c>
      <c r="AR103" s="105">
        <f t="shared" si="5"/>
        <v>680325.49950990477</v>
      </c>
      <c r="AS103" s="105">
        <f t="shared" si="5"/>
        <v>680325.49950990477</v>
      </c>
      <c r="AT103" s="105">
        <f t="shared" si="5"/>
        <v>680325.49950990477</v>
      </c>
      <c r="AU103" s="105">
        <f t="shared" si="5"/>
        <v>680325.49950990477</v>
      </c>
      <c r="AV103" s="105">
        <f t="shared" si="5"/>
        <v>680325.49950990477</v>
      </c>
      <c r="AW103" s="105">
        <f t="shared" si="5"/>
        <v>680325.49950990477</v>
      </c>
      <c r="AX103" s="105">
        <f t="shared" si="5"/>
        <v>680325.49950990477</v>
      </c>
    </row>
    <row r="104" spans="1:50">
      <c r="A104" s="105" t="s">
        <v>105</v>
      </c>
      <c r="B104" s="105" t="s">
        <v>10</v>
      </c>
      <c r="C104" s="100">
        <v>1.0089971508573225E-18</v>
      </c>
      <c r="D104" s="100">
        <v>1.0089971508573225E-18</v>
      </c>
      <c r="E104" s="100">
        <v>1.0089971508573225E-18</v>
      </c>
      <c r="F104" s="100">
        <v>1.0089971508573225E-18</v>
      </c>
      <c r="G104" s="100">
        <v>1.2612464385716531E-18</v>
      </c>
      <c r="H104" s="100">
        <v>1.2612464385716531E-18</v>
      </c>
      <c r="I104" s="100">
        <v>1.2612464385716531E-18</v>
      </c>
      <c r="J104" s="100">
        <v>1.2612464385716531E-18</v>
      </c>
      <c r="K104" s="100">
        <v>1.2612464385716531E-18</v>
      </c>
      <c r="L104" s="100">
        <v>1.2612464385716531E-18</v>
      </c>
      <c r="M104" s="100">
        <v>1.2612464385716531E-18</v>
      </c>
      <c r="N104" s="100">
        <v>1.2612464385716531E-18</v>
      </c>
      <c r="O104" s="100">
        <v>1.2612464385716531E-18</v>
      </c>
      <c r="P104" s="100">
        <v>1.2612464385716531E-18</v>
      </c>
      <c r="Q104" s="100">
        <v>1.2612464385716531E-18</v>
      </c>
      <c r="R104" s="100">
        <v>1.2612464385716531E-18</v>
      </c>
      <c r="S104" s="100">
        <v>1.2612464385716531E-18</v>
      </c>
      <c r="T104" s="100">
        <v>1.2612464385716531E-18</v>
      </c>
      <c r="U104" s="100">
        <v>1.2612464385716531E-18</v>
      </c>
      <c r="V104" s="100">
        <v>1.2612464385716531E-18</v>
      </c>
      <c r="W104" s="100">
        <v>1.2612464385716531E-18</v>
      </c>
      <c r="X104" s="100">
        <v>1.2612464385716531E-18</v>
      </c>
      <c r="Y104" s="100">
        <v>1.2612464385716531E-18</v>
      </c>
      <c r="Z104" s="100">
        <v>1.2612464385716531E-18</v>
      </c>
      <c r="AA104" s="100">
        <v>1.2612464385716531E-18</v>
      </c>
      <c r="AB104" s="100">
        <v>1.2612464385716531E-18</v>
      </c>
      <c r="AC104" s="100">
        <v>1.2612464385716531E-18</v>
      </c>
      <c r="AD104" s="100">
        <v>1.2612464385716531E-18</v>
      </c>
      <c r="AE104" s="100">
        <v>1.2612464385716531E-18</v>
      </c>
      <c r="AF104" s="100">
        <v>1.2612464385716531E-18</v>
      </c>
      <c r="AG104" s="100">
        <v>1.2612464385716531E-18</v>
      </c>
      <c r="AH104" s="100">
        <v>1.2612464385716531E-18</v>
      </c>
      <c r="AI104" s="100">
        <v>1.5134957262859834E-18</v>
      </c>
      <c r="AJ104" s="100">
        <v>1.5134957262859834E-18</v>
      </c>
      <c r="AK104" s="100">
        <v>1.5134957262859834E-18</v>
      </c>
      <c r="AL104" s="100">
        <v>1.5134957262859834E-18</v>
      </c>
      <c r="AM104" s="100">
        <v>1.2612464385716531E-18</v>
      </c>
      <c r="AN104" s="100">
        <v>1.2612464385716531E-18</v>
      </c>
      <c r="AO104" s="100">
        <v>1.2612464385716531E-18</v>
      </c>
      <c r="AP104" s="100">
        <v>1.2612464385716531E-18</v>
      </c>
      <c r="AQ104" s="100">
        <v>1.2612464385716531E-18</v>
      </c>
      <c r="AR104" s="100">
        <v>1.2612464385716531E-18</v>
      </c>
      <c r="AS104" s="100">
        <v>1.2612464385716531E-18</v>
      </c>
      <c r="AT104" s="100">
        <v>1.2612464385716531E-18</v>
      </c>
      <c r="AU104" s="100">
        <v>1.2612464385716531E-18</v>
      </c>
      <c r="AV104" s="100">
        <v>1.2612464385716531E-18</v>
      </c>
      <c r="AW104" s="100">
        <v>1.2612464385716531E-18</v>
      </c>
      <c r="AX104" s="100">
        <v>1.2612464385716531E-18</v>
      </c>
    </row>
    <row r="105" spans="1:50">
      <c r="B105" s="105" t="s">
        <v>12</v>
      </c>
      <c r="C105" s="100">
        <v>1.6374907166735792E-18</v>
      </c>
      <c r="D105" s="100">
        <v>1.6374907166735792E-18</v>
      </c>
      <c r="E105" s="100">
        <v>1.6374907166735792E-18</v>
      </c>
      <c r="F105" s="100">
        <v>1.6374907166735792E-18</v>
      </c>
      <c r="G105" s="100">
        <v>2.0468633958419742E-18</v>
      </c>
      <c r="H105" s="100">
        <v>2.0468633958419742E-18</v>
      </c>
      <c r="I105" s="100">
        <v>2.0468633958419742E-18</v>
      </c>
      <c r="J105" s="100">
        <v>2.0468633958419742E-18</v>
      </c>
      <c r="K105" s="100">
        <v>2.0468633958419742E-18</v>
      </c>
      <c r="L105" s="100">
        <v>2.0468633958419742E-18</v>
      </c>
      <c r="M105" s="100">
        <v>2.0468633958419742E-18</v>
      </c>
      <c r="N105" s="100">
        <v>2.0468633958419742E-18</v>
      </c>
      <c r="O105" s="100">
        <v>2.0468633958419742E-18</v>
      </c>
      <c r="P105" s="100">
        <v>2.0468633958419742E-18</v>
      </c>
      <c r="Q105" s="100">
        <v>2.0468633958419742E-18</v>
      </c>
      <c r="R105" s="100">
        <v>2.0468633958419742E-18</v>
      </c>
      <c r="S105" s="100">
        <v>2.0468633958419742E-18</v>
      </c>
      <c r="T105" s="100">
        <v>2.0468633958419742E-18</v>
      </c>
      <c r="U105" s="100">
        <v>2.0468633958419742E-18</v>
      </c>
      <c r="V105" s="100">
        <v>2.0468633958419742E-18</v>
      </c>
      <c r="W105" s="100">
        <v>2.0468633958419742E-18</v>
      </c>
      <c r="X105" s="100">
        <v>2.0468633958419742E-18</v>
      </c>
      <c r="Y105" s="100">
        <v>2.0468633958419742E-18</v>
      </c>
      <c r="Z105" s="100">
        <v>2.0468633958419742E-18</v>
      </c>
      <c r="AA105" s="100">
        <v>2.0468633958419742E-18</v>
      </c>
      <c r="AB105" s="100">
        <v>2.0468633958419742E-18</v>
      </c>
      <c r="AC105" s="100">
        <v>2.0468633958419742E-18</v>
      </c>
      <c r="AD105" s="100">
        <v>2.0468633958419742E-18</v>
      </c>
      <c r="AE105" s="100">
        <v>2.0468633958419742E-18</v>
      </c>
      <c r="AF105" s="100">
        <v>2.0468633958419742E-18</v>
      </c>
      <c r="AG105" s="100">
        <v>2.0468633958419742E-18</v>
      </c>
      <c r="AH105" s="100">
        <v>2.0468633958419742E-18</v>
      </c>
      <c r="AI105" s="100">
        <v>2.456236075010369E-18</v>
      </c>
      <c r="AJ105" s="100">
        <v>2.456236075010369E-18</v>
      </c>
      <c r="AK105" s="100">
        <v>2.456236075010369E-18</v>
      </c>
      <c r="AL105" s="100">
        <v>2.456236075010369E-18</v>
      </c>
      <c r="AM105" s="100">
        <v>2.0468633958419742E-18</v>
      </c>
      <c r="AN105" s="100">
        <v>2.0468633958419742E-18</v>
      </c>
      <c r="AO105" s="100">
        <v>2.0468633958419742E-18</v>
      </c>
      <c r="AP105" s="100">
        <v>2.0468633958419742E-18</v>
      </c>
      <c r="AQ105" s="100">
        <v>2.0468633958419742E-18</v>
      </c>
      <c r="AR105" s="100">
        <v>2.0468633958419742E-18</v>
      </c>
      <c r="AS105" s="100">
        <v>2.0468633958419742E-18</v>
      </c>
      <c r="AT105" s="100">
        <v>2.0468633958419742E-18</v>
      </c>
      <c r="AU105" s="100">
        <v>2.0468633958419742E-18</v>
      </c>
      <c r="AV105" s="100">
        <v>2.0468633958419742E-18</v>
      </c>
      <c r="AW105" s="100">
        <v>2.0468633958419742E-18</v>
      </c>
      <c r="AX105" s="100">
        <v>2.0468633958419742E-18</v>
      </c>
    </row>
    <row r="106" spans="1:50">
      <c r="B106" s="105" t="s">
        <v>22</v>
      </c>
      <c r="C106" s="100">
        <v>0</v>
      </c>
      <c r="D106" s="100">
        <v>0</v>
      </c>
      <c r="E106" s="100">
        <v>0</v>
      </c>
      <c r="F106" s="100">
        <v>0</v>
      </c>
      <c r="G106" s="100">
        <v>0</v>
      </c>
      <c r="H106" s="100">
        <v>0</v>
      </c>
      <c r="I106" s="100">
        <v>0</v>
      </c>
      <c r="J106" s="100">
        <v>0</v>
      </c>
      <c r="K106" s="100">
        <v>0</v>
      </c>
      <c r="L106" s="100">
        <v>0</v>
      </c>
      <c r="M106" s="100">
        <v>0</v>
      </c>
      <c r="N106" s="100">
        <v>0</v>
      </c>
      <c r="O106" s="100">
        <v>0</v>
      </c>
      <c r="P106" s="100">
        <v>0</v>
      </c>
      <c r="Q106" s="100">
        <v>0</v>
      </c>
      <c r="R106" s="100">
        <v>0</v>
      </c>
      <c r="S106" s="100">
        <v>0</v>
      </c>
      <c r="T106" s="100">
        <v>0</v>
      </c>
      <c r="U106" s="100">
        <v>0</v>
      </c>
      <c r="V106" s="100">
        <v>0</v>
      </c>
      <c r="W106" s="100">
        <v>0</v>
      </c>
      <c r="X106" s="100">
        <v>0</v>
      </c>
      <c r="Y106" s="100">
        <v>0</v>
      </c>
      <c r="Z106" s="100">
        <v>0</v>
      </c>
      <c r="AA106" s="100">
        <v>0</v>
      </c>
      <c r="AB106" s="100">
        <v>0</v>
      </c>
      <c r="AC106" s="100">
        <v>0</v>
      </c>
      <c r="AD106" s="100">
        <v>0</v>
      </c>
      <c r="AE106" s="100">
        <v>0</v>
      </c>
      <c r="AF106" s="100">
        <v>0</v>
      </c>
      <c r="AG106" s="100">
        <v>0</v>
      </c>
      <c r="AH106" s="100">
        <v>0</v>
      </c>
      <c r="AI106" s="100">
        <v>0</v>
      </c>
      <c r="AJ106" s="100">
        <v>0</v>
      </c>
      <c r="AK106" s="100">
        <v>0</v>
      </c>
      <c r="AL106" s="100">
        <v>0</v>
      </c>
      <c r="AM106" s="100">
        <v>0</v>
      </c>
      <c r="AN106" s="100">
        <v>0</v>
      </c>
      <c r="AO106" s="100">
        <v>0</v>
      </c>
      <c r="AP106" s="100">
        <v>0</v>
      </c>
      <c r="AQ106" s="100">
        <v>0</v>
      </c>
      <c r="AR106" s="100">
        <v>0</v>
      </c>
      <c r="AS106" s="100">
        <v>0</v>
      </c>
      <c r="AT106" s="100">
        <v>0</v>
      </c>
      <c r="AU106" s="100">
        <v>0</v>
      </c>
      <c r="AV106" s="100">
        <v>0</v>
      </c>
      <c r="AW106" s="100">
        <v>0</v>
      </c>
      <c r="AX106" s="100">
        <v>0</v>
      </c>
    </row>
    <row r="107" spans="1:50">
      <c r="B107" s="105" t="s">
        <v>46</v>
      </c>
      <c r="C107" s="100">
        <v>0</v>
      </c>
      <c r="D107" s="100">
        <v>0</v>
      </c>
      <c r="E107" s="100">
        <v>0</v>
      </c>
      <c r="F107" s="100">
        <v>0</v>
      </c>
      <c r="G107" s="100">
        <v>0</v>
      </c>
      <c r="H107" s="100">
        <v>0</v>
      </c>
      <c r="I107" s="100">
        <v>0</v>
      </c>
      <c r="J107" s="100">
        <v>0</v>
      </c>
      <c r="K107" s="100">
        <v>0</v>
      </c>
      <c r="L107" s="100">
        <v>0</v>
      </c>
      <c r="M107" s="100">
        <v>0</v>
      </c>
      <c r="N107" s="100">
        <v>0</v>
      </c>
      <c r="O107" s="100">
        <v>0</v>
      </c>
      <c r="P107" s="100">
        <v>0</v>
      </c>
      <c r="Q107" s="100">
        <v>0</v>
      </c>
      <c r="R107" s="100">
        <v>0</v>
      </c>
      <c r="S107" s="100">
        <v>0</v>
      </c>
      <c r="T107" s="100">
        <v>0</v>
      </c>
      <c r="U107" s="100">
        <v>0</v>
      </c>
      <c r="V107" s="100">
        <v>0</v>
      </c>
      <c r="W107" s="100">
        <v>0</v>
      </c>
      <c r="X107" s="100">
        <v>0</v>
      </c>
      <c r="Y107" s="100">
        <v>0</v>
      </c>
      <c r="Z107" s="100">
        <v>0</v>
      </c>
      <c r="AA107" s="100">
        <v>0</v>
      </c>
      <c r="AB107" s="100">
        <v>0</v>
      </c>
      <c r="AC107" s="100">
        <v>0</v>
      </c>
      <c r="AD107" s="100">
        <v>0</v>
      </c>
      <c r="AE107" s="100">
        <v>0</v>
      </c>
      <c r="AF107" s="100">
        <v>0</v>
      </c>
      <c r="AG107" s="100">
        <v>0</v>
      </c>
      <c r="AH107" s="100">
        <v>0</v>
      </c>
      <c r="AI107" s="100">
        <v>0</v>
      </c>
      <c r="AJ107" s="100">
        <v>0</v>
      </c>
      <c r="AK107" s="100">
        <v>0</v>
      </c>
      <c r="AL107" s="100">
        <v>0</v>
      </c>
      <c r="AM107" s="100">
        <v>0</v>
      </c>
      <c r="AN107" s="100">
        <v>0</v>
      </c>
      <c r="AO107" s="100">
        <v>0</v>
      </c>
      <c r="AP107" s="100">
        <v>0</v>
      </c>
      <c r="AQ107" s="100">
        <v>0</v>
      </c>
      <c r="AR107" s="100">
        <v>0</v>
      </c>
      <c r="AS107" s="100">
        <v>0</v>
      </c>
      <c r="AT107" s="100">
        <v>0</v>
      </c>
      <c r="AU107" s="100">
        <v>0</v>
      </c>
      <c r="AV107" s="100">
        <v>0</v>
      </c>
      <c r="AW107" s="100">
        <v>0</v>
      </c>
      <c r="AX107" s="100">
        <v>0</v>
      </c>
    </row>
    <row r="108" spans="1:50">
      <c r="B108" s="105" t="s">
        <v>59</v>
      </c>
      <c r="C108" s="100">
        <v>3.3682640826542918E-19</v>
      </c>
      <c r="D108" s="100">
        <v>3.3682640826542918E-19</v>
      </c>
      <c r="E108" s="100">
        <v>3.3682640826542918E-19</v>
      </c>
      <c r="F108" s="100">
        <v>3.3682640826542918E-19</v>
      </c>
      <c r="G108" s="100">
        <v>4.2103301033178637E-19</v>
      </c>
      <c r="H108" s="100">
        <v>4.2103301033178637E-19</v>
      </c>
      <c r="I108" s="100">
        <v>4.2103301033178637E-19</v>
      </c>
      <c r="J108" s="100">
        <v>4.2103301033178637E-19</v>
      </c>
      <c r="K108" s="100">
        <v>4.2103301033178637E-19</v>
      </c>
      <c r="L108" s="100">
        <v>4.2103301033178637E-19</v>
      </c>
      <c r="M108" s="100">
        <v>4.2103301033178637E-19</v>
      </c>
      <c r="N108" s="100">
        <v>4.2103301033178637E-19</v>
      </c>
      <c r="O108" s="100">
        <v>4.2103301033178637E-19</v>
      </c>
      <c r="P108" s="100">
        <v>4.2103301033178637E-19</v>
      </c>
      <c r="Q108" s="100">
        <v>4.2103301033178637E-19</v>
      </c>
      <c r="R108" s="100">
        <v>4.2103301033178637E-19</v>
      </c>
      <c r="S108" s="100">
        <v>4.2103301033178637E-19</v>
      </c>
      <c r="T108" s="100">
        <v>4.2103301033178637E-19</v>
      </c>
      <c r="U108" s="100">
        <v>4.2103301033178637E-19</v>
      </c>
      <c r="V108" s="100">
        <v>4.2103301033178637E-19</v>
      </c>
      <c r="W108" s="100">
        <v>4.2103301033178637E-19</v>
      </c>
      <c r="X108" s="100">
        <v>4.2103301033178637E-19</v>
      </c>
      <c r="Y108" s="100">
        <v>4.2103301033178637E-19</v>
      </c>
      <c r="Z108" s="100">
        <v>4.2103301033178637E-19</v>
      </c>
      <c r="AA108" s="100">
        <v>4.2103301033178637E-19</v>
      </c>
      <c r="AB108" s="100">
        <v>4.2103301033178637E-19</v>
      </c>
      <c r="AC108" s="100">
        <v>4.2103301033178637E-19</v>
      </c>
      <c r="AD108" s="100">
        <v>4.2103301033178637E-19</v>
      </c>
      <c r="AE108" s="100">
        <v>4.2103301033178637E-19</v>
      </c>
      <c r="AF108" s="100">
        <v>4.2103301033178637E-19</v>
      </c>
      <c r="AG108" s="100">
        <v>4.2103301033178637E-19</v>
      </c>
      <c r="AH108" s="100">
        <v>4.2103301033178637E-19</v>
      </c>
      <c r="AI108" s="100">
        <v>5.0523961239814361E-19</v>
      </c>
      <c r="AJ108" s="100">
        <v>5.0523961239814361E-19</v>
      </c>
      <c r="AK108" s="100">
        <v>5.0523961239814361E-19</v>
      </c>
      <c r="AL108" s="100">
        <v>5.0523961239814361E-19</v>
      </c>
      <c r="AM108" s="100">
        <v>4.2103301033178637E-19</v>
      </c>
      <c r="AN108" s="100">
        <v>4.2103301033178637E-19</v>
      </c>
      <c r="AO108" s="100">
        <v>4.2103301033178637E-19</v>
      </c>
      <c r="AP108" s="100">
        <v>4.2103301033178637E-19</v>
      </c>
      <c r="AQ108" s="100">
        <v>4.2103301033178637E-19</v>
      </c>
      <c r="AR108" s="100">
        <v>4.2103301033178637E-19</v>
      </c>
      <c r="AS108" s="100">
        <v>4.2103301033178637E-19</v>
      </c>
      <c r="AT108" s="100">
        <v>4.2103301033178637E-19</v>
      </c>
      <c r="AU108" s="100">
        <v>4.2103301033178637E-19</v>
      </c>
      <c r="AV108" s="100">
        <v>4.2103301033178637E-19</v>
      </c>
      <c r="AW108" s="100">
        <v>4.2103301033178637E-19</v>
      </c>
      <c r="AX108" s="100">
        <v>4.2103301033178637E-19</v>
      </c>
    </row>
    <row r="109" spans="1:50">
      <c r="B109" s="101" t="s">
        <v>278</v>
      </c>
      <c r="C109" s="105">
        <f>SUM(C$104:C$108)</f>
        <v>2.983314275796331E-18</v>
      </c>
      <c r="D109" s="105">
        <f t="shared" ref="D109:AX109" si="6">SUM(D$104:D$108)</f>
        <v>2.983314275796331E-18</v>
      </c>
      <c r="E109" s="105">
        <f t="shared" si="6"/>
        <v>2.983314275796331E-18</v>
      </c>
      <c r="F109" s="105">
        <f t="shared" si="6"/>
        <v>2.983314275796331E-18</v>
      </c>
      <c r="G109" s="105">
        <f t="shared" si="6"/>
        <v>3.7291428447454133E-18</v>
      </c>
      <c r="H109" s="105">
        <f t="shared" si="6"/>
        <v>3.7291428447454133E-18</v>
      </c>
      <c r="I109" s="105">
        <f t="shared" si="6"/>
        <v>3.7291428447454133E-18</v>
      </c>
      <c r="J109" s="105">
        <f t="shared" si="6"/>
        <v>3.7291428447454133E-18</v>
      </c>
      <c r="K109" s="105">
        <f t="shared" si="6"/>
        <v>3.7291428447454133E-18</v>
      </c>
      <c r="L109" s="105">
        <f t="shared" si="6"/>
        <v>3.7291428447454133E-18</v>
      </c>
      <c r="M109" s="105">
        <f t="shared" si="6"/>
        <v>3.7291428447454133E-18</v>
      </c>
      <c r="N109" s="105">
        <f t="shared" si="6"/>
        <v>3.7291428447454133E-18</v>
      </c>
      <c r="O109" s="105">
        <f t="shared" si="6"/>
        <v>3.7291428447454133E-18</v>
      </c>
      <c r="P109" s="105">
        <f t="shared" si="6"/>
        <v>3.7291428447454133E-18</v>
      </c>
      <c r="Q109" s="105">
        <f t="shared" si="6"/>
        <v>3.7291428447454133E-18</v>
      </c>
      <c r="R109" s="105">
        <f t="shared" si="6"/>
        <v>3.7291428447454133E-18</v>
      </c>
      <c r="S109" s="105">
        <f t="shared" si="6"/>
        <v>3.7291428447454133E-18</v>
      </c>
      <c r="T109" s="105">
        <f t="shared" si="6"/>
        <v>3.7291428447454133E-18</v>
      </c>
      <c r="U109" s="105">
        <f t="shared" si="6"/>
        <v>3.7291428447454133E-18</v>
      </c>
      <c r="V109" s="105">
        <f t="shared" si="6"/>
        <v>3.7291428447454133E-18</v>
      </c>
      <c r="W109" s="105">
        <f t="shared" si="6"/>
        <v>3.7291428447454133E-18</v>
      </c>
      <c r="X109" s="105">
        <f t="shared" si="6"/>
        <v>3.7291428447454133E-18</v>
      </c>
      <c r="Y109" s="105">
        <f t="shared" si="6"/>
        <v>3.7291428447454133E-18</v>
      </c>
      <c r="Z109" s="105">
        <f t="shared" si="6"/>
        <v>3.7291428447454133E-18</v>
      </c>
      <c r="AA109" s="105">
        <f t="shared" si="6"/>
        <v>3.7291428447454133E-18</v>
      </c>
      <c r="AB109" s="105">
        <f t="shared" si="6"/>
        <v>3.7291428447454133E-18</v>
      </c>
      <c r="AC109" s="105">
        <f t="shared" si="6"/>
        <v>3.7291428447454133E-18</v>
      </c>
      <c r="AD109" s="105">
        <f t="shared" si="6"/>
        <v>3.7291428447454133E-18</v>
      </c>
      <c r="AE109" s="105">
        <f t="shared" si="6"/>
        <v>3.7291428447454133E-18</v>
      </c>
      <c r="AF109" s="105">
        <f t="shared" si="6"/>
        <v>3.7291428447454133E-18</v>
      </c>
      <c r="AG109" s="105">
        <f t="shared" si="6"/>
        <v>3.7291428447454133E-18</v>
      </c>
      <c r="AH109" s="105">
        <f t="shared" si="6"/>
        <v>3.7291428447454133E-18</v>
      </c>
      <c r="AI109" s="105">
        <f t="shared" si="6"/>
        <v>4.474971413694496E-18</v>
      </c>
      <c r="AJ109" s="105">
        <f t="shared" si="6"/>
        <v>4.474971413694496E-18</v>
      </c>
      <c r="AK109" s="105">
        <f t="shared" si="6"/>
        <v>4.474971413694496E-18</v>
      </c>
      <c r="AL109" s="105">
        <f t="shared" si="6"/>
        <v>4.474971413694496E-18</v>
      </c>
      <c r="AM109" s="105">
        <f t="shared" si="6"/>
        <v>3.7291428447454133E-18</v>
      </c>
      <c r="AN109" s="105">
        <f t="shared" si="6"/>
        <v>3.7291428447454133E-18</v>
      </c>
      <c r="AO109" s="105">
        <f t="shared" si="6"/>
        <v>3.7291428447454133E-18</v>
      </c>
      <c r="AP109" s="105">
        <f t="shared" si="6"/>
        <v>3.7291428447454133E-18</v>
      </c>
      <c r="AQ109" s="105">
        <f t="shared" si="6"/>
        <v>3.7291428447454133E-18</v>
      </c>
      <c r="AR109" s="105">
        <f t="shared" si="6"/>
        <v>3.7291428447454133E-18</v>
      </c>
      <c r="AS109" s="105">
        <f t="shared" si="6"/>
        <v>3.7291428447454133E-18</v>
      </c>
      <c r="AT109" s="105">
        <f t="shared" si="6"/>
        <v>3.7291428447454133E-18</v>
      </c>
      <c r="AU109" s="105">
        <f t="shared" si="6"/>
        <v>3.7291428447454133E-18</v>
      </c>
      <c r="AV109" s="105">
        <f t="shared" si="6"/>
        <v>3.7291428447454133E-18</v>
      </c>
      <c r="AW109" s="105">
        <f t="shared" si="6"/>
        <v>3.7291428447454133E-18</v>
      </c>
      <c r="AX109" s="105">
        <f t="shared" si="6"/>
        <v>3.7291428447454133E-18</v>
      </c>
    </row>
    <row r="110" spans="1:50">
      <c r="A110" s="105" t="s">
        <v>106</v>
      </c>
      <c r="B110" s="105" t="s">
        <v>10</v>
      </c>
      <c r="C110" s="100">
        <v>7.131829587517288E-19</v>
      </c>
      <c r="D110" s="100">
        <v>7.131829587517288E-19</v>
      </c>
      <c r="E110" s="100">
        <v>7.131829587517288E-19</v>
      </c>
      <c r="F110" s="100">
        <v>7.131829587517288E-19</v>
      </c>
      <c r="G110" s="100">
        <v>7.131829587517288E-19</v>
      </c>
      <c r="H110" s="100">
        <v>7.131829587517288E-19</v>
      </c>
      <c r="I110" s="100">
        <v>7.131829587517288E-19</v>
      </c>
      <c r="J110" s="100">
        <v>7.131829587517288E-19</v>
      </c>
      <c r="K110" s="100">
        <v>7.131829587517288E-19</v>
      </c>
      <c r="L110" s="100">
        <v>7.131829587517288E-19</v>
      </c>
      <c r="M110" s="100">
        <v>7.131829587517288E-19</v>
      </c>
      <c r="N110" s="100">
        <v>7.131829587517288E-19</v>
      </c>
      <c r="O110" s="100">
        <v>7.131829587517288E-19</v>
      </c>
      <c r="P110" s="100">
        <v>7.131829587517288E-19</v>
      </c>
      <c r="Q110" s="100">
        <v>7.131829587517288E-19</v>
      </c>
      <c r="R110" s="100">
        <v>7.131829587517288E-19</v>
      </c>
      <c r="S110" s="100">
        <v>7.131829587517288E-19</v>
      </c>
      <c r="T110" s="100">
        <v>7.131829587517288E-19</v>
      </c>
      <c r="U110" s="100">
        <v>7.131829587517288E-19</v>
      </c>
      <c r="V110" s="100">
        <v>7.131829587517288E-19</v>
      </c>
      <c r="W110" s="100">
        <v>7.131829587517288E-19</v>
      </c>
      <c r="X110" s="100">
        <v>7.131829587517288E-19</v>
      </c>
      <c r="Y110" s="100">
        <v>7.131829587517288E-19</v>
      </c>
      <c r="Z110" s="100">
        <v>7.131829587517288E-19</v>
      </c>
      <c r="AA110" s="100">
        <v>7.131829587517288E-19</v>
      </c>
      <c r="AB110" s="100">
        <v>7.131829587517288E-19</v>
      </c>
      <c r="AC110" s="100">
        <v>7.131829587517288E-19</v>
      </c>
      <c r="AD110" s="100">
        <v>7.131829587517288E-19</v>
      </c>
      <c r="AE110" s="100">
        <v>7.131829587517288E-19</v>
      </c>
      <c r="AF110" s="100">
        <v>7.131829587517288E-19</v>
      </c>
      <c r="AG110" s="100">
        <v>7.131829587517288E-19</v>
      </c>
      <c r="AH110" s="100">
        <v>7.131829587517288E-19</v>
      </c>
      <c r="AI110" s="100">
        <v>7.131829587517288E-19</v>
      </c>
      <c r="AJ110" s="100">
        <v>7.131829587517288E-19</v>
      </c>
      <c r="AK110" s="100">
        <v>7.131829587517288E-19</v>
      </c>
      <c r="AL110" s="100">
        <v>7.131829587517288E-19</v>
      </c>
      <c r="AM110" s="100">
        <v>7.131829587517288E-19</v>
      </c>
      <c r="AN110" s="100">
        <v>7.131829587517288E-19</v>
      </c>
      <c r="AO110" s="100">
        <v>7.131829587517288E-19</v>
      </c>
      <c r="AP110" s="100">
        <v>7.131829587517288E-19</v>
      </c>
      <c r="AQ110" s="100">
        <v>7.131829587517288E-19</v>
      </c>
      <c r="AR110" s="100">
        <v>7.131829587517288E-19</v>
      </c>
      <c r="AS110" s="100">
        <v>7.131829587517288E-19</v>
      </c>
      <c r="AT110" s="100">
        <v>7.131829587517288E-19</v>
      </c>
      <c r="AU110" s="100">
        <v>7.131829587517288E-19</v>
      </c>
      <c r="AV110" s="100">
        <v>7.131829587517288E-19</v>
      </c>
      <c r="AW110" s="100">
        <v>7.131829587517288E-19</v>
      </c>
      <c r="AX110" s="100">
        <v>7.131829587517288E-19</v>
      </c>
    </row>
    <row r="111" spans="1:50">
      <c r="B111" s="105" t="s">
        <v>12</v>
      </c>
      <c r="C111" s="100">
        <v>3.1686930504973596E-18</v>
      </c>
      <c r="D111" s="100">
        <v>3.1686930504973596E-18</v>
      </c>
      <c r="E111" s="100">
        <v>3.1686930504973596E-18</v>
      </c>
      <c r="F111" s="100">
        <v>3.1686930504973596E-18</v>
      </c>
      <c r="G111" s="100">
        <v>3.1686930504973596E-18</v>
      </c>
      <c r="H111" s="100">
        <v>3.1686930504973596E-18</v>
      </c>
      <c r="I111" s="100">
        <v>3.1686930504973596E-18</v>
      </c>
      <c r="J111" s="100">
        <v>3.1686930504973596E-18</v>
      </c>
      <c r="K111" s="100">
        <v>3.1686930504973596E-18</v>
      </c>
      <c r="L111" s="100">
        <v>3.1686930504973596E-18</v>
      </c>
      <c r="M111" s="100">
        <v>3.1686930504973596E-18</v>
      </c>
      <c r="N111" s="100">
        <v>3.1686930504973596E-18</v>
      </c>
      <c r="O111" s="100">
        <v>3.1686930504973596E-18</v>
      </c>
      <c r="P111" s="100">
        <v>3.1686930504973596E-18</v>
      </c>
      <c r="Q111" s="100">
        <v>3.1686930504973596E-18</v>
      </c>
      <c r="R111" s="100">
        <v>3.1686930504973596E-18</v>
      </c>
      <c r="S111" s="100">
        <v>3.1686930504973596E-18</v>
      </c>
      <c r="T111" s="100">
        <v>3.1686930504973596E-18</v>
      </c>
      <c r="U111" s="100">
        <v>3.1686930504973596E-18</v>
      </c>
      <c r="V111" s="100">
        <v>3.1686930504973596E-18</v>
      </c>
      <c r="W111" s="100">
        <v>3.1686930504973596E-18</v>
      </c>
      <c r="X111" s="100">
        <v>3.1686930504973596E-18</v>
      </c>
      <c r="Y111" s="100">
        <v>3.1686930504973596E-18</v>
      </c>
      <c r="Z111" s="100">
        <v>3.1686930504973596E-18</v>
      </c>
      <c r="AA111" s="100">
        <v>3.1686930504973596E-18</v>
      </c>
      <c r="AB111" s="100">
        <v>3.1686930504973596E-18</v>
      </c>
      <c r="AC111" s="100">
        <v>3.1686930504973596E-18</v>
      </c>
      <c r="AD111" s="100">
        <v>3.1686930504973596E-18</v>
      </c>
      <c r="AE111" s="100">
        <v>3.1686930504973596E-18</v>
      </c>
      <c r="AF111" s="100">
        <v>3.1686930504973596E-18</v>
      </c>
      <c r="AG111" s="100">
        <v>3.1686930504973596E-18</v>
      </c>
      <c r="AH111" s="100">
        <v>3.1686930504973596E-18</v>
      </c>
      <c r="AI111" s="100">
        <v>3.1686930504973596E-18</v>
      </c>
      <c r="AJ111" s="100">
        <v>3.1686930504973596E-18</v>
      </c>
      <c r="AK111" s="100">
        <v>3.1686930504973596E-18</v>
      </c>
      <c r="AL111" s="100">
        <v>3.1686930504973596E-18</v>
      </c>
      <c r="AM111" s="100">
        <v>3.1686930504973596E-18</v>
      </c>
      <c r="AN111" s="100">
        <v>3.1686930504973596E-18</v>
      </c>
      <c r="AO111" s="100">
        <v>3.1686930504973596E-18</v>
      </c>
      <c r="AP111" s="100">
        <v>3.1686930504973596E-18</v>
      </c>
      <c r="AQ111" s="100">
        <v>3.1686930504973596E-18</v>
      </c>
      <c r="AR111" s="100">
        <v>3.1686930504973596E-18</v>
      </c>
      <c r="AS111" s="100">
        <v>3.1686930504973596E-18</v>
      </c>
      <c r="AT111" s="100">
        <v>3.1686930504973596E-18</v>
      </c>
      <c r="AU111" s="100">
        <v>3.1686930504973596E-18</v>
      </c>
      <c r="AV111" s="100">
        <v>3.1686930504973596E-18</v>
      </c>
      <c r="AW111" s="100">
        <v>3.1686930504973596E-18</v>
      </c>
      <c r="AX111" s="100">
        <v>3.1686930504973596E-18</v>
      </c>
    </row>
    <row r="112" spans="1:50">
      <c r="B112" s="105" t="s">
        <v>22</v>
      </c>
      <c r="C112" s="100">
        <v>2956.8</v>
      </c>
      <c r="D112" s="100">
        <v>2956.8</v>
      </c>
      <c r="E112" s="100">
        <v>2956.8</v>
      </c>
      <c r="F112" s="100">
        <v>2956.8</v>
      </c>
      <c r="G112" s="100">
        <v>2956.8</v>
      </c>
      <c r="H112" s="100">
        <v>2956.8</v>
      </c>
      <c r="I112" s="100">
        <v>2956.8</v>
      </c>
      <c r="J112" s="100">
        <v>2956.8</v>
      </c>
      <c r="K112" s="100">
        <v>2956.8</v>
      </c>
      <c r="L112" s="100">
        <v>2956.8</v>
      </c>
      <c r="M112" s="100">
        <v>2956.8</v>
      </c>
      <c r="N112" s="100">
        <v>2956.8</v>
      </c>
      <c r="O112" s="100">
        <v>2956.8</v>
      </c>
      <c r="P112" s="100">
        <v>2956.8</v>
      </c>
      <c r="Q112" s="100">
        <v>2956.8</v>
      </c>
      <c r="R112" s="100">
        <v>2956.8</v>
      </c>
      <c r="S112" s="100">
        <v>2956.8</v>
      </c>
      <c r="T112" s="100">
        <v>2956.8</v>
      </c>
      <c r="U112" s="100">
        <v>2956.8</v>
      </c>
      <c r="V112" s="100">
        <v>2956.8</v>
      </c>
      <c r="W112" s="100">
        <v>2956.8</v>
      </c>
      <c r="X112" s="100">
        <v>2956.8</v>
      </c>
      <c r="Y112" s="100">
        <v>2956.8</v>
      </c>
      <c r="Z112" s="100">
        <v>2956.8</v>
      </c>
      <c r="AA112" s="100">
        <v>2956.8</v>
      </c>
      <c r="AB112" s="100">
        <v>2956.8</v>
      </c>
      <c r="AC112" s="100">
        <v>2956.8</v>
      </c>
      <c r="AD112" s="100">
        <v>2956.8</v>
      </c>
      <c r="AE112" s="100">
        <v>2956.8</v>
      </c>
      <c r="AF112" s="100">
        <v>2956.8</v>
      </c>
      <c r="AG112" s="100">
        <v>2956.8</v>
      </c>
      <c r="AH112" s="100">
        <v>2956.8</v>
      </c>
      <c r="AI112" s="100">
        <v>2956.8</v>
      </c>
      <c r="AJ112" s="100">
        <v>2956.8</v>
      </c>
      <c r="AK112" s="100">
        <v>2956.8</v>
      </c>
      <c r="AL112" s="100">
        <v>2956.8</v>
      </c>
      <c r="AM112" s="100">
        <v>2956.8</v>
      </c>
      <c r="AN112" s="100">
        <v>2956.8</v>
      </c>
      <c r="AO112" s="100">
        <v>2956.8</v>
      </c>
      <c r="AP112" s="100">
        <v>2956.8</v>
      </c>
      <c r="AQ112" s="100">
        <v>2956.8</v>
      </c>
      <c r="AR112" s="100">
        <v>2956.8</v>
      </c>
      <c r="AS112" s="100">
        <v>2956.8</v>
      </c>
      <c r="AT112" s="100">
        <v>2956.8</v>
      </c>
      <c r="AU112" s="100">
        <v>2956.8</v>
      </c>
      <c r="AV112" s="100">
        <v>2956.8</v>
      </c>
      <c r="AW112" s="100">
        <v>2956.8</v>
      </c>
      <c r="AX112" s="100">
        <v>2956.8</v>
      </c>
    </row>
    <row r="113" spans="1:50">
      <c r="B113" s="105" t="s">
        <v>46</v>
      </c>
      <c r="C113" s="100">
        <v>2.8015104959546142E-19</v>
      </c>
      <c r="D113" s="100">
        <v>2.8015104959546142E-19</v>
      </c>
      <c r="E113" s="100">
        <v>2.8015104959546142E-19</v>
      </c>
      <c r="F113" s="100">
        <v>2.8015104959546142E-19</v>
      </c>
      <c r="G113" s="100">
        <v>2.8015104959546142E-19</v>
      </c>
      <c r="H113" s="100">
        <v>2.8015104959546142E-19</v>
      </c>
      <c r="I113" s="100">
        <v>2.8015104959546142E-19</v>
      </c>
      <c r="J113" s="100">
        <v>2.8015104959546142E-19</v>
      </c>
      <c r="K113" s="100">
        <v>2.8015104959546142E-19</v>
      </c>
      <c r="L113" s="100">
        <v>2.8015104959546142E-19</v>
      </c>
      <c r="M113" s="100">
        <v>2.8015104959546142E-19</v>
      </c>
      <c r="N113" s="100">
        <v>2.8015104959546142E-19</v>
      </c>
      <c r="O113" s="100">
        <v>2.8015104959546142E-19</v>
      </c>
      <c r="P113" s="100">
        <v>2.8015104959546142E-19</v>
      </c>
      <c r="Q113" s="100">
        <v>2.8015104959546142E-19</v>
      </c>
      <c r="R113" s="100">
        <v>2.8015104959546142E-19</v>
      </c>
      <c r="S113" s="100">
        <v>2.8015104959546142E-19</v>
      </c>
      <c r="T113" s="100">
        <v>2.8015104959546142E-19</v>
      </c>
      <c r="U113" s="100">
        <v>2.8015104959546142E-19</v>
      </c>
      <c r="V113" s="100">
        <v>2.8015104959546142E-19</v>
      </c>
      <c r="W113" s="100">
        <v>2.8015104959546142E-19</v>
      </c>
      <c r="X113" s="100">
        <v>2.8015104959546142E-19</v>
      </c>
      <c r="Y113" s="100">
        <v>2.8015104959546142E-19</v>
      </c>
      <c r="Z113" s="100">
        <v>2.8015104959546142E-19</v>
      </c>
      <c r="AA113" s="100">
        <v>2.8015104959546142E-19</v>
      </c>
      <c r="AB113" s="100">
        <v>2.8015104959546142E-19</v>
      </c>
      <c r="AC113" s="100">
        <v>2.8015104959546142E-19</v>
      </c>
      <c r="AD113" s="100">
        <v>2.8015104959546142E-19</v>
      </c>
      <c r="AE113" s="100">
        <v>2.8015104959546142E-19</v>
      </c>
      <c r="AF113" s="100">
        <v>2.8015104959546142E-19</v>
      </c>
      <c r="AG113" s="100">
        <v>2.8015104959546142E-19</v>
      </c>
      <c r="AH113" s="100">
        <v>2.8015104959546142E-19</v>
      </c>
      <c r="AI113" s="100">
        <v>2.8015104959546142E-19</v>
      </c>
      <c r="AJ113" s="100">
        <v>2.8015104959546142E-19</v>
      </c>
      <c r="AK113" s="100">
        <v>2.8015104959546142E-19</v>
      </c>
      <c r="AL113" s="100">
        <v>2.8015104959546142E-19</v>
      </c>
      <c r="AM113" s="100">
        <v>2.8015104959546142E-19</v>
      </c>
      <c r="AN113" s="100">
        <v>2.8015104959546142E-19</v>
      </c>
      <c r="AO113" s="100">
        <v>2.8015104959546142E-19</v>
      </c>
      <c r="AP113" s="100">
        <v>2.8015104959546142E-19</v>
      </c>
      <c r="AQ113" s="100">
        <v>2.8015104959546142E-19</v>
      </c>
      <c r="AR113" s="100">
        <v>2.8015104959546142E-19</v>
      </c>
      <c r="AS113" s="100">
        <v>2.8015104959546142E-19</v>
      </c>
      <c r="AT113" s="100">
        <v>2.8015104959546142E-19</v>
      </c>
      <c r="AU113" s="100">
        <v>2.8015104959546142E-19</v>
      </c>
      <c r="AV113" s="100">
        <v>2.8015104959546142E-19</v>
      </c>
      <c r="AW113" s="100">
        <v>2.8015104959546142E-19</v>
      </c>
      <c r="AX113" s="100">
        <v>2.8015104959546142E-19</v>
      </c>
    </row>
    <row r="114" spans="1:50">
      <c r="B114" s="105" t="s">
        <v>59</v>
      </c>
      <c r="C114" s="100">
        <v>4.1381470262008736E-19</v>
      </c>
      <c r="D114" s="100">
        <v>4.1381470262008736E-19</v>
      </c>
      <c r="E114" s="100">
        <v>4.1381470262008736E-19</v>
      </c>
      <c r="F114" s="100">
        <v>4.1381470262008736E-19</v>
      </c>
      <c r="G114" s="100">
        <v>4.1381470262008736E-19</v>
      </c>
      <c r="H114" s="100">
        <v>4.1381470262008736E-19</v>
      </c>
      <c r="I114" s="100">
        <v>4.1381470262008736E-19</v>
      </c>
      <c r="J114" s="100">
        <v>4.1381470262008736E-19</v>
      </c>
      <c r="K114" s="100">
        <v>4.1381470262008736E-19</v>
      </c>
      <c r="L114" s="100">
        <v>4.1381470262008736E-19</v>
      </c>
      <c r="M114" s="100">
        <v>4.1381470262008736E-19</v>
      </c>
      <c r="N114" s="100">
        <v>4.1381470262008736E-19</v>
      </c>
      <c r="O114" s="100">
        <v>4.1381470262008736E-19</v>
      </c>
      <c r="P114" s="100">
        <v>4.1381470262008736E-19</v>
      </c>
      <c r="Q114" s="100">
        <v>4.1381470262008736E-19</v>
      </c>
      <c r="R114" s="100">
        <v>4.1381470262008736E-19</v>
      </c>
      <c r="S114" s="100">
        <v>4.1381470262008736E-19</v>
      </c>
      <c r="T114" s="100">
        <v>4.1381470262008736E-19</v>
      </c>
      <c r="U114" s="100">
        <v>4.1381470262008736E-19</v>
      </c>
      <c r="V114" s="100">
        <v>4.1381470262008736E-19</v>
      </c>
      <c r="W114" s="100">
        <v>4.1381470262008736E-19</v>
      </c>
      <c r="X114" s="100">
        <v>4.1381470262008736E-19</v>
      </c>
      <c r="Y114" s="100">
        <v>4.1381470262008736E-19</v>
      </c>
      <c r="Z114" s="100">
        <v>4.1381470262008736E-19</v>
      </c>
      <c r="AA114" s="100">
        <v>4.1381470262008736E-19</v>
      </c>
      <c r="AB114" s="100">
        <v>4.1381470262008736E-19</v>
      </c>
      <c r="AC114" s="100">
        <v>4.1381470262008736E-19</v>
      </c>
      <c r="AD114" s="100">
        <v>4.1381470262008736E-19</v>
      </c>
      <c r="AE114" s="100">
        <v>4.1381470262008736E-19</v>
      </c>
      <c r="AF114" s="100">
        <v>4.1381470262008736E-19</v>
      </c>
      <c r="AG114" s="100">
        <v>4.1381470262008736E-19</v>
      </c>
      <c r="AH114" s="100">
        <v>4.1381470262008736E-19</v>
      </c>
      <c r="AI114" s="100">
        <v>4.1381470262008736E-19</v>
      </c>
      <c r="AJ114" s="100">
        <v>4.1381470262008736E-19</v>
      </c>
      <c r="AK114" s="100">
        <v>4.1381470262008736E-19</v>
      </c>
      <c r="AL114" s="100">
        <v>4.1381470262008736E-19</v>
      </c>
      <c r="AM114" s="100">
        <v>4.1381470262008736E-19</v>
      </c>
      <c r="AN114" s="100">
        <v>4.1381470262008736E-19</v>
      </c>
      <c r="AO114" s="100">
        <v>4.1381470262008736E-19</v>
      </c>
      <c r="AP114" s="100">
        <v>4.1381470262008736E-19</v>
      </c>
      <c r="AQ114" s="100">
        <v>4.1381470262008736E-19</v>
      </c>
      <c r="AR114" s="100">
        <v>4.1381470262008736E-19</v>
      </c>
      <c r="AS114" s="100">
        <v>4.1381470262008736E-19</v>
      </c>
      <c r="AT114" s="100">
        <v>4.1381470262008736E-19</v>
      </c>
      <c r="AU114" s="100">
        <v>4.1381470262008736E-19</v>
      </c>
      <c r="AV114" s="100">
        <v>4.1381470262008736E-19</v>
      </c>
      <c r="AW114" s="100">
        <v>4.1381470262008736E-19</v>
      </c>
      <c r="AX114" s="100">
        <v>4.1381470262008736E-19</v>
      </c>
    </row>
    <row r="115" spans="1:50">
      <c r="B115" s="100" t="s">
        <v>278</v>
      </c>
      <c r="C115" s="105">
        <f>SUM(C$110:C$114)</f>
        <v>2956.8</v>
      </c>
      <c r="D115" s="105">
        <f t="shared" ref="D115:AX115" si="7">SUM(D$110:D$114)</f>
        <v>2956.8</v>
      </c>
      <c r="E115" s="105">
        <f t="shared" si="7"/>
        <v>2956.8</v>
      </c>
      <c r="F115" s="105">
        <f t="shared" si="7"/>
        <v>2956.8</v>
      </c>
      <c r="G115" s="105">
        <f t="shared" si="7"/>
        <v>2956.8</v>
      </c>
      <c r="H115" s="105">
        <f t="shared" si="7"/>
        <v>2956.8</v>
      </c>
      <c r="I115" s="105">
        <f t="shared" si="7"/>
        <v>2956.8</v>
      </c>
      <c r="J115" s="105">
        <f t="shared" si="7"/>
        <v>2956.8</v>
      </c>
      <c r="K115" s="105">
        <f t="shared" si="7"/>
        <v>2956.8</v>
      </c>
      <c r="L115" s="105">
        <f t="shared" si="7"/>
        <v>2956.8</v>
      </c>
      <c r="M115" s="105">
        <f t="shared" si="7"/>
        <v>2956.8</v>
      </c>
      <c r="N115" s="105">
        <f t="shared" si="7"/>
        <v>2956.8</v>
      </c>
      <c r="O115" s="105">
        <f t="shared" si="7"/>
        <v>2956.8</v>
      </c>
      <c r="P115" s="105">
        <f t="shared" si="7"/>
        <v>2956.8</v>
      </c>
      <c r="Q115" s="105">
        <f t="shared" si="7"/>
        <v>2956.8</v>
      </c>
      <c r="R115" s="105">
        <f t="shared" si="7"/>
        <v>2956.8</v>
      </c>
      <c r="S115" s="105">
        <f t="shared" si="7"/>
        <v>2956.8</v>
      </c>
      <c r="T115" s="105">
        <f t="shared" si="7"/>
        <v>2956.8</v>
      </c>
      <c r="U115" s="105">
        <f t="shared" si="7"/>
        <v>2956.8</v>
      </c>
      <c r="V115" s="105">
        <f t="shared" si="7"/>
        <v>2956.8</v>
      </c>
      <c r="W115" s="105">
        <f t="shared" si="7"/>
        <v>2956.8</v>
      </c>
      <c r="X115" s="105">
        <f t="shared" si="7"/>
        <v>2956.8</v>
      </c>
      <c r="Y115" s="105">
        <f t="shared" si="7"/>
        <v>2956.8</v>
      </c>
      <c r="Z115" s="105">
        <f t="shared" si="7"/>
        <v>2956.8</v>
      </c>
      <c r="AA115" s="105">
        <f t="shared" si="7"/>
        <v>2956.8</v>
      </c>
      <c r="AB115" s="105">
        <f t="shared" si="7"/>
        <v>2956.8</v>
      </c>
      <c r="AC115" s="105">
        <f t="shared" si="7"/>
        <v>2956.8</v>
      </c>
      <c r="AD115" s="105">
        <f t="shared" si="7"/>
        <v>2956.8</v>
      </c>
      <c r="AE115" s="105">
        <f t="shared" si="7"/>
        <v>2956.8</v>
      </c>
      <c r="AF115" s="105">
        <f t="shared" si="7"/>
        <v>2956.8</v>
      </c>
      <c r="AG115" s="105">
        <f t="shared" si="7"/>
        <v>2956.8</v>
      </c>
      <c r="AH115" s="105">
        <f t="shared" si="7"/>
        <v>2956.8</v>
      </c>
      <c r="AI115" s="105">
        <f t="shared" si="7"/>
        <v>2956.8</v>
      </c>
      <c r="AJ115" s="105">
        <f t="shared" si="7"/>
        <v>2956.8</v>
      </c>
      <c r="AK115" s="105">
        <f t="shared" si="7"/>
        <v>2956.8</v>
      </c>
      <c r="AL115" s="105">
        <f t="shared" si="7"/>
        <v>2956.8</v>
      </c>
      <c r="AM115" s="105">
        <f t="shared" si="7"/>
        <v>2956.8</v>
      </c>
      <c r="AN115" s="105">
        <f t="shared" si="7"/>
        <v>2956.8</v>
      </c>
      <c r="AO115" s="105">
        <f t="shared" si="7"/>
        <v>2956.8</v>
      </c>
      <c r="AP115" s="105">
        <f t="shared" si="7"/>
        <v>2956.8</v>
      </c>
      <c r="AQ115" s="105">
        <f t="shared" si="7"/>
        <v>2956.8</v>
      </c>
      <c r="AR115" s="105">
        <f t="shared" si="7"/>
        <v>2956.8</v>
      </c>
      <c r="AS115" s="105">
        <f t="shared" si="7"/>
        <v>2956.8</v>
      </c>
      <c r="AT115" s="105">
        <f t="shared" si="7"/>
        <v>2956.8</v>
      </c>
      <c r="AU115" s="105">
        <f t="shared" si="7"/>
        <v>2956.8</v>
      </c>
      <c r="AV115" s="105">
        <f t="shared" si="7"/>
        <v>2956.8</v>
      </c>
      <c r="AW115" s="105">
        <f t="shared" si="7"/>
        <v>2956.8</v>
      </c>
      <c r="AX115" s="105">
        <f t="shared" si="7"/>
        <v>2956.8</v>
      </c>
    </row>
    <row r="116" spans="1:50">
      <c r="A116" s="105" t="s">
        <v>107</v>
      </c>
      <c r="B116" s="105" t="s">
        <v>10</v>
      </c>
      <c r="C116" s="100">
        <v>11616.000000000007</v>
      </c>
      <c r="D116" s="100">
        <v>11616.000000000007</v>
      </c>
      <c r="E116" s="100">
        <v>11616.000000000007</v>
      </c>
      <c r="F116" s="100">
        <v>11616.000000000007</v>
      </c>
      <c r="G116" s="100">
        <v>11616.000000000007</v>
      </c>
      <c r="H116" s="100">
        <v>11616.000000000007</v>
      </c>
      <c r="I116" s="100">
        <v>11616.000000000007</v>
      </c>
      <c r="J116" s="100">
        <v>11616.000000000007</v>
      </c>
      <c r="K116" s="100">
        <v>11616.000000000007</v>
      </c>
      <c r="L116" s="100">
        <v>11616.000000000007</v>
      </c>
      <c r="M116" s="100">
        <v>11616.000000000007</v>
      </c>
      <c r="N116" s="100">
        <v>11616.000000000007</v>
      </c>
      <c r="O116" s="100">
        <v>11616.000000000007</v>
      </c>
      <c r="P116" s="100">
        <v>11616.000000000007</v>
      </c>
      <c r="Q116" s="100">
        <v>11616.000000000007</v>
      </c>
      <c r="R116" s="100">
        <v>11616.000000000007</v>
      </c>
      <c r="S116" s="100">
        <v>11616.000000000007</v>
      </c>
      <c r="T116" s="100">
        <v>11616.000000000007</v>
      </c>
      <c r="U116" s="100">
        <v>11616.000000000007</v>
      </c>
      <c r="V116" s="100">
        <v>11616.000000000007</v>
      </c>
      <c r="W116" s="100">
        <v>11616.000000000007</v>
      </c>
      <c r="X116" s="100">
        <v>11616.000000000007</v>
      </c>
      <c r="Y116" s="100">
        <v>11616.000000000007</v>
      </c>
      <c r="Z116" s="100">
        <v>11616.000000000007</v>
      </c>
      <c r="AA116" s="100">
        <v>11616.000000000007</v>
      </c>
      <c r="AB116" s="100">
        <v>11616.000000000007</v>
      </c>
      <c r="AC116" s="100">
        <v>11616.000000000007</v>
      </c>
      <c r="AD116" s="100">
        <v>11616.000000000007</v>
      </c>
      <c r="AE116" s="100">
        <v>11616.000000000007</v>
      </c>
      <c r="AF116" s="100">
        <v>11616.000000000007</v>
      </c>
      <c r="AG116" s="100">
        <v>11616.000000000007</v>
      </c>
      <c r="AH116" s="100">
        <v>4714.481378098847</v>
      </c>
      <c r="AI116" s="100">
        <v>11616.000000000007</v>
      </c>
      <c r="AJ116" s="100">
        <v>11616.000000000007</v>
      </c>
      <c r="AK116" s="100">
        <v>11616.000000000007</v>
      </c>
      <c r="AL116" s="100">
        <v>11616.000000000007</v>
      </c>
      <c r="AM116" s="100">
        <v>11616.000000000007</v>
      </c>
      <c r="AN116" s="100">
        <v>11616.000000000007</v>
      </c>
      <c r="AO116" s="100">
        <v>11616.000000000007</v>
      </c>
      <c r="AP116" s="100">
        <v>11616.000000000007</v>
      </c>
      <c r="AQ116" s="100">
        <v>11616.000000000007</v>
      </c>
      <c r="AR116" s="100">
        <v>11616.000000000007</v>
      </c>
      <c r="AS116" s="100">
        <v>11616.000000000007</v>
      </c>
      <c r="AT116" s="100">
        <v>11616.000000000007</v>
      </c>
      <c r="AU116" s="100">
        <v>11616.000000000007</v>
      </c>
      <c r="AV116" s="100">
        <v>11616.000000000007</v>
      </c>
      <c r="AW116" s="100">
        <v>11616.000000000007</v>
      </c>
      <c r="AX116" s="100">
        <v>11616.000000000007</v>
      </c>
    </row>
    <row r="117" spans="1:50">
      <c r="B117" s="105" t="s">
        <v>12</v>
      </c>
      <c r="C117" s="100">
        <v>1.084470072715045E-18</v>
      </c>
      <c r="D117" s="100">
        <v>1.084470072715045E-18</v>
      </c>
      <c r="E117" s="100">
        <v>1.084470072715045E-18</v>
      </c>
      <c r="F117" s="100">
        <v>1.084470072715045E-18</v>
      </c>
      <c r="G117" s="100">
        <v>1.084470072715045E-18</v>
      </c>
      <c r="H117" s="100">
        <v>1.084470072715045E-18</v>
      </c>
      <c r="I117" s="100">
        <v>1.084470072715045E-18</v>
      </c>
      <c r="J117" s="100">
        <v>1.084470072715045E-18</v>
      </c>
      <c r="K117" s="100">
        <v>1.084470072715045E-18</v>
      </c>
      <c r="L117" s="100">
        <v>1.084470072715045E-18</v>
      </c>
      <c r="M117" s="100">
        <v>1.084470072715045E-18</v>
      </c>
      <c r="N117" s="100">
        <v>1.084470072715045E-18</v>
      </c>
      <c r="O117" s="100">
        <v>1.084470072715045E-18</v>
      </c>
      <c r="P117" s="100">
        <v>1.084470072715045E-18</v>
      </c>
      <c r="Q117" s="100">
        <v>1.084470072715045E-18</v>
      </c>
      <c r="R117" s="100">
        <v>1.084470072715045E-18</v>
      </c>
      <c r="S117" s="100">
        <v>1.084470072715045E-18</v>
      </c>
      <c r="T117" s="100">
        <v>1.084470072715045E-18</v>
      </c>
      <c r="U117" s="100">
        <v>1.084470072715045E-18</v>
      </c>
      <c r="V117" s="100">
        <v>1.084470072715045E-18</v>
      </c>
      <c r="W117" s="100">
        <v>1.084470072715045E-18</v>
      </c>
      <c r="X117" s="100">
        <v>1.084470072715045E-18</v>
      </c>
      <c r="Y117" s="100">
        <v>1.084470072715045E-18</v>
      </c>
      <c r="Z117" s="100">
        <v>1.084470072715045E-18</v>
      </c>
      <c r="AA117" s="100">
        <v>1.084470072715045E-18</v>
      </c>
      <c r="AB117" s="100">
        <v>1.084470072715045E-18</v>
      </c>
      <c r="AC117" s="100">
        <v>1.084470072715045E-18</v>
      </c>
      <c r="AD117" s="100">
        <v>1.084470072715045E-18</v>
      </c>
      <c r="AE117" s="100">
        <v>1.084470072715045E-18</v>
      </c>
      <c r="AF117" s="100">
        <v>1.084470072715045E-18</v>
      </c>
      <c r="AG117" s="100">
        <v>1.084470072715045E-18</v>
      </c>
      <c r="AH117" s="100">
        <v>4.4014410837814895E-19</v>
      </c>
      <c r="AI117" s="100">
        <v>1.084470072715045E-18</v>
      </c>
      <c r="AJ117" s="100">
        <v>1.084470072715045E-18</v>
      </c>
      <c r="AK117" s="100">
        <v>1.084470072715045E-18</v>
      </c>
      <c r="AL117" s="100">
        <v>1.084470072715045E-18</v>
      </c>
      <c r="AM117" s="100">
        <v>1.084470072715045E-18</v>
      </c>
      <c r="AN117" s="100">
        <v>1.084470072715045E-18</v>
      </c>
      <c r="AO117" s="100">
        <v>1.084470072715045E-18</v>
      </c>
      <c r="AP117" s="100">
        <v>1.084470072715045E-18</v>
      </c>
      <c r="AQ117" s="100">
        <v>1.084470072715045E-18</v>
      </c>
      <c r="AR117" s="100">
        <v>1.084470072715045E-18</v>
      </c>
      <c r="AS117" s="100">
        <v>1.084470072715045E-18</v>
      </c>
      <c r="AT117" s="100">
        <v>1.084470072715045E-18</v>
      </c>
      <c r="AU117" s="100">
        <v>1.084470072715045E-18</v>
      </c>
      <c r="AV117" s="100">
        <v>1.084470072715045E-18</v>
      </c>
      <c r="AW117" s="100">
        <v>1.084470072715045E-18</v>
      </c>
      <c r="AX117" s="100">
        <v>1.084470072715045E-18</v>
      </c>
    </row>
    <row r="118" spans="1:50">
      <c r="B118" s="105" t="s">
        <v>22</v>
      </c>
      <c r="C118" s="100">
        <v>2.6266572770959283E-19</v>
      </c>
      <c r="D118" s="100">
        <v>2.6266572770959283E-19</v>
      </c>
      <c r="E118" s="100">
        <v>2.6266572770959283E-19</v>
      </c>
      <c r="F118" s="100">
        <v>2.6266572770959283E-19</v>
      </c>
      <c r="G118" s="100">
        <v>2.6266572770959283E-19</v>
      </c>
      <c r="H118" s="100">
        <v>2.6266572770959283E-19</v>
      </c>
      <c r="I118" s="100">
        <v>2.6266572770959283E-19</v>
      </c>
      <c r="J118" s="100">
        <v>2.6266572770959283E-19</v>
      </c>
      <c r="K118" s="100">
        <v>2.6266572770959283E-19</v>
      </c>
      <c r="L118" s="100">
        <v>2.6266572770959283E-19</v>
      </c>
      <c r="M118" s="100">
        <v>2.6266572770959283E-19</v>
      </c>
      <c r="N118" s="100">
        <v>2.6266572770959283E-19</v>
      </c>
      <c r="O118" s="100">
        <v>2.6266572770959283E-19</v>
      </c>
      <c r="P118" s="100">
        <v>2.6266572770959283E-19</v>
      </c>
      <c r="Q118" s="100">
        <v>2.6266572770959283E-19</v>
      </c>
      <c r="R118" s="100">
        <v>2.6266572770959283E-19</v>
      </c>
      <c r="S118" s="100">
        <v>2.6266572770959283E-19</v>
      </c>
      <c r="T118" s="100">
        <v>2.6266572770959283E-19</v>
      </c>
      <c r="U118" s="100">
        <v>2.6266572770959283E-19</v>
      </c>
      <c r="V118" s="100">
        <v>2.6266572770959283E-19</v>
      </c>
      <c r="W118" s="100">
        <v>2.6266572770959283E-19</v>
      </c>
      <c r="X118" s="100">
        <v>2.6266572770959283E-19</v>
      </c>
      <c r="Y118" s="100">
        <v>2.6266572770959283E-19</v>
      </c>
      <c r="Z118" s="100">
        <v>2.6266572770959283E-19</v>
      </c>
      <c r="AA118" s="100">
        <v>2.6266572770959283E-19</v>
      </c>
      <c r="AB118" s="100">
        <v>2.6266572770959283E-19</v>
      </c>
      <c r="AC118" s="100">
        <v>2.6266572770959283E-19</v>
      </c>
      <c r="AD118" s="100">
        <v>2.6266572770959283E-19</v>
      </c>
      <c r="AE118" s="100">
        <v>2.6266572770959283E-19</v>
      </c>
      <c r="AF118" s="100">
        <v>2.6266572770959283E-19</v>
      </c>
      <c r="AG118" s="100">
        <v>2.6266572770959283E-19</v>
      </c>
      <c r="AH118" s="100">
        <v>1.0660577496140296E-19</v>
      </c>
      <c r="AI118" s="100">
        <v>2.6266572770959283E-19</v>
      </c>
      <c r="AJ118" s="100">
        <v>2.6266572770959283E-19</v>
      </c>
      <c r="AK118" s="100">
        <v>2.6266572770959283E-19</v>
      </c>
      <c r="AL118" s="100">
        <v>2.6266572770959283E-19</v>
      </c>
      <c r="AM118" s="100">
        <v>2.6266572770959283E-19</v>
      </c>
      <c r="AN118" s="100">
        <v>2.6266572770959283E-19</v>
      </c>
      <c r="AO118" s="100">
        <v>2.6266572770959283E-19</v>
      </c>
      <c r="AP118" s="100">
        <v>2.6266572770959283E-19</v>
      </c>
      <c r="AQ118" s="100">
        <v>2.6266572770959283E-19</v>
      </c>
      <c r="AR118" s="100">
        <v>2.6266572770959283E-19</v>
      </c>
      <c r="AS118" s="100">
        <v>2.6266572770959283E-19</v>
      </c>
      <c r="AT118" s="100">
        <v>2.6266572770959283E-19</v>
      </c>
      <c r="AU118" s="100">
        <v>2.6266572770959283E-19</v>
      </c>
      <c r="AV118" s="100">
        <v>2.6266572770959283E-19</v>
      </c>
      <c r="AW118" s="100">
        <v>2.6266572770959283E-19</v>
      </c>
      <c r="AX118" s="100">
        <v>2.6266572770959283E-19</v>
      </c>
    </row>
    <row r="119" spans="1:50">
      <c r="B119" s="105" t="s">
        <v>46</v>
      </c>
      <c r="C119" s="100">
        <v>543.4</v>
      </c>
      <c r="D119" s="100">
        <v>543.4</v>
      </c>
      <c r="E119" s="100">
        <v>543.4</v>
      </c>
      <c r="F119" s="100">
        <v>543.4</v>
      </c>
      <c r="G119" s="100">
        <v>543.4</v>
      </c>
      <c r="H119" s="100">
        <v>543.4</v>
      </c>
      <c r="I119" s="100">
        <v>543.4</v>
      </c>
      <c r="J119" s="100">
        <v>543.4</v>
      </c>
      <c r="K119" s="100">
        <v>543.4</v>
      </c>
      <c r="L119" s="100">
        <v>543.4</v>
      </c>
      <c r="M119" s="100">
        <v>543.4</v>
      </c>
      <c r="N119" s="100">
        <v>543.4</v>
      </c>
      <c r="O119" s="100">
        <v>543.4</v>
      </c>
      <c r="P119" s="100">
        <v>543.4</v>
      </c>
      <c r="Q119" s="100">
        <v>543.4</v>
      </c>
      <c r="R119" s="100">
        <v>543.4</v>
      </c>
      <c r="S119" s="100">
        <v>543.4</v>
      </c>
      <c r="T119" s="100">
        <v>543.4</v>
      </c>
      <c r="U119" s="100">
        <v>543.4</v>
      </c>
      <c r="V119" s="100">
        <v>543.4</v>
      </c>
      <c r="W119" s="100">
        <v>543.4</v>
      </c>
      <c r="X119" s="100">
        <v>543.4</v>
      </c>
      <c r="Y119" s="100">
        <v>543.4</v>
      </c>
      <c r="Z119" s="100">
        <v>543.4</v>
      </c>
      <c r="AA119" s="100">
        <v>543.4</v>
      </c>
      <c r="AB119" s="100">
        <v>543.4</v>
      </c>
      <c r="AC119" s="100">
        <v>543.4</v>
      </c>
      <c r="AD119" s="100">
        <v>543.4</v>
      </c>
      <c r="AE119" s="100">
        <v>543.4</v>
      </c>
      <c r="AF119" s="100">
        <v>543.4</v>
      </c>
      <c r="AG119" s="100">
        <v>543.4</v>
      </c>
      <c r="AH119" s="100">
        <v>220.54486749818457</v>
      </c>
      <c r="AI119" s="100">
        <v>543.4</v>
      </c>
      <c r="AJ119" s="100">
        <v>543.4</v>
      </c>
      <c r="AK119" s="100">
        <v>543.4</v>
      </c>
      <c r="AL119" s="100">
        <v>543.4</v>
      </c>
      <c r="AM119" s="100">
        <v>543.4</v>
      </c>
      <c r="AN119" s="100">
        <v>543.4</v>
      </c>
      <c r="AO119" s="100">
        <v>543.4</v>
      </c>
      <c r="AP119" s="100">
        <v>543.4</v>
      </c>
      <c r="AQ119" s="100">
        <v>543.4</v>
      </c>
      <c r="AR119" s="100">
        <v>543.4</v>
      </c>
      <c r="AS119" s="100">
        <v>543.4</v>
      </c>
      <c r="AT119" s="100">
        <v>543.4</v>
      </c>
      <c r="AU119" s="100">
        <v>543.4</v>
      </c>
      <c r="AV119" s="100">
        <v>543.4</v>
      </c>
      <c r="AW119" s="100">
        <v>543.4</v>
      </c>
      <c r="AX119" s="100">
        <v>543.4</v>
      </c>
    </row>
    <row r="120" spans="1:50">
      <c r="B120" s="105" t="s">
        <v>59</v>
      </c>
      <c r="C120" s="100">
        <v>7.1515380564408358E-20</v>
      </c>
      <c r="D120" s="100">
        <v>7.1515380564408358E-20</v>
      </c>
      <c r="E120" s="100">
        <v>7.1515380564408358E-20</v>
      </c>
      <c r="F120" s="100">
        <v>7.1515380564408358E-20</v>
      </c>
      <c r="G120" s="100">
        <v>7.1515380564408358E-20</v>
      </c>
      <c r="H120" s="100">
        <v>7.1515380564408358E-20</v>
      </c>
      <c r="I120" s="100">
        <v>7.1515380564408358E-20</v>
      </c>
      <c r="J120" s="100">
        <v>7.1515380564408358E-20</v>
      </c>
      <c r="K120" s="100">
        <v>7.1515380564408358E-20</v>
      </c>
      <c r="L120" s="100">
        <v>7.1515380564408358E-20</v>
      </c>
      <c r="M120" s="100">
        <v>7.1515380564408358E-20</v>
      </c>
      <c r="N120" s="100">
        <v>7.1515380564408358E-20</v>
      </c>
      <c r="O120" s="100">
        <v>7.1515380564408358E-20</v>
      </c>
      <c r="P120" s="100">
        <v>7.1515380564408358E-20</v>
      </c>
      <c r="Q120" s="100">
        <v>7.1515380564408358E-20</v>
      </c>
      <c r="R120" s="100">
        <v>7.1515380564408358E-20</v>
      </c>
      <c r="S120" s="100">
        <v>7.1515380564408358E-20</v>
      </c>
      <c r="T120" s="100">
        <v>7.1515380564408358E-20</v>
      </c>
      <c r="U120" s="100">
        <v>7.1515380564408358E-20</v>
      </c>
      <c r="V120" s="100">
        <v>7.1515380564408358E-20</v>
      </c>
      <c r="W120" s="100">
        <v>7.1515380564408358E-20</v>
      </c>
      <c r="X120" s="100">
        <v>7.1515380564408358E-20</v>
      </c>
      <c r="Y120" s="100">
        <v>7.1515380564408358E-20</v>
      </c>
      <c r="Z120" s="100">
        <v>7.1515380564408358E-20</v>
      </c>
      <c r="AA120" s="100">
        <v>7.1515380564408358E-20</v>
      </c>
      <c r="AB120" s="100">
        <v>7.1515380564408358E-20</v>
      </c>
      <c r="AC120" s="100">
        <v>7.1515380564408358E-20</v>
      </c>
      <c r="AD120" s="100">
        <v>7.1515380564408358E-20</v>
      </c>
      <c r="AE120" s="100">
        <v>7.1515380564408358E-20</v>
      </c>
      <c r="AF120" s="100">
        <v>7.1515380564408358E-20</v>
      </c>
      <c r="AG120" s="100">
        <v>7.1515380564408358E-20</v>
      </c>
      <c r="AH120" s="100">
        <v>2.9025303884173142E-20</v>
      </c>
      <c r="AI120" s="100">
        <v>7.1515380564408358E-20</v>
      </c>
      <c r="AJ120" s="100">
        <v>7.1515380564408358E-20</v>
      </c>
      <c r="AK120" s="100">
        <v>7.1515380564408358E-20</v>
      </c>
      <c r="AL120" s="100">
        <v>7.1515380564408358E-20</v>
      </c>
      <c r="AM120" s="100">
        <v>7.1515380564408358E-20</v>
      </c>
      <c r="AN120" s="100">
        <v>7.1515380564408358E-20</v>
      </c>
      <c r="AO120" s="100">
        <v>7.1515380564408358E-20</v>
      </c>
      <c r="AP120" s="100">
        <v>7.1515380564408358E-20</v>
      </c>
      <c r="AQ120" s="100">
        <v>7.1515380564408358E-20</v>
      </c>
      <c r="AR120" s="100">
        <v>7.1515380564408358E-20</v>
      </c>
      <c r="AS120" s="100">
        <v>7.1515380564408358E-20</v>
      </c>
      <c r="AT120" s="100">
        <v>7.1515380564408358E-20</v>
      </c>
      <c r="AU120" s="100">
        <v>7.1515380564408358E-20</v>
      </c>
      <c r="AV120" s="100">
        <v>7.1515380564408358E-20</v>
      </c>
      <c r="AW120" s="100">
        <v>7.1515380564408358E-20</v>
      </c>
      <c r="AX120" s="100">
        <v>7.1515380564408358E-20</v>
      </c>
    </row>
    <row r="121" spans="1:50">
      <c r="B121" s="100" t="s">
        <v>278</v>
      </c>
      <c r="C121" s="105">
        <f>SUM(C$116:C$120)</f>
        <v>12159.400000000007</v>
      </c>
      <c r="D121" s="105">
        <f t="shared" ref="D121:AX121" si="8">SUM(D$116:D$120)</f>
        <v>12159.400000000007</v>
      </c>
      <c r="E121" s="105">
        <f t="shared" si="8"/>
        <v>12159.400000000007</v>
      </c>
      <c r="F121" s="105">
        <f t="shared" si="8"/>
        <v>12159.400000000007</v>
      </c>
      <c r="G121" s="105">
        <f t="shared" si="8"/>
        <v>12159.400000000007</v>
      </c>
      <c r="H121" s="105">
        <f t="shared" si="8"/>
        <v>12159.400000000007</v>
      </c>
      <c r="I121" s="105">
        <f t="shared" si="8"/>
        <v>12159.400000000007</v>
      </c>
      <c r="J121" s="105">
        <f t="shared" si="8"/>
        <v>12159.400000000007</v>
      </c>
      <c r="K121" s="105">
        <f t="shared" si="8"/>
        <v>12159.400000000007</v>
      </c>
      <c r="L121" s="105">
        <f t="shared" si="8"/>
        <v>12159.400000000007</v>
      </c>
      <c r="M121" s="105">
        <f t="shared" si="8"/>
        <v>12159.400000000007</v>
      </c>
      <c r="N121" s="105">
        <f t="shared" si="8"/>
        <v>12159.400000000007</v>
      </c>
      <c r="O121" s="105">
        <f t="shared" si="8"/>
        <v>12159.400000000007</v>
      </c>
      <c r="P121" s="105">
        <f t="shared" si="8"/>
        <v>12159.400000000007</v>
      </c>
      <c r="Q121" s="105">
        <f t="shared" si="8"/>
        <v>12159.400000000007</v>
      </c>
      <c r="R121" s="105">
        <f t="shared" si="8"/>
        <v>12159.400000000007</v>
      </c>
      <c r="S121" s="105">
        <f t="shared" si="8"/>
        <v>12159.400000000007</v>
      </c>
      <c r="T121" s="105">
        <f t="shared" si="8"/>
        <v>12159.400000000007</v>
      </c>
      <c r="U121" s="105">
        <f t="shared" si="8"/>
        <v>12159.400000000007</v>
      </c>
      <c r="V121" s="105">
        <f t="shared" si="8"/>
        <v>12159.400000000007</v>
      </c>
      <c r="W121" s="105">
        <f t="shared" si="8"/>
        <v>12159.400000000007</v>
      </c>
      <c r="X121" s="105">
        <f t="shared" si="8"/>
        <v>12159.400000000007</v>
      </c>
      <c r="Y121" s="105">
        <f t="shared" si="8"/>
        <v>12159.400000000007</v>
      </c>
      <c r="Z121" s="105">
        <f t="shared" si="8"/>
        <v>12159.400000000007</v>
      </c>
      <c r="AA121" s="105">
        <f t="shared" si="8"/>
        <v>12159.400000000007</v>
      </c>
      <c r="AB121" s="105">
        <f t="shared" si="8"/>
        <v>12159.400000000007</v>
      </c>
      <c r="AC121" s="105">
        <f t="shared" si="8"/>
        <v>12159.400000000007</v>
      </c>
      <c r="AD121" s="105">
        <f t="shared" si="8"/>
        <v>12159.400000000007</v>
      </c>
      <c r="AE121" s="105">
        <f t="shared" si="8"/>
        <v>12159.400000000007</v>
      </c>
      <c r="AF121" s="105">
        <f t="shared" si="8"/>
        <v>12159.400000000007</v>
      </c>
      <c r="AG121" s="105">
        <f t="shared" si="8"/>
        <v>12159.400000000007</v>
      </c>
      <c r="AH121" s="105">
        <f t="shared" si="8"/>
        <v>4935.0262455970314</v>
      </c>
      <c r="AI121" s="105">
        <f t="shared" si="8"/>
        <v>12159.400000000007</v>
      </c>
      <c r="AJ121" s="105">
        <f t="shared" si="8"/>
        <v>12159.400000000007</v>
      </c>
      <c r="AK121" s="105">
        <f t="shared" si="8"/>
        <v>12159.400000000007</v>
      </c>
      <c r="AL121" s="105">
        <f t="shared" si="8"/>
        <v>12159.400000000007</v>
      </c>
      <c r="AM121" s="105">
        <f t="shared" si="8"/>
        <v>12159.400000000007</v>
      </c>
      <c r="AN121" s="105">
        <f t="shared" si="8"/>
        <v>12159.400000000007</v>
      </c>
      <c r="AO121" s="105">
        <f t="shared" si="8"/>
        <v>12159.400000000007</v>
      </c>
      <c r="AP121" s="105">
        <f t="shared" si="8"/>
        <v>12159.400000000007</v>
      </c>
      <c r="AQ121" s="105">
        <f t="shared" si="8"/>
        <v>12159.400000000007</v>
      </c>
      <c r="AR121" s="105">
        <f t="shared" si="8"/>
        <v>12159.400000000007</v>
      </c>
      <c r="AS121" s="105">
        <f t="shared" si="8"/>
        <v>12159.400000000007</v>
      </c>
      <c r="AT121" s="105">
        <f t="shared" si="8"/>
        <v>12159.400000000007</v>
      </c>
      <c r="AU121" s="105">
        <f t="shared" si="8"/>
        <v>12159.400000000007</v>
      </c>
      <c r="AV121" s="105">
        <f t="shared" si="8"/>
        <v>12159.400000000007</v>
      </c>
      <c r="AW121" s="105">
        <f t="shared" si="8"/>
        <v>12159.400000000007</v>
      </c>
      <c r="AX121" s="105">
        <f t="shared" si="8"/>
        <v>12159.400000000007</v>
      </c>
    </row>
    <row r="122" spans="1:50">
      <c r="A122" s="105" t="s">
        <v>108</v>
      </c>
      <c r="B122" s="105" t="s">
        <v>10</v>
      </c>
      <c r="C122" s="100">
        <v>1.0593695435842763E-17</v>
      </c>
      <c r="D122" s="100">
        <v>1.0593695435842763E-17</v>
      </c>
      <c r="E122" s="100">
        <v>1.0593695435842763E-17</v>
      </c>
      <c r="F122" s="100">
        <v>1.0593695435842763E-17</v>
      </c>
      <c r="G122" s="100">
        <v>0</v>
      </c>
      <c r="H122" s="100">
        <v>0</v>
      </c>
      <c r="I122" s="100">
        <v>0</v>
      </c>
      <c r="J122" s="100">
        <v>0</v>
      </c>
      <c r="K122" s="100">
        <v>0</v>
      </c>
      <c r="L122" s="100">
        <v>0</v>
      </c>
      <c r="M122" s="100">
        <v>0</v>
      </c>
      <c r="N122" s="100">
        <v>0</v>
      </c>
      <c r="O122" s="100">
        <v>0</v>
      </c>
      <c r="P122" s="100">
        <v>0</v>
      </c>
      <c r="Q122" s="100">
        <v>0</v>
      </c>
      <c r="R122" s="100">
        <v>0</v>
      </c>
      <c r="S122" s="100">
        <v>0</v>
      </c>
      <c r="T122" s="100">
        <v>0</v>
      </c>
      <c r="U122" s="100">
        <v>0</v>
      </c>
      <c r="V122" s="100">
        <v>0</v>
      </c>
      <c r="W122" s="100">
        <v>0</v>
      </c>
      <c r="X122" s="100">
        <v>0</v>
      </c>
      <c r="Y122" s="100">
        <v>0</v>
      </c>
      <c r="Z122" s="100">
        <v>0</v>
      </c>
      <c r="AA122" s="100">
        <v>0</v>
      </c>
      <c r="AB122" s="100">
        <v>0</v>
      </c>
      <c r="AC122" s="100">
        <v>0</v>
      </c>
      <c r="AD122" s="100">
        <v>0</v>
      </c>
      <c r="AE122" s="100">
        <v>0</v>
      </c>
      <c r="AF122" s="100">
        <v>0</v>
      </c>
      <c r="AG122" s="100">
        <v>0</v>
      </c>
      <c r="AH122" s="100">
        <v>0</v>
      </c>
      <c r="AI122" s="100">
        <v>0</v>
      </c>
      <c r="AJ122" s="100">
        <v>0</v>
      </c>
      <c r="AK122" s="100">
        <v>0</v>
      </c>
      <c r="AL122" s="100">
        <v>0</v>
      </c>
      <c r="AM122" s="100">
        <v>0</v>
      </c>
      <c r="AN122" s="100">
        <v>0</v>
      </c>
      <c r="AO122" s="100">
        <v>0</v>
      </c>
      <c r="AP122" s="100">
        <v>0</v>
      </c>
      <c r="AQ122" s="100">
        <v>0</v>
      </c>
      <c r="AR122" s="100">
        <v>0</v>
      </c>
      <c r="AS122" s="100">
        <v>0</v>
      </c>
      <c r="AT122" s="100">
        <v>0</v>
      </c>
      <c r="AU122" s="100">
        <v>0</v>
      </c>
      <c r="AV122" s="100">
        <v>0</v>
      </c>
      <c r="AW122" s="100">
        <v>0</v>
      </c>
      <c r="AX122" s="100">
        <v>0</v>
      </c>
    </row>
    <row r="123" spans="1:50">
      <c r="B123" s="105" t="s">
        <v>12</v>
      </c>
      <c r="C123" s="100">
        <v>2.7203868755899985E-18</v>
      </c>
      <c r="D123" s="100">
        <v>2.7203868755899985E-18</v>
      </c>
      <c r="E123" s="100">
        <v>2.7203868755899985E-18</v>
      </c>
      <c r="F123" s="100">
        <v>2.7203868755899985E-18</v>
      </c>
      <c r="G123" s="100">
        <v>0</v>
      </c>
      <c r="H123" s="100">
        <v>0</v>
      </c>
      <c r="I123" s="100">
        <v>0</v>
      </c>
      <c r="J123" s="100">
        <v>0</v>
      </c>
      <c r="K123" s="100">
        <v>0</v>
      </c>
      <c r="L123" s="100">
        <v>0</v>
      </c>
      <c r="M123" s="100">
        <v>0</v>
      </c>
      <c r="N123" s="100">
        <v>0</v>
      </c>
      <c r="O123" s="100">
        <v>0</v>
      </c>
      <c r="P123" s="100">
        <v>0</v>
      </c>
      <c r="Q123" s="100">
        <v>0</v>
      </c>
      <c r="R123" s="100">
        <v>0</v>
      </c>
      <c r="S123" s="100">
        <v>0</v>
      </c>
      <c r="T123" s="100">
        <v>0</v>
      </c>
      <c r="U123" s="100">
        <v>0</v>
      </c>
      <c r="V123" s="100">
        <v>0</v>
      </c>
      <c r="W123" s="100">
        <v>0</v>
      </c>
      <c r="X123" s="100">
        <v>0</v>
      </c>
      <c r="Y123" s="100">
        <v>0</v>
      </c>
      <c r="Z123" s="100">
        <v>0</v>
      </c>
      <c r="AA123" s="100">
        <v>0</v>
      </c>
      <c r="AB123" s="100">
        <v>0</v>
      </c>
      <c r="AC123" s="100">
        <v>0</v>
      </c>
      <c r="AD123" s="100">
        <v>0</v>
      </c>
      <c r="AE123" s="100">
        <v>0</v>
      </c>
      <c r="AF123" s="100">
        <v>0</v>
      </c>
      <c r="AG123" s="100">
        <v>0</v>
      </c>
      <c r="AH123" s="100">
        <v>0</v>
      </c>
      <c r="AI123" s="100">
        <v>0</v>
      </c>
      <c r="AJ123" s="100">
        <v>0</v>
      </c>
      <c r="AK123" s="100">
        <v>0</v>
      </c>
      <c r="AL123" s="100">
        <v>0</v>
      </c>
      <c r="AM123" s="100">
        <v>0</v>
      </c>
      <c r="AN123" s="100">
        <v>0</v>
      </c>
      <c r="AO123" s="100">
        <v>0</v>
      </c>
      <c r="AP123" s="100">
        <v>0</v>
      </c>
      <c r="AQ123" s="100">
        <v>0</v>
      </c>
      <c r="AR123" s="100">
        <v>0</v>
      </c>
      <c r="AS123" s="100">
        <v>0</v>
      </c>
      <c r="AT123" s="100">
        <v>0</v>
      </c>
      <c r="AU123" s="100">
        <v>0</v>
      </c>
      <c r="AV123" s="100">
        <v>0</v>
      </c>
      <c r="AW123" s="100">
        <v>0</v>
      </c>
      <c r="AX123" s="100">
        <v>0</v>
      </c>
    </row>
    <row r="124" spans="1:50">
      <c r="B124" s="105" t="s">
        <v>22</v>
      </c>
      <c r="C124" s="100">
        <v>5.2985748380520236E-19</v>
      </c>
      <c r="D124" s="100">
        <v>5.2985748380520236E-19</v>
      </c>
      <c r="E124" s="100">
        <v>5.2985748380520236E-19</v>
      </c>
      <c r="F124" s="100">
        <v>5.2985748380520236E-19</v>
      </c>
      <c r="G124" s="100">
        <v>0</v>
      </c>
      <c r="H124" s="100">
        <v>0</v>
      </c>
      <c r="I124" s="100">
        <v>0</v>
      </c>
      <c r="J124" s="100">
        <v>0</v>
      </c>
      <c r="K124" s="100">
        <v>0</v>
      </c>
      <c r="L124" s="100">
        <v>0</v>
      </c>
      <c r="M124" s="100">
        <v>0</v>
      </c>
      <c r="N124" s="100">
        <v>0</v>
      </c>
      <c r="O124" s="100">
        <v>0</v>
      </c>
      <c r="P124" s="100">
        <v>0</v>
      </c>
      <c r="Q124" s="100">
        <v>0</v>
      </c>
      <c r="R124" s="100">
        <v>0</v>
      </c>
      <c r="S124" s="100">
        <v>0</v>
      </c>
      <c r="T124" s="100">
        <v>0</v>
      </c>
      <c r="U124" s="100">
        <v>0</v>
      </c>
      <c r="V124" s="100">
        <v>0</v>
      </c>
      <c r="W124" s="100">
        <v>0</v>
      </c>
      <c r="X124" s="100">
        <v>0</v>
      </c>
      <c r="Y124" s="100">
        <v>0</v>
      </c>
      <c r="Z124" s="100">
        <v>0</v>
      </c>
      <c r="AA124" s="100">
        <v>0</v>
      </c>
      <c r="AB124" s="100">
        <v>0</v>
      </c>
      <c r="AC124" s="100">
        <v>0</v>
      </c>
      <c r="AD124" s="100">
        <v>0</v>
      </c>
      <c r="AE124" s="100">
        <v>0</v>
      </c>
      <c r="AF124" s="100">
        <v>0</v>
      </c>
      <c r="AG124" s="100">
        <v>0</v>
      </c>
      <c r="AH124" s="100">
        <v>0</v>
      </c>
      <c r="AI124" s="100">
        <v>0</v>
      </c>
      <c r="AJ124" s="100">
        <v>0</v>
      </c>
      <c r="AK124" s="100">
        <v>0</v>
      </c>
      <c r="AL124" s="100">
        <v>0</v>
      </c>
      <c r="AM124" s="100">
        <v>0</v>
      </c>
      <c r="AN124" s="100">
        <v>0</v>
      </c>
      <c r="AO124" s="100">
        <v>0</v>
      </c>
      <c r="AP124" s="100">
        <v>0</v>
      </c>
      <c r="AQ124" s="100">
        <v>0</v>
      </c>
      <c r="AR124" s="100">
        <v>0</v>
      </c>
      <c r="AS124" s="100">
        <v>0</v>
      </c>
      <c r="AT124" s="100">
        <v>0</v>
      </c>
      <c r="AU124" s="100">
        <v>0</v>
      </c>
      <c r="AV124" s="100">
        <v>0</v>
      </c>
      <c r="AW124" s="100">
        <v>0</v>
      </c>
      <c r="AX124" s="100">
        <v>0</v>
      </c>
    </row>
    <row r="125" spans="1:50">
      <c r="B125" s="105" t="s">
        <v>46</v>
      </c>
      <c r="C125" s="100">
        <v>2.7060364788016639E-18</v>
      </c>
      <c r="D125" s="100">
        <v>2.7060364788016639E-18</v>
      </c>
      <c r="E125" s="100">
        <v>2.7060364788016639E-18</v>
      </c>
      <c r="F125" s="100">
        <v>2.7060364788016639E-18</v>
      </c>
      <c r="G125" s="100">
        <v>0</v>
      </c>
      <c r="H125" s="100">
        <v>0</v>
      </c>
      <c r="I125" s="100">
        <v>0</v>
      </c>
      <c r="J125" s="100">
        <v>0</v>
      </c>
      <c r="K125" s="100">
        <v>0</v>
      </c>
      <c r="L125" s="100">
        <v>0</v>
      </c>
      <c r="M125" s="100">
        <v>0</v>
      </c>
      <c r="N125" s="100">
        <v>0</v>
      </c>
      <c r="O125" s="100">
        <v>0</v>
      </c>
      <c r="P125" s="100">
        <v>0</v>
      </c>
      <c r="Q125" s="100">
        <v>0</v>
      </c>
      <c r="R125" s="100">
        <v>0</v>
      </c>
      <c r="S125" s="100">
        <v>0</v>
      </c>
      <c r="T125" s="100">
        <v>0</v>
      </c>
      <c r="U125" s="100">
        <v>0</v>
      </c>
      <c r="V125" s="100">
        <v>0</v>
      </c>
      <c r="W125" s="100">
        <v>0</v>
      </c>
      <c r="X125" s="100">
        <v>0</v>
      </c>
      <c r="Y125" s="100">
        <v>0</v>
      </c>
      <c r="Z125" s="100">
        <v>0</v>
      </c>
      <c r="AA125" s="100">
        <v>0</v>
      </c>
      <c r="AB125" s="100">
        <v>0</v>
      </c>
      <c r="AC125" s="100">
        <v>0</v>
      </c>
      <c r="AD125" s="100">
        <v>0</v>
      </c>
      <c r="AE125" s="100">
        <v>0</v>
      </c>
      <c r="AF125" s="100">
        <v>0</v>
      </c>
      <c r="AG125" s="100">
        <v>0</v>
      </c>
      <c r="AH125" s="100">
        <v>0</v>
      </c>
      <c r="AI125" s="100">
        <v>0</v>
      </c>
      <c r="AJ125" s="100">
        <v>0</v>
      </c>
      <c r="AK125" s="100">
        <v>0</v>
      </c>
      <c r="AL125" s="100">
        <v>0</v>
      </c>
      <c r="AM125" s="100">
        <v>0</v>
      </c>
      <c r="AN125" s="100">
        <v>0</v>
      </c>
      <c r="AO125" s="100">
        <v>0</v>
      </c>
      <c r="AP125" s="100">
        <v>0</v>
      </c>
      <c r="AQ125" s="100">
        <v>0</v>
      </c>
      <c r="AR125" s="100">
        <v>0</v>
      </c>
      <c r="AS125" s="100">
        <v>0</v>
      </c>
      <c r="AT125" s="100">
        <v>0</v>
      </c>
      <c r="AU125" s="100">
        <v>0</v>
      </c>
      <c r="AV125" s="100">
        <v>0</v>
      </c>
      <c r="AW125" s="100">
        <v>0</v>
      </c>
      <c r="AX125" s="100">
        <v>0</v>
      </c>
    </row>
    <row r="126" spans="1:50">
      <c r="B126" s="105" t="s">
        <v>59</v>
      </c>
      <c r="C126" s="100">
        <v>0</v>
      </c>
      <c r="D126" s="100">
        <v>0</v>
      </c>
      <c r="E126" s="100">
        <v>0</v>
      </c>
      <c r="F126" s="100">
        <v>0</v>
      </c>
      <c r="G126" s="100">
        <v>0</v>
      </c>
      <c r="H126" s="100">
        <v>0</v>
      </c>
      <c r="I126" s="100">
        <v>0</v>
      </c>
      <c r="J126" s="100">
        <v>0</v>
      </c>
      <c r="K126" s="100">
        <v>0</v>
      </c>
      <c r="L126" s="100">
        <v>0</v>
      </c>
      <c r="M126" s="100">
        <v>0</v>
      </c>
      <c r="N126" s="100">
        <v>0</v>
      </c>
      <c r="O126" s="100">
        <v>0</v>
      </c>
      <c r="P126" s="100">
        <v>0</v>
      </c>
      <c r="Q126" s="100">
        <v>0</v>
      </c>
      <c r="R126" s="100">
        <v>0</v>
      </c>
      <c r="S126" s="100">
        <v>0</v>
      </c>
      <c r="T126" s="100">
        <v>0</v>
      </c>
      <c r="U126" s="100">
        <v>0</v>
      </c>
      <c r="V126" s="100">
        <v>0</v>
      </c>
      <c r="W126" s="100">
        <v>0</v>
      </c>
      <c r="X126" s="100">
        <v>0</v>
      </c>
      <c r="Y126" s="100">
        <v>0</v>
      </c>
      <c r="Z126" s="100">
        <v>0</v>
      </c>
      <c r="AA126" s="100">
        <v>0</v>
      </c>
      <c r="AB126" s="100">
        <v>0</v>
      </c>
      <c r="AC126" s="100">
        <v>0</v>
      </c>
      <c r="AD126" s="100">
        <v>0</v>
      </c>
      <c r="AE126" s="100">
        <v>0</v>
      </c>
      <c r="AF126" s="100">
        <v>0</v>
      </c>
      <c r="AG126" s="100">
        <v>0</v>
      </c>
      <c r="AH126" s="100">
        <v>0</v>
      </c>
      <c r="AI126" s="100">
        <v>0</v>
      </c>
      <c r="AJ126" s="100">
        <v>0</v>
      </c>
      <c r="AK126" s="100">
        <v>0</v>
      </c>
      <c r="AL126" s="100">
        <v>0</v>
      </c>
      <c r="AM126" s="100">
        <v>0</v>
      </c>
      <c r="AN126" s="100">
        <v>0</v>
      </c>
      <c r="AO126" s="100">
        <v>0</v>
      </c>
      <c r="AP126" s="100">
        <v>0</v>
      </c>
      <c r="AQ126" s="100">
        <v>0</v>
      </c>
      <c r="AR126" s="100">
        <v>0</v>
      </c>
      <c r="AS126" s="100">
        <v>0</v>
      </c>
      <c r="AT126" s="100">
        <v>0</v>
      </c>
      <c r="AU126" s="100">
        <v>0</v>
      </c>
      <c r="AV126" s="100">
        <v>0</v>
      </c>
      <c r="AW126" s="100">
        <v>0</v>
      </c>
      <c r="AX126" s="100">
        <v>0</v>
      </c>
    </row>
    <row r="127" spans="1:50">
      <c r="B127" s="100" t="s">
        <v>278</v>
      </c>
      <c r="C127" s="105">
        <f>SUM(C$122:C$126)</f>
        <v>1.6549976274039627E-17</v>
      </c>
      <c r="D127" s="105">
        <f t="shared" ref="D127:AX127" si="9">SUM(D$122:D$126)</f>
        <v>1.6549976274039627E-17</v>
      </c>
      <c r="E127" s="105">
        <f t="shared" si="9"/>
        <v>1.6549976274039627E-17</v>
      </c>
      <c r="F127" s="105">
        <f t="shared" si="9"/>
        <v>1.6549976274039627E-17</v>
      </c>
      <c r="G127" s="105">
        <f t="shared" si="9"/>
        <v>0</v>
      </c>
      <c r="H127" s="105">
        <f t="shared" si="9"/>
        <v>0</v>
      </c>
      <c r="I127" s="105">
        <f t="shared" si="9"/>
        <v>0</v>
      </c>
      <c r="J127" s="105">
        <f t="shared" si="9"/>
        <v>0</v>
      </c>
      <c r="K127" s="105">
        <f t="shared" si="9"/>
        <v>0</v>
      </c>
      <c r="L127" s="105">
        <f t="shared" si="9"/>
        <v>0</v>
      </c>
      <c r="M127" s="105">
        <f t="shared" si="9"/>
        <v>0</v>
      </c>
      <c r="N127" s="105">
        <f t="shared" si="9"/>
        <v>0</v>
      </c>
      <c r="O127" s="105">
        <f t="shared" si="9"/>
        <v>0</v>
      </c>
      <c r="P127" s="105">
        <f t="shared" si="9"/>
        <v>0</v>
      </c>
      <c r="Q127" s="105">
        <f t="shared" si="9"/>
        <v>0</v>
      </c>
      <c r="R127" s="105">
        <f t="shared" si="9"/>
        <v>0</v>
      </c>
      <c r="S127" s="105">
        <f t="shared" si="9"/>
        <v>0</v>
      </c>
      <c r="T127" s="105">
        <f t="shared" si="9"/>
        <v>0</v>
      </c>
      <c r="U127" s="105">
        <f t="shared" si="9"/>
        <v>0</v>
      </c>
      <c r="V127" s="105">
        <f t="shared" si="9"/>
        <v>0</v>
      </c>
      <c r="W127" s="105">
        <f t="shared" si="9"/>
        <v>0</v>
      </c>
      <c r="X127" s="105">
        <f t="shared" si="9"/>
        <v>0</v>
      </c>
      <c r="Y127" s="105">
        <f t="shared" si="9"/>
        <v>0</v>
      </c>
      <c r="Z127" s="105">
        <f t="shared" si="9"/>
        <v>0</v>
      </c>
      <c r="AA127" s="105">
        <f t="shared" si="9"/>
        <v>0</v>
      </c>
      <c r="AB127" s="105">
        <f t="shared" si="9"/>
        <v>0</v>
      </c>
      <c r="AC127" s="105">
        <f t="shared" si="9"/>
        <v>0</v>
      </c>
      <c r="AD127" s="105">
        <f t="shared" si="9"/>
        <v>0</v>
      </c>
      <c r="AE127" s="105">
        <f t="shared" si="9"/>
        <v>0</v>
      </c>
      <c r="AF127" s="105">
        <f t="shared" si="9"/>
        <v>0</v>
      </c>
      <c r="AG127" s="105">
        <f t="shared" si="9"/>
        <v>0</v>
      </c>
      <c r="AH127" s="105">
        <f t="shared" si="9"/>
        <v>0</v>
      </c>
      <c r="AI127" s="105">
        <f t="shared" si="9"/>
        <v>0</v>
      </c>
      <c r="AJ127" s="105">
        <f t="shared" si="9"/>
        <v>0</v>
      </c>
      <c r="AK127" s="105">
        <f t="shared" si="9"/>
        <v>0</v>
      </c>
      <c r="AL127" s="105">
        <f t="shared" si="9"/>
        <v>0</v>
      </c>
      <c r="AM127" s="105">
        <f t="shared" si="9"/>
        <v>0</v>
      </c>
      <c r="AN127" s="105">
        <f t="shared" si="9"/>
        <v>0</v>
      </c>
      <c r="AO127" s="105">
        <f t="shared" si="9"/>
        <v>0</v>
      </c>
      <c r="AP127" s="105">
        <f t="shared" si="9"/>
        <v>0</v>
      </c>
      <c r="AQ127" s="105">
        <f t="shared" si="9"/>
        <v>0</v>
      </c>
      <c r="AR127" s="105">
        <f t="shared" si="9"/>
        <v>0</v>
      </c>
      <c r="AS127" s="105">
        <f t="shared" si="9"/>
        <v>0</v>
      </c>
      <c r="AT127" s="105">
        <f t="shared" si="9"/>
        <v>0</v>
      </c>
      <c r="AU127" s="105">
        <f t="shared" si="9"/>
        <v>0</v>
      </c>
      <c r="AV127" s="105">
        <f t="shared" si="9"/>
        <v>0</v>
      </c>
      <c r="AW127" s="105">
        <f t="shared" si="9"/>
        <v>0</v>
      </c>
      <c r="AX127" s="105">
        <f t="shared" si="9"/>
        <v>0</v>
      </c>
    </row>
    <row r="128" spans="1:50">
      <c r="A128" s="105" t="s">
        <v>109</v>
      </c>
      <c r="B128" s="105" t="s">
        <v>10</v>
      </c>
      <c r="C128" s="100">
        <v>7.3079779644307524E-19</v>
      </c>
      <c r="D128" s="100">
        <v>7.3079779644307524E-19</v>
      </c>
      <c r="E128" s="100">
        <v>7.3079779644307524E-19</v>
      </c>
      <c r="F128" s="100">
        <v>7.3079779644307524E-19</v>
      </c>
      <c r="G128" s="100">
        <v>9.1349724555384395E-19</v>
      </c>
      <c r="H128" s="100">
        <v>9.1349724555384395E-19</v>
      </c>
      <c r="I128" s="100">
        <v>9.1349724555384395E-19</v>
      </c>
      <c r="J128" s="100">
        <v>9.1349724555384395E-19</v>
      </c>
      <c r="K128" s="100">
        <v>1.0961966946646125E-18</v>
      </c>
      <c r="L128" s="100">
        <v>1.0961966946646125E-18</v>
      </c>
      <c r="M128" s="100">
        <v>1.0961966946646125E-18</v>
      </c>
      <c r="N128" s="100">
        <v>1.0961966946646125E-18</v>
      </c>
      <c r="O128" s="100">
        <v>7.3079779644307524E-19</v>
      </c>
      <c r="P128" s="100">
        <v>7.3079779644307524E-19</v>
      </c>
      <c r="Q128" s="100">
        <v>7.3079779644307524E-19</v>
      </c>
      <c r="R128" s="100">
        <v>7.3079779644307524E-19</v>
      </c>
      <c r="S128" s="100">
        <v>1.0961966946646125E-18</v>
      </c>
      <c r="T128" s="100">
        <v>1.0961966946646125E-18</v>
      </c>
      <c r="U128" s="100">
        <v>1.0961966946646125E-18</v>
      </c>
      <c r="V128" s="100">
        <v>1.0961966946646125E-18</v>
      </c>
      <c r="W128" s="100">
        <v>9.1349724555384395E-19</v>
      </c>
      <c r="X128" s="100">
        <v>9.1349724555384395E-19</v>
      </c>
      <c r="Y128" s="100">
        <v>9.1349724555384395E-19</v>
      </c>
      <c r="Z128" s="100">
        <v>9.1349724555384395E-19</v>
      </c>
      <c r="AA128" s="100">
        <v>9.1349724555384395E-19</v>
      </c>
      <c r="AB128" s="100">
        <v>9.1349724555384395E-19</v>
      </c>
      <c r="AC128" s="100">
        <v>9.1349724555384395E-19</v>
      </c>
      <c r="AD128" s="100">
        <v>9.1349724555384395E-19</v>
      </c>
      <c r="AE128" s="100">
        <v>7.3079779644307524E-19</v>
      </c>
      <c r="AF128" s="100">
        <v>7.3079779644307524E-19</v>
      </c>
      <c r="AG128" s="100">
        <v>7.3079779644307524E-19</v>
      </c>
      <c r="AH128" s="100">
        <v>7.3079779644307524E-19</v>
      </c>
      <c r="AI128" s="100">
        <v>7.3079779644307524E-19</v>
      </c>
      <c r="AJ128" s="100">
        <v>7.3079779644307524E-19</v>
      </c>
      <c r="AK128" s="100">
        <v>7.3079779644307524E-19</v>
      </c>
      <c r="AL128" s="100">
        <v>7.3079779644307524E-19</v>
      </c>
      <c r="AM128" s="100">
        <v>9.1349724555384395E-19</v>
      </c>
      <c r="AN128" s="100">
        <v>9.1349724555384395E-19</v>
      </c>
      <c r="AO128" s="100">
        <v>9.1349724555384395E-19</v>
      </c>
      <c r="AP128" s="100">
        <v>9.1349724555384395E-19</v>
      </c>
      <c r="AQ128" s="100">
        <v>9.1349724555384395E-19</v>
      </c>
      <c r="AR128" s="100">
        <v>9.1349724555384395E-19</v>
      </c>
      <c r="AS128" s="100">
        <v>9.1349724555384395E-19</v>
      </c>
      <c r="AT128" s="100">
        <v>9.1349724555384395E-19</v>
      </c>
      <c r="AU128" s="100">
        <v>9.1349724555384395E-19</v>
      </c>
      <c r="AV128" s="100">
        <v>9.1349724555384395E-19</v>
      </c>
      <c r="AW128" s="100">
        <v>9.1349724555384395E-19</v>
      </c>
      <c r="AX128" s="100">
        <v>9.1349724555384395E-19</v>
      </c>
    </row>
    <row r="129" spans="2:50">
      <c r="B129" s="105" t="s">
        <v>12</v>
      </c>
      <c r="C129" s="100">
        <v>5.9582744294196218E-19</v>
      </c>
      <c r="D129" s="100">
        <v>5.9582744294196218E-19</v>
      </c>
      <c r="E129" s="100">
        <v>5.9582744294196218E-19</v>
      </c>
      <c r="F129" s="100">
        <v>5.9582744294196218E-19</v>
      </c>
      <c r="G129" s="100">
        <v>7.4478430367745275E-19</v>
      </c>
      <c r="H129" s="100">
        <v>7.4478430367745275E-19</v>
      </c>
      <c r="I129" s="100">
        <v>7.4478430367745275E-19</v>
      </c>
      <c r="J129" s="100">
        <v>7.4478430367745275E-19</v>
      </c>
      <c r="K129" s="100">
        <v>8.9374116441294323E-19</v>
      </c>
      <c r="L129" s="100">
        <v>8.9374116441294323E-19</v>
      </c>
      <c r="M129" s="100">
        <v>8.9374116441294323E-19</v>
      </c>
      <c r="N129" s="100">
        <v>8.9374116441294323E-19</v>
      </c>
      <c r="O129" s="100">
        <v>5.9582744294196218E-19</v>
      </c>
      <c r="P129" s="100">
        <v>5.9582744294196218E-19</v>
      </c>
      <c r="Q129" s="100">
        <v>5.9582744294196218E-19</v>
      </c>
      <c r="R129" s="100">
        <v>5.9582744294196218E-19</v>
      </c>
      <c r="S129" s="100">
        <v>8.9374116441294323E-19</v>
      </c>
      <c r="T129" s="100">
        <v>8.9374116441294323E-19</v>
      </c>
      <c r="U129" s="100">
        <v>8.9374116441294323E-19</v>
      </c>
      <c r="V129" s="100">
        <v>8.9374116441294323E-19</v>
      </c>
      <c r="W129" s="100">
        <v>7.4478430367745275E-19</v>
      </c>
      <c r="X129" s="100">
        <v>7.4478430367745275E-19</v>
      </c>
      <c r="Y129" s="100">
        <v>7.4478430367745275E-19</v>
      </c>
      <c r="Z129" s="100">
        <v>7.4478430367745275E-19</v>
      </c>
      <c r="AA129" s="100">
        <v>7.4478430367745275E-19</v>
      </c>
      <c r="AB129" s="100">
        <v>7.4478430367745275E-19</v>
      </c>
      <c r="AC129" s="100">
        <v>7.4478430367745275E-19</v>
      </c>
      <c r="AD129" s="100">
        <v>7.4478430367745275E-19</v>
      </c>
      <c r="AE129" s="100">
        <v>5.9582744294196218E-19</v>
      </c>
      <c r="AF129" s="100">
        <v>5.9582744294196218E-19</v>
      </c>
      <c r="AG129" s="100">
        <v>5.9582744294196218E-19</v>
      </c>
      <c r="AH129" s="100">
        <v>5.9582744294196218E-19</v>
      </c>
      <c r="AI129" s="100">
        <v>5.9582744294196218E-19</v>
      </c>
      <c r="AJ129" s="100">
        <v>5.9582744294196218E-19</v>
      </c>
      <c r="AK129" s="100">
        <v>5.9582744294196218E-19</v>
      </c>
      <c r="AL129" s="100">
        <v>5.9582744294196218E-19</v>
      </c>
      <c r="AM129" s="100">
        <v>7.4478430367745275E-19</v>
      </c>
      <c r="AN129" s="100">
        <v>7.4478430367745275E-19</v>
      </c>
      <c r="AO129" s="100">
        <v>7.4478430367745275E-19</v>
      </c>
      <c r="AP129" s="100">
        <v>7.4478430367745275E-19</v>
      </c>
      <c r="AQ129" s="100">
        <v>7.4478430367745275E-19</v>
      </c>
      <c r="AR129" s="100">
        <v>7.4478430367745275E-19</v>
      </c>
      <c r="AS129" s="100">
        <v>7.4478430367745275E-19</v>
      </c>
      <c r="AT129" s="100">
        <v>7.4478430367745275E-19</v>
      </c>
      <c r="AU129" s="100">
        <v>7.4478430367745275E-19</v>
      </c>
      <c r="AV129" s="100">
        <v>7.4478430367745275E-19</v>
      </c>
      <c r="AW129" s="100">
        <v>7.4478430367745275E-19</v>
      </c>
      <c r="AX129" s="100">
        <v>7.4478430367745275E-19</v>
      </c>
    </row>
    <row r="130" spans="2:50">
      <c r="B130" s="105" t="s">
        <v>22</v>
      </c>
      <c r="C130" s="100">
        <v>0</v>
      </c>
      <c r="D130" s="100">
        <v>0</v>
      </c>
      <c r="E130" s="100">
        <v>0</v>
      </c>
      <c r="F130" s="100">
        <v>0</v>
      </c>
      <c r="G130" s="100">
        <v>0</v>
      </c>
      <c r="H130" s="100">
        <v>0</v>
      </c>
      <c r="I130" s="100">
        <v>0</v>
      </c>
      <c r="J130" s="100">
        <v>0</v>
      </c>
      <c r="K130" s="100">
        <v>0</v>
      </c>
      <c r="L130" s="100">
        <v>0</v>
      </c>
      <c r="M130" s="100">
        <v>0</v>
      </c>
      <c r="N130" s="100">
        <v>0</v>
      </c>
      <c r="O130" s="100">
        <v>0</v>
      </c>
      <c r="P130" s="100">
        <v>0</v>
      </c>
      <c r="Q130" s="100">
        <v>0</v>
      </c>
      <c r="R130" s="100">
        <v>0</v>
      </c>
      <c r="S130" s="100">
        <v>0</v>
      </c>
      <c r="T130" s="100">
        <v>0</v>
      </c>
      <c r="U130" s="100">
        <v>0</v>
      </c>
      <c r="V130" s="100">
        <v>0</v>
      </c>
      <c r="W130" s="100">
        <v>0</v>
      </c>
      <c r="X130" s="100">
        <v>0</v>
      </c>
      <c r="Y130" s="100">
        <v>0</v>
      </c>
      <c r="Z130" s="100">
        <v>0</v>
      </c>
      <c r="AA130" s="100">
        <v>0</v>
      </c>
      <c r="AB130" s="100">
        <v>0</v>
      </c>
      <c r="AC130" s="100">
        <v>0</v>
      </c>
      <c r="AD130" s="100">
        <v>0</v>
      </c>
      <c r="AE130" s="100">
        <v>0</v>
      </c>
      <c r="AF130" s="100">
        <v>0</v>
      </c>
      <c r="AG130" s="100">
        <v>0</v>
      </c>
      <c r="AH130" s="100">
        <v>0</v>
      </c>
      <c r="AI130" s="100">
        <v>0</v>
      </c>
      <c r="AJ130" s="100">
        <v>0</v>
      </c>
      <c r="AK130" s="100">
        <v>0</v>
      </c>
      <c r="AL130" s="100">
        <v>0</v>
      </c>
      <c r="AM130" s="100">
        <v>0</v>
      </c>
      <c r="AN130" s="100">
        <v>0</v>
      </c>
      <c r="AO130" s="100">
        <v>0</v>
      </c>
      <c r="AP130" s="100">
        <v>0</v>
      </c>
      <c r="AQ130" s="100">
        <v>0</v>
      </c>
      <c r="AR130" s="100">
        <v>0</v>
      </c>
      <c r="AS130" s="100">
        <v>0</v>
      </c>
      <c r="AT130" s="100">
        <v>0</v>
      </c>
      <c r="AU130" s="100">
        <v>0</v>
      </c>
      <c r="AV130" s="100">
        <v>0</v>
      </c>
      <c r="AW130" s="100">
        <v>0</v>
      </c>
      <c r="AX130" s="100">
        <v>0</v>
      </c>
    </row>
    <row r="131" spans="2:50">
      <c r="B131" s="105" t="s">
        <v>46</v>
      </c>
      <c r="C131" s="100">
        <v>0</v>
      </c>
      <c r="D131" s="100">
        <v>0</v>
      </c>
      <c r="E131" s="100">
        <v>0</v>
      </c>
      <c r="F131" s="100">
        <v>0</v>
      </c>
      <c r="G131" s="100">
        <v>0</v>
      </c>
      <c r="H131" s="100">
        <v>0</v>
      </c>
      <c r="I131" s="100">
        <v>0</v>
      </c>
      <c r="J131" s="100">
        <v>0</v>
      </c>
      <c r="K131" s="100">
        <v>0</v>
      </c>
      <c r="L131" s="100">
        <v>0</v>
      </c>
      <c r="M131" s="100">
        <v>0</v>
      </c>
      <c r="N131" s="100">
        <v>0</v>
      </c>
      <c r="O131" s="100">
        <v>0</v>
      </c>
      <c r="P131" s="100">
        <v>0</v>
      </c>
      <c r="Q131" s="100">
        <v>0</v>
      </c>
      <c r="R131" s="100">
        <v>0</v>
      </c>
      <c r="S131" s="100">
        <v>0</v>
      </c>
      <c r="T131" s="100">
        <v>0</v>
      </c>
      <c r="U131" s="100">
        <v>0</v>
      </c>
      <c r="V131" s="100">
        <v>0</v>
      </c>
      <c r="W131" s="100">
        <v>0</v>
      </c>
      <c r="X131" s="100">
        <v>0</v>
      </c>
      <c r="Y131" s="100">
        <v>0</v>
      </c>
      <c r="Z131" s="100">
        <v>0</v>
      </c>
      <c r="AA131" s="100">
        <v>0</v>
      </c>
      <c r="AB131" s="100">
        <v>0</v>
      </c>
      <c r="AC131" s="100">
        <v>0</v>
      </c>
      <c r="AD131" s="100">
        <v>0</v>
      </c>
      <c r="AE131" s="100">
        <v>0</v>
      </c>
      <c r="AF131" s="100">
        <v>0</v>
      </c>
      <c r="AG131" s="100">
        <v>0</v>
      </c>
      <c r="AH131" s="100">
        <v>0</v>
      </c>
      <c r="AI131" s="100">
        <v>0</v>
      </c>
      <c r="AJ131" s="100">
        <v>0</v>
      </c>
      <c r="AK131" s="100">
        <v>0</v>
      </c>
      <c r="AL131" s="100">
        <v>0</v>
      </c>
      <c r="AM131" s="100">
        <v>0</v>
      </c>
      <c r="AN131" s="100">
        <v>0</v>
      </c>
      <c r="AO131" s="100">
        <v>0</v>
      </c>
      <c r="AP131" s="100">
        <v>0</v>
      </c>
      <c r="AQ131" s="100">
        <v>0</v>
      </c>
      <c r="AR131" s="100">
        <v>0</v>
      </c>
      <c r="AS131" s="100">
        <v>0</v>
      </c>
      <c r="AT131" s="100">
        <v>0</v>
      </c>
      <c r="AU131" s="100">
        <v>0</v>
      </c>
      <c r="AV131" s="100">
        <v>0</v>
      </c>
      <c r="AW131" s="100">
        <v>0</v>
      </c>
      <c r="AX131" s="100">
        <v>0</v>
      </c>
    </row>
    <row r="132" spans="2:50">
      <c r="B132" s="105" t="s">
        <v>59</v>
      </c>
      <c r="C132" s="100">
        <v>0</v>
      </c>
      <c r="D132" s="100">
        <v>0</v>
      </c>
      <c r="E132" s="100">
        <v>0</v>
      </c>
      <c r="F132" s="100">
        <v>0</v>
      </c>
      <c r="G132" s="100">
        <v>0</v>
      </c>
      <c r="H132" s="100">
        <v>0</v>
      </c>
      <c r="I132" s="100">
        <v>0</v>
      </c>
      <c r="J132" s="100">
        <v>0</v>
      </c>
      <c r="K132" s="100">
        <v>0</v>
      </c>
      <c r="L132" s="100">
        <v>0</v>
      </c>
      <c r="M132" s="100">
        <v>0</v>
      </c>
      <c r="N132" s="100">
        <v>0</v>
      </c>
      <c r="O132" s="100">
        <v>0</v>
      </c>
      <c r="P132" s="100">
        <v>0</v>
      </c>
      <c r="Q132" s="100">
        <v>0</v>
      </c>
      <c r="R132" s="100">
        <v>0</v>
      </c>
      <c r="S132" s="100">
        <v>0</v>
      </c>
      <c r="T132" s="100">
        <v>0</v>
      </c>
      <c r="U132" s="100">
        <v>0</v>
      </c>
      <c r="V132" s="100">
        <v>0</v>
      </c>
      <c r="W132" s="100">
        <v>0</v>
      </c>
      <c r="X132" s="100">
        <v>0</v>
      </c>
      <c r="Y132" s="100">
        <v>0</v>
      </c>
      <c r="Z132" s="100">
        <v>0</v>
      </c>
      <c r="AA132" s="100">
        <v>0</v>
      </c>
      <c r="AB132" s="100">
        <v>0</v>
      </c>
      <c r="AC132" s="100">
        <v>0</v>
      </c>
      <c r="AD132" s="100">
        <v>0</v>
      </c>
      <c r="AE132" s="100">
        <v>0</v>
      </c>
      <c r="AF132" s="100">
        <v>0</v>
      </c>
      <c r="AG132" s="100">
        <v>0</v>
      </c>
      <c r="AH132" s="100">
        <v>0</v>
      </c>
      <c r="AI132" s="100">
        <v>0</v>
      </c>
      <c r="AJ132" s="100">
        <v>0</v>
      </c>
      <c r="AK132" s="100">
        <v>0</v>
      </c>
      <c r="AL132" s="100">
        <v>0</v>
      </c>
      <c r="AM132" s="100">
        <v>0</v>
      </c>
      <c r="AN132" s="100">
        <v>0</v>
      </c>
      <c r="AO132" s="100">
        <v>0</v>
      </c>
      <c r="AP132" s="100">
        <v>0</v>
      </c>
      <c r="AQ132" s="100">
        <v>0</v>
      </c>
      <c r="AR132" s="100">
        <v>0</v>
      </c>
      <c r="AS132" s="100">
        <v>0</v>
      </c>
      <c r="AT132" s="100">
        <v>0</v>
      </c>
      <c r="AU132" s="100">
        <v>0</v>
      </c>
      <c r="AV132" s="100">
        <v>0</v>
      </c>
      <c r="AW132" s="100">
        <v>0</v>
      </c>
      <c r="AX132" s="100">
        <v>0</v>
      </c>
    </row>
    <row r="133" spans="2:50">
      <c r="B133" s="100" t="s">
        <v>278</v>
      </c>
      <c r="C133" s="105">
        <f>SUM(C$128:C$132)</f>
        <v>1.3266252393850375E-18</v>
      </c>
      <c r="D133" s="105">
        <f t="shared" ref="D133:AX133" si="10">SUM(D$128:D$132)</f>
        <v>1.3266252393850375E-18</v>
      </c>
      <c r="E133" s="105">
        <f t="shared" si="10"/>
        <v>1.3266252393850375E-18</v>
      </c>
      <c r="F133" s="105">
        <f t="shared" si="10"/>
        <v>1.3266252393850375E-18</v>
      </c>
      <c r="G133" s="105">
        <f t="shared" si="10"/>
        <v>1.6582815492312967E-18</v>
      </c>
      <c r="H133" s="105">
        <f t="shared" si="10"/>
        <v>1.6582815492312967E-18</v>
      </c>
      <c r="I133" s="105">
        <f t="shared" si="10"/>
        <v>1.6582815492312967E-18</v>
      </c>
      <c r="J133" s="105">
        <f t="shared" si="10"/>
        <v>1.6582815492312967E-18</v>
      </c>
      <c r="K133" s="105">
        <f t="shared" si="10"/>
        <v>1.9899378590775555E-18</v>
      </c>
      <c r="L133" s="105">
        <f t="shared" si="10"/>
        <v>1.9899378590775555E-18</v>
      </c>
      <c r="M133" s="105">
        <f t="shared" si="10"/>
        <v>1.9899378590775555E-18</v>
      </c>
      <c r="N133" s="105">
        <f t="shared" si="10"/>
        <v>1.9899378590775555E-18</v>
      </c>
      <c r="O133" s="105">
        <f t="shared" si="10"/>
        <v>1.3266252393850375E-18</v>
      </c>
      <c r="P133" s="105">
        <f t="shared" si="10"/>
        <v>1.3266252393850375E-18</v>
      </c>
      <c r="Q133" s="105">
        <f t="shared" si="10"/>
        <v>1.3266252393850375E-18</v>
      </c>
      <c r="R133" s="105">
        <f t="shared" si="10"/>
        <v>1.3266252393850375E-18</v>
      </c>
      <c r="S133" s="105">
        <f t="shared" si="10"/>
        <v>1.9899378590775555E-18</v>
      </c>
      <c r="T133" s="105">
        <f t="shared" si="10"/>
        <v>1.9899378590775555E-18</v>
      </c>
      <c r="U133" s="105">
        <f t="shared" si="10"/>
        <v>1.9899378590775555E-18</v>
      </c>
      <c r="V133" s="105">
        <f t="shared" si="10"/>
        <v>1.9899378590775555E-18</v>
      </c>
      <c r="W133" s="105">
        <f t="shared" si="10"/>
        <v>1.6582815492312967E-18</v>
      </c>
      <c r="X133" s="105">
        <f t="shared" si="10"/>
        <v>1.6582815492312967E-18</v>
      </c>
      <c r="Y133" s="105">
        <f t="shared" si="10"/>
        <v>1.6582815492312967E-18</v>
      </c>
      <c r="Z133" s="105">
        <f t="shared" si="10"/>
        <v>1.6582815492312967E-18</v>
      </c>
      <c r="AA133" s="105">
        <f t="shared" si="10"/>
        <v>1.6582815492312967E-18</v>
      </c>
      <c r="AB133" s="105">
        <f t="shared" si="10"/>
        <v>1.6582815492312967E-18</v>
      </c>
      <c r="AC133" s="105">
        <f t="shared" si="10"/>
        <v>1.6582815492312967E-18</v>
      </c>
      <c r="AD133" s="105">
        <f t="shared" si="10"/>
        <v>1.6582815492312967E-18</v>
      </c>
      <c r="AE133" s="105">
        <f t="shared" si="10"/>
        <v>1.3266252393850375E-18</v>
      </c>
      <c r="AF133" s="105">
        <f t="shared" si="10"/>
        <v>1.3266252393850375E-18</v>
      </c>
      <c r="AG133" s="105">
        <f t="shared" si="10"/>
        <v>1.3266252393850375E-18</v>
      </c>
      <c r="AH133" s="105">
        <f t="shared" si="10"/>
        <v>1.3266252393850375E-18</v>
      </c>
      <c r="AI133" s="105">
        <f t="shared" si="10"/>
        <v>1.3266252393850375E-18</v>
      </c>
      <c r="AJ133" s="105">
        <f t="shared" si="10"/>
        <v>1.3266252393850375E-18</v>
      </c>
      <c r="AK133" s="105">
        <f t="shared" si="10"/>
        <v>1.3266252393850375E-18</v>
      </c>
      <c r="AL133" s="105">
        <f t="shared" si="10"/>
        <v>1.3266252393850375E-18</v>
      </c>
      <c r="AM133" s="105">
        <f t="shared" si="10"/>
        <v>1.6582815492312967E-18</v>
      </c>
      <c r="AN133" s="105">
        <f t="shared" si="10"/>
        <v>1.6582815492312967E-18</v>
      </c>
      <c r="AO133" s="105">
        <f t="shared" si="10"/>
        <v>1.6582815492312967E-18</v>
      </c>
      <c r="AP133" s="105">
        <f t="shared" si="10"/>
        <v>1.6582815492312967E-18</v>
      </c>
      <c r="AQ133" s="105">
        <f t="shared" si="10"/>
        <v>1.6582815492312967E-18</v>
      </c>
      <c r="AR133" s="105">
        <f t="shared" si="10"/>
        <v>1.6582815492312967E-18</v>
      </c>
      <c r="AS133" s="105">
        <f t="shared" si="10"/>
        <v>1.6582815492312967E-18</v>
      </c>
      <c r="AT133" s="105">
        <f t="shared" si="10"/>
        <v>1.6582815492312967E-18</v>
      </c>
      <c r="AU133" s="105">
        <f t="shared" si="10"/>
        <v>1.6582815492312967E-18</v>
      </c>
      <c r="AV133" s="105">
        <f t="shared" si="10"/>
        <v>1.6582815492312967E-18</v>
      </c>
      <c r="AW133" s="105">
        <f t="shared" si="10"/>
        <v>1.6582815492312967E-18</v>
      </c>
      <c r="AX133" s="105">
        <f t="shared" si="10"/>
        <v>1.6582815492312967E-18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65"/>
  <sheetViews>
    <sheetView workbookViewId="0">
      <pane xSplit="2" ySplit="6" topLeftCell="C7" activePane="bottomRight" state="frozen"/>
      <selection pane="topRight"/>
      <selection pane="bottomLeft"/>
      <selection pane="bottomRight" activeCell="C27" sqref="C27:C29"/>
    </sheetView>
  </sheetViews>
  <sheetFormatPr baseColWidth="10" defaultColWidth="8.83203125" defaultRowHeight="12" x14ac:dyDescent="0"/>
  <cols>
    <col min="1" max="1" width="14.6640625" style="100" customWidth="1"/>
    <col min="2" max="2" width="17.6640625" style="100" customWidth="1"/>
    <col min="3" max="51" width="8.83203125" style="100"/>
    <col min="52" max="52" width="10.6640625" style="100" customWidth="1"/>
    <col min="53" max="16384" width="8.83203125" style="100"/>
  </cols>
  <sheetData>
    <row r="1" spans="1:52">
      <c r="A1" s="102" t="s">
        <v>118</v>
      </c>
    </row>
    <row r="2" spans="1:52">
      <c r="A2" s="100" t="s">
        <v>303</v>
      </c>
      <c r="B2" s="107" t="s">
        <v>10</v>
      </c>
      <c r="E2" s="110"/>
    </row>
    <row r="3" spans="1:52">
      <c r="A3" s="100" t="s">
        <v>286</v>
      </c>
      <c r="B3" s="107">
        <v>600</v>
      </c>
      <c r="E3" s="110"/>
    </row>
    <row r="4" spans="1:52">
      <c r="A4" s="102"/>
      <c r="C4" s="111" t="s">
        <v>287</v>
      </c>
    </row>
    <row r="5" spans="1:52">
      <c r="B5" s="106"/>
      <c r="C5" s="112">
        <v>0</v>
      </c>
      <c r="D5" s="112">
        <v>1</v>
      </c>
      <c r="E5" s="112">
        <v>2</v>
      </c>
      <c r="F5" s="112">
        <v>3</v>
      </c>
      <c r="G5" s="112">
        <v>4</v>
      </c>
      <c r="H5" s="112">
        <v>5</v>
      </c>
      <c r="I5" s="112">
        <v>6</v>
      </c>
      <c r="J5" s="112">
        <v>7</v>
      </c>
      <c r="K5" s="112">
        <v>8</v>
      </c>
      <c r="L5" s="112">
        <v>9</v>
      </c>
      <c r="M5" s="112">
        <v>10</v>
      </c>
      <c r="N5" s="112">
        <v>11</v>
      </c>
      <c r="O5" s="112">
        <v>12</v>
      </c>
      <c r="P5" s="112">
        <v>13</v>
      </c>
      <c r="Q5" s="112">
        <v>14</v>
      </c>
      <c r="R5" s="112">
        <v>15</v>
      </c>
      <c r="S5" s="112">
        <v>16</v>
      </c>
      <c r="T5" s="112">
        <v>17</v>
      </c>
      <c r="U5" s="112">
        <v>18</v>
      </c>
      <c r="V5" s="112">
        <v>19</v>
      </c>
      <c r="W5" s="112">
        <v>20</v>
      </c>
      <c r="X5" s="112">
        <v>21</v>
      </c>
      <c r="Y5" s="112">
        <v>22</v>
      </c>
      <c r="Z5" s="112">
        <v>23</v>
      </c>
      <c r="AA5" s="112">
        <v>24</v>
      </c>
      <c r="AB5" s="112">
        <v>25</v>
      </c>
      <c r="AC5" s="112">
        <v>26</v>
      </c>
      <c r="AD5" s="112">
        <v>27</v>
      </c>
      <c r="AE5" s="112">
        <v>28</v>
      </c>
      <c r="AF5" s="112">
        <v>29</v>
      </c>
      <c r="AG5" s="112">
        <v>30</v>
      </c>
      <c r="AH5" s="112">
        <v>31</v>
      </c>
      <c r="AI5" s="112">
        <v>32</v>
      </c>
      <c r="AJ5" s="112">
        <v>33</v>
      </c>
      <c r="AK5" s="112">
        <v>34</v>
      </c>
      <c r="AL5" s="112">
        <v>35</v>
      </c>
      <c r="AM5" s="112">
        <v>36</v>
      </c>
      <c r="AN5" s="112">
        <v>37</v>
      </c>
      <c r="AO5" s="112">
        <v>38</v>
      </c>
      <c r="AP5" s="112">
        <v>39</v>
      </c>
      <c r="AQ5" s="112">
        <v>40</v>
      </c>
      <c r="AR5" s="112">
        <v>41</v>
      </c>
      <c r="AS5" s="112">
        <v>42</v>
      </c>
      <c r="AT5" s="112">
        <v>43</v>
      </c>
      <c r="AU5" s="112">
        <v>44</v>
      </c>
      <c r="AV5" s="112">
        <v>45</v>
      </c>
      <c r="AW5" s="112">
        <v>46</v>
      </c>
      <c r="AX5" s="112">
        <v>47</v>
      </c>
      <c r="AY5" s="112">
        <v>48</v>
      </c>
    </row>
    <row r="6" spans="1:52">
      <c r="A6" s="102" t="s">
        <v>304</v>
      </c>
      <c r="B6" s="114"/>
      <c r="C6" s="113" t="s">
        <v>288</v>
      </c>
      <c r="D6" s="112" t="s">
        <v>289</v>
      </c>
      <c r="E6" s="112" t="s">
        <v>289</v>
      </c>
      <c r="F6" s="112" t="s">
        <v>289</v>
      </c>
      <c r="G6" s="112" t="s">
        <v>289</v>
      </c>
      <c r="H6" s="112" t="s">
        <v>289</v>
      </c>
      <c r="I6" s="112" t="s">
        <v>289</v>
      </c>
      <c r="J6" s="112" t="s">
        <v>289</v>
      </c>
      <c r="K6" s="112" t="s">
        <v>289</v>
      </c>
      <c r="L6" s="112" t="s">
        <v>289</v>
      </c>
      <c r="M6" s="112" t="s">
        <v>289</v>
      </c>
      <c r="N6" s="112" t="s">
        <v>289</v>
      </c>
      <c r="O6" s="112" t="s">
        <v>289</v>
      </c>
      <c r="P6" s="112" t="s">
        <v>289</v>
      </c>
      <c r="Q6" s="112" t="s">
        <v>289</v>
      </c>
      <c r="R6" s="112" t="s">
        <v>289</v>
      </c>
      <c r="S6" s="112" t="s">
        <v>289</v>
      </c>
      <c r="T6" s="112" t="s">
        <v>289</v>
      </c>
      <c r="U6" s="112" t="s">
        <v>289</v>
      </c>
      <c r="V6" s="112" t="s">
        <v>289</v>
      </c>
      <c r="W6" s="112" t="s">
        <v>289</v>
      </c>
      <c r="X6" s="112" t="s">
        <v>289</v>
      </c>
      <c r="Y6" s="112" t="s">
        <v>289</v>
      </c>
      <c r="Z6" s="112" t="s">
        <v>289</v>
      </c>
      <c r="AA6" s="112" t="s">
        <v>289</v>
      </c>
      <c r="AB6" s="112" t="s">
        <v>289</v>
      </c>
      <c r="AC6" s="112" t="s">
        <v>289</v>
      </c>
      <c r="AD6" s="112" t="s">
        <v>289</v>
      </c>
      <c r="AE6" s="112" t="s">
        <v>289</v>
      </c>
      <c r="AF6" s="112" t="s">
        <v>289</v>
      </c>
      <c r="AG6" s="112" t="s">
        <v>289</v>
      </c>
      <c r="AH6" s="112" t="s">
        <v>289</v>
      </c>
      <c r="AI6" s="112" t="s">
        <v>289</v>
      </c>
      <c r="AJ6" s="112" t="s">
        <v>289</v>
      </c>
      <c r="AK6" s="112" t="s">
        <v>289</v>
      </c>
      <c r="AL6" s="112" t="s">
        <v>289</v>
      </c>
      <c r="AM6" s="112" t="s">
        <v>289</v>
      </c>
      <c r="AN6" s="112" t="s">
        <v>289</v>
      </c>
      <c r="AO6" s="112" t="s">
        <v>289</v>
      </c>
      <c r="AP6" s="112" t="s">
        <v>289</v>
      </c>
      <c r="AQ6" s="112" t="s">
        <v>289</v>
      </c>
      <c r="AR6" s="112" t="s">
        <v>289</v>
      </c>
      <c r="AS6" s="112" t="s">
        <v>289</v>
      </c>
      <c r="AT6" s="112" t="s">
        <v>289</v>
      </c>
      <c r="AU6" s="112" t="s">
        <v>289</v>
      </c>
      <c r="AV6" s="112" t="s">
        <v>289</v>
      </c>
      <c r="AW6" s="112" t="s">
        <v>289</v>
      </c>
      <c r="AX6" s="112" t="s">
        <v>289</v>
      </c>
      <c r="AY6" s="111" t="s">
        <v>290</v>
      </c>
      <c r="AZ6" s="142" t="s">
        <v>150</v>
      </c>
    </row>
    <row r="7" spans="1:52">
      <c r="A7" s="115" t="s">
        <v>125</v>
      </c>
      <c r="B7" s="143">
        <v>1</v>
      </c>
      <c r="C7" s="144" t="s">
        <v>293</v>
      </c>
      <c r="D7" s="144">
        <v>600.00000000000034</v>
      </c>
      <c r="E7" s="144">
        <v>600.00000000000034</v>
      </c>
      <c r="F7" s="144">
        <v>600.00000000000034</v>
      </c>
      <c r="G7" s="144">
        <v>600.00000000000034</v>
      </c>
      <c r="H7" s="144">
        <v>600.00000000000034</v>
      </c>
      <c r="I7" s="144">
        <v>600.00000000000034</v>
      </c>
      <c r="J7" s="144">
        <v>600.00000000000034</v>
      </c>
      <c r="K7" s="144">
        <v>600.00000000000034</v>
      </c>
      <c r="L7" s="144">
        <v>600.00000000000034</v>
      </c>
      <c r="M7" s="144">
        <v>600.00000000000034</v>
      </c>
      <c r="N7" s="144">
        <v>600.00000000000034</v>
      </c>
      <c r="O7" s="144">
        <v>600.00000000000034</v>
      </c>
      <c r="P7" s="144">
        <v>600.00000000000034</v>
      </c>
      <c r="Q7" s="144">
        <v>600.00000000000034</v>
      </c>
      <c r="R7" s="144">
        <v>600.00000000000034</v>
      </c>
      <c r="S7" s="144">
        <v>600.00000000000034</v>
      </c>
      <c r="T7" s="144">
        <v>600.00000000000034</v>
      </c>
      <c r="U7" s="144">
        <v>600.00000000000034</v>
      </c>
      <c r="V7" s="144">
        <v>600.00000000000034</v>
      </c>
      <c r="W7" s="144">
        <v>600.00000000000034</v>
      </c>
      <c r="X7" s="144">
        <v>600.00000000000034</v>
      </c>
      <c r="Y7" s="144">
        <v>600.00000000000034</v>
      </c>
      <c r="Z7" s="144">
        <v>600.00000000000034</v>
      </c>
      <c r="AA7" s="144">
        <v>600.00000000000034</v>
      </c>
      <c r="AB7" s="144">
        <v>600.00000000000034</v>
      </c>
      <c r="AC7" s="144">
        <v>600.00000000000034</v>
      </c>
      <c r="AD7" s="144">
        <v>600.00000000000034</v>
      </c>
      <c r="AE7" s="144">
        <v>600.00000000000034</v>
      </c>
      <c r="AF7" s="144">
        <v>600.00000000000034</v>
      </c>
      <c r="AG7" s="144">
        <v>600.00000000000034</v>
      </c>
      <c r="AH7" s="144">
        <v>600.00000000000034</v>
      </c>
      <c r="AI7" s="144">
        <v>243.51660010841152</v>
      </c>
      <c r="AJ7" s="144">
        <v>600.00000000000034</v>
      </c>
      <c r="AK7" s="144">
        <v>600.00000000000034</v>
      </c>
      <c r="AL7" s="144">
        <v>600.00000000000034</v>
      </c>
      <c r="AM7" s="144">
        <v>600.00000000000034</v>
      </c>
      <c r="AN7" s="144">
        <v>600.00000000000034</v>
      </c>
      <c r="AO7" s="144">
        <v>600.00000000000034</v>
      </c>
      <c r="AP7" s="144">
        <v>600.00000000000034</v>
      </c>
      <c r="AQ7" s="144">
        <v>600.00000000000034</v>
      </c>
      <c r="AR7" s="144">
        <v>600.00000000000034</v>
      </c>
      <c r="AS7" s="144">
        <v>600.00000000000034</v>
      </c>
      <c r="AT7" s="144">
        <v>600.00000000000034</v>
      </c>
      <c r="AU7" s="144">
        <v>600.00000000000034</v>
      </c>
      <c r="AV7" s="144">
        <v>600.00000000000034</v>
      </c>
      <c r="AW7" s="144">
        <v>600.00000000000034</v>
      </c>
      <c r="AX7" s="144">
        <v>600.00000000000034</v>
      </c>
      <c r="AY7" s="144">
        <v>600.00000000000034</v>
      </c>
      <c r="AZ7" s="106"/>
    </row>
    <row r="8" spans="1:52">
      <c r="A8" s="145"/>
      <c r="B8" s="146"/>
      <c r="C8" s="145"/>
      <c r="D8" s="145"/>
      <c r="E8" s="145"/>
      <c r="F8" s="145"/>
      <c r="G8" s="145"/>
      <c r="H8" s="145"/>
      <c r="I8" s="145"/>
      <c r="J8" s="145"/>
      <c r="K8" s="145"/>
      <c r="L8" s="145"/>
      <c r="M8" s="145"/>
      <c r="N8" s="145"/>
      <c r="O8" s="145"/>
      <c r="P8" s="145"/>
      <c r="Q8" s="145"/>
      <c r="R8" s="145"/>
      <c r="S8" s="145"/>
      <c r="T8" s="145"/>
      <c r="U8" s="145"/>
      <c r="V8" s="145"/>
      <c r="W8" s="145"/>
      <c r="X8" s="145"/>
      <c r="Y8" s="145"/>
      <c r="Z8" s="145"/>
      <c r="AA8" s="145"/>
      <c r="AB8" s="145"/>
      <c r="AC8" s="145"/>
      <c r="AD8" s="145"/>
      <c r="AE8" s="145"/>
      <c r="AF8" s="145"/>
      <c r="AG8" s="145"/>
      <c r="AH8" s="145"/>
      <c r="AI8" s="145"/>
      <c r="AJ8" s="145"/>
      <c r="AK8" s="145"/>
      <c r="AL8" s="145"/>
      <c r="AM8" s="145"/>
      <c r="AN8" s="145"/>
      <c r="AO8" s="145"/>
      <c r="AP8" s="145"/>
      <c r="AQ8" s="145"/>
      <c r="AR8" s="145"/>
      <c r="AS8" s="145"/>
      <c r="AT8" s="145"/>
      <c r="AU8" s="145"/>
      <c r="AV8" s="145"/>
      <c r="AW8" s="145"/>
      <c r="AX8" s="145"/>
      <c r="AY8" s="145"/>
      <c r="AZ8" s="147"/>
    </row>
    <row r="9" spans="1:52">
      <c r="A9" s="102" t="s">
        <v>294</v>
      </c>
      <c r="B9" s="148"/>
      <c r="C9" s="106"/>
      <c r="D9" s="106"/>
      <c r="E9" s="106"/>
      <c r="F9" s="106"/>
      <c r="G9" s="106"/>
      <c r="H9" s="106"/>
      <c r="I9" s="106"/>
      <c r="J9" s="106"/>
      <c r="K9" s="106"/>
      <c r="L9" s="106"/>
      <c r="M9" s="106"/>
      <c r="N9" s="106"/>
      <c r="O9" s="106"/>
      <c r="P9" s="106"/>
      <c r="Q9" s="106"/>
      <c r="R9" s="106"/>
      <c r="S9" s="106"/>
      <c r="T9" s="106"/>
      <c r="U9" s="106"/>
      <c r="V9" s="106"/>
      <c r="W9" s="106"/>
      <c r="X9" s="106"/>
      <c r="Y9" s="106"/>
      <c r="Z9" s="106"/>
      <c r="AA9" s="106"/>
      <c r="AB9" s="106"/>
      <c r="AC9" s="106"/>
      <c r="AD9" s="106"/>
      <c r="AE9" s="106"/>
      <c r="AF9" s="106"/>
      <c r="AG9" s="106"/>
      <c r="AH9" s="106"/>
      <c r="AI9" s="106"/>
      <c r="AJ9" s="106"/>
      <c r="AK9" s="106"/>
      <c r="AL9" s="106"/>
      <c r="AM9" s="106"/>
      <c r="AN9" s="106"/>
      <c r="AO9" s="106"/>
      <c r="AP9" s="106"/>
      <c r="AQ9" s="106"/>
      <c r="AR9" s="106"/>
      <c r="AS9" s="106"/>
      <c r="AT9" s="106"/>
      <c r="AU9" s="106"/>
      <c r="AV9" s="106"/>
      <c r="AW9" s="106"/>
      <c r="AX9" s="106"/>
      <c r="AY9" s="106"/>
      <c r="AZ9" s="106"/>
    </row>
    <row r="10" spans="1:52">
      <c r="A10" s="149" t="s">
        <v>125</v>
      </c>
      <c r="B10" s="150">
        <v>1</v>
      </c>
      <c r="C10" s="144" t="s">
        <v>293</v>
      </c>
      <c r="D10" s="144">
        <f t="shared" ref="D10:AY10" si="0">MAX(SUM(D$14:D$16)+D$7-$B$3,0)</f>
        <v>3.4106051316484809E-13</v>
      </c>
      <c r="E10" s="144">
        <f t="shared" si="0"/>
        <v>3.4106051316484809E-13</v>
      </c>
      <c r="F10" s="144">
        <f t="shared" si="0"/>
        <v>3.4106051316484809E-13</v>
      </c>
      <c r="G10" s="144">
        <f t="shared" si="0"/>
        <v>600.00000000000045</v>
      </c>
      <c r="H10" s="144">
        <f t="shared" si="0"/>
        <v>3.4106051316484809E-13</v>
      </c>
      <c r="I10" s="144">
        <f t="shared" si="0"/>
        <v>3.4106051316484809E-13</v>
      </c>
      <c r="J10" s="144">
        <f t="shared" si="0"/>
        <v>3.4106051316484809E-13</v>
      </c>
      <c r="K10" s="144">
        <f t="shared" si="0"/>
        <v>3.4106051316484809E-13</v>
      </c>
      <c r="L10" s="144">
        <f t="shared" si="0"/>
        <v>3.4106051316484809E-13</v>
      </c>
      <c r="M10" s="144">
        <f t="shared" si="0"/>
        <v>3.4106051316484809E-13</v>
      </c>
      <c r="N10" s="144">
        <f t="shared" si="0"/>
        <v>3.4106051316484809E-13</v>
      </c>
      <c r="O10" s="144">
        <f t="shared" si="0"/>
        <v>3.4106051316484809E-13</v>
      </c>
      <c r="P10" s="144">
        <f t="shared" si="0"/>
        <v>3.4106051316484809E-13</v>
      </c>
      <c r="Q10" s="144">
        <f t="shared" si="0"/>
        <v>3.4106051316484809E-13</v>
      </c>
      <c r="R10" s="144">
        <f t="shared" si="0"/>
        <v>3.4106051316484809E-13</v>
      </c>
      <c r="S10" s="144">
        <f t="shared" si="0"/>
        <v>3.4106051316484809E-13</v>
      </c>
      <c r="T10" s="144">
        <f t="shared" si="0"/>
        <v>3.4106051316484809E-13</v>
      </c>
      <c r="U10" s="144">
        <f t="shared" si="0"/>
        <v>3.4106051316484809E-13</v>
      </c>
      <c r="V10" s="144">
        <f t="shared" si="0"/>
        <v>3.4106051316484809E-13</v>
      </c>
      <c r="W10" s="144">
        <f t="shared" si="0"/>
        <v>3.4106051316484809E-13</v>
      </c>
      <c r="X10" s="144">
        <f t="shared" si="0"/>
        <v>3.4106051316484809E-13</v>
      </c>
      <c r="Y10" s="144">
        <f t="shared" si="0"/>
        <v>3.4106051316484809E-13</v>
      </c>
      <c r="Z10" s="144">
        <f t="shared" si="0"/>
        <v>3.4106051316484809E-13</v>
      </c>
      <c r="AA10" s="144">
        <f t="shared" si="0"/>
        <v>3.4106051316484809E-13</v>
      </c>
      <c r="AB10" s="144">
        <f t="shared" si="0"/>
        <v>3.4106051316484809E-13</v>
      </c>
      <c r="AC10" s="144">
        <f t="shared" si="0"/>
        <v>3.4106051316484809E-13</v>
      </c>
      <c r="AD10" s="144">
        <f t="shared" si="0"/>
        <v>3.4106051316484809E-13</v>
      </c>
      <c r="AE10" s="144">
        <f t="shared" si="0"/>
        <v>3.4106051316484809E-13</v>
      </c>
      <c r="AF10" s="144">
        <f t="shared" si="0"/>
        <v>3.4106051316484809E-13</v>
      </c>
      <c r="AG10" s="144">
        <f t="shared" si="0"/>
        <v>3.4106051316484809E-13</v>
      </c>
      <c r="AH10" s="144">
        <f t="shared" si="0"/>
        <v>3.4106051316484809E-13</v>
      </c>
      <c r="AI10" s="144">
        <f t="shared" si="0"/>
        <v>0</v>
      </c>
      <c r="AJ10" s="144">
        <f t="shared" si="0"/>
        <v>3.4106051316484809E-13</v>
      </c>
      <c r="AK10" s="144">
        <f t="shared" si="0"/>
        <v>3.4106051316484809E-13</v>
      </c>
      <c r="AL10" s="144">
        <f t="shared" si="0"/>
        <v>600.00000000000045</v>
      </c>
      <c r="AM10" s="144">
        <f t="shared" si="0"/>
        <v>3.4106051316484809E-13</v>
      </c>
      <c r="AN10" s="144">
        <f t="shared" si="0"/>
        <v>3.4106051316484809E-13</v>
      </c>
      <c r="AO10" s="144">
        <f t="shared" si="0"/>
        <v>3.4106051316484809E-13</v>
      </c>
      <c r="AP10" s="144">
        <f t="shared" si="0"/>
        <v>3.4106051316484809E-13</v>
      </c>
      <c r="AQ10" s="144">
        <f t="shared" si="0"/>
        <v>3.4106051316484809E-13</v>
      </c>
      <c r="AR10" s="144">
        <f t="shared" si="0"/>
        <v>3.4106051316484809E-13</v>
      </c>
      <c r="AS10" s="144">
        <f t="shared" si="0"/>
        <v>3.4106051316484809E-13</v>
      </c>
      <c r="AT10" s="144">
        <f t="shared" si="0"/>
        <v>3.4106051316484809E-13</v>
      </c>
      <c r="AU10" s="144">
        <f t="shared" si="0"/>
        <v>3.4106051316484809E-13</v>
      </c>
      <c r="AV10" s="144">
        <f t="shared" si="0"/>
        <v>3.4106051316484809E-13</v>
      </c>
      <c r="AW10" s="144">
        <f t="shared" si="0"/>
        <v>3.4106051316484809E-13</v>
      </c>
      <c r="AX10" s="144">
        <f t="shared" si="0"/>
        <v>3.4106051316484809E-13</v>
      </c>
      <c r="AY10" s="144">
        <f t="shared" si="0"/>
        <v>3.4106051316484809E-13</v>
      </c>
      <c r="AZ10" s="151">
        <f>SUM($D10:$AY10)</f>
        <v>1200.0000000000177</v>
      </c>
    </row>
    <row r="11" spans="1:52">
      <c r="C11" s="110"/>
    </row>
    <row r="12" spans="1:52">
      <c r="A12" s="152" t="s">
        <v>295</v>
      </c>
      <c r="B12" s="146"/>
      <c r="C12" s="110"/>
    </row>
    <row r="13" spans="1:52">
      <c r="A13" s="122" t="s">
        <v>125</v>
      </c>
      <c r="B13" s="123">
        <v>1</v>
      </c>
      <c r="C13" s="124">
        <v>600</v>
      </c>
      <c r="D13" s="138">
        <f t="shared" ref="D13:AY13" si="1">D$7-D$10</f>
        <v>600</v>
      </c>
      <c r="E13" s="138">
        <f t="shared" si="1"/>
        <v>600</v>
      </c>
      <c r="F13" s="138">
        <f t="shared" si="1"/>
        <v>600</v>
      </c>
      <c r="G13" s="138">
        <f t="shared" si="1"/>
        <v>0</v>
      </c>
      <c r="H13" s="138">
        <f t="shared" si="1"/>
        <v>600</v>
      </c>
      <c r="I13" s="138">
        <f t="shared" si="1"/>
        <v>600</v>
      </c>
      <c r="J13" s="138">
        <f t="shared" si="1"/>
        <v>600</v>
      </c>
      <c r="K13" s="138">
        <f t="shared" si="1"/>
        <v>600</v>
      </c>
      <c r="L13" s="138">
        <f t="shared" si="1"/>
        <v>600</v>
      </c>
      <c r="M13" s="138">
        <f t="shared" si="1"/>
        <v>600</v>
      </c>
      <c r="N13" s="138">
        <f t="shared" si="1"/>
        <v>600</v>
      </c>
      <c r="O13" s="138">
        <f t="shared" si="1"/>
        <v>600</v>
      </c>
      <c r="P13" s="138">
        <f t="shared" si="1"/>
        <v>600</v>
      </c>
      <c r="Q13" s="138">
        <f t="shared" si="1"/>
        <v>600</v>
      </c>
      <c r="R13" s="138">
        <f t="shared" si="1"/>
        <v>600</v>
      </c>
      <c r="S13" s="138">
        <f t="shared" si="1"/>
        <v>600</v>
      </c>
      <c r="T13" s="138">
        <f t="shared" si="1"/>
        <v>600</v>
      </c>
      <c r="U13" s="138">
        <f t="shared" si="1"/>
        <v>600</v>
      </c>
      <c r="V13" s="138">
        <f t="shared" si="1"/>
        <v>600</v>
      </c>
      <c r="W13" s="138">
        <f t="shared" si="1"/>
        <v>600</v>
      </c>
      <c r="X13" s="138">
        <f t="shared" si="1"/>
        <v>600</v>
      </c>
      <c r="Y13" s="138">
        <f t="shared" si="1"/>
        <v>600</v>
      </c>
      <c r="Z13" s="138">
        <f t="shared" si="1"/>
        <v>600</v>
      </c>
      <c r="AA13" s="138">
        <f t="shared" si="1"/>
        <v>600</v>
      </c>
      <c r="AB13" s="138">
        <f t="shared" si="1"/>
        <v>600</v>
      </c>
      <c r="AC13" s="138">
        <f t="shared" si="1"/>
        <v>600</v>
      </c>
      <c r="AD13" s="138">
        <f t="shared" si="1"/>
        <v>600</v>
      </c>
      <c r="AE13" s="138">
        <f t="shared" si="1"/>
        <v>600</v>
      </c>
      <c r="AF13" s="138">
        <f t="shared" si="1"/>
        <v>600</v>
      </c>
      <c r="AG13" s="138">
        <f t="shared" si="1"/>
        <v>600</v>
      </c>
      <c r="AH13" s="138">
        <f t="shared" si="1"/>
        <v>600</v>
      </c>
      <c r="AI13" s="138">
        <f t="shared" si="1"/>
        <v>243.51660010841152</v>
      </c>
      <c r="AJ13" s="138">
        <f t="shared" si="1"/>
        <v>600</v>
      </c>
      <c r="AK13" s="138">
        <f t="shared" si="1"/>
        <v>600</v>
      </c>
      <c r="AL13" s="138">
        <f t="shared" si="1"/>
        <v>0</v>
      </c>
      <c r="AM13" s="138">
        <f t="shared" si="1"/>
        <v>600</v>
      </c>
      <c r="AN13" s="138">
        <f t="shared" si="1"/>
        <v>600</v>
      </c>
      <c r="AO13" s="138">
        <f t="shared" si="1"/>
        <v>600</v>
      </c>
      <c r="AP13" s="138">
        <f t="shared" si="1"/>
        <v>600</v>
      </c>
      <c r="AQ13" s="138">
        <f t="shared" si="1"/>
        <v>600</v>
      </c>
      <c r="AR13" s="138">
        <f t="shared" si="1"/>
        <v>600</v>
      </c>
      <c r="AS13" s="138">
        <f t="shared" si="1"/>
        <v>600</v>
      </c>
      <c r="AT13" s="138">
        <f t="shared" si="1"/>
        <v>600</v>
      </c>
      <c r="AU13" s="138">
        <f t="shared" si="1"/>
        <v>600</v>
      </c>
      <c r="AV13" s="138">
        <f t="shared" si="1"/>
        <v>600</v>
      </c>
      <c r="AW13" s="138">
        <f t="shared" si="1"/>
        <v>600</v>
      </c>
      <c r="AX13" s="138">
        <f t="shared" si="1"/>
        <v>600</v>
      </c>
      <c r="AY13" s="138">
        <f t="shared" si="1"/>
        <v>600</v>
      </c>
      <c r="AZ13" s="109"/>
    </row>
    <row r="14" spans="1:52">
      <c r="A14" s="110"/>
      <c r="B14" s="120">
        <v>2</v>
      </c>
      <c r="C14" s="110">
        <v>0</v>
      </c>
      <c r="D14" s="106">
        <f>IF(C$20="Yes",C13,0)</f>
        <v>0</v>
      </c>
      <c r="E14" s="106">
        <f t="shared" ref="E14:AY17" si="2">IF(D$20="Yes",D13,0)</f>
        <v>0</v>
      </c>
      <c r="F14" s="106">
        <f t="shared" si="2"/>
        <v>0</v>
      </c>
      <c r="G14" s="106">
        <f t="shared" si="2"/>
        <v>600</v>
      </c>
      <c r="H14" s="106">
        <f t="shared" si="2"/>
        <v>0</v>
      </c>
      <c r="I14" s="106">
        <f t="shared" si="2"/>
        <v>0</v>
      </c>
      <c r="J14" s="106">
        <f t="shared" si="2"/>
        <v>0</v>
      </c>
      <c r="K14" s="106">
        <f t="shared" si="2"/>
        <v>0</v>
      </c>
      <c r="L14" s="106">
        <f t="shared" si="2"/>
        <v>0</v>
      </c>
      <c r="M14" s="106">
        <f t="shared" si="2"/>
        <v>0</v>
      </c>
      <c r="N14" s="106">
        <f t="shared" si="2"/>
        <v>0</v>
      </c>
      <c r="O14" s="106">
        <f t="shared" si="2"/>
        <v>0</v>
      </c>
      <c r="P14" s="106">
        <f t="shared" si="2"/>
        <v>0</v>
      </c>
      <c r="Q14" s="106">
        <f t="shared" si="2"/>
        <v>0</v>
      </c>
      <c r="R14" s="106">
        <f t="shared" si="2"/>
        <v>0</v>
      </c>
      <c r="S14" s="106">
        <f t="shared" si="2"/>
        <v>0</v>
      </c>
      <c r="T14" s="106">
        <f t="shared" si="2"/>
        <v>0</v>
      </c>
      <c r="U14" s="106">
        <f t="shared" si="2"/>
        <v>0</v>
      </c>
      <c r="V14" s="106">
        <f t="shared" si="2"/>
        <v>0</v>
      </c>
      <c r="W14" s="106">
        <f t="shared" si="2"/>
        <v>0</v>
      </c>
      <c r="X14" s="106">
        <f t="shared" si="2"/>
        <v>0</v>
      </c>
      <c r="Y14" s="106">
        <f t="shared" si="2"/>
        <v>0</v>
      </c>
      <c r="Z14" s="106">
        <f t="shared" si="2"/>
        <v>0</v>
      </c>
      <c r="AA14" s="106">
        <f t="shared" si="2"/>
        <v>0</v>
      </c>
      <c r="AB14" s="106">
        <f t="shared" si="2"/>
        <v>0</v>
      </c>
      <c r="AC14" s="106">
        <f t="shared" si="2"/>
        <v>0</v>
      </c>
      <c r="AD14" s="106">
        <f t="shared" si="2"/>
        <v>0</v>
      </c>
      <c r="AE14" s="106">
        <f t="shared" si="2"/>
        <v>0</v>
      </c>
      <c r="AF14" s="106">
        <f t="shared" si="2"/>
        <v>0</v>
      </c>
      <c r="AG14" s="106">
        <f t="shared" si="2"/>
        <v>0</v>
      </c>
      <c r="AH14" s="106">
        <f t="shared" si="2"/>
        <v>0</v>
      </c>
      <c r="AI14" s="106">
        <f t="shared" si="2"/>
        <v>0</v>
      </c>
      <c r="AJ14" s="106">
        <f t="shared" si="2"/>
        <v>0</v>
      </c>
      <c r="AK14" s="106">
        <f t="shared" si="2"/>
        <v>0</v>
      </c>
      <c r="AL14" s="106">
        <f t="shared" si="2"/>
        <v>600</v>
      </c>
      <c r="AM14" s="106">
        <f t="shared" si="2"/>
        <v>0</v>
      </c>
      <c r="AN14" s="106">
        <f t="shared" si="2"/>
        <v>0</v>
      </c>
      <c r="AO14" s="106">
        <f t="shared" si="2"/>
        <v>0</v>
      </c>
      <c r="AP14" s="106">
        <f t="shared" si="2"/>
        <v>0</v>
      </c>
      <c r="AQ14" s="106">
        <f t="shared" si="2"/>
        <v>0</v>
      </c>
      <c r="AR14" s="106">
        <f t="shared" si="2"/>
        <v>0</v>
      </c>
      <c r="AS14" s="106">
        <f t="shared" si="2"/>
        <v>0</v>
      </c>
      <c r="AT14" s="106">
        <f t="shared" si="2"/>
        <v>0</v>
      </c>
      <c r="AU14" s="106">
        <f t="shared" si="2"/>
        <v>0</v>
      </c>
      <c r="AV14" s="106">
        <f t="shared" si="2"/>
        <v>0</v>
      </c>
      <c r="AW14" s="106">
        <f t="shared" si="2"/>
        <v>0</v>
      </c>
      <c r="AX14" s="106">
        <f t="shared" si="2"/>
        <v>0</v>
      </c>
      <c r="AY14" s="106">
        <f t="shared" si="2"/>
        <v>0</v>
      </c>
      <c r="AZ14" s="109"/>
    </row>
    <row r="15" spans="1:52">
      <c r="A15" s="110"/>
      <c r="B15" s="127">
        <v>3</v>
      </c>
      <c r="C15" s="110">
        <v>0</v>
      </c>
      <c r="D15" s="106">
        <f>IF(C$20="Yes",C14,0)</f>
        <v>0</v>
      </c>
      <c r="E15" s="106">
        <f t="shared" si="2"/>
        <v>0</v>
      </c>
      <c r="F15" s="106">
        <f t="shared" si="2"/>
        <v>0</v>
      </c>
      <c r="G15" s="106">
        <f t="shared" si="2"/>
        <v>0</v>
      </c>
      <c r="H15" s="106">
        <f t="shared" si="2"/>
        <v>0</v>
      </c>
      <c r="I15" s="106">
        <f t="shared" si="2"/>
        <v>0</v>
      </c>
      <c r="J15" s="106">
        <f t="shared" si="2"/>
        <v>0</v>
      </c>
      <c r="K15" s="106">
        <f t="shared" si="2"/>
        <v>0</v>
      </c>
      <c r="L15" s="106">
        <f t="shared" si="2"/>
        <v>0</v>
      </c>
      <c r="M15" s="106">
        <f t="shared" si="2"/>
        <v>0</v>
      </c>
      <c r="N15" s="106">
        <f t="shared" si="2"/>
        <v>0</v>
      </c>
      <c r="O15" s="106">
        <f t="shared" si="2"/>
        <v>0</v>
      </c>
      <c r="P15" s="106">
        <f t="shared" si="2"/>
        <v>0</v>
      </c>
      <c r="Q15" s="106">
        <f t="shared" si="2"/>
        <v>0</v>
      </c>
      <c r="R15" s="106">
        <f t="shared" si="2"/>
        <v>0</v>
      </c>
      <c r="S15" s="106">
        <f t="shared" si="2"/>
        <v>0</v>
      </c>
      <c r="T15" s="106">
        <f t="shared" si="2"/>
        <v>0</v>
      </c>
      <c r="U15" s="106">
        <f t="shared" si="2"/>
        <v>0</v>
      </c>
      <c r="V15" s="106">
        <f t="shared" si="2"/>
        <v>0</v>
      </c>
      <c r="W15" s="106">
        <f t="shared" si="2"/>
        <v>0</v>
      </c>
      <c r="X15" s="106">
        <f t="shared" si="2"/>
        <v>0</v>
      </c>
      <c r="Y15" s="106">
        <f t="shared" si="2"/>
        <v>0</v>
      </c>
      <c r="Z15" s="106">
        <f t="shared" si="2"/>
        <v>0</v>
      </c>
      <c r="AA15" s="106">
        <f t="shared" si="2"/>
        <v>0</v>
      </c>
      <c r="AB15" s="106">
        <f t="shared" si="2"/>
        <v>0</v>
      </c>
      <c r="AC15" s="106">
        <f t="shared" si="2"/>
        <v>0</v>
      </c>
      <c r="AD15" s="106">
        <f t="shared" si="2"/>
        <v>0</v>
      </c>
      <c r="AE15" s="106">
        <f t="shared" si="2"/>
        <v>0</v>
      </c>
      <c r="AF15" s="106">
        <f t="shared" si="2"/>
        <v>0</v>
      </c>
      <c r="AG15" s="106">
        <f t="shared" si="2"/>
        <v>0</v>
      </c>
      <c r="AH15" s="106">
        <f t="shared" si="2"/>
        <v>0</v>
      </c>
      <c r="AI15" s="106">
        <f t="shared" si="2"/>
        <v>0</v>
      </c>
      <c r="AJ15" s="106">
        <f t="shared" si="2"/>
        <v>0</v>
      </c>
      <c r="AK15" s="106">
        <f t="shared" si="2"/>
        <v>0</v>
      </c>
      <c r="AL15" s="106">
        <f t="shared" si="2"/>
        <v>0</v>
      </c>
      <c r="AM15" s="106">
        <f t="shared" si="2"/>
        <v>0</v>
      </c>
      <c r="AN15" s="106">
        <f t="shared" si="2"/>
        <v>0</v>
      </c>
      <c r="AO15" s="106">
        <f t="shared" si="2"/>
        <v>0</v>
      </c>
      <c r="AP15" s="106">
        <f t="shared" si="2"/>
        <v>0</v>
      </c>
      <c r="AQ15" s="106">
        <f t="shared" si="2"/>
        <v>0</v>
      </c>
      <c r="AR15" s="106">
        <f t="shared" si="2"/>
        <v>0</v>
      </c>
      <c r="AS15" s="106">
        <f t="shared" si="2"/>
        <v>0</v>
      </c>
      <c r="AT15" s="106">
        <f t="shared" si="2"/>
        <v>0</v>
      </c>
      <c r="AU15" s="106">
        <f t="shared" si="2"/>
        <v>0</v>
      </c>
      <c r="AV15" s="106">
        <f t="shared" si="2"/>
        <v>0</v>
      </c>
      <c r="AW15" s="106">
        <f t="shared" si="2"/>
        <v>0</v>
      </c>
      <c r="AX15" s="106">
        <f t="shared" si="2"/>
        <v>0</v>
      </c>
      <c r="AY15" s="106">
        <f t="shared" si="2"/>
        <v>0</v>
      </c>
      <c r="AZ15" s="109"/>
    </row>
    <row r="16" spans="1:52">
      <c r="A16" s="110"/>
      <c r="B16" s="130">
        <v>4</v>
      </c>
      <c r="C16" s="110">
        <v>0</v>
      </c>
      <c r="D16" s="106">
        <f>IF(C$20="Yes",C15,0)</f>
        <v>0</v>
      </c>
      <c r="E16" s="106">
        <f t="shared" si="2"/>
        <v>0</v>
      </c>
      <c r="F16" s="106">
        <f t="shared" si="2"/>
        <v>0</v>
      </c>
      <c r="G16" s="106">
        <f t="shared" si="2"/>
        <v>0</v>
      </c>
      <c r="H16" s="106">
        <f t="shared" si="2"/>
        <v>0</v>
      </c>
      <c r="I16" s="106">
        <f t="shared" si="2"/>
        <v>0</v>
      </c>
      <c r="J16" s="106">
        <f t="shared" si="2"/>
        <v>0</v>
      </c>
      <c r="K16" s="106">
        <f t="shared" si="2"/>
        <v>0</v>
      </c>
      <c r="L16" s="106">
        <f t="shared" si="2"/>
        <v>0</v>
      </c>
      <c r="M16" s="106">
        <f t="shared" si="2"/>
        <v>0</v>
      </c>
      <c r="N16" s="106">
        <f t="shared" si="2"/>
        <v>0</v>
      </c>
      <c r="O16" s="106">
        <f t="shared" si="2"/>
        <v>0</v>
      </c>
      <c r="P16" s="106">
        <f t="shared" si="2"/>
        <v>0</v>
      </c>
      <c r="Q16" s="106">
        <f t="shared" si="2"/>
        <v>0</v>
      </c>
      <c r="R16" s="106">
        <f t="shared" si="2"/>
        <v>0</v>
      </c>
      <c r="S16" s="106">
        <f t="shared" si="2"/>
        <v>0</v>
      </c>
      <c r="T16" s="106">
        <f t="shared" si="2"/>
        <v>0</v>
      </c>
      <c r="U16" s="106">
        <f t="shared" si="2"/>
        <v>0</v>
      </c>
      <c r="V16" s="106">
        <f t="shared" si="2"/>
        <v>0</v>
      </c>
      <c r="W16" s="106">
        <f t="shared" si="2"/>
        <v>0</v>
      </c>
      <c r="X16" s="106">
        <f t="shared" si="2"/>
        <v>0</v>
      </c>
      <c r="Y16" s="106">
        <f t="shared" si="2"/>
        <v>0</v>
      </c>
      <c r="Z16" s="106">
        <f t="shared" si="2"/>
        <v>0</v>
      </c>
      <c r="AA16" s="106">
        <f t="shared" si="2"/>
        <v>0</v>
      </c>
      <c r="AB16" s="106">
        <f t="shared" si="2"/>
        <v>0</v>
      </c>
      <c r="AC16" s="106">
        <f t="shared" si="2"/>
        <v>0</v>
      </c>
      <c r="AD16" s="106">
        <f t="shared" si="2"/>
        <v>0</v>
      </c>
      <c r="AE16" s="106">
        <f t="shared" si="2"/>
        <v>0</v>
      </c>
      <c r="AF16" s="106">
        <f t="shared" si="2"/>
        <v>0</v>
      </c>
      <c r="AG16" s="106">
        <f t="shared" si="2"/>
        <v>0</v>
      </c>
      <c r="AH16" s="106">
        <f t="shared" si="2"/>
        <v>0</v>
      </c>
      <c r="AI16" s="106">
        <f t="shared" si="2"/>
        <v>0</v>
      </c>
      <c r="AJ16" s="106">
        <f t="shared" si="2"/>
        <v>0</v>
      </c>
      <c r="AK16" s="106">
        <f t="shared" si="2"/>
        <v>0</v>
      </c>
      <c r="AL16" s="106">
        <f t="shared" si="2"/>
        <v>0</v>
      </c>
      <c r="AM16" s="106">
        <f t="shared" si="2"/>
        <v>0</v>
      </c>
      <c r="AN16" s="106">
        <f t="shared" si="2"/>
        <v>0</v>
      </c>
      <c r="AO16" s="106">
        <f t="shared" si="2"/>
        <v>0</v>
      </c>
      <c r="AP16" s="106">
        <f t="shared" si="2"/>
        <v>0</v>
      </c>
      <c r="AQ16" s="106">
        <f t="shared" si="2"/>
        <v>0</v>
      </c>
      <c r="AR16" s="106">
        <f t="shared" si="2"/>
        <v>0</v>
      </c>
      <c r="AS16" s="106">
        <f t="shared" si="2"/>
        <v>0</v>
      </c>
      <c r="AT16" s="106">
        <f t="shared" si="2"/>
        <v>0</v>
      </c>
      <c r="AU16" s="106">
        <f t="shared" si="2"/>
        <v>0</v>
      </c>
      <c r="AV16" s="106">
        <f t="shared" si="2"/>
        <v>0</v>
      </c>
      <c r="AW16" s="106">
        <f t="shared" si="2"/>
        <v>0</v>
      </c>
      <c r="AX16" s="106">
        <f t="shared" si="2"/>
        <v>0</v>
      </c>
      <c r="AY16" s="106">
        <f t="shared" si="2"/>
        <v>0</v>
      </c>
      <c r="AZ16" s="128"/>
    </row>
    <row r="17" spans="1:52">
      <c r="A17" s="125"/>
      <c r="B17" s="132" t="s">
        <v>296</v>
      </c>
      <c r="C17" s="125">
        <v>0</v>
      </c>
      <c r="D17" s="114">
        <f>IF(C$20="Yes",C16,0)</f>
        <v>0</v>
      </c>
      <c r="E17" s="114">
        <f t="shared" si="2"/>
        <v>0</v>
      </c>
      <c r="F17" s="114">
        <f t="shared" si="2"/>
        <v>0</v>
      </c>
      <c r="G17" s="114">
        <f t="shared" si="2"/>
        <v>0</v>
      </c>
      <c r="H17" s="114">
        <f t="shared" si="2"/>
        <v>0</v>
      </c>
      <c r="I17" s="114">
        <f t="shared" si="2"/>
        <v>0</v>
      </c>
      <c r="J17" s="114">
        <f t="shared" si="2"/>
        <v>0</v>
      </c>
      <c r="K17" s="114">
        <f t="shared" si="2"/>
        <v>0</v>
      </c>
      <c r="L17" s="114">
        <f t="shared" si="2"/>
        <v>0</v>
      </c>
      <c r="M17" s="114">
        <f t="shared" si="2"/>
        <v>0</v>
      </c>
      <c r="N17" s="114">
        <f t="shared" si="2"/>
        <v>0</v>
      </c>
      <c r="O17" s="114">
        <f t="shared" si="2"/>
        <v>0</v>
      </c>
      <c r="P17" s="114">
        <f t="shared" si="2"/>
        <v>0</v>
      </c>
      <c r="Q17" s="114">
        <f t="shared" si="2"/>
        <v>0</v>
      </c>
      <c r="R17" s="114">
        <f t="shared" si="2"/>
        <v>0</v>
      </c>
      <c r="S17" s="114">
        <f t="shared" si="2"/>
        <v>0</v>
      </c>
      <c r="T17" s="114">
        <f t="shared" si="2"/>
        <v>0</v>
      </c>
      <c r="U17" s="114">
        <f t="shared" si="2"/>
        <v>0</v>
      </c>
      <c r="V17" s="114">
        <f t="shared" si="2"/>
        <v>0</v>
      </c>
      <c r="W17" s="114">
        <f t="shared" si="2"/>
        <v>0</v>
      </c>
      <c r="X17" s="114">
        <f t="shared" si="2"/>
        <v>0</v>
      </c>
      <c r="Y17" s="114">
        <f t="shared" si="2"/>
        <v>0</v>
      </c>
      <c r="Z17" s="114">
        <f t="shared" si="2"/>
        <v>0</v>
      </c>
      <c r="AA17" s="114">
        <f t="shared" si="2"/>
        <v>0</v>
      </c>
      <c r="AB17" s="114">
        <f t="shared" si="2"/>
        <v>0</v>
      </c>
      <c r="AC17" s="114">
        <f t="shared" si="2"/>
        <v>0</v>
      </c>
      <c r="AD17" s="114">
        <f t="shared" si="2"/>
        <v>0</v>
      </c>
      <c r="AE17" s="114">
        <f t="shared" si="2"/>
        <v>0</v>
      </c>
      <c r="AF17" s="114">
        <f t="shared" si="2"/>
        <v>0</v>
      </c>
      <c r="AG17" s="114">
        <f t="shared" si="2"/>
        <v>0</v>
      </c>
      <c r="AH17" s="114">
        <f t="shared" si="2"/>
        <v>0</v>
      </c>
      <c r="AI17" s="114">
        <f t="shared" si="2"/>
        <v>0</v>
      </c>
      <c r="AJ17" s="114">
        <f t="shared" si="2"/>
        <v>0</v>
      </c>
      <c r="AK17" s="114">
        <f t="shared" si="2"/>
        <v>0</v>
      </c>
      <c r="AL17" s="114">
        <f t="shared" si="2"/>
        <v>0</v>
      </c>
      <c r="AM17" s="114">
        <f t="shared" si="2"/>
        <v>0</v>
      </c>
      <c r="AN17" s="114">
        <f t="shared" si="2"/>
        <v>0</v>
      </c>
      <c r="AO17" s="114">
        <f t="shared" si="2"/>
        <v>0</v>
      </c>
      <c r="AP17" s="114">
        <f t="shared" si="2"/>
        <v>0</v>
      </c>
      <c r="AQ17" s="114">
        <f t="shared" si="2"/>
        <v>0</v>
      </c>
      <c r="AR17" s="114">
        <f t="shared" si="2"/>
        <v>0</v>
      </c>
      <c r="AS17" s="114">
        <f t="shared" si="2"/>
        <v>0</v>
      </c>
      <c r="AT17" s="114">
        <f t="shared" si="2"/>
        <v>0</v>
      </c>
      <c r="AU17" s="114">
        <f t="shared" si="2"/>
        <v>0</v>
      </c>
      <c r="AV17" s="114">
        <f t="shared" si="2"/>
        <v>0</v>
      </c>
      <c r="AW17" s="114">
        <f t="shared" si="2"/>
        <v>0</v>
      </c>
      <c r="AX17" s="114">
        <f t="shared" si="2"/>
        <v>0</v>
      </c>
      <c r="AY17" s="114">
        <f t="shared" si="2"/>
        <v>0</v>
      </c>
      <c r="AZ17" s="151">
        <f>SUM($D$17:$AY$17)</f>
        <v>0</v>
      </c>
    </row>
    <row r="18" spans="1:52">
      <c r="A18" s="106"/>
      <c r="B18" s="153"/>
      <c r="C18" s="138"/>
      <c r="D18" s="138"/>
      <c r="E18" s="138"/>
      <c r="F18" s="138"/>
      <c r="G18" s="138"/>
      <c r="H18" s="138"/>
      <c r="I18" s="138"/>
      <c r="J18" s="138"/>
      <c r="K18" s="138"/>
      <c r="L18" s="138"/>
      <c r="M18" s="138"/>
      <c r="N18" s="138"/>
      <c r="O18" s="138"/>
      <c r="P18" s="138"/>
      <c r="Q18" s="138"/>
      <c r="R18" s="138"/>
      <c r="S18" s="138"/>
      <c r="T18" s="138"/>
      <c r="U18" s="138"/>
      <c r="V18" s="138"/>
      <c r="W18" s="138"/>
      <c r="X18" s="138"/>
      <c r="Y18" s="138"/>
      <c r="Z18" s="138"/>
      <c r="AA18" s="138"/>
      <c r="AB18" s="138"/>
      <c r="AC18" s="138"/>
      <c r="AD18" s="138"/>
      <c r="AE18" s="138"/>
      <c r="AF18" s="138"/>
      <c r="AG18" s="138"/>
      <c r="AH18" s="138"/>
      <c r="AI18" s="138"/>
      <c r="AJ18" s="138"/>
      <c r="AK18" s="138"/>
      <c r="AL18" s="138"/>
      <c r="AM18" s="138"/>
      <c r="AN18" s="138"/>
      <c r="AO18" s="138"/>
      <c r="AP18" s="138"/>
      <c r="AQ18" s="138"/>
      <c r="AR18" s="138"/>
      <c r="AS18" s="138"/>
      <c r="AT18" s="138"/>
      <c r="AU18" s="138"/>
      <c r="AV18" s="138"/>
      <c r="AW18" s="138"/>
      <c r="AX18" s="138"/>
      <c r="AY18" s="138"/>
      <c r="AZ18" s="106"/>
    </row>
    <row r="19" spans="1:52">
      <c r="A19" s="102" t="s">
        <v>116</v>
      </c>
      <c r="B19" s="106"/>
      <c r="C19" s="106"/>
      <c r="D19" s="106"/>
      <c r="E19" s="106"/>
      <c r="F19" s="106"/>
      <c r="G19" s="106"/>
      <c r="H19" s="106"/>
      <c r="I19" s="106"/>
      <c r="J19" s="106"/>
      <c r="K19" s="106"/>
      <c r="L19" s="106"/>
      <c r="M19" s="106"/>
      <c r="N19" s="106"/>
      <c r="O19" s="106"/>
      <c r="P19" s="106"/>
      <c r="Q19" s="106"/>
      <c r="R19" s="106"/>
      <c r="S19" s="106"/>
      <c r="T19" s="106"/>
      <c r="U19" s="106"/>
      <c r="V19" s="106"/>
      <c r="W19" s="106"/>
      <c r="X19" s="106"/>
      <c r="Y19" s="106"/>
      <c r="Z19" s="106"/>
      <c r="AA19" s="106"/>
      <c r="AB19" s="106"/>
      <c r="AC19" s="106"/>
      <c r="AD19" s="106"/>
      <c r="AE19" s="106"/>
      <c r="AF19" s="106"/>
      <c r="AG19" s="106"/>
      <c r="AH19" s="106"/>
      <c r="AI19" s="106"/>
      <c r="AJ19" s="106"/>
      <c r="AK19" s="106"/>
      <c r="AL19" s="106"/>
      <c r="AM19" s="106"/>
      <c r="AN19" s="106"/>
      <c r="AO19" s="106"/>
      <c r="AP19" s="106"/>
      <c r="AQ19" s="106"/>
      <c r="AR19" s="106"/>
      <c r="AS19" s="106"/>
      <c r="AT19" s="106"/>
      <c r="AU19" s="106"/>
      <c r="AV19" s="106"/>
      <c r="AW19" s="106"/>
      <c r="AX19" s="106"/>
      <c r="AY19" s="106"/>
    </row>
    <row r="20" spans="1:52" s="110" customFormat="1">
      <c r="A20" s="115" t="s">
        <v>305</v>
      </c>
      <c r="B20" s="154" t="s">
        <v>306</v>
      </c>
      <c r="C20" s="117"/>
      <c r="D20" s="117"/>
      <c r="E20" s="117"/>
      <c r="F20" s="117" t="s">
        <v>339</v>
      </c>
      <c r="G20" s="117"/>
      <c r="H20" s="117"/>
      <c r="I20" s="117"/>
      <c r="J20" s="117"/>
      <c r="K20" s="117"/>
      <c r="L20" s="117"/>
      <c r="M20" s="117"/>
      <c r="N20" s="117"/>
      <c r="O20" s="117"/>
      <c r="P20" s="117"/>
      <c r="Q20" s="117"/>
      <c r="R20" s="117"/>
      <c r="S20" s="117"/>
      <c r="T20" s="117"/>
      <c r="U20" s="117"/>
      <c r="V20" s="117"/>
      <c r="W20" s="117"/>
      <c r="X20" s="117"/>
      <c r="Y20" s="117"/>
      <c r="Z20" s="117"/>
      <c r="AA20" s="117"/>
      <c r="AB20" s="117"/>
      <c r="AC20" s="117"/>
      <c r="AD20" s="117"/>
      <c r="AE20" s="117"/>
      <c r="AF20" s="117"/>
      <c r="AG20" s="117"/>
      <c r="AH20" s="117"/>
      <c r="AI20" s="117"/>
      <c r="AJ20" s="117"/>
      <c r="AK20" s="117" t="s">
        <v>339</v>
      </c>
      <c r="AL20" s="117"/>
      <c r="AM20" s="117"/>
      <c r="AN20" s="117"/>
      <c r="AO20" s="117"/>
      <c r="AP20" s="117"/>
      <c r="AQ20" s="117"/>
      <c r="AR20" s="117"/>
      <c r="AS20" s="117"/>
      <c r="AT20" s="117"/>
      <c r="AU20" s="117"/>
      <c r="AV20" s="117"/>
      <c r="AW20" s="117"/>
      <c r="AX20" s="117"/>
      <c r="AY20" s="117"/>
      <c r="AZ20" s="107"/>
    </row>
    <row r="21" spans="1:52" s="110" customFormat="1">
      <c r="A21" s="155" t="s">
        <v>133</v>
      </c>
      <c r="B21" s="156">
        <f>shipping_manufacturing!$C$19/100</f>
        <v>0.42966456872590375</v>
      </c>
      <c r="C21" s="156" t="s">
        <v>293</v>
      </c>
      <c r="D21" s="106">
        <f>IF(C$20="Yes",0,SUM(C$13:C$16)*$B$21)</f>
        <v>257.79874123554225</v>
      </c>
      <c r="E21" s="106">
        <f t="shared" ref="E21:AY21" si="3">IF(D$20="Yes",0,SUM(D$13:D$16)*$B$21)</f>
        <v>257.79874123554225</v>
      </c>
      <c r="F21" s="106">
        <f t="shared" si="3"/>
        <v>257.79874123554225</v>
      </c>
      <c r="G21" s="106">
        <f t="shared" si="3"/>
        <v>0</v>
      </c>
      <c r="H21" s="106">
        <f t="shared" si="3"/>
        <v>257.79874123554225</v>
      </c>
      <c r="I21" s="106">
        <f t="shared" si="3"/>
        <v>257.79874123554225</v>
      </c>
      <c r="J21" s="106">
        <f t="shared" si="3"/>
        <v>257.79874123554225</v>
      </c>
      <c r="K21" s="106">
        <f t="shared" si="3"/>
        <v>257.79874123554225</v>
      </c>
      <c r="L21" s="106">
        <f t="shared" si="3"/>
        <v>257.79874123554225</v>
      </c>
      <c r="M21" s="106">
        <f t="shared" si="3"/>
        <v>257.79874123554225</v>
      </c>
      <c r="N21" s="106">
        <f t="shared" si="3"/>
        <v>257.79874123554225</v>
      </c>
      <c r="O21" s="106">
        <f t="shared" si="3"/>
        <v>257.79874123554225</v>
      </c>
      <c r="P21" s="106">
        <f t="shared" si="3"/>
        <v>257.79874123554225</v>
      </c>
      <c r="Q21" s="106">
        <f t="shared" si="3"/>
        <v>257.79874123554225</v>
      </c>
      <c r="R21" s="106">
        <f t="shared" si="3"/>
        <v>257.79874123554225</v>
      </c>
      <c r="S21" s="106">
        <f t="shared" si="3"/>
        <v>257.79874123554225</v>
      </c>
      <c r="T21" s="106">
        <f t="shared" si="3"/>
        <v>257.79874123554225</v>
      </c>
      <c r="U21" s="106">
        <f t="shared" si="3"/>
        <v>257.79874123554225</v>
      </c>
      <c r="V21" s="106">
        <f t="shared" si="3"/>
        <v>257.79874123554225</v>
      </c>
      <c r="W21" s="106">
        <f t="shared" si="3"/>
        <v>257.79874123554225</v>
      </c>
      <c r="X21" s="106">
        <f t="shared" si="3"/>
        <v>257.79874123554225</v>
      </c>
      <c r="Y21" s="106">
        <f t="shared" si="3"/>
        <v>257.79874123554225</v>
      </c>
      <c r="Z21" s="106">
        <f t="shared" si="3"/>
        <v>257.79874123554225</v>
      </c>
      <c r="AA21" s="106">
        <f t="shared" si="3"/>
        <v>257.79874123554225</v>
      </c>
      <c r="AB21" s="106">
        <f t="shared" si="3"/>
        <v>257.79874123554225</v>
      </c>
      <c r="AC21" s="106">
        <f t="shared" si="3"/>
        <v>257.79874123554225</v>
      </c>
      <c r="AD21" s="106">
        <f t="shared" si="3"/>
        <v>257.79874123554225</v>
      </c>
      <c r="AE21" s="106">
        <f t="shared" si="3"/>
        <v>257.79874123554225</v>
      </c>
      <c r="AF21" s="106">
        <f t="shared" si="3"/>
        <v>257.79874123554225</v>
      </c>
      <c r="AG21" s="106">
        <f t="shared" si="3"/>
        <v>257.79874123554225</v>
      </c>
      <c r="AH21" s="106">
        <f t="shared" si="3"/>
        <v>257.79874123554225</v>
      </c>
      <c r="AI21" s="106">
        <f t="shared" si="3"/>
        <v>257.79874123554225</v>
      </c>
      <c r="AJ21" s="106">
        <f t="shared" si="3"/>
        <v>104.63045496317901</v>
      </c>
      <c r="AK21" s="106">
        <f t="shared" si="3"/>
        <v>257.79874123554225</v>
      </c>
      <c r="AL21" s="106">
        <f t="shared" si="3"/>
        <v>0</v>
      </c>
      <c r="AM21" s="106">
        <f t="shared" si="3"/>
        <v>257.79874123554225</v>
      </c>
      <c r="AN21" s="106">
        <f t="shared" si="3"/>
        <v>257.79874123554225</v>
      </c>
      <c r="AO21" s="106">
        <f t="shared" si="3"/>
        <v>257.79874123554225</v>
      </c>
      <c r="AP21" s="106">
        <f t="shared" si="3"/>
        <v>257.79874123554225</v>
      </c>
      <c r="AQ21" s="106">
        <f t="shared" si="3"/>
        <v>257.79874123554225</v>
      </c>
      <c r="AR21" s="106">
        <f t="shared" si="3"/>
        <v>257.79874123554225</v>
      </c>
      <c r="AS21" s="106">
        <f t="shared" si="3"/>
        <v>257.79874123554225</v>
      </c>
      <c r="AT21" s="106">
        <f t="shared" si="3"/>
        <v>257.79874123554225</v>
      </c>
      <c r="AU21" s="106">
        <f t="shared" si="3"/>
        <v>257.79874123554225</v>
      </c>
      <c r="AV21" s="106">
        <f t="shared" si="3"/>
        <v>257.79874123554225</v>
      </c>
      <c r="AW21" s="106">
        <f t="shared" si="3"/>
        <v>257.79874123554225</v>
      </c>
      <c r="AX21" s="106">
        <f t="shared" si="3"/>
        <v>257.79874123554225</v>
      </c>
      <c r="AY21" s="106">
        <f t="shared" si="3"/>
        <v>257.79874123554225</v>
      </c>
      <c r="AZ21" s="157">
        <f>SUM($D21:$AY21)</f>
        <v>11705.573810562571</v>
      </c>
    </row>
    <row r="22" spans="1:52" s="110" customFormat="1">
      <c r="A22" s="158" t="s">
        <v>123</v>
      </c>
      <c r="B22" s="159">
        <f>1-$B$21</f>
        <v>0.57033543127409625</v>
      </c>
      <c r="C22" s="159" t="s">
        <v>293</v>
      </c>
      <c r="D22" s="114">
        <f>IF(C$20="Yes",0,SUM(C$13:C$16)*$B$22)</f>
        <v>342.20125876445775</v>
      </c>
      <c r="E22" s="114">
        <f t="shared" ref="E22:AY22" si="4">IF(D$20="Yes",0,SUM(D$13:D$16)*$B$22)</f>
        <v>342.20125876445775</v>
      </c>
      <c r="F22" s="114">
        <f t="shared" si="4"/>
        <v>342.20125876445775</v>
      </c>
      <c r="G22" s="114">
        <f t="shared" si="4"/>
        <v>0</v>
      </c>
      <c r="H22" s="114">
        <f t="shared" si="4"/>
        <v>342.20125876445775</v>
      </c>
      <c r="I22" s="114">
        <f t="shared" si="4"/>
        <v>342.20125876445775</v>
      </c>
      <c r="J22" s="114">
        <f t="shared" si="4"/>
        <v>342.20125876445775</v>
      </c>
      <c r="K22" s="114">
        <f t="shared" si="4"/>
        <v>342.20125876445775</v>
      </c>
      <c r="L22" s="114">
        <f t="shared" si="4"/>
        <v>342.20125876445775</v>
      </c>
      <c r="M22" s="114">
        <f t="shared" si="4"/>
        <v>342.20125876445775</v>
      </c>
      <c r="N22" s="114">
        <f t="shared" si="4"/>
        <v>342.20125876445775</v>
      </c>
      <c r="O22" s="114">
        <f t="shared" si="4"/>
        <v>342.20125876445775</v>
      </c>
      <c r="P22" s="114">
        <f t="shared" si="4"/>
        <v>342.20125876445775</v>
      </c>
      <c r="Q22" s="114">
        <f t="shared" si="4"/>
        <v>342.20125876445775</v>
      </c>
      <c r="R22" s="114">
        <f t="shared" si="4"/>
        <v>342.20125876445775</v>
      </c>
      <c r="S22" s="114">
        <f t="shared" si="4"/>
        <v>342.20125876445775</v>
      </c>
      <c r="T22" s="114">
        <f t="shared" si="4"/>
        <v>342.20125876445775</v>
      </c>
      <c r="U22" s="114">
        <f t="shared" si="4"/>
        <v>342.20125876445775</v>
      </c>
      <c r="V22" s="114">
        <f t="shared" si="4"/>
        <v>342.20125876445775</v>
      </c>
      <c r="W22" s="114">
        <f t="shared" si="4"/>
        <v>342.20125876445775</v>
      </c>
      <c r="X22" s="114">
        <f t="shared" si="4"/>
        <v>342.20125876445775</v>
      </c>
      <c r="Y22" s="114">
        <f t="shared" si="4"/>
        <v>342.20125876445775</v>
      </c>
      <c r="Z22" s="114">
        <f t="shared" si="4"/>
        <v>342.20125876445775</v>
      </c>
      <c r="AA22" s="114">
        <f t="shared" si="4"/>
        <v>342.20125876445775</v>
      </c>
      <c r="AB22" s="114">
        <f t="shared" si="4"/>
        <v>342.20125876445775</v>
      </c>
      <c r="AC22" s="114">
        <f t="shared" si="4"/>
        <v>342.20125876445775</v>
      </c>
      <c r="AD22" s="114">
        <f t="shared" si="4"/>
        <v>342.20125876445775</v>
      </c>
      <c r="AE22" s="114">
        <f t="shared" si="4"/>
        <v>342.20125876445775</v>
      </c>
      <c r="AF22" s="114">
        <f t="shared" si="4"/>
        <v>342.20125876445775</v>
      </c>
      <c r="AG22" s="114">
        <f t="shared" si="4"/>
        <v>342.20125876445775</v>
      </c>
      <c r="AH22" s="114">
        <f t="shared" si="4"/>
        <v>342.20125876445775</v>
      </c>
      <c r="AI22" s="114">
        <f t="shared" si="4"/>
        <v>342.20125876445775</v>
      </c>
      <c r="AJ22" s="114">
        <f t="shared" si="4"/>
        <v>138.88614514523252</v>
      </c>
      <c r="AK22" s="114">
        <f t="shared" si="4"/>
        <v>342.20125876445775</v>
      </c>
      <c r="AL22" s="114">
        <f t="shared" si="4"/>
        <v>0</v>
      </c>
      <c r="AM22" s="114">
        <f t="shared" si="4"/>
        <v>342.20125876445775</v>
      </c>
      <c r="AN22" s="114">
        <f t="shared" si="4"/>
        <v>342.20125876445775</v>
      </c>
      <c r="AO22" s="114">
        <f t="shared" si="4"/>
        <v>342.20125876445775</v>
      </c>
      <c r="AP22" s="114">
        <f t="shared" si="4"/>
        <v>342.20125876445775</v>
      </c>
      <c r="AQ22" s="114">
        <f t="shared" si="4"/>
        <v>342.20125876445775</v>
      </c>
      <c r="AR22" s="114">
        <f t="shared" si="4"/>
        <v>342.20125876445775</v>
      </c>
      <c r="AS22" s="114">
        <f t="shared" si="4"/>
        <v>342.20125876445775</v>
      </c>
      <c r="AT22" s="114">
        <f t="shared" si="4"/>
        <v>342.20125876445775</v>
      </c>
      <c r="AU22" s="114">
        <f t="shared" si="4"/>
        <v>342.20125876445775</v>
      </c>
      <c r="AV22" s="114">
        <f t="shared" si="4"/>
        <v>342.20125876445775</v>
      </c>
      <c r="AW22" s="114">
        <f t="shared" si="4"/>
        <v>342.20125876445775</v>
      </c>
      <c r="AX22" s="114">
        <f t="shared" si="4"/>
        <v>342.20125876445775</v>
      </c>
      <c r="AY22" s="114">
        <f t="shared" si="4"/>
        <v>342.20125876445775</v>
      </c>
      <c r="AZ22" s="141">
        <f t="shared" ref="AZ22:AZ30" si="5">SUM($D22:$AY22)</f>
        <v>15537.942789545847</v>
      </c>
    </row>
    <row r="23" spans="1:52">
      <c r="A23" s="160" t="s">
        <v>307</v>
      </c>
      <c r="B23" s="124">
        <v>2000</v>
      </c>
      <c r="C23" s="100" t="s">
        <v>293</v>
      </c>
      <c r="D23" s="100">
        <f>D$21*$B$23</f>
        <v>515597.48247108451</v>
      </c>
      <c r="E23" s="100">
        <f t="shared" ref="E23:AY23" si="6">E$21*$B$23</f>
        <v>515597.48247108451</v>
      </c>
      <c r="F23" s="100">
        <f t="shared" si="6"/>
        <v>515597.48247108451</v>
      </c>
      <c r="G23" s="100">
        <f t="shared" si="6"/>
        <v>0</v>
      </c>
      <c r="H23" s="100">
        <f t="shared" si="6"/>
        <v>515597.48247108451</v>
      </c>
      <c r="I23" s="100">
        <f t="shared" si="6"/>
        <v>515597.48247108451</v>
      </c>
      <c r="J23" s="100">
        <f t="shared" si="6"/>
        <v>515597.48247108451</v>
      </c>
      <c r="K23" s="100">
        <f t="shared" si="6"/>
        <v>515597.48247108451</v>
      </c>
      <c r="L23" s="100">
        <f t="shared" si="6"/>
        <v>515597.48247108451</v>
      </c>
      <c r="M23" s="100">
        <f t="shared" si="6"/>
        <v>515597.48247108451</v>
      </c>
      <c r="N23" s="100">
        <f t="shared" si="6"/>
        <v>515597.48247108451</v>
      </c>
      <c r="O23" s="100">
        <f t="shared" si="6"/>
        <v>515597.48247108451</v>
      </c>
      <c r="P23" s="100">
        <f t="shared" si="6"/>
        <v>515597.48247108451</v>
      </c>
      <c r="Q23" s="100">
        <f t="shared" si="6"/>
        <v>515597.48247108451</v>
      </c>
      <c r="R23" s="100">
        <f t="shared" si="6"/>
        <v>515597.48247108451</v>
      </c>
      <c r="S23" s="100">
        <f t="shared" si="6"/>
        <v>515597.48247108451</v>
      </c>
      <c r="T23" s="100">
        <f t="shared" si="6"/>
        <v>515597.48247108451</v>
      </c>
      <c r="U23" s="100">
        <f t="shared" si="6"/>
        <v>515597.48247108451</v>
      </c>
      <c r="V23" s="100">
        <f t="shared" si="6"/>
        <v>515597.48247108451</v>
      </c>
      <c r="W23" s="100">
        <f t="shared" si="6"/>
        <v>515597.48247108451</v>
      </c>
      <c r="X23" s="100">
        <f t="shared" si="6"/>
        <v>515597.48247108451</v>
      </c>
      <c r="Y23" s="100">
        <f t="shared" si="6"/>
        <v>515597.48247108451</v>
      </c>
      <c r="Z23" s="100">
        <f t="shared" si="6"/>
        <v>515597.48247108451</v>
      </c>
      <c r="AA23" s="100">
        <f t="shared" si="6"/>
        <v>515597.48247108451</v>
      </c>
      <c r="AB23" s="100">
        <f t="shared" si="6"/>
        <v>515597.48247108451</v>
      </c>
      <c r="AC23" s="100">
        <f t="shared" si="6"/>
        <v>515597.48247108451</v>
      </c>
      <c r="AD23" s="100">
        <f t="shared" si="6"/>
        <v>515597.48247108451</v>
      </c>
      <c r="AE23" s="100">
        <f t="shared" si="6"/>
        <v>515597.48247108451</v>
      </c>
      <c r="AF23" s="100">
        <f t="shared" si="6"/>
        <v>515597.48247108451</v>
      </c>
      <c r="AG23" s="100">
        <f t="shared" si="6"/>
        <v>515597.48247108451</v>
      </c>
      <c r="AH23" s="100">
        <f t="shared" si="6"/>
        <v>515597.48247108451</v>
      </c>
      <c r="AI23" s="100">
        <f t="shared" si="6"/>
        <v>515597.48247108451</v>
      </c>
      <c r="AJ23" s="100">
        <f t="shared" si="6"/>
        <v>209260.909926358</v>
      </c>
      <c r="AK23" s="100">
        <f t="shared" si="6"/>
        <v>515597.48247108451</v>
      </c>
      <c r="AL23" s="100">
        <f t="shared" si="6"/>
        <v>0</v>
      </c>
      <c r="AM23" s="100">
        <f t="shared" si="6"/>
        <v>515597.48247108451</v>
      </c>
      <c r="AN23" s="100">
        <f t="shared" si="6"/>
        <v>515597.48247108451</v>
      </c>
      <c r="AO23" s="100">
        <f t="shared" si="6"/>
        <v>515597.48247108451</v>
      </c>
      <c r="AP23" s="100">
        <f t="shared" si="6"/>
        <v>515597.48247108451</v>
      </c>
      <c r="AQ23" s="100">
        <f t="shared" si="6"/>
        <v>515597.48247108451</v>
      </c>
      <c r="AR23" s="100">
        <f t="shared" si="6"/>
        <v>515597.48247108451</v>
      </c>
      <c r="AS23" s="100">
        <f t="shared" si="6"/>
        <v>515597.48247108451</v>
      </c>
      <c r="AT23" s="100">
        <f t="shared" si="6"/>
        <v>515597.48247108451</v>
      </c>
      <c r="AU23" s="100">
        <f t="shared" si="6"/>
        <v>515597.48247108451</v>
      </c>
      <c r="AV23" s="100">
        <f t="shared" si="6"/>
        <v>515597.48247108451</v>
      </c>
      <c r="AW23" s="100">
        <f t="shared" si="6"/>
        <v>515597.48247108451</v>
      </c>
      <c r="AX23" s="100">
        <f t="shared" si="6"/>
        <v>515597.48247108451</v>
      </c>
      <c r="AY23" s="100">
        <f t="shared" si="6"/>
        <v>515597.48247108451</v>
      </c>
      <c r="AZ23" s="139">
        <f t="shared" si="5"/>
        <v>23411147.621125177</v>
      </c>
    </row>
    <row r="24" spans="1:52" s="110" customFormat="1">
      <c r="A24" s="161" t="s">
        <v>308</v>
      </c>
      <c r="B24" s="162">
        <v>1000</v>
      </c>
      <c r="C24" s="156" t="s">
        <v>293</v>
      </c>
      <c r="D24" s="106">
        <f>D$22*$B$24</f>
        <v>342201.25876445777</v>
      </c>
      <c r="E24" s="106">
        <f t="shared" ref="E24:AY24" si="7">E$22*$B$24</f>
        <v>342201.25876445777</v>
      </c>
      <c r="F24" s="106">
        <f t="shared" si="7"/>
        <v>342201.25876445777</v>
      </c>
      <c r="G24" s="106">
        <f t="shared" si="7"/>
        <v>0</v>
      </c>
      <c r="H24" s="106">
        <f t="shared" si="7"/>
        <v>342201.25876445777</v>
      </c>
      <c r="I24" s="106">
        <f t="shared" si="7"/>
        <v>342201.25876445777</v>
      </c>
      <c r="J24" s="106">
        <f t="shared" si="7"/>
        <v>342201.25876445777</v>
      </c>
      <c r="K24" s="106">
        <f t="shared" si="7"/>
        <v>342201.25876445777</v>
      </c>
      <c r="L24" s="106">
        <f t="shared" si="7"/>
        <v>342201.25876445777</v>
      </c>
      <c r="M24" s="106">
        <f t="shared" si="7"/>
        <v>342201.25876445777</v>
      </c>
      <c r="N24" s="106">
        <f t="shared" si="7"/>
        <v>342201.25876445777</v>
      </c>
      <c r="O24" s="106">
        <f t="shared" si="7"/>
        <v>342201.25876445777</v>
      </c>
      <c r="P24" s="106">
        <f t="shared" si="7"/>
        <v>342201.25876445777</v>
      </c>
      <c r="Q24" s="106">
        <f t="shared" si="7"/>
        <v>342201.25876445777</v>
      </c>
      <c r="R24" s="106">
        <f t="shared" si="7"/>
        <v>342201.25876445777</v>
      </c>
      <c r="S24" s="106">
        <f t="shared" si="7"/>
        <v>342201.25876445777</v>
      </c>
      <c r="T24" s="106">
        <f t="shared" si="7"/>
        <v>342201.25876445777</v>
      </c>
      <c r="U24" s="106">
        <f t="shared" si="7"/>
        <v>342201.25876445777</v>
      </c>
      <c r="V24" s="106">
        <f t="shared" si="7"/>
        <v>342201.25876445777</v>
      </c>
      <c r="W24" s="106">
        <f t="shared" si="7"/>
        <v>342201.25876445777</v>
      </c>
      <c r="X24" s="106">
        <f t="shared" si="7"/>
        <v>342201.25876445777</v>
      </c>
      <c r="Y24" s="106">
        <f t="shared" si="7"/>
        <v>342201.25876445777</v>
      </c>
      <c r="Z24" s="106">
        <f t="shared" si="7"/>
        <v>342201.25876445777</v>
      </c>
      <c r="AA24" s="106">
        <f t="shared" si="7"/>
        <v>342201.25876445777</v>
      </c>
      <c r="AB24" s="106">
        <f t="shared" si="7"/>
        <v>342201.25876445777</v>
      </c>
      <c r="AC24" s="106">
        <f t="shared" si="7"/>
        <v>342201.25876445777</v>
      </c>
      <c r="AD24" s="106">
        <f t="shared" si="7"/>
        <v>342201.25876445777</v>
      </c>
      <c r="AE24" s="106">
        <f t="shared" si="7"/>
        <v>342201.25876445777</v>
      </c>
      <c r="AF24" s="106">
        <f t="shared" si="7"/>
        <v>342201.25876445777</v>
      </c>
      <c r="AG24" s="106">
        <f t="shared" si="7"/>
        <v>342201.25876445777</v>
      </c>
      <c r="AH24" s="106">
        <f t="shared" si="7"/>
        <v>342201.25876445777</v>
      </c>
      <c r="AI24" s="106">
        <f t="shared" si="7"/>
        <v>342201.25876445777</v>
      </c>
      <c r="AJ24" s="106">
        <f t="shared" si="7"/>
        <v>138886.14514523253</v>
      </c>
      <c r="AK24" s="106">
        <f t="shared" si="7"/>
        <v>342201.25876445777</v>
      </c>
      <c r="AL24" s="106">
        <f t="shared" si="7"/>
        <v>0</v>
      </c>
      <c r="AM24" s="106">
        <f t="shared" si="7"/>
        <v>342201.25876445777</v>
      </c>
      <c r="AN24" s="106">
        <f t="shared" si="7"/>
        <v>342201.25876445777</v>
      </c>
      <c r="AO24" s="106">
        <f t="shared" si="7"/>
        <v>342201.25876445777</v>
      </c>
      <c r="AP24" s="106">
        <f t="shared" si="7"/>
        <v>342201.25876445777</v>
      </c>
      <c r="AQ24" s="106">
        <f t="shared" si="7"/>
        <v>342201.25876445777</v>
      </c>
      <c r="AR24" s="106">
        <f t="shared" si="7"/>
        <v>342201.25876445777</v>
      </c>
      <c r="AS24" s="106">
        <f t="shared" si="7"/>
        <v>342201.25876445777</v>
      </c>
      <c r="AT24" s="106">
        <f t="shared" si="7"/>
        <v>342201.25876445777</v>
      </c>
      <c r="AU24" s="106">
        <f t="shared" si="7"/>
        <v>342201.25876445777</v>
      </c>
      <c r="AV24" s="106">
        <f t="shared" si="7"/>
        <v>342201.25876445777</v>
      </c>
      <c r="AW24" s="106">
        <f t="shared" si="7"/>
        <v>342201.25876445777</v>
      </c>
      <c r="AX24" s="106">
        <f t="shared" si="7"/>
        <v>342201.25876445777</v>
      </c>
      <c r="AY24" s="106">
        <f t="shared" si="7"/>
        <v>342201.25876445777</v>
      </c>
      <c r="AZ24" s="141">
        <f t="shared" si="5"/>
        <v>15537942.789545817</v>
      </c>
    </row>
    <row r="25" spans="1:52">
      <c r="C25" s="138"/>
      <c r="D25" s="138"/>
      <c r="E25" s="138"/>
      <c r="F25" s="138"/>
      <c r="G25" s="138"/>
      <c r="H25" s="138"/>
      <c r="I25" s="138"/>
      <c r="J25" s="138"/>
      <c r="K25" s="138"/>
      <c r="L25" s="138"/>
      <c r="M25" s="138"/>
      <c r="N25" s="138"/>
      <c r="O25" s="138"/>
      <c r="P25" s="138"/>
      <c r="Q25" s="138"/>
      <c r="R25" s="138"/>
      <c r="S25" s="138"/>
      <c r="T25" s="138"/>
      <c r="U25" s="138"/>
      <c r="V25" s="138"/>
      <c r="W25" s="138"/>
      <c r="X25" s="138"/>
      <c r="Y25" s="138"/>
      <c r="Z25" s="138"/>
      <c r="AA25" s="138"/>
      <c r="AB25" s="138"/>
      <c r="AC25" s="138"/>
      <c r="AD25" s="138"/>
      <c r="AE25" s="138"/>
      <c r="AF25" s="138"/>
      <c r="AG25" s="138"/>
      <c r="AH25" s="138"/>
      <c r="AI25" s="138"/>
      <c r="AJ25" s="138"/>
      <c r="AK25" s="138"/>
      <c r="AL25" s="138"/>
      <c r="AM25" s="138"/>
      <c r="AN25" s="138"/>
      <c r="AO25" s="138"/>
      <c r="AP25" s="138"/>
      <c r="AQ25" s="138"/>
      <c r="AR25" s="138"/>
      <c r="AS25" s="138"/>
      <c r="AT25" s="138"/>
      <c r="AU25" s="138"/>
      <c r="AV25" s="138"/>
      <c r="AW25" s="138"/>
      <c r="AX25" s="138"/>
      <c r="AY25" s="138"/>
      <c r="AZ25" s="106"/>
    </row>
    <row r="26" spans="1:52">
      <c r="A26" s="163" t="s">
        <v>18</v>
      </c>
      <c r="C26" s="106"/>
      <c r="D26" s="106"/>
      <c r="E26" s="106"/>
      <c r="F26" s="106"/>
      <c r="G26" s="106"/>
      <c r="H26" s="106"/>
      <c r="I26" s="106"/>
      <c r="J26" s="106"/>
      <c r="K26" s="106"/>
      <c r="L26" s="106"/>
      <c r="M26" s="106"/>
      <c r="N26" s="106"/>
      <c r="O26" s="106"/>
      <c r="P26" s="106"/>
      <c r="Q26" s="106"/>
      <c r="R26" s="106"/>
      <c r="S26" s="106"/>
      <c r="T26" s="106"/>
      <c r="U26" s="106"/>
      <c r="V26" s="106"/>
      <c r="W26" s="106"/>
      <c r="X26" s="106"/>
      <c r="Y26" s="106"/>
      <c r="Z26" s="106"/>
      <c r="AA26" s="106"/>
      <c r="AB26" s="106"/>
      <c r="AC26" s="106"/>
      <c r="AD26" s="106"/>
      <c r="AE26" s="106"/>
      <c r="AF26" s="106"/>
      <c r="AG26" s="106"/>
      <c r="AH26" s="106"/>
      <c r="AI26" s="106"/>
      <c r="AJ26" s="106"/>
      <c r="AK26" s="106"/>
      <c r="AL26" s="106"/>
      <c r="AM26" s="106"/>
      <c r="AN26" s="106"/>
      <c r="AO26" s="106"/>
      <c r="AP26" s="106"/>
      <c r="AQ26" s="106"/>
      <c r="AR26" s="106"/>
      <c r="AS26" s="106"/>
      <c r="AT26" s="106"/>
      <c r="AU26" s="106"/>
      <c r="AV26" s="106"/>
      <c r="AW26" s="106"/>
      <c r="AX26" s="106"/>
      <c r="AY26" s="106"/>
      <c r="AZ26" s="106"/>
    </row>
    <row r="27" spans="1:52">
      <c r="B27" s="135" t="s">
        <v>309</v>
      </c>
      <c r="C27" s="124">
        <v>21</v>
      </c>
      <c r="D27" s="124">
        <f>C$27-C$28+C$29</f>
        <v>1</v>
      </c>
      <c r="E27" s="124">
        <f t="shared" ref="E27:AY27" si="8">D27-D28+D29</f>
        <v>21</v>
      </c>
      <c r="F27" s="124">
        <f t="shared" si="8"/>
        <v>1</v>
      </c>
      <c r="G27" s="124">
        <f t="shared" si="8"/>
        <v>21</v>
      </c>
      <c r="H27" s="124">
        <f t="shared" si="8"/>
        <v>22</v>
      </c>
      <c r="I27" s="124">
        <f t="shared" si="8"/>
        <v>1</v>
      </c>
      <c r="J27" s="124">
        <f t="shared" si="8"/>
        <v>21</v>
      </c>
      <c r="K27" s="124">
        <f t="shared" si="8"/>
        <v>1</v>
      </c>
      <c r="L27" s="124">
        <f t="shared" si="8"/>
        <v>21</v>
      </c>
      <c r="M27" s="124">
        <f t="shared" si="8"/>
        <v>1</v>
      </c>
      <c r="N27" s="124">
        <f t="shared" si="8"/>
        <v>21</v>
      </c>
      <c r="O27" s="124">
        <f t="shared" si="8"/>
        <v>1</v>
      </c>
      <c r="P27" s="124">
        <f t="shared" si="8"/>
        <v>21</v>
      </c>
      <c r="Q27" s="124">
        <f t="shared" si="8"/>
        <v>1</v>
      </c>
      <c r="R27" s="124">
        <f t="shared" si="8"/>
        <v>21</v>
      </c>
      <c r="S27" s="124">
        <f t="shared" si="8"/>
        <v>1</v>
      </c>
      <c r="T27" s="124">
        <f t="shared" si="8"/>
        <v>21</v>
      </c>
      <c r="U27" s="124">
        <f t="shared" si="8"/>
        <v>1</v>
      </c>
      <c r="V27" s="124">
        <f t="shared" si="8"/>
        <v>21</v>
      </c>
      <c r="W27" s="124">
        <f t="shared" si="8"/>
        <v>1</v>
      </c>
      <c r="X27" s="124">
        <f t="shared" si="8"/>
        <v>21</v>
      </c>
      <c r="Y27" s="124">
        <f t="shared" si="8"/>
        <v>1</v>
      </c>
      <c r="Z27" s="124">
        <f t="shared" si="8"/>
        <v>21</v>
      </c>
      <c r="AA27" s="124">
        <f t="shared" si="8"/>
        <v>1</v>
      </c>
      <c r="AB27" s="124">
        <f t="shared" si="8"/>
        <v>21</v>
      </c>
      <c r="AC27" s="124">
        <f t="shared" si="8"/>
        <v>1</v>
      </c>
      <c r="AD27" s="124">
        <f t="shared" si="8"/>
        <v>21</v>
      </c>
      <c r="AE27" s="124">
        <f t="shared" si="8"/>
        <v>1</v>
      </c>
      <c r="AF27" s="124">
        <f t="shared" si="8"/>
        <v>21</v>
      </c>
      <c r="AG27" s="124">
        <f t="shared" si="8"/>
        <v>1</v>
      </c>
      <c r="AH27" s="124">
        <f t="shared" si="8"/>
        <v>21</v>
      </c>
      <c r="AI27" s="124">
        <f t="shared" si="8"/>
        <v>1</v>
      </c>
      <c r="AJ27" s="124">
        <f t="shared" si="8"/>
        <v>21</v>
      </c>
      <c r="AK27" s="124">
        <f t="shared" si="8"/>
        <v>13</v>
      </c>
      <c r="AL27" s="124">
        <f t="shared" si="8"/>
        <v>9</v>
      </c>
      <c r="AM27" s="124">
        <f t="shared" si="8"/>
        <v>22</v>
      </c>
      <c r="AN27" s="124">
        <f t="shared" si="8"/>
        <v>1</v>
      </c>
      <c r="AO27" s="124">
        <f t="shared" si="8"/>
        <v>21</v>
      </c>
      <c r="AP27" s="124">
        <f t="shared" si="8"/>
        <v>1</v>
      </c>
      <c r="AQ27" s="124">
        <f t="shared" si="8"/>
        <v>21</v>
      </c>
      <c r="AR27" s="124">
        <f t="shared" si="8"/>
        <v>1</v>
      </c>
      <c r="AS27" s="124">
        <f t="shared" si="8"/>
        <v>21</v>
      </c>
      <c r="AT27" s="124">
        <f t="shared" si="8"/>
        <v>1</v>
      </c>
      <c r="AU27" s="124">
        <f t="shared" si="8"/>
        <v>21</v>
      </c>
      <c r="AV27" s="124">
        <f t="shared" si="8"/>
        <v>1</v>
      </c>
      <c r="AW27" s="124">
        <f t="shared" si="8"/>
        <v>21</v>
      </c>
      <c r="AX27" s="124">
        <f t="shared" si="8"/>
        <v>1</v>
      </c>
      <c r="AY27" s="164">
        <f t="shared" si="8"/>
        <v>21</v>
      </c>
      <c r="AZ27" s="106"/>
    </row>
    <row r="28" spans="1:52">
      <c r="B28" s="165" t="s">
        <v>310</v>
      </c>
      <c r="C28" s="110">
        <v>21</v>
      </c>
      <c r="D28" s="110">
        <v>1</v>
      </c>
      <c r="E28" s="110">
        <v>21</v>
      </c>
      <c r="F28" s="110">
        <v>1</v>
      </c>
      <c r="G28" s="110">
        <v>0</v>
      </c>
      <c r="H28" s="110">
        <v>21</v>
      </c>
      <c r="I28" s="110">
        <v>1</v>
      </c>
      <c r="J28" s="110">
        <v>21</v>
      </c>
      <c r="K28" s="110">
        <v>1</v>
      </c>
      <c r="L28" s="110">
        <v>21</v>
      </c>
      <c r="M28" s="110">
        <v>1</v>
      </c>
      <c r="N28" s="110">
        <v>21</v>
      </c>
      <c r="O28" s="110">
        <v>1</v>
      </c>
      <c r="P28" s="110">
        <v>21</v>
      </c>
      <c r="Q28" s="110">
        <v>1</v>
      </c>
      <c r="R28" s="110">
        <v>21</v>
      </c>
      <c r="S28" s="110">
        <v>1</v>
      </c>
      <c r="T28" s="110">
        <v>21</v>
      </c>
      <c r="U28" s="110">
        <v>1</v>
      </c>
      <c r="V28" s="110">
        <v>21</v>
      </c>
      <c r="W28" s="110">
        <v>1</v>
      </c>
      <c r="X28" s="110">
        <v>21</v>
      </c>
      <c r="Y28" s="110">
        <v>1</v>
      </c>
      <c r="Z28" s="110">
        <v>21</v>
      </c>
      <c r="AA28" s="110">
        <v>1</v>
      </c>
      <c r="AB28" s="110">
        <v>21</v>
      </c>
      <c r="AC28" s="110">
        <v>1</v>
      </c>
      <c r="AD28" s="110">
        <v>21</v>
      </c>
      <c r="AE28" s="110">
        <v>1</v>
      </c>
      <c r="AF28" s="110">
        <v>21</v>
      </c>
      <c r="AG28" s="110">
        <v>1</v>
      </c>
      <c r="AH28" s="110">
        <v>21</v>
      </c>
      <c r="AI28" s="110">
        <v>1</v>
      </c>
      <c r="AJ28" s="110">
        <v>9</v>
      </c>
      <c r="AK28" s="110">
        <v>13</v>
      </c>
      <c r="AL28" s="110">
        <v>0</v>
      </c>
      <c r="AM28" s="110">
        <v>21</v>
      </c>
      <c r="AN28" s="110">
        <v>1</v>
      </c>
      <c r="AO28" s="110">
        <v>21</v>
      </c>
      <c r="AP28" s="110">
        <v>1</v>
      </c>
      <c r="AQ28" s="110">
        <v>21</v>
      </c>
      <c r="AR28" s="110">
        <v>1</v>
      </c>
      <c r="AS28" s="110">
        <v>21</v>
      </c>
      <c r="AT28" s="110">
        <v>1</v>
      </c>
      <c r="AU28" s="110">
        <v>21</v>
      </c>
      <c r="AV28" s="110">
        <v>1</v>
      </c>
      <c r="AW28" s="110">
        <v>21</v>
      </c>
      <c r="AX28" s="110">
        <v>1</v>
      </c>
      <c r="AY28" s="166">
        <v>21</v>
      </c>
      <c r="AZ28" s="106"/>
    </row>
    <row r="29" spans="1:52">
      <c r="B29" s="136" t="s">
        <v>311</v>
      </c>
      <c r="C29" s="125">
        <v>1</v>
      </c>
      <c r="D29" s="125">
        <f>C$28</f>
        <v>21</v>
      </c>
      <c r="E29" s="125">
        <f t="shared" ref="E29:AY29" si="9">D$28</f>
        <v>1</v>
      </c>
      <c r="F29" s="125">
        <f t="shared" si="9"/>
        <v>21</v>
      </c>
      <c r="G29" s="125">
        <f t="shared" si="9"/>
        <v>1</v>
      </c>
      <c r="H29" s="125">
        <f t="shared" si="9"/>
        <v>0</v>
      </c>
      <c r="I29" s="125">
        <f t="shared" si="9"/>
        <v>21</v>
      </c>
      <c r="J29" s="125">
        <f t="shared" si="9"/>
        <v>1</v>
      </c>
      <c r="K29" s="125">
        <f t="shared" si="9"/>
        <v>21</v>
      </c>
      <c r="L29" s="125">
        <f t="shared" si="9"/>
        <v>1</v>
      </c>
      <c r="M29" s="125">
        <f t="shared" si="9"/>
        <v>21</v>
      </c>
      <c r="N29" s="125">
        <f t="shared" si="9"/>
        <v>1</v>
      </c>
      <c r="O29" s="125">
        <f t="shared" si="9"/>
        <v>21</v>
      </c>
      <c r="P29" s="125">
        <f t="shared" si="9"/>
        <v>1</v>
      </c>
      <c r="Q29" s="125">
        <f t="shared" si="9"/>
        <v>21</v>
      </c>
      <c r="R29" s="125">
        <f t="shared" si="9"/>
        <v>1</v>
      </c>
      <c r="S29" s="125">
        <f t="shared" si="9"/>
        <v>21</v>
      </c>
      <c r="T29" s="125">
        <f t="shared" si="9"/>
        <v>1</v>
      </c>
      <c r="U29" s="125">
        <f t="shared" si="9"/>
        <v>21</v>
      </c>
      <c r="V29" s="125">
        <f t="shared" si="9"/>
        <v>1</v>
      </c>
      <c r="W29" s="125">
        <f t="shared" si="9"/>
        <v>21</v>
      </c>
      <c r="X29" s="125">
        <f t="shared" si="9"/>
        <v>1</v>
      </c>
      <c r="Y29" s="125">
        <f t="shared" si="9"/>
        <v>21</v>
      </c>
      <c r="Z29" s="125">
        <f t="shared" si="9"/>
        <v>1</v>
      </c>
      <c r="AA29" s="125">
        <f t="shared" si="9"/>
        <v>21</v>
      </c>
      <c r="AB29" s="125">
        <f t="shared" si="9"/>
        <v>1</v>
      </c>
      <c r="AC29" s="125">
        <f t="shared" si="9"/>
        <v>21</v>
      </c>
      <c r="AD29" s="125">
        <f t="shared" si="9"/>
        <v>1</v>
      </c>
      <c r="AE29" s="125">
        <f t="shared" si="9"/>
        <v>21</v>
      </c>
      <c r="AF29" s="125">
        <f t="shared" si="9"/>
        <v>1</v>
      </c>
      <c r="AG29" s="125">
        <f t="shared" si="9"/>
        <v>21</v>
      </c>
      <c r="AH29" s="125">
        <f t="shared" si="9"/>
        <v>1</v>
      </c>
      <c r="AI29" s="125">
        <f t="shared" si="9"/>
        <v>21</v>
      </c>
      <c r="AJ29" s="125">
        <f t="shared" si="9"/>
        <v>1</v>
      </c>
      <c r="AK29" s="125">
        <f t="shared" si="9"/>
        <v>9</v>
      </c>
      <c r="AL29" s="125">
        <f t="shared" si="9"/>
        <v>13</v>
      </c>
      <c r="AM29" s="125">
        <f t="shared" si="9"/>
        <v>0</v>
      </c>
      <c r="AN29" s="125">
        <f t="shared" si="9"/>
        <v>21</v>
      </c>
      <c r="AO29" s="125">
        <f t="shared" si="9"/>
        <v>1</v>
      </c>
      <c r="AP29" s="125">
        <f t="shared" si="9"/>
        <v>21</v>
      </c>
      <c r="AQ29" s="125">
        <f t="shared" si="9"/>
        <v>1</v>
      </c>
      <c r="AR29" s="125">
        <f t="shared" si="9"/>
        <v>21</v>
      </c>
      <c r="AS29" s="125">
        <f t="shared" si="9"/>
        <v>1</v>
      </c>
      <c r="AT29" s="125">
        <f t="shared" si="9"/>
        <v>21</v>
      </c>
      <c r="AU29" s="125">
        <f t="shared" si="9"/>
        <v>1</v>
      </c>
      <c r="AV29" s="125">
        <f t="shared" si="9"/>
        <v>21</v>
      </c>
      <c r="AW29" s="125">
        <f t="shared" si="9"/>
        <v>1</v>
      </c>
      <c r="AX29" s="125">
        <f t="shared" si="9"/>
        <v>21</v>
      </c>
      <c r="AY29" s="167">
        <f t="shared" si="9"/>
        <v>1</v>
      </c>
      <c r="AZ29" s="168"/>
    </row>
    <row r="30" spans="1:52">
      <c r="A30" s="169" t="s">
        <v>312</v>
      </c>
      <c r="B30" s="144">
        <v>10</v>
      </c>
      <c r="C30" s="117" t="s">
        <v>293</v>
      </c>
      <c r="D30" s="117">
        <f>D$27*$B$30</f>
        <v>10</v>
      </c>
      <c r="E30" s="117">
        <f t="shared" ref="E30:AY30" si="10">E$27*$B$30</f>
        <v>210</v>
      </c>
      <c r="F30" s="117">
        <f t="shared" si="10"/>
        <v>10</v>
      </c>
      <c r="G30" s="117">
        <f t="shared" si="10"/>
        <v>210</v>
      </c>
      <c r="H30" s="117">
        <f t="shared" si="10"/>
        <v>220</v>
      </c>
      <c r="I30" s="117">
        <f t="shared" si="10"/>
        <v>10</v>
      </c>
      <c r="J30" s="117">
        <f t="shared" si="10"/>
        <v>210</v>
      </c>
      <c r="K30" s="117">
        <f t="shared" si="10"/>
        <v>10</v>
      </c>
      <c r="L30" s="117">
        <f t="shared" si="10"/>
        <v>210</v>
      </c>
      <c r="M30" s="117">
        <f t="shared" si="10"/>
        <v>10</v>
      </c>
      <c r="N30" s="117">
        <f t="shared" si="10"/>
        <v>210</v>
      </c>
      <c r="O30" s="117">
        <f t="shared" si="10"/>
        <v>10</v>
      </c>
      <c r="P30" s="117">
        <f t="shared" si="10"/>
        <v>210</v>
      </c>
      <c r="Q30" s="117">
        <f t="shared" si="10"/>
        <v>10</v>
      </c>
      <c r="R30" s="117">
        <f>R$27*$B$30</f>
        <v>210</v>
      </c>
      <c r="S30" s="117">
        <f t="shared" si="10"/>
        <v>10</v>
      </c>
      <c r="T30" s="117">
        <f t="shared" si="10"/>
        <v>210</v>
      </c>
      <c r="U30" s="117">
        <f t="shared" si="10"/>
        <v>10</v>
      </c>
      <c r="V30" s="117">
        <f t="shared" si="10"/>
        <v>210</v>
      </c>
      <c r="W30" s="117">
        <f t="shared" si="10"/>
        <v>10</v>
      </c>
      <c r="X30" s="117">
        <f t="shared" si="10"/>
        <v>210</v>
      </c>
      <c r="Y30" s="117">
        <f t="shared" si="10"/>
        <v>10</v>
      </c>
      <c r="Z30" s="117">
        <f t="shared" si="10"/>
        <v>210</v>
      </c>
      <c r="AA30" s="117">
        <f t="shared" si="10"/>
        <v>10</v>
      </c>
      <c r="AB30" s="117">
        <f t="shared" si="10"/>
        <v>210</v>
      </c>
      <c r="AC30" s="117">
        <f t="shared" si="10"/>
        <v>10</v>
      </c>
      <c r="AD30" s="117">
        <f t="shared" si="10"/>
        <v>210</v>
      </c>
      <c r="AE30" s="117">
        <f>AE$27*$B$30</f>
        <v>10</v>
      </c>
      <c r="AF30" s="117">
        <f t="shared" si="10"/>
        <v>210</v>
      </c>
      <c r="AG30" s="117">
        <f t="shared" si="10"/>
        <v>10</v>
      </c>
      <c r="AH30" s="117">
        <f t="shared" si="10"/>
        <v>210</v>
      </c>
      <c r="AI30" s="117">
        <f t="shared" si="10"/>
        <v>10</v>
      </c>
      <c r="AJ30" s="117">
        <f t="shared" si="10"/>
        <v>210</v>
      </c>
      <c r="AK30" s="117">
        <f t="shared" si="10"/>
        <v>130</v>
      </c>
      <c r="AL30" s="117">
        <f t="shared" si="10"/>
        <v>90</v>
      </c>
      <c r="AM30" s="117">
        <f t="shared" si="10"/>
        <v>220</v>
      </c>
      <c r="AN30" s="117">
        <f t="shared" si="10"/>
        <v>10</v>
      </c>
      <c r="AO30" s="117">
        <f t="shared" si="10"/>
        <v>210</v>
      </c>
      <c r="AP30" s="117">
        <f t="shared" si="10"/>
        <v>10</v>
      </c>
      <c r="AQ30" s="117">
        <f t="shared" si="10"/>
        <v>210</v>
      </c>
      <c r="AR30" s="117">
        <f t="shared" si="10"/>
        <v>10</v>
      </c>
      <c r="AS30" s="117">
        <f t="shared" si="10"/>
        <v>210</v>
      </c>
      <c r="AT30" s="117">
        <f t="shared" si="10"/>
        <v>10</v>
      </c>
      <c r="AU30" s="117">
        <f t="shared" si="10"/>
        <v>210</v>
      </c>
      <c r="AV30" s="117">
        <f t="shared" si="10"/>
        <v>10</v>
      </c>
      <c r="AW30" s="117">
        <f t="shared" si="10"/>
        <v>210</v>
      </c>
      <c r="AX30" s="117">
        <f t="shared" si="10"/>
        <v>10</v>
      </c>
      <c r="AY30" s="117">
        <f t="shared" si="10"/>
        <v>210</v>
      </c>
      <c r="AZ30" s="141">
        <f t="shared" si="5"/>
        <v>5500</v>
      </c>
    </row>
    <row r="32" spans="1:52">
      <c r="A32" s="102" t="s">
        <v>300</v>
      </c>
    </row>
    <row r="33" spans="1:52">
      <c r="A33" s="135" t="s">
        <v>22</v>
      </c>
      <c r="B33" s="135" t="s">
        <v>341</v>
      </c>
      <c r="C33" s="124"/>
      <c r="D33" s="124">
        <f>D$21*shipping_manufacturing!$D$27/100</f>
        <v>87.79874123554238</v>
      </c>
      <c r="E33" s="124">
        <f>E$21*shipping_manufacturing!$D$27/100</f>
        <v>87.79874123554238</v>
      </c>
      <c r="F33" s="124">
        <f>F$21*shipping_manufacturing!$D$27/100</f>
        <v>87.79874123554238</v>
      </c>
      <c r="G33" s="124">
        <f>G$21*shipping_manufacturing!$D$27/100</f>
        <v>0</v>
      </c>
      <c r="H33" s="124">
        <f>H$21*shipping_manufacturing!$D$27/100</f>
        <v>87.79874123554238</v>
      </c>
      <c r="I33" s="124">
        <f>I$21*shipping_manufacturing!$D$27/100</f>
        <v>87.79874123554238</v>
      </c>
      <c r="J33" s="124">
        <f>J$21*shipping_manufacturing!$D$27/100</f>
        <v>87.79874123554238</v>
      </c>
      <c r="K33" s="124">
        <f>K$21*shipping_manufacturing!$D$27/100</f>
        <v>87.79874123554238</v>
      </c>
      <c r="L33" s="124">
        <f>L$21*shipping_manufacturing!$D$27/100</f>
        <v>87.79874123554238</v>
      </c>
      <c r="M33" s="124">
        <f>M$21*shipping_manufacturing!$D$27/100</f>
        <v>87.79874123554238</v>
      </c>
      <c r="N33" s="124">
        <f>N$21*shipping_manufacturing!$D$27/100</f>
        <v>87.79874123554238</v>
      </c>
      <c r="O33" s="124">
        <f>O$21*shipping_manufacturing!$D$27/100</f>
        <v>87.79874123554238</v>
      </c>
      <c r="P33" s="124">
        <f>P$21*shipping_manufacturing!$D$27/100</f>
        <v>87.79874123554238</v>
      </c>
      <c r="Q33" s="124">
        <f>Q$21*shipping_manufacturing!$D$27/100</f>
        <v>87.79874123554238</v>
      </c>
      <c r="R33" s="124">
        <f>R$21*shipping_manufacturing!$D$27/100</f>
        <v>87.79874123554238</v>
      </c>
      <c r="S33" s="124">
        <f>S$21*shipping_manufacturing!$D$27/100</f>
        <v>87.79874123554238</v>
      </c>
      <c r="T33" s="124">
        <f>T$21*shipping_manufacturing!$D$27/100</f>
        <v>87.79874123554238</v>
      </c>
      <c r="U33" s="124">
        <f>U$21*shipping_manufacturing!$D$27/100</f>
        <v>87.79874123554238</v>
      </c>
      <c r="V33" s="124">
        <f>V$21*shipping_manufacturing!$D$27/100</f>
        <v>87.79874123554238</v>
      </c>
      <c r="W33" s="124">
        <f>W$21*shipping_manufacturing!$D$27/100</f>
        <v>87.79874123554238</v>
      </c>
      <c r="X33" s="124">
        <f>X$21*shipping_manufacturing!$D$27/100</f>
        <v>87.79874123554238</v>
      </c>
      <c r="Y33" s="124">
        <f>Y$21*shipping_manufacturing!$D$27/100</f>
        <v>87.79874123554238</v>
      </c>
      <c r="Z33" s="124">
        <f>Z$21*shipping_manufacturing!$D$27/100</f>
        <v>87.79874123554238</v>
      </c>
      <c r="AA33" s="124">
        <f>AA$21*shipping_manufacturing!$D$27/100</f>
        <v>87.79874123554238</v>
      </c>
      <c r="AB33" s="124">
        <f>AB$21*shipping_manufacturing!$D$27/100</f>
        <v>87.79874123554238</v>
      </c>
      <c r="AC33" s="124">
        <f>AC$21*shipping_manufacturing!$D$27/100</f>
        <v>87.79874123554238</v>
      </c>
      <c r="AD33" s="124">
        <f>AD$21*shipping_manufacturing!$D$27/100</f>
        <v>87.79874123554238</v>
      </c>
      <c r="AE33" s="124">
        <f>AE$21*shipping_manufacturing!$D$27/100</f>
        <v>87.79874123554238</v>
      </c>
      <c r="AF33" s="124">
        <f>AF$21*shipping_manufacturing!$D$27/100</f>
        <v>87.79874123554238</v>
      </c>
      <c r="AG33" s="124">
        <f>AG$21*shipping_manufacturing!$D$27/100</f>
        <v>87.79874123554238</v>
      </c>
      <c r="AH33" s="124">
        <f>AH$21*shipping_manufacturing!$D$27/100</f>
        <v>87.79874123554238</v>
      </c>
      <c r="AI33" s="124">
        <f>AI$21*shipping_manufacturing!$D$27/100</f>
        <v>87.79874123554238</v>
      </c>
      <c r="AJ33" s="124">
        <f>AJ$21*shipping_manufacturing!$D$27/100</f>
        <v>35.634084932462457</v>
      </c>
      <c r="AK33" s="124">
        <f>AK$21*shipping_manufacturing!$D$27/100</f>
        <v>87.79874123554238</v>
      </c>
      <c r="AL33" s="124">
        <f>AL$21*shipping_manufacturing!$D$27/100</f>
        <v>0</v>
      </c>
      <c r="AM33" s="124">
        <f>AM$21*shipping_manufacturing!$D$27/100</f>
        <v>87.79874123554238</v>
      </c>
      <c r="AN33" s="124">
        <f>AN$21*shipping_manufacturing!$D$27/100</f>
        <v>87.79874123554238</v>
      </c>
      <c r="AO33" s="124">
        <f>AO$21*shipping_manufacturing!$D$27/100</f>
        <v>87.79874123554238</v>
      </c>
      <c r="AP33" s="124">
        <f>AP$21*shipping_manufacturing!$D$27/100</f>
        <v>87.79874123554238</v>
      </c>
      <c r="AQ33" s="124">
        <f>AQ$21*shipping_manufacturing!$D$27/100</f>
        <v>87.79874123554238</v>
      </c>
      <c r="AR33" s="124">
        <f>AR$21*shipping_manufacturing!$D$27/100</f>
        <v>87.79874123554238</v>
      </c>
      <c r="AS33" s="124">
        <f>AS$21*shipping_manufacturing!$D$27/100</f>
        <v>87.79874123554238</v>
      </c>
      <c r="AT33" s="124">
        <f>AT$21*shipping_manufacturing!$D$27/100</f>
        <v>87.79874123554238</v>
      </c>
      <c r="AU33" s="124">
        <f>AU$21*shipping_manufacturing!$D$27/100</f>
        <v>87.79874123554238</v>
      </c>
      <c r="AV33" s="124">
        <f>AV$21*shipping_manufacturing!$D$27/100</f>
        <v>87.79874123554238</v>
      </c>
      <c r="AW33" s="124">
        <f>AW$21*shipping_manufacturing!$D$27/100</f>
        <v>87.79874123554238</v>
      </c>
      <c r="AX33" s="124">
        <f>AX$21*shipping_manufacturing!$D$27/100</f>
        <v>87.79874123554238</v>
      </c>
      <c r="AY33" s="124">
        <f>AY$21*shipping_manufacturing!$D$27/100</f>
        <v>87.79874123554238</v>
      </c>
    </row>
    <row r="34" spans="1:52">
      <c r="A34" s="113" t="s">
        <v>340</v>
      </c>
      <c r="B34" s="165" t="s">
        <v>342</v>
      </c>
      <c r="C34" s="110"/>
      <c r="D34" s="110">
        <f>D$22*shipping_manufacturing!$E$27/100</f>
        <v>98.768430640312232</v>
      </c>
      <c r="E34" s="110">
        <f>E$22*shipping_manufacturing!$E$27/100</f>
        <v>98.768430640312232</v>
      </c>
      <c r="F34" s="110">
        <f>F$22*shipping_manufacturing!$E$27/100</f>
        <v>98.768430640312232</v>
      </c>
      <c r="G34" s="110">
        <f>G$22*shipping_manufacturing!$E$27/100</f>
        <v>0</v>
      </c>
      <c r="H34" s="110">
        <f>H$22*shipping_manufacturing!$E$27/100</f>
        <v>98.768430640312232</v>
      </c>
      <c r="I34" s="110">
        <f>I$22*shipping_manufacturing!$E$27/100</f>
        <v>98.768430640312232</v>
      </c>
      <c r="J34" s="110">
        <f>J$22*shipping_manufacturing!$E$27/100</f>
        <v>98.768430640312232</v>
      </c>
      <c r="K34" s="110">
        <f>K$22*shipping_manufacturing!$E$27/100</f>
        <v>98.768430640312232</v>
      </c>
      <c r="L34" s="110">
        <f>L$22*shipping_manufacturing!$E$27/100</f>
        <v>98.768430640312232</v>
      </c>
      <c r="M34" s="110">
        <f>M$22*shipping_manufacturing!$E$27/100</f>
        <v>98.768430640312232</v>
      </c>
      <c r="N34" s="110">
        <f>N$22*shipping_manufacturing!$E$27/100</f>
        <v>98.768430640312232</v>
      </c>
      <c r="O34" s="110">
        <f>O$22*shipping_manufacturing!$E$27/100</f>
        <v>98.768430640312232</v>
      </c>
      <c r="P34" s="110">
        <f>P$22*shipping_manufacturing!$E$27/100</f>
        <v>98.768430640312232</v>
      </c>
      <c r="Q34" s="110">
        <f>Q$22*shipping_manufacturing!$E$27/100</f>
        <v>98.768430640312232</v>
      </c>
      <c r="R34" s="110">
        <f>R$22*shipping_manufacturing!$E$27/100</f>
        <v>98.768430640312232</v>
      </c>
      <c r="S34" s="110">
        <f>S$22*shipping_manufacturing!$E$27/100</f>
        <v>98.768430640312232</v>
      </c>
      <c r="T34" s="110">
        <f>T$22*shipping_manufacturing!$E$27/100</f>
        <v>98.768430640312232</v>
      </c>
      <c r="U34" s="110">
        <f>U$22*shipping_manufacturing!$E$27/100</f>
        <v>98.768430640312232</v>
      </c>
      <c r="V34" s="110">
        <f>V$22*shipping_manufacturing!$E$27/100</f>
        <v>98.768430640312232</v>
      </c>
      <c r="W34" s="110">
        <f>W$22*shipping_manufacturing!$E$27/100</f>
        <v>98.768430640312232</v>
      </c>
      <c r="X34" s="110">
        <f>X$22*shipping_manufacturing!$E$27/100</f>
        <v>98.768430640312232</v>
      </c>
      <c r="Y34" s="110">
        <f>Y$22*shipping_manufacturing!$E$27/100</f>
        <v>98.768430640312232</v>
      </c>
      <c r="Z34" s="110">
        <f>Z$22*shipping_manufacturing!$E$27/100</f>
        <v>98.768430640312232</v>
      </c>
      <c r="AA34" s="110">
        <f>AA$22*shipping_manufacturing!$E$27/100</f>
        <v>98.768430640312232</v>
      </c>
      <c r="AB34" s="110">
        <f>AB$22*shipping_manufacturing!$E$27/100</f>
        <v>98.768430640312232</v>
      </c>
      <c r="AC34" s="110">
        <f>AC$22*shipping_manufacturing!$E$27/100</f>
        <v>98.768430640312232</v>
      </c>
      <c r="AD34" s="110">
        <f>AD$22*shipping_manufacturing!$E$27/100</f>
        <v>98.768430640312232</v>
      </c>
      <c r="AE34" s="110">
        <f>AE$22*shipping_manufacturing!$E$27/100</f>
        <v>98.768430640312232</v>
      </c>
      <c r="AF34" s="110">
        <f>AF$22*shipping_manufacturing!$E$27/100</f>
        <v>98.768430640312232</v>
      </c>
      <c r="AG34" s="110">
        <f>AG$22*shipping_manufacturing!$E$27/100</f>
        <v>98.768430640312232</v>
      </c>
      <c r="AH34" s="110">
        <f>AH$22*shipping_manufacturing!$E$27/100</f>
        <v>98.768430640312232</v>
      </c>
      <c r="AI34" s="110">
        <f>AI$22*shipping_manufacturing!$E$27/100</f>
        <v>98.768430640312232</v>
      </c>
      <c r="AJ34" s="110">
        <f>AJ$22*shipping_manufacturing!$E$27/100</f>
        <v>40.086254045953829</v>
      </c>
      <c r="AK34" s="110">
        <f>AK$22*shipping_manufacturing!$E$27/100</f>
        <v>98.768430640312232</v>
      </c>
      <c r="AL34" s="110">
        <f>AL$22*shipping_manufacturing!$E$27/100</f>
        <v>0</v>
      </c>
      <c r="AM34" s="110">
        <f>AM$22*shipping_manufacturing!$E$27/100</f>
        <v>98.768430640312232</v>
      </c>
      <c r="AN34" s="110">
        <f>AN$22*shipping_manufacturing!$E$27/100</f>
        <v>98.768430640312232</v>
      </c>
      <c r="AO34" s="110">
        <f>AO$22*shipping_manufacturing!$E$27/100</f>
        <v>98.768430640312232</v>
      </c>
      <c r="AP34" s="110">
        <f>AP$22*shipping_manufacturing!$E$27/100</f>
        <v>98.768430640312232</v>
      </c>
      <c r="AQ34" s="110">
        <f>AQ$22*shipping_manufacturing!$E$27/100</f>
        <v>98.768430640312232</v>
      </c>
      <c r="AR34" s="110">
        <f>AR$22*shipping_manufacturing!$E$27/100</f>
        <v>98.768430640312232</v>
      </c>
      <c r="AS34" s="110">
        <f>AS$22*shipping_manufacturing!$E$27/100</f>
        <v>98.768430640312232</v>
      </c>
      <c r="AT34" s="110">
        <f>AT$22*shipping_manufacturing!$E$27/100</f>
        <v>98.768430640312232</v>
      </c>
      <c r="AU34" s="110">
        <f>AU$22*shipping_manufacturing!$E$27/100</f>
        <v>98.768430640312232</v>
      </c>
      <c r="AV34" s="110">
        <f>AV$22*shipping_manufacturing!$E$27/100</f>
        <v>98.768430640312232</v>
      </c>
      <c r="AW34" s="110">
        <f>AW$22*shipping_manufacturing!$E$27/100</f>
        <v>98.768430640312232</v>
      </c>
      <c r="AX34" s="110">
        <f>AX$22*shipping_manufacturing!$E$27/100</f>
        <v>98.768430640312232</v>
      </c>
      <c r="AY34" s="110">
        <f>AY$22*shipping_manufacturing!$E$27/100</f>
        <v>98.768430640312232</v>
      </c>
    </row>
    <row r="35" spans="1:52">
      <c r="A35" s="110">
        <v>1225</v>
      </c>
      <c r="B35" s="165" t="s">
        <v>343</v>
      </c>
      <c r="C35" s="110"/>
      <c r="D35" s="110">
        <f>SUM(D33:D34)</f>
        <v>186.56717187585463</v>
      </c>
      <c r="E35" s="110">
        <f t="shared" ref="E35:AY35" si="11">SUM(E33:E34)</f>
        <v>186.56717187585463</v>
      </c>
      <c r="F35" s="110">
        <f t="shared" si="11"/>
        <v>186.56717187585463</v>
      </c>
      <c r="G35" s="110">
        <f t="shared" si="11"/>
        <v>0</v>
      </c>
      <c r="H35" s="110">
        <f t="shared" si="11"/>
        <v>186.56717187585463</v>
      </c>
      <c r="I35" s="110">
        <f t="shared" si="11"/>
        <v>186.56717187585463</v>
      </c>
      <c r="J35" s="110">
        <f t="shared" si="11"/>
        <v>186.56717187585463</v>
      </c>
      <c r="K35" s="110">
        <f t="shared" si="11"/>
        <v>186.56717187585463</v>
      </c>
      <c r="L35" s="110">
        <f t="shared" si="11"/>
        <v>186.56717187585463</v>
      </c>
      <c r="M35" s="110">
        <f t="shared" si="11"/>
        <v>186.56717187585463</v>
      </c>
      <c r="N35" s="110">
        <f t="shared" si="11"/>
        <v>186.56717187585463</v>
      </c>
      <c r="O35" s="110">
        <f t="shared" si="11"/>
        <v>186.56717187585463</v>
      </c>
      <c r="P35" s="110">
        <f t="shared" si="11"/>
        <v>186.56717187585463</v>
      </c>
      <c r="Q35" s="110">
        <f t="shared" si="11"/>
        <v>186.56717187585463</v>
      </c>
      <c r="R35" s="110">
        <f t="shared" si="11"/>
        <v>186.56717187585463</v>
      </c>
      <c r="S35" s="110">
        <f t="shared" si="11"/>
        <v>186.56717187585463</v>
      </c>
      <c r="T35" s="110">
        <f t="shared" si="11"/>
        <v>186.56717187585463</v>
      </c>
      <c r="U35" s="110">
        <f t="shared" si="11"/>
        <v>186.56717187585463</v>
      </c>
      <c r="V35" s="110">
        <f t="shared" si="11"/>
        <v>186.56717187585463</v>
      </c>
      <c r="W35" s="110">
        <f t="shared" si="11"/>
        <v>186.56717187585463</v>
      </c>
      <c r="X35" s="110">
        <f t="shared" si="11"/>
        <v>186.56717187585463</v>
      </c>
      <c r="Y35" s="110">
        <f t="shared" si="11"/>
        <v>186.56717187585463</v>
      </c>
      <c r="Z35" s="110">
        <f t="shared" si="11"/>
        <v>186.56717187585463</v>
      </c>
      <c r="AA35" s="110">
        <f t="shared" si="11"/>
        <v>186.56717187585463</v>
      </c>
      <c r="AB35" s="110">
        <f t="shared" si="11"/>
        <v>186.56717187585463</v>
      </c>
      <c r="AC35" s="110">
        <f t="shared" si="11"/>
        <v>186.56717187585463</v>
      </c>
      <c r="AD35" s="110">
        <f t="shared" si="11"/>
        <v>186.56717187585463</v>
      </c>
      <c r="AE35" s="110">
        <f t="shared" si="11"/>
        <v>186.56717187585463</v>
      </c>
      <c r="AF35" s="110">
        <f t="shared" si="11"/>
        <v>186.56717187585463</v>
      </c>
      <c r="AG35" s="110">
        <f t="shared" si="11"/>
        <v>186.56717187585463</v>
      </c>
      <c r="AH35" s="110">
        <f t="shared" si="11"/>
        <v>186.56717187585463</v>
      </c>
      <c r="AI35" s="110">
        <f t="shared" si="11"/>
        <v>186.56717187585463</v>
      </c>
      <c r="AJ35" s="110">
        <f t="shared" si="11"/>
        <v>75.720338978416294</v>
      </c>
      <c r="AK35" s="110">
        <f t="shared" si="11"/>
        <v>186.56717187585463</v>
      </c>
      <c r="AL35" s="110">
        <f t="shared" si="11"/>
        <v>0</v>
      </c>
      <c r="AM35" s="110">
        <f t="shared" si="11"/>
        <v>186.56717187585463</v>
      </c>
      <c r="AN35" s="110">
        <f t="shared" si="11"/>
        <v>186.56717187585463</v>
      </c>
      <c r="AO35" s="110">
        <f t="shared" si="11"/>
        <v>186.56717187585463</v>
      </c>
      <c r="AP35" s="110">
        <f t="shared" si="11"/>
        <v>186.56717187585463</v>
      </c>
      <c r="AQ35" s="110">
        <f t="shared" si="11"/>
        <v>186.56717187585463</v>
      </c>
      <c r="AR35" s="110">
        <f t="shared" si="11"/>
        <v>186.56717187585463</v>
      </c>
      <c r="AS35" s="110">
        <f t="shared" si="11"/>
        <v>186.56717187585463</v>
      </c>
      <c r="AT35" s="110">
        <f t="shared" si="11"/>
        <v>186.56717187585463</v>
      </c>
      <c r="AU35" s="110">
        <f t="shared" si="11"/>
        <v>186.56717187585463</v>
      </c>
      <c r="AV35" s="110">
        <f t="shared" si="11"/>
        <v>186.56717187585463</v>
      </c>
      <c r="AW35" s="110">
        <f t="shared" si="11"/>
        <v>186.56717187585463</v>
      </c>
      <c r="AX35" s="110">
        <f t="shared" si="11"/>
        <v>186.56717187585463</v>
      </c>
      <c r="AY35" s="110">
        <f t="shared" si="11"/>
        <v>186.56717187585463</v>
      </c>
    </row>
    <row r="36" spans="1:52">
      <c r="A36" s="110"/>
      <c r="B36" s="165" t="s">
        <v>344</v>
      </c>
      <c r="C36" s="110"/>
      <c r="D36" s="110"/>
      <c r="E36" s="110">
        <v>87.798741235542394</v>
      </c>
      <c r="F36" s="110"/>
      <c r="G36" s="110"/>
      <c r="H36" s="110">
        <v>87.798741235542394</v>
      </c>
      <c r="I36" s="110"/>
      <c r="J36" s="110">
        <v>87.798741235542394</v>
      </c>
      <c r="K36" s="110"/>
      <c r="L36" s="110">
        <v>87.798741235542394</v>
      </c>
      <c r="M36" s="110"/>
      <c r="N36" s="110">
        <v>87.798741235542394</v>
      </c>
      <c r="O36" s="110"/>
      <c r="P36" s="110">
        <v>87.798741235542394</v>
      </c>
      <c r="Q36" s="110"/>
      <c r="R36" s="110">
        <v>87.798741235542394</v>
      </c>
      <c r="S36" s="110"/>
      <c r="T36" s="110">
        <v>87.798741235542394</v>
      </c>
      <c r="U36" s="110"/>
      <c r="V36" s="110">
        <v>87.798741235542394</v>
      </c>
      <c r="W36" s="110"/>
      <c r="X36" s="110">
        <v>87.798741235542394</v>
      </c>
      <c r="Y36" s="110"/>
      <c r="Z36" s="110">
        <v>87.798741235542394</v>
      </c>
      <c r="AA36" s="110"/>
      <c r="AB36" s="110">
        <v>87.798741235542394</v>
      </c>
      <c r="AC36" s="110"/>
      <c r="AD36" s="110">
        <v>87.798741235542394</v>
      </c>
      <c r="AE36" s="110"/>
      <c r="AF36" s="110">
        <v>87.798741235542394</v>
      </c>
      <c r="AG36" s="110"/>
      <c r="AH36" s="110">
        <v>87.798741235542394</v>
      </c>
      <c r="AI36" s="110"/>
      <c r="AJ36" s="110">
        <v>35.634084932462457</v>
      </c>
      <c r="AK36" s="110">
        <v>42.354111024724553</v>
      </c>
      <c r="AL36" s="110"/>
      <c r="AM36" s="110">
        <v>87.798741235542394</v>
      </c>
      <c r="AN36" s="110"/>
      <c r="AO36" s="110">
        <v>87.798741235542394</v>
      </c>
      <c r="AP36" s="110"/>
      <c r="AQ36" s="110">
        <v>87.798741235542394</v>
      </c>
      <c r="AR36" s="110"/>
      <c r="AS36" s="110">
        <v>87.798741235542394</v>
      </c>
      <c r="AT36" s="110"/>
      <c r="AU36" s="110">
        <v>87.798741235542394</v>
      </c>
      <c r="AV36" s="110"/>
      <c r="AW36" s="110">
        <v>87.798741235542394</v>
      </c>
      <c r="AX36" s="110"/>
      <c r="AY36" s="110">
        <v>87.798741235542394</v>
      </c>
    </row>
    <row r="37" spans="1:52">
      <c r="A37" s="110"/>
      <c r="B37" s="165" t="s">
        <v>345</v>
      </c>
      <c r="C37" s="110"/>
      <c r="D37" s="110"/>
      <c r="E37" s="110">
        <v>98.768430640312232</v>
      </c>
      <c r="F37" s="110"/>
      <c r="G37" s="110"/>
      <c r="H37" s="110">
        <v>98.768430640312232</v>
      </c>
      <c r="I37" s="110"/>
      <c r="J37" s="110">
        <v>98.768430640312232</v>
      </c>
      <c r="K37" s="110"/>
      <c r="L37" s="110">
        <v>98.768430640312232</v>
      </c>
      <c r="M37" s="110"/>
      <c r="N37" s="110">
        <v>98.768430640312232</v>
      </c>
      <c r="O37" s="110"/>
      <c r="P37" s="110">
        <v>98.768430640312232</v>
      </c>
      <c r="Q37" s="110"/>
      <c r="R37" s="110">
        <v>98.768430640312232</v>
      </c>
      <c r="S37" s="110"/>
      <c r="T37" s="110">
        <v>98.768430640312232</v>
      </c>
      <c r="U37" s="110"/>
      <c r="V37" s="110">
        <v>98.768430640312232</v>
      </c>
      <c r="W37" s="110"/>
      <c r="X37" s="110">
        <v>98.768430640312232</v>
      </c>
      <c r="Y37" s="110"/>
      <c r="Z37" s="110">
        <v>98.768430640312232</v>
      </c>
      <c r="AA37" s="110"/>
      <c r="AB37" s="110">
        <v>98.768430640312232</v>
      </c>
      <c r="AC37" s="110"/>
      <c r="AD37" s="110">
        <v>98.768430640312232</v>
      </c>
      <c r="AE37" s="110"/>
      <c r="AF37" s="110">
        <v>98.768430640312232</v>
      </c>
      <c r="AG37" s="110"/>
      <c r="AH37" s="110">
        <v>98.768430640312232</v>
      </c>
      <c r="AI37" s="110"/>
      <c r="AJ37" s="110">
        <v>40.086254045953829</v>
      </c>
      <c r="AK37" s="110">
        <v>47.64588897527544</v>
      </c>
      <c r="AL37" s="110"/>
      <c r="AM37" s="110">
        <v>98.768430640312232</v>
      </c>
      <c r="AN37" s="110"/>
      <c r="AO37" s="110">
        <v>98.768430640312232</v>
      </c>
      <c r="AP37" s="110"/>
      <c r="AQ37" s="110">
        <v>98.768430640312232</v>
      </c>
      <c r="AR37" s="110"/>
      <c r="AS37" s="110">
        <v>98.768430640312232</v>
      </c>
      <c r="AT37" s="110"/>
      <c r="AU37" s="110">
        <v>98.768430640312232</v>
      </c>
      <c r="AV37" s="110"/>
      <c r="AW37" s="110">
        <v>98.768430640312232</v>
      </c>
      <c r="AX37" s="110"/>
      <c r="AY37" s="110">
        <v>98.768430640312232</v>
      </c>
    </row>
    <row r="38" spans="1:52">
      <c r="A38" s="110"/>
      <c r="B38" s="165" t="s">
        <v>346</v>
      </c>
      <c r="C38" s="110"/>
      <c r="D38" s="110"/>
      <c r="E38" s="110">
        <v>7</v>
      </c>
      <c r="F38" s="110"/>
      <c r="G38" s="110"/>
      <c r="H38" s="110">
        <v>7</v>
      </c>
      <c r="I38" s="110"/>
      <c r="J38" s="110">
        <v>7</v>
      </c>
      <c r="K38" s="110"/>
      <c r="L38" s="110">
        <v>7</v>
      </c>
      <c r="M38" s="110"/>
      <c r="N38" s="110">
        <v>7</v>
      </c>
      <c r="O38" s="110"/>
      <c r="P38" s="110">
        <v>7</v>
      </c>
      <c r="Q38" s="110"/>
      <c r="R38" s="110">
        <v>7</v>
      </c>
      <c r="S38" s="110"/>
      <c r="T38" s="110">
        <v>7</v>
      </c>
      <c r="U38" s="110"/>
      <c r="V38" s="110">
        <v>7</v>
      </c>
      <c r="W38" s="110"/>
      <c r="X38" s="110">
        <v>7</v>
      </c>
      <c r="Y38" s="110"/>
      <c r="Z38" s="110">
        <v>7</v>
      </c>
      <c r="AA38" s="110"/>
      <c r="AB38" s="110">
        <v>7</v>
      </c>
      <c r="AC38" s="110"/>
      <c r="AD38" s="110">
        <v>7</v>
      </c>
      <c r="AE38" s="110"/>
      <c r="AF38" s="110">
        <v>7</v>
      </c>
      <c r="AG38" s="110"/>
      <c r="AH38" s="110">
        <v>7</v>
      </c>
      <c r="AI38" s="110"/>
      <c r="AJ38" s="110">
        <v>3</v>
      </c>
      <c r="AK38" s="110">
        <v>3</v>
      </c>
      <c r="AL38" s="110"/>
      <c r="AM38" s="110">
        <v>7</v>
      </c>
      <c r="AN38" s="110"/>
      <c r="AO38" s="110">
        <v>7</v>
      </c>
      <c r="AP38" s="110"/>
      <c r="AQ38" s="110">
        <v>7</v>
      </c>
      <c r="AR38" s="110"/>
      <c r="AS38" s="110">
        <v>7</v>
      </c>
      <c r="AT38" s="110"/>
      <c r="AU38" s="110">
        <v>7</v>
      </c>
      <c r="AV38" s="110"/>
      <c r="AW38" s="110">
        <v>7</v>
      </c>
      <c r="AX38" s="110"/>
      <c r="AY38" s="110">
        <v>7</v>
      </c>
    </row>
    <row r="39" spans="1:52">
      <c r="A39" s="110"/>
      <c r="B39" s="165" t="s">
        <v>347</v>
      </c>
      <c r="C39" s="110"/>
      <c r="D39" s="110">
        <f>D33-D36</f>
        <v>87.79874123554238</v>
      </c>
      <c r="E39" s="110">
        <f t="shared" ref="E39:AY39" si="12">E33-E36</f>
        <v>0</v>
      </c>
      <c r="F39" s="110">
        <f t="shared" si="12"/>
        <v>87.79874123554238</v>
      </c>
      <c r="G39" s="110">
        <f t="shared" si="12"/>
        <v>0</v>
      </c>
      <c r="H39" s="110">
        <f t="shared" si="12"/>
        <v>0</v>
      </c>
      <c r="I39" s="110">
        <f t="shared" si="12"/>
        <v>87.79874123554238</v>
      </c>
      <c r="J39" s="110">
        <f t="shared" si="12"/>
        <v>0</v>
      </c>
      <c r="K39" s="110">
        <f t="shared" si="12"/>
        <v>87.79874123554238</v>
      </c>
      <c r="L39" s="110">
        <f t="shared" si="12"/>
        <v>0</v>
      </c>
      <c r="M39" s="110">
        <f t="shared" si="12"/>
        <v>87.79874123554238</v>
      </c>
      <c r="N39" s="110">
        <f t="shared" si="12"/>
        <v>0</v>
      </c>
      <c r="O39" s="110">
        <f t="shared" si="12"/>
        <v>87.79874123554238</v>
      </c>
      <c r="P39" s="110">
        <f t="shared" si="12"/>
        <v>0</v>
      </c>
      <c r="Q39" s="110">
        <f t="shared" si="12"/>
        <v>87.79874123554238</v>
      </c>
      <c r="R39" s="110">
        <f t="shared" si="12"/>
        <v>0</v>
      </c>
      <c r="S39" s="110">
        <f t="shared" si="12"/>
        <v>87.79874123554238</v>
      </c>
      <c r="T39" s="110">
        <f t="shared" si="12"/>
        <v>0</v>
      </c>
      <c r="U39" s="110">
        <f t="shared" si="12"/>
        <v>87.79874123554238</v>
      </c>
      <c r="V39" s="110">
        <f t="shared" si="12"/>
        <v>0</v>
      </c>
      <c r="W39" s="110">
        <f t="shared" si="12"/>
        <v>87.79874123554238</v>
      </c>
      <c r="X39" s="110">
        <f t="shared" si="12"/>
        <v>0</v>
      </c>
      <c r="Y39" s="110">
        <f t="shared" si="12"/>
        <v>87.79874123554238</v>
      </c>
      <c r="Z39" s="110">
        <f t="shared" si="12"/>
        <v>0</v>
      </c>
      <c r="AA39" s="110">
        <f t="shared" si="12"/>
        <v>87.79874123554238</v>
      </c>
      <c r="AB39" s="110">
        <f t="shared" si="12"/>
        <v>0</v>
      </c>
      <c r="AC39" s="110">
        <f t="shared" si="12"/>
        <v>87.79874123554238</v>
      </c>
      <c r="AD39" s="110">
        <f t="shared" si="12"/>
        <v>0</v>
      </c>
      <c r="AE39" s="110">
        <f t="shared" si="12"/>
        <v>87.79874123554238</v>
      </c>
      <c r="AF39" s="110">
        <f t="shared" si="12"/>
        <v>0</v>
      </c>
      <c r="AG39" s="110">
        <f t="shared" si="12"/>
        <v>87.79874123554238</v>
      </c>
      <c r="AH39" s="110">
        <f t="shared" si="12"/>
        <v>0</v>
      </c>
      <c r="AI39" s="110">
        <f t="shared" si="12"/>
        <v>87.79874123554238</v>
      </c>
      <c r="AJ39" s="110">
        <f t="shared" si="12"/>
        <v>0</v>
      </c>
      <c r="AK39" s="110">
        <f t="shared" si="12"/>
        <v>45.444630210817827</v>
      </c>
      <c r="AL39" s="110">
        <f t="shared" si="12"/>
        <v>0</v>
      </c>
      <c r="AM39" s="110">
        <f t="shared" si="12"/>
        <v>0</v>
      </c>
      <c r="AN39" s="110">
        <f t="shared" si="12"/>
        <v>87.79874123554238</v>
      </c>
      <c r="AO39" s="110">
        <f t="shared" si="12"/>
        <v>0</v>
      </c>
      <c r="AP39" s="110">
        <f t="shared" si="12"/>
        <v>87.79874123554238</v>
      </c>
      <c r="AQ39" s="110">
        <f t="shared" si="12"/>
        <v>0</v>
      </c>
      <c r="AR39" s="110">
        <f t="shared" si="12"/>
        <v>87.79874123554238</v>
      </c>
      <c r="AS39" s="110">
        <f t="shared" si="12"/>
        <v>0</v>
      </c>
      <c r="AT39" s="110">
        <f t="shared" si="12"/>
        <v>87.79874123554238</v>
      </c>
      <c r="AU39" s="110">
        <f t="shared" si="12"/>
        <v>0</v>
      </c>
      <c r="AV39" s="110">
        <f t="shared" si="12"/>
        <v>87.79874123554238</v>
      </c>
      <c r="AW39" s="110">
        <f t="shared" si="12"/>
        <v>0</v>
      </c>
      <c r="AX39" s="110">
        <f t="shared" si="12"/>
        <v>87.79874123554238</v>
      </c>
      <c r="AY39" s="110">
        <f t="shared" si="12"/>
        <v>0</v>
      </c>
    </row>
    <row r="40" spans="1:52">
      <c r="A40" s="110"/>
      <c r="B40" s="165" t="s">
        <v>348</v>
      </c>
      <c r="C40" s="110"/>
      <c r="D40" s="110">
        <f>D34-D37</f>
        <v>98.768430640312232</v>
      </c>
      <c r="E40" s="110">
        <f t="shared" ref="E40:AY40" si="13">E34-E37</f>
        <v>0</v>
      </c>
      <c r="F40" s="110">
        <f t="shared" si="13"/>
        <v>98.768430640312232</v>
      </c>
      <c r="G40" s="110">
        <f t="shared" si="13"/>
        <v>0</v>
      </c>
      <c r="H40" s="110">
        <f t="shared" si="13"/>
        <v>0</v>
      </c>
      <c r="I40" s="110">
        <f t="shared" si="13"/>
        <v>98.768430640312232</v>
      </c>
      <c r="J40" s="110">
        <f t="shared" si="13"/>
        <v>0</v>
      </c>
      <c r="K40" s="110">
        <f t="shared" si="13"/>
        <v>98.768430640312232</v>
      </c>
      <c r="L40" s="110">
        <f t="shared" si="13"/>
        <v>0</v>
      </c>
      <c r="M40" s="110">
        <f t="shared" si="13"/>
        <v>98.768430640312232</v>
      </c>
      <c r="N40" s="110">
        <f t="shared" si="13"/>
        <v>0</v>
      </c>
      <c r="O40" s="110">
        <f t="shared" si="13"/>
        <v>98.768430640312232</v>
      </c>
      <c r="P40" s="110">
        <f t="shared" si="13"/>
        <v>0</v>
      </c>
      <c r="Q40" s="110">
        <f t="shared" si="13"/>
        <v>98.768430640312232</v>
      </c>
      <c r="R40" s="110">
        <f t="shared" si="13"/>
        <v>0</v>
      </c>
      <c r="S40" s="110">
        <f t="shared" si="13"/>
        <v>98.768430640312232</v>
      </c>
      <c r="T40" s="110">
        <f t="shared" si="13"/>
        <v>0</v>
      </c>
      <c r="U40" s="110">
        <f t="shared" si="13"/>
        <v>98.768430640312232</v>
      </c>
      <c r="V40" s="110">
        <f t="shared" si="13"/>
        <v>0</v>
      </c>
      <c r="W40" s="110">
        <f t="shared" si="13"/>
        <v>98.768430640312232</v>
      </c>
      <c r="X40" s="110">
        <f t="shared" si="13"/>
        <v>0</v>
      </c>
      <c r="Y40" s="110">
        <f t="shared" si="13"/>
        <v>98.768430640312232</v>
      </c>
      <c r="Z40" s="110">
        <f t="shared" si="13"/>
        <v>0</v>
      </c>
      <c r="AA40" s="110">
        <f t="shared" si="13"/>
        <v>98.768430640312232</v>
      </c>
      <c r="AB40" s="110">
        <f t="shared" si="13"/>
        <v>0</v>
      </c>
      <c r="AC40" s="110">
        <f t="shared" si="13"/>
        <v>98.768430640312232</v>
      </c>
      <c r="AD40" s="110">
        <f t="shared" si="13"/>
        <v>0</v>
      </c>
      <c r="AE40" s="110">
        <f t="shared" si="13"/>
        <v>98.768430640312232</v>
      </c>
      <c r="AF40" s="110">
        <f t="shared" si="13"/>
        <v>0</v>
      </c>
      <c r="AG40" s="110">
        <f t="shared" si="13"/>
        <v>98.768430640312232</v>
      </c>
      <c r="AH40" s="110">
        <f t="shared" si="13"/>
        <v>0</v>
      </c>
      <c r="AI40" s="110">
        <f t="shared" si="13"/>
        <v>98.768430640312232</v>
      </c>
      <c r="AJ40" s="110">
        <f t="shared" si="13"/>
        <v>0</v>
      </c>
      <c r="AK40" s="110">
        <f t="shared" si="13"/>
        <v>51.122541665036792</v>
      </c>
      <c r="AL40" s="110">
        <f t="shared" si="13"/>
        <v>0</v>
      </c>
      <c r="AM40" s="110">
        <f t="shared" si="13"/>
        <v>0</v>
      </c>
      <c r="AN40" s="110">
        <f t="shared" si="13"/>
        <v>98.768430640312232</v>
      </c>
      <c r="AO40" s="110">
        <f t="shared" si="13"/>
        <v>0</v>
      </c>
      <c r="AP40" s="110">
        <f t="shared" si="13"/>
        <v>98.768430640312232</v>
      </c>
      <c r="AQ40" s="110">
        <f t="shared" si="13"/>
        <v>0</v>
      </c>
      <c r="AR40" s="110">
        <f t="shared" si="13"/>
        <v>98.768430640312232</v>
      </c>
      <c r="AS40" s="110">
        <f t="shared" si="13"/>
        <v>0</v>
      </c>
      <c r="AT40" s="110">
        <f t="shared" si="13"/>
        <v>98.768430640312232</v>
      </c>
      <c r="AU40" s="110">
        <f t="shared" si="13"/>
        <v>0</v>
      </c>
      <c r="AV40" s="110">
        <f t="shared" si="13"/>
        <v>98.768430640312232</v>
      </c>
      <c r="AW40" s="110">
        <f t="shared" si="13"/>
        <v>0</v>
      </c>
      <c r="AX40" s="110">
        <f t="shared" si="13"/>
        <v>98.768430640312232</v>
      </c>
      <c r="AY40" s="110">
        <f t="shared" si="13"/>
        <v>0</v>
      </c>
    </row>
    <row r="41" spans="1:52">
      <c r="A41" s="110"/>
      <c r="B41" s="165" t="s">
        <v>349</v>
      </c>
      <c r="C41" s="110"/>
      <c r="D41" s="110">
        <v>2</v>
      </c>
      <c r="E41" s="110">
        <v>2</v>
      </c>
      <c r="F41" s="110">
        <v>1</v>
      </c>
      <c r="G41" s="110">
        <v>2</v>
      </c>
      <c r="H41" s="110">
        <v>1</v>
      </c>
      <c r="I41" s="110">
        <v>1</v>
      </c>
      <c r="J41" s="110">
        <v>3</v>
      </c>
      <c r="K41" s="110">
        <v>1</v>
      </c>
      <c r="L41" s="110">
        <v>2</v>
      </c>
      <c r="M41" s="110">
        <v>1</v>
      </c>
      <c r="N41" s="110">
        <v>1</v>
      </c>
      <c r="O41" s="110">
        <v>1</v>
      </c>
      <c r="P41" s="110">
        <v>2</v>
      </c>
      <c r="Q41" s="110">
        <v>1</v>
      </c>
      <c r="R41" s="110">
        <v>1</v>
      </c>
      <c r="S41" s="110">
        <v>2</v>
      </c>
      <c r="T41" s="110">
        <v>3</v>
      </c>
      <c r="U41" s="110">
        <v>1</v>
      </c>
      <c r="V41" s="110">
        <v>1</v>
      </c>
      <c r="W41" s="110">
        <v>1</v>
      </c>
      <c r="X41" s="110">
        <v>1</v>
      </c>
      <c r="Y41" s="110">
        <v>1</v>
      </c>
      <c r="Z41" s="110">
        <v>3</v>
      </c>
      <c r="AA41" s="110">
        <v>3</v>
      </c>
      <c r="AB41" s="110">
        <v>1</v>
      </c>
      <c r="AC41" s="110">
        <v>2</v>
      </c>
      <c r="AD41" s="110">
        <v>1</v>
      </c>
      <c r="AE41" s="110">
        <v>1</v>
      </c>
      <c r="AF41" s="110">
        <v>1</v>
      </c>
      <c r="AG41" s="110">
        <v>2</v>
      </c>
      <c r="AH41" s="110">
        <v>2</v>
      </c>
      <c r="AI41" s="110">
        <v>1</v>
      </c>
      <c r="AJ41" s="110">
        <v>3</v>
      </c>
      <c r="AK41" s="110">
        <v>2</v>
      </c>
      <c r="AL41" s="110">
        <v>2</v>
      </c>
      <c r="AM41" s="110">
        <v>1</v>
      </c>
      <c r="AN41" s="110">
        <v>1</v>
      </c>
      <c r="AO41" s="110">
        <v>1</v>
      </c>
      <c r="AP41" s="110">
        <v>2</v>
      </c>
      <c r="AQ41" s="110">
        <v>2</v>
      </c>
      <c r="AR41" s="110">
        <v>1</v>
      </c>
      <c r="AS41" s="110">
        <v>1</v>
      </c>
      <c r="AT41" s="110">
        <v>1</v>
      </c>
      <c r="AU41" s="110">
        <v>2</v>
      </c>
      <c r="AV41" s="110">
        <v>3</v>
      </c>
      <c r="AW41" s="110">
        <v>1</v>
      </c>
      <c r="AX41" s="110">
        <v>1</v>
      </c>
      <c r="AY41" s="110">
        <v>1</v>
      </c>
    </row>
    <row r="42" spans="1:52">
      <c r="A42" s="110"/>
      <c r="B42" s="178" t="s">
        <v>350</v>
      </c>
      <c r="C42" s="110"/>
      <c r="D42" s="110">
        <v>0</v>
      </c>
      <c r="E42" s="110">
        <v>308700</v>
      </c>
      <c r="F42" s="110">
        <v>0</v>
      </c>
      <c r="G42" s="110">
        <v>0</v>
      </c>
      <c r="H42" s="110">
        <v>308700</v>
      </c>
      <c r="I42" s="110">
        <v>0</v>
      </c>
      <c r="J42" s="110">
        <v>308700</v>
      </c>
      <c r="K42" s="110">
        <v>0</v>
      </c>
      <c r="L42" s="110">
        <v>308700</v>
      </c>
      <c r="M42" s="110">
        <v>0</v>
      </c>
      <c r="N42" s="110">
        <v>308700</v>
      </c>
      <c r="O42" s="110">
        <v>0</v>
      </c>
      <c r="P42" s="110">
        <v>308700</v>
      </c>
      <c r="Q42" s="110">
        <v>0</v>
      </c>
      <c r="R42" s="110">
        <v>308700</v>
      </c>
      <c r="S42" s="110">
        <v>0</v>
      </c>
      <c r="T42" s="110">
        <v>308700</v>
      </c>
      <c r="U42" s="110">
        <v>0</v>
      </c>
      <c r="V42" s="110">
        <v>308700</v>
      </c>
      <c r="W42" s="110">
        <v>0</v>
      </c>
      <c r="X42" s="110">
        <v>308700</v>
      </c>
      <c r="Y42" s="110">
        <v>0</v>
      </c>
      <c r="Z42" s="110">
        <v>308700</v>
      </c>
      <c r="AA42" s="110">
        <v>0</v>
      </c>
      <c r="AB42" s="110">
        <v>308700</v>
      </c>
      <c r="AC42" s="110">
        <v>0</v>
      </c>
      <c r="AD42" s="110">
        <v>308700</v>
      </c>
      <c r="AE42" s="110">
        <v>0</v>
      </c>
      <c r="AF42" s="110">
        <v>308700</v>
      </c>
      <c r="AG42" s="110">
        <v>0</v>
      </c>
      <c r="AH42" s="110">
        <v>308700</v>
      </c>
      <c r="AI42" s="110">
        <v>0</v>
      </c>
      <c r="AJ42" s="110">
        <v>132300</v>
      </c>
      <c r="AK42" s="110">
        <v>132300</v>
      </c>
      <c r="AL42" s="110">
        <v>0</v>
      </c>
      <c r="AM42" s="110">
        <v>308700</v>
      </c>
      <c r="AN42" s="110">
        <v>0</v>
      </c>
      <c r="AO42" s="110">
        <v>308700</v>
      </c>
      <c r="AP42" s="110">
        <v>0</v>
      </c>
      <c r="AQ42" s="110">
        <v>308700</v>
      </c>
      <c r="AR42" s="110">
        <v>0</v>
      </c>
      <c r="AS42" s="110">
        <v>308700</v>
      </c>
      <c r="AT42" s="110">
        <v>0</v>
      </c>
      <c r="AU42" s="110">
        <v>308700</v>
      </c>
      <c r="AV42" s="110">
        <v>0</v>
      </c>
      <c r="AW42" s="110">
        <v>308700</v>
      </c>
      <c r="AX42" s="110">
        <v>0</v>
      </c>
      <c r="AY42" s="110">
        <v>308700</v>
      </c>
      <c r="AZ42" s="100">
        <f>SUM($D$42:$AY$42)</f>
        <v>7056000</v>
      </c>
    </row>
    <row r="43" spans="1:52">
      <c r="A43" s="110"/>
      <c r="B43" s="178" t="s">
        <v>351</v>
      </c>
      <c r="C43" s="110"/>
      <c r="D43" s="110">
        <v>148554.11060614925</v>
      </c>
      <c r="E43" s="110">
        <v>0</v>
      </c>
      <c r="F43" s="110">
        <v>148554.11060614925</v>
      </c>
      <c r="G43" s="110">
        <v>0</v>
      </c>
      <c r="H43" s="110">
        <v>0</v>
      </c>
      <c r="I43" s="110">
        <v>148554.11060614925</v>
      </c>
      <c r="J43" s="110">
        <v>0</v>
      </c>
      <c r="K43" s="110">
        <v>148554.11060614925</v>
      </c>
      <c r="L43" s="110">
        <v>0</v>
      </c>
      <c r="M43" s="110">
        <v>148554.11060614925</v>
      </c>
      <c r="N43" s="110">
        <v>0</v>
      </c>
      <c r="O43" s="110">
        <v>148554.11060614925</v>
      </c>
      <c r="P43" s="110">
        <v>0</v>
      </c>
      <c r="Q43" s="110">
        <v>148554.11060614925</v>
      </c>
      <c r="R43" s="110">
        <v>0</v>
      </c>
      <c r="S43" s="110">
        <v>148554.11060614925</v>
      </c>
      <c r="T43" s="110">
        <v>0</v>
      </c>
      <c r="U43" s="110">
        <v>148554.11060614925</v>
      </c>
      <c r="V43" s="110">
        <v>0</v>
      </c>
      <c r="W43" s="110">
        <v>148554.11060614925</v>
      </c>
      <c r="X43" s="110">
        <v>0</v>
      </c>
      <c r="Y43" s="110">
        <v>148554.11060614925</v>
      </c>
      <c r="Z43" s="110">
        <v>0</v>
      </c>
      <c r="AA43" s="110">
        <v>148554.11060614925</v>
      </c>
      <c r="AB43" s="110">
        <v>0</v>
      </c>
      <c r="AC43" s="110">
        <v>148554.11060614925</v>
      </c>
      <c r="AD43" s="110">
        <v>0</v>
      </c>
      <c r="AE43" s="110">
        <v>148554.11060614925</v>
      </c>
      <c r="AF43" s="110">
        <v>0</v>
      </c>
      <c r="AG43" s="110">
        <v>148554.11060614925</v>
      </c>
      <c r="AH43" s="110">
        <v>0</v>
      </c>
      <c r="AI43" s="110">
        <v>148554.11060614925</v>
      </c>
      <c r="AJ43" s="110">
        <v>0</v>
      </c>
      <c r="AK43" s="110">
        <v>76891.610606149246</v>
      </c>
      <c r="AL43" s="110">
        <v>0</v>
      </c>
      <c r="AM43" s="110">
        <v>0</v>
      </c>
      <c r="AN43" s="110">
        <v>148554.11060614925</v>
      </c>
      <c r="AO43" s="110">
        <v>0</v>
      </c>
      <c r="AP43" s="110">
        <v>148554.11060614925</v>
      </c>
      <c r="AQ43" s="110">
        <v>0</v>
      </c>
      <c r="AR43" s="110">
        <v>148554.11060614925</v>
      </c>
      <c r="AS43" s="110">
        <v>0</v>
      </c>
      <c r="AT43" s="110">
        <v>148554.11060614925</v>
      </c>
      <c r="AU43" s="110">
        <v>0</v>
      </c>
      <c r="AV43" s="110">
        <v>148554.11060614925</v>
      </c>
      <c r="AW43" s="110">
        <v>0</v>
      </c>
      <c r="AX43" s="110">
        <v>148554.11060614925</v>
      </c>
      <c r="AY43" s="110">
        <v>0</v>
      </c>
      <c r="AZ43" s="100">
        <f>SUM($D$43:$AY$43)</f>
        <v>3345082.0439414335</v>
      </c>
    </row>
    <row r="44" spans="1:52">
      <c r="A44" s="135" t="s">
        <v>46</v>
      </c>
      <c r="B44" s="135" t="s">
        <v>341</v>
      </c>
      <c r="C44" s="124"/>
      <c r="D44" s="124">
        <f>D$21*shipping_manufacturing!$D$28/100</f>
        <v>169.99999999999986</v>
      </c>
      <c r="E44" s="124">
        <f>E$21*shipping_manufacturing!$D$28/100</f>
        <v>169.99999999999986</v>
      </c>
      <c r="F44" s="124">
        <f>F$21*shipping_manufacturing!$D$28/100</f>
        <v>169.99999999999986</v>
      </c>
      <c r="G44" s="124">
        <f>G$21*shipping_manufacturing!$D$28/100</f>
        <v>0</v>
      </c>
      <c r="H44" s="124">
        <f>H$21*shipping_manufacturing!$D$28/100</f>
        <v>169.99999999999986</v>
      </c>
      <c r="I44" s="124">
        <f>I$21*shipping_manufacturing!$D$28/100</f>
        <v>169.99999999999986</v>
      </c>
      <c r="J44" s="124">
        <f>J$21*shipping_manufacturing!$D$28/100</f>
        <v>169.99999999999986</v>
      </c>
      <c r="K44" s="124">
        <f>K$21*shipping_manufacturing!$D$28/100</f>
        <v>169.99999999999986</v>
      </c>
      <c r="L44" s="124">
        <f>L$21*shipping_manufacturing!$D$28/100</f>
        <v>169.99999999999986</v>
      </c>
      <c r="M44" s="124">
        <f>M$21*shipping_manufacturing!$D$28/100</f>
        <v>169.99999999999986</v>
      </c>
      <c r="N44" s="124">
        <f>N$21*shipping_manufacturing!$D$28/100</f>
        <v>169.99999999999986</v>
      </c>
      <c r="O44" s="124">
        <f>O$21*shipping_manufacturing!$D$28/100</f>
        <v>169.99999999999986</v>
      </c>
      <c r="P44" s="124">
        <f>P$21*shipping_manufacturing!$D$28/100</f>
        <v>169.99999999999986</v>
      </c>
      <c r="Q44" s="124">
        <f>Q$21*shipping_manufacturing!$D$28/100</f>
        <v>169.99999999999986</v>
      </c>
      <c r="R44" s="124">
        <f>R$21*shipping_manufacturing!$D$28/100</f>
        <v>169.99999999999986</v>
      </c>
      <c r="S44" s="124">
        <f>S$21*shipping_manufacturing!$D$28/100</f>
        <v>169.99999999999986</v>
      </c>
      <c r="T44" s="124">
        <f>T$21*shipping_manufacturing!$D$28/100</f>
        <v>169.99999999999986</v>
      </c>
      <c r="U44" s="124">
        <f>U$21*shipping_manufacturing!$D$28/100</f>
        <v>169.99999999999986</v>
      </c>
      <c r="V44" s="124">
        <f>V$21*shipping_manufacturing!$D$28/100</f>
        <v>169.99999999999986</v>
      </c>
      <c r="W44" s="124">
        <f>W$21*shipping_manufacturing!$D$28/100</f>
        <v>169.99999999999986</v>
      </c>
      <c r="X44" s="124">
        <f>X$21*shipping_manufacturing!$D$28/100</f>
        <v>169.99999999999986</v>
      </c>
      <c r="Y44" s="124">
        <f>Y$21*shipping_manufacturing!$D$28/100</f>
        <v>169.99999999999986</v>
      </c>
      <c r="Z44" s="124">
        <f>Z$21*shipping_manufacturing!$D$28/100</f>
        <v>169.99999999999986</v>
      </c>
      <c r="AA44" s="124">
        <f>AA$21*shipping_manufacturing!$D$28/100</f>
        <v>169.99999999999986</v>
      </c>
      <c r="AB44" s="124">
        <f>AB$21*shipping_manufacturing!$D$28/100</f>
        <v>169.99999999999986</v>
      </c>
      <c r="AC44" s="124">
        <f>AC$21*shipping_manufacturing!$D$28/100</f>
        <v>169.99999999999986</v>
      </c>
      <c r="AD44" s="124">
        <f>AD$21*shipping_manufacturing!$D$28/100</f>
        <v>169.99999999999986</v>
      </c>
      <c r="AE44" s="124">
        <f>AE$21*shipping_manufacturing!$D$28/100</f>
        <v>169.99999999999986</v>
      </c>
      <c r="AF44" s="124">
        <f>AF$21*shipping_manufacturing!$D$28/100</f>
        <v>169.99999999999986</v>
      </c>
      <c r="AG44" s="124">
        <f>AG$21*shipping_manufacturing!$D$28/100</f>
        <v>169.99999999999986</v>
      </c>
      <c r="AH44" s="124">
        <f>AH$21*shipping_manufacturing!$D$28/100</f>
        <v>169.99999999999986</v>
      </c>
      <c r="AI44" s="124">
        <f>AI$21*shipping_manufacturing!$D$28/100</f>
        <v>169.99999999999986</v>
      </c>
      <c r="AJ44" s="124">
        <f>AJ$21*shipping_manufacturing!$D$28/100</f>
        <v>68.996370030716548</v>
      </c>
      <c r="AK44" s="124">
        <f>AK$21*shipping_manufacturing!$D$28/100</f>
        <v>169.99999999999986</v>
      </c>
      <c r="AL44" s="124">
        <f>AL$21*shipping_manufacturing!$D$28/100</f>
        <v>0</v>
      </c>
      <c r="AM44" s="124">
        <f>AM$21*shipping_manufacturing!$D$28/100</f>
        <v>169.99999999999986</v>
      </c>
      <c r="AN44" s="124">
        <f>AN$21*shipping_manufacturing!$D$28/100</f>
        <v>169.99999999999986</v>
      </c>
      <c r="AO44" s="124">
        <f>AO$21*shipping_manufacturing!$D$28/100</f>
        <v>169.99999999999986</v>
      </c>
      <c r="AP44" s="124">
        <f>AP$21*shipping_manufacturing!$D$28/100</f>
        <v>169.99999999999986</v>
      </c>
      <c r="AQ44" s="124">
        <f>AQ$21*shipping_manufacturing!$D$28/100</f>
        <v>169.99999999999986</v>
      </c>
      <c r="AR44" s="124">
        <f>AR$21*shipping_manufacturing!$D$28/100</f>
        <v>169.99999999999986</v>
      </c>
      <c r="AS44" s="124">
        <f>AS$21*shipping_manufacturing!$D$28/100</f>
        <v>169.99999999999986</v>
      </c>
      <c r="AT44" s="124">
        <f>AT$21*shipping_manufacturing!$D$28/100</f>
        <v>169.99999999999986</v>
      </c>
      <c r="AU44" s="124">
        <f>AU$21*shipping_manufacturing!$D$28/100</f>
        <v>169.99999999999986</v>
      </c>
      <c r="AV44" s="124">
        <f>AV$21*shipping_manufacturing!$D$28/100</f>
        <v>169.99999999999986</v>
      </c>
      <c r="AW44" s="124">
        <f>AW$21*shipping_manufacturing!$D$28/100</f>
        <v>169.99999999999986</v>
      </c>
      <c r="AX44" s="124">
        <f>AX$21*shipping_manufacturing!$D$28/100</f>
        <v>169.99999999999986</v>
      </c>
      <c r="AY44" s="124">
        <f>AY$21*shipping_manufacturing!$D$28/100</f>
        <v>169.99999999999986</v>
      </c>
    </row>
    <row r="45" spans="1:52">
      <c r="A45" s="113" t="s">
        <v>340</v>
      </c>
      <c r="B45" s="165" t="s">
        <v>342</v>
      </c>
      <c r="C45" s="110"/>
      <c r="D45" s="110">
        <f>D$22*shipping_manufacturing!$E$28/100</f>
        <v>243.43282812414552</v>
      </c>
      <c r="E45" s="110">
        <f>E$22*shipping_manufacturing!$E$28/100</f>
        <v>243.43282812414552</v>
      </c>
      <c r="F45" s="110">
        <f>F$22*shipping_manufacturing!$E$28/100</f>
        <v>243.43282812414552</v>
      </c>
      <c r="G45" s="110">
        <f>G$22*shipping_manufacturing!$E$28/100</f>
        <v>0</v>
      </c>
      <c r="H45" s="110">
        <f>H$22*shipping_manufacturing!$E$28/100</f>
        <v>243.43282812414552</v>
      </c>
      <c r="I45" s="110">
        <f>I$22*shipping_manufacturing!$E$28/100</f>
        <v>243.43282812414552</v>
      </c>
      <c r="J45" s="110">
        <f>J$22*shipping_manufacturing!$E$28/100</f>
        <v>243.43282812414552</v>
      </c>
      <c r="K45" s="110">
        <f>K$22*shipping_manufacturing!$E$28/100</f>
        <v>243.43282812414552</v>
      </c>
      <c r="L45" s="110">
        <f>L$22*shipping_manufacturing!$E$28/100</f>
        <v>243.43282812414552</v>
      </c>
      <c r="M45" s="110">
        <f>M$22*shipping_manufacturing!$E$28/100</f>
        <v>243.43282812414552</v>
      </c>
      <c r="N45" s="110">
        <f>N$22*shipping_manufacturing!$E$28/100</f>
        <v>243.43282812414552</v>
      </c>
      <c r="O45" s="110">
        <f>O$22*shipping_manufacturing!$E$28/100</f>
        <v>243.43282812414552</v>
      </c>
      <c r="P45" s="110">
        <f>P$22*shipping_manufacturing!$E$28/100</f>
        <v>243.43282812414552</v>
      </c>
      <c r="Q45" s="110">
        <f>Q$22*shipping_manufacturing!$E$28/100</f>
        <v>243.43282812414552</v>
      </c>
      <c r="R45" s="110">
        <f>R$22*shipping_manufacturing!$E$28/100</f>
        <v>243.43282812414552</v>
      </c>
      <c r="S45" s="110">
        <f>S$22*shipping_manufacturing!$E$28/100</f>
        <v>243.43282812414552</v>
      </c>
      <c r="T45" s="110">
        <f>T$22*shipping_manufacturing!$E$28/100</f>
        <v>243.43282812414552</v>
      </c>
      <c r="U45" s="110">
        <f>U$22*shipping_manufacturing!$E$28/100</f>
        <v>243.43282812414552</v>
      </c>
      <c r="V45" s="110">
        <f>V$22*shipping_manufacturing!$E$28/100</f>
        <v>243.43282812414552</v>
      </c>
      <c r="W45" s="110">
        <f>W$22*shipping_manufacturing!$E$28/100</f>
        <v>243.43282812414552</v>
      </c>
      <c r="X45" s="110">
        <f>X$22*shipping_manufacturing!$E$28/100</f>
        <v>243.43282812414552</v>
      </c>
      <c r="Y45" s="110">
        <f>Y$22*shipping_manufacturing!$E$28/100</f>
        <v>243.43282812414552</v>
      </c>
      <c r="Z45" s="110">
        <f>Z$22*shipping_manufacturing!$E$28/100</f>
        <v>243.43282812414552</v>
      </c>
      <c r="AA45" s="110">
        <f>AA$22*shipping_manufacturing!$E$28/100</f>
        <v>243.43282812414552</v>
      </c>
      <c r="AB45" s="110">
        <f>AB$22*shipping_manufacturing!$E$28/100</f>
        <v>243.43282812414552</v>
      </c>
      <c r="AC45" s="110">
        <f>AC$22*shipping_manufacturing!$E$28/100</f>
        <v>243.43282812414552</v>
      </c>
      <c r="AD45" s="110">
        <f>AD$22*shipping_manufacturing!$E$28/100</f>
        <v>243.43282812414552</v>
      </c>
      <c r="AE45" s="110">
        <f>AE$22*shipping_manufacturing!$E$28/100</f>
        <v>243.43282812414552</v>
      </c>
      <c r="AF45" s="110">
        <f>AF$22*shipping_manufacturing!$E$28/100</f>
        <v>243.43282812414552</v>
      </c>
      <c r="AG45" s="110">
        <f>AG$22*shipping_manufacturing!$E$28/100</f>
        <v>243.43282812414552</v>
      </c>
      <c r="AH45" s="110">
        <f>AH$22*shipping_manufacturing!$E$28/100</f>
        <v>243.43282812414552</v>
      </c>
      <c r="AI45" s="110">
        <f>AI$22*shipping_manufacturing!$E$28/100</f>
        <v>243.43282812414552</v>
      </c>
      <c r="AJ45" s="110">
        <f>AJ$22*shipping_manufacturing!$E$28/100</f>
        <v>98.799891099278696</v>
      </c>
      <c r="AK45" s="110">
        <f>AK$22*shipping_manufacturing!$E$28/100</f>
        <v>243.43282812414552</v>
      </c>
      <c r="AL45" s="110">
        <f>AL$22*shipping_manufacturing!$E$28/100</f>
        <v>0</v>
      </c>
      <c r="AM45" s="110">
        <f>AM$22*shipping_manufacturing!$E$28/100</f>
        <v>243.43282812414552</v>
      </c>
      <c r="AN45" s="110">
        <f>AN$22*shipping_manufacturing!$E$28/100</f>
        <v>243.43282812414552</v>
      </c>
      <c r="AO45" s="110">
        <f>AO$22*shipping_manufacturing!$E$28/100</f>
        <v>243.43282812414552</v>
      </c>
      <c r="AP45" s="110">
        <f>AP$22*shipping_manufacturing!$E$28/100</f>
        <v>243.43282812414552</v>
      </c>
      <c r="AQ45" s="110">
        <f>AQ$22*shipping_manufacturing!$E$28/100</f>
        <v>243.43282812414552</v>
      </c>
      <c r="AR45" s="110">
        <f>AR$22*shipping_manufacturing!$E$28/100</f>
        <v>243.43282812414552</v>
      </c>
      <c r="AS45" s="110">
        <f>AS$22*shipping_manufacturing!$E$28/100</f>
        <v>243.43282812414552</v>
      </c>
      <c r="AT45" s="110">
        <f>AT$22*shipping_manufacturing!$E$28/100</f>
        <v>243.43282812414552</v>
      </c>
      <c r="AU45" s="110">
        <f>AU$22*shipping_manufacturing!$E$28/100</f>
        <v>243.43282812414552</v>
      </c>
      <c r="AV45" s="110">
        <f>AV$22*shipping_manufacturing!$E$28/100</f>
        <v>243.43282812414552</v>
      </c>
      <c r="AW45" s="110">
        <f>AW$22*shipping_manufacturing!$E$28/100</f>
        <v>243.43282812414552</v>
      </c>
      <c r="AX45" s="110">
        <f>AX$22*shipping_manufacturing!$E$28/100</f>
        <v>243.43282812414552</v>
      </c>
      <c r="AY45" s="110">
        <f>AY$22*shipping_manufacturing!$E$28/100</f>
        <v>243.43282812414552</v>
      </c>
    </row>
    <row r="46" spans="1:52">
      <c r="A46" s="110">
        <v>89</v>
      </c>
      <c r="B46" s="165" t="s">
        <v>343</v>
      </c>
      <c r="C46" s="110"/>
      <c r="D46" s="110">
        <f>SUM(D44:D45)</f>
        <v>413.43282812414537</v>
      </c>
      <c r="E46" s="110">
        <f t="shared" ref="E46:AY46" si="14">SUM(E44:E45)</f>
        <v>413.43282812414537</v>
      </c>
      <c r="F46" s="110">
        <f t="shared" si="14"/>
        <v>413.43282812414537</v>
      </c>
      <c r="G46" s="110">
        <f t="shared" si="14"/>
        <v>0</v>
      </c>
      <c r="H46" s="110">
        <f t="shared" si="14"/>
        <v>413.43282812414537</v>
      </c>
      <c r="I46" s="110">
        <f t="shared" si="14"/>
        <v>413.43282812414537</v>
      </c>
      <c r="J46" s="110">
        <f t="shared" si="14"/>
        <v>413.43282812414537</v>
      </c>
      <c r="K46" s="110">
        <f t="shared" si="14"/>
        <v>413.43282812414537</v>
      </c>
      <c r="L46" s="110">
        <f t="shared" si="14"/>
        <v>413.43282812414537</v>
      </c>
      <c r="M46" s="110">
        <f t="shared" si="14"/>
        <v>413.43282812414537</v>
      </c>
      <c r="N46" s="110">
        <f t="shared" si="14"/>
        <v>413.43282812414537</v>
      </c>
      <c r="O46" s="110">
        <f t="shared" si="14"/>
        <v>413.43282812414537</v>
      </c>
      <c r="P46" s="110">
        <f t="shared" si="14"/>
        <v>413.43282812414537</v>
      </c>
      <c r="Q46" s="110">
        <f t="shared" si="14"/>
        <v>413.43282812414537</v>
      </c>
      <c r="R46" s="110">
        <f t="shared" si="14"/>
        <v>413.43282812414537</v>
      </c>
      <c r="S46" s="110">
        <f t="shared" si="14"/>
        <v>413.43282812414537</v>
      </c>
      <c r="T46" s="110">
        <f t="shared" si="14"/>
        <v>413.43282812414537</v>
      </c>
      <c r="U46" s="110">
        <f t="shared" si="14"/>
        <v>413.43282812414537</v>
      </c>
      <c r="V46" s="110">
        <f t="shared" si="14"/>
        <v>413.43282812414537</v>
      </c>
      <c r="W46" s="110">
        <f t="shared" si="14"/>
        <v>413.43282812414537</v>
      </c>
      <c r="X46" s="110">
        <f t="shared" si="14"/>
        <v>413.43282812414537</v>
      </c>
      <c r="Y46" s="110">
        <f t="shared" si="14"/>
        <v>413.43282812414537</v>
      </c>
      <c r="Z46" s="110">
        <f t="shared" si="14"/>
        <v>413.43282812414537</v>
      </c>
      <c r="AA46" s="110">
        <f t="shared" si="14"/>
        <v>413.43282812414537</v>
      </c>
      <c r="AB46" s="110">
        <f t="shared" si="14"/>
        <v>413.43282812414537</v>
      </c>
      <c r="AC46" s="110">
        <f t="shared" si="14"/>
        <v>413.43282812414537</v>
      </c>
      <c r="AD46" s="110">
        <f t="shared" si="14"/>
        <v>413.43282812414537</v>
      </c>
      <c r="AE46" s="110">
        <f t="shared" si="14"/>
        <v>413.43282812414537</v>
      </c>
      <c r="AF46" s="110">
        <f t="shared" si="14"/>
        <v>413.43282812414537</v>
      </c>
      <c r="AG46" s="110">
        <f t="shared" si="14"/>
        <v>413.43282812414537</v>
      </c>
      <c r="AH46" s="110">
        <f t="shared" si="14"/>
        <v>413.43282812414537</v>
      </c>
      <c r="AI46" s="110">
        <f t="shared" si="14"/>
        <v>413.43282812414537</v>
      </c>
      <c r="AJ46" s="110">
        <f t="shared" si="14"/>
        <v>167.79626112999523</v>
      </c>
      <c r="AK46" s="110">
        <f t="shared" si="14"/>
        <v>413.43282812414537</v>
      </c>
      <c r="AL46" s="110">
        <f t="shared" si="14"/>
        <v>0</v>
      </c>
      <c r="AM46" s="110">
        <f t="shared" si="14"/>
        <v>413.43282812414537</v>
      </c>
      <c r="AN46" s="110">
        <f t="shared" si="14"/>
        <v>413.43282812414537</v>
      </c>
      <c r="AO46" s="110">
        <f t="shared" si="14"/>
        <v>413.43282812414537</v>
      </c>
      <c r="AP46" s="110">
        <f t="shared" si="14"/>
        <v>413.43282812414537</v>
      </c>
      <c r="AQ46" s="110">
        <f t="shared" si="14"/>
        <v>413.43282812414537</v>
      </c>
      <c r="AR46" s="110">
        <f t="shared" si="14"/>
        <v>413.43282812414537</v>
      </c>
      <c r="AS46" s="110">
        <f t="shared" si="14"/>
        <v>413.43282812414537</v>
      </c>
      <c r="AT46" s="110">
        <f t="shared" si="14"/>
        <v>413.43282812414537</v>
      </c>
      <c r="AU46" s="110">
        <f t="shared" si="14"/>
        <v>413.43282812414537</v>
      </c>
      <c r="AV46" s="110">
        <f t="shared" si="14"/>
        <v>413.43282812414537</v>
      </c>
      <c r="AW46" s="110">
        <f t="shared" si="14"/>
        <v>413.43282812414537</v>
      </c>
      <c r="AX46" s="110">
        <f t="shared" si="14"/>
        <v>413.43282812414537</v>
      </c>
      <c r="AY46" s="110">
        <f t="shared" si="14"/>
        <v>413.43282812414537</v>
      </c>
    </row>
    <row r="47" spans="1:52">
      <c r="A47" s="110"/>
      <c r="B47" s="165" t="s">
        <v>344</v>
      </c>
      <c r="C47" s="110"/>
      <c r="D47" s="110">
        <v>12.335740301852786</v>
      </c>
      <c r="E47" s="110">
        <v>169.99999999999983</v>
      </c>
      <c r="F47" s="110">
        <v>12.335740301852786</v>
      </c>
      <c r="G47" s="110"/>
      <c r="H47" s="110">
        <v>169.99999999999983</v>
      </c>
      <c r="I47" s="110">
        <v>12.335740301852786</v>
      </c>
      <c r="J47" s="110">
        <v>169.99999999999983</v>
      </c>
      <c r="K47" s="110">
        <v>12.335740301852786</v>
      </c>
      <c r="L47" s="110">
        <v>169.99999999999983</v>
      </c>
      <c r="M47" s="110">
        <v>12.335740301852786</v>
      </c>
      <c r="N47" s="110">
        <v>169.99999999999983</v>
      </c>
      <c r="O47" s="110">
        <v>12.335740301852786</v>
      </c>
      <c r="P47" s="110">
        <v>169.99999999999983</v>
      </c>
      <c r="Q47" s="110">
        <v>12.335740301852786</v>
      </c>
      <c r="R47" s="110">
        <v>169.99999999999983</v>
      </c>
      <c r="S47" s="110">
        <v>12.335740301852786</v>
      </c>
      <c r="T47" s="110">
        <v>169.99999999999983</v>
      </c>
      <c r="U47" s="110">
        <v>12.335740301852786</v>
      </c>
      <c r="V47" s="110">
        <v>169.99999999999983</v>
      </c>
      <c r="W47" s="110">
        <v>12.335740301852786</v>
      </c>
      <c r="X47" s="110">
        <v>169.99999999999983</v>
      </c>
      <c r="Y47" s="110">
        <v>12.335740301852786</v>
      </c>
      <c r="Z47" s="110">
        <v>169.99999999999983</v>
      </c>
      <c r="AA47" s="110">
        <v>12.335740301852786</v>
      </c>
      <c r="AB47" s="110">
        <v>169.99999999999983</v>
      </c>
      <c r="AC47" s="110">
        <v>12.335740301852786</v>
      </c>
      <c r="AD47" s="110">
        <v>169.99999999999983</v>
      </c>
      <c r="AE47" s="110">
        <v>12.335740301852786</v>
      </c>
      <c r="AF47" s="110">
        <v>169.99999999999983</v>
      </c>
      <c r="AG47" s="110">
        <v>12.335740301852786</v>
      </c>
      <c r="AH47" s="110">
        <v>169.99999999999983</v>
      </c>
      <c r="AI47" s="110">
        <v>12.335740301852786</v>
      </c>
      <c r="AJ47" s="110">
        <v>68.996370030716548</v>
      </c>
      <c r="AK47" s="110">
        <v>123.35740301852783</v>
      </c>
      <c r="AL47" s="110"/>
      <c r="AM47" s="110">
        <v>169.99999999999983</v>
      </c>
      <c r="AN47" s="110">
        <v>12.335740301852786</v>
      </c>
      <c r="AO47" s="110">
        <v>169.99999999999983</v>
      </c>
      <c r="AP47" s="110">
        <v>12.335740301852786</v>
      </c>
      <c r="AQ47" s="110">
        <v>169.99999999999983</v>
      </c>
      <c r="AR47" s="110">
        <v>12.335740301852786</v>
      </c>
      <c r="AS47" s="110">
        <v>169.99999999999983</v>
      </c>
      <c r="AT47" s="110">
        <v>12.335740301852786</v>
      </c>
      <c r="AU47" s="110">
        <v>169.99999999999983</v>
      </c>
      <c r="AV47" s="110">
        <v>12.335740301852786</v>
      </c>
      <c r="AW47" s="110">
        <v>169.99999999999983</v>
      </c>
      <c r="AX47" s="110">
        <v>12.335740301852786</v>
      </c>
      <c r="AY47" s="110">
        <v>169.99999999999983</v>
      </c>
    </row>
    <row r="48" spans="1:52">
      <c r="A48" s="110"/>
      <c r="B48" s="165" t="s">
        <v>345</v>
      </c>
      <c r="C48" s="110"/>
      <c r="D48" s="110">
        <v>17.664259698147216</v>
      </c>
      <c r="E48" s="110">
        <v>243.43282812414554</v>
      </c>
      <c r="F48" s="110">
        <v>17.664259698147216</v>
      </c>
      <c r="G48" s="110"/>
      <c r="H48" s="110">
        <v>243.43282812414554</v>
      </c>
      <c r="I48" s="110">
        <v>17.664259698147216</v>
      </c>
      <c r="J48" s="110">
        <v>243.43282812414554</v>
      </c>
      <c r="K48" s="110">
        <v>17.664259698147216</v>
      </c>
      <c r="L48" s="110">
        <v>243.43282812414554</v>
      </c>
      <c r="M48" s="110">
        <v>17.664259698147216</v>
      </c>
      <c r="N48" s="110">
        <v>243.43282812414554</v>
      </c>
      <c r="O48" s="110">
        <v>17.664259698147216</v>
      </c>
      <c r="P48" s="110">
        <v>243.43282812414554</v>
      </c>
      <c r="Q48" s="110">
        <v>17.664259698147216</v>
      </c>
      <c r="R48" s="110">
        <v>243.43282812414554</v>
      </c>
      <c r="S48" s="110">
        <v>17.664259698147216</v>
      </c>
      <c r="T48" s="110">
        <v>243.43282812414554</v>
      </c>
      <c r="U48" s="110">
        <v>17.664259698147216</v>
      </c>
      <c r="V48" s="110">
        <v>243.43282812414554</v>
      </c>
      <c r="W48" s="110">
        <v>17.664259698147216</v>
      </c>
      <c r="X48" s="110">
        <v>243.43282812414554</v>
      </c>
      <c r="Y48" s="110">
        <v>17.664259698147216</v>
      </c>
      <c r="Z48" s="110">
        <v>243.43282812414554</v>
      </c>
      <c r="AA48" s="110">
        <v>17.664259698147216</v>
      </c>
      <c r="AB48" s="110">
        <v>243.43282812414554</v>
      </c>
      <c r="AC48" s="110">
        <v>17.664259698147216</v>
      </c>
      <c r="AD48" s="110">
        <v>243.43282812414554</v>
      </c>
      <c r="AE48" s="110">
        <v>17.664259698147216</v>
      </c>
      <c r="AF48" s="110">
        <v>243.43282812414554</v>
      </c>
      <c r="AG48" s="110">
        <v>17.664259698147216</v>
      </c>
      <c r="AH48" s="110">
        <v>243.43282812414554</v>
      </c>
      <c r="AI48" s="110">
        <v>17.664259698147216</v>
      </c>
      <c r="AJ48" s="110">
        <v>98.79989109927871</v>
      </c>
      <c r="AK48" s="110">
        <v>176.64259698147217</v>
      </c>
      <c r="AL48" s="110"/>
      <c r="AM48" s="110">
        <v>243.43282812414554</v>
      </c>
      <c r="AN48" s="110">
        <v>17.664259698147216</v>
      </c>
      <c r="AO48" s="110">
        <v>243.43282812414554</v>
      </c>
      <c r="AP48" s="110">
        <v>17.664259698147216</v>
      </c>
      <c r="AQ48" s="110">
        <v>243.43282812414554</v>
      </c>
      <c r="AR48" s="110">
        <v>17.664259698147216</v>
      </c>
      <c r="AS48" s="110">
        <v>243.43282812414554</v>
      </c>
      <c r="AT48" s="110">
        <v>17.664259698147216</v>
      </c>
      <c r="AU48" s="110">
        <v>243.43282812414554</v>
      </c>
      <c r="AV48" s="110">
        <v>17.664259698147216</v>
      </c>
      <c r="AW48" s="110">
        <v>243.43282812414554</v>
      </c>
      <c r="AX48" s="110">
        <v>17.664259698147216</v>
      </c>
      <c r="AY48" s="110">
        <v>243.43282812414554</v>
      </c>
    </row>
    <row r="49" spans="1:52">
      <c r="A49" s="110"/>
      <c r="B49" s="165" t="s">
        <v>346</v>
      </c>
      <c r="C49" s="110"/>
      <c r="D49" s="110">
        <v>1</v>
      </c>
      <c r="E49" s="110">
        <v>14</v>
      </c>
      <c r="F49" s="110">
        <v>1</v>
      </c>
      <c r="G49" s="110"/>
      <c r="H49" s="110">
        <v>14</v>
      </c>
      <c r="I49" s="110">
        <v>1</v>
      </c>
      <c r="J49" s="110">
        <v>14</v>
      </c>
      <c r="K49" s="110">
        <v>1</v>
      </c>
      <c r="L49" s="110">
        <v>14</v>
      </c>
      <c r="M49" s="110">
        <v>1</v>
      </c>
      <c r="N49" s="110">
        <v>14</v>
      </c>
      <c r="O49" s="110">
        <v>1</v>
      </c>
      <c r="P49" s="110">
        <v>14</v>
      </c>
      <c r="Q49" s="110">
        <v>1</v>
      </c>
      <c r="R49" s="110">
        <v>14</v>
      </c>
      <c r="S49" s="110">
        <v>1</v>
      </c>
      <c r="T49" s="110">
        <v>14</v>
      </c>
      <c r="U49" s="110">
        <v>1</v>
      </c>
      <c r="V49" s="110">
        <v>14</v>
      </c>
      <c r="W49" s="110">
        <v>1</v>
      </c>
      <c r="X49" s="110">
        <v>14</v>
      </c>
      <c r="Y49" s="110">
        <v>1</v>
      </c>
      <c r="Z49" s="110">
        <v>14</v>
      </c>
      <c r="AA49" s="110">
        <v>1</v>
      </c>
      <c r="AB49" s="110">
        <v>14</v>
      </c>
      <c r="AC49" s="110">
        <v>1</v>
      </c>
      <c r="AD49" s="110">
        <v>14</v>
      </c>
      <c r="AE49" s="110">
        <v>1</v>
      </c>
      <c r="AF49" s="110">
        <v>14</v>
      </c>
      <c r="AG49" s="110">
        <v>1</v>
      </c>
      <c r="AH49" s="110">
        <v>14</v>
      </c>
      <c r="AI49" s="110">
        <v>1</v>
      </c>
      <c r="AJ49" s="110">
        <v>6</v>
      </c>
      <c r="AK49" s="110">
        <v>10</v>
      </c>
      <c r="AL49" s="110"/>
      <c r="AM49" s="110">
        <v>14</v>
      </c>
      <c r="AN49" s="110">
        <v>1</v>
      </c>
      <c r="AO49" s="110">
        <v>14</v>
      </c>
      <c r="AP49" s="110">
        <v>1</v>
      </c>
      <c r="AQ49" s="110">
        <v>14</v>
      </c>
      <c r="AR49" s="110">
        <v>1</v>
      </c>
      <c r="AS49" s="110">
        <v>14</v>
      </c>
      <c r="AT49" s="110">
        <v>1</v>
      </c>
      <c r="AU49" s="110">
        <v>14</v>
      </c>
      <c r="AV49" s="110">
        <v>1</v>
      </c>
      <c r="AW49" s="110">
        <v>14</v>
      </c>
      <c r="AX49" s="110">
        <v>1</v>
      </c>
      <c r="AY49" s="110">
        <v>14</v>
      </c>
    </row>
    <row r="50" spans="1:52">
      <c r="A50" s="110"/>
      <c r="B50" s="165" t="s">
        <v>347</v>
      </c>
      <c r="C50" s="110"/>
      <c r="D50" s="110">
        <f>D44-D47</f>
        <v>157.66425969814708</v>
      </c>
      <c r="E50" s="110">
        <f t="shared" ref="E50:AY50" si="15">E44-E47</f>
        <v>0</v>
      </c>
      <c r="F50" s="110">
        <f t="shared" si="15"/>
        <v>157.66425969814708</v>
      </c>
      <c r="G50" s="110">
        <f t="shared" si="15"/>
        <v>0</v>
      </c>
      <c r="H50" s="110">
        <f t="shared" si="15"/>
        <v>0</v>
      </c>
      <c r="I50" s="110">
        <f t="shared" si="15"/>
        <v>157.66425969814708</v>
      </c>
      <c r="J50" s="110">
        <f t="shared" si="15"/>
        <v>0</v>
      </c>
      <c r="K50" s="110">
        <f t="shared" si="15"/>
        <v>157.66425969814708</v>
      </c>
      <c r="L50" s="110">
        <f t="shared" si="15"/>
        <v>0</v>
      </c>
      <c r="M50" s="110">
        <f t="shared" si="15"/>
        <v>157.66425969814708</v>
      </c>
      <c r="N50" s="110">
        <f t="shared" si="15"/>
        <v>0</v>
      </c>
      <c r="O50" s="110">
        <f t="shared" si="15"/>
        <v>157.66425969814708</v>
      </c>
      <c r="P50" s="110">
        <f t="shared" si="15"/>
        <v>0</v>
      </c>
      <c r="Q50" s="110">
        <f t="shared" si="15"/>
        <v>157.66425969814708</v>
      </c>
      <c r="R50" s="110">
        <f t="shared" si="15"/>
        <v>0</v>
      </c>
      <c r="S50" s="110">
        <f t="shared" si="15"/>
        <v>157.66425969814708</v>
      </c>
      <c r="T50" s="110">
        <f t="shared" si="15"/>
        <v>0</v>
      </c>
      <c r="U50" s="110">
        <f t="shared" si="15"/>
        <v>157.66425969814708</v>
      </c>
      <c r="V50" s="110">
        <f t="shared" si="15"/>
        <v>0</v>
      </c>
      <c r="W50" s="110">
        <f t="shared" si="15"/>
        <v>157.66425969814708</v>
      </c>
      <c r="X50" s="110">
        <f t="shared" si="15"/>
        <v>0</v>
      </c>
      <c r="Y50" s="110">
        <f t="shared" si="15"/>
        <v>157.66425969814708</v>
      </c>
      <c r="Z50" s="110">
        <f t="shared" si="15"/>
        <v>0</v>
      </c>
      <c r="AA50" s="110">
        <f t="shared" si="15"/>
        <v>157.66425969814708</v>
      </c>
      <c r="AB50" s="110">
        <f t="shared" si="15"/>
        <v>0</v>
      </c>
      <c r="AC50" s="110">
        <f t="shared" si="15"/>
        <v>157.66425969814708</v>
      </c>
      <c r="AD50" s="110">
        <f t="shared" si="15"/>
        <v>0</v>
      </c>
      <c r="AE50" s="110">
        <f t="shared" si="15"/>
        <v>157.66425969814708</v>
      </c>
      <c r="AF50" s="110">
        <f t="shared" si="15"/>
        <v>0</v>
      </c>
      <c r="AG50" s="110">
        <f t="shared" si="15"/>
        <v>157.66425969814708</v>
      </c>
      <c r="AH50" s="110">
        <f t="shared" si="15"/>
        <v>0</v>
      </c>
      <c r="AI50" s="110">
        <f t="shared" si="15"/>
        <v>157.66425969814708</v>
      </c>
      <c r="AJ50" s="110">
        <f t="shared" si="15"/>
        <v>0</v>
      </c>
      <c r="AK50" s="110">
        <f t="shared" si="15"/>
        <v>46.642596981472025</v>
      </c>
      <c r="AL50" s="110">
        <f t="shared" si="15"/>
        <v>0</v>
      </c>
      <c r="AM50" s="110">
        <f t="shared" si="15"/>
        <v>0</v>
      </c>
      <c r="AN50" s="110">
        <f t="shared" si="15"/>
        <v>157.66425969814708</v>
      </c>
      <c r="AO50" s="110">
        <f t="shared" si="15"/>
        <v>0</v>
      </c>
      <c r="AP50" s="110">
        <f t="shared" si="15"/>
        <v>157.66425969814708</v>
      </c>
      <c r="AQ50" s="110">
        <f t="shared" si="15"/>
        <v>0</v>
      </c>
      <c r="AR50" s="110">
        <f t="shared" si="15"/>
        <v>157.66425969814708</v>
      </c>
      <c r="AS50" s="110">
        <f t="shared" si="15"/>
        <v>0</v>
      </c>
      <c r="AT50" s="110">
        <f t="shared" si="15"/>
        <v>157.66425969814708</v>
      </c>
      <c r="AU50" s="110">
        <f t="shared" si="15"/>
        <v>0</v>
      </c>
      <c r="AV50" s="110">
        <f t="shared" si="15"/>
        <v>157.66425969814708</v>
      </c>
      <c r="AW50" s="110">
        <f t="shared" si="15"/>
        <v>0</v>
      </c>
      <c r="AX50" s="110">
        <f t="shared" si="15"/>
        <v>157.66425969814708</v>
      </c>
      <c r="AY50" s="110">
        <f t="shared" si="15"/>
        <v>0</v>
      </c>
    </row>
    <row r="51" spans="1:52">
      <c r="A51" s="110"/>
      <c r="B51" s="165" t="s">
        <v>348</v>
      </c>
      <c r="C51" s="110"/>
      <c r="D51" s="110">
        <f>D45-D48</f>
        <v>225.7685684259983</v>
      </c>
      <c r="E51" s="110">
        <f t="shared" ref="E51:AY51" si="16">E45-E48</f>
        <v>0</v>
      </c>
      <c r="F51" s="110">
        <f t="shared" si="16"/>
        <v>225.7685684259983</v>
      </c>
      <c r="G51" s="110">
        <f t="shared" si="16"/>
        <v>0</v>
      </c>
      <c r="H51" s="110">
        <f t="shared" si="16"/>
        <v>0</v>
      </c>
      <c r="I51" s="110">
        <f t="shared" si="16"/>
        <v>225.7685684259983</v>
      </c>
      <c r="J51" s="110">
        <f t="shared" si="16"/>
        <v>0</v>
      </c>
      <c r="K51" s="110">
        <f t="shared" si="16"/>
        <v>225.7685684259983</v>
      </c>
      <c r="L51" s="110">
        <f t="shared" si="16"/>
        <v>0</v>
      </c>
      <c r="M51" s="110">
        <f t="shared" si="16"/>
        <v>225.7685684259983</v>
      </c>
      <c r="N51" s="110">
        <f t="shared" si="16"/>
        <v>0</v>
      </c>
      <c r="O51" s="110">
        <f t="shared" si="16"/>
        <v>225.7685684259983</v>
      </c>
      <c r="P51" s="110">
        <f t="shared" si="16"/>
        <v>0</v>
      </c>
      <c r="Q51" s="110">
        <f t="shared" si="16"/>
        <v>225.7685684259983</v>
      </c>
      <c r="R51" s="110">
        <f t="shared" si="16"/>
        <v>0</v>
      </c>
      <c r="S51" s="110">
        <f t="shared" si="16"/>
        <v>225.7685684259983</v>
      </c>
      <c r="T51" s="110">
        <f t="shared" si="16"/>
        <v>0</v>
      </c>
      <c r="U51" s="110">
        <f t="shared" si="16"/>
        <v>225.7685684259983</v>
      </c>
      <c r="V51" s="110">
        <f t="shared" si="16"/>
        <v>0</v>
      </c>
      <c r="W51" s="110">
        <f t="shared" si="16"/>
        <v>225.7685684259983</v>
      </c>
      <c r="X51" s="110">
        <f t="shared" si="16"/>
        <v>0</v>
      </c>
      <c r="Y51" s="110">
        <f t="shared" si="16"/>
        <v>225.7685684259983</v>
      </c>
      <c r="Z51" s="110">
        <f t="shared" si="16"/>
        <v>0</v>
      </c>
      <c r="AA51" s="110">
        <f t="shared" si="16"/>
        <v>225.7685684259983</v>
      </c>
      <c r="AB51" s="110">
        <f t="shared" si="16"/>
        <v>0</v>
      </c>
      <c r="AC51" s="110">
        <f t="shared" si="16"/>
        <v>225.7685684259983</v>
      </c>
      <c r="AD51" s="110">
        <f t="shared" si="16"/>
        <v>0</v>
      </c>
      <c r="AE51" s="110">
        <f t="shared" si="16"/>
        <v>225.7685684259983</v>
      </c>
      <c r="AF51" s="110">
        <f t="shared" si="16"/>
        <v>0</v>
      </c>
      <c r="AG51" s="110">
        <f t="shared" si="16"/>
        <v>225.7685684259983</v>
      </c>
      <c r="AH51" s="110">
        <f t="shared" si="16"/>
        <v>0</v>
      </c>
      <c r="AI51" s="110">
        <f t="shared" si="16"/>
        <v>225.7685684259983</v>
      </c>
      <c r="AJ51" s="110">
        <f t="shared" si="16"/>
        <v>0</v>
      </c>
      <c r="AK51" s="110">
        <f t="shared" si="16"/>
        <v>66.790231142673349</v>
      </c>
      <c r="AL51" s="110">
        <f t="shared" si="16"/>
        <v>0</v>
      </c>
      <c r="AM51" s="110">
        <f t="shared" si="16"/>
        <v>0</v>
      </c>
      <c r="AN51" s="110">
        <f t="shared" si="16"/>
        <v>225.7685684259983</v>
      </c>
      <c r="AO51" s="110">
        <f t="shared" si="16"/>
        <v>0</v>
      </c>
      <c r="AP51" s="110">
        <f t="shared" si="16"/>
        <v>225.7685684259983</v>
      </c>
      <c r="AQ51" s="110">
        <f t="shared" si="16"/>
        <v>0</v>
      </c>
      <c r="AR51" s="110">
        <f t="shared" si="16"/>
        <v>225.7685684259983</v>
      </c>
      <c r="AS51" s="110">
        <f t="shared" si="16"/>
        <v>0</v>
      </c>
      <c r="AT51" s="110">
        <f t="shared" si="16"/>
        <v>225.7685684259983</v>
      </c>
      <c r="AU51" s="110">
        <f t="shared" si="16"/>
        <v>0</v>
      </c>
      <c r="AV51" s="110">
        <f t="shared" si="16"/>
        <v>225.7685684259983</v>
      </c>
      <c r="AW51" s="110">
        <f t="shared" si="16"/>
        <v>0</v>
      </c>
      <c r="AX51" s="110">
        <f t="shared" si="16"/>
        <v>225.7685684259983</v>
      </c>
      <c r="AY51" s="110">
        <f t="shared" si="16"/>
        <v>0</v>
      </c>
    </row>
    <row r="52" spans="1:52">
      <c r="A52" s="110"/>
      <c r="B52" s="165" t="s">
        <v>349</v>
      </c>
      <c r="C52" s="110"/>
      <c r="D52" s="110">
        <v>1</v>
      </c>
      <c r="E52" s="110">
        <v>1</v>
      </c>
      <c r="F52" s="110">
        <v>1</v>
      </c>
      <c r="G52" s="110">
        <v>1</v>
      </c>
      <c r="H52" s="110">
        <v>3</v>
      </c>
      <c r="I52" s="110">
        <v>1</v>
      </c>
      <c r="J52" s="110">
        <v>2</v>
      </c>
      <c r="K52" s="110">
        <v>2</v>
      </c>
      <c r="L52" s="110">
        <v>2</v>
      </c>
      <c r="M52" s="110">
        <v>1</v>
      </c>
      <c r="N52" s="110">
        <v>2</v>
      </c>
      <c r="O52" s="110">
        <v>1</v>
      </c>
      <c r="P52" s="110">
        <v>2</v>
      </c>
      <c r="Q52" s="110">
        <v>2</v>
      </c>
      <c r="R52" s="110">
        <v>2</v>
      </c>
      <c r="S52" s="110">
        <v>3</v>
      </c>
      <c r="T52" s="110">
        <v>1</v>
      </c>
      <c r="U52" s="110">
        <v>2</v>
      </c>
      <c r="V52" s="110">
        <v>1</v>
      </c>
      <c r="W52" s="110">
        <v>3</v>
      </c>
      <c r="X52" s="110">
        <v>1</v>
      </c>
      <c r="Y52" s="110">
        <v>2</v>
      </c>
      <c r="Z52" s="110">
        <v>1</v>
      </c>
      <c r="AA52" s="110">
        <v>2</v>
      </c>
      <c r="AB52" s="110">
        <v>3</v>
      </c>
      <c r="AC52" s="110">
        <v>1</v>
      </c>
      <c r="AD52" s="110">
        <v>1</v>
      </c>
      <c r="AE52" s="110">
        <v>3</v>
      </c>
      <c r="AF52" s="110">
        <v>1</v>
      </c>
      <c r="AG52" s="110">
        <v>2</v>
      </c>
      <c r="AH52" s="110">
        <v>2</v>
      </c>
      <c r="AI52" s="110">
        <v>2</v>
      </c>
      <c r="AJ52" s="110">
        <v>1</v>
      </c>
      <c r="AK52" s="110">
        <v>2</v>
      </c>
      <c r="AL52" s="110">
        <v>1</v>
      </c>
      <c r="AM52" s="110">
        <v>3</v>
      </c>
      <c r="AN52" s="110">
        <v>1</v>
      </c>
      <c r="AO52" s="110">
        <v>1</v>
      </c>
      <c r="AP52" s="110">
        <v>2</v>
      </c>
      <c r="AQ52" s="110">
        <v>1</v>
      </c>
      <c r="AR52" s="110">
        <v>2</v>
      </c>
      <c r="AS52" s="110">
        <v>1</v>
      </c>
      <c r="AT52" s="110">
        <v>1</v>
      </c>
      <c r="AU52" s="110">
        <v>1</v>
      </c>
      <c r="AV52" s="110">
        <v>1</v>
      </c>
      <c r="AW52" s="110">
        <v>1</v>
      </c>
      <c r="AX52" s="110">
        <v>1</v>
      </c>
      <c r="AY52" s="110">
        <v>2</v>
      </c>
    </row>
    <row r="53" spans="1:52">
      <c r="A53" s="110"/>
      <c r="B53" s="178" t="s">
        <v>350</v>
      </c>
      <c r="C53" s="110"/>
      <c r="D53" s="110">
        <v>3204</v>
      </c>
      <c r="E53" s="110">
        <v>44856</v>
      </c>
      <c r="F53" s="110">
        <v>3204</v>
      </c>
      <c r="G53" s="110">
        <v>0</v>
      </c>
      <c r="H53" s="110">
        <v>44856</v>
      </c>
      <c r="I53" s="110">
        <v>3204</v>
      </c>
      <c r="J53" s="110">
        <v>44856</v>
      </c>
      <c r="K53" s="110">
        <v>3204</v>
      </c>
      <c r="L53" s="110">
        <v>44856</v>
      </c>
      <c r="M53" s="110">
        <v>3204</v>
      </c>
      <c r="N53" s="110">
        <v>44856</v>
      </c>
      <c r="O53" s="110">
        <v>3204</v>
      </c>
      <c r="P53" s="110">
        <v>44856</v>
      </c>
      <c r="Q53" s="110">
        <v>3204</v>
      </c>
      <c r="R53" s="110">
        <v>44856</v>
      </c>
      <c r="S53" s="110">
        <v>3204</v>
      </c>
      <c r="T53" s="110">
        <v>44856</v>
      </c>
      <c r="U53" s="110">
        <v>3204</v>
      </c>
      <c r="V53" s="110">
        <v>44856</v>
      </c>
      <c r="W53" s="110">
        <v>3204</v>
      </c>
      <c r="X53" s="110">
        <v>44856</v>
      </c>
      <c r="Y53" s="110">
        <v>3204</v>
      </c>
      <c r="Z53" s="110">
        <v>44856</v>
      </c>
      <c r="AA53" s="110">
        <v>3204</v>
      </c>
      <c r="AB53" s="110">
        <v>44856</v>
      </c>
      <c r="AC53" s="110">
        <v>3204</v>
      </c>
      <c r="AD53" s="110">
        <v>44856</v>
      </c>
      <c r="AE53" s="110">
        <v>3204</v>
      </c>
      <c r="AF53" s="110">
        <v>44856</v>
      </c>
      <c r="AG53" s="110">
        <v>3204</v>
      </c>
      <c r="AH53" s="110">
        <v>44856</v>
      </c>
      <c r="AI53" s="110">
        <v>3204</v>
      </c>
      <c r="AJ53" s="110">
        <v>19224</v>
      </c>
      <c r="AK53" s="110">
        <v>32040</v>
      </c>
      <c r="AL53" s="110">
        <v>0</v>
      </c>
      <c r="AM53" s="110">
        <v>44856</v>
      </c>
      <c r="AN53" s="110">
        <v>3204</v>
      </c>
      <c r="AO53" s="110">
        <v>44856</v>
      </c>
      <c r="AP53" s="110">
        <v>3204</v>
      </c>
      <c r="AQ53" s="110">
        <v>44856</v>
      </c>
      <c r="AR53" s="110">
        <v>3204</v>
      </c>
      <c r="AS53" s="110">
        <v>44856</v>
      </c>
      <c r="AT53" s="110">
        <v>3204</v>
      </c>
      <c r="AU53" s="110">
        <v>44856</v>
      </c>
      <c r="AV53" s="110">
        <v>3204</v>
      </c>
      <c r="AW53" s="110">
        <v>44856</v>
      </c>
      <c r="AX53" s="110">
        <v>3204</v>
      </c>
      <c r="AY53" s="110">
        <v>44856</v>
      </c>
      <c r="AZ53" s="100">
        <f>SUM($D$53:$AY$53)</f>
        <v>1108584</v>
      </c>
    </row>
    <row r="54" spans="1:52">
      <c r="A54" s="110"/>
      <c r="B54" s="178" t="s">
        <v>351</v>
      </c>
      <c r="C54" s="110"/>
      <c r="D54" s="110">
        <v>22181.58910698181</v>
      </c>
      <c r="E54" s="110">
        <v>0</v>
      </c>
      <c r="F54" s="110">
        <v>22181.58910698181</v>
      </c>
      <c r="G54" s="110">
        <v>0</v>
      </c>
      <c r="H54" s="110">
        <v>0</v>
      </c>
      <c r="I54" s="110">
        <v>22181.58910698181</v>
      </c>
      <c r="J54" s="110">
        <v>0</v>
      </c>
      <c r="K54" s="110">
        <v>22181.58910698181</v>
      </c>
      <c r="L54" s="110">
        <v>0</v>
      </c>
      <c r="M54" s="110">
        <v>22181.58910698181</v>
      </c>
      <c r="N54" s="110">
        <v>0</v>
      </c>
      <c r="O54" s="110">
        <v>22181.58910698181</v>
      </c>
      <c r="P54" s="110">
        <v>0</v>
      </c>
      <c r="Q54" s="110">
        <v>22181.58910698181</v>
      </c>
      <c r="R54" s="110">
        <v>0</v>
      </c>
      <c r="S54" s="110">
        <v>22181.58910698181</v>
      </c>
      <c r="T54" s="110">
        <v>0</v>
      </c>
      <c r="U54" s="110">
        <v>22181.58910698181</v>
      </c>
      <c r="V54" s="110">
        <v>0</v>
      </c>
      <c r="W54" s="110">
        <v>22181.58910698181</v>
      </c>
      <c r="X54" s="110">
        <v>0</v>
      </c>
      <c r="Y54" s="110">
        <v>22181.58910698181</v>
      </c>
      <c r="Z54" s="110">
        <v>0</v>
      </c>
      <c r="AA54" s="110">
        <v>22181.58910698181</v>
      </c>
      <c r="AB54" s="110">
        <v>0</v>
      </c>
      <c r="AC54" s="110">
        <v>22181.58910698181</v>
      </c>
      <c r="AD54" s="110">
        <v>0</v>
      </c>
      <c r="AE54" s="110">
        <v>22181.58910698181</v>
      </c>
      <c r="AF54" s="110">
        <v>0</v>
      </c>
      <c r="AG54" s="110">
        <v>22181.58910698181</v>
      </c>
      <c r="AH54" s="110">
        <v>0</v>
      </c>
      <c r="AI54" s="110">
        <v>22181.58910698181</v>
      </c>
      <c r="AJ54" s="110">
        <v>0</v>
      </c>
      <c r="AK54" s="110">
        <v>6562.0891069818099</v>
      </c>
      <c r="AL54" s="110">
        <v>0</v>
      </c>
      <c r="AM54" s="110">
        <v>0</v>
      </c>
      <c r="AN54" s="110">
        <v>22181.58910698181</v>
      </c>
      <c r="AO54" s="110">
        <v>0</v>
      </c>
      <c r="AP54" s="110">
        <v>22181.58910698181</v>
      </c>
      <c r="AQ54" s="110">
        <v>0</v>
      </c>
      <c r="AR54" s="110">
        <v>22181.58910698181</v>
      </c>
      <c r="AS54" s="110">
        <v>0</v>
      </c>
      <c r="AT54" s="110">
        <v>22181.58910698181</v>
      </c>
      <c r="AU54" s="110">
        <v>0</v>
      </c>
      <c r="AV54" s="110">
        <v>22181.58910698181</v>
      </c>
      <c r="AW54" s="110">
        <v>0</v>
      </c>
      <c r="AX54" s="110">
        <v>22181.58910698181</v>
      </c>
      <c r="AY54" s="110">
        <v>0</v>
      </c>
      <c r="AZ54" s="100">
        <f>SUM($D$54:$AY$54)</f>
        <v>494557.04946058174</v>
      </c>
    </row>
    <row r="55" spans="1:52">
      <c r="A55" s="135" t="s">
        <v>59</v>
      </c>
      <c r="B55" s="135" t="s">
        <v>341</v>
      </c>
      <c r="C55" s="124"/>
      <c r="D55" s="124">
        <f>D$21*shipping_manufacturing!$D$29/100</f>
        <v>0</v>
      </c>
      <c r="E55" s="124">
        <f>E$21*shipping_manufacturing!$D$29/100</f>
        <v>0</v>
      </c>
      <c r="F55" s="124">
        <f>F$21*shipping_manufacturing!$D$29/100</f>
        <v>0</v>
      </c>
      <c r="G55" s="124">
        <f>G$21*shipping_manufacturing!$D$29/100</f>
        <v>0</v>
      </c>
      <c r="H55" s="124">
        <f>H$21*shipping_manufacturing!$D$29/100</f>
        <v>0</v>
      </c>
      <c r="I55" s="124">
        <f>I$21*shipping_manufacturing!$D$29/100</f>
        <v>0</v>
      </c>
      <c r="J55" s="124">
        <f>J$21*shipping_manufacturing!$D$29/100</f>
        <v>0</v>
      </c>
      <c r="K55" s="124">
        <f>K$21*shipping_manufacturing!$D$29/100</f>
        <v>0</v>
      </c>
      <c r="L55" s="124">
        <f>L$21*shipping_manufacturing!$D$29/100</f>
        <v>0</v>
      </c>
      <c r="M55" s="124">
        <f>M$21*shipping_manufacturing!$D$29/100</f>
        <v>0</v>
      </c>
      <c r="N55" s="124">
        <f>N$21*shipping_manufacturing!$D$29/100</f>
        <v>0</v>
      </c>
      <c r="O55" s="124">
        <f>O$21*shipping_manufacturing!$D$29/100</f>
        <v>0</v>
      </c>
      <c r="P55" s="124">
        <f>P$21*shipping_manufacturing!$D$29/100</f>
        <v>0</v>
      </c>
      <c r="Q55" s="124">
        <f>Q$21*shipping_manufacturing!$D$29/100</f>
        <v>0</v>
      </c>
      <c r="R55" s="124">
        <f>R$21*shipping_manufacturing!$D$29/100</f>
        <v>0</v>
      </c>
      <c r="S55" s="124">
        <f>S$21*shipping_manufacturing!$D$29/100</f>
        <v>0</v>
      </c>
      <c r="T55" s="124">
        <f>T$21*shipping_manufacturing!$D$29/100</f>
        <v>0</v>
      </c>
      <c r="U55" s="124">
        <f>U$21*shipping_manufacturing!$D$29/100</f>
        <v>0</v>
      </c>
      <c r="V55" s="124">
        <f>V$21*shipping_manufacturing!$D$29/100</f>
        <v>0</v>
      </c>
      <c r="W55" s="124">
        <f>W$21*shipping_manufacturing!$D$29/100</f>
        <v>0</v>
      </c>
      <c r="X55" s="124">
        <f>X$21*shipping_manufacturing!$D$29/100</f>
        <v>0</v>
      </c>
      <c r="Y55" s="124">
        <f>Y$21*shipping_manufacturing!$D$29/100</f>
        <v>0</v>
      </c>
      <c r="Z55" s="124">
        <f>Z$21*shipping_manufacturing!$D$29/100</f>
        <v>0</v>
      </c>
      <c r="AA55" s="124">
        <f>AA$21*shipping_manufacturing!$D$29/100</f>
        <v>0</v>
      </c>
      <c r="AB55" s="124">
        <f>AB$21*shipping_manufacturing!$D$29/100</f>
        <v>0</v>
      </c>
      <c r="AC55" s="124">
        <f>AC$21*shipping_manufacturing!$D$29/100</f>
        <v>0</v>
      </c>
      <c r="AD55" s="124">
        <f>AD$21*shipping_manufacturing!$D$29/100</f>
        <v>0</v>
      </c>
      <c r="AE55" s="124">
        <f>AE$21*shipping_manufacturing!$D$29/100</f>
        <v>0</v>
      </c>
      <c r="AF55" s="124">
        <f>AF$21*shipping_manufacturing!$D$29/100</f>
        <v>0</v>
      </c>
      <c r="AG55" s="124">
        <f>AG$21*shipping_manufacturing!$D$29/100</f>
        <v>0</v>
      </c>
      <c r="AH55" s="124">
        <f>AH$21*shipping_manufacturing!$D$29/100</f>
        <v>0</v>
      </c>
      <c r="AI55" s="124">
        <f>AI$21*shipping_manufacturing!$D$29/100</f>
        <v>0</v>
      </c>
      <c r="AJ55" s="124">
        <f>AJ$21*shipping_manufacturing!$D$29/100</f>
        <v>0</v>
      </c>
      <c r="AK55" s="124">
        <f>AK$21*shipping_manufacturing!$D$29/100</f>
        <v>0</v>
      </c>
      <c r="AL55" s="124">
        <f>AL$21*shipping_manufacturing!$D$29/100</f>
        <v>0</v>
      </c>
      <c r="AM55" s="124">
        <f>AM$21*shipping_manufacturing!$D$29/100</f>
        <v>0</v>
      </c>
      <c r="AN55" s="124">
        <f>AN$21*shipping_manufacturing!$D$29/100</f>
        <v>0</v>
      </c>
      <c r="AO55" s="124">
        <f>AO$21*shipping_manufacturing!$D$29/100</f>
        <v>0</v>
      </c>
      <c r="AP55" s="124">
        <f>AP$21*shipping_manufacturing!$D$29/100</f>
        <v>0</v>
      </c>
      <c r="AQ55" s="124">
        <f>AQ$21*shipping_manufacturing!$D$29/100</f>
        <v>0</v>
      </c>
      <c r="AR55" s="124">
        <f>AR$21*shipping_manufacturing!$D$29/100</f>
        <v>0</v>
      </c>
      <c r="AS55" s="124">
        <f>AS$21*shipping_manufacturing!$D$29/100</f>
        <v>0</v>
      </c>
      <c r="AT55" s="124">
        <f>AT$21*shipping_manufacturing!$D$29/100</f>
        <v>0</v>
      </c>
      <c r="AU55" s="124">
        <f>AU$21*shipping_manufacturing!$D$29/100</f>
        <v>0</v>
      </c>
      <c r="AV55" s="124">
        <f>AV$21*shipping_manufacturing!$D$29/100</f>
        <v>0</v>
      </c>
      <c r="AW55" s="124">
        <f>AW$21*shipping_manufacturing!$D$29/100</f>
        <v>0</v>
      </c>
      <c r="AX55" s="124">
        <f>AX$21*shipping_manufacturing!$D$29/100</f>
        <v>0</v>
      </c>
      <c r="AY55" s="124">
        <f>AY$21*shipping_manufacturing!$D$29/100</f>
        <v>0</v>
      </c>
    </row>
    <row r="56" spans="1:52">
      <c r="A56" s="113" t="s">
        <v>340</v>
      </c>
      <c r="B56" s="165" t="s">
        <v>342</v>
      </c>
      <c r="C56" s="110"/>
      <c r="D56" s="110">
        <f>D$22*shipping_manufacturing!$E$29/100</f>
        <v>0</v>
      </c>
      <c r="E56" s="110">
        <f>E$22*shipping_manufacturing!$E$29/100</f>
        <v>0</v>
      </c>
      <c r="F56" s="110">
        <f>F$22*shipping_manufacturing!$E$29/100</f>
        <v>0</v>
      </c>
      <c r="G56" s="110">
        <f>G$22*shipping_manufacturing!$E$29/100</f>
        <v>0</v>
      </c>
      <c r="H56" s="110">
        <f>H$22*shipping_manufacturing!$E$29/100</f>
        <v>0</v>
      </c>
      <c r="I56" s="110">
        <f>I$22*shipping_manufacturing!$E$29/100</f>
        <v>0</v>
      </c>
      <c r="J56" s="110">
        <f>J$22*shipping_manufacturing!$E$29/100</f>
        <v>0</v>
      </c>
      <c r="K56" s="110">
        <f>K$22*shipping_manufacturing!$E$29/100</f>
        <v>0</v>
      </c>
      <c r="L56" s="110">
        <f>L$22*shipping_manufacturing!$E$29/100</f>
        <v>0</v>
      </c>
      <c r="M56" s="110">
        <f>M$22*shipping_manufacturing!$E$29/100</f>
        <v>0</v>
      </c>
      <c r="N56" s="110">
        <f>N$22*shipping_manufacturing!$E$29/100</f>
        <v>0</v>
      </c>
      <c r="O56" s="110">
        <f>O$22*shipping_manufacturing!$E$29/100</f>
        <v>0</v>
      </c>
      <c r="P56" s="110">
        <f>P$22*shipping_manufacturing!$E$29/100</f>
        <v>0</v>
      </c>
      <c r="Q56" s="110">
        <f>Q$22*shipping_manufacturing!$E$29/100</f>
        <v>0</v>
      </c>
      <c r="R56" s="110">
        <f>R$22*shipping_manufacturing!$E$29/100</f>
        <v>0</v>
      </c>
      <c r="S56" s="110">
        <f>S$22*shipping_manufacturing!$E$29/100</f>
        <v>0</v>
      </c>
      <c r="T56" s="110">
        <f>T$22*shipping_manufacturing!$E$29/100</f>
        <v>0</v>
      </c>
      <c r="U56" s="110">
        <f>U$22*shipping_manufacturing!$E$29/100</f>
        <v>0</v>
      </c>
      <c r="V56" s="110">
        <f>V$22*shipping_manufacturing!$E$29/100</f>
        <v>0</v>
      </c>
      <c r="W56" s="110">
        <f>W$22*shipping_manufacturing!$E$29/100</f>
        <v>0</v>
      </c>
      <c r="X56" s="110">
        <f>X$22*shipping_manufacturing!$E$29/100</f>
        <v>0</v>
      </c>
      <c r="Y56" s="110">
        <f>Y$22*shipping_manufacturing!$E$29/100</f>
        <v>0</v>
      </c>
      <c r="Z56" s="110">
        <f>Z$22*shipping_manufacturing!$E$29/100</f>
        <v>0</v>
      </c>
      <c r="AA56" s="110">
        <f>AA$22*shipping_manufacturing!$E$29/100</f>
        <v>0</v>
      </c>
      <c r="AB56" s="110">
        <f>AB$22*shipping_manufacturing!$E$29/100</f>
        <v>0</v>
      </c>
      <c r="AC56" s="110">
        <f>AC$22*shipping_manufacturing!$E$29/100</f>
        <v>0</v>
      </c>
      <c r="AD56" s="110">
        <f>AD$22*shipping_manufacturing!$E$29/100</f>
        <v>0</v>
      </c>
      <c r="AE56" s="110">
        <f>AE$22*shipping_manufacturing!$E$29/100</f>
        <v>0</v>
      </c>
      <c r="AF56" s="110">
        <f>AF$22*shipping_manufacturing!$E$29/100</f>
        <v>0</v>
      </c>
      <c r="AG56" s="110">
        <f>AG$22*shipping_manufacturing!$E$29/100</f>
        <v>0</v>
      </c>
      <c r="AH56" s="110">
        <f>AH$22*shipping_manufacturing!$E$29/100</f>
        <v>0</v>
      </c>
      <c r="AI56" s="110">
        <f>AI$22*shipping_manufacturing!$E$29/100</f>
        <v>0</v>
      </c>
      <c r="AJ56" s="110">
        <f>AJ$22*shipping_manufacturing!$E$29/100</f>
        <v>0</v>
      </c>
      <c r="AK56" s="110">
        <f>AK$22*shipping_manufacturing!$E$29/100</f>
        <v>0</v>
      </c>
      <c r="AL56" s="110">
        <f>AL$22*shipping_manufacturing!$E$29/100</f>
        <v>0</v>
      </c>
      <c r="AM56" s="110">
        <f>AM$22*shipping_manufacturing!$E$29/100</f>
        <v>0</v>
      </c>
      <c r="AN56" s="110">
        <f>AN$22*shipping_manufacturing!$E$29/100</f>
        <v>0</v>
      </c>
      <c r="AO56" s="110">
        <f>AO$22*shipping_manufacturing!$E$29/100</f>
        <v>0</v>
      </c>
      <c r="AP56" s="110">
        <f>AP$22*shipping_manufacturing!$E$29/100</f>
        <v>0</v>
      </c>
      <c r="AQ56" s="110">
        <f>AQ$22*shipping_manufacturing!$E$29/100</f>
        <v>0</v>
      </c>
      <c r="AR56" s="110">
        <f>AR$22*shipping_manufacturing!$E$29/100</f>
        <v>0</v>
      </c>
      <c r="AS56" s="110">
        <f>AS$22*shipping_manufacturing!$E$29/100</f>
        <v>0</v>
      </c>
      <c r="AT56" s="110">
        <f>AT$22*shipping_manufacturing!$E$29/100</f>
        <v>0</v>
      </c>
      <c r="AU56" s="110">
        <f>AU$22*shipping_manufacturing!$E$29/100</f>
        <v>0</v>
      </c>
      <c r="AV56" s="110">
        <f>AV$22*shipping_manufacturing!$E$29/100</f>
        <v>0</v>
      </c>
      <c r="AW56" s="110">
        <f>AW$22*shipping_manufacturing!$E$29/100</f>
        <v>0</v>
      </c>
      <c r="AX56" s="110">
        <f>AX$22*shipping_manufacturing!$E$29/100</f>
        <v>0</v>
      </c>
      <c r="AY56" s="110">
        <f>AY$22*shipping_manufacturing!$E$29/100</f>
        <v>0</v>
      </c>
    </row>
    <row r="57" spans="1:52">
      <c r="A57" s="110">
        <v>2339</v>
      </c>
      <c r="B57" s="165" t="s">
        <v>343</v>
      </c>
      <c r="C57" s="110"/>
      <c r="D57" s="110">
        <f>SUM(D55:D56)</f>
        <v>0</v>
      </c>
      <c r="E57" s="110">
        <f t="shared" ref="E57:AY57" si="17">SUM(E55:E56)</f>
        <v>0</v>
      </c>
      <c r="F57" s="110">
        <f t="shared" si="17"/>
        <v>0</v>
      </c>
      <c r="G57" s="110">
        <f t="shared" si="17"/>
        <v>0</v>
      </c>
      <c r="H57" s="110">
        <f t="shared" si="17"/>
        <v>0</v>
      </c>
      <c r="I57" s="110">
        <f t="shared" si="17"/>
        <v>0</v>
      </c>
      <c r="J57" s="110">
        <f t="shared" si="17"/>
        <v>0</v>
      </c>
      <c r="K57" s="110">
        <f t="shared" si="17"/>
        <v>0</v>
      </c>
      <c r="L57" s="110">
        <f t="shared" si="17"/>
        <v>0</v>
      </c>
      <c r="M57" s="110">
        <f t="shared" si="17"/>
        <v>0</v>
      </c>
      <c r="N57" s="110">
        <f t="shared" si="17"/>
        <v>0</v>
      </c>
      <c r="O57" s="110">
        <f t="shared" si="17"/>
        <v>0</v>
      </c>
      <c r="P57" s="110">
        <f t="shared" si="17"/>
        <v>0</v>
      </c>
      <c r="Q57" s="110">
        <f t="shared" si="17"/>
        <v>0</v>
      </c>
      <c r="R57" s="110">
        <f t="shared" si="17"/>
        <v>0</v>
      </c>
      <c r="S57" s="110">
        <f t="shared" si="17"/>
        <v>0</v>
      </c>
      <c r="T57" s="110">
        <f t="shared" si="17"/>
        <v>0</v>
      </c>
      <c r="U57" s="110">
        <f t="shared" si="17"/>
        <v>0</v>
      </c>
      <c r="V57" s="110">
        <f t="shared" si="17"/>
        <v>0</v>
      </c>
      <c r="W57" s="110">
        <f t="shared" si="17"/>
        <v>0</v>
      </c>
      <c r="X57" s="110">
        <f t="shared" si="17"/>
        <v>0</v>
      </c>
      <c r="Y57" s="110">
        <f t="shared" si="17"/>
        <v>0</v>
      </c>
      <c r="Z57" s="110">
        <f t="shared" si="17"/>
        <v>0</v>
      </c>
      <c r="AA57" s="110">
        <f t="shared" si="17"/>
        <v>0</v>
      </c>
      <c r="AB57" s="110">
        <f t="shared" si="17"/>
        <v>0</v>
      </c>
      <c r="AC57" s="110">
        <f t="shared" si="17"/>
        <v>0</v>
      </c>
      <c r="AD57" s="110">
        <f t="shared" si="17"/>
        <v>0</v>
      </c>
      <c r="AE57" s="110">
        <f t="shared" si="17"/>
        <v>0</v>
      </c>
      <c r="AF57" s="110">
        <f t="shared" si="17"/>
        <v>0</v>
      </c>
      <c r="AG57" s="110">
        <f t="shared" si="17"/>
        <v>0</v>
      </c>
      <c r="AH57" s="110">
        <f t="shared" si="17"/>
        <v>0</v>
      </c>
      <c r="AI57" s="110">
        <f t="shared" si="17"/>
        <v>0</v>
      </c>
      <c r="AJ57" s="110">
        <f t="shared" si="17"/>
        <v>0</v>
      </c>
      <c r="AK57" s="110">
        <f t="shared" si="17"/>
        <v>0</v>
      </c>
      <c r="AL57" s="110">
        <f t="shared" si="17"/>
        <v>0</v>
      </c>
      <c r="AM57" s="110">
        <f t="shared" si="17"/>
        <v>0</v>
      </c>
      <c r="AN57" s="110">
        <f t="shared" si="17"/>
        <v>0</v>
      </c>
      <c r="AO57" s="110">
        <f t="shared" si="17"/>
        <v>0</v>
      </c>
      <c r="AP57" s="110">
        <f t="shared" si="17"/>
        <v>0</v>
      </c>
      <c r="AQ57" s="110">
        <f t="shared" si="17"/>
        <v>0</v>
      </c>
      <c r="AR57" s="110">
        <f t="shared" si="17"/>
        <v>0</v>
      </c>
      <c r="AS57" s="110">
        <f t="shared" si="17"/>
        <v>0</v>
      </c>
      <c r="AT57" s="110">
        <f t="shared" si="17"/>
        <v>0</v>
      </c>
      <c r="AU57" s="110">
        <f t="shared" si="17"/>
        <v>0</v>
      </c>
      <c r="AV57" s="110">
        <f t="shared" si="17"/>
        <v>0</v>
      </c>
      <c r="AW57" s="110">
        <f t="shared" si="17"/>
        <v>0</v>
      </c>
      <c r="AX57" s="110">
        <f t="shared" si="17"/>
        <v>0</v>
      </c>
      <c r="AY57" s="110">
        <f t="shared" si="17"/>
        <v>0</v>
      </c>
    </row>
    <row r="58" spans="1:52">
      <c r="A58" s="110"/>
      <c r="B58" s="165" t="s">
        <v>344</v>
      </c>
      <c r="C58" s="110"/>
      <c r="D58" s="110"/>
      <c r="E58" s="110"/>
      <c r="F58" s="110"/>
      <c r="G58" s="110"/>
      <c r="H58" s="110"/>
      <c r="I58" s="110"/>
      <c r="J58" s="110"/>
      <c r="K58" s="110"/>
      <c r="L58" s="110"/>
      <c r="M58" s="110"/>
      <c r="N58" s="110"/>
      <c r="O58" s="110"/>
      <c r="P58" s="110"/>
      <c r="Q58" s="110"/>
      <c r="R58" s="110"/>
      <c r="S58" s="110"/>
      <c r="T58" s="110"/>
      <c r="U58" s="110"/>
      <c r="V58" s="110"/>
      <c r="W58" s="110"/>
      <c r="X58" s="110"/>
      <c r="Y58" s="110"/>
      <c r="Z58" s="110"/>
      <c r="AA58" s="110"/>
      <c r="AB58" s="110"/>
      <c r="AC58" s="110"/>
      <c r="AD58" s="110"/>
      <c r="AE58" s="110"/>
      <c r="AF58" s="110"/>
      <c r="AG58" s="110"/>
      <c r="AH58" s="110"/>
      <c r="AI58" s="110"/>
      <c r="AJ58" s="110"/>
      <c r="AK58" s="110"/>
      <c r="AL58" s="110"/>
      <c r="AM58" s="110"/>
      <c r="AN58" s="110"/>
      <c r="AO58" s="110"/>
      <c r="AP58" s="110"/>
      <c r="AQ58" s="110"/>
      <c r="AR58" s="110"/>
      <c r="AS58" s="110"/>
      <c r="AT58" s="110"/>
      <c r="AU58" s="110"/>
      <c r="AV58" s="110"/>
      <c r="AW58" s="110"/>
      <c r="AX58" s="110"/>
      <c r="AY58" s="110"/>
    </row>
    <row r="59" spans="1:52">
      <c r="A59" s="110"/>
      <c r="B59" s="165" t="s">
        <v>345</v>
      </c>
      <c r="C59" s="110"/>
      <c r="D59" s="110"/>
      <c r="E59" s="110"/>
      <c r="F59" s="110"/>
      <c r="G59" s="110"/>
      <c r="H59" s="110"/>
      <c r="I59" s="110"/>
      <c r="J59" s="110"/>
      <c r="K59" s="110"/>
      <c r="L59" s="110"/>
      <c r="M59" s="110"/>
      <c r="N59" s="110"/>
      <c r="O59" s="110"/>
      <c r="P59" s="110"/>
      <c r="Q59" s="110"/>
      <c r="R59" s="110"/>
      <c r="S59" s="110"/>
      <c r="T59" s="110"/>
      <c r="U59" s="110"/>
      <c r="V59" s="110"/>
      <c r="W59" s="110"/>
      <c r="X59" s="110"/>
      <c r="Y59" s="110"/>
      <c r="Z59" s="110"/>
      <c r="AA59" s="110"/>
      <c r="AB59" s="110"/>
      <c r="AC59" s="110"/>
      <c r="AD59" s="110"/>
      <c r="AE59" s="110"/>
      <c r="AF59" s="110"/>
      <c r="AG59" s="110"/>
      <c r="AH59" s="110"/>
      <c r="AI59" s="110"/>
      <c r="AJ59" s="110"/>
      <c r="AK59" s="110"/>
      <c r="AL59" s="110"/>
      <c r="AM59" s="110"/>
      <c r="AN59" s="110"/>
      <c r="AO59" s="110"/>
      <c r="AP59" s="110"/>
      <c r="AQ59" s="110"/>
      <c r="AR59" s="110"/>
      <c r="AS59" s="110"/>
      <c r="AT59" s="110"/>
      <c r="AU59" s="110"/>
      <c r="AV59" s="110"/>
      <c r="AW59" s="110"/>
      <c r="AX59" s="110"/>
      <c r="AY59" s="110"/>
    </row>
    <row r="60" spans="1:52">
      <c r="A60" s="110"/>
      <c r="B60" s="165" t="s">
        <v>346</v>
      </c>
      <c r="C60" s="110"/>
      <c r="D60" s="110"/>
      <c r="E60" s="110"/>
      <c r="F60" s="110"/>
      <c r="G60" s="110"/>
      <c r="H60" s="110"/>
      <c r="I60" s="110"/>
      <c r="J60" s="110"/>
      <c r="K60" s="110"/>
      <c r="L60" s="110"/>
      <c r="M60" s="110"/>
      <c r="N60" s="110"/>
      <c r="O60" s="110"/>
      <c r="P60" s="110"/>
      <c r="Q60" s="110"/>
      <c r="R60" s="110"/>
      <c r="S60" s="110"/>
      <c r="T60" s="110"/>
      <c r="U60" s="110"/>
      <c r="V60" s="110"/>
      <c r="W60" s="110"/>
      <c r="X60" s="110"/>
      <c r="Y60" s="110"/>
      <c r="Z60" s="110"/>
      <c r="AA60" s="110"/>
      <c r="AB60" s="110"/>
      <c r="AC60" s="110"/>
      <c r="AD60" s="110"/>
      <c r="AE60" s="110"/>
      <c r="AF60" s="110"/>
      <c r="AG60" s="110"/>
      <c r="AH60" s="110"/>
      <c r="AI60" s="110"/>
      <c r="AJ60" s="110"/>
      <c r="AK60" s="110"/>
      <c r="AL60" s="110"/>
      <c r="AM60" s="110"/>
      <c r="AN60" s="110"/>
      <c r="AO60" s="110"/>
      <c r="AP60" s="110"/>
      <c r="AQ60" s="110"/>
      <c r="AR60" s="110"/>
      <c r="AS60" s="110"/>
      <c r="AT60" s="110"/>
      <c r="AU60" s="110"/>
      <c r="AV60" s="110"/>
      <c r="AW60" s="110"/>
      <c r="AX60" s="110"/>
      <c r="AY60" s="110"/>
    </row>
    <row r="61" spans="1:52">
      <c r="A61" s="110"/>
      <c r="B61" s="165" t="s">
        <v>347</v>
      </c>
      <c r="C61" s="110"/>
      <c r="D61" s="110">
        <f>D55-D58</f>
        <v>0</v>
      </c>
      <c r="E61" s="110">
        <f t="shared" ref="E61:AY61" si="18">E55-E58</f>
        <v>0</v>
      </c>
      <c r="F61" s="110">
        <f t="shared" si="18"/>
        <v>0</v>
      </c>
      <c r="G61" s="110">
        <f t="shared" si="18"/>
        <v>0</v>
      </c>
      <c r="H61" s="110">
        <f t="shared" si="18"/>
        <v>0</v>
      </c>
      <c r="I61" s="110">
        <f t="shared" si="18"/>
        <v>0</v>
      </c>
      <c r="J61" s="110">
        <f t="shared" si="18"/>
        <v>0</v>
      </c>
      <c r="K61" s="110">
        <f t="shared" si="18"/>
        <v>0</v>
      </c>
      <c r="L61" s="110">
        <f t="shared" si="18"/>
        <v>0</v>
      </c>
      <c r="M61" s="110">
        <f t="shared" si="18"/>
        <v>0</v>
      </c>
      <c r="N61" s="110">
        <f t="shared" si="18"/>
        <v>0</v>
      </c>
      <c r="O61" s="110">
        <f t="shared" si="18"/>
        <v>0</v>
      </c>
      <c r="P61" s="110">
        <f t="shared" si="18"/>
        <v>0</v>
      </c>
      <c r="Q61" s="110">
        <f t="shared" si="18"/>
        <v>0</v>
      </c>
      <c r="R61" s="110">
        <f t="shared" si="18"/>
        <v>0</v>
      </c>
      <c r="S61" s="110">
        <f t="shared" si="18"/>
        <v>0</v>
      </c>
      <c r="T61" s="110">
        <f t="shared" si="18"/>
        <v>0</v>
      </c>
      <c r="U61" s="110">
        <f t="shared" si="18"/>
        <v>0</v>
      </c>
      <c r="V61" s="110">
        <f t="shared" si="18"/>
        <v>0</v>
      </c>
      <c r="W61" s="110">
        <f t="shared" si="18"/>
        <v>0</v>
      </c>
      <c r="X61" s="110">
        <f t="shared" si="18"/>
        <v>0</v>
      </c>
      <c r="Y61" s="110">
        <f t="shared" si="18"/>
        <v>0</v>
      </c>
      <c r="Z61" s="110">
        <f t="shared" si="18"/>
        <v>0</v>
      </c>
      <c r="AA61" s="110">
        <f t="shared" si="18"/>
        <v>0</v>
      </c>
      <c r="AB61" s="110">
        <f t="shared" si="18"/>
        <v>0</v>
      </c>
      <c r="AC61" s="110">
        <f t="shared" si="18"/>
        <v>0</v>
      </c>
      <c r="AD61" s="110">
        <f t="shared" si="18"/>
        <v>0</v>
      </c>
      <c r="AE61" s="110">
        <f t="shared" si="18"/>
        <v>0</v>
      </c>
      <c r="AF61" s="110">
        <f t="shared" si="18"/>
        <v>0</v>
      </c>
      <c r="AG61" s="110">
        <f t="shared" si="18"/>
        <v>0</v>
      </c>
      <c r="AH61" s="110">
        <f t="shared" si="18"/>
        <v>0</v>
      </c>
      <c r="AI61" s="110">
        <f t="shared" si="18"/>
        <v>0</v>
      </c>
      <c r="AJ61" s="110">
        <f t="shared" si="18"/>
        <v>0</v>
      </c>
      <c r="AK61" s="110">
        <f t="shared" si="18"/>
        <v>0</v>
      </c>
      <c r="AL61" s="110">
        <f t="shared" si="18"/>
        <v>0</v>
      </c>
      <c r="AM61" s="110">
        <f t="shared" si="18"/>
        <v>0</v>
      </c>
      <c r="AN61" s="110">
        <f t="shared" si="18"/>
        <v>0</v>
      </c>
      <c r="AO61" s="110">
        <f t="shared" si="18"/>
        <v>0</v>
      </c>
      <c r="AP61" s="110">
        <f t="shared" si="18"/>
        <v>0</v>
      </c>
      <c r="AQ61" s="110">
        <f t="shared" si="18"/>
        <v>0</v>
      </c>
      <c r="AR61" s="110">
        <f t="shared" si="18"/>
        <v>0</v>
      </c>
      <c r="AS61" s="110">
        <f t="shared" si="18"/>
        <v>0</v>
      </c>
      <c r="AT61" s="110">
        <f t="shared" si="18"/>
        <v>0</v>
      </c>
      <c r="AU61" s="110">
        <f t="shared" si="18"/>
        <v>0</v>
      </c>
      <c r="AV61" s="110">
        <f t="shared" si="18"/>
        <v>0</v>
      </c>
      <c r="AW61" s="110">
        <f t="shared" si="18"/>
        <v>0</v>
      </c>
      <c r="AX61" s="110">
        <f t="shared" si="18"/>
        <v>0</v>
      </c>
      <c r="AY61" s="110">
        <f t="shared" si="18"/>
        <v>0</v>
      </c>
    </row>
    <row r="62" spans="1:52">
      <c r="A62" s="110"/>
      <c r="B62" s="165" t="s">
        <v>348</v>
      </c>
      <c r="C62" s="110"/>
      <c r="D62" s="110">
        <f>D56-D59</f>
        <v>0</v>
      </c>
      <c r="E62" s="110">
        <f t="shared" ref="E62:AY62" si="19">E56-E59</f>
        <v>0</v>
      </c>
      <c r="F62" s="110">
        <f t="shared" si="19"/>
        <v>0</v>
      </c>
      <c r="G62" s="110">
        <f t="shared" si="19"/>
        <v>0</v>
      </c>
      <c r="H62" s="110">
        <f t="shared" si="19"/>
        <v>0</v>
      </c>
      <c r="I62" s="110">
        <f t="shared" si="19"/>
        <v>0</v>
      </c>
      <c r="J62" s="110">
        <f t="shared" si="19"/>
        <v>0</v>
      </c>
      <c r="K62" s="110">
        <f t="shared" si="19"/>
        <v>0</v>
      </c>
      <c r="L62" s="110">
        <f t="shared" si="19"/>
        <v>0</v>
      </c>
      <c r="M62" s="110">
        <f t="shared" si="19"/>
        <v>0</v>
      </c>
      <c r="N62" s="110">
        <f t="shared" si="19"/>
        <v>0</v>
      </c>
      <c r="O62" s="110">
        <f t="shared" si="19"/>
        <v>0</v>
      </c>
      <c r="P62" s="110">
        <f t="shared" si="19"/>
        <v>0</v>
      </c>
      <c r="Q62" s="110">
        <f t="shared" si="19"/>
        <v>0</v>
      </c>
      <c r="R62" s="110">
        <f t="shared" si="19"/>
        <v>0</v>
      </c>
      <c r="S62" s="110">
        <f t="shared" si="19"/>
        <v>0</v>
      </c>
      <c r="T62" s="110">
        <f t="shared" si="19"/>
        <v>0</v>
      </c>
      <c r="U62" s="110">
        <f t="shared" si="19"/>
        <v>0</v>
      </c>
      <c r="V62" s="110">
        <f t="shared" si="19"/>
        <v>0</v>
      </c>
      <c r="W62" s="110">
        <f t="shared" si="19"/>
        <v>0</v>
      </c>
      <c r="X62" s="110">
        <f t="shared" si="19"/>
        <v>0</v>
      </c>
      <c r="Y62" s="110">
        <f t="shared" si="19"/>
        <v>0</v>
      </c>
      <c r="Z62" s="110">
        <f t="shared" si="19"/>
        <v>0</v>
      </c>
      <c r="AA62" s="110">
        <f t="shared" si="19"/>
        <v>0</v>
      </c>
      <c r="AB62" s="110">
        <f t="shared" si="19"/>
        <v>0</v>
      </c>
      <c r="AC62" s="110">
        <f t="shared" si="19"/>
        <v>0</v>
      </c>
      <c r="AD62" s="110">
        <f t="shared" si="19"/>
        <v>0</v>
      </c>
      <c r="AE62" s="110">
        <f t="shared" si="19"/>
        <v>0</v>
      </c>
      <c r="AF62" s="110">
        <f t="shared" si="19"/>
        <v>0</v>
      </c>
      <c r="AG62" s="110">
        <f t="shared" si="19"/>
        <v>0</v>
      </c>
      <c r="AH62" s="110">
        <f t="shared" si="19"/>
        <v>0</v>
      </c>
      <c r="AI62" s="110">
        <f t="shared" si="19"/>
        <v>0</v>
      </c>
      <c r="AJ62" s="110">
        <f t="shared" si="19"/>
        <v>0</v>
      </c>
      <c r="AK62" s="110">
        <f t="shared" si="19"/>
        <v>0</v>
      </c>
      <c r="AL62" s="110">
        <f t="shared" si="19"/>
        <v>0</v>
      </c>
      <c r="AM62" s="110">
        <f t="shared" si="19"/>
        <v>0</v>
      </c>
      <c r="AN62" s="110">
        <f t="shared" si="19"/>
        <v>0</v>
      </c>
      <c r="AO62" s="110">
        <f t="shared" si="19"/>
        <v>0</v>
      </c>
      <c r="AP62" s="110">
        <f t="shared" si="19"/>
        <v>0</v>
      </c>
      <c r="AQ62" s="110">
        <f t="shared" si="19"/>
        <v>0</v>
      </c>
      <c r="AR62" s="110">
        <f t="shared" si="19"/>
        <v>0</v>
      </c>
      <c r="AS62" s="110">
        <f t="shared" si="19"/>
        <v>0</v>
      </c>
      <c r="AT62" s="110">
        <f t="shared" si="19"/>
        <v>0</v>
      </c>
      <c r="AU62" s="110">
        <f t="shared" si="19"/>
        <v>0</v>
      </c>
      <c r="AV62" s="110">
        <f t="shared" si="19"/>
        <v>0</v>
      </c>
      <c r="AW62" s="110">
        <f t="shared" si="19"/>
        <v>0</v>
      </c>
      <c r="AX62" s="110">
        <f t="shared" si="19"/>
        <v>0</v>
      </c>
      <c r="AY62" s="110">
        <f t="shared" si="19"/>
        <v>0</v>
      </c>
    </row>
    <row r="63" spans="1:52">
      <c r="A63" s="110"/>
      <c r="B63" s="165" t="s">
        <v>349</v>
      </c>
      <c r="C63" s="110"/>
      <c r="D63" s="110">
        <v>4</v>
      </c>
      <c r="E63" s="110">
        <v>3</v>
      </c>
      <c r="F63" s="110">
        <v>2</v>
      </c>
      <c r="G63" s="110">
        <v>2</v>
      </c>
      <c r="H63" s="110">
        <v>2</v>
      </c>
      <c r="I63" s="110">
        <v>2</v>
      </c>
      <c r="J63" s="110">
        <v>3</v>
      </c>
      <c r="K63" s="110">
        <v>2</v>
      </c>
      <c r="L63" s="110">
        <v>3</v>
      </c>
      <c r="M63" s="110">
        <v>2</v>
      </c>
      <c r="N63" s="110">
        <v>3</v>
      </c>
      <c r="O63" s="110">
        <v>2</v>
      </c>
      <c r="P63" s="110">
        <v>2</v>
      </c>
      <c r="Q63" s="110">
        <v>2</v>
      </c>
      <c r="R63" s="110">
        <v>2</v>
      </c>
      <c r="S63" s="110">
        <v>2</v>
      </c>
      <c r="T63" s="110">
        <v>2</v>
      </c>
      <c r="U63" s="110">
        <v>2</v>
      </c>
      <c r="V63" s="110">
        <v>3</v>
      </c>
      <c r="W63" s="110">
        <v>2</v>
      </c>
      <c r="X63" s="110">
        <v>2</v>
      </c>
      <c r="Y63" s="110">
        <v>2</v>
      </c>
      <c r="Z63" s="110">
        <v>2</v>
      </c>
      <c r="AA63" s="110">
        <v>2</v>
      </c>
      <c r="AB63" s="110">
        <v>3</v>
      </c>
      <c r="AC63" s="110">
        <v>3</v>
      </c>
      <c r="AD63" s="110">
        <v>3</v>
      </c>
      <c r="AE63" s="110">
        <v>2</v>
      </c>
      <c r="AF63" s="110">
        <v>2</v>
      </c>
      <c r="AG63" s="110">
        <v>2</v>
      </c>
      <c r="AH63" s="110">
        <v>2</v>
      </c>
      <c r="AI63" s="110">
        <v>2</v>
      </c>
      <c r="AJ63" s="110">
        <v>2</v>
      </c>
      <c r="AK63" s="110">
        <v>2</v>
      </c>
      <c r="AL63" s="110">
        <v>3</v>
      </c>
      <c r="AM63" s="110">
        <v>2</v>
      </c>
      <c r="AN63" s="110">
        <v>3</v>
      </c>
      <c r="AO63" s="110">
        <v>2</v>
      </c>
      <c r="AP63" s="110">
        <v>2</v>
      </c>
      <c r="AQ63" s="110">
        <v>2</v>
      </c>
      <c r="AR63" s="110">
        <v>2</v>
      </c>
      <c r="AS63" s="110">
        <v>4</v>
      </c>
      <c r="AT63" s="110">
        <v>2</v>
      </c>
      <c r="AU63" s="110">
        <v>3</v>
      </c>
      <c r="AV63" s="110">
        <v>2</v>
      </c>
      <c r="AW63" s="110">
        <v>4</v>
      </c>
      <c r="AX63" s="110">
        <v>2</v>
      </c>
      <c r="AY63" s="110">
        <v>3</v>
      </c>
    </row>
    <row r="64" spans="1:52">
      <c r="A64" s="110"/>
      <c r="B64" s="178" t="s">
        <v>350</v>
      </c>
      <c r="C64" s="110"/>
      <c r="D64" s="110">
        <v>0</v>
      </c>
      <c r="E64" s="110">
        <v>0</v>
      </c>
      <c r="F64" s="110">
        <v>0</v>
      </c>
      <c r="G64" s="110">
        <v>0</v>
      </c>
      <c r="H64" s="110">
        <v>0</v>
      </c>
      <c r="I64" s="110">
        <v>0</v>
      </c>
      <c r="J64" s="110">
        <v>0</v>
      </c>
      <c r="K64" s="110">
        <v>0</v>
      </c>
      <c r="L64" s="110">
        <v>0</v>
      </c>
      <c r="M64" s="110">
        <v>0</v>
      </c>
      <c r="N64" s="110">
        <v>0</v>
      </c>
      <c r="O64" s="110">
        <v>0</v>
      </c>
      <c r="P64" s="110">
        <v>0</v>
      </c>
      <c r="Q64" s="110">
        <v>0</v>
      </c>
      <c r="R64" s="110">
        <v>0</v>
      </c>
      <c r="S64" s="110">
        <v>0</v>
      </c>
      <c r="T64" s="110">
        <v>0</v>
      </c>
      <c r="U64" s="110">
        <v>0</v>
      </c>
      <c r="V64" s="110">
        <v>0</v>
      </c>
      <c r="W64" s="110">
        <v>0</v>
      </c>
      <c r="X64" s="110">
        <v>0</v>
      </c>
      <c r="Y64" s="110">
        <v>0</v>
      </c>
      <c r="Z64" s="110">
        <v>0</v>
      </c>
      <c r="AA64" s="110">
        <v>0</v>
      </c>
      <c r="AB64" s="110">
        <v>0</v>
      </c>
      <c r="AC64" s="110">
        <v>0</v>
      </c>
      <c r="AD64" s="110">
        <v>0</v>
      </c>
      <c r="AE64" s="110">
        <v>0</v>
      </c>
      <c r="AF64" s="110">
        <v>0</v>
      </c>
      <c r="AG64" s="110">
        <v>0</v>
      </c>
      <c r="AH64" s="110">
        <v>0</v>
      </c>
      <c r="AI64" s="110">
        <v>0</v>
      </c>
      <c r="AJ64" s="110">
        <v>0</v>
      </c>
      <c r="AK64" s="110">
        <v>0</v>
      </c>
      <c r="AL64" s="110">
        <v>0</v>
      </c>
      <c r="AM64" s="110">
        <v>0</v>
      </c>
      <c r="AN64" s="110">
        <v>0</v>
      </c>
      <c r="AO64" s="110">
        <v>0</v>
      </c>
      <c r="AP64" s="110">
        <v>0</v>
      </c>
      <c r="AQ64" s="110">
        <v>0</v>
      </c>
      <c r="AR64" s="110">
        <v>0</v>
      </c>
      <c r="AS64" s="110">
        <v>0</v>
      </c>
      <c r="AT64" s="110">
        <v>0</v>
      </c>
      <c r="AU64" s="110">
        <v>0</v>
      </c>
      <c r="AV64" s="110">
        <v>0</v>
      </c>
      <c r="AW64" s="110">
        <v>0</v>
      </c>
      <c r="AX64" s="110">
        <v>0</v>
      </c>
      <c r="AY64" s="110">
        <v>0</v>
      </c>
      <c r="AZ64" s="100">
        <f>SUM($D$64:$AY$64)</f>
        <v>0</v>
      </c>
    </row>
    <row r="65" spans="1:52">
      <c r="A65" s="125"/>
      <c r="B65" s="140" t="s">
        <v>351</v>
      </c>
      <c r="C65" s="125"/>
      <c r="D65" s="125">
        <v>0</v>
      </c>
      <c r="E65" s="125">
        <v>0</v>
      </c>
      <c r="F65" s="125">
        <v>0</v>
      </c>
      <c r="G65" s="125">
        <v>0</v>
      </c>
      <c r="H65" s="125">
        <v>0</v>
      </c>
      <c r="I65" s="125">
        <v>0</v>
      </c>
      <c r="J65" s="125">
        <v>0</v>
      </c>
      <c r="K65" s="125">
        <v>0</v>
      </c>
      <c r="L65" s="125">
        <v>0</v>
      </c>
      <c r="M65" s="125">
        <v>0</v>
      </c>
      <c r="N65" s="125">
        <v>0</v>
      </c>
      <c r="O65" s="125">
        <v>0</v>
      </c>
      <c r="P65" s="125">
        <v>0</v>
      </c>
      <c r="Q65" s="125">
        <v>0</v>
      </c>
      <c r="R65" s="125">
        <v>0</v>
      </c>
      <c r="S65" s="125">
        <v>0</v>
      </c>
      <c r="T65" s="125">
        <v>0</v>
      </c>
      <c r="U65" s="125">
        <v>0</v>
      </c>
      <c r="V65" s="125">
        <v>0</v>
      </c>
      <c r="W65" s="125">
        <v>0</v>
      </c>
      <c r="X65" s="125">
        <v>0</v>
      </c>
      <c r="Y65" s="125">
        <v>0</v>
      </c>
      <c r="Z65" s="125">
        <v>0</v>
      </c>
      <c r="AA65" s="125">
        <v>0</v>
      </c>
      <c r="AB65" s="125">
        <v>0</v>
      </c>
      <c r="AC65" s="125">
        <v>0</v>
      </c>
      <c r="AD65" s="125">
        <v>0</v>
      </c>
      <c r="AE65" s="125">
        <v>0</v>
      </c>
      <c r="AF65" s="125">
        <v>0</v>
      </c>
      <c r="AG65" s="125">
        <v>0</v>
      </c>
      <c r="AH65" s="125">
        <v>0</v>
      </c>
      <c r="AI65" s="125">
        <v>0</v>
      </c>
      <c r="AJ65" s="125">
        <v>0</v>
      </c>
      <c r="AK65" s="125">
        <v>0</v>
      </c>
      <c r="AL65" s="125">
        <v>0</v>
      </c>
      <c r="AM65" s="125">
        <v>0</v>
      </c>
      <c r="AN65" s="125">
        <v>0</v>
      </c>
      <c r="AO65" s="125">
        <v>0</v>
      </c>
      <c r="AP65" s="125">
        <v>0</v>
      </c>
      <c r="AQ65" s="125">
        <v>0</v>
      </c>
      <c r="AR65" s="125">
        <v>0</v>
      </c>
      <c r="AS65" s="125">
        <v>0</v>
      </c>
      <c r="AT65" s="125">
        <v>0</v>
      </c>
      <c r="AU65" s="125">
        <v>0</v>
      </c>
      <c r="AV65" s="125">
        <v>0</v>
      </c>
      <c r="AW65" s="125">
        <v>0</v>
      </c>
      <c r="AX65" s="125">
        <v>0</v>
      </c>
      <c r="AY65" s="125">
        <v>0</v>
      </c>
      <c r="AZ65" s="100">
        <f>SUM($D$65:$AY$65)</f>
        <v>0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65"/>
  <sheetViews>
    <sheetView workbookViewId="0">
      <pane xSplit="2" ySplit="6" topLeftCell="C7" activePane="bottomRight" state="frozen"/>
      <selection pane="topRight"/>
      <selection pane="bottomLeft"/>
      <selection pane="bottomRight" activeCell="C27" sqref="C27:C29"/>
    </sheetView>
  </sheetViews>
  <sheetFormatPr baseColWidth="10" defaultColWidth="8.83203125" defaultRowHeight="12" x14ac:dyDescent="0"/>
  <cols>
    <col min="1" max="1" width="14.6640625" style="100" customWidth="1"/>
    <col min="2" max="2" width="17.6640625" style="100" customWidth="1"/>
    <col min="3" max="51" width="8.83203125" style="100"/>
    <col min="52" max="52" width="10.6640625" style="100" customWidth="1"/>
    <col min="53" max="16384" width="8.83203125" style="100"/>
  </cols>
  <sheetData>
    <row r="1" spans="1:52">
      <c r="A1" s="102" t="s">
        <v>118</v>
      </c>
    </row>
    <row r="2" spans="1:52">
      <c r="A2" s="100" t="s">
        <v>303</v>
      </c>
      <c r="B2" s="107" t="s">
        <v>12</v>
      </c>
      <c r="E2" s="110"/>
    </row>
    <row r="3" spans="1:52">
      <c r="A3" s="100" t="s">
        <v>286</v>
      </c>
      <c r="B3" s="107">
        <v>3589</v>
      </c>
      <c r="E3" s="110"/>
    </row>
    <row r="4" spans="1:52">
      <c r="A4" s="102"/>
      <c r="C4" s="111" t="s">
        <v>287</v>
      </c>
    </row>
    <row r="5" spans="1:52">
      <c r="B5" s="106"/>
      <c r="C5" s="112">
        <v>0</v>
      </c>
      <c r="D5" s="112">
        <v>1</v>
      </c>
      <c r="E5" s="112">
        <v>2</v>
      </c>
      <c r="F5" s="112">
        <v>3</v>
      </c>
      <c r="G5" s="112">
        <v>4</v>
      </c>
      <c r="H5" s="112">
        <v>5</v>
      </c>
      <c r="I5" s="112">
        <v>6</v>
      </c>
      <c r="J5" s="112">
        <v>7</v>
      </c>
      <c r="K5" s="112">
        <v>8</v>
      </c>
      <c r="L5" s="112">
        <v>9</v>
      </c>
      <c r="M5" s="112">
        <v>10</v>
      </c>
      <c r="N5" s="112">
        <v>11</v>
      </c>
      <c r="O5" s="112">
        <v>12</v>
      </c>
      <c r="P5" s="112">
        <v>13</v>
      </c>
      <c r="Q5" s="112">
        <v>14</v>
      </c>
      <c r="R5" s="112">
        <v>15</v>
      </c>
      <c r="S5" s="112">
        <v>16</v>
      </c>
      <c r="T5" s="112">
        <v>17</v>
      </c>
      <c r="U5" s="112">
        <v>18</v>
      </c>
      <c r="V5" s="112">
        <v>19</v>
      </c>
      <c r="W5" s="112">
        <v>20</v>
      </c>
      <c r="X5" s="112">
        <v>21</v>
      </c>
      <c r="Y5" s="112">
        <v>22</v>
      </c>
      <c r="Z5" s="112">
        <v>23</v>
      </c>
      <c r="AA5" s="112">
        <v>24</v>
      </c>
      <c r="AB5" s="112">
        <v>25</v>
      </c>
      <c r="AC5" s="112">
        <v>26</v>
      </c>
      <c r="AD5" s="112">
        <v>27</v>
      </c>
      <c r="AE5" s="112">
        <v>28</v>
      </c>
      <c r="AF5" s="112">
        <v>29</v>
      </c>
      <c r="AG5" s="112">
        <v>30</v>
      </c>
      <c r="AH5" s="112">
        <v>31</v>
      </c>
      <c r="AI5" s="112">
        <v>32</v>
      </c>
      <c r="AJ5" s="112">
        <v>33</v>
      </c>
      <c r="AK5" s="112">
        <v>34</v>
      </c>
      <c r="AL5" s="112">
        <v>35</v>
      </c>
      <c r="AM5" s="112">
        <v>36</v>
      </c>
      <c r="AN5" s="112">
        <v>37</v>
      </c>
      <c r="AO5" s="112">
        <v>38</v>
      </c>
      <c r="AP5" s="112">
        <v>39</v>
      </c>
      <c r="AQ5" s="112">
        <v>40</v>
      </c>
      <c r="AR5" s="112">
        <v>41</v>
      </c>
      <c r="AS5" s="112">
        <v>42</v>
      </c>
      <c r="AT5" s="112">
        <v>43</v>
      </c>
      <c r="AU5" s="112">
        <v>44</v>
      </c>
      <c r="AV5" s="112">
        <v>45</v>
      </c>
      <c r="AW5" s="112">
        <v>46</v>
      </c>
      <c r="AX5" s="112">
        <v>47</v>
      </c>
      <c r="AY5" s="112">
        <v>48</v>
      </c>
    </row>
    <row r="6" spans="1:52">
      <c r="A6" s="102" t="s">
        <v>304</v>
      </c>
      <c r="B6" s="114"/>
      <c r="C6" s="113" t="s">
        <v>288</v>
      </c>
      <c r="D6" s="112" t="s">
        <v>289</v>
      </c>
      <c r="E6" s="112" t="s">
        <v>289</v>
      </c>
      <c r="F6" s="112" t="s">
        <v>289</v>
      </c>
      <c r="G6" s="112" t="s">
        <v>289</v>
      </c>
      <c r="H6" s="112" t="s">
        <v>289</v>
      </c>
      <c r="I6" s="112" t="s">
        <v>289</v>
      </c>
      <c r="J6" s="112" t="s">
        <v>289</v>
      </c>
      <c r="K6" s="112" t="s">
        <v>289</v>
      </c>
      <c r="L6" s="112" t="s">
        <v>289</v>
      </c>
      <c r="M6" s="112" t="s">
        <v>289</v>
      </c>
      <c r="N6" s="112" t="s">
        <v>289</v>
      </c>
      <c r="O6" s="112" t="s">
        <v>289</v>
      </c>
      <c r="P6" s="112" t="s">
        <v>289</v>
      </c>
      <c r="Q6" s="112" t="s">
        <v>289</v>
      </c>
      <c r="R6" s="112" t="s">
        <v>289</v>
      </c>
      <c r="S6" s="112" t="s">
        <v>289</v>
      </c>
      <c r="T6" s="112" t="s">
        <v>289</v>
      </c>
      <c r="U6" s="112" t="s">
        <v>289</v>
      </c>
      <c r="V6" s="112" t="s">
        <v>289</v>
      </c>
      <c r="W6" s="112" t="s">
        <v>289</v>
      </c>
      <c r="X6" s="112" t="s">
        <v>289</v>
      </c>
      <c r="Y6" s="112" t="s">
        <v>289</v>
      </c>
      <c r="Z6" s="112" t="s">
        <v>289</v>
      </c>
      <c r="AA6" s="112" t="s">
        <v>289</v>
      </c>
      <c r="AB6" s="112" t="s">
        <v>289</v>
      </c>
      <c r="AC6" s="112" t="s">
        <v>289</v>
      </c>
      <c r="AD6" s="112" t="s">
        <v>289</v>
      </c>
      <c r="AE6" s="112" t="s">
        <v>289</v>
      </c>
      <c r="AF6" s="112" t="s">
        <v>289</v>
      </c>
      <c r="AG6" s="112" t="s">
        <v>289</v>
      </c>
      <c r="AH6" s="112" t="s">
        <v>289</v>
      </c>
      <c r="AI6" s="112" t="s">
        <v>289</v>
      </c>
      <c r="AJ6" s="112" t="s">
        <v>289</v>
      </c>
      <c r="AK6" s="112" t="s">
        <v>289</v>
      </c>
      <c r="AL6" s="112" t="s">
        <v>289</v>
      </c>
      <c r="AM6" s="112" t="s">
        <v>289</v>
      </c>
      <c r="AN6" s="112" t="s">
        <v>289</v>
      </c>
      <c r="AO6" s="112" t="s">
        <v>289</v>
      </c>
      <c r="AP6" s="112" t="s">
        <v>289</v>
      </c>
      <c r="AQ6" s="112" t="s">
        <v>289</v>
      </c>
      <c r="AR6" s="112" t="s">
        <v>289</v>
      </c>
      <c r="AS6" s="112" t="s">
        <v>289</v>
      </c>
      <c r="AT6" s="112" t="s">
        <v>289</v>
      </c>
      <c r="AU6" s="112" t="s">
        <v>289</v>
      </c>
      <c r="AV6" s="112" t="s">
        <v>289</v>
      </c>
      <c r="AW6" s="112" t="s">
        <v>289</v>
      </c>
      <c r="AX6" s="112" t="s">
        <v>289</v>
      </c>
      <c r="AY6" s="111" t="s">
        <v>290</v>
      </c>
      <c r="AZ6" s="142" t="s">
        <v>150</v>
      </c>
    </row>
    <row r="7" spans="1:52">
      <c r="A7" s="115" t="s">
        <v>125</v>
      </c>
      <c r="B7" s="143">
        <v>1</v>
      </c>
      <c r="C7" s="144" t="s">
        <v>293</v>
      </c>
      <c r="D7" s="144">
        <v>1625.8048765988547</v>
      </c>
      <c r="E7" s="144">
        <v>1625.8048765988547</v>
      </c>
      <c r="F7" s="144">
        <v>1625.8048765988547</v>
      </c>
      <c r="G7" s="144">
        <v>1625.8048765988547</v>
      </c>
      <c r="H7" s="144">
        <v>1625.8048765988547</v>
      </c>
      <c r="I7" s="144">
        <v>1625.8048765988547</v>
      </c>
      <c r="J7" s="144">
        <v>1625.8048765988547</v>
      </c>
      <c r="K7" s="144">
        <v>1625.8048765988547</v>
      </c>
      <c r="L7" s="144">
        <v>1625.8048765988547</v>
      </c>
      <c r="M7" s="144">
        <v>1625.8048765988547</v>
      </c>
      <c r="N7" s="144">
        <v>1625.8048765988547</v>
      </c>
      <c r="O7" s="144">
        <v>1625.8048765988547</v>
      </c>
      <c r="P7" s="144">
        <v>1625.8048765988547</v>
      </c>
      <c r="Q7" s="144">
        <v>1625.8048765988547</v>
      </c>
      <c r="R7" s="144">
        <v>1625.8048765988547</v>
      </c>
      <c r="S7" s="144">
        <v>1625.8048765988547</v>
      </c>
      <c r="T7" s="144">
        <v>1625.8048765988547</v>
      </c>
      <c r="U7" s="144">
        <v>1625.8048765988547</v>
      </c>
      <c r="V7" s="144">
        <v>1625.8048765988547</v>
      </c>
      <c r="W7" s="144">
        <v>1625.8048765988547</v>
      </c>
      <c r="X7" s="144">
        <v>1625.8048765988547</v>
      </c>
      <c r="Y7" s="144">
        <v>1625.8048765988547</v>
      </c>
      <c r="Z7" s="144">
        <v>1625.8048765988547</v>
      </c>
      <c r="AA7" s="144">
        <v>1625.8048765988547</v>
      </c>
      <c r="AB7" s="144">
        <v>1625.8048765988547</v>
      </c>
      <c r="AC7" s="144">
        <v>1625.8048765988547</v>
      </c>
      <c r="AD7" s="144">
        <v>1625.8048765988547</v>
      </c>
      <c r="AE7" s="144">
        <v>1625.8048765988547</v>
      </c>
      <c r="AF7" s="144">
        <v>1950.9564851694383</v>
      </c>
      <c r="AG7" s="144">
        <v>1950.9564851694383</v>
      </c>
      <c r="AH7" s="144">
        <v>1950.9564851694383</v>
      </c>
      <c r="AI7" s="144">
        <v>1950.9564851694383</v>
      </c>
      <c r="AJ7" s="144">
        <v>1625.8048765988547</v>
      </c>
      <c r="AK7" s="144">
        <v>1625.8048765988547</v>
      </c>
      <c r="AL7" s="144">
        <v>1625.8048765988547</v>
      </c>
      <c r="AM7" s="144">
        <v>1625.8048765988547</v>
      </c>
      <c r="AN7" s="144">
        <v>1625.8048765988547</v>
      </c>
      <c r="AO7" s="144">
        <v>1625.8048765988547</v>
      </c>
      <c r="AP7" s="144">
        <v>1625.8048765988547</v>
      </c>
      <c r="AQ7" s="144">
        <v>1625.8048765988547</v>
      </c>
      <c r="AR7" s="144">
        <v>1625.8048765988547</v>
      </c>
      <c r="AS7" s="144">
        <v>1625.8048765988547</v>
      </c>
      <c r="AT7" s="144">
        <v>1625.8048765988547</v>
      </c>
      <c r="AU7" s="144">
        <v>1625.8048765988547</v>
      </c>
      <c r="AV7" s="144">
        <v>1625.8048765988547</v>
      </c>
      <c r="AW7" s="144">
        <v>1625.8048765988547</v>
      </c>
      <c r="AX7" s="144">
        <v>1625.8048765988547</v>
      </c>
      <c r="AY7" s="144">
        <v>1625.8048765988547</v>
      </c>
      <c r="AZ7" s="106"/>
    </row>
    <row r="8" spans="1:52">
      <c r="A8" s="145"/>
      <c r="B8" s="146"/>
      <c r="C8" s="145"/>
      <c r="D8" s="145"/>
      <c r="E8" s="145"/>
      <c r="F8" s="145"/>
      <c r="G8" s="145"/>
      <c r="H8" s="145"/>
      <c r="I8" s="145"/>
      <c r="J8" s="145"/>
      <c r="K8" s="145"/>
      <c r="L8" s="145"/>
      <c r="M8" s="145"/>
      <c r="N8" s="145"/>
      <c r="O8" s="145"/>
      <c r="P8" s="145"/>
      <c r="Q8" s="145"/>
      <c r="R8" s="145"/>
      <c r="S8" s="145"/>
      <c r="T8" s="145"/>
      <c r="U8" s="145"/>
      <c r="V8" s="145"/>
      <c r="W8" s="145"/>
      <c r="X8" s="145"/>
      <c r="Y8" s="145"/>
      <c r="Z8" s="145"/>
      <c r="AA8" s="145"/>
      <c r="AB8" s="145"/>
      <c r="AC8" s="145"/>
      <c r="AD8" s="145"/>
      <c r="AE8" s="145"/>
      <c r="AF8" s="145"/>
      <c r="AG8" s="145"/>
      <c r="AH8" s="145"/>
      <c r="AI8" s="145"/>
      <c r="AJ8" s="145"/>
      <c r="AK8" s="145"/>
      <c r="AL8" s="145"/>
      <c r="AM8" s="145"/>
      <c r="AN8" s="145"/>
      <c r="AO8" s="145"/>
      <c r="AP8" s="145"/>
      <c r="AQ8" s="145"/>
      <c r="AR8" s="145"/>
      <c r="AS8" s="145"/>
      <c r="AT8" s="145"/>
      <c r="AU8" s="145"/>
      <c r="AV8" s="145"/>
      <c r="AW8" s="145"/>
      <c r="AX8" s="145"/>
      <c r="AY8" s="145"/>
      <c r="AZ8" s="147"/>
    </row>
    <row r="9" spans="1:52">
      <c r="A9" s="102" t="s">
        <v>294</v>
      </c>
      <c r="B9" s="148"/>
      <c r="C9" s="106"/>
      <c r="D9" s="106"/>
      <c r="E9" s="106"/>
      <c r="F9" s="106"/>
      <c r="G9" s="106"/>
      <c r="H9" s="106"/>
      <c r="I9" s="106"/>
      <c r="J9" s="106"/>
      <c r="K9" s="106"/>
      <c r="L9" s="106"/>
      <c r="M9" s="106"/>
      <c r="N9" s="106"/>
      <c r="O9" s="106"/>
      <c r="P9" s="106"/>
      <c r="Q9" s="106"/>
      <c r="R9" s="106"/>
      <c r="S9" s="106"/>
      <c r="T9" s="106"/>
      <c r="U9" s="106"/>
      <c r="V9" s="106"/>
      <c r="W9" s="106"/>
      <c r="X9" s="106"/>
      <c r="Y9" s="106"/>
      <c r="Z9" s="106"/>
      <c r="AA9" s="106"/>
      <c r="AB9" s="106"/>
      <c r="AC9" s="106"/>
      <c r="AD9" s="106"/>
      <c r="AE9" s="106"/>
      <c r="AF9" s="106"/>
      <c r="AG9" s="106"/>
      <c r="AH9" s="106"/>
      <c r="AI9" s="106"/>
      <c r="AJ9" s="106"/>
      <c r="AK9" s="106"/>
      <c r="AL9" s="106"/>
      <c r="AM9" s="106"/>
      <c r="AN9" s="106"/>
      <c r="AO9" s="106"/>
      <c r="AP9" s="106"/>
      <c r="AQ9" s="106"/>
      <c r="AR9" s="106"/>
      <c r="AS9" s="106"/>
      <c r="AT9" s="106"/>
      <c r="AU9" s="106"/>
      <c r="AV9" s="106"/>
      <c r="AW9" s="106"/>
      <c r="AX9" s="106"/>
      <c r="AY9" s="106"/>
      <c r="AZ9" s="106"/>
    </row>
    <row r="10" spans="1:52">
      <c r="A10" s="149" t="s">
        <v>125</v>
      </c>
      <c r="B10" s="150">
        <v>1</v>
      </c>
      <c r="C10" s="144" t="s">
        <v>293</v>
      </c>
      <c r="D10" s="144">
        <f t="shared" ref="D10:AY10" si="0">MAX(SUM(D$14:D$16)+D$7-$B$3,0)</f>
        <v>0</v>
      </c>
      <c r="E10" s="144">
        <f t="shared" si="0"/>
        <v>0</v>
      </c>
      <c r="F10" s="144">
        <f t="shared" si="0"/>
        <v>0</v>
      </c>
      <c r="G10" s="144">
        <f t="shared" si="0"/>
        <v>0</v>
      </c>
      <c r="H10" s="144">
        <f t="shared" si="0"/>
        <v>0</v>
      </c>
      <c r="I10" s="144">
        <f t="shared" si="0"/>
        <v>0</v>
      </c>
      <c r="J10" s="144">
        <f t="shared" si="0"/>
        <v>0</v>
      </c>
      <c r="K10" s="144">
        <f t="shared" si="0"/>
        <v>0</v>
      </c>
      <c r="L10" s="144">
        <f t="shared" si="0"/>
        <v>0</v>
      </c>
      <c r="M10" s="144">
        <f t="shared" si="0"/>
        <v>0</v>
      </c>
      <c r="N10" s="144">
        <f t="shared" si="0"/>
        <v>0</v>
      </c>
      <c r="O10" s="144">
        <f t="shared" si="0"/>
        <v>0</v>
      </c>
      <c r="P10" s="144">
        <f t="shared" si="0"/>
        <v>0</v>
      </c>
      <c r="Q10" s="144">
        <f t="shared" si="0"/>
        <v>0</v>
      </c>
      <c r="R10" s="144">
        <f t="shared" si="0"/>
        <v>0</v>
      </c>
      <c r="S10" s="144">
        <f t="shared" si="0"/>
        <v>0</v>
      </c>
      <c r="T10" s="144">
        <f t="shared" si="0"/>
        <v>0</v>
      </c>
      <c r="U10" s="144">
        <f t="shared" si="0"/>
        <v>0</v>
      </c>
      <c r="V10" s="144">
        <f t="shared" si="0"/>
        <v>0</v>
      </c>
      <c r="W10" s="144">
        <f t="shared" si="0"/>
        <v>0</v>
      </c>
      <c r="X10" s="144">
        <f t="shared" si="0"/>
        <v>0</v>
      </c>
      <c r="Y10" s="144">
        <f t="shared" si="0"/>
        <v>0</v>
      </c>
      <c r="Z10" s="144">
        <f t="shared" si="0"/>
        <v>0</v>
      </c>
      <c r="AA10" s="144">
        <f t="shared" si="0"/>
        <v>0</v>
      </c>
      <c r="AB10" s="144">
        <f t="shared" si="0"/>
        <v>0</v>
      </c>
      <c r="AC10" s="144">
        <f t="shared" si="0"/>
        <v>0</v>
      </c>
      <c r="AD10" s="144">
        <f t="shared" si="0"/>
        <v>0</v>
      </c>
      <c r="AE10" s="144">
        <f t="shared" si="0"/>
        <v>0</v>
      </c>
      <c r="AF10" s="144">
        <f t="shared" si="0"/>
        <v>0</v>
      </c>
      <c r="AG10" s="144">
        <f t="shared" si="0"/>
        <v>0</v>
      </c>
      <c r="AH10" s="144">
        <f t="shared" si="0"/>
        <v>0</v>
      </c>
      <c r="AI10" s="144">
        <f t="shared" si="0"/>
        <v>0</v>
      </c>
      <c r="AJ10" s="144">
        <f t="shared" si="0"/>
        <v>0</v>
      </c>
      <c r="AK10" s="144">
        <f t="shared" si="0"/>
        <v>0</v>
      </c>
      <c r="AL10" s="144">
        <f t="shared" si="0"/>
        <v>0</v>
      </c>
      <c r="AM10" s="144">
        <f t="shared" si="0"/>
        <v>0</v>
      </c>
      <c r="AN10" s="144">
        <f t="shared" si="0"/>
        <v>0</v>
      </c>
      <c r="AO10" s="144">
        <f t="shared" si="0"/>
        <v>0</v>
      </c>
      <c r="AP10" s="144">
        <f t="shared" si="0"/>
        <v>0</v>
      </c>
      <c r="AQ10" s="144">
        <f t="shared" si="0"/>
        <v>0</v>
      </c>
      <c r="AR10" s="144">
        <f t="shared" si="0"/>
        <v>0</v>
      </c>
      <c r="AS10" s="144">
        <f t="shared" si="0"/>
        <v>0</v>
      </c>
      <c r="AT10" s="144">
        <f t="shared" si="0"/>
        <v>0</v>
      </c>
      <c r="AU10" s="144">
        <f t="shared" si="0"/>
        <v>0</v>
      </c>
      <c r="AV10" s="144">
        <f t="shared" si="0"/>
        <v>0</v>
      </c>
      <c r="AW10" s="144">
        <f t="shared" si="0"/>
        <v>0</v>
      </c>
      <c r="AX10" s="144">
        <f t="shared" si="0"/>
        <v>0</v>
      </c>
      <c r="AY10" s="144">
        <f t="shared" si="0"/>
        <v>0</v>
      </c>
      <c r="AZ10" s="151">
        <f>SUM($D10:$AY10)</f>
        <v>0</v>
      </c>
    </row>
    <row r="11" spans="1:52">
      <c r="C11" s="110"/>
    </row>
    <row r="12" spans="1:52">
      <c r="A12" s="152" t="s">
        <v>295</v>
      </c>
      <c r="B12" s="146"/>
      <c r="C12" s="110"/>
    </row>
    <row r="13" spans="1:52">
      <c r="A13" s="122" t="s">
        <v>125</v>
      </c>
      <c r="B13" s="123">
        <v>1</v>
      </c>
      <c r="C13" s="124">
        <v>1628.0837939863113</v>
      </c>
      <c r="D13" s="138">
        <f t="shared" ref="D13:AY13" si="1">D$7-D$10</f>
        <v>1625.8048765988547</v>
      </c>
      <c r="E13" s="138">
        <f t="shared" si="1"/>
        <v>1625.8048765988547</v>
      </c>
      <c r="F13" s="138">
        <f t="shared" si="1"/>
        <v>1625.8048765988547</v>
      </c>
      <c r="G13" s="138">
        <f t="shared" si="1"/>
        <v>1625.8048765988547</v>
      </c>
      <c r="H13" s="138">
        <f t="shared" si="1"/>
        <v>1625.8048765988547</v>
      </c>
      <c r="I13" s="138">
        <f t="shared" si="1"/>
        <v>1625.8048765988547</v>
      </c>
      <c r="J13" s="138">
        <f t="shared" si="1"/>
        <v>1625.8048765988547</v>
      </c>
      <c r="K13" s="138">
        <f t="shared" si="1"/>
        <v>1625.8048765988547</v>
      </c>
      <c r="L13" s="138">
        <f t="shared" si="1"/>
        <v>1625.8048765988547</v>
      </c>
      <c r="M13" s="138">
        <f t="shared" si="1"/>
        <v>1625.8048765988547</v>
      </c>
      <c r="N13" s="138">
        <f t="shared" si="1"/>
        <v>1625.8048765988547</v>
      </c>
      <c r="O13" s="138">
        <f t="shared" si="1"/>
        <v>1625.8048765988547</v>
      </c>
      <c r="P13" s="138">
        <f t="shared" si="1"/>
        <v>1625.8048765988547</v>
      </c>
      <c r="Q13" s="138">
        <f t="shared" si="1"/>
        <v>1625.8048765988547</v>
      </c>
      <c r="R13" s="138">
        <f t="shared" si="1"/>
        <v>1625.8048765988547</v>
      </c>
      <c r="S13" s="138">
        <f t="shared" si="1"/>
        <v>1625.8048765988547</v>
      </c>
      <c r="T13" s="138">
        <f t="shared" si="1"/>
        <v>1625.8048765988547</v>
      </c>
      <c r="U13" s="138">
        <f t="shared" si="1"/>
        <v>1625.8048765988547</v>
      </c>
      <c r="V13" s="138">
        <f t="shared" si="1"/>
        <v>1625.8048765988547</v>
      </c>
      <c r="W13" s="138">
        <f t="shared" si="1"/>
        <v>1625.8048765988547</v>
      </c>
      <c r="X13" s="138">
        <f t="shared" si="1"/>
        <v>1625.8048765988547</v>
      </c>
      <c r="Y13" s="138">
        <f t="shared" si="1"/>
        <v>1625.8048765988547</v>
      </c>
      <c r="Z13" s="138">
        <f t="shared" si="1"/>
        <v>1625.8048765988547</v>
      </c>
      <c r="AA13" s="138">
        <f t="shared" si="1"/>
        <v>1625.8048765988547</v>
      </c>
      <c r="AB13" s="138">
        <f t="shared" si="1"/>
        <v>1625.8048765988547</v>
      </c>
      <c r="AC13" s="138">
        <f t="shared" si="1"/>
        <v>1625.8048765988547</v>
      </c>
      <c r="AD13" s="138">
        <f t="shared" si="1"/>
        <v>1625.8048765988547</v>
      </c>
      <c r="AE13" s="138">
        <f t="shared" si="1"/>
        <v>1625.8048765988547</v>
      </c>
      <c r="AF13" s="138">
        <f t="shared" si="1"/>
        <v>1950.9564851694383</v>
      </c>
      <c r="AG13" s="138">
        <f t="shared" si="1"/>
        <v>1950.9564851694383</v>
      </c>
      <c r="AH13" s="138">
        <f t="shared" si="1"/>
        <v>1950.9564851694383</v>
      </c>
      <c r="AI13" s="138">
        <f t="shared" si="1"/>
        <v>1950.9564851694383</v>
      </c>
      <c r="AJ13" s="138">
        <f t="shared" si="1"/>
        <v>1625.8048765988547</v>
      </c>
      <c r="AK13" s="138">
        <f t="shared" si="1"/>
        <v>1625.8048765988547</v>
      </c>
      <c r="AL13" s="138">
        <f t="shared" si="1"/>
        <v>1625.8048765988547</v>
      </c>
      <c r="AM13" s="138">
        <f t="shared" si="1"/>
        <v>1625.8048765988547</v>
      </c>
      <c r="AN13" s="138">
        <f t="shared" si="1"/>
        <v>1625.8048765988547</v>
      </c>
      <c r="AO13" s="138">
        <f t="shared" si="1"/>
        <v>1625.8048765988547</v>
      </c>
      <c r="AP13" s="138">
        <f t="shared" si="1"/>
        <v>1625.8048765988547</v>
      </c>
      <c r="AQ13" s="138">
        <f t="shared" si="1"/>
        <v>1625.8048765988547</v>
      </c>
      <c r="AR13" s="138">
        <f t="shared" si="1"/>
        <v>1625.8048765988547</v>
      </c>
      <c r="AS13" s="138">
        <f t="shared" si="1"/>
        <v>1625.8048765988547</v>
      </c>
      <c r="AT13" s="138">
        <f t="shared" si="1"/>
        <v>1625.8048765988547</v>
      </c>
      <c r="AU13" s="138">
        <f t="shared" si="1"/>
        <v>1625.8048765988547</v>
      </c>
      <c r="AV13" s="138">
        <f t="shared" si="1"/>
        <v>1625.8048765988547</v>
      </c>
      <c r="AW13" s="138">
        <f t="shared" si="1"/>
        <v>1625.8048765988547</v>
      </c>
      <c r="AX13" s="138">
        <f t="shared" si="1"/>
        <v>1625.8048765988547</v>
      </c>
      <c r="AY13" s="138">
        <f t="shared" si="1"/>
        <v>1625.8048765988547</v>
      </c>
      <c r="AZ13" s="109"/>
    </row>
    <row r="14" spans="1:52">
      <c r="A14" s="110"/>
      <c r="B14" s="120">
        <v>2</v>
      </c>
      <c r="C14" s="110">
        <v>1628.0837939863113</v>
      </c>
      <c r="D14" s="106">
        <f>IF(C$20="Yes",C13,0)</f>
        <v>0</v>
      </c>
      <c r="E14" s="106">
        <f t="shared" ref="E14:AY17" si="2">IF(D$20="Yes",D13,0)</f>
        <v>0</v>
      </c>
      <c r="F14" s="106">
        <f t="shared" si="2"/>
        <v>0</v>
      </c>
      <c r="G14" s="106">
        <f t="shared" si="2"/>
        <v>1625.8048765988547</v>
      </c>
      <c r="H14" s="106">
        <f t="shared" si="2"/>
        <v>0</v>
      </c>
      <c r="I14" s="106">
        <f t="shared" si="2"/>
        <v>0</v>
      </c>
      <c r="J14" s="106">
        <f t="shared" si="2"/>
        <v>0</v>
      </c>
      <c r="K14" s="106">
        <f t="shared" si="2"/>
        <v>0</v>
      </c>
      <c r="L14" s="106">
        <f t="shared" si="2"/>
        <v>1625.8048765988547</v>
      </c>
      <c r="M14" s="106">
        <f t="shared" si="2"/>
        <v>0</v>
      </c>
      <c r="N14" s="106">
        <f t="shared" si="2"/>
        <v>0</v>
      </c>
      <c r="O14" s="106">
        <f t="shared" si="2"/>
        <v>0</v>
      </c>
      <c r="P14" s="106">
        <f t="shared" si="2"/>
        <v>0</v>
      </c>
      <c r="Q14" s="106">
        <f t="shared" si="2"/>
        <v>0</v>
      </c>
      <c r="R14" s="106">
        <f t="shared" si="2"/>
        <v>0</v>
      </c>
      <c r="S14" s="106">
        <f t="shared" si="2"/>
        <v>0</v>
      </c>
      <c r="T14" s="106">
        <f t="shared" si="2"/>
        <v>0</v>
      </c>
      <c r="U14" s="106">
        <f t="shared" si="2"/>
        <v>0</v>
      </c>
      <c r="V14" s="106">
        <f t="shared" si="2"/>
        <v>0</v>
      </c>
      <c r="W14" s="106">
        <f t="shared" si="2"/>
        <v>0</v>
      </c>
      <c r="X14" s="106">
        <f t="shared" si="2"/>
        <v>0</v>
      </c>
      <c r="Y14" s="106">
        <f t="shared" si="2"/>
        <v>0</v>
      </c>
      <c r="Z14" s="106">
        <f t="shared" si="2"/>
        <v>0</v>
      </c>
      <c r="AA14" s="106">
        <f t="shared" si="2"/>
        <v>0</v>
      </c>
      <c r="AB14" s="106">
        <f t="shared" si="2"/>
        <v>0</v>
      </c>
      <c r="AC14" s="106">
        <f t="shared" si="2"/>
        <v>0</v>
      </c>
      <c r="AD14" s="106">
        <f t="shared" si="2"/>
        <v>0</v>
      </c>
      <c r="AE14" s="106">
        <f t="shared" si="2"/>
        <v>1625.8048765988547</v>
      </c>
      <c r="AF14" s="106">
        <f t="shared" si="2"/>
        <v>0</v>
      </c>
      <c r="AG14" s="106">
        <f t="shared" si="2"/>
        <v>0</v>
      </c>
      <c r="AH14" s="106">
        <f t="shared" si="2"/>
        <v>0</v>
      </c>
      <c r="AI14" s="106">
        <f t="shared" si="2"/>
        <v>0</v>
      </c>
      <c r="AJ14" s="106">
        <f t="shared" si="2"/>
        <v>0</v>
      </c>
      <c r="AK14" s="106">
        <f t="shared" si="2"/>
        <v>1625.8048765988547</v>
      </c>
      <c r="AL14" s="106">
        <f t="shared" si="2"/>
        <v>0</v>
      </c>
      <c r="AM14" s="106">
        <f t="shared" si="2"/>
        <v>0</v>
      </c>
      <c r="AN14" s="106">
        <f t="shared" si="2"/>
        <v>0</v>
      </c>
      <c r="AO14" s="106">
        <f t="shared" si="2"/>
        <v>0</v>
      </c>
      <c r="AP14" s="106">
        <f t="shared" si="2"/>
        <v>0</v>
      </c>
      <c r="AQ14" s="106">
        <f t="shared" si="2"/>
        <v>0</v>
      </c>
      <c r="AR14" s="106">
        <f t="shared" si="2"/>
        <v>0</v>
      </c>
      <c r="AS14" s="106">
        <f t="shared" si="2"/>
        <v>0</v>
      </c>
      <c r="AT14" s="106">
        <f t="shared" si="2"/>
        <v>0</v>
      </c>
      <c r="AU14" s="106">
        <f t="shared" si="2"/>
        <v>0</v>
      </c>
      <c r="AV14" s="106">
        <f t="shared" si="2"/>
        <v>0</v>
      </c>
      <c r="AW14" s="106">
        <f t="shared" si="2"/>
        <v>0</v>
      </c>
      <c r="AX14" s="106">
        <f t="shared" si="2"/>
        <v>0</v>
      </c>
      <c r="AY14" s="106">
        <f t="shared" si="2"/>
        <v>0</v>
      </c>
      <c r="AZ14" s="109"/>
    </row>
    <row r="15" spans="1:52">
      <c r="A15" s="110"/>
      <c r="B15" s="127">
        <v>3</v>
      </c>
      <c r="C15" s="110">
        <v>0</v>
      </c>
      <c r="D15" s="106">
        <f>IF(C$20="Yes",C14,0)</f>
        <v>0</v>
      </c>
      <c r="E15" s="106">
        <f t="shared" si="2"/>
        <v>0</v>
      </c>
      <c r="F15" s="106">
        <f t="shared" si="2"/>
        <v>0</v>
      </c>
      <c r="G15" s="106">
        <f t="shared" si="2"/>
        <v>0</v>
      </c>
      <c r="H15" s="106">
        <f t="shared" si="2"/>
        <v>0</v>
      </c>
      <c r="I15" s="106">
        <f t="shared" si="2"/>
        <v>0</v>
      </c>
      <c r="J15" s="106">
        <f t="shared" si="2"/>
        <v>0</v>
      </c>
      <c r="K15" s="106">
        <f t="shared" si="2"/>
        <v>0</v>
      </c>
      <c r="L15" s="106">
        <f t="shared" si="2"/>
        <v>0</v>
      </c>
      <c r="M15" s="106">
        <f t="shared" si="2"/>
        <v>0</v>
      </c>
      <c r="N15" s="106">
        <f t="shared" si="2"/>
        <v>0</v>
      </c>
      <c r="O15" s="106">
        <f t="shared" si="2"/>
        <v>0</v>
      </c>
      <c r="P15" s="106">
        <f t="shared" si="2"/>
        <v>0</v>
      </c>
      <c r="Q15" s="106">
        <f t="shared" si="2"/>
        <v>0</v>
      </c>
      <c r="R15" s="106">
        <f t="shared" si="2"/>
        <v>0</v>
      </c>
      <c r="S15" s="106">
        <f t="shared" si="2"/>
        <v>0</v>
      </c>
      <c r="T15" s="106">
        <f t="shared" si="2"/>
        <v>0</v>
      </c>
      <c r="U15" s="106">
        <f t="shared" si="2"/>
        <v>0</v>
      </c>
      <c r="V15" s="106">
        <f t="shared" si="2"/>
        <v>0</v>
      </c>
      <c r="W15" s="106">
        <f t="shared" si="2"/>
        <v>0</v>
      </c>
      <c r="X15" s="106">
        <f t="shared" si="2"/>
        <v>0</v>
      </c>
      <c r="Y15" s="106">
        <f t="shared" si="2"/>
        <v>0</v>
      </c>
      <c r="Z15" s="106">
        <f t="shared" si="2"/>
        <v>0</v>
      </c>
      <c r="AA15" s="106">
        <f t="shared" si="2"/>
        <v>0</v>
      </c>
      <c r="AB15" s="106">
        <f t="shared" si="2"/>
        <v>0</v>
      </c>
      <c r="AC15" s="106">
        <f t="shared" si="2"/>
        <v>0</v>
      </c>
      <c r="AD15" s="106">
        <f t="shared" si="2"/>
        <v>0</v>
      </c>
      <c r="AE15" s="106">
        <f t="shared" si="2"/>
        <v>0</v>
      </c>
      <c r="AF15" s="106">
        <f t="shared" si="2"/>
        <v>0</v>
      </c>
      <c r="AG15" s="106">
        <f t="shared" si="2"/>
        <v>0</v>
      </c>
      <c r="AH15" s="106">
        <f t="shared" si="2"/>
        <v>0</v>
      </c>
      <c r="AI15" s="106">
        <f t="shared" si="2"/>
        <v>0</v>
      </c>
      <c r="AJ15" s="106">
        <f t="shared" si="2"/>
        <v>0</v>
      </c>
      <c r="AK15" s="106">
        <f t="shared" si="2"/>
        <v>0</v>
      </c>
      <c r="AL15" s="106">
        <f t="shared" si="2"/>
        <v>0</v>
      </c>
      <c r="AM15" s="106">
        <f t="shared" si="2"/>
        <v>0</v>
      </c>
      <c r="AN15" s="106">
        <f t="shared" si="2"/>
        <v>0</v>
      </c>
      <c r="AO15" s="106">
        <f t="shared" si="2"/>
        <v>0</v>
      </c>
      <c r="AP15" s="106">
        <f t="shared" si="2"/>
        <v>0</v>
      </c>
      <c r="AQ15" s="106">
        <f t="shared" si="2"/>
        <v>0</v>
      </c>
      <c r="AR15" s="106">
        <f t="shared" si="2"/>
        <v>0</v>
      </c>
      <c r="AS15" s="106">
        <f t="shared" si="2"/>
        <v>0</v>
      </c>
      <c r="AT15" s="106">
        <f t="shared" si="2"/>
        <v>0</v>
      </c>
      <c r="AU15" s="106">
        <f t="shared" si="2"/>
        <v>0</v>
      </c>
      <c r="AV15" s="106">
        <f t="shared" si="2"/>
        <v>0</v>
      </c>
      <c r="AW15" s="106">
        <f t="shared" si="2"/>
        <v>0</v>
      </c>
      <c r="AX15" s="106">
        <f t="shared" si="2"/>
        <v>0</v>
      </c>
      <c r="AY15" s="106">
        <f t="shared" si="2"/>
        <v>0</v>
      </c>
      <c r="AZ15" s="109"/>
    </row>
    <row r="16" spans="1:52">
      <c r="A16" s="110"/>
      <c r="B16" s="130">
        <v>4</v>
      </c>
      <c r="C16" s="110">
        <v>0</v>
      </c>
      <c r="D16" s="106">
        <f>IF(C$20="Yes",C15,0)</f>
        <v>0</v>
      </c>
      <c r="E16" s="106">
        <f t="shared" si="2"/>
        <v>0</v>
      </c>
      <c r="F16" s="106">
        <f t="shared" si="2"/>
        <v>0</v>
      </c>
      <c r="G16" s="106">
        <f t="shared" si="2"/>
        <v>0</v>
      </c>
      <c r="H16" s="106">
        <f t="shared" si="2"/>
        <v>0</v>
      </c>
      <c r="I16" s="106">
        <f t="shared" si="2"/>
        <v>0</v>
      </c>
      <c r="J16" s="106">
        <f t="shared" si="2"/>
        <v>0</v>
      </c>
      <c r="K16" s="106">
        <f t="shared" si="2"/>
        <v>0</v>
      </c>
      <c r="L16" s="106">
        <f t="shared" si="2"/>
        <v>0</v>
      </c>
      <c r="M16" s="106">
        <f t="shared" si="2"/>
        <v>0</v>
      </c>
      <c r="N16" s="106">
        <f t="shared" si="2"/>
        <v>0</v>
      </c>
      <c r="O16" s="106">
        <f t="shared" si="2"/>
        <v>0</v>
      </c>
      <c r="P16" s="106">
        <f t="shared" si="2"/>
        <v>0</v>
      </c>
      <c r="Q16" s="106">
        <f t="shared" si="2"/>
        <v>0</v>
      </c>
      <c r="R16" s="106">
        <f t="shared" si="2"/>
        <v>0</v>
      </c>
      <c r="S16" s="106">
        <f t="shared" si="2"/>
        <v>0</v>
      </c>
      <c r="T16" s="106">
        <f t="shared" si="2"/>
        <v>0</v>
      </c>
      <c r="U16" s="106">
        <f t="shared" si="2"/>
        <v>0</v>
      </c>
      <c r="V16" s="106">
        <f t="shared" si="2"/>
        <v>0</v>
      </c>
      <c r="W16" s="106">
        <f t="shared" si="2"/>
        <v>0</v>
      </c>
      <c r="X16" s="106">
        <f t="shared" si="2"/>
        <v>0</v>
      </c>
      <c r="Y16" s="106">
        <f t="shared" si="2"/>
        <v>0</v>
      </c>
      <c r="Z16" s="106">
        <f t="shared" si="2"/>
        <v>0</v>
      </c>
      <c r="AA16" s="106">
        <f t="shared" si="2"/>
        <v>0</v>
      </c>
      <c r="AB16" s="106">
        <f t="shared" si="2"/>
        <v>0</v>
      </c>
      <c r="AC16" s="106">
        <f t="shared" si="2"/>
        <v>0</v>
      </c>
      <c r="AD16" s="106">
        <f t="shared" si="2"/>
        <v>0</v>
      </c>
      <c r="AE16" s="106">
        <f t="shared" si="2"/>
        <v>0</v>
      </c>
      <c r="AF16" s="106">
        <f t="shared" si="2"/>
        <v>0</v>
      </c>
      <c r="AG16" s="106">
        <f t="shared" si="2"/>
        <v>0</v>
      </c>
      <c r="AH16" s="106">
        <f t="shared" si="2"/>
        <v>0</v>
      </c>
      <c r="AI16" s="106">
        <f t="shared" si="2"/>
        <v>0</v>
      </c>
      <c r="AJ16" s="106">
        <f t="shared" si="2"/>
        <v>0</v>
      </c>
      <c r="AK16" s="106">
        <f t="shared" si="2"/>
        <v>0</v>
      </c>
      <c r="AL16" s="106">
        <f t="shared" si="2"/>
        <v>0</v>
      </c>
      <c r="AM16" s="106">
        <f t="shared" si="2"/>
        <v>0</v>
      </c>
      <c r="AN16" s="106">
        <f t="shared" si="2"/>
        <v>0</v>
      </c>
      <c r="AO16" s="106">
        <f t="shared" si="2"/>
        <v>0</v>
      </c>
      <c r="AP16" s="106">
        <f t="shared" si="2"/>
        <v>0</v>
      </c>
      <c r="AQ16" s="106">
        <f t="shared" si="2"/>
        <v>0</v>
      </c>
      <c r="AR16" s="106">
        <f t="shared" si="2"/>
        <v>0</v>
      </c>
      <c r="AS16" s="106">
        <f t="shared" si="2"/>
        <v>0</v>
      </c>
      <c r="AT16" s="106">
        <f t="shared" si="2"/>
        <v>0</v>
      </c>
      <c r="AU16" s="106">
        <f t="shared" si="2"/>
        <v>0</v>
      </c>
      <c r="AV16" s="106">
        <f t="shared" si="2"/>
        <v>0</v>
      </c>
      <c r="AW16" s="106">
        <f t="shared" si="2"/>
        <v>0</v>
      </c>
      <c r="AX16" s="106">
        <f t="shared" si="2"/>
        <v>0</v>
      </c>
      <c r="AY16" s="106">
        <f t="shared" si="2"/>
        <v>0</v>
      </c>
      <c r="AZ16" s="128"/>
    </row>
    <row r="17" spans="1:52">
      <c r="A17" s="125"/>
      <c r="B17" s="132" t="s">
        <v>296</v>
      </c>
      <c r="C17" s="125">
        <v>0</v>
      </c>
      <c r="D17" s="114">
        <f>IF(C$20="Yes",C16,0)</f>
        <v>0</v>
      </c>
      <c r="E17" s="114">
        <f t="shared" si="2"/>
        <v>0</v>
      </c>
      <c r="F17" s="114">
        <f t="shared" si="2"/>
        <v>0</v>
      </c>
      <c r="G17" s="114">
        <f t="shared" si="2"/>
        <v>0</v>
      </c>
      <c r="H17" s="114">
        <f t="shared" si="2"/>
        <v>0</v>
      </c>
      <c r="I17" s="114">
        <f t="shared" si="2"/>
        <v>0</v>
      </c>
      <c r="J17" s="114">
        <f t="shared" si="2"/>
        <v>0</v>
      </c>
      <c r="K17" s="114">
        <f t="shared" si="2"/>
        <v>0</v>
      </c>
      <c r="L17" s="114">
        <f t="shared" si="2"/>
        <v>0</v>
      </c>
      <c r="M17" s="114">
        <f t="shared" si="2"/>
        <v>0</v>
      </c>
      <c r="N17" s="114">
        <f t="shared" si="2"/>
        <v>0</v>
      </c>
      <c r="O17" s="114">
        <f t="shared" si="2"/>
        <v>0</v>
      </c>
      <c r="P17" s="114">
        <f t="shared" si="2"/>
        <v>0</v>
      </c>
      <c r="Q17" s="114">
        <f t="shared" si="2"/>
        <v>0</v>
      </c>
      <c r="R17" s="114">
        <f t="shared" si="2"/>
        <v>0</v>
      </c>
      <c r="S17" s="114">
        <f t="shared" si="2"/>
        <v>0</v>
      </c>
      <c r="T17" s="114">
        <f t="shared" si="2"/>
        <v>0</v>
      </c>
      <c r="U17" s="114">
        <f t="shared" si="2"/>
        <v>0</v>
      </c>
      <c r="V17" s="114">
        <f t="shared" si="2"/>
        <v>0</v>
      </c>
      <c r="W17" s="114">
        <f t="shared" si="2"/>
        <v>0</v>
      </c>
      <c r="X17" s="114">
        <f t="shared" si="2"/>
        <v>0</v>
      </c>
      <c r="Y17" s="114">
        <f t="shared" si="2"/>
        <v>0</v>
      </c>
      <c r="Z17" s="114">
        <f t="shared" si="2"/>
        <v>0</v>
      </c>
      <c r="AA17" s="114">
        <f t="shared" si="2"/>
        <v>0</v>
      </c>
      <c r="AB17" s="114">
        <f t="shared" si="2"/>
        <v>0</v>
      </c>
      <c r="AC17" s="114">
        <f t="shared" si="2"/>
        <v>0</v>
      </c>
      <c r="AD17" s="114">
        <f t="shared" si="2"/>
        <v>0</v>
      </c>
      <c r="AE17" s="114">
        <f t="shared" si="2"/>
        <v>0</v>
      </c>
      <c r="AF17" s="114">
        <f t="shared" si="2"/>
        <v>0</v>
      </c>
      <c r="AG17" s="114">
        <f t="shared" si="2"/>
        <v>0</v>
      </c>
      <c r="AH17" s="114">
        <f t="shared" si="2"/>
        <v>0</v>
      </c>
      <c r="AI17" s="114">
        <f t="shared" si="2"/>
        <v>0</v>
      </c>
      <c r="AJ17" s="114">
        <f t="shared" si="2"/>
        <v>0</v>
      </c>
      <c r="AK17" s="114">
        <f t="shared" si="2"/>
        <v>0</v>
      </c>
      <c r="AL17" s="114">
        <f t="shared" si="2"/>
        <v>0</v>
      </c>
      <c r="AM17" s="114">
        <f t="shared" si="2"/>
        <v>0</v>
      </c>
      <c r="AN17" s="114">
        <f t="shared" si="2"/>
        <v>0</v>
      </c>
      <c r="AO17" s="114">
        <f t="shared" si="2"/>
        <v>0</v>
      </c>
      <c r="AP17" s="114">
        <f t="shared" si="2"/>
        <v>0</v>
      </c>
      <c r="AQ17" s="114">
        <f t="shared" si="2"/>
        <v>0</v>
      </c>
      <c r="AR17" s="114">
        <f t="shared" si="2"/>
        <v>0</v>
      </c>
      <c r="AS17" s="114">
        <f t="shared" si="2"/>
        <v>0</v>
      </c>
      <c r="AT17" s="114">
        <f t="shared" si="2"/>
        <v>0</v>
      </c>
      <c r="AU17" s="114">
        <f t="shared" si="2"/>
        <v>0</v>
      </c>
      <c r="AV17" s="114">
        <f t="shared" si="2"/>
        <v>0</v>
      </c>
      <c r="AW17" s="114">
        <f t="shared" si="2"/>
        <v>0</v>
      </c>
      <c r="AX17" s="114">
        <f t="shared" si="2"/>
        <v>0</v>
      </c>
      <c r="AY17" s="114">
        <f t="shared" si="2"/>
        <v>0</v>
      </c>
      <c r="AZ17" s="151">
        <f>SUM($D$17:$AY$17)</f>
        <v>0</v>
      </c>
    </row>
    <row r="18" spans="1:52">
      <c r="A18" s="106"/>
      <c r="B18" s="153"/>
      <c r="C18" s="138"/>
      <c r="D18" s="138"/>
      <c r="E18" s="138"/>
      <c r="F18" s="138"/>
      <c r="G18" s="138"/>
      <c r="H18" s="138"/>
      <c r="I18" s="138"/>
      <c r="J18" s="138"/>
      <c r="K18" s="138"/>
      <c r="L18" s="138"/>
      <c r="M18" s="138"/>
      <c r="N18" s="138"/>
      <c r="O18" s="138"/>
      <c r="P18" s="138"/>
      <c r="Q18" s="138"/>
      <c r="R18" s="138"/>
      <c r="S18" s="138"/>
      <c r="T18" s="138"/>
      <c r="U18" s="138"/>
      <c r="V18" s="138"/>
      <c r="W18" s="138"/>
      <c r="X18" s="138"/>
      <c r="Y18" s="138"/>
      <c r="Z18" s="138"/>
      <c r="AA18" s="138"/>
      <c r="AB18" s="138"/>
      <c r="AC18" s="138"/>
      <c r="AD18" s="138"/>
      <c r="AE18" s="138"/>
      <c r="AF18" s="138"/>
      <c r="AG18" s="138"/>
      <c r="AH18" s="138"/>
      <c r="AI18" s="138"/>
      <c r="AJ18" s="138"/>
      <c r="AK18" s="138"/>
      <c r="AL18" s="138"/>
      <c r="AM18" s="138"/>
      <c r="AN18" s="138"/>
      <c r="AO18" s="138"/>
      <c r="AP18" s="138"/>
      <c r="AQ18" s="138"/>
      <c r="AR18" s="138"/>
      <c r="AS18" s="138"/>
      <c r="AT18" s="138"/>
      <c r="AU18" s="138"/>
      <c r="AV18" s="138"/>
      <c r="AW18" s="138"/>
      <c r="AX18" s="138"/>
      <c r="AY18" s="138"/>
      <c r="AZ18" s="106"/>
    </row>
    <row r="19" spans="1:52">
      <c r="A19" s="102" t="s">
        <v>116</v>
      </c>
      <c r="B19" s="106"/>
      <c r="C19" s="106"/>
      <c r="D19" s="106"/>
      <c r="E19" s="106"/>
      <c r="F19" s="106"/>
      <c r="G19" s="106"/>
      <c r="H19" s="106"/>
      <c r="I19" s="106"/>
      <c r="J19" s="106"/>
      <c r="K19" s="106"/>
      <c r="L19" s="106"/>
      <c r="M19" s="106"/>
      <c r="N19" s="106"/>
      <c r="O19" s="106"/>
      <c r="P19" s="106"/>
      <c r="Q19" s="106"/>
      <c r="R19" s="106"/>
      <c r="S19" s="106"/>
      <c r="T19" s="106"/>
      <c r="U19" s="106"/>
      <c r="V19" s="106"/>
      <c r="W19" s="106"/>
      <c r="X19" s="106"/>
      <c r="Y19" s="106"/>
      <c r="Z19" s="106"/>
      <c r="AA19" s="106"/>
      <c r="AB19" s="106"/>
      <c r="AC19" s="106"/>
      <c r="AD19" s="106"/>
      <c r="AE19" s="106"/>
      <c r="AF19" s="106"/>
      <c r="AG19" s="106"/>
      <c r="AH19" s="106"/>
      <c r="AI19" s="106"/>
      <c r="AJ19" s="106"/>
      <c r="AK19" s="106"/>
      <c r="AL19" s="106"/>
      <c r="AM19" s="106"/>
      <c r="AN19" s="106"/>
      <c r="AO19" s="106"/>
      <c r="AP19" s="106"/>
      <c r="AQ19" s="106"/>
      <c r="AR19" s="106"/>
      <c r="AS19" s="106"/>
      <c r="AT19" s="106"/>
      <c r="AU19" s="106"/>
      <c r="AV19" s="106"/>
      <c r="AW19" s="106"/>
      <c r="AX19" s="106"/>
      <c r="AY19" s="106"/>
    </row>
    <row r="20" spans="1:52" s="110" customFormat="1">
      <c r="A20" s="115" t="s">
        <v>305</v>
      </c>
      <c r="B20" s="154" t="s">
        <v>306</v>
      </c>
      <c r="C20" s="117"/>
      <c r="D20" s="117"/>
      <c r="E20" s="117"/>
      <c r="F20" s="117" t="s">
        <v>339</v>
      </c>
      <c r="G20" s="117"/>
      <c r="H20" s="117"/>
      <c r="I20" s="117"/>
      <c r="J20" s="117"/>
      <c r="K20" s="117" t="s">
        <v>339</v>
      </c>
      <c r="L20" s="117"/>
      <c r="M20" s="117"/>
      <c r="N20" s="117"/>
      <c r="O20" s="117"/>
      <c r="P20" s="117"/>
      <c r="Q20" s="117"/>
      <c r="R20" s="117"/>
      <c r="S20" s="117"/>
      <c r="T20" s="117"/>
      <c r="U20" s="117"/>
      <c r="V20" s="117"/>
      <c r="W20" s="117"/>
      <c r="X20" s="117"/>
      <c r="Y20" s="117"/>
      <c r="Z20" s="117"/>
      <c r="AA20" s="117"/>
      <c r="AB20" s="117"/>
      <c r="AC20" s="117"/>
      <c r="AD20" s="117" t="s">
        <v>339</v>
      </c>
      <c r="AE20" s="117"/>
      <c r="AF20" s="117"/>
      <c r="AG20" s="117"/>
      <c r="AH20" s="117"/>
      <c r="AI20" s="117"/>
      <c r="AJ20" s="117" t="s">
        <v>339</v>
      </c>
      <c r="AK20" s="117"/>
      <c r="AL20" s="117"/>
      <c r="AM20" s="117"/>
      <c r="AN20" s="117"/>
      <c r="AO20" s="117"/>
      <c r="AP20" s="117"/>
      <c r="AQ20" s="117"/>
      <c r="AR20" s="117"/>
      <c r="AS20" s="117"/>
      <c r="AT20" s="117"/>
      <c r="AU20" s="117"/>
      <c r="AV20" s="117"/>
      <c r="AW20" s="117"/>
      <c r="AX20" s="117"/>
      <c r="AY20" s="117"/>
      <c r="AZ20" s="107"/>
    </row>
    <row r="21" spans="1:52" s="110" customFormat="1">
      <c r="A21" s="155" t="s">
        <v>133</v>
      </c>
      <c r="B21" s="156">
        <f>shipping_manufacturing!$E$19/100</f>
        <v>0.42953976270642902</v>
      </c>
      <c r="C21" s="156" t="s">
        <v>293</v>
      </c>
      <c r="D21" s="106">
        <f>IF(C$20="Yes",0,SUM(C$13:C$16)*$B$21)</f>
        <v>1398.6534530701256</v>
      </c>
      <c r="E21" s="106">
        <f t="shared" ref="E21:AY21" si="3">IF(D$20="Yes",0,SUM(D$13:D$16)*$B$21)</f>
        <v>698.34784090122719</v>
      </c>
      <c r="F21" s="106">
        <f t="shared" si="3"/>
        <v>698.34784090122719</v>
      </c>
      <c r="G21" s="106">
        <f t="shared" si="3"/>
        <v>0</v>
      </c>
      <c r="H21" s="106">
        <f t="shared" si="3"/>
        <v>1396.6956818024544</v>
      </c>
      <c r="I21" s="106">
        <f t="shared" si="3"/>
        <v>698.34784090122719</v>
      </c>
      <c r="J21" s="106">
        <f t="shared" si="3"/>
        <v>698.34784090122719</v>
      </c>
      <c r="K21" s="106">
        <f t="shared" si="3"/>
        <v>698.34784090122719</v>
      </c>
      <c r="L21" s="106">
        <f t="shared" si="3"/>
        <v>0</v>
      </c>
      <c r="M21" s="106">
        <f t="shared" si="3"/>
        <v>1396.6956818024544</v>
      </c>
      <c r="N21" s="106">
        <f t="shared" si="3"/>
        <v>698.34784090122719</v>
      </c>
      <c r="O21" s="106">
        <f t="shared" si="3"/>
        <v>698.34784090122719</v>
      </c>
      <c r="P21" s="106">
        <f t="shared" si="3"/>
        <v>698.34784090122719</v>
      </c>
      <c r="Q21" s="106">
        <f t="shared" si="3"/>
        <v>698.34784090122719</v>
      </c>
      <c r="R21" s="106">
        <f t="shared" si="3"/>
        <v>698.34784090122719</v>
      </c>
      <c r="S21" s="106">
        <f t="shared" si="3"/>
        <v>698.34784090122719</v>
      </c>
      <c r="T21" s="106">
        <f t="shared" si="3"/>
        <v>698.34784090122719</v>
      </c>
      <c r="U21" s="106">
        <f t="shared" si="3"/>
        <v>698.34784090122719</v>
      </c>
      <c r="V21" s="106">
        <f t="shared" si="3"/>
        <v>698.34784090122719</v>
      </c>
      <c r="W21" s="106">
        <f t="shared" si="3"/>
        <v>698.34784090122719</v>
      </c>
      <c r="X21" s="106">
        <f t="shared" si="3"/>
        <v>698.34784090122719</v>
      </c>
      <c r="Y21" s="106">
        <f t="shared" si="3"/>
        <v>698.34784090122719</v>
      </c>
      <c r="Z21" s="106">
        <f t="shared" si="3"/>
        <v>698.34784090122719</v>
      </c>
      <c r="AA21" s="106">
        <f t="shared" si="3"/>
        <v>698.34784090122719</v>
      </c>
      <c r="AB21" s="106">
        <f t="shared" si="3"/>
        <v>698.34784090122719</v>
      </c>
      <c r="AC21" s="106">
        <f t="shared" si="3"/>
        <v>698.34784090122719</v>
      </c>
      <c r="AD21" s="106">
        <f t="shared" si="3"/>
        <v>698.34784090122719</v>
      </c>
      <c r="AE21" s="106">
        <f t="shared" si="3"/>
        <v>0</v>
      </c>
      <c r="AF21" s="106">
        <f t="shared" si="3"/>
        <v>1396.6956818024544</v>
      </c>
      <c r="AG21" s="106">
        <f t="shared" si="3"/>
        <v>838.01338569024938</v>
      </c>
      <c r="AH21" s="106">
        <f t="shared" si="3"/>
        <v>838.01338569024938</v>
      </c>
      <c r="AI21" s="106">
        <f t="shared" si="3"/>
        <v>838.01338569024938</v>
      </c>
      <c r="AJ21" s="106">
        <f t="shared" si="3"/>
        <v>838.01338569024938</v>
      </c>
      <c r="AK21" s="106">
        <f t="shared" si="3"/>
        <v>0</v>
      </c>
      <c r="AL21" s="106">
        <f t="shared" si="3"/>
        <v>1396.6956818024544</v>
      </c>
      <c r="AM21" s="106">
        <f t="shared" si="3"/>
        <v>698.34784090122719</v>
      </c>
      <c r="AN21" s="106">
        <f t="shared" si="3"/>
        <v>698.34784090122719</v>
      </c>
      <c r="AO21" s="106">
        <f t="shared" si="3"/>
        <v>698.34784090122719</v>
      </c>
      <c r="AP21" s="106">
        <f t="shared" si="3"/>
        <v>698.34784090122719</v>
      </c>
      <c r="AQ21" s="106">
        <f t="shared" si="3"/>
        <v>698.34784090122719</v>
      </c>
      <c r="AR21" s="106">
        <f t="shared" si="3"/>
        <v>698.34784090122719</v>
      </c>
      <c r="AS21" s="106">
        <f t="shared" si="3"/>
        <v>698.34784090122719</v>
      </c>
      <c r="AT21" s="106">
        <f t="shared" si="3"/>
        <v>698.34784090122719</v>
      </c>
      <c r="AU21" s="106">
        <f t="shared" si="3"/>
        <v>698.34784090122719</v>
      </c>
      <c r="AV21" s="106">
        <f t="shared" si="3"/>
        <v>698.34784090122719</v>
      </c>
      <c r="AW21" s="106">
        <f t="shared" si="3"/>
        <v>698.34784090122719</v>
      </c>
      <c r="AX21" s="106">
        <f t="shared" si="3"/>
        <v>698.34784090122719</v>
      </c>
      <c r="AY21" s="106">
        <f t="shared" si="3"/>
        <v>698.34784090122719</v>
      </c>
      <c r="AZ21" s="157">
        <f>SUM($D21:$AY21)</f>
        <v>34779.664154583901</v>
      </c>
    </row>
    <row r="22" spans="1:52" s="110" customFormat="1">
      <c r="A22" s="158" t="s">
        <v>123</v>
      </c>
      <c r="B22" s="159">
        <f>1-$B$21</f>
        <v>0.57046023729357098</v>
      </c>
      <c r="C22" s="159" t="s">
        <v>293</v>
      </c>
      <c r="D22" s="114">
        <f>IF(C$20="Yes",0,SUM(C$13:C$16)*$B$22)</f>
        <v>1857.5141349024971</v>
      </c>
      <c r="E22" s="114">
        <f t="shared" ref="E22:AY22" si="4">IF(D$20="Yes",0,SUM(D$13:D$16)*$B$22)</f>
        <v>927.45703569762748</v>
      </c>
      <c r="F22" s="114">
        <f t="shared" si="4"/>
        <v>927.45703569762748</v>
      </c>
      <c r="G22" s="114">
        <f t="shared" si="4"/>
        <v>0</v>
      </c>
      <c r="H22" s="114">
        <f t="shared" si="4"/>
        <v>1854.914071395255</v>
      </c>
      <c r="I22" s="114">
        <f t="shared" si="4"/>
        <v>927.45703569762748</v>
      </c>
      <c r="J22" s="114">
        <f t="shared" si="4"/>
        <v>927.45703569762748</v>
      </c>
      <c r="K22" s="114">
        <f t="shared" si="4"/>
        <v>927.45703569762748</v>
      </c>
      <c r="L22" s="114">
        <f t="shared" si="4"/>
        <v>0</v>
      </c>
      <c r="M22" s="114">
        <f t="shared" si="4"/>
        <v>1854.914071395255</v>
      </c>
      <c r="N22" s="114">
        <f t="shared" si="4"/>
        <v>927.45703569762748</v>
      </c>
      <c r="O22" s="114">
        <f t="shared" si="4"/>
        <v>927.45703569762748</v>
      </c>
      <c r="P22" s="114">
        <f t="shared" si="4"/>
        <v>927.45703569762748</v>
      </c>
      <c r="Q22" s="114">
        <f t="shared" si="4"/>
        <v>927.45703569762748</v>
      </c>
      <c r="R22" s="114">
        <f t="shared" si="4"/>
        <v>927.45703569762748</v>
      </c>
      <c r="S22" s="114">
        <f t="shared" si="4"/>
        <v>927.45703569762748</v>
      </c>
      <c r="T22" s="114">
        <f t="shared" si="4"/>
        <v>927.45703569762748</v>
      </c>
      <c r="U22" s="114">
        <f t="shared" si="4"/>
        <v>927.45703569762748</v>
      </c>
      <c r="V22" s="114">
        <f t="shared" si="4"/>
        <v>927.45703569762748</v>
      </c>
      <c r="W22" s="114">
        <f t="shared" si="4"/>
        <v>927.45703569762748</v>
      </c>
      <c r="X22" s="114">
        <f t="shared" si="4"/>
        <v>927.45703569762748</v>
      </c>
      <c r="Y22" s="114">
        <f t="shared" si="4"/>
        <v>927.45703569762748</v>
      </c>
      <c r="Z22" s="114">
        <f t="shared" si="4"/>
        <v>927.45703569762748</v>
      </c>
      <c r="AA22" s="114">
        <f t="shared" si="4"/>
        <v>927.45703569762748</v>
      </c>
      <c r="AB22" s="114">
        <f t="shared" si="4"/>
        <v>927.45703569762748</v>
      </c>
      <c r="AC22" s="114">
        <f t="shared" si="4"/>
        <v>927.45703569762748</v>
      </c>
      <c r="AD22" s="114">
        <f t="shared" si="4"/>
        <v>927.45703569762748</v>
      </c>
      <c r="AE22" s="114">
        <f t="shared" si="4"/>
        <v>0</v>
      </c>
      <c r="AF22" s="114">
        <f t="shared" si="4"/>
        <v>1854.914071395255</v>
      </c>
      <c r="AG22" s="114">
        <f t="shared" si="4"/>
        <v>1112.943099479189</v>
      </c>
      <c r="AH22" s="114">
        <f t="shared" si="4"/>
        <v>1112.943099479189</v>
      </c>
      <c r="AI22" s="114">
        <f t="shared" si="4"/>
        <v>1112.943099479189</v>
      </c>
      <c r="AJ22" s="114">
        <f t="shared" si="4"/>
        <v>1112.943099479189</v>
      </c>
      <c r="AK22" s="114">
        <f t="shared" si="4"/>
        <v>0</v>
      </c>
      <c r="AL22" s="114">
        <f t="shared" si="4"/>
        <v>1854.914071395255</v>
      </c>
      <c r="AM22" s="114">
        <f t="shared" si="4"/>
        <v>927.45703569762748</v>
      </c>
      <c r="AN22" s="114">
        <f t="shared" si="4"/>
        <v>927.45703569762748</v>
      </c>
      <c r="AO22" s="114">
        <f t="shared" si="4"/>
        <v>927.45703569762748</v>
      </c>
      <c r="AP22" s="114">
        <f t="shared" si="4"/>
        <v>927.45703569762748</v>
      </c>
      <c r="AQ22" s="114">
        <f t="shared" si="4"/>
        <v>927.45703569762748</v>
      </c>
      <c r="AR22" s="114">
        <f t="shared" si="4"/>
        <v>927.45703569762748</v>
      </c>
      <c r="AS22" s="114">
        <f t="shared" si="4"/>
        <v>927.45703569762748</v>
      </c>
      <c r="AT22" s="114">
        <f t="shared" si="4"/>
        <v>927.45703569762748</v>
      </c>
      <c r="AU22" s="114">
        <f t="shared" si="4"/>
        <v>927.45703569762748</v>
      </c>
      <c r="AV22" s="114">
        <f t="shared" si="4"/>
        <v>927.45703569762748</v>
      </c>
      <c r="AW22" s="114">
        <f t="shared" si="4"/>
        <v>927.45703569762748</v>
      </c>
      <c r="AX22" s="114">
        <f t="shared" si="4"/>
        <v>927.45703569762748</v>
      </c>
      <c r="AY22" s="114">
        <f t="shared" si="4"/>
        <v>927.45703569762748</v>
      </c>
      <c r="AZ22" s="141">
        <f t="shared" ref="AZ22:AZ30" si="5">SUM($D22:$AY22)</f>
        <v>46189.93906781722</v>
      </c>
    </row>
    <row r="23" spans="1:52">
      <c r="A23" s="160" t="s">
        <v>307</v>
      </c>
      <c r="B23" s="124">
        <v>2000</v>
      </c>
      <c r="C23" s="100" t="s">
        <v>293</v>
      </c>
      <c r="D23" s="100">
        <f>D$21*$B$23</f>
        <v>2797306.9061402511</v>
      </c>
      <c r="E23" s="100">
        <f t="shared" ref="E23:AY23" si="6">E$21*$B$23</f>
        <v>1396695.6818024544</v>
      </c>
      <c r="F23" s="100">
        <f t="shared" si="6"/>
        <v>1396695.6818024544</v>
      </c>
      <c r="G23" s="100">
        <f t="shared" si="6"/>
        <v>0</v>
      </c>
      <c r="H23" s="100">
        <f t="shared" si="6"/>
        <v>2793391.3636049088</v>
      </c>
      <c r="I23" s="100">
        <f t="shared" si="6"/>
        <v>1396695.6818024544</v>
      </c>
      <c r="J23" s="100">
        <f t="shared" si="6"/>
        <v>1396695.6818024544</v>
      </c>
      <c r="K23" s="100">
        <f t="shared" si="6"/>
        <v>1396695.6818024544</v>
      </c>
      <c r="L23" s="100">
        <f t="shared" si="6"/>
        <v>0</v>
      </c>
      <c r="M23" s="100">
        <f t="shared" si="6"/>
        <v>2793391.3636049088</v>
      </c>
      <c r="N23" s="100">
        <f t="shared" si="6"/>
        <v>1396695.6818024544</v>
      </c>
      <c r="O23" s="100">
        <f t="shared" si="6"/>
        <v>1396695.6818024544</v>
      </c>
      <c r="P23" s="100">
        <f t="shared" si="6"/>
        <v>1396695.6818024544</v>
      </c>
      <c r="Q23" s="100">
        <f t="shared" si="6"/>
        <v>1396695.6818024544</v>
      </c>
      <c r="R23" s="100">
        <f t="shared" si="6"/>
        <v>1396695.6818024544</v>
      </c>
      <c r="S23" s="100">
        <f t="shared" si="6"/>
        <v>1396695.6818024544</v>
      </c>
      <c r="T23" s="100">
        <f t="shared" si="6"/>
        <v>1396695.6818024544</v>
      </c>
      <c r="U23" s="100">
        <f t="shared" si="6"/>
        <v>1396695.6818024544</v>
      </c>
      <c r="V23" s="100">
        <f t="shared" si="6"/>
        <v>1396695.6818024544</v>
      </c>
      <c r="W23" s="100">
        <f t="shared" si="6"/>
        <v>1396695.6818024544</v>
      </c>
      <c r="X23" s="100">
        <f t="shared" si="6"/>
        <v>1396695.6818024544</v>
      </c>
      <c r="Y23" s="100">
        <f t="shared" si="6"/>
        <v>1396695.6818024544</v>
      </c>
      <c r="Z23" s="100">
        <f t="shared" si="6"/>
        <v>1396695.6818024544</v>
      </c>
      <c r="AA23" s="100">
        <f t="shared" si="6"/>
        <v>1396695.6818024544</v>
      </c>
      <c r="AB23" s="100">
        <f t="shared" si="6"/>
        <v>1396695.6818024544</v>
      </c>
      <c r="AC23" s="100">
        <f t="shared" si="6"/>
        <v>1396695.6818024544</v>
      </c>
      <c r="AD23" s="100">
        <f t="shared" si="6"/>
        <v>1396695.6818024544</v>
      </c>
      <c r="AE23" s="100">
        <f t="shared" si="6"/>
        <v>0</v>
      </c>
      <c r="AF23" s="100">
        <f t="shared" si="6"/>
        <v>2793391.3636049088</v>
      </c>
      <c r="AG23" s="100">
        <f t="shared" si="6"/>
        <v>1676026.7713804988</v>
      </c>
      <c r="AH23" s="100">
        <f t="shared" si="6"/>
        <v>1676026.7713804988</v>
      </c>
      <c r="AI23" s="100">
        <f t="shared" si="6"/>
        <v>1676026.7713804988</v>
      </c>
      <c r="AJ23" s="100">
        <f t="shared" si="6"/>
        <v>1676026.7713804988</v>
      </c>
      <c r="AK23" s="100">
        <f t="shared" si="6"/>
        <v>0</v>
      </c>
      <c r="AL23" s="100">
        <f t="shared" si="6"/>
        <v>2793391.3636049088</v>
      </c>
      <c r="AM23" s="100">
        <f t="shared" si="6"/>
        <v>1396695.6818024544</v>
      </c>
      <c r="AN23" s="100">
        <f t="shared" si="6"/>
        <v>1396695.6818024544</v>
      </c>
      <c r="AO23" s="100">
        <f t="shared" si="6"/>
        <v>1396695.6818024544</v>
      </c>
      <c r="AP23" s="100">
        <f t="shared" si="6"/>
        <v>1396695.6818024544</v>
      </c>
      <c r="AQ23" s="100">
        <f t="shared" si="6"/>
        <v>1396695.6818024544</v>
      </c>
      <c r="AR23" s="100">
        <f t="shared" si="6"/>
        <v>1396695.6818024544</v>
      </c>
      <c r="AS23" s="100">
        <f t="shared" si="6"/>
        <v>1396695.6818024544</v>
      </c>
      <c r="AT23" s="100">
        <f t="shared" si="6"/>
        <v>1396695.6818024544</v>
      </c>
      <c r="AU23" s="100">
        <f t="shared" si="6"/>
        <v>1396695.6818024544</v>
      </c>
      <c r="AV23" s="100">
        <f t="shared" si="6"/>
        <v>1396695.6818024544</v>
      </c>
      <c r="AW23" s="100">
        <f t="shared" si="6"/>
        <v>1396695.6818024544</v>
      </c>
      <c r="AX23" s="100">
        <f t="shared" si="6"/>
        <v>1396695.6818024544</v>
      </c>
      <c r="AY23" s="100">
        <f t="shared" si="6"/>
        <v>1396695.6818024544</v>
      </c>
      <c r="AZ23" s="139">
        <f t="shared" si="5"/>
        <v>69559328.309167758</v>
      </c>
    </row>
    <row r="24" spans="1:52" s="110" customFormat="1">
      <c r="A24" s="161" t="s">
        <v>308</v>
      </c>
      <c r="B24" s="162">
        <v>1000</v>
      </c>
      <c r="C24" s="156" t="s">
        <v>293</v>
      </c>
      <c r="D24" s="106">
        <f>D$22*$B$24</f>
        <v>1857514.1349024971</v>
      </c>
      <c r="E24" s="106">
        <f t="shared" ref="E24:AY24" si="7">E$22*$B$24</f>
        <v>927457.03569762746</v>
      </c>
      <c r="F24" s="106">
        <f t="shared" si="7"/>
        <v>927457.03569762746</v>
      </c>
      <c r="G24" s="106">
        <f t="shared" si="7"/>
        <v>0</v>
      </c>
      <c r="H24" s="106">
        <f t="shared" si="7"/>
        <v>1854914.0713952549</v>
      </c>
      <c r="I24" s="106">
        <f t="shared" si="7"/>
        <v>927457.03569762746</v>
      </c>
      <c r="J24" s="106">
        <f t="shared" si="7"/>
        <v>927457.03569762746</v>
      </c>
      <c r="K24" s="106">
        <f t="shared" si="7"/>
        <v>927457.03569762746</v>
      </c>
      <c r="L24" s="106">
        <f t="shared" si="7"/>
        <v>0</v>
      </c>
      <c r="M24" s="106">
        <f t="shared" si="7"/>
        <v>1854914.0713952549</v>
      </c>
      <c r="N24" s="106">
        <f t="shared" si="7"/>
        <v>927457.03569762746</v>
      </c>
      <c r="O24" s="106">
        <f t="shared" si="7"/>
        <v>927457.03569762746</v>
      </c>
      <c r="P24" s="106">
        <f t="shared" si="7"/>
        <v>927457.03569762746</v>
      </c>
      <c r="Q24" s="106">
        <f t="shared" si="7"/>
        <v>927457.03569762746</v>
      </c>
      <c r="R24" s="106">
        <f t="shared" si="7"/>
        <v>927457.03569762746</v>
      </c>
      <c r="S24" s="106">
        <f t="shared" si="7"/>
        <v>927457.03569762746</v>
      </c>
      <c r="T24" s="106">
        <f t="shared" si="7"/>
        <v>927457.03569762746</v>
      </c>
      <c r="U24" s="106">
        <f t="shared" si="7"/>
        <v>927457.03569762746</v>
      </c>
      <c r="V24" s="106">
        <f t="shared" si="7"/>
        <v>927457.03569762746</v>
      </c>
      <c r="W24" s="106">
        <f t="shared" si="7"/>
        <v>927457.03569762746</v>
      </c>
      <c r="X24" s="106">
        <f t="shared" si="7"/>
        <v>927457.03569762746</v>
      </c>
      <c r="Y24" s="106">
        <f t="shared" si="7"/>
        <v>927457.03569762746</v>
      </c>
      <c r="Z24" s="106">
        <f t="shared" si="7"/>
        <v>927457.03569762746</v>
      </c>
      <c r="AA24" s="106">
        <f t="shared" si="7"/>
        <v>927457.03569762746</v>
      </c>
      <c r="AB24" s="106">
        <f t="shared" si="7"/>
        <v>927457.03569762746</v>
      </c>
      <c r="AC24" s="106">
        <f t="shared" si="7"/>
        <v>927457.03569762746</v>
      </c>
      <c r="AD24" s="106">
        <f t="shared" si="7"/>
        <v>927457.03569762746</v>
      </c>
      <c r="AE24" s="106">
        <f t="shared" si="7"/>
        <v>0</v>
      </c>
      <c r="AF24" s="106">
        <f t="shared" si="7"/>
        <v>1854914.0713952549</v>
      </c>
      <c r="AG24" s="106">
        <f t="shared" si="7"/>
        <v>1112943.0994791889</v>
      </c>
      <c r="AH24" s="106">
        <f t="shared" si="7"/>
        <v>1112943.0994791889</v>
      </c>
      <c r="AI24" s="106">
        <f t="shared" si="7"/>
        <v>1112943.0994791889</v>
      </c>
      <c r="AJ24" s="106">
        <f t="shared" si="7"/>
        <v>1112943.0994791889</v>
      </c>
      <c r="AK24" s="106">
        <f t="shared" si="7"/>
        <v>0</v>
      </c>
      <c r="AL24" s="106">
        <f t="shared" si="7"/>
        <v>1854914.0713952549</v>
      </c>
      <c r="AM24" s="106">
        <f t="shared" si="7"/>
        <v>927457.03569762746</v>
      </c>
      <c r="AN24" s="106">
        <f t="shared" si="7"/>
        <v>927457.03569762746</v>
      </c>
      <c r="AO24" s="106">
        <f t="shared" si="7"/>
        <v>927457.03569762746</v>
      </c>
      <c r="AP24" s="106">
        <f t="shared" si="7"/>
        <v>927457.03569762746</v>
      </c>
      <c r="AQ24" s="106">
        <f t="shared" si="7"/>
        <v>927457.03569762746</v>
      </c>
      <c r="AR24" s="106">
        <f t="shared" si="7"/>
        <v>927457.03569762746</v>
      </c>
      <c r="AS24" s="106">
        <f t="shared" si="7"/>
        <v>927457.03569762746</v>
      </c>
      <c r="AT24" s="106">
        <f t="shared" si="7"/>
        <v>927457.03569762746</v>
      </c>
      <c r="AU24" s="106">
        <f t="shared" si="7"/>
        <v>927457.03569762746</v>
      </c>
      <c r="AV24" s="106">
        <f t="shared" si="7"/>
        <v>927457.03569762746</v>
      </c>
      <c r="AW24" s="106">
        <f t="shared" si="7"/>
        <v>927457.03569762746</v>
      </c>
      <c r="AX24" s="106">
        <f t="shared" si="7"/>
        <v>927457.03569762746</v>
      </c>
      <c r="AY24" s="106">
        <f t="shared" si="7"/>
        <v>927457.03569762746</v>
      </c>
      <c r="AZ24" s="141">
        <f t="shared" si="5"/>
        <v>46189939.067817189</v>
      </c>
    </row>
    <row r="25" spans="1:52">
      <c r="C25" s="138"/>
      <c r="D25" s="138"/>
      <c r="E25" s="138"/>
      <c r="F25" s="138"/>
      <c r="G25" s="138"/>
      <c r="H25" s="138"/>
      <c r="I25" s="138"/>
      <c r="J25" s="138"/>
      <c r="K25" s="138"/>
      <c r="L25" s="138"/>
      <c r="M25" s="138"/>
      <c r="N25" s="138"/>
      <c r="O25" s="138"/>
      <c r="P25" s="138"/>
      <c r="Q25" s="138"/>
      <c r="R25" s="138"/>
      <c r="S25" s="138"/>
      <c r="T25" s="138"/>
      <c r="U25" s="138"/>
      <c r="V25" s="138"/>
      <c r="W25" s="138"/>
      <c r="X25" s="138"/>
      <c r="Y25" s="138"/>
      <c r="Z25" s="138"/>
      <c r="AA25" s="138"/>
      <c r="AB25" s="138"/>
      <c r="AC25" s="138"/>
      <c r="AD25" s="138"/>
      <c r="AE25" s="138"/>
      <c r="AF25" s="138"/>
      <c r="AG25" s="138"/>
      <c r="AH25" s="138"/>
      <c r="AI25" s="138"/>
      <c r="AJ25" s="138"/>
      <c r="AK25" s="138"/>
      <c r="AL25" s="138"/>
      <c r="AM25" s="138"/>
      <c r="AN25" s="138"/>
      <c r="AO25" s="138"/>
      <c r="AP25" s="138"/>
      <c r="AQ25" s="138"/>
      <c r="AR25" s="138"/>
      <c r="AS25" s="138"/>
      <c r="AT25" s="138"/>
      <c r="AU25" s="138"/>
      <c r="AV25" s="138"/>
      <c r="AW25" s="138"/>
      <c r="AX25" s="138"/>
      <c r="AY25" s="138"/>
      <c r="AZ25" s="106"/>
    </row>
    <row r="26" spans="1:52">
      <c r="A26" s="163" t="s">
        <v>18</v>
      </c>
      <c r="C26" s="106"/>
      <c r="D26" s="106"/>
      <c r="E26" s="106"/>
      <c r="F26" s="106"/>
      <c r="G26" s="106"/>
      <c r="H26" s="106"/>
      <c r="I26" s="106"/>
      <c r="J26" s="106"/>
      <c r="K26" s="106"/>
      <c r="L26" s="106"/>
      <c r="M26" s="106"/>
      <c r="N26" s="106"/>
      <c r="O26" s="106"/>
      <c r="P26" s="106"/>
      <c r="Q26" s="106"/>
      <c r="R26" s="106"/>
      <c r="S26" s="106"/>
      <c r="T26" s="106"/>
      <c r="U26" s="106"/>
      <c r="V26" s="106"/>
      <c r="W26" s="106"/>
      <c r="X26" s="106"/>
      <c r="Y26" s="106"/>
      <c r="Z26" s="106"/>
      <c r="AA26" s="106"/>
      <c r="AB26" s="106"/>
      <c r="AC26" s="106"/>
      <c r="AD26" s="106"/>
      <c r="AE26" s="106"/>
      <c r="AF26" s="106"/>
      <c r="AG26" s="106"/>
      <c r="AH26" s="106"/>
      <c r="AI26" s="106"/>
      <c r="AJ26" s="106"/>
      <c r="AK26" s="106"/>
      <c r="AL26" s="106"/>
      <c r="AM26" s="106"/>
      <c r="AN26" s="106"/>
      <c r="AO26" s="106"/>
      <c r="AP26" s="106"/>
      <c r="AQ26" s="106"/>
      <c r="AR26" s="106"/>
      <c r="AS26" s="106"/>
      <c r="AT26" s="106"/>
      <c r="AU26" s="106"/>
      <c r="AV26" s="106"/>
      <c r="AW26" s="106"/>
      <c r="AX26" s="106"/>
      <c r="AY26" s="106"/>
      <c r="AZ26" s="106"/>
    </row>
    <row r="27" spans="1:52">
      <c r="B27" s="135" t="s">
        <v>309</v>
      </c>
      <c r="C27" s="124">
        <v>15</v>
      </c>
      <c r="D27" s="124">
        <f>C$27-C$28+C$29</f>
        <v>15</v>
      </c>
      <c r="E27" s="124">
        <f t="shared" ref="E27:AY27" si="8">D27-D28+D29</f>
        <v>0</v>
      </c>
      <c r="F27" s="124">
        <f t="shared" si="8"/>
        <v>15</v>
      </c>
      <c r="G27" s="124">
        <f t="shared" si="8"/>
        <v>0</v>
      </c>
      <c r="H27" s="124">
        <f t="shared" si="8"/>
        <v>15</v>
      </c>
      <c r="I27" s="124">
        <f t="shared" si="8"/>
        <v>0</v>
      </c>
      <c r="J27" s="124">
        <f t="shared" si="8"/>
        <v>15</v>
      </c>
      <c r="K27" s="124">
        <f t="shared" si="8"/>
        <v>0</v>
      </c>
      <c r="L27" s="124">
        <f t="shared" si="8"/>
        <v>15</v>
      </c>
      <c r="M27" s="124">
        <f t="shared" si="8"/>
        <v>15</v>
      </c>
      <c r="N27" s="124">
        <f t="shared" si="8"/>
        <v>0</v>
      </c>
      <c r="O27" s="124">
        <f t="shared" si="8"/>
        <v>15</v>
      </c>
      <c r="P27" s="124">
        <f t="shared" si="8"/>
        <v>0</v>
      </c>
      <c r="Q27" s="124">
        <f t="shared" si="8"/>
        <v>15</v>
      </c>
      <c r="R27" s="124">
        <f t="shared" si="8"/>
        <v>0</v>
      </c>
      <c r="S27" s="124">
        <f t="shared" si="8"/>
        <v>15</v>
      </c>
      <c r="T27" s="124">
        <f t="shared" si="8"/>
        <v>0</v>
      </c>
      <c r="U27" s="124">
        <f t="shared" si="8"/>
        <v>15</v>
      </c>
      <c r="V27" s="124">
        <f t="shared" si="8"/>
        <v>0</v>
      </c>
      <c r="W27" s="124">
        <f t="shared" si="8"/>
        <v>15</v>
      </c>
      <c r="X27" s="124">
        <f t="shared" si="8"/>
        <v>0</v>
      </c>
      <c r="Y27" s="124">
        <f t="shared" si="8"/>
        <v>15</v>
      </c>
      <c r="Z27" s="124">
        <f t="shared" si="8"/>
        <v>0</v>
      </c>
      <c r="AA27" s="124">
        <f t="shared" si="8"/>
        <v>15</v>
      </c>
      <c r="AB27" s="124">
        <f t="shared" si="8"/>
        <v>0</v>
      </c>
      <c r="AC27" s="124">
        <f t="shared" si="8"/>
        <v>15</v>
      </c>
      <c r="AD27" s="124">
        <f t="shared" si="8"/>
        <v>0</v>
      </c>
      <c r="AE27" s="124">
        <f t="shared" si="8"/>
        <v>15</v>
      </c>
      <c r="AF27" s="124">
        <f t="shared" si="8"/>
        <v>15</v>
      </c>
      <c r="AG27" s="124">
        <f t="shared" si="8"/>
        <v>0</v>
      </c>
      <c r="AH27" s="124">
        <f t="shared" si="8"/>
        <v>15</v>
      </c>
      <c r="AI27" s="124">
        <f t="shared" si="8"/>
        <v>0</v>
      </c>
      <c r="AJ27" s="124">
        <f t="shared" si="8"/>
        <v>15</v>
      </c>
      <c r="AK27" s="124">
        <f t="shared" si="8"/>
        <v>0</v>
      </c>
      <c r="AL27" s="124">
        <f t="shared" si="8"/>
        <v>15</v>
      </c>
      <c r="AM27" s="124">
        <f t="shared" si="8"/>
        <v>0</v>
      </c>
      <c r="AN27" s="124">
        <f t="shared" si="8"/>
        <v>15</v>
      </c>
      <c r="AO27" s="124">
        <f t="shared" si="8"/>
        <v>0</v>
      </c>
      <c r="AP27" s="124">
        <f t="shared" si="8"/>
        <v>15</v>
      </c>
      <c r="AQ27" s="124">
        <f t="shared" si="8"/>
        <v>0</v>
      </c>
      <c r="AR27" s="124">
        <f t="shared" si="8"/>
        <v>15</v>
      </c>
      <c r="AS27" s="124">
        <f t="shared" si="8"/>
        <v>0</v>
      </c>
      <c r="AT27" s="124">
        <f t="shared" si="8"/>
        <v>15</v>
      </c>
      <c r="AU27" s="124">
        <f t="shared" si="8"/>
        <v>0</v>
      </c>
      <c r="AV27" s="124">
        <f t="shared" si="8"/>
        <v>15</v>
      </c>
      <c r="AW27" s="124">
        <f t="shared" si="8"/>
        <v>0</v>
      </c>
      <c r="AX27" s="124">
        <f t="shared" si="8"/>
        <v>15</v>
      </c>
      <c r="AY27" s="164">
        <f t="shared" si="8"/>
        <v>0</v>
      </c>
      <c r="AZ27" s="106"/>
    </row>
    <row r="28" spans="1:52">
      <c r="B28" s="165" t="s">
        <v>310</v>
      </c>
      <c r="C28" s="110">
        <v>0</v>
      </c>
      <c r="D28" s="110">
        <v>15</v>
      </c>
      <c r="E28" s="110">
        <v>0</v>
      </c>
      <c r="F28" s="110">
        <v>15</v>
      </c>
      <c r="G28" s="110">
        <v>0</v>
      </c>
      <c r="H28" s="110">
        <v>15</v>
      </c>
      <c r="I28" s="110">
        <v>0</v>
      </c>
      <c r="J28" s="110">
        <v>15</v>
      </c>
      <c r="K28" s="110">
        <v>0</v>
      </c>
      <c r="L28" s="110">
        <v>0</v>
      </c>
      <c r="M28" s="110">
        <v>15</v>
      </c>
      <c r="N28" s="110">
        <v>0</v>
      </c>
      <c r="O28" s="110">
        <v>15</v>
      </c>
      <c r="P28" s="110">
        <v>0</v>
      </c>
      <c r="Q28" s="110">
        <v>15</v>
      </c>
      <c r="R28" s="110">
        <v>0</v>
      </c>
      <c r="S28" s="110">
        <v>15</v>
      </c>
      <c r="T28" s="110">
        <v>0</v>
      </c>
      <c r="U28" s="110">
        <v>15</v>
      </c>
      <c r="V28" s="110">
        <v>0</v>
      </c>
      <c r="W28" s="110">
        <v>15</v>
      </c>
      <c r="X28" s="110">
        <v>0</v>
      </c>
      <c r="Y28" s="110">
        <v>15</v>
      </c>
      <c r="Z28" s="110">
        <v>0</v>
      </c>
      <c r="AA28" s="110">
        <v>15</v>
      </c>
      <c r="AB28" s="110">
        <v>0</v>
      </c>
      <c r="AC28" s="110">
        <v>15</v>
      </c>
      <c r="AD28" s="110">
        <v>0</v>
      </c>
      <c r="AE28" s="110">
        <v>0</v>
      </c>
      <c r="AF28" s="110">
        <v>15</v>
      </c>
      <c r="AG28" s="110">
        <v>0</v>
      </c>
      <c r="AH28" s="110">
        <v>15</v>
      </c>
      <c r="AI28" s="110">
        <v>0</v>
      </c>
      <c r="AJ28" s="110">
        <v>15</v>
      </c>
      <c r="AK28" s="110">
        <v>0</v>
      </c>
      <c r="AL28" s="110">
        <v>15</v>
      </c>
      <c r="AM28" s="110">
        <v>0</v>
      </c>
      <c r="AN28" s="110">
        <v>15</v>
      </c>
      <c r="AO28" s="110">
        <v>0</v>
      </c>
      <c r="AP28" s="110">
        <v>15</v>
      </c>
      <c r="AQ28" s="110">
        <v>0</v>
      </c>
      <c r="AR28" s="110">
        <v>15</v>
      </c>
      <c r="AS28" s="110">
        <v>0</v>
      </c>
      <c r="AT28" s="110">
        <v>15</v>
      </c>
      <c r="AU28" s="110">
        <v>0</v>
      </c>
      <c r="AV28" s="110">
        <v>15</v>
      </c>
      <c r="AW28" s="110">
        <v>0</v>
      </c>
      <c r="AX28" s="110">
        <v>15</v>
      </c>
      <c r="AY28" s="166">
        <v>0</v>
      </c>
      <c r="AZ28" s="106"/>
    </row>
    <row r="29" spans="1:52">
      <c r="B29" s="136" t="s">
        <v>311</v>
      </c>
      <c r="C29" s="125">
        <v>0</v>
      </c>
      <c r="D29" s="125">
        <f>C$28</f>
        <v>0</v>
      </c>
      <c r="E29" s="125">
        <f t="shared" ref="E29:AY29" si="9">D$28</f>
        <v>15</v>
      </c>
      <c r="F29" s="125">
        <f t="shared" si="9"/>
        <v>0</v>
      </c>
      <c r="G29" s="125">
        <f t="shared" si="9"/>
        <v>15</v>
      </c>
      <c r="H29" s="125">
        <f t="shared" si="9"/>
        <v>0</v>
      </c>
      <c r="I29" s="125">
        <f t="shared" si="9"/>
        <v>15</v>
      </c>
      <c r="J29" s="125">
        <f t="shared" si="9"/>
        <v>0</v>
      </c>
      <c r="K29" s="125">
        <f t="shared" si="9"/>
        <v>15</v>
      </c>
      <c r="L29" s="125">
        <f t="shared" si="9"/>
        <v>0</v>
      </c>
      <c r="M29" s="125">
        <f t="shared" si="9"/>
        <v>0</v>
      </c>
      <c r="N29" s="125">
        <f t="shared" si="9"/>
        <v>15</v>
      </c>
      <c r="O29" s="125">
        <f t="shared" si="9"/>
        <v>0</v>
      </c>
      <c r="P29" s="125">
        <f t="shared" si="9"/>
        <v>15</v>
      </c>
      <c r="Q29" s="125">
        <f t="shared" si="9"/>
        <v>0</v>
      </c>
      <c r="R29" s="125">
        <f t="shared" si="9"/>
        <v>15</v>
      </c>
      <c r="S29" s="125">
        <f t="shared" si="9"/>
        <v>0</v>
      </c>
      <c r="T29" s="125">
        <f t="shared" si="9"/>
        <v>15</v>
      </c>
      <c r="U29" s="125">
        <f t="shared" si="9"/>
        <v>0</v>
      </c>
      <c r="V29" s="125">
        <f t="shared" si="9"/>
        <v>15</v>
      </c>
      <c r="W29" s="125">
        <f t="shared" si="9"/>
        <v>0</v>
      </c>
      <c r="X29" s="125">
        <f t="shared" si="9"/>
        <v>15</v>
      </c>
      <c r="Y29" s="125">
        <f t="shared" si="9"/>
        <v>0</v>
      </c>
      <c r="Z29" s="125">
        <f t="shared" si="9"/>
        <v>15</v>
      </c>
      <c r="AA29" s="125">
        <f t="shared" si="9"/>
        <v>0</v>
      </c>
      <c r="AB29" s="125">
        <f t="shared" si="9"/>
        <v>15</v>
      </c>
      <c r="AC29" s="125">
        <f t="shared" si="9"/>
        <v>0</v>
      </c>
      <c r="AD29" s="125">
        <f t="shared" si="9"/>
        <v>15</v>
      </c>
      <c r="AE29" s="125">
        <f t="shared" si="9"/>
        <v>0</v>
      </c>
      <c r="AF29" s="125">
        <f t="shared" si="9"/>
        <v>0</v>
      </c>
      <c r="AG29" s="125">
        <f t="shared" si="9"/>
        <v>15</v>
      </c>
      <c r="AH29" s="125">
        <f t="shared" si="9"/>
        <v>0</v>
      </c>
      <c r="AI29" s="125">
        <f t="shared" si="9"/>
        <v>15</v>
      </c>
      <c r="AJ29" s="125">
        <f t="shared" si="9"/>
        <v>0</v>
      </c>
      <c r="AK29" s="125">
        <f t="shared" si="9"/>
        <v>15</v>
      </c>
      <c r="AL29" s="125">
        <f t="shared" si="9"/>
        <v>0</v>
      </c>
      <c r="AM29" s="125">
        <f t="shared" si="9"/>
        <v>15</v>
      </c>
      <c r="AN29" s="125">
        <f t="shared" si="9"/>
        <v>0</v>
      </c>
      <c r="AO29" s="125">
        <f t="shared" si="9"/>
        <v>15</v>
      </c>
      <c r="AP29" s="125">
        <f t="shared" si="9"/>
        <v>0</v>
      </c>
      <c r="AQ29" s="125">
        <f t="shared" si="9"/>
        <v>15</v>
      </c>
      <c r="AR29" s="125">
        <f t="shared" si="9"/>
        <v>0</v>
      </c>
      <c r="AS29" s="125">
        <f t="shared" si="9"/>
        <v>15</v>
      </c>
      <c r="AT29" s="125">
        <f t="shared" si="9"/>
        <v>0</v>
      </c>
      <c r="AU29" s="125">
        <f t="shared" si="9"/>
        <v>15</v>
      </c>
      <c r="AV29" s="125">
        <f t="shared" si="9"/>
        <v>0</v>
      </c>
      <c r="AW29" s="125">
        <f t="shared" si="9"/>
        <v>15</v>
      </c>
      <c r="AX29" s="125">
        <f t="shared" si="9"/>
        <v>0</v>
      </c>
      <c r="AY29" s="167">
        <f t="shared" si="9"/>
        <v>15</v>
      </c>
      <c r="AZ29" s="168"/>
    </row>
    <row r="30" spans="1:52">
      <c r="A30" s="169" t="s">
        <v>312</v>
      </c>
      <c r="B30" s="144">
        <v>10</v>
      </c>
      <c r="C30" s="117" t="s">
        <v>293</v>
      </c>
      <c r="D30" s="117">
        <f>D$27*$B$30</f>
        <v>150</v>
      </c>
      <c r="E30" s="117">
        <f t="shared" ref="E30:AY30" si="10">E$27*$B$30</f>
        <v>0</v>
      </c>
      <c r="F30" s="117">
        <f t="shared" si="10"/>
        <v>150</v>
      </c>
      <c r="G30" s="117">
        <f t="shared" si="10"/>
        <v>0</v>
      </c>
      <c r="H30" s="117">
        <f t="shared" si="10"/>
        <v>150</v>
      </c>
      <c r="I30" s="117">
        <f t="shared" si="10"/>
        <v>0</v>
      </c>
      <c r="J30" s="117">
        <f t="shared" si="10"/>
        <v>150</v>
      </c>
      <c r="K30" s="117">
        <f t="shared" si="10"/>
        <v>0</v>
      </c>
      <c r="L30" s="117">
        <f t="shared" si="10"/>
        <v>150</v>
      </c>
      <c r="M30" s="117">
        <f t="shared" si="10"/>
        <v>150</v>
      </c>
      <c r="N30" s="117">
        <f t="shared" si="10"/>
        <v>0</v>
      </c>
      <c r="O30" s="117">
        <f t="shared" si="10"/>
        <v>150</v>
      </c>
      <c r="P30" s="117">
        <f t="shared" si="10"/>
        <v>0</v>
      </c>
      <c r="Q30" s="117">
        <f t="shared" si="10"/>
        <v>150</v>
      </c>
      <c r="R30" s="117">
        <f>R$27*$B$30</f>
        <v>0</v>
      </c>
      <c r="S30" s="117">
        <f t="shared" si="10"/>
        <v>150</v>
      </c>
      <c r="T30" s="117">
        <f t="shared" si="10"/>
        <v>0</v>
      </c>
      <c r="U30" s="117">
        <f t="shared" si="10"/>
        <v>150</v>
      </c>
      <c r="V30" s="117">
        <f t="shared" si="10"/>
        <v>0</v>
      </c>
      <c r="W30" s="117">
        <f t="shared" si="10"/>
        <v>150</v>
      </c>
      <c r="X30" s="117">
        <f t="shared" si="10"/>
        <v>0</v>
      </c>
      <c r="Y30" s="117">
        <f t="shared" si="10"/>
        <v>150</v>
      </c>
      <c r="Z30" s="117">
        <f t="shared" si="10"/>
        <v>0</v>
      </c>
      <c r="AA30" s="117">
        <f t="shared" si="10"/>
        <v>150</v>
      </c>
      <c r="AB30" s="117">
        <f t="shared" si="10"/>
        <v>0</v>
      </c>
      <c r="AC30" s="117">
        <f t="shared" si="10"/>
        <v>150</v>
      </c>
      <c r="AD30" s="117">
        <f t="shared" si="10"/>
        <v>0</v>
      </c>
      <c r="AE30" s="117">
        <f>AE$27*$B$30</f>
        <v>150</v>
      </c>
      <c r="AF30" s="117">
        <f t="shared" si="10"/>
        <v>150</v>
      </c>
      <c r="AG30" s="117">
        <f t="shared" si="10"/>
        <v>0</v>
      </c>
      <c r="AH30" s="117">
        <f t="shared" si="10"/>
        <v>150</v>
      </c>
      <c r="AI30" s="117">
        <f t="shared" si="10"/>
        <v>0</v>
      </c>
      <c r="AJ30" s="117">
        <f t="shared" si="10"/>
        <v>150</v>
      </c>
      <c r="AK30" s="117">
        <f t="shared" si="10"/>
        <v>0</v>
      </c>
      <c r="AL30" s="117">
        <f t="shared" si="10"/>
        <v>150</v>
      </c>
      <c r="AM30" s="117">
        <f t="shared" si="10"/>
        <v>0</v>
      </c>
      <c r="AN30" s="117">
        <f t="shared" si="10"/>
        <v>150</v>
      </c>
      <c r="AO30" s="117">
        <f t="shared" si="10"/>
        <v>0</v>
      </c>
      <c r="AP30" s="117">
        <f t="shared" si="10"/>
        <v>150</v>
      </c>
      <c r="AQ30" s="117">
        <f t="shared" si="10"/>
        <v>0</v>
      </c>
      <c r="AR30" s="117">
        <f t="shared" si="10"/>
        <v>150</v>
      </c>
      <c r="AS30" s="117">
        <f t="shared" si="10"/>
        <v>0</v>
      </c>
      <c r="AT30" s="117">
        <f t="shared" si="10"/>
        <v>150</v>
      </c>
      <c r="AU30" s="117">
        <f t="shared" si="10"/>
        <v>0</v>
      </c>
      <c r="AV30" s="117">
        <f t="shared" si="10"/>
        <v>150</v>
      </c>
      <c r="AW30" s="117">
        <f t="shared" si="10"/>
        <v>0</v>
      </c>
      <c r="AX30" s="117">
        <f t="shared" si="10"/>
        <v>150</v>
      </c>
      <c r="AY30" s="117">
        <f t="shared" si="10"/>
        <v>0</v>
      </c>
      <c r="AZ30" s="141">
        <f t="shared" si="5"/>
        <v>3750</v>
      </c>
    </row>
    <row r="32" spans="1:52">
      <c r="A32" s="102" t="s">
        <v>300</v>
      </c>
    </row>
    <row r="33" spans="1:52">
      <c r="A33" s="135" t="s">
        <v>22</v>
      </c>
      <c r="B33" s="135" t="s">
        <v>341</v>
      </c>
      <c r="C33" s="124"/>
      <c r="D33" s="124">
        <f>D$21*shipping_manufacturing!$F$27/100</f>
        <v>184.66099756519515</v>
      </c>
      <c r="E33" s="124">
        <f>E$21*shipping_manufacturing!$F$27/100</f>
        <v>92.201258764457592</v>
      </c>
      <c r="F33" s="124">
        <f>F$21*shipping_manufacturing!$F$27/100</f>
        <v>92.201258764457592</v>
      </c>
      <c r="G33" s="124">
        <f>G$21*shipping_manufacturing!$F$27/100</f>
        <v>0</v>
      </c>
      <c r="H33" s="124">
        <f>H$21*shipping_manufacturing!$F$27/100</f>
        <v>184.40251752891518</v>
      </c>
      <c r="I33" s="124">
        <f>I$21*shipping_manufacturing!$F$27/100</f>
        <v>92.201258764457592</v>
      </c>
      <c r="J33" s="124">
        <f>J$21*shipping_manufacturing!$F$27/100</f>
        <v>92.201258764457592</v>
      </c>
      <c r="K33" s="124">
        <f>K$21*shipping_manufacturing!$F$27/100</f>
        <v>92.201258764457592</v>
      </c>
      <c r="L33" s="124">
        <f>L$21*shipping_manufacturing!$F$27/100</f>
        <v>0</v>
      </c>
      <c r="M33" s="124">
        <f>M$21*shipping_manufacturing!$F$27/100</f>
        <v>184.40251752891518</v>
      </c>
      <c r="N33" s="124">
        <f>N$21*shipping_manufacturing!$F$27/100</f>
        <v>92.201258764457592</v>
      </c>
      <c r="O33" s="124">
        <f>O$21*shipping_manufacturing!$F$27/100</f>
        <v>92.201258764457592</v>
      </c>
      <c r="P33" s="124">
        <f>P$21*shipping_manufacturing!$F$27/100</f>
        <v>92.201258764457592</v>
      </c>
      <c r="Q33" s="124">
        <f>Q$21*shipping_manufacturing!$F$27/100</f>
        <v>92.201258764457592</v>
      </c>
      <c r="R33" s="124">
        <f>R$21*shipping_manufacturing!$F$27/100</f>
        <v>92.201258764457592</v>
      </c>
      <c r="S33" s="124">
        <f>S$21*shipping_manufacturing!$F$27/100</f>
        <v>92.201258764457592</v>
      </c>
      <c r="T33" s="124">
        <f>T$21*shipping_manufacturing!$F$27/100</f>
        <v>92.201258764457592</v>
      </c>
      <c r="U33" s="124">
        <f>U$21*shipping_manufacturing!$F$27/100</f>
        <v>92.201258764457592</v>
      </c>
      <c r="V33" s="124">
        <f>V$21*shipping_manufacturing!$F$27/100</f>
        <v>92.201258764457592</v>
      </c>
      <c r="W33" s="124">
        <f>W$21*shipping_manufacturing!$F$27/100</f>
        <v>92.201258764457592</v>
      </c>
      <c r="X33" s="124">
        <f>X$21*shipping_manufacturing!$F$27/100</f>
        <v>92.201258764457592</v>
      </c>
      <c r="Y33" s="124">
        <f>Y$21*shipping_manufacturing!$F$27/100</f>
        <v>92.201258764457592</v>
      </c>
      <c r="Z33" s="124">
        <f>Z$21*shipping_manufacturing!$F$27/100</f>
        <v>92.201258764457592</v>
      </c>
      <c r="AA33" s="124">
        <f>AA$21*shipping_manufacturing!$F$27/100</f>
        <v>92.201258764457592</v>
      </c>
      <c r="AB33" s="124">
        <f>AB$21*shipping_manufacturing!$F$27/100</f>
        <v>92.201258764457592</v>
      </c>
      <c r="AC33" s="124">
        <f>AC$21*shipping_manufacturing!$F$27/100</f>
        <v>92.201258764457592</v>
      </c>
      <c r="AD33" s="124">
        <f>AD$21*shipping_manufacturing!$F$27/100</f>
        <v>92.201258764457592</v>
      </c>
      <c r="AE33" s="124">
        <f>AE$21*shipping_manufacturing!$F$27/100</f>
        <v>0</v>
      </c>
      <c r="AF33" s="124">
        <f>AF$21*shipping_manufacturing!$F$27/100</f>
        <v>184.40251752891518</v>
      </c>
      <c r="AG33" s="124">
        <f>AG$21*shipping_manufacturing!$F$27/100</f>
        <v>110.64097931826241</v>
      </c>
      <c r="AH33" s="124">
        <f>AH$21*shipping_manufacturing!$F$27/100</f>
        <v>110.64097931826241</v>
      </c>
      <c r="AI33" s="124">
        <f>AI$21*shipping_manufacturing!$F$27/100</f>
        <v>110.64097931826241</v>
      </c>
      <c r="AJ33" s="124">
        <f>AJ$21*shipping_manufacturing!$F$27/100</f>
        <v>110.64097931826241</v>
      </c>
      <c r="AK33" s="124">
        <f>AK$21*shipping_manufacturing!$F$27/100</f>
        <v>0</v>
      </c>
      <c r="AL33" s="124">
        <f>AL$21*shipping_manufacturing!$F$27/100</f>
        <v>184.40251752891518</v>
      </c>
      <c r="AM33" s="124">
        <f>AM$21*shipping_manufacturing!$F$27/100</f>
        <v>92.201258764457592</v>
      </c>
      <c r="AN33" s="124">
        <f>AN$21*shipping_manufacturing!$F$27/100</f>
        <v>92.201258764457592</v>
      </c>
      <c r="AO33" s="124">
        <f>AO$21*shipping_manufacturing!$F$27/100</f>
        <v>92.201258764457592</v>
      </c>
      <c r="AP33" s="124">
        <f>AP$21*shipping_manufacturing!$F$27/100</f>
        <v>92.201258764457592</v>
      </c>
      <c r="AQ33" s="124">
        <f>AQ$21*shipping_manufacturing!$F$27/100</f>
        <v>92.201258764457592</v>
      </c>
      <c r="AR33" s="124">
        <f>AR$21*shipping_manufacturing!$F$27/100</f>
        <v>92.201258764457592</v>
      </c>
      <c r="AS33" s="124">
        <f>AS$21*shipping_manufacturing!$F$27/100</f>
        <v>92.201258764457592</v>
      </c>
      <c r="AT33" s="124">
        <f>AT$21*shipping_manufacturing!$F$27/100</f>
        <v>92.201258764457592</v>
      </c>
      <c r="AU33" s="124">
        <f>AU$21*shipping_manufacturing!$F$27/100</f>
        <v>92.201258764457592</v>
      </c>
      <c r="AV33" s="124">
        <f>AV$21*shipping_manufacturing!$F$27/100</f>
        <v>92.201258764457592</v>
      </c>
      <c r="AW33" s="124">
        <f>AW$21*shipping_manufacturing!$F$27/100</f>
        <v>92.201258764457592</v>
      </c>
      <c r="AX33" s="124">
        <f>AX$21*shipping_manufacturing!$F$27/100</f>
        <v>92.201258764457592</v>
      </c>
      <c r="AY33" s="124">
        <f>AY$21*shipping_manufacturing!$F$27/100</f>
        <v>92.201258764457592</v>
      </c>
    </row>
    <row r="34" spans="1:52">
      <c r="A34" s="113" t="s">
        <v>340</v>
      </c>
      <c r="B34" s="165" t="s">
        <v>342</v>
      </c>
      <c r="C34" s="110"/>
      <c r="D34" s="110">
        <f>D$22*shipping_manufacturing!$G$27/100</f>
        <v>206.62951272031285</v>
      </c>
      <c r="E34" s="110">
        <f>E$22*shipping_manufacturing!$G$27/100</f>
        <v>103.17014107959182</v>
      </c>
      <c r="F34" s="110">
        <f>F$22*shipping_manufacturing!$G$27/100</f>
        <v>103.17014107959182</v>
      </c>
      <c r="G34" s="110">
        <f>G$22*shipping_manufacturing!$G$27/100</f>
        <v>0</v>
      </c>
      <c r="H34" s="110">
        <f>H$22*shipping_manufacturing!$G$27/100</f>
        <v>206.34028215918363</v>
      </c>
      <c r="I34" s="110">
        <f>I$22*shipping_manufacturing!$G$27/100</f>
        <v>103.17014107959182</v>
      </c>
      <c r="J34" s="110">
        <f>J$22*shipping_manufacturing!$G$27/100</f>
        <v>103.17014107959182</v>
      </c>
      <c r="K34" s="110">
        <f>K$22*shipping_manufacturing!$G$27/100</f>
        <v>103.17014107959182</v>
      </c>
      <c r="L34" s="110">
        <f>L$22*shipping_manufacturing!$G$27/100</f>
        <v>0</v>
      </c>
      <c r="M34" s="110">
        <f>M$22*shipping_manufacturing!$G$27/100</f>
        <v>206.34028215918363</v>
      </c>
      <c r="N34" s="110">
        <f>N$22*shipping_manufacturing!$G$27/100</f>
        <v>103.17014107959182</v>
      </c>
      <c r="O34" s="110">
        <f>O$22*shipping_manufacturing!$G$27/100</f>
        <v>103.17014107959182</v>
      </c>
      <c r="P34" s="110">
        <f>P$22*shipping_manufacturing!$G$27/100</f>
        <v>103.17014107959182</v>
      </c>
      <c r="Q34" s="110">
        <f>Q$22*shipping_manufacturing!$G$27/100</f>
        <v>103.17014107959182</v>
      </c>
      <c r="R34" s="110">
        <f>R$22*shipping_manufacturing!$G$27/100</f>
        <v>103.17014107959182</v>
      </c>
      <c r="S34" s="110">
        <f>S$22*shipping_manufacturing!$G$27/100</f>
        <v>103.17014107959182</v>
      </c>
      <c r="T34" s="110">
        <f>T$22*shipping_manufacturing!$G$27/100</f>
        <v>103.17014107959182</v>
      </c>
      <c r="U34" s="110">
        <f>U$22*shipping_manufacturing!$G$27/100</f>
        <v>103.17014107959182</v>
      </c>
      <c r="V34" s="110">
        <f>V$22*shipping_manufacturing!$G$27/100</f>
        <v>103.17014107959182</v>
      </c>
      <c r="W34" s="110">
        <f>W$22*shipping_manufacturing!$G$27/100</f>
        <v>103.17014107959182</v>
      </c>
      <c r="X34" s="110">
        <f>X$22*shipping_manufacturing!$G$27/100</f>
        <v>103.17014107959182</v>
      </c>
      <c r="Y34" s="110">
        <f>Y$22*shipping_manufacturing!$G$27/100</f>
        <v>103.17014107959182</v>
      </c>
      <c r="Z34" s="110">
        <f>Z$22*shipping_manufacturing!$G$27/100</f>
        <v>103.17014107959182</v>
      </c>
      <c r="AA34" s="110">
        <f>AA$22*shipping_manufacturing!$G$27/100</f>
        <v>103.17014107959182</v>
      </c>
      <c r="AB34" s="110">
        <f>AB$22*shipping_manufacturing!$G$27/100</f>
        <v>103.17014107959182</v>
      </c>
      <c r="AC34" s="110">
        <f>AC$22*shipping_manufacturing!$G$27/100</f>
        <v>103.17014107959182</v>
      </c>
      <c r="AD34" s="110">
        <f>AD$22*shipping_manufacturing!$G$27/100</f>
        <v>103.17014107959182</v>
      </c>
      <c r="AE34" s="110">
        <f>AE$22*shipping_manufacturing!$G$27/100</f>
        <v>0</v>
      </c>
      <c r="AF34" s="110">
        <f>AF$22*shipping_manufacturing!$G$27/100</f>
        <v>206.34028215918363</v>
      </c>
      <c r="AG34" s="110">
        <f>AG$22*shipping_manufacturing!$G$27/100</f>
        <v>123.80357490140483</v>
      </c>
      <c r="AH34" s="110">
        <f>AH$22*shipping_manufacturing!$G$27/100</f>
        <v>123.80357490140483</v>
      </c>
      <c r="AI34" s="110">
        <f>AI$22*shipping_manufacturing!$G$27/100</f>
        <v>123.80357490140483</v>
      </c>
      <c r="AJ34" s="110">
        <f>AJ$22*shipping_manufacturing!$G$27/100</f>
        <v>123.80357490140483</v>
      </c>
      <c r="AK34" s="110">
        <f>AK$22*shipping_manufacturing!$G$27/100</f>
        <v>0</v>
      </c>
      <c r="AL34" s="110">
        <f>AL$22*shipping_manufacturing!$G$27/100</f>
        <v>206.34028215918363</v>
      </c>
      <c r="AM34" s="110">
        <f>AM$22*shipping_manufacturing!$G$27/100</f>
        <v>103.17014107959182</v>
      </c>
      <c r="AN34" s="110">
        <f>AN$22*shipping_manufacturing!$G$27/100</f>
        <v>103.17014107959182</v>
      </c>
      <c r="AO34" s="110">
        <f>AO$22*shipping_manufacturing!$G$27/100</f>
        <v>103.17014107959182</v>
      </c>
      <c r="AP34" s="110">
        <f>AP$22*shipping_manufacturing!$G$27/100</f>
        <v>103.17014107959182</v>
      </c>
      <c r="AQ34" s="110">
        <f>AQ$22*shipping_manufacturing!$G$27/100</f>
        <v>103.17014107959182</v>
      </c>
      <c r="AR34" s="110">
        <f>AR$22*shipping_manufacturing!$G$27/100</f>
        <v>103.17014107959182</v>
      </c>
      <c r="AS34" s="110">
        <f>AS$22*shipping_manufacturing!$G$27/100</f>
        <v>103.17014107959182</v>
      </c>
      <c r="AT34" s="110">
        <f>AT$22*shipping_manufacturing!$G$27/100</f>
        <v>103.17014107959182</v>
      </c>
      <c r="AU34" s="110">
        <f>AU$22*shipping_manufacturing!$G$27/100</f>
        <v>103.17014107959182</v>
      </c>
      <c r="AV34" s="110">
        <f>AV$22*shipping_manufacturing!$G$27/100</f>
        <v>103.17014107959182</v>
      </c>
      <c r="AW34" s="110">
        <f>AW$22*shipping_manufacturing!$G$27/100</f>
        <v>103.17014107959182</v>
      </c>
      <c r="AX34" s="110">
        <f>AX$22*shipping_manufacturing!$G$27/100</f>
        <v>103.17014107959182</v>
      </c>
      <c r="AY34" s="110">
        <f>AY$22*shipping_manufacturing!$G$27/100</f>
        <v>103.17014107959182</v>
      </c>
    </row>
    <row r="35" spans="1:52">
      <c r="A35" s="110">
        <v>1245</v>
      </c>
      <c r="B35" s="165" t="s">
        <v>343</v>
      </c>
      <c r="C35" s="110"/>
      <c r="D35" s="110">
        <f>SUM(D33:D34)</f>
        <v>391.29051028550799</v>
      </c>
      <c r="E35" s="110">
        <f t="shared" ref="E35:AY35" si="11">SUM(E33:E34)</f>
        <v>195.37139984404939</v>
      </c>
      <c r="F35" s="110">
        <f t="shared" si="11"/>
        <v>195.37139984404939</v>
      </c>
      <c r="G35" s="110">
        <f t="shared" si="11"/>
        <v>0</v>
      </c>
      <c r="H35" s="110">
        <f t="shared" si="11"/>
        <v>390.74279968809878</v>
      </c>
      <c r="I35" s="110">
        <f t="shared" si="11"/>
        <v>195.37139984404939</v>
      </c>
      <c r="J35" s="110">
        <f t="shared" si="11"/>
        <v>195.37139984404939</v>
      </c>
      <c r="K35" s="110">
        <f t="shared" si="11"/>
        <v>195.37139984404939</v>
      </c>
      <c r="L35" s="110">
        <f t="shared" si="11"/>
        <v>0</v>
      </c>
      <c r="M35" s="110">
        <f t="shared" si="11"/>
        <v>390.74279968809878</v>
      </c>
      <c r="N35" s="110">
        <f t="shared" si="11"/>
        <v>195.37139984404939</v>
      </c>
      <c r="O35" s="110">
        <f t="shared" si="11"/>
        <v>195.37139984404939</v>
      </c>
      <c r="P35" s="110">
        <f t="shared" si="11"/>
        <v>195.37139984404939</v>
      </c>
      <c r="Q35" s="110">
        <f t="shared" si="11"/>
        <v>195.37139984404939</v>
      </c>
      <c r="R35" s="110">
        <f t="shared" si="11"/>
        <v>195.37139984404939</v>
      </c>
      <c r="S35" s="110">
        <f t="shared" si="11"/>
        <v>195.37139984404939</v>
      </c>
      <c r="T35" s="110">
        <f t="shared" si="11"/>
        <v>195.37139984404939</v>
      </c>
      <c r="U35" s="110">
        <f t="shared" si="11"/>
        <v>195.37139984404939</v>
      </c>
      <c r="V35" s="110">
        <f t="shared" si="11"/>
        <v>195.37139984404939</v>
      </c>
      <c r="W35" s="110">
        <f t="shared" si="11"/>
        <v>195.37139984404939</v>
      </c>
      <c r="X35" s="110">
        <f t="shared" si="11"/>
        <v>195.37139984404939</v>
      </c>
      <c r="Y35" s="110">
        <f t="shared" si="11"/>
        <v>195.37139984404939</v>
      </c>
      <c r="Z35" s="110">
        <f t="shared" si="11"/>
        <v>195.37139984404939</v>
      </c>
      <c r="AA35" s="110">
        <f t="shared" si="11"/>
        <v>195.37139984404939</v>
      </c>
      <c r="AB35" s="110">
        <f t="shared" si="11"/>
        <v>195.37139984404939</v>
      </c>
      <c r="AC35" s="110">
        <f t="shared" si="11"/>
        <v>195.37139984404939</v>
      </c>
      <c r="AD35" s="110">
        <f t="shared" si="11"/>
        <v>195.37139984404939</v>
      </c>
      <c r="AE35" s="110">
        <f t="shared" si="11"/>
        <v>0</v>
      </c>
      <c r="AF35" s="110">
        <f t="shared" si="11"/>
        <v>390.74279968809878</v>
      </c>
      <c r="AG35" s="110">
        <f t="shared" si="11"/>
        <v>234.44455421966722</v>
      </c>
      <c r="AH35" s="110">
        <f t="shared" si="11"/>
        <v>234.44455421966722</v>
      </c>
      <c r="AI35" s="110">
        <f t="shared" si="11"/>
        <v>234.44455421966722</v>
      </c>
      <c r="AJ35" s="110">
        <f t="shared" si="11"/>
        <v>234.44455421966722</v>
      </c>
      <c r="AK35" s="110">
        <f t="shared" si="11"/>
        <v>0</v>
      </c>
      <c r="AL35" s="110">
        <f t="shared" si="11"/>
        <v>390.74279968809878</v>
      </c>
      <c r="AM35" s="110">
        <f t="shared" si="11"/>
        <v>195.37139984404939</v>
      </c>
      <c r="AN35" s="110">
        <f t="shared" si="11"/>
        <v>195.37139984404939</v>
      </c>
      <c r="AO35" s="110">
        <f t="shared" si="11"/>
        <v>195.37139984404939</v>
      </c>
      <c r="AP35" s="110">
        <f t="shared" si="11"/>
        <v>195.37139984404939</v>
      </c>
      <c r="AQ35" s="110">
        <f t="shared" si="11"/>
        <v>195.37139984404939</v>
      </c>
      <c r="AR35" s="110">
        <f t="shared" si="11"/>
        <v>195.37139984404939</v>
      </c>
      <c r="AS35" s="110">
        <f t="shared" si="11"/>
        <v>195.37139984404939</v>
      </c>
      <c r="AT35" s="110">
        <f t="shared" si="11"/>
        <v>195.37139984404939</v>
      </c>
      <c r="AU35" s="110">
        <f t="shared" si="11"/>
        <v>195.37139984404939</v>
      </c>
      <c r="AV35" s="110">
        <f t="shared" si="11"/>
        <v>195.37139984404939</v>
      </c>
      <c r="AW35" s="110">
        <f t="shared" si="11"/>
        <v>195.37139984404939</v>
      </c>
      <c r="AX35" s="110">
        <f t="shared" si="11"/>
        <v>195.37139984404939</v>
      </c>
      <c r="AY35" s="110">
        <f t="shared" si="11"/>
        <v>195.37139984404939</v>
      </c>
    </row>
    <row r="36" spans="1:52">
      <c r="A36" s="110"/>
      <c r="B36" s="165" t="s">
        <v>344</v>
      </c>
      <c r="C36" s="110"/>
      <c r="D36" s="110"/>
      <c r="E36" s="110"/>
      <c r="F36" s="110"/>
      <c r="G36" s="110"/>
      <c r="H36" s="110"/>
      <c r="I36" s="110"/>
      <c r="J36" s="110"/>
      <c r="K36" s="110"/>
      <c r="L36" s="110"/>
      <c r="M36" s="110"/>
      <c r="N36" s="110"/>
      <c r="O36" s="110"/>
      <c r="P36" s="110"/>
      <c r="Q36" s="110"/>
      <c r="R36" s="110"/>
      <c r="S36" s="110"/>
      <c r="T36" s="110"/>
      <c r="U36" s="110"/>
      <c r="V36" s="110"/>
      <c r="W36" s="110"/>
      <c r="X36" s="110"/>
      <c r="Y36" s="110"/>
      <c r="Z36" s="110"/>
      <c r="AA36" s="110"/>
      <c r="AB36" s="110"/>
      <c r="AC36" s="110"/>
      <c r="AD36" s="110"/>
      <c r="AE36" s="110"/>
      <c r="AF36" s="110"/>
      <c r="AG36" s="110"/>
      <c r="AH36" s="110"/>
      <c r="AI36" s="110"/>
      <c r="AJ36" s="110"/>
      <c r="AK36" s="110"/>
      <c r="AL36" s="110"/>
      <c r="AM36" s="110"/>
      <c r="AN36" s="110"/>
      <c r="AO36" s="110"/>
      <c r="AP36" s="110"/>
      <c r="AQ36" s="110"/>
      <c r="AR36" s="110"/>
      <c r="AS36" s="110"/>
      <c r="AT36" s="110"/>
      <c r="AU36" s="110"/>
      <c r="AV36" s="110"/>
      <c r="AW36" s="110"/>
      <c r="AX36" s="110"/>
      <c r="AY36" s="110"/>
    </row>
    <row r="37" spans="1:52">
      <c r="A37" s="110"/>
      <c r="B37" s="165" t="s">
        <v>345</v>
      </c>
      <c r="C37" s="110"/>
      <c r="D37" s="110"/>
      <c r="E37" s="110"/>
      <c r="F37" s="110"/>
      <c r="G37" s="110"/>
      <c r="H37" s="110"/>
      <c r="I37" s="110"/>
      <c r="J37" s="110"/>
      <c r="K37" s="110"/>
      <c r="L37" s="110"/>
      <c r="M37" s="110"/>
      <c r="N37" s="110"/>
      <c r="O37" s="110"/>
      <c r="P37" s="110"/>
      <c r="Q37" s="110"/>
      <c r="R37" s="110"/>
      <c r="S37" s="110"/>
      <c r="T37" s="110"/>
      <c r="U37" s="110"/>
      <c r="V37" s="110"/>
      <c r="W37" s="110"/>
      <c r="X37" s="110"/>
      <c r="Y37" s="110"/>
      <c r="Z37" s="110"/>
      <c r="AA37" s="110"/>
      <c r="AB37" s="110"/>
      <c r="AC37" s="110"/>
      <c r="AD37" s="110"/>
      <c r="AE37" s="110"/>
      <c r="AF37" s="110"/>
      <c r="AG37" s="110"/>
      <c r="AH37" s="110"/>
      <c r="AI37" s="110"/>
      <c r="AJ37" s="110"/>
      <c r="AK37" s="110"/>
      <c r="AL37" s="110"/>
      <c r="AM37" s="110"/>
      <c r="AN37" s="110"/>
      <c r="AO37" s="110"/>
      <c r="AP37" s="110"/>
      <c r="AQ37" s="110"/>
      <c r="AR37" s="110"/>
      <c r="AS37" s="110"/>
      <c r="AT37" s="110"/>
      <c r="AU37" s="110"/>
      <c r="AV37" s="110"/>
      <c r="AW37" s="110"/>
      <c r="AX37" s="110"/>
      <c r="AY37" s="110"/>
    </row>
    <row r="38" spans="1:52">
      <c r="A38" s="110"/>
      <c r="B38" s="165" t="s">
        <v>346</v>
      </c>
      <c r="C38" s="110"/>
      <c r="D38" s="110"/>
      <c r="E38" s="110"/>
      <c r="F38" s="110"/>
      <c r="G38" s="110"/>
      <c r="H38" s="110"/>
      <c r="I38" s="110"/>
      <c r="J38" s="110"/>
      <c r="K38" s="110"/>
      <c r="L38" s="110"/>
      <c r="M38" s="110"/>
      <c r="N38" s="110"/>
      <c r="O38" s="110"/>
      <c r="P38" s="110"/>
      <c r="Q38" s="110"/>
      <c r="R38" s="110"/>
      <c r="S38" s="110"/>
      <c r="T38" s="110"/>
      <c r="U38" s="110"/>
      <c r="V38" s="110"/>
      <c r="W38" s="110"/>
      <c r="X38" s="110"/>
      <c r="Y38" s="110"/>
      <c r="Z38" s="110"/>
      <c r="AA38" s="110"/>
      <c r="AB38" s="110"/>
      <c r="AC38" s="110"/>
      <c r="AD38" s="110"/>
      <c r="AE38" s="110"/>
      <c r="AF38" s="110"/>
      <c r="AG38" s="110"/>
      <c r="AH38" s="110"/>
      <c r="AI38" s="110"/>
      <c r="AJ38" s="110"/>
      <c r="AK38" s="110"/>
      <c r="AL38" s="110"/>
      <c r="AM38" s="110"/>
      <c r="AN38" s="110"/>
      <c r="AO38" s="110"/>
      <c r="AP38" s="110"/>
      <c r="AQ38" s="110"/>
      <c r="AR38" s="110"/>
      <c r="AS38" s="110"/>
      <c r="AT38" s="110"/>
      <c r="AU38" s="110"/>
      <c r="AV38" s="110"/>
      <c r="AW38" s="110"/>
      <c r="AX38" s="110"/>
      <c r="AY38" s="110"/>
    </row>
    <row r="39" spans="1:52">
      <c r="A39" s="110"/>
      <c r="B39" s="165" t="s">
        <v>347</v>
      </c>
      <c r="C39" s="110"/>
      <c r="D39" s="110">
        <f>D33-D36</f>
        <v>184.66099756519515</v>
      </c>
      <c r="E39" s="110">
        <f t="shared" ref="E39:AY39" si="12">E33-E36</f>
        <v>92.201258764457592</v>
      </c>
      <c r="F39" s="110">
        <f t="shared" si="12"/>
        <v>92.201258764457592</v>
      </c>
      <c r="G39" s="110">
        <f t="shared" si="12"/>
        <v>0</v>
      </c>
      <c r="H39" s="110">
        <f t="shared" si="12"/>
        <v>184.40251752891518</v>
      </c>
      <c r="I39" s="110">
        <f t="shared" si="12"/>
        <v>92.201258764457592</v>
      </c>
      <c r="J39" s="110">
        <f t="shared" si="12"/>
        <v>92.201258764457592</v>
      </c>
      <c r="K39" s="110">
        <f t="shared" si="12"/>
        <v>92.201258764457592</v>
      </c>
      <c r="L39" s="110">
        <f t="shared" si="12"/>
        <v>0</v>
      </c>
      <c r="M39" s="110">
        <f t="shared" si="12"/>
        <v>184.40251752891518</v>
      </c>
      <c r="N39" s="110">
        <f t="shared" si="12"/>
        <v>92.201258764457592</v>
      </c>
      <c r="O39" s="110">
        <f t="shared" si="12"/>
        <v>92.201258764457592</v>
      </c>
      <c r="P39" s="110">
        <f t="shared" si="12"/>
        <v>92.201258764457592</v>
      </c>
      <c r="Q39" s="110">
        <f t="shared" si="12"/>
        <v>92.201258764457592</v>
      </c>
      <c r="R39" s="110">
        <f t="shared" si="12"/>
        <v>92.201258764457592</v>
      </c>
      <c r="S39" s="110">
        <f t="shared" si="12"/>
        <v>92.201258764457592</v>
      </c>
      <c r="T39" s="110">
        <f t="shared" si="12"/>
        <v>92.201258764457592</v>
      </c>
      <c r="U39" s="110">
        <f t="shared" si="12"/>
        <v>92.201258764457592</v>
      </c>
      <c r="V39" s="110">
        <f t="shared" si="12"/>
        <v>92.201258764457592</v>
      </c>
      <c r="W39" s="110">
        <f t="shared" si="12"/>
        <v>92.201258764457592</v>
      </c>
      <c r="X39" s="110">
        <f t="shared" si="12"/>
        <v>92.201258764457592</v>
      </c>
      <c r="Y39" s="110">
        <f t="shared" si="12"/>
        <v>92.201258764457592</v>
      </c>
      <c r="Z39" s="110">
        <f t="shared" si="12"/>
        <v>92.201258764457592</v>
      </c>
      <c r="AA39" s="110">
        <f t="shared" si="12"/>
        <v>92.201258764457592</v>
      </c>
      <c r="AB39" s="110">
        <f t="shared" si="12"/>
        <v>92.201258764457592</v>
      </c>
      <c r="AC39" s="110">
        <f t="shared" si="12"/>
        <v>92.201258764457592</v>
      </c>
      <c r="AD39" s="110">
        <f t="shared" si="12"/>
        <v>92.201258764457592</v>
      </c>
      <c r="AE39" s="110">
        <f t="shared" si="12"/>
        <v>0</v>
      </c>
      <c r="AF39" s="110">
        <f t="shared" si="12"/>
        <v>184.40251752891518</v>
      </c>
      <c r="AG39" s="110">
        <f t="shared" si="12"/>
        <v>110.64097931826241</v>
      </c>
      <c r="AH39" s="110">
        <f t="shared" si="12"/>
        <v>110.64097931826241</v>
      </c>
      <c r="AI39" s="110">
        <f t="shared" si="12"/>
        <v>110.64097931826241</v>
      </c>
      <c r="AJ39" s="110">
        <f t="shared" si="12"/>
        <v>110.64097931826241</v>
      </c>
      <c r="AK39" s="110">
        <f t="shared" si="12"/>
        <v>0</v>
      </c>
      <c r="AL39" s="110">
        <f t="shared" si="12"/>
        <v>184.40251752891518</v>
      </c>
      <c r="AM39" s="110">
        <f t="shared" si="12"/>
        <v>92.201258764457592</v>
      </c>
      <c r="AN39" s="110">
        <f t="shared" si="12"/>
        <v>92.201258764457592</v>
      </c>
      <c r="AO39" s="110">
        <f t="shared" si="12"/>
        <v>92.201258764457592</v>
      </c>
      <c r="AP39" s="110">
        <f t="shared" si="12"/>
        <v>92.201258764457592</v>
      </c>
      <c r="AQ39" s="110">
        <f t="shared" si="12"/>
        <v>92.201258764457592</v>
      </c>
      <c r="AR39" s="110">
        <f t="shared" si="12"/>
        <v>92.201258764457592</v>
      </c>
      <c r="AS39" s="110">
        <f t="shared" si="12"/>
        <v>92.201258764457592</v>
      </c>
      <c r="AT39" s="110">
        <f t="shared" si="12"/>
        <v>92.201258764457592</v>
      </c>
      <c r="AU39" s="110">
        <f t="shared" si="12"/>
        <v>92.201258764457592</v>
      </c>
      <c r="AV39" s="110">
        <f t="shared" si="12"/>
        <v>92.201258764457592</v>
      </c>
      <c r="AW39" s="110">
        <f t="shared" si="12"/>
        <v>92.201258764457592</v>
      </c>
      <c r="AX39" s="110">
        <f t="shared" si="12"/>
        <v>92.201258764457592</v>
      </c>
      <c r="AY39" s="110">
        <f t="shared" si="12"/>
        <v>92.201258764457592</v>
      </c>
    </row>
    <row r="40" spans="1:52">
      <c r="A40" s="110"/>
      <c r="B40" s="165" t="s">
        <v>348</v>
      </c>
      <c r="C40" s="110"/>
      <c r="D40" s="110">
        <f>D34-D37</f>
        <v>206.62951272031285</v>
      </c>
      <c r="E40" s="110">
        <f t="shared" ref="E40:AY40" si="13">E34-E37</f>
        <v>103.17014107959182</v>
      </c>
      <c r="F40" s="110">
        <f t="shared" si="13"/>
        <v>103.17014107959182</v>
      </c>
      <c r="G40" s="110">
        <f t="shared" si="13"/>
        <v>0</v>
      </c>
      <c r="H40" s="110">
        <f t="shared" si="13"/>
        <v>206.34028215918363</v>
      </c>
      <c r="I40" s="110">
        <f t="shared" si="13"/>
        <v>103.17014107959182</v>
      </c>
      <c r="J40" s="110">
        <f t="shared" si="13"/>
        <v>103.17014107959182</v>
      </c>
      <c r="K40" s="110">
        <f t="shared" si="13"/>
        <v>103.17014107959182</v>
      </c>
      <c r="L40" s="110">
        <f t="shared" si="13"/>
        <v>0</v>
      </c>
      <c r="M40" s="110">
        <f t="shared" si="13"/>
        <v>206.34028215918363</v>
      </c>
      <c r="N40" s="110">
        <f t="shared" si="13"/>
        <v>103.17014107959182</v>
      </c>
      <c r="O40" s="110">
        <f t="shared" si="13"/>
        <v>103.17014107959182</v>
      </c>
      <c r="P40" s="110">
        <f t="shared" si="13"/>
        <v>103.17014107959182</v>
      </c>
      <c r="Q40" s="110">
        <f t="shared" si="13"/>
        <v>103.17014107959182</v>
      </c>
      <c r="R40" s="110">
        <f t="shared" si="13"/>
        <v>103.17014107959182</v>
      </c>
      <c r="S40" s="110">
        <f t="shared" si="13"/>
        <v>103.17014107959182</v>
      </c>
      <c r="T40" s="110">
        <f t="shared" si="13"/>
        <v>103.17014107959182</v>
      </c>
      <c r="U40" s="110">
        <f t="shared" si="13"/>
        <v>103.17014107959182</v>
      </c>
      <c r="V40" s="110">
        <f t="shared" si="13"/>
        <v>103.17014107959182</v>
      </c>
      <c r="W40" s="110">
        <f t="shared" si="13"/>
        <v>103.17014107959182</v>
      </c>
      <c r="X40" s="110">
        <f t="shared" si="13"/>
        <v>103.17014107959182</v>
      </c>
      <c r="Y40" s="110">
        <f t="shared" si="13"/>
        <v>103.17014107959182</v>
      </c>
      <c r="Z40" s="110">
        <f t="shared" si="13"/>
        <v>103.17014107959182</v>
      </c>
      <c r="AA40" s="110">
        <f t="shared" si="13"/>
        <v>103.17014107959182</v>
      </c>
      <c r="AB40" s="110">
        <f t="shared" si="13"/>
        <v>103.17014107959182</v>
      </c>
      <c r="AC40" s="110">
        <f t="shared" si="13"/>
        <v>103.17014107959182</v>
      </c>
      <c r="AD40" s="110">
        <f t="shared" si="13"/>
        <v>103.17014107959182</v>
      </c>
      <c r="AE40" s="110">
        <f t="shared" si="13"/>
        <v>0</v>
      </c>
      <c r="AF40" s="110">
        <f t="shared" si="13"/>
        <v>206.34028215918363</v>
      </c>
      <c r="AG40" s="110">
        <f t="shared" si="13"/>
        <v>123.80357490140483</v>
      </c>
      <c r="AH40" s="110">
        <f t="shared" si="13"/>
        <v>123.80357490140483</v>
      </c>
      <c r="AI40" s="110">
        <f t="shared" si="13"/>
        <v>123.80357490140483</v>
      </c>
      <c r="AJ40" s="110">
        <f t="shared" si="13"/>
        <v>123.80357490140483</v>
      </c>
      <c r="AK40" s="110">
        <f t="shared" si="13"/>
        <v>0</v>
      </c>
      <c r="AL40" s="110">
        <f t="shared" si="13"/>
        <v>206.34028215918363</v>
      </c>
      <c r="AM40" s="110">
        <f t="shared" si="13"/>
        <v>103.17014107959182</v>
      </c>
      <c r="AN40" s="110">
        <f t="shared" si="13"/>
        <v>103.17014107959182</v>
      </c>
      <c r="AO40" s="110">
        <f t="shared" si="13"/>
        <v>103.17014107959182</v>
      </c>
      <c r="AP40" s="110">
        <f t="shared" si="13"/>
        <v>103.17014107959182</v>
      </c>
      <c r="AQ40" s="110">
        <f t="shared" si="13"/>
        <v>103.17014107959182</v>
      </c>
      <c r="AR40" s="110">
        <f t="shared" si="13"/>
        <v>103.17014107959182</v>
      </c>
      <c r="AS40" s="110">
        <f t="shared" si="13"/>
        <v>103.17014107959182</v>
      </c>
      <c r="AT40" s="110">
        <f t="shared" si="13"/>
        <v>103.17014107959182</v>
      </c>
      <c r="AU40" s="110">
        <f t="shared" si="13"/>
        <v>103.17014107959182</v>
      </c>
      <c r="AV40" s="110">
        <f t="shared" si="13"/>
        <v>103.17014107959182</v>
      </c>
      <c r="AW40" s="110">
        <f t="shared" si="13"/>
        <v>103.17014107959182</v>
      </c>
      <c r="AX40" s="110">
        <f t="shared" si="13"/>
        <v>103.17014107959182</v>
      </c>
      <c r="AY40" s="110">
        <f t="shared" si="13"/>
        <v>103.17014107959182</v>
      </c>
    </row>
    <row r="41" spans="1:52">
      <c r="A41" s="110"/>
      <c r="B41" s="165" t="s">
        <v>349</v>
      </c>
      <c r="C41" s="110"/>
      <c r="D41" s="110">
        <v>1</v>
      </c>
      <c r="E41" s="110">
        <v>1</v>
      </c>
      <c r="F41" s="110">
        <v>3</v>
      </c>
      <c r="G41" s="110">
        <v>1</v>
      </c>
      <c r="H41" s="110">
        <v>3</v>
      </c>
      <c r="I41" s="110">
        <v>1</v>
      </c>
      <c r="J41" s="110">
        <v>2</v>
      </c>
      <c r="K41" s="110">
        <v>1</v>
      </c>
      <c r="L41" s="110">
        <v>3</v>
      </c>
      <c r="M41" s="110">
        <v>1</v>
      </c>
      <c r="N41" s="110">
        <v>1</v>
      </c>
      <c r="O41" s="110">
        <v>1</v>
      </c>
      <c r="P41" s="110">
        <v>1</v>
      </c>
      <c r="Q41" s="110">
        <v>1</v>
      </c>
      <c r="R41" s="110">
        <v>1</v>
      </c>
      <c r="S41" s="110">
        <v>1</v>
      </c>
      <c r="T41" s="110">
        <v>1</v>
      </c>
      <c r="U41" s="110">
        <v>1</v>
      </c>
      <c r="V41" s="110">
        <v>3</v>
      </c>
      <c r="W41" s="110">
        <v>1</v>
      </c>
      <c r="X41" s="110">
        <v>3</v>
      </c>
      <c r="Y41" s="110">
        <v>1</v>
      </c>
      <c r="Z41" s="110">
        <v>2</v>
      </c>
      <c r="AA41" s="110">
        <v>3</v>
      </c>
      <c r="AB41" s="110">
        <v>1</v>
      </c>
      <c r="AC41" s="110">
        <v>1</v>
      </c>
      <c r="AD41" s="110">
        <v>1</v>
      </c>
      <c r="AE41" s="110">
        <v>2</v>
      </c>
      <c r="AF41" s="110">
        <v>1</v>
      </c>
      <c r="AG41" s="110">
        <v>2</v>
      </c>
      <c r="AH41" s="110">
        <v>3</v>
      </c>
      <c r="AI41" s="110">
        <v>1</v>
      </c>
      <c r="AJ41" s="110">
        <v>3</v>
      </c>
      <c r="AK41" s="110">
        <v>1</v>
      </c>
      <c r="AL41" s="110">
        <v>2</v>
      </c>
      <c r="AM41" s="110">
        <v>2</v>
      </c>
      <c r="AN41" s="110">
        <v>1</v>
      </c>
      <c r="AO41" s="110">
        <v>2</v>
      </c>
      <c r="AP41" s="110">
        <v>1</v>
      </c>
      <c r="AQ41" s="110">
        <v>1</v>
      </c>
      <c r="AR41" s="110">
        <v>2</v>
      </c>
      <c r="AS41" s="110">
        <v>1</v>
      </c>
      <c r="AT41" s="110">
        <v>3</v>
      </c>
      <c r="AU41" s="110">
        <v>2</v>
      </c>
      <c r="AV41" s="110">
        <v>2</v>
      </c>
      <c r="AW41" s="110">
        <v>2</v>
      </c>
      <c r="AX41" s="110">
        <v>2</v>
      </c>
      <c r="AY41" s="110">
        <v>3</v>
      </c>
    </row>
    <row r="42" spans="1:52">
      <c r="A42" s="110"/>
      <c r="B42" s="178" t="s">
        <v>350</v>
      </c>
      <c r="C42" s="110"/>
      <c r="D42" s="110">
        <v>0</v>
      </c>
      <c r="E42" s="110">
        <v>0</v>
      </c>
      <c r="F42" s="110">
        <v>0</v>
      </c>
      <c r="G42" s="110">
        <v>0</v>
      </c>
      <c r="H42" s="110">
        <v>0</v>
      </c>
      <c r="I42" s="110">
        <v>0</v>
      </c>
      <c r="J42" s="110">
        <v>0</v>
      </c>
      <c r="K42" s="110">
        <v>0</v>
      </c>
      <c r="L42" s="110">
        <v>0</v>
      </c>
      <c r="M42" s="110">
        <v>0</v>
      </c>
      <c r="N42" s="110">
        <v>0</v>
      </c>
      <c r="O42" s="110">
        <v>0</v>
      </c>
      <c r="P42" s="110">
        <v>0</v>
      </c>
      <c r="Q42" s="110">
        <v>0</v>
      </c>
      <c r="R42" s="110">
        <v>0</v>
      </c>
      <c r="S42" s="110">
        <v>0</v>
      </c>
      <c r="T42" s="110">
        <v>0</v>
      </c>
      <c r="U42" s="110">
        <v>0</v>
      </c>
      <c r="V42" s="110">
        <v>0</v>
      </c>
      <c r="W42" s="110">
        <v>0</v>
      </c>
      <c r="X42" s="110">
        <v>0</v>
      </c>
      <c r="Y42" s="110">
        <v>0</v>
      </c>
      <c r="Z42" s="110">
        <v>0</v>
      </c>
      <c r="AA42" s="110">
        <v>0</v>
      </c>
      <c r="AB42" s="110">
        <v>0</v>
      </c>
      <c r="AC42" s="110">
        <v>0</v>
      </c>
      <c r="AD42" s="110">
        <v>0</v>
      </c>
      <c r="AE42" s="110">
        <v>0</v>
      </c>
      <c r="AF42" s="110">
        <v>0</v>
      </c>
      <c r="AG42" s="110">
        <v>0</v>
      </c>
      <c r="AH42" s="110">
        <v>0</v>
      </c>
      <c r="AI42" s="110">
        <v>0</v>
      </c>
      <c r="AJ42" s="110">
        <v>0</v>
      </c>
      <c r="AK42" s="110">
        <v>0</v>
      </c>
      <c r="AL42" s="110">
        <v>0</v>
      </c>
      <c r="AM42" s="110">
        <v>0</v>
      </c>
      <c r="AN42" s="110">
        <v>0</v>
      </c>
      <c r="AO42" s="110">
        <v>0</v>
      </c>
      <c r="AP42" s="110">
        <v>0</v>
      </c>
      <c r="AQ42" s="110">
        <v>0</v>
      </c>
      <c r="AR42" s="110">
        <v>0</v>
      </c>
      <c r="AS42" s="110">
        <v>0</v>
      </c>
      <c r="AT42" s="110">
        <v>0</v>
      </c>
      <c r="AU42" s="110">
        <v>0</v>
      </c>
      <c r="AV42" s="110">
        <v>0</v>
      </c>
      <c r="AW42" s="110">
        <v>0</v>
      </c>
      <c r="AX42" s="110">
        <v>0</v>
      </c>
      <c r="AY42" s="110">
        <v>0</v>
      </c>
      <c r="AZ42" s="100">
        <f>SUM($D$42:$AY$42)</f>
        <v>0</v>
      </c>
    </row>
    <row r="43" spans="1:52">
      <c r="A43" s="110"/>
      <c r="B43" s="178" t="s">
        <v>351</v>
      </c>
      <c r="C43" s="110"/>
      <c r="D43" s="110">
        <v>316651.84544854733</v>
      </c>
      <c r="E43" s="110">
        <v>158104.30532379699</v>
      </c>
      <c r="F43" s="110">
        <v>158104.30532379699</v>
      </c>
      <c r="G43" s="110">
        <v>0</v>
      </c>
      <c r="H43" s="110">
        <v>316208.61064759397</v>
      </c>
      <c r="I43" s="110">
        <v>158104.30532379699</v>
      </c>
      <c r="J43" s="110">
        <v>158104.30532379699</v>
      </c>
      <c r="K43" s="110">
        <v>158104.30532379699</v>
      </c>
      <c r="L43" s="110">
        <v>0</v>
      </c>
      <c r="M43" s="110">
        <v>316208.61064759397</v>
      </c>
      <c r="N43" s="110">
        <v>158104.30532379699</v>
      </c>
      <c r="O43" s="110">
        <v>158104.30532379699</v>
      </c>
      <c r="P43" s="110">
        <v>158104.30532379699</v>
      </c>
      <c r="Q43" s="110">
        <v>158104.30532379699</v>
      </c>
      <c r="R43" s="110">
        <v>158104.30532379699</v>
      </c>
      <c r="S43" s="110">
        <v>158104.30532379699</v>
      </c>
      <c r="T43" s="110">
        <v>158104.30532379699</v>
      </c>
      <c r="U43" s="110">
        <v>158104.30532379699</v>
      </c>
      <c r="V43" s="110">
        <v>158104.30532379699</v>
      </c>
      <c r="W43" s="110">
        <v>158104.30532379699</v>
      </c>
      <c r="X43" s="110">
        <v>158104.30532379699</v>
      </c>
      <c r="Y43" s="110">
        <v>158104.30532379699</v>
      </c>
      <c r="Z43" s="110">
        <v>158104.30532379699</v>
      </c>
      <c r="AA43" s="110">
        <v>158104.30532379699</v>
      </c>
      <c r="AB43" s="110">
        <v>158104.30532379699</v>
      </c>
      <c r="AC43" s="110">
        <v>158104.30532379699</v>
      </c>
      <c r="AD43" s="110">
        <v>158104.30532379699</v>
      </c>
      <c r="AE43" s="110">
        <v>0</v>
      </c>
      <c r="AF43" s="110">
        <v>316208.61064759397</v>
      </c>
      <c r="AG43" s="110">
        <v>189724.2555022657</v>
      </c>
      <c r="AH43" s="110">
        <v>189724.2555022657</v>
      </c>
      <c r="AI43" s="110">
        <v>189724.2555022657</v>
      </c>
      <c r="AJ43" s="110">
        <v>189724.2555022657</v>
      </c>
      <c r="AK43" s="110">
        <v>0</v>
      </c>
      <c r="AL43" s="110">
        <v>316208.61064759397</v>
      </c>
      <c r="AM43" s="110">
        <v>158104.30532379699</v>
      </c>
      <c r="AN43" s="110">
        <v>158104.30532379699</v>
      </c>
      <c r="AO43" s="110">
        <v>158104.30532379699</v>
      </c>
      <c r="AP43" s="110">
        <v>158104.30532379699</v>
      </c>
      <c r="AQ43" s="110">
        <v>158104.30532379699</v>
      </c>
      <c r="AR43" s="110">
        <v>158104.30532379699</v>
      </c>
      <c r="AS43" s="110">
        <v>158104.30532379699</v>
      </c>
      <c r="AT43" s="110">
        <v>158104.30532379699</v>
      </c>
      <c r="AU43" s="110">
        <v>158104.30532379699</v>
      </c>
      <c r="AV43" s="110">
        <v>158104.30532379699</v>
      </c>
      <c r="AW43" s="110">
        <v>158104.30532379699</v>
      </c>
      <c r="AX43" s="110">
        <v>158104.30532379699</v>
      </c>
      <c r="AY43" s="110">
        <v>158104.30532379699</v>
      </c>
      <c r="AZ43" s="100">
        <f>SUM($D$43:$AY$43)</f>
        <v>7874033.9963808823</v>
      </c>
    </row>
    <row r="44" spans="1:52">
      <c r="A44" s="135" t="s">
        <v>46</v>
      </c>
      <c r="B44" s="135" t="s">
        <v>341</v>
      </c>
      <c r="C44" s="124"/>
      <c r="D44" s="124">
        <f>D$21*shipping_manufacturing!$F$28/100</f>
        <v>0</v>
      </c>
      <c r="E44" s="124">
        <f>E$21*shipping_manufacturing!$F$28/100</f>
        <v>0</v>
      </c>
      <c r="F44" s="124">
        <f>F$21*shipping_manufacturing!$F$28/100</f>
        <v>0</v>
      </c>
      <c r="G44" s="124">
        <f>G$21*shipping_manufacturing!$F$28/100</f>
        <v>0</v>
      </c>
      <c r="H44" s="124">
        <f>H$21*shipping_manufacturing!$F$28/100</f>
        <v>0</v>
      </c>
      <c r="I44" s="124">
        <f>I$21*shipping_manufacturing!$F$28/100</f>
        <v>0</v>
      </c>
      <c r="J44" s="124">
        <f>J$21*shipping_manufacturing!$F$28/100</f>
        <v>0</v>
      </c>
      <c r="K44" s="124">
        <f>K$21*shipping_manufacturing!$F$28/100</f>
        <v>0</v>
      </c>
      <c r="L44" s="124">
        <f>L$21*shipping_manufacturing!$F$28/100</f>
        <v>0</v>
      </c>
      <c r="M44" s="124">
        <f>M$21*shipping_manufacturing!$F$28/100</f>
        <v>0</v>
      </c>
      <c r="N44" s="124">
        <f>N$21*shipping_manufacturing!$F$28/100</f>
        <v>0</v>
      </c>
      <c r="O44" s="124">
        <f>O$21*shipping_manufacturing!$F$28/100</f>
        <v>0</v>
      </c>
      <c r="P44" s="124">
        <f>P$21*shipping_manufacturing!$F$28/100</f>
        <v>0</v>
      </c>
      <c r="Q44" s="124">
        <f>Q$21*shipping_manufacturing!$F$28/100</f>
        <v>0</v>
      </c>
      <c r="R44" s="124">
        <f>R$21*shipping_manufacturing!$F$28/100</f>
        <v>0</v>
      </c>
      <c r="S44" s="124">
        <f>S$21*shipping_manufacturing!$F$28/100</f>
        <v>0</v>
      </c>
      <c r="T44" s="124">
        <f>T$21*shipping_manufacturing!$F$28/100</f>
        <v>0</v>
      </c>
      <c r="U44" s="124">
        <f>U$21*shipping_manufacturing!$F$28/100</f>
        <v>0</v>
      </c>
      <c r="V44" s="124">
        <f>V$21*shipping_manufacturing!$F$28/100</f>
        <v>0</v>
      </c>
      <c r="W44" s="124">
        <f>W$21*shipping_manufacturing!$F$28/100</f>
        <v>0</v>
      </c>
      <c r="X44" s="124">
        <f>X$21*shipping_manufacturing!$F$28/100</f>
        <v>0</v>
      </c>
      <c r="Y44" s="124">
        <f>Y$21*shipping_manufacturing!$F$28/100</f>
        <v>0</v>
      </c>
      <c r="Z44" s="124">
        <f>Z$21*shipping_manufacturing!$F$28/100</f>
        <v>0</v>
      </c>
      <c r="AA44" s="124">
        <f>AA$21*shipping_manufacturing!$F$28/100</f>
        <v>0</v>
      </c>
      <c r="AB44" s="124">
        <f>AB$21*shipping_manufacturing!$F$28/100</f>
        <v>0</v>
      </c>
      <c r="AC44" s="124">
        <f>AC$21*shipping_manufacturing!$F$28/100</f>
        <v>0</v>
      </c>
      <c r="AD44" s="124">
        <f>AD$21*shipping_manufacturing!$F$28/100</f>
        <v>0</v>
      </c>
      <c r="AE44" s="124">
        <f>AE$21*shipping_manufacturing!$F$28/100</f>
        <v>0</v>
      </c>
      <c r="AF44" s="124">
        <f>AF$21*shipping_manufacturing!$F$28/100</f>
        <v>0</v>
      </c>
      <c r="AG44" s="124">
        <f>AG$21*shipping_manufacturing!$F$28/100</f>
        <v>0</v>
      </c>
      <c r="AH44" s="124">
        <f>AH$21*shipping_manufacturing!$F$28/100</f>
        <v>0</v>
      </c>
      <c r="AI44" s="124">
        <f>AI$21*shipping_manufacturing!$F$28/100</f>
        <v>0</v>
      </c>
      <c r="AJ44" s="124">
        <f>AJ$21*shipping_manufacturing!$F$28/100</f>
        <v>0</v>
      </c>
      <c r="AK44" s="124">
        <f>AK$21*shipping_manufacturing!$F$28/100</f>
        <v>0</v>
      </c>
      <c r="AL44" s="124">
        <f>AL$21*shipping_manufacturing!$F$28/100</f>
        <v>0</v>
      </c>
      <c r="AM44" s="124">
        <f>AM$21*shipping_manufacturing!$F$28/100</f>
        <v>0</v>
      </c>
      <c r="AN44" s="124">
        <f>AN$21*shipping_manufacturing!$F$28/100</f>
        <v>0</v>
      </c>
      <c r="AO44" s="124">
        <f>AO$21*shipping_manufacturing!$F$28/100</f>
        <v>0</v>
      </c>
      <c r="AP44" s="124">
        <f>AP$21*shipping_manufacturing!$F$28/100</f>
        <v>0</v>
      </c>
      <c r="AQ44" s="124">
        <f>AQ$21*shipping_manufacturing!$F$28/100</f>
        <v>0</v>
      </c>
      <c r="AR44" s="124">
        <f>AR$21*shipping_manufacturing!$F$28/100</f>
        <v>0</v>
      </c>
      <c r="AS44" s="124">
        <f>AS$21*shipping_manufacturing!$F$28/100</f>
        <v>0</v>
      </c>
      <c r="AT44" s="124">
        <f>AT$21*shipping_manufacturing!$F$28/100</f>
        <v>0</v>
      </c>
      <c r="AU44" s="124">
        <f>AU$21*shipping_manufacturing!$F$28/100</f>
        <v>0</v>
      </c>
      <c r="AV44" s="124">
        <f>AV$21*shipping_manufacturing!$F$28/100</f>
        <v>0</v>
      </c>
      <c r="AW44" s="124">
        <f>AW$21*shipping_manufacturing!$F$28/100</f>
        <v>0</v>
      </c>
      <c r="AX44" s="124">
        <f>AX$21*shipping_manufacturing!$F$28/100</f>
        <v>0</v>
      </c>
      <c r="AY44" s="124">
        <f>AY$21*shipping_manufacturing!$F$28/100</f>
        <v>0</v>
      </c>
    </row>
    <row r="45" spans="1:52">
      <c r="A45" s="113" t="s">
        <v>340</v>
      </c>
      <c r="B45" s="165" t="s">
        <v>342</v>
      </c>
      <c r="C45" s="110"/>
      <c r="D45" s="110">
        <f>D$22*shipping_manufacturing!$G$28/100</f>
        <v>0</v>
      </c>
      <c r="E45" s="110">
        <f>E$22*shipping_manufacturing!$G$28/100</f>
        <v>0</v>
      </c>
      <c r="F45" s="110">
        <f>F$22*shipping_manufacturing!$G$28/100</f>
        <v>0</v>
      </c>
      <c r="G45" s="110">
        <f>G$22*shipping_manufacturing!$G$28/100</f>
        <v>0</v>
      </c>
      <c r="H45" s="110">
        <f>H$22*shipping_manufacturing!$G$28/100</f>
        <v>0</v>
      </c>
      <c r="I45" s="110">
        <f>I$22*shipping_manufacturing!$G$28/100</f>
        <v>0</v>
      </c>
      <c r="J45" s="110">
        <f>J$22*shipping_manufacturing!$G$28/100</f>
        <v>0</v>
      </c>
      <c r="K45" s="110">
        <f>K$22*shipping_manufacturing!$G$28/100</f>
        <v>0</v>
      </c>
      <c r="L45" s="110">
        <f>L$22*shipping_manufacturing!$G$28/100</f>
        <v>0</v>
      </c>
      <c r="M45" s="110">
        <f>M$22*shipping_manufacturing!$G$28/100</f>
        <v>0</v>
      </c>
      <c r="N45" s="110">
        <f>N$22*shipping_manufacturing!$G$28/100</f>
        <v>0</v>
      </c>
      <c r="O45" s="110">
        <f>O$22*shipping_manufacturing!$G$28/100</f>
        <v>0</v>
      </c>
      <c r="P45" s="110">
        <f>P$22*shipping_manufacturing!$G$28/100</f>
        <v>0</v>
      </c>
      <c r="Q45" s="110">
        <f>Q$22*shipping_manufacturing!$G$28/100</f>
        <v>0</v>
      </c>
      <c r="R45" s="110">
        <f>R$22*shipping_manufacturing!$G$28/100</f>
        <v>0</v>
      </c>
      <c r="S45" s="110">
        <f>S$22*shipping_manufacturing!$G$28/100</f>
        <v>0</v>
      </c>
      <c r="T45" s="110">
        <f>T$22*shipping_manufacturing!$G$28/100</f>
        <v>0</v>
      </c>
      <c r="U45" s="110">
        <f>U$22*shipping_manufacturing!$G$28/100</f>
        <v>0</v>
      </c>
      <c r="V45" s="110">
        <f>V$22*shipping_manufacturing!$G$28/100</f>
        <v>0</v>
      </c>
      <c r="W45" s="110">
        <f>W$22*shipping_manufacturing!$G$28/100</f>
        <v>0</v>
      </c>
      <c r="X45" s="110">
        <f>X$22*shipping_manufacturing!$G$28/100</f>
        <v>0</v>
      </c>
      <c r="Y45" s="110">
        <f>Y$22*shipping_manufacturing!$G$28/100</f>
        <v>0</v>
      </c>
      <c r="Z45" s="110">
        <f>Z$22*shipping_manufacturing!$G$28/100</f>
        <v>0</v>
      </c>
      <c r="AA45" s="110">
        <f>AA$22*shipping_manufacturing!$G$28/100</f>
        <v>0</v>
      </c>
      <c r="AB45" s="110">
        <f>AB$22*shipping_manufacturing!$G$28/100</f>
        <v>0</v>
      </c>
      <c r="AC45" s="110">
        <f>AC$22*shipping_manufacturing!$G$28/100</f>
        <v>0</v>
      </c>
      <c r="AD45" s="110">
        <f>AD$22*shipping_manufacturing!$G$28/100</f>
        <v>0</v>
      </c>
      <c r="AE45" s="110">
        <f>AE$22*shipping_manufacturing!$G$28/100</f>
        <v>0</v>
      </c>
      <c r="AF45" s="110">
        <f>AF$22*shipping_manufacturing!$G$28/100</f>
        <v>0</v>
      </c>
      <c r="AG45" s="110">
        <f>AG$22*shipping_manufacturing!$G$28/100</f>
        <v>0</v>
      </c>
      <c r="AH45" s="110">
        <f>AH$22*shipping_manufacturing!$G$28/100</f>
        <v>0</v>
      </c>
      <c r="AI45" s="110">
        <f>AI$22*shipping_manufacturing!$G$28/100</f>
        <v>0</v>
      </c>
      <c r="AJ45" s="110">
        <f>AJ$22*shipping_manufacturing!$G$28/100</f>
        <v>0</v>
      </c>
      <c r="AK45" s="110">
        <f>AK$22*shipping_manufacturing!$G$28/100</f>
        <v>0</v>
      </c>
      <c r="AL45" s="110">
        <f>AL$22*shipping_manufacturing!$G$28/100</f>
        <v>0</v>
      </c>
      <c r="AM45" s="110">
        <f>AM$22*shipping_manufacturing!$G$28/100</f>
        <v>0</v>
      </c>
      <c r="AN45" s="110">
        <f>AN$22*shipping_manufacturing!$G$28/100</f>
        <v>0</v>
      </c>
      <c r="AO45" s="110">
        <f>AO$22*shipping_manufacturing!$G$28/100</f>
        <v>0</v>
      </c>
      <c r="AP45" s="110">
        <f>AP$22*shipping_manufacturing!$G$28/100</f>
        <v>0</v>
      </c>
      <c r="AQ45" s="110">
        <f>AQ$22*shipping_manufacturing!$G$28/100</f>
        <v>0</v>
      </c>
      <c r="AR45" s="110">
        <f>AR$22*shipping_manufacturing!$G$28/100</f>
        <v>0</v>
      </c>
      <c r="AS45" s="110">
        <f>AS$22*shipping_manufacturing!$G$28/100</f>
        <v>0</v>
      </c>
      <c r="AT45" s="110">
        <f>AT$22*shipping_manufacturing!$G$28/100</f>
        <v>0</v>
      </c>
      <c r="AU45" s="110">
        <f>AU$22*shipping_manufacturing!$G$28/100</f>
        <v>0</v>
      </c>
      <c r="AV45" s="110">
        <f>AV$22*shipping_manufacturing!$G$28/100</f>
        <v>0</v>
      </c>
      <c r="AW45" s="110">
        <f>AW$22*shipping_manufacturing!$G$28/100</f>
        <v>0</v>
      </c>
      <c r="AX45" s="110">
        <f>AX$22*shipping_manufacturing!$G$28/100</f>
        <v>0</v>
      </c>
      <c r="AY45" s="110">
        <f>AY$22*shipping_manufacturing!$G$28/100</f>
        <v>0</v>
      </c>
    </row>
    <row r="46" spans="1:52">
      <c r="A46" s="110">
        <v>1893</v>
      </c>
      <c r="B46" s="165" t="s">
        <v>343</v>
      </c>
      <c r="C46" s="110"/>
      <c r="D46" s="110">
        <f>SUM(D44:D45)</f>
        <v>0</v>
      </c>
      <c r="E46" s="110">
        <f t="shared" ref="E46:AY46" si="14">SUM(E44:E45)</f>
        <v>0</v>
      </c>
      <c r="F46" s="110">
        <f t="shared" si="14"/>
        <v>0</v>
      </c>
      <c r="G46" s="110">
        <f t="shared" si="14"/>
        <v>0</v>
      </c>
      <c r="H46" s="110">
        <f t="shared" si="14"/>
        <v>0</v>
      </c>
      <c r="I46" s="110">
        <f t="shared" si="14"/>
        <v>0</v>
      </c>
      <c r="J46" s="110">
        <f t="shared" si="14"/>
        <v>0</v>
      </c>
      <c r="K46" s="110">
        <f t="shared" si="14"/>
        <v>0</v>
      </c>
      <c r="L46" s="110">
        <f t="shared" si="14"/>
        <v>0</v>
      </c>
      <c r="M46" s="110">
        <f t="shared" si="14"/>
        <v>0</v>
      </c>
      <c r="N46" s="110">
        <f t="shared" si="14"/>
        <v>0</v>
      </c>
      <c r="O46" s="110">
        <f t="shared" si="14"/>
        <v>0</v>
      </c>
      <c r="P46" s="110">
        <f t="shared" si="14"/>
        <v>0</v>
      </c>
      <c r="Q46" s="110">
        <f t="shared" si="14"/>
        <v>0</v>
      </c>
      <c r="R46" s="110">
        <f t="shared" si="14"/>
        <v>0</v>
      </c>
      <c r="S46" s="110">
        <f t="shared" si="14"/>
        <v>0</v>
      </c>
      <c r="T46" s="110">
        <f t="shared" si="14"/>
        <v>0</v>
      </c>
      <c r="U46" s="110">
        <f t="shared" si="14"/>
        <v>0</v>
      </c>
      <c r="V46" s="110">
        <f t="shared" si="14"/>
        <v>0</v>
      </c>
      <c r="W46" s="110">
        <f t="shared" si="14"/>
        <v>0</v>
      </c>
      <c r="X46" s="110">
        <f t="shared" si="14"/>
        <v>0</v>
      </c>
      <c r="Y46" s="110">
        <f t="shared" si="14"/>
        <v>0</v>
      </c>
      <c r="Z46" s="110">
        <f t="shared" si="14"/>
        <v>0</v>
      </c>
      <c r="AA46" s="110">
        <f t="shared" si="14"/>
        <v>0</v>
      </c>
      <c r="AB46" s="110">
        <f t="shared" si="14"/>
        <v>0</v>
      </c>
      <c r="AC46" s="110">
        <f t="shared" si="14"/>
        <v>0</v>
      </c>
      <c r="AD46" s="110">
        <f t="shared" si="14"/>
        <v>0</v>
      </c>
      <c r="AE46" s="110">
        <f t="shared" si="14"/>
        <v>0</v>
      </c>
      <c r="AF46" s="110">
        <f t="shared" si="14"/>
        <v>0</v>
      </c>
      <c r="AG46" s="110">
        <f t="shared" si="14"/>
        <v>0</v>
      </c>
      <c r="AH46" s="110">
        <f t="shared" si="14"/>
        <v>0</v>
      </c>
      <c r="AI46" s="110">
        <f t="shared" si="14"/>
        <v>0</v>
      </c>
      <c r="AJ46" s="110">
        <f t="shared" si="14"/>
        <v>0</v>
      </c>
      <c r="AK46" s="110">
        <f t="shared" si="14"/>
        <v>0</v>
      </c>
      <c r="AL46" s="110">
        <f t="shared" si="14"/>
        <v>0</v>
      </c>
      <c r="AM46" s="110">
        <f t="shared" si="14"/>
        <v>0</v>
      </c>
      <c r="AN46" s="110">
        <f t="shared" si="14"/>
        <v>0</v>
      </c>
      <c r="AO46" s="110">
        <f t="shared" si="14"/>
        <v>0</v>
      </c>
      <c r="AP46" s="110">
        <f t="shared" si="14"/>
        <v>0</v>
      </c>
      <c r="AQ46" s="110">
        <f t="shared" si="14"/>
        <v>0</v>
      </c>
      <c r="AR46" s="110">
        <f t="shared" si="14"/>
        <v>0</v>
      </c>
      <c r="AS46" s="110">
        <f t="shared" si="14"/>
        <v>0</v>
      </c>
      <c r="AT46" s="110">
        <f t="shared" si="14"/>
        <v>0</v>
      </c>
      <c r="AU46" s="110">
        <f t="shared" si="14"/>
        <v>0</v>
      </c>
      <c r="AV46" s="110">
        <f t="shared" si="14"/>
        <v>0</v>
      </c>
      <c r="AW46" s="110">
        <f t="shared" si="14"/>
        <v>0</v>
      </c>
      <c r="AX46" s="110">
        <f t="shared" si="14"/>
        <v>0</v>
      </c>
      <c r="AY46" s="110">
        <f t="shared" si="14"/>
        <v>0</v>
      </c>
    </row>
    <row r="47" spans="1:52">
      <c r="A47" s="110"/>
      <c r="B47" s="165" t="s">
        <v>344</v>
      </c>
      <c r="C47" s="110"/>
      <c r="D47" s="110"/>
      <c r="E47" s="110"/>
      <c r="F47" s="110"/>
      <c r="G47" s="110"/>
      <c r="H47" s="110"/>
      <c r="I47" s="110"/>
      <c r="J47" s="110"/>
      <c r="K47" s="110"/>
      <c r="L47" s="110"/>
      <c r="M47" s="110"/>
      <c r="N47" s="110"/>
      <c r="O47" s="110"/>
      <c r="P47" s="110"/>
      <c r="Q47" s="110"/>
      <c r="R47" s="110"/>
      <c r="S47" s="110"/>
      <c r="T47" s="110"/>
      <c r="U47" s="110"/>
      <c r="V47" s="110"/>
      <c r="W47" s="110"/>
      <c r="X47" s="110"/>
      <c r="Y47" s="110"/>
      <c r="Z47" s="110"/>
      <c r="AA47" s="110"/>
      <c r="AB47" s="110"/>
      <c r="AC47" s="110"/>
      <c r="AD47" s="110"/>
      <c r="AE47" s="110"/>
      <c r="AF47" s="110"/>
      <c r="AG47" s="110"/>
      <c r="AH47" s="110"/>
      <c r="AI47" s="110"/>
      <c r="AJ47" s="110"/>
      <c r="AK47" s="110"/>
      <c r="AL47" s="110"/>
      <c r="AM47" s="110"/>
      <c r="AN47" s="110"/>
      <c r="AO47" s="110"/>
      <c r="AP47" s="110"/>
      <c r="AQ47" s="110"/>
      <c r="AR47" s="110"/>
      <c r="AS47" s="110"/>
      <c r="AT47" s="110"/>
      <c r="AU47" s="110"/>
      <c r="AV47" s="110"/>
      <c r="AW47" s="110"/>
      <c r="AX47" s="110"/>
      <c r="AY47" s="110"/>
    </row>
    <row r="48" spans="1:52">
      <c r="A48" s="110"/>
      <c r="B48" s="165" t="s">
        <v>345</v>
      </c>
      <c r="C48" s="110"/>
      <c r="D48" s="110"/>
      <c r="E48" s="110"/>
      <c r="F48" s="110"/>
      <c r="G48" s="110"/>
      <c r="H48" s="110"/>
      <c r="I48" s="110"/>
      <c r="J48" s="110"/>
      <c r="K48" s="110"/>
      <c r="L48" s="110"/>
      <c r="M48" s="110"/>
      <c r="N48" s="110"/>
      <c r="O48" s="110"/>
      <c r="P48" s="110"/>
      <c r="Q48" s="110"/>
      <c r="R48" s="110"/>
      <c r="S48" s="110"/>
      <c r="T48" s="110"/>
      <c r="U48" s="110"/>
      <c r="V48" s="110"/>
      <c r="W48" s="110"/>
      <c r="X48" s="110"/>
      <c r="Y48" s="110"/>
      <c r="Z48" s="110"/>
      <c r="AA48" s="110"/>
      <c r="AB48" s="110"/>
      <c r="AC48" s="110"/>
      <c r="AD48" s="110"/>
      <c r="AE48" s="110"/>
      <c r="AF48" s="110"/>
      <c r="AG48" s="110"/>
      <c r="AH48" s="110"/>
      <c r="AI48" s="110"/>
      <c r="AJ48" s="110"/>
      <c r="AK48" s="110"/>
      <c r="AL48" s="110"/>
      <c r="AM48" s="110"/>
      <c r="AN48" s="110"/>
      <c r="AO48" s="110"/>
      <c r="AP48" s="110"/>
      <c r="AQ48" s="110"/>
      <c r="AR48" s="110"/>
      <c r="AS48" s="110"/>
      <c r="AT48" s="110"/>
      <c r="AU48" s="110"/>
      <c r="AV48" s="110"/>
      <c r="AW48" s="110"/>
      <c r="AX48" s="110"/>
      <c r="AY48" s="110"/>
    </row>
    <row r="49" spans="1:52">
      <c r="A49" s="110"/>
      <c r="B49" s="165" t="s">
        <v>346</v>
      </c>
      <c r="C49" s="110"/>
      <c r="D49" s="110"/>
      <c r="E49" s="110"/>
      <c r="F49" s="110"/>
      <c r="G49" s="110"/>
      <c r="H49" s="110"/>
      <c r="I49" s="110"/>
      <c r="J49" s="110"/>
      <c r="K49" s="110"/>
      <c r="L49" s="110"/>
      <c r="M49" s="110"/>
      <c r="N49" s="110"/>
      <c r="O49" s="110"/>
      <c r="P49" s="110"/>
      <c r="Q49" s="110"/>
      <c r="R49" s="110"/>
      <c r="S49" s="110"/>
      <c r="T49" s="110"/>
      <c r="U49" s="110"/>
      <c r="V49" s="110"/>
      <c r="W49" s="110"/>
      <c r="X49" s="110"/>
      <c r="Y49" s="110"/>
      <c r="Z49" s="110"/>
      <c r="AA49" s="110"/>
      <c r="AB49" s="110"/>
      <c r="AC49" s="110"/>
      <c r="AD49" s="110"/>
      <c r="AE49" s="110"/>
      <c r="AF49" s="110"/>
      <c r="AG49" s="110"/>
      <c r="AH49" s="110"/>
      <c r="AI49" s="110"/>
      <c r="AJ49" s="110"/>
      <c r="AK49" s="110"/>
      <c r="AL49" s="110"/>
      <c r="AM49" s="110"/>
      <c r="AN49" s="110"/>
      <c r="AO49" s="110"/>
      <c r="AP49" s="110"/>
      <c r="AQ49" s="110"/>
      <c r="AR49" s="110"/>
      <c r="AS49" s="110"/>
      <c r="AT49" s="110"/>
      <c r="AU49" s="110"/>
      <c r="AV49" s="110"/>
      <c r="AW49" s="110"/>
      <c r="AX49" s="110"/>
      <c r="AY49" s="110"/>
    </row>
    <row r="50" spans="1:52">
      <c r="A50" s="110"/>
      <c r="B50" s="165" t="s">
        <v>347</v>
      </c>
      <c r="C50" s="110"/>
      <c r="D50" s="110">
        <f>D44-D47</f>
        <v>0</v>
      </c>
      <c r="E50" s="110">
        <f t="shared" ref="E50:AY50" si="15">E44-E47</f>
        <v>0</v>
      </c>
      <c r="F50" s="110">
        <f t="shared" si="15"/>
        <v>0</v>
      </c>
      <c r="G50" s="110">
        <f t="shared" si="15"/>
        <v>0</v>
      </c>
      <c r="H50" s="110">
        <f t="shared" si="15"/>
        <v>0</v>
      </c>
      <c r="I50" s="110">
        <f t="shared" si="15"/>
        <v>0</v>
      </c>
      <c r="J50" s="110">
        <f t="shared" si="15"/>
        <v>0</v>
      </c>
      <c r="K50" s="110">
        <f t="shared" si="15"/>
        <v>0</v>
      </c>
      <c r="L50" s="110">
        <f t="shared" si="15"/>
        <v>0</v>
      </c>
      <c r="M50" s="110">
        <f t="shared" si="15"/>
        <v>0</v>
      </c>
      <c r="N50" s="110">
        <f t="shared" si="15"/>
        <v>0</v>
      </c>
      <c r="O50" s="110">
        <f t="shared" si="15"/>
        <v>0</v>
      </c>
      <c r="P50" s="110">
        <f t="shared" si="15"/>
        <v>0</v>
      </c>
      <c r="Q50" s="110">
        <f t="shared" si="15"/>
        <v>0</v>
      </c>
      <c r="R50" s="110">
        <f t="shared" si="15"/>
        <v>0</v>
      </c>
      <c r="S50" s="110">
        <f t="shared" si="15"/>
        <v>0</v>
      </c>
      <c r="T50" s="110">
        <f t="shared" si="15"/>
        <v>0</v>
      </c>
      <c r="U50" s="110">
        <f t="shared" si="15"/>
        <v>0</v>
      </c>
      <c r="V50" s="110">
        <f t="shared" si="15"/>
        <v>0</v>
      </c>
      <c r="W50" s="110">
        <f t="shared" si="15"/>
        <v>0</v>
      </c>
      <c r="X50" s="110">
        <f t="shared" si="15"/>
        <v>0</v>
      </c>
      <c r="Y50" s="110">
        <f t="shared" si="15"/>
        <v>0</v>
      </c>
      <c r="Z50" s="110">
        <f t="shared" si="15"/>
        <v>0</v>
      </c>
      <c r="AA50" s="110">
        <f t="shared" si="15"/>
        <v>0</v>
      </c>
      <c r="AB50" s="110">
        <f t="shared" si="15"/>
        <v>0</v>
      </c>
      <c r="AC50" s="110">
        <f t="shared" si="15"/>
        <v>0</v>
      </c>
      <c r="AD50" s="110">
        <f t="shared" si="15"/>
        <v>0</v>
      </c>
      <c r="AE50" s="110">
        <f t="shared" si="15"/>
        <v>0</v>
      </c>
      <c r="AF50" s="110">
        <f t="shared" si="15"/>
        <v>0</v>
      </c>
      <c r="AG50" s="110">
        <f t="shared" si="15"/>
        <v>0</v>
      </c>
      <c r="AH50" s="110">
        <f t="shared" si="15"/>
        <v>0</v>
      </c>
      <c r="AI50" s="110">
        <f t="shared" si="15"/>
        <v>0</v>
      </c>
      <c r="AJ50" s="110">
        <f t="shared" si="15"/>
        <v>0</v>
      </c>
      <c r="AK50" s="110">
        <f t="shared" si="15"/>
        <v>0</v>
      </c>
      <c r="AL50" s="110">
        <f t="shared" si="15"/>
        <v>0</v>
      </c>
      <c r="AM50" s="110">
        <f t="shared" si="15"/>
        <v>0</v>
      </c>
      <c r="AN50" s="110">
        <f t="shared" si="15"/>
        <v>0</v>
      </c>
      <c r="AO50" s="110">
        <f t="shared" si="15"/>
        <v>0</v>
      </c>
      <c r="AP50" s="110">
        <f t="shared" si="15"/>
        <v>0</v>
      </c>
      <c r="AQ50" s="110">
        <f t="shared" si="15"/>
        <v>0</v>
      </c>
      <c r="AR50" s="110">
        <f t="shared" si="15"/>
        <v>0</v>
      </c>
      <c r="AS50" s="110">
        <f t="shared" si="15"/>
        <v>0</v>
      </c>
      <c r="AT50" s="110">
        <f t="shared" si="15"/>
        <v>0</v>
      </c>
      <c r="AU50" s="110">
        <f t="shared" si="15"/>
        <v>0</v>
      </c>
      <c r="AV50" s="110">
        <f t="shared" si="15"/>
        <v>0</v>
      </c>
      <c r="AW50" s="110">
        <f t="shared" si="15"/>
        <v>0</v>
      </c>
      <c r="AX50" s="110">
        <f t="shared" si="15"/>
        <v>0</v>
      </c>
      <c r="AY50" s="110">
        <f t="shared" si="15"/>
        <v>0</v>
      </c>
    </row>
    <row r="51" spans="1:52">
      <c r="A51" s="110"/>
      <c r="B51" s="165" t="s">
        <v>348</v>
      </c>
      <c r="C51" s="110"/>
      <c r="D51" s="110">
        <f>D45-D48</f>
        <v>0</v>
      </c>
      <c r="E51" s="110">
        <f t="shared" ref="E51:AY51" si="16">E45-E48</f>
        <v>0</v>
      </c>
      <c r="F51" s="110">
        <f t="shared" si="16"/>
        <v>0</v>
      </c>
      <c r="G51" s="110">
        <f t="shared" si="16"/>
        <v>0</v>
      </c>
      <c r="H51" s="110">
        <f t="shared" si="16"/>
        <v>0</v>
      </c>
      <c r="I51" s="110">
        <f t="shared" si="16"/>
        <v>0</v>
      </c>
      <c r="J51" s="110">
        <f t="shared" si="16"/>
        <v>0</v>
      </c>
      <c r="K51" s="110">
        <f t="shared" si="16"/>
        <v>0</v>
      </c>
      <c r="L51" s="110">
        <f t="shared" si="16"/>
        <v>0</v>
      </c>
      <c r="M51" s="110">
        <f t="shared" si="16"/>
        <v>0</v>
      </c>
      <c r="N51" s="110">
        <f t="shared" si="16"/>
        <v>0</v>
      </c>
      <c r="O51" s="110">
        <f t="shared" si="16"/>
        <v>0</v>
      </c>
      <c r="P51" s="110">
        <f t="shared" si="16"/>
        <v>0</v>
      </c>
      <c r="Q51" s="110">
        <f t="shared" si="16"/>
        <v>0</v>
      </c>
      <c r="R51" s="110">
        <f t="shared" si="16"/>
        <v>0</v>
      </c>
      <c r="S51" s="110">
        <f t="shared" si="16"/>
        <v>0</v>
      </c>
      <c r="T51" s="110">
        <f t="shared" si="16"/>
        <v>0</v>
      </c>
      <c r="U51" s="110">
        <f t="shared" si="16"/>
        <v>0</v>
      </c>
      <c r="V51" s="110">
        <f t="shared" si="16"/>
        <v>0</v>
      </c>
      <c r="W51" s="110">
        <f t="shared" si="16"/>
        <v>0</v>
      </c>
      <c r="X51" s="110">
        <f t="shared" si="16"/>
        <v>0</v>
      </c>
      <c r="Y51" s="110">
        <f t="shared" si="16"/>
        <v>0</v>
      </c>
      <c r="Z51" s="110">
        <f t="shared" si="16"/>
        <v>0</v>
      </c>
      <c r="AA51" s="110">
        <f t="shared" si="16"/>
        <v>0</v>
      </c>
      <c r="AB51" s="110">
        <f t="shared" si="16"/>
        <v>0</v>
      </c>
      <c r="AC51" s="110">
        <f t="shared" si="16"/>
        <v>0</v>
      </c>
      <c r="AD51" s="110">
        <f t="shared" si="16"/>
        <v>0</v>
      </c>
      <c r="AE51" s="110">
        <f t="shared" si="16"/>
        <v>0</v>
      </c>
      <c r="AF51" s="110">
        <f t="shared" si="16"/>
        <v>0</v>
      </c>
      <c r="AG51" s="110">
        <f t="shared" si="16"/>
        <v>0</v>
      </c>
      <c r="AH51" s="110">
        <f t="shared" si="16"/>
        <v>0</v>
      </c>
      <c r="AI51" s="110">
        <f t="shared" si="16"/>
        <v>0</v>
      </c>
      <c r="AJ51" s="110">
        <f t="shared" si="16"/>
        <v>0</v>
      </c>
      <c r="AK51" s="110">
        <f t="shared" si="16"/>
        <v>0</v>
      </c>
      <c r="AL51" s="110">
        <f t="shared" si="16"/>
        <v>0</v>
      </c>
      <c r="AM51" s="110">
        <f t="shared" si="16"/>
        <v>0</v>
      </c>
      <c r="AN51" s="110">
        <f t="shared" si="16"/>
        <v>0</v>
      </c>
      <c r="AO51" s="110">
        <f t="shared" si="16"/>
        <v>0</v>
      </c>
      <c r="AP51" s="110">
        <f t="shared" si="16"/>
        <v>0</v>
      </c>
      <c r="AQ51" s="110">
        <f t="shared" si="16"/>
        <v>0</v>
      </c>
      <c r="AR51" s="110">
        <f t="shared" si="16"/>
        <v>0</v>
      </c>
      <c r="AS51" s="110">
        <f t="shared" si="16"/>
        <v>0</v>
      </c>
      <c r="AT51" s="110">
        <f t="shared" si="16"/>
        <v>0</v>
      </c>
      <c r="AU51" s="110">
        <f t="shared" si="16"/>
        <v>0</v>
      </c>
      <c r="AV51" s="110">
        <f t="shared" si="16"/>
        <v>0</v>
      </c>
      <c r="AW51" s="110">
        <f t="shared" si="16"/>
        <v>0</v>
      </c>
      <c r="AX51" s="110">
        <f t="shared" si="16"/>
        <v>0</v>
      </c>
      <c r="AY51" s="110">
        <f t="shared" si="16"/>
        <v>0</v>
      </c>
    </row>
    <row r="52" spans="1:52">
      <c r="A52" s="110"/>
      <c r="B52" s="165" t="s">
        <v>349</v>
      </c>
      <c r="C52" s="110"/>
      <c r="D52" s="110">
        <v>2</v>
      </c>
      <c r="E52" s="110">
        <v>2</v>
      </c>
      <c r="F52" s="110">
        <v>2</v>
      </c>
      <c r="G52" s="110">
        <v>1</v>
      </c>
      <c r="H52" s="110">
        <v>1</v>
      </c>
      <c r="I52" s="110">
        <v>1</v>
      </c>
      <c r="J52" s="110">
        <v>3</v>
      </c>
      <c r="K52" s="110">
        <v>3</v>
      </c>
      <c r="L52" s="110">
        <v>1</v>
      </c>
      <c r="M52" s="110">
        <v>1</v>
      </c>
      <c r="N52" s="110">
        <v>1</v>
      </c>
      <c r="O52" s="110">
        <v>1</v>
      </c>
      <c r="P52" s="110">
        <v>2</v>
      </c>
      <c r="Q52" s="110">
        <v>1</v>
      </c>
      <c r="R52" s="110">
        <v>1</v>
      </c>
      <c r="S52" s="110">
        <v>2</v>
      </c>
      <c r="T52" s="110">
        <v>2</v>
      </c>
      <c r="U52" s="110">
        <v>1</v>
      </c>
      <c r="V52" s="110">
        <v>1</v>
      </c>
      <c r="W52" s="110">
        <v>1</v>
      </c>
      <c r="X52" s="110">
        <v>1</v>
      </c>
      <c r="Y52" s="110">
        <v>1</v>
      </c>
      <c r="Z52" s="110">
        <v>1</v>
      </c>
      <c r="AA52" s="110">
        <v>2</v>
      </c>
      <c r="AB52" s="110">
        <v>1</v>
      </c>
      <c r="AC52" s="110">
        <v>1</v>
      </c>
      <c r="AD52" s="110">
        <v>2</v>
      </c>
      <c r="AE52" s="110">
        <v>1</v>
      </c>
      <c r="AF52" s="110">
        <v>1</v>
      </c>
      <c r="AG52" s="110">
        <v>1</v>
      </c>
      <c r="AH52" s="110">
        <v>1</v>
      </c>
      <c r="AI52" s="110">
        <v>2</v>
      </c>
      <c r="AJ52" s="110">
        <v>2</v>
      </c>
      <c r="AK52" s="110">
        <v>1</v>
      </c>
      <c r="AL52" s="110">
        <v>3</v>
      </c>
      <c r="AM52" s="110">
        <v>1</v>
      </c>
      <c r="AN52" s="110">
        <v>2</v>
      </c>
      <c r="AO52" s="110">
        <v>1</v>
      </c>
      <c r="AP52" s="110">
        <v>1</v>
      </c>
      <c r="AQ52" s="110">
        <v>3</v>
      </c>
      <c r="AR52" s="110">
        <v>1</v>
      </c>
      <c r="AS52" s="110">
        <v>3</v>
      </c>
      <c r="AT52" s="110">
        <v>2</v>
      </c>
      <c r="AU52" s="110">
        <v>1</v>
      </c>
      <c r="AV52" s="110">
        <v>2</v>
      </c>
      <c r="AW52" s="110">
        <v>2</v>
      </c>
      <c r="AX52" s="110">
        <v>1</v>
      </c>
      <c r="AY52" s="110">
        <v>1</v>
      </c>
    </row>
    <row r="53" spans="1:52">
      <c r="A53" s="110"/>
      <c r="B53" s="178" t="s">
        <v>350</v>
      </c>
      <c r="C53" s="110"/>
      <c r="D53" s="110">
        <v>0</v>
      </c>
      <c r="E53" s="110">
        <v>0</v>
      </c>
      <c r="F53" s="110">
        <v>0</v>
      </c>
      <c r="G53" s="110">
        <v>0</v>
      </c>
      <c r="H53" s="110">
        <v>0</v>
      </c>
      <c r="I53" s="110">
        <v>0</v>
      </c>
      <c r="J53" s="110">
        <v>0</v>
      </c>
      <c r="K53" s="110">
        <v>0</v>
      </c>
      <c r="L53" s="110">
        <v>0</v>
      </c>
      <c r="M53" s="110">
        <v>0</v>
      </c>
      <c r="N53" s="110">
        <v>0</v>
      </c>
      <c r="O53" s="110">
        <v>0</v>
      </c>
      <c r="P53" s="110">
        <v>0</v>
      </c>
      <c r="Q53" s="110">
        <v>0</v>
      </c>
      <c r="R53" s="110">
        <v>0</v>
      </c>
      <c r="S53" s="110">
        <v>0</v>
      </c>
      <c r="T53" s="110">
        <v>0</v>
      </c>
      <c r="U53" s="110">
        <v>0</v>
      </c>
      <c r="V53" s="110">
        <v>0</v>
      </c>
      <c r="W53" s="110">
        <v>0</v>
      </c>
      <c r="X53" s="110">
        <v>0</v>
      </c>
      <c r="Y53" s="110">
        <v>0</v>
      </c>
      <c r="Z53" s="110">
        <v>0</v>
      </c>
      <c r="AA53" s="110">
        <v>0</v>
      </c>
      <c r="AB53" s="110">
        <v>0</v>
      </c>
      <c r="AC53" s="110">
        <v>0</v>
      </c>
      <c r="AD53" s="110">
        <v>0</v>
      </c>
      <c r="AE53" s="110">
        <v>0</v>
      </c>
      <c r="AF53" s="110">
        <v>0</v>
      </c>
      <c r="AG53" s="110">
        <v>0</v>
      </c>
      <c r="AH53" s="110">
        <v>0</v>
      </c>
      <c r="AI53" s="110">
        <v>0</v>
      </c>
      <c r="AJ53" s="110">
        <v>0</v>
      </c>
      <c r="AK53" s="110">
        <v>0</v>
      </c>
      <c r="AL53" s="110">
        <v>0</v>
      </c>
      <c r="AM53" s="110">
        <v>0</v>
      </c>
      <c r="AN53" s="110">
        <v>0</v>
      </c>
      <c r="AO53" s="110">
        <v>0</v>
      </c>
      <c r="AP53" s="110">
        <v>0</v>
      </c>
      <c r="AQ53" s="110">
        <v>0</v>
      </c>
      <c r="AR53" s="110">
        <v>0</v>
      </c>
      <c r="AS53" s="110">
        <v>0</v>
      </c>
      <c r="AT53" s="110">
        <v>0</v>
      </c>
      <c r="AU53" s="110">
        <v>0</v>
      </c>
      <c r="AV53" s="110">
        <v>0</v>
      </c>
      <c r="AW53" s="110">
        <v>0</v>
      </c>
      <c r="AX53" s="110">
        <v>0</v>
      </c>
      <c r="AY53" s="110">
        <v>0</v>
      </c>
      <c r="AZ53" s="100">
        <f>SUM($D$53:$AY$53)</f>
        <v>0</v>
      </c>
    </row>
    <row r="54" spans="1:52">
      <c r="A54" s="110"/>
      <c r="B54" s="178" t="s">
        <v>351</v>
      </c>
      <c r="C54" s="110"/>
      <c r="D54" s="110">
        <v>0</v>
      </c>
      <c r="E54" s="110">
        <v>0</v>
      </c>
      <c r="F54" s="110">
        <v>0</v>
      </c>
      <c r="G54" s="110">
        <v>0</v>
      </c>
      <c r="H54" s="110">
        <v>0</v>
      </c>
      <c r="I54" s="110">
        <v>0</v>
      </c>
      <c r="J54" s="110">
        <v>0</v>
      </c>
      <c r="K54" s="110">
        <v>0</v>
      </c>
      <c r="L54" s="110">
        <v>0</v>
      </c>
      <c r="M54" s="110">
        <v>0</v>
      </c>
      <c r="N54" s="110">
        <v>0</v>
      </c>
      <c r="O54" s="110">
        <v>0</v>
      </c>
      <c r="P54" s="110">
        <v>0</v>
      </c>
      <c r="Q54" s="110">
        <v>0</v>
      </c>
      <c r="R54" s="110">
        <v>0</v>
      </c>
      <c r="S54" s="110">
        <v>0</v>
      </c>
      <c r="T54" s="110">
        <v>0</v>
      </c>
      <c r="U54" s="110">
        <v>0</v>
      </c>
      <c r="V54" s="110">
        <v>0</v>
      </c>
      <c r="W54" s="110">
        <v>0</v>
      </c>
      <c r="X54" s="110">
        <v>0</v>
      </c>
      <c r="Y54" s="110">
        <v>0</v>
      </c>
      <c r="Z54" s="110">
        <v>0</v>
      </c>
      <c r="AA54" s="110">
        <v>0</v>
      </c>
      <c r="AB54" s="110">
        <v>0</v>
      </c>
      <c r="AC54" s="110">
        <v>0</v>
      </c>
      <c r="AD54" s="110">
        <v>0</v>
      </c>
      <c r="AE54" s="110">
        <v>0</v>
      </c>
      <c r="AF54" s="110">
        <v>0</v>
      </c>
      <c r="AG54" s="110">
        <v>0</v>
      </c>
      <c r="AH54" s="110">
        <v>0</v>
      </c>
      <c r="AI54" s="110">
        <v>0</v>
      </c>
      <c r="AJ54" s="110">
        <v>0</v>
      </c>
      <c r="AK54" s="110">
        <v>0</v>
      </c>
      <c r="AL54" s="110">
        <v>0</v>
      </c>
      <c r="AM54" s="110">
        <v>0</v>
      </c>
      <c r="AN54" s="110">
        <v>0</v>
      </c>
      <c r="AO54" s="110">
        <v>0</v>
      </c>
      <c r="AP54" s="110">
        <v>0</v>
      </c>
      <c r="AQ54" s="110">
        <v>0</v>
      </c>
      <c r="AR54" s="110">
        <v>0</v>
      </c>
      <c r="AS54" s="110">
        <v>0</v>
      </c>
      <c r="AT54" s="110">
        <v>0</v>
      </c>
      <c r="AU54" s="110">
        <v>0</v>
      </c>
      <c r="AV54" s="110">
        <v>0</v>
      </c>
      <c r="AW54" s="110">
        <v>0</v>
      </c>
      <c r="AX54" s="110">
        <v>0</v>
      </c>
      <c r="AY54" s="110">
        <v>0</v>
      </c>
      <c r="AZ54" s="100">
        <f>SUM($D$54:$AY$54)</f>
        <v>0</v>
      </c>
    </row>
    <row r="55" spans="1:52">
      <c r="A55" s="135" t="s">
        <v>59</v>
      </c>
      <c r="B55" s="135" t="s">
        <v>341</v>
      </c>
      <c r="C55" s="124"/>
      <c r="D55" s="124">
        <f>D$21*shipping_manufacturing!$F$29/100</f>
        <v>1213.9924555049304</v>
      </c>
      <c r="E55" s="124">
        <f>E$21*shipping_manufacturing!$F$29/100</f>
        <v>606.14658213676955</v>
      </c>
      <c r="F55" s="124">
        <f>F$21*shipping_manufacturing!$F$29/100</f>
        <v>606.14658213676955</v>
      </c>
      <c r="G55" s="124">
        <f>G$21*shipping_manufacturing!$F$29/100</f>
        <v>0</v>
      </c>
      <c r="H55" s="124">
        <f>H$21*shipping_manufacturing!$F$29/100</f>
        <v>1212.2931642735391</v>
      </c>
      <c r="I55" s="124">
        <f>I$21*shipping_manufacturing!$F$29/100</f>
        <v>606.14658213676955</v>
      </c>
      <c r="J55" s="124">
        <f>J$21*shipping_manufacturing!$F$29/100</f>
        <v>606.14658213676955</v>
      </c>
      <c r="K55" s="124">
        <f>K$21*shipping_manufacturing!$F$29/100</f>
        <v>606.14658213676955</v>
      </c>
      <c r="L55" s="124">
        <f>L$21*shipping_manufacturing!$F$29/100</f>
        <v>0</v>
      </c>
      <c r="M55" s="124">
        <f>M$21*shipping_manufacturing!$F$29/100</f>
        <v>1212.2931642735391</v>
      </c>
      <c r="N55" s="124">
        <f>N$21*shipping_manufacturing!$F$29/100</f>
        <v>606.14658213676955</v>
      </c>
      <c r="O55" s="124">
        <f>O$21*shipping_manufacturing!$F$29/100</f>
        <v>606.14658213676955</v>
      </c>
      <c r="P55" s="124">
        <f>P$21*shipping_manufacturing!$F$29/100</f>
        <v>606.14658213676955</v>
      </c>
      <c r="Q55" s="124">
        <f>Q$21*shipping_manufacturing!$F$29/100</f>
        <v>606.14658213676955</v>
      </c>
      <c r="R55" s="124">
        <f>R$21*shipping_manufacturing!$F$29/100</f>
        <v>606.14658213676955</v>
      </c>
      <c r="S55" s="124">
        <f>S$21*shipping_manufacturing!$F$29/100</f>
        <v>606.14658213676955</v>
      </c>
      <c r="T55" s="124">
        <f>T$21*shipping_manufacturing!$F$29/100</f>
        <v>606.14658213676955</v>
      </c>
      <c r="U55" s="124">
        <f>U$21*shipping_manufacturing!$F$29/100</f>
        <v>606.14658213676955</v>
      </c>
      <c r="V55" s="124">
        <f>V$21*shipping_manufacturing!$F$29/100</f>
        <v>606.14658213676955</v>
      </c>
      <c r="W55" s="124">
        <f>W$21*shipping_manufacturing!$F$29/100</f>
        <v>606.14658213676955</v>
      </c>
      <c r="X55" s="124">
        <f>X$21*shipping_manufacturing!$F$29/100</f>
        <v>606.14658213676955</v>
      </c>
      <c r="Y55" s="124">
        <f>Y$21*shipping_manufacturing!$F$29/100</f>
        <v>606.14658213676955</v>
      </c>
      <c r="Z55" s="124">
        <f>Z$21*shipping_manufacturing!$F$29/100</f>
        <v>606.14658213676955</v>
      </c>
      <c r="AA55" s="124">
        <f>AA$21*shipping_manufacturing!$F$29/100</f>
        <v>606.14658213676955</v>
      </c>
      <c r="AB55" s="124">
        <f>AB$21*shipping_manufacturing!$F$29/100</f>
        <v>606.14658213676955</v>
      </c>
      <c r="AC55" s="124">
        <f>AC$21*shipping_manufacturing!$F$29/100</f>
        <v>606.14658213676955</v>
      </c>
      <c r="AD55" s="124">
        <f>AD$21*shipping_manufacturing!$F$29/100</f>
        <v>606.14658213676955</v>
      </c>
      <c r="AE55" s="124">
        <f>AE$21*shipping_manufacturing!$F$29/100</f>
        <v>0</v>
      </c>
      <c r="AF55" s="124">
        <f>AF$21*shipping_manufacturing!$F$29/100</f>
        <v>1212.2931642735391</v>
      </c>
      <c r="AG55" s="124">
        <f>AG$21*shipping_manufacturing!$F$29/100</f>
        <v>727.37240637198704</v>
      </c>
      <c r="AH55" s="124">
        <f>AH$21*shipping_manufacturing!$F$29/100</f>
        <v>727.37240637198704</v>
      </c>
      <c r="AI55" s="124">
        <f>AI$21*shipping_manufacturing!$F$29/100</f>
        <v>727.37240637198704</v>
      </c>
      <c r="AJ55" s="124">
        <f>AJ$21*shipping_manufacturing!$F$29/100</f>
        <v>727.37240637198704</v>
      </c>
      <c r="AK55" s="124">
        <f>AK$21*shipping_manufacturing!$F$29/100</f>
        <v>0</v>
      </c>
      <c r="AL55" s="124">
        <f>AL$21*shipping_manufacturing!$F$29/100</f>
        <v>1212.2931642735391</v>
      </c>
      <c r="AM55" s="124">
        <f>AM$21*shipping_manufacturing!$F$29/100</f>
        <v>606.14658213676955</v>
      </c>
      <c r="AN55" s="124">
        <f>AN$21*shipping_manufacturing!$F$29/100</f>
        <v>606.14658213676955</v>
      </c>
      <c r="AO55" s="124">
        <f>AO$21*shipping_manufacturing!$F$29/100</f>
        <v>606.14658213676955</v>
      </c>
      <c r="AP55" s="124">
        <f>AP$21*shipping_manufacturing!$F$29/100</f>
        <v>606.14658213676955</v>
      </c>
      <c r="AQ55" s="124">
        <f>AQ$21*shipping_manufacturing!$F$29/100</f>
        <v>606.14658213676955</v>
      </c>
      <c r="AR55" s="124">
        <f>AR$21*shipping_manufacturing!$F$29/100</f>
        <v>606.14658213676955</v>
      </c>
      <c r="AS55" s="124">
        <f>AS$21*shipping_manufacturing!$F$29/100</f>
        <v>606.14658213676955</v>
      </c>
      <c r="AT55" s="124">
        <f>AT$21*shipping_manufacturing!$F$29/100</f>
        <v>606.14658213676955</v>
      </c>
      <c r="AU55" s="124">
        <f>AU$21*shipping_manufacturing!$F$29/100</f>
        <v>606.14658213676955</v>
      </c>
      <c r="AV55" s="124">
        <f>AV$21*shipping_manufacturing!$F$29/100</f>
        <v>606.14658213676955</v>
      </c>
      <c r="AW55" s="124">
        <f>AW$21*shipping_manufacturing!$F$29/100</f>
        <v>606.14658213676955</v>
      </c>
      <c r="AX55" s="124">
        <f>AX$21*shipping_manufacturing!$F$29/100</f>
        <v>606.14658213676955</v>
      </c>
      <c r="AY55" s="124">
        <f>AY$21*shipping_manufacturing!$F$29/100</f>
        <v>606.14658213676955</v>
      </c>
    </row>
    <row r="56" spans="1:52">
      <c r="A56" s="113" t="s">
        <v>340</v>
      </c>
      <c r="B56" s="165" t="s">
        <v>342</v>
      </c>
      <c r="C56" s="110"/>
      <c r="D56" s="110">
        <f>D$22*shipping_manufacturing!$G$29/100</f>
        <v>1650.8846221821843</v>
      </c>
      <c r="E56" s="110">
        <f>E$22*shipping_manufacturing!$G$29/100</f>
        <v>824.28689461803572</v>
      </c>
      <c r="F56" s="110">
        <f>F$22*shipping_manufacturing!$G$29/100</f>
        <v>824.28689461803572</v>
      </c>
      <c r="G56" s="110">
        <f>G$22*shipping_manufacturing!$G$29/100</f>
        <v>0</v>
      </c>
      <c r="H56" s="110">
        <f>H$22*shipping_manufacturing!$G$29/100</f>
        <v>1648.5737892360714</v>
      </c>
      <c r="I56" s="110">
        <f>I$22*shipping_manufacturing!$G$29/100</f>
        <v>824.28689461803572</v>
      </c>
      <c r="J56" s="110">
        <f>J$22*shipping_manufacturing!$G$29/100</f>
        <v>824.28689461803572</v>
      </c>
      <c r="K56" s="110">
        <f>K$22*shipping_manufacturing!$G$29/100</f>
        <v>824.28689461803572</v>
      </c>
      <c r="L56" s="110">
        <f>L$22*shipping_manufacturing!$G$29/100</f>
        <v>0</v>
      </c>
      <c r="M56" s="110">
        <f>M$22*shipping_manufacturing!$G$29/100</f>
        <v>1648.5737892360714</v>
      </c>
      <c r="N56" s="110">
        <f>N$22*shipping_manufacturing!$G$29/100</f>
        <v>824.28689461803572</v>
      </c>
      <c r="O56" s="110">
        <f>O$22*shipping_manufacturing!$G$29/100</f>
        <v>824.28689461803572</v>
      </c>
      <c r="P56" s="110">
        <f>P$22*shipping_manufacturing!$G$29/100</f>
        <v>824.28689461803572</v>
      </c>
      <c r="Q56" s="110">
        <f>Q$22*shipping_manufacturing!$G$29/100</f>
        <v>824.28689461803572</v>
      </c>
      <c r="R56" s="110">
        <f>R$22*shipping_manufacturing!$G$29/100</f>
        <v>824.28689461803572</v>
      </c>
      <c r="S56" s="110">
        <f>S$22*shipping_manufacturing!$G$29/100</f>
        <v>824.28689461803572</v>
      </c>
      <c r="T56" s="110">
        <f>T$22*shipping_manufacturing!$G$29/100</f>
        <v>824.28689461803572</v>
      </c>
      <c r="U56" s="110">
        <f>U$22*shipping_manufacturing!$G$29/100</f>
        <v>824.28689461803572</v>
      </c>
      <c r="V56" s="110">
        <f>V$22*shipping_manufacturing!$G$29/100</f>
        <v>824.28689461803572</v>
      </c>
      <c r="W56" s="110">
        <f>W$22*shipping_manufacturing!$G$29/100</f>
        <v>824.28689461803572</v>
      </c>
      <c r="X56" s="110">
        <f>X$22*shipping_manufacturing!$G$29/100</f>
        <v>824.28689461803572</v>
      </c>
      <c r="Y56" s="110">
        <f>Y$22*shipping_manufacturing!$G$29/100</f>
        <v>824.28689461803572</v>
      </c>
      <c r="Z56" s="110">
        <f>Z$22*shipping_manufacturing!$G$29/100</f>
        <v>824.28689461803572</v>
      </c>
      <c r="AA56" s="110">
        <f>AA$22*shipping_manufacturing!$G$29/100</f>
        <v>824.28689461803572</v>
      </c>
      <c r="AB56" s="110">
        <f>AB$22*shipping_manufacturing!$G$29/100</f>
        <v>824.28689461803572</v>
      </c>
      <c r="AC56" s="110">
        <f>AC$22*shipping_manufacturing!$G$29/100</f>
        <v>824.28689461803572</v>
      </c>
      <c r="AD56" s="110">
        <f>AD$22*shipping_manufacturing!$G$29/100</f>
        <v>824.28689461803572</v>
      </c>
      <c r="AE56" s="110">
        <f>AE$22*shipping_manufacturing!$G$29/100</f>
        <v>0</v>
      </c>
      <c r="AF56" s="110">
        <f>AF$22*shipping_manufacturing!$G$29/100</f>
        <v>1648.5737892360714</v>
      </c>
      <c r="AG56" s="110">
        <f>AG$22*shipping_manufacturing!$G$29/100</f>
        <v>989.13952457778419</v>
      </c>
      <c r="AH56" s="110">
        <f>AH$22*shipping_manufacturing!$G$29/100</f>
        <v>989.13952457778419</v>
      </c>
      <c r="AI56" s="110">
        <f>AI$22*shipping_manufacturing!$G$29/100</f>
        <v>989.13952457778419</v>
      </c>
      <c r="AJ56" s="110">
        <f>AJ$22*shipping_manufacturing!$G$29/100</f>
        <v>989.13952457778419</v>
      </c>
      <c r="AK56" s="110">
        <f>AK$22*shipping_manufacturing!$G$29/100</f>
        <v>0</v>
      </c>
      <c r="AL56" s="110">
        <f>AL$22*shipping_manufacturing!$G$29/100</f>
        <v>1648.5737892360714</v>
      </c>
      <c r="AM56" s="110">
        <f>AM$22*shipping_manufacturing!$G$29/100</f>
        <v>824.28689461803572</v>
      </c>
      <c r="AN56" s="110">
        <f>AN$22*shipping_manufacturing!$G$29/100</f>
        <v>824.28689461803572</v>
      </c>
      <c r="AO56" s="110">
        <f>AO$22*shipping_manufacturing!$G$29/100</f>
        <v>824.28689461803572</v>
      </c>
      <c r="AP56" s="110">
        <f>AP$22*shipping_manufacturing!$G$29/100</f>
        <v>824.28689461803572</v>
      </c>
      <c r="AQ56" s="110">
        <f>AQ$22*shipping_manufacturing!$G$29/100</f>
        <v>824.28689461803572</v>
      </c>
      <c r="AR56" s="110">
        <f>AR$22*shipping_manufacturing!$G$29/100</f>
        <v>824.28689461803572</v>
      </c>
      <c r="AS56" s="110">
        <f>AS$22*shipping_manufacturing!$G$29/100</f>
        <v>824.28689461803572</v>
      </c>
      <c r="AT56" s="110">
        <f>AT$22*shipping_manufacturing!$G$29/100</f>
        <v>824.28689461803572</v>
      </c>
      <c r="AU56" s="110">
        <f>AU$22*shipping_manufacturing!$G$29/100</f>
        <v>824.28689461803572</v>
      </c>
      <c r="AV56" s="110">
        <f>AV$22*shipping_manufacturing!$G$29/100</f>
        <v>824.28689461803572</v>
      </c>
      <c r="AW56" s="110">
        <f>AW$22*shipping_manufacturing!$G$29/100</f>
        <v>824.28689461803572</v>
      </c>
      <c r="AX56" s="110">
        <f>AX$22*shipping_manufacturing!$G$29/100</f>
        <v>824.28689461803572</v>
      </c>
      <c r="AY56" s="110">
        <f>AY$22*shipping_manufacturing!$G$29/100</f>
        <v>824.28689461803572</v>
      </c>
    </row>
    <row r="57" spans="1:52">
      <c r="A57" s="110">
        <v>495</v>
      </c>
      <c r="B57" s="165" t="s">
        <v>343</v>
      </c>
      <c r="C57" s="110"/>
      <c r="D57" s="110">
        <f>SUM(D55:D56)</f>
        <v>2864.8770776871147</v>
      </c>
      <c r="E57" s="110">
        <f t="shared" ref="E57:AY57" si="17">SUM(E55:E56)</f>
        <v>1430.4334767548053</v>
      </c>
      <c r="F57" s="110">
        <f t="shared" si="17"/>
        <v>1430.4334767548053</v>
      </c>
      <c r="G57" s="110">
        <f t="shared" si="17"/>
        <v>0</v>
      </c>
      <c r="H57" s="110">
        <f t="shared" si="17"/>
        <v>2860.8669535096105</v>
      </c>
      <c r="I57" s="110">
        <f t="shared" si="17"/>
        <v>1430.4334767548053</v>
      </c>
      <c r="J57" s="110">
        <f t="shared" si="17"/>
        <v>1430.4334767548053</v>
      </c>
      <c r="K57" s="110">
        <f t="shared" si="17"/>
        <v>1430.4334767548053</v>
      </c>
      <c r="L57" s="110">
        <f t="shared" si="17"/>
        <v>0</v>
      </c>
      <c r="M57" s="110">
        <f t="shared" si="17"/>
        <v>2860.8669535096105</v>
      </c>
      <c r="N57" s="110">
        <f t="shared" si="17"/>
        <v>1430.4334767548053</v>
      </c>
      <c r="O57" s="110">
        <f t="shared" si="17"/>
        <v>1430.4334767548053</v>
      </c>
      <c r="P57" s="110">
        <f t="shared" si="17"/>
        <v>1430.4334767548053</v>
      </c>
      <c r="Q57" s="110">
        <f t="shared" si="17"/>
        <v>1430.4334767548053</v>
      </c>
      <c r="R57" s="110">
        <f t="shared" si="17"/>
        <v>1430.4334767548053</v>
      </c>
      <c r="S57" s="110">
        <f t="shared" si="17"/>
        <v>1430.4334767548053</v>
      </c>
      <c r="T57" s="110">
        <f t="shared" si="17"/>
        <v>1430.4334767548053</v>
      </c>
      <c r="U57" s="110">
        <f t="shared" si="17"/>
        <v>1430.4334767548053</v>
      </c>
      <c r="V57" s="110">
        <f t="shared" si="17"/>
        <v>1430.4334767548053</v>
      </c>
      <c r="W57" s="110">
        <f t="shared" si="17"/>
        <v>1430.4334767548053</v>
      </c>
      <c r="X57" s="110">
        <f t="shared" si="17"/>
        <v>1430.4334767548053</v>
      </c>
      <c r="Y57" s="110">
        <f t="shared" si="17"/>
        <v>1430.4334767548053</v>
      </c>
      <c r="Z57" s="110">
        <f t="shared" si="17"/>
        <v>1430.4334767548053</v>
      </c>
      <c r="AA57" s="110">
        <f t="shared" si="17"/>
        <v>1430.4334767548053</v>
      </c>
      <c r="AB57" s="110">
        <f t="shared" si="17"/>
        <v>1430.4334767548053</v>
      </c>
      <c r="AC57" s="110">
        <f t="shared" si="17"/>
        <v>1430.4334767548053</v>
      </c>
      <c r="AD57" s="110">
        <f t="shared" si="17"/>
        <v>1430.4334767548053</v>
      </c>
      <c r="AE57" s="110">
        <f t="shared" si="17"/>
        <v>0</v>
      </c>
      <c r="AF57" s="110">
        <f t="shared" si="17"/>
        <v>2860.8669535096105</v>
      </c>
      <c r="AG57" s="110">
        <f t="shared" si="17"/>
        <v>1716.5119309497713</v>
      </c>
      <c r="AH57" s="110">
        <f t="shared" si="17"/>
        <v>1716.5119309497713</v>
      </c>
      <c r="AI57" s="110">
        <f t="shared" si="17"/>
        <v>1716.5119309497713</v>
      </c>
      <c r="AJ57" s="110">
        <f t="shared" si="17"/>
        <v>1716.5119309497713</v>
      </c>
      <c r="AK57" s="110">
        <f t="shared" si="17"/>
        <v>0</v>
      </c>
      <c r="AL57" s="110">
        <f t="shared" si="17"/>
        <v>2860.8669535096105</v>
      </c>
      <c r="AM57" s="110">
        <f t="shared" si="17"/>
        <v>1430.4334767548053</v>
      </c>
      <c r="AN57" s="110">
        <f t="shared" si="17"/>
        <v>1430.4334767548053</v>
      </c>
      <c r="AO57" s="110">
        <f t="shared" si="17"/>
        <v>1430.4334767548053</v>
      </c>
      <c r="AP57" s="110">
        <f t="shared" si="17"/>
        <v>1430.4334767548053</v>
      </c>
      <c r="AQ57" s="110">
        <f t="shared" si="17"/>
        <v>1430.4334767548053</v>
      </c>
      <c r="AR57" s="110">
        <f t="shared" si="17"/>
        <v>1430.4334767548053</v>
      </c>
      <c r="AS57" s="110">
        <f t="shared" si="17"/>
        <v>1430.4334767548053</v>
      </c>
      <c r="AT57" s="110">
        <f t="shared" si="17"/>
        <v>1430.4334767548053</v>
      </c>
      <c r="AU57" s="110">
        <f t="shared" si="17"/>
        <v>1430.4334767548053</v>
      </c>
      <c r="AV57" s="110">
        <f t="shared" si="17"/>
        <v>1430.4334767548053</v>
      </c>
      <c r="AW57" s="110">
        <f t="shared" si="17"/>
        <v>1430.4334767548053</v>
      </c>
      <c r="AX57" s="110">
        <f t="shared" si="17"/>
        <v>1430.4334767548053</v>
      </c>
      <c r="AY57" s="110">
        <f t="shared" si="17"/>
        <v>1430.4334767548053</v>
      </c>
    </row>
    <row r="58" spans="1:52">
      <c r="A58" s="110"/>
      <c r="B58" s="165" t="s">
        <v>344</v>
      </c>
      <c r="C58" s="110"/>
      <c r="D58" s="110">
        <v>190.68762469147782</v>
      </c>
      <c r="E58" s="110"/>
      <c r="F58" s="110">
        <v>190.68762469147808</v>
      </c>
      <c r="G58" s="110"/>
      <c r="H58" s="110">
        <v>190.68762469147785</v>
      </c>
      <c r="I58" s="110"/>
      <c r="J58" s="110">
        <v>190.68762469147808</v>
      </c>
      <c r="K58" s="110"/>
      <c r="L58" s="110"/>
      <c r="M58" s="110">
        <v>190.68762469147785</v>
      </c>
      <c r="N58" s="110"/>
      <c r="O58" s="110">
        <v>190.68762469147808</v>
      </c>
      <c r="P58" s="110"/>
      <c r="Q58" s="110">
        <v>190.68762469147808</v>
      </c>
      <c r="R58" s="110"/>
      <c r="S58" s="110">
        <v>190.68762469147808</v>
      </c>
      <c r="T58" s="110"/>
      <c r="U58" s="110">
        <v>190.68762469147808</v>
      </c>
      <c r="V58" s="110"/>
      <c r="W58" s="110">
        <v>190.68762469147808</v>
      </c>
      <c r="X58" s="110"/>
      <c r="Y58" s="110">
        <v>190.68762469147808</v>
      </c>
      <c r="Z58" s="110"/>
      <c r="AA58" s="110">
        <v>190.68762469147808</v>
      </c>
      <c r="AB58" s="110"/>
      <c r="AC58" s="110">
        <v>190.68762469147808</v>
      </c>
      <c r="AD58" s="110"/>
      <c r="AE58" s="110"/>
      <c r="AF58" s="110">
        <v>190.68762469147785</v>
      </c>
      <c r="AG58" s="110"/>
      <c r="AH58" s="110">
        <v>190.68762469147808</v>
      </c>
      <c r="AI58" s="110"/>
      <c r="AJ58" s="110">
        <v>190.68762469147808</v>
      </c>
      <c r="AK58" s="110"/>
      <c r="AL58" s="110">
        <v>190.68762469147785</v>
      </c>
      <c r="AM58" s="110"/>
      <c r="AN58" s="110">
        <v>190.68762469147808</v>
      </c>
      <c r="AO58" s="110"/>
      <c r="AP58" s="110">
        <v>190.68762469147808</v>
      </c>
      <c r="AQ58" s="110"/>
      <c r="AR58" s="110">
        <v>190.68762469147808</v>
      </c>
      <c r="AS58" s="110"/>
      <c r="AT58" s="110">
        <v>190.68762469147808</v>
      </c>
      <c r="AU58" s="110"/>
      <c r="AV58" s="110">
        <v>190.68762469147808</v>
      </c>
      <c r="AW58" s="110"/>
      <c r="AX58" s="110">
        <v>190.68762469147808</v>
      </c>
      <c r="AY58" s="110"/>
    </row>
    <row r="59" spans="1:52">
      <c r="A59" s="110"/>
      <c r="B59" s="165" t="s">
        <v>345</v>
      </c>
      <c r="C59" s="110"/>
      <c r="D59" s="110">
        <v>259.31237530852218</v>
      </c>
      <c r="E59" s="110"/>
      <c r="F59" s="110">
        <v>259.31237530852195</v>
      </c>
      <c r="G59" s="110"/>
      <c r="H59" s="110">
        <v>259.31237530852218</v>
      </c>
      <c r="I59" s="110"/>
      <c r="J59" s="110">
        <v>259.31237530852195</v>
      </c>
      <c r="K59" s="110"/>
      <c r="L59" s="110"/>
      <c r="M59" s="110">
        <v>259.31237530852218</v>
      </c>
      <c r="N59" s="110"/>
      <c r="O59" s="110">
        <v>259.31237530852195</v>
      </c>
      <c r="P59" s="110"/>
      <c r="Q59" s="110">
        <v>259.31237530852195</v>
      </c>
      <c r="R59" s="110"/>
      <c r="S59" s="110">
        <v>259.31237530852195</v>
      </c>
      <c r="T59" s="110"/>
      <c r="U59" s="110">
        <v>259.31237530852195</v>
      </c>
      <c r="V59" s="110"/>
      <c r="W59" s="110">
        <v>259.31237530852195</v>
      </c>
      <c r="X59" s="110"/>
      <c r="Y59" s="110">
        <v>259.31237530852195</v>
      </c>
      <c r="Z59" s="110"/>
      <c r="AA59" s="110">
        <v>259.31237530852195</v>
      </c>
      <c r="AB59" s="110"/>
      <c r="AC59" s="110">
        <v>259.31237530852195</v>
      </c>
      <c r="AD59" s="110"/>
      <c r="AE59" s="110"/>
      <c r="AF59" s="110">
        <v>259.31237530852218</v>
      </c>
      <c r="AG59" s="110"/>
      <c r="AH59" s="110">
        <v>259.31237530852189</v>
      </c>
      <c r="AI59" s="110"/>
      <c r="AJ59" s="110">
        <v>259.31237530852189</v>
      </c>
      <c r="AK59" s="110"/>
      <c r="AL59" s="110">
        <v>259.31237530852218</v>
      </c>
      <c r="AM59" s="110"/>
      <c r="AN59" s="110">
        <v>259.31237530852195</v>
      </c>
      <c r="AO59" s="110"/>
      <c r="AP59" s="110">
        <v>259.31237530852195</v>
      </c>
      <c r="AQ59" s="110"/>
      <c r="AR59" s="110">
        <v>259.31237530852195</v>
      </c>
      <c r="AS59" s="110"/>
      <c r="AT59" s="110">
        <v>259.31237530852195</v>
      </c>
      <c r="AU59" s="110"/>
      <c r="AV59" s="110">
        <v>259.31237530852195</v>
      </c>
      <c r="AW59" s="110"/>
      <c r="AX59" s="110">
        <v>259.31237530852195</v>
      </c>
      <c r="AY59" s="110"/>
    </row>
    <row r="60" spans="1:52">
      <c r="A60" s="110"/>
      <c r="B60" s="165" t="s">
        <v>346</v>
      </c>
      <c r="C60" s="110"/>
      <c r="D60" s="110">
        <v>15</v>
      </c>
      <c r="E60" s="110"/>
      <c r="F60" s="110">
        <v>15</v>
      </c>
      <c r="G60" s="110"/>
      <c r="H60" s="110">
        <v>15</v>
      </c>
      <c r="I60" s="110"/>
      <c r="J60" s="110">
        <v>15</v>
      </c>
      <c r="K60" s="110"/>
      <c r="L60" s="110"/>
      <c r="M60" s="110">
        <v>15</v>
      </c>
      <c r="N60" s="110"/>
      <c r="O60" s="110">
        <v>15</v>
      </c>
      <c r="P60" s="110"/>
      <c r="Q60" s="110">
        <v>15</v>
      </c>
      <c r="R60" s="110"/>
      <c r="S60" s="110">
        <v>15</v>
      </c>
      <c r="T60" s="110"/>
      <c r="U60" s="110">
        <v>15</v>
      </c>
      <c r="V60" s="110"/>
      <c r="W60" s="110">
        <v>15</v>
      </c>
      <c r="X60" s="110"/>
      <c r="Y60" s="110">
        <v>15</v>
      </c>
      <c r="Z60" s="110"/>
      <c r="AA60" s="110">
        <v>15</v>
      </c>
      <c r="AB60" s="110"/>
      <c r="AC60" s="110">
        <v>15</v>
      </c>
      <c r="AD60" s="110"/>
      <c r="AE60" s="110"/>
      <c r="AF60" s="110">
        <v>15</v>
      </c>
      <c r="AG60" s="110"/>
      <c r="AH60" s="110">
        <v>15</v>
      </c>
      <c r="AI60" s="110"/>
      <c r="AJ60" s="110">
        <v>15</v>
      </c>
      <c r="AK60" s="110"/>
      <c r="AL60" s="110">
        <v>15</v>
      </c>
      <c r="AM60" s="110"/>
      <c r="AN60" s="110">
        <v>15</v>
      </c>
      <c r="AO60" s="110"/>
      <c r="AP60" s="110">
        <v>15</v>
      </c>
      <c r="AQ60" s="110"/>
      <c r="AR60" s="110">
        <v>15</v>
      </c>
      <c r="AS60" s="110"/>
      <c r="AT60" s="110">
        <v>15</v>
      </c>
      <c r="AU60" s="110"/>
      <c r="AV60" s="110">
        <v>15</v>
      </c>
      <c r="AW60" s="110"/>
      <c r="AX60" s="110">
        <v>15</v>
      </c>
      <c r="AY60" s="110"/>
    </row>
    <row r="61" spans="1:52">
      <c r="A61" s="110"/>
      <c r="B61" s="165" t="s">
        <v>347</v>
      </c>
      <c r="C61" s="110"/>
      <c r="D61" s="110">
        <f>D55-D58</f>
        <v>1023.3048308134526</v>
      </c>
      <c r="E61" s="110">
        <f t="shared" ref="E61:AY61" si="18">E55-E58</f>
        <v>606.14658213676955</v>
      </c>
      <c r="F61" s="110">
        <f t="shared" si="18"/>
        <v>415.4589574452915</v>
      </c>
      <c r="G61" s="110">
        <f t="shared" si="18"/>
        <v>0</v>
      </c>
      <c r="H61" s="110">
        <f t="shared" si="18"/>
        <v>1021.6055395820613</v>
      </c>
      <c r="I61" s="110">
        <f t="shared" si="18"/>
        <v>606.14658213676955</v>
      </c>
      <c r="J61" s="110">
        <f t="shared" si="18"/>
        <v>415.4589574452915</v>
      </c>
      <c r="K61" s="110">
        <f t="shared" si="18"/>
        <v>606.14658213676955</v>
      </c>
      <c r="L61" s="110">
        <f t="shared" si="18"/>
        <v>0</v>
      </c>
      <c r="M61" s="110">
        <f t="shared" si="18"/>
        <v>1021.6055395820613</v>
      </c>
      <c r="N61" s="110">
        <f t="shared" si="18"/>
        <v>606.14658213676955</v>
      </c>
      <c r="O61" s="110">
        <f t="shared" si="18"/>
        <v>415.4589574452915</v>
      </c>
      <c r="P61" s="110">
        <f t="shared" si="18"/>
        <v>606.14658213676955</v>
      </c>
      <c r="Q61" s="110">
        <f t="shared" si="18"/>
        <v>415.4589574452915</v>
      </c>
      <c r="R61" s="110">
        <f t="shared" si="18"/>
        <v>606.14658213676955</v>
      </c>
      <c r="S61" s="110">
        <f t="shared" si="18"/>
        <v>415.4589574452915</v>
      </c>
      <c r="T61" s="110">
        <f t="shared" si="18"/>
        <v>606.14658213676955</v>
      </c>
      <c r="U61" s="110">
        <f t="shared" si="18"/>
        <v>415.4589574452915</v>
      </c>
      <c r="V61" s="110">
        <f t="shared" si="18"/>
        <v>606.14658213676955</v>
      </c>
      <c r="W61" s="110">
        <f t="shared" si="18"/>
        <v>415.4589574452915</v>
      </c>
      <c r="X61" s="110">
        <f t="shared" si="18"/>
        <v>606.14658213676955</v>
      </c>
      <c r="Y61" s="110">
        <f t="shared" si="18"/>
        <v>415.4589574452915</v>
      </c>
      <c r="Z61" s="110">
        <f t="shared" si="18"/>
        <v>606.14658213676955</v>
      </c>
      <c r="AA61" s="110">
        <f t="shared" si="18"/>
        <v>415.4589574452915</v>
      </c>
      <c r="AB61" s="110">
        <f t="shared" si="18"/>
        <v>606.14658213676955</v>
      </c>
      <c r="AC61" s="110">
        <f t="shared" si="18"/>
        <v>415.4589574452915</v>
      </c>
      <c r="AD61" s="110">
        <f t="shared" si="18"/>
        <v>606.14658213676955</v>
      </c>
      <c r="AE61" s="110">
        <f t="shared" si="18"/>
        <v>0</v>
      </c>
      <c r="AF61" s="110">
        <f t="shared" si="18"/>
        <v>1021.6055395820613</v>
      </c>
      <c r="AG61" s="110">
        <f t="shared" si="18"/>
        <v>727.37240637198704</v>
      </c>
      <c r="AH61" s="110">
        <f t="shared" si="18"/>
        <v>536.68478168050899</v>
      </c>
      <c r="AI61" s="110">
        <f t="shared" si="18"/>
        <v>727.37240637198704</v>
      </c>
      <c r="AJ61" s="110">
        <f t="shared" si="18"/>
        <v>536.68478168050899</v>
      </c>
      <c r="AK61" s="110">
        <f t="shared" si="18"/>
        <v>0</v>
      </c>
      <c r="AL61" s="110">
        <f t="shared" si="18"/>
        <v>1021.6055395820613</v>
      </c>
      <c r="AM61" s="110">
        <f t="shared" si="18"/>
        <v>606.14658213676955</v>
      </c>
      <c r="AN61" s="110">
        <f t="shared" si="18"/>
        <v>415.4589574452915</v>
      </c>
      <c r="AO61" s="110">
        <f t="shared" si="18"/>
        <v>606.14658213676955</v>
      </c>
      <c r="AP61" s="110">
        <f t="shared" si="18"/>
        <v>415.4589574452915</v>
      </c>
      <c r="AQ61" s="110">
        <f t="shared" si="18"/>
        <v>606.14658213676955</v>
      </c>
      <c r="AR61" s="110">
        <f t="shared" si="18"/>
        <v>415.4589574452915</v>
      </c>
      <c r="AS61" s="110">
        <f t="shared" si="18"/>
        <v>606.14658213676955</v>
      </c>
      <c r="AT61" s="110">
        <f t="shared" si="18"/>
        <v>415.4589574452915</v>
      </c>
      <c r="AU61" s="110">
        <f t="shared" si="18"/>
        <v>606.14658213676955</v>
      </c>
      <c r="AV61" s="110">
        <f t="shared" si="18"/>
        <v>415.4589574452915</v>
      </c>
      <c r="AW61" s="110">
        <f t="shared" si="18"/>
        <v>606.14658213676955</v>
      </c>
      <c r="AX61" s="110">
        <f t="shared" si="18"/>
        <v>415.4589574452915</v>
      </c>
      <c r="AY61" s="110">
        <f t="shared" si="18"/>
        <v>606.14658213676955</v>
      </c>
    </row>
    <row r="62" spans="1:52">
      <c r="A62" s="110"/>
      <c r="B62" s="165" t="s">
        <v>348</v>
      </c>
      <c r="C62" s="110"/>
      <c r="D62" s="110">
        <f>D56-D59</f>
        <v>1391.5722468736622</v>
      </c>
      <c r="E62" s="110">
        <f t="shared" ref="E62:AY62" si="19">E56-E59</f>
        <v>824.28689461803572</v>
      </c>
      <c r="F62" s="110">
        <f t="shared" si="19"/>
        <v>564.97451930951377</v>
      </c>
      <c r="G62" s="110">
        <f t="shared" si="19"/>
        <v>0</v>
      </c>
      <c r="H62" s="110">
        <f t="shared" si="19"/>
        <v>1389.2614139275493</v>
      </c>
      <c r="I62" s="110">
        <f t="shared" si="19"/>
        <v>824.28689461803572</v>
      </c>
      <c r="J62" s="110">
        <f t="shared" si="19"/>
        <v>564.97451930951377</v>
      </c>
      <c r="K62" s="110">
        <f t="shared" si="19"/>
        <v>824.28689461803572</v>
      </c>
      <c r="L62" s="110">
        <f t="shared" si="19"/>
        <v>0</v>
      </c>
      <c r="M62" s="110">
        <f t="shared" si="19"/>
        <v>1389.2614139275493</v>
      </c>
      <c r="N62" s="110">
        <f t="shared" si="19"/>
        <v>824.28689461803572</v>
      </c>
      <c r="O62" s="110">
        <f t="shared" si="19"/>
        <v>564.97451930951377</v>
      </c>
      <c r="P62" s="110">
        <f t="shared" si="19"/>
        <v>824.28689461803572</v>
      </c>
      <c r="Q62" s="110">
        <f t="shared" si="19"/>
        <v>564.97451930951377</v>
      </c>
      <c r="R62" s="110">
        <f t="shared" si="19"/>
        <v>824.28689461803572</v>
      </c>
      <c r="S62" s="110">
        <f t="shared" si="19"/>
        <v>564.97451930951377</v>
      </c>
      <c r="T62" s="110">
        <f t="shared" si="19"/>
        <v>824.28689461803572</v>
      </c>
      <c r="U62" s="110">
        <f t="shared" si="19"/>
        <v>564.97451930951377</v>
      </c>
      <c r="V62" s="110">
        <f t="shared" si="19"/>
        <v>824.28689461803572</v>
      </c>
      <c r="W62" s="110">
        <f t="shared" si="19"/>
        <v>564.97451930951377</v>
      </c>
      <c r="X62" s="110">
        <f t="shared" si="19"/>
        <v>824.28689461803572</v>
      </c>
      <c r="Y62" s="110">
        <f t="shared" si="19"/>
        <v>564.97451930951377</v>
      </c>
      <c r="Z62" s="110">
        <f t="shared" si="19"/>
        <v>824.28689461803572</v>
      </c>
      <c r="AA62" s="110">
        <f t="shared" si="19"/>
        <v>564.97451930951377</v>
      </c>
      <c r="AB62" s="110">
        <f t="shared" si="19"/>
        <v>824.28689461803572</v>
      </c>
      <c r="AC62" s="110">
        <f t="shared" si="19"/>
        <v>564.97451930951377</v>
      </c>
      <c r="AD62" s="110">
        <f t="shared" si="19"/>
        <v>824.28689461803572</v>
      </c>
      <c r="AE62" s="110">
        <f t="shared" si="19"/>
        <v>0</v>
      </c>
      <c r="AF62" s="110">
        <f t="shared" si="19"/>
        <v>1389.2614139275493</v>
      </c>
      <c r="AG62" s="110">
        <f t="shared" si="19"/>
        <v>989.13952457778419</v>
      </c>
      <c r="AH62" s="110">
        <f t="shared" si="19"/>
        <v>729.82714926926224</v>
      </c>
      <c r="AI62" s="110">
        <f t="shared" si="19"/>
        <v>989.13952457778419</v>
      </c>
      <c r="AJ62" s="110">
        <f t="shared" si="19"/>
        <v>729.82714926926224</v>
      </c>
      <c r="AK62" s="110">
        <f t="shared" si="19"/>
        <v>0</v>
      </c>
      <c r="AL62" s="110">
        <f t="shared" si="19"/>
        <v>1389.2614139275493</v>
      </c>
      <c r="AM62" s="110">
        <f t="shared" si="19"/>
        <v>824.28689461803572</v>
      </c>
      <c r="AN62" s="110">
        <f t="shared" si="19"/>
        <v>564.97451930951377</v>
      </c>
      <c r="AO62" s="110">
        <f t="shared" si="19"/>
        <v>824.28689461803572</v>
      </c>
      <c r="AP62" s="110">
        <f t="shared" si="19"/>
        <v>564.97451930951377</v>
      </c>
      <c r="AQ62" s="110">
        <f t="shared" si="19"/>
        <v>824.28689461803572</v>
      </c>
      <c r="AR62" s="110">
        <f t="shared" si="19"/>
        <v>564.97451930951377</v>
      </c>
      <c r="AS62" s="110">
        <f t="shared" si="19"/>
        <v>824.28689461803572</v>
      </c>
      <c r="AT62" s="110">
        <f t="shared" si="19"/>
        <v>564.97451930951377</v>
      </c>
      <c r="AU62" s="110">
        <f t="shared" si="19"/>
        <v>824.28689461803572</v>
      </c>
      <c r="AV62" s="110">
        <f t="shared" si="19"/>
        <v>564.97451930951377</v>
      </c>
      <c r="AW62" s="110">
        <f t="shared" si="19"/>
        <v>824.28689461803572</v>
      </c>
      <c r="AX62" s="110">
        <f t="shared" si="19"/>
        <v>564.97451930951377</v>
      </c>
      <c r="AY62" s="110">
        <f t="shared" si="19"/>
        <v>824.28689461803572</v>
      </c>
    </row>
    <row r="63" spans="1:52">
      <c r="A63" s="110"/>
      <c r="B63" s="165" t="s">
        <v>349</v>
      </c>
      <c r="C63" s="110"/>
      <c r="D63" s="110">
        <v>2</v>
      </c>
      <c r="E63" s="110">
        <v>1</v>
      </c>
      <c r="F63" s="110">
        <v>2</v>
      </c>
      <c r="G63" s="110">
        <v>2</v>
      </c>
      <c r="H63" s="110">
        <v>1</v>
      </c>
      <c r="I63" s="110">
        <v>1</v>
      </c>
      <c r="J63" s="110">
        <v>1</v>
      </c>
      <c r="K63" s="110">
        <v>2</v>
      </c>
      <c r="L63" s="110">
        <v>3</v>
      </c>
      <c r="M63" s="110">
        <v>1</v>
      </c>
      <c r="N63" s="110">
        <v>1</v>
      </c>
      <c r="O63" s="110">
        <v>2</v>
      </c>
      <c r="P63" s="110">
        <v>3</v>
      </c>
      <c r="Q63" s="110">
        <v>2</v>
      </c>
      <c r="R63" s="110">
        <v>1</v>
      </c>
      <c r="S63" s="110">
        <v>1</v>
      </c>
      <c r="T63" s="110">
        <v>2</v>
      </c>
      <c r="U63" s="110">
        <v>2</v>
      </c>
      <c r="V63" s="110">
        <v>1</v>
      </c>
      <c r="W63" s="110">
        <v>1</v>
      </c>
      <c r="X63" s="110">
        <v>1</v>
      </c>
      <c r="Y63" s="110">
        <v>1</v>
      </c>
      <c r="Z63" s="110">
        <v>1</v>
      </c>
      <c r="AA63" s="110">
        <v>1</v>
      </c>
      <c r="AB63" s="110">
        <v>2</v>
      </c>
      <c r="AC63" s="110">
        <v>1</v>
      </c>
      <c r="AD63" s="110">
        <v>1</v>
      </c>
      <c r="AE63" s="110">
        <v>2</v>
      </c>
      <c r="AF63" s="110">
        <v>1</v>
      </c>
      <c r="AG63" s="110">
        <v>2</v>
      </c>
      <c r="AH63" s="110">
        <v>2</v>
      </c>
      <c r="AI63" s="110">
        <v>1</v>
      </c>
      <c r="AJ63" s="110">
        <v>2</v>
      </c>
      <c r="AK63" s="110">
        <v>3</v>
      </c>
      <c r="AL63" s="110">
        <v>2</v>
      </c>
      <c r="AM63" s="110">
        <v>3</v>
      </c>
      <c r="AN63" s="110">
        <v>1</v>
      </c>
      <c r="AO63" s="110">
        <v>1</v>
      </c>
      <c r="AP63" s="110">
        <v>1</v>
      </c>
      <c r="AQ63" s="110">
        <v>2</v>
      </c>
      <c r="AR63" s="110">
        <v>3</v>
      </c>
      <c r="AS63" s="110">
        <v>3</v>
      </c>
      <c r="AT63" s="110">
        <v>1</v>
      </c>
      <c r="AU63" s="110">
        <v>1</v>
      </c>
      <c r="AV63" s="110">
        <v>1</v>
      </c>
      <c r="AW63" s="110">
        <v>2</v>
      </c>
      <c r="AX63" s="110">
        <v>1</v>
      </c>
      <c r="AY63" s="110">
        <v>1</v>
      </c>
    </row>
    <row r="64" spans="1:52">
      <c r="A64" s="110"/>
      <c r="B64" s="178" t="s">
        <v>350</v>
      </c>
      <c r="C64" s="110"/>
      <c r="D64" s="110">
        <v>267300</v>
      </c>
      <c r="E64" s="110">
        <v>0</v>
      </c>
      <c r="F64" s="110">
        <v>267300</v>
      </c>
      <c r="G64" s="110">
        <v>0</v>
      </c>
      <c r="H64" s="110">
        <v>267300</v>
      </c>
      <c r="I64" s="110">
        <v>0</v>
      </c>
      <c r="J64" s="110">
        <v>267300</v>
      </c>
      <c r="K64" s="110">
        <v>0</v>
      </c>
      <c r="L64" s="110">
        <v>0</v>
      </c>
      <c r="M64" s="110">
        <v>267300</v>
      </c>
      <c r="N64" s="110">
        <v>0</v>
      </c>
      <c r="O64" s="110">
        <v>267300</v>
      </c>
      <c r="P64" s="110">
        <v>0</v>
      </c>
      <c r="Q64" s="110">
        <v>267300</v>
      </c>
      <c r="R64" s="110">
        <v>0</v>
      </c>
      <c r="S64" s="110">
        <v>267300</v>
      </c>
      <c r="T64" s="110">
        <v>0</v>
      </c>
      <c r="U64" s="110">
        <v>267300</v>
      </c>
      <c r="V64" s="110">
        <v>0</v>
      </c>
      <c r="W64" s="110">
        <v>267300</v>
      </c>
      <c r="X64" s="110">
        <v>0</v>
      </c>
      <c r="Y64" s="110">
        <v>267300</v>
      </c>
      <c r="Z64" s="110">
        <v>0</v>
      </c>
      <c r="AA64" s="110">
        <v>267300</v>
      </c>
      <c r="AB64" s="110">
        <v>0</v>
      </c>
      <c r="AC64" s="110">
        <v>267300</v>
      </c>
      <c r="AD64" s="110">
        <v>0</v>
      </c>
      <c r="AE64" s="110">
        <v>0</v>
      </c>
      <c r="AF64" s="110">
        <v>267300</v>
      </c>
      <c r="AG64" s="110">
        <v>0</v>
      </c>
      <c r="AH64" s="110">
        <v>267300</v>
      </c>
      <c r="AI64" s="110">
        <v>0</v>
      </c>
      <c r="AJ64" s="110">
        <v>267300</v>
      </c>
      <c r="AK64" s="110">
        <v>0</v>
      </c>
      <c r="AL64" s="110">
        <v>267300</v>
      </c>
      <c r="AM64" s="110">
        <v>0</v>
      </c>
      <c r="AN64" s="110">
        <v>267300</v>
      </c>
      <c r="AO64" s="110">
        <v>0</v>
      </c>
      <c r="AP64" s="110">
        <v>267300</v>
      </c>
      <c r="AQ64" s="110">
        <v>0</v>
      </c>
      <c r="AR64" s="110">
        <v>267300</v>
      </c>
      <c r="AS64" s="110">
        <v>0</v>
      </c>
      <c r="AT64" s="110">
        <v>267300</v>
      </c>
      <c r="AU64" s="110">
        <v>0</v>
      </c>
      <c r="AV64" s="110">
        <v>267300</v>
      </c>
      <c r="AW64" s="110">
        <v>0</v>
      </c>
      <c r="AX64" s="110">
        <v>267300</v>
      </c>
      <c r="AY64" s="110">
        <v>0</v>
      </c>
      <c r="AZ64" s="100">
        <f>SUM($D$64:$AY$64)</f>
        <v>6147900</v>
      </c>
    </row>
    <row r="65" spans="1:52">
      <c r="A65" s="125"/>
      <c r="B65" s="140" t="s">
        <v>351</v>
      </c>
      <c r="C65" s="125"/>
      <c r="D65" s="125">
        <v>776986.6997458291</v>
      </c>
      <c r="E65" s="125">
        <v>460241.97114585858</v>
      </c>
      <c r="F65" s="125">
        <v>315454.47114585858</v>
      </c>
      <c r="G65" s="125">
        <v>0</v>
      </c>
      <c r="H65" s="125">
        <v>775696.44229171716</v>
      </c>
      <c r="I65" s="125">
        <v>460241.97114585858</v>
      </c>
      <c r="J65" s="125">
        <v>315454.47114585858</v>
      </c>
      <c r="K65" s="125">
        <v>460241.97114585858</v>
      </c>
      <c r="L65" s="125">
        <v>0</v>
      </c>
      <c r="M65" s="125">
        <v>775696.44229171716</v>
      </c>
      <c r="N65" s="125">
        <v>460241.97114585858</v>
      </c>
      <c r="O65" s="125">
        <v>315454.47114585858</v>
      </c>
      <c r="P65" s="125">
        <v>460241.97114585858</v>
      </c>
      <c r="Q65" s="125">
        <v>315454.47114585858</v>
      </c>
      <c r="R65" s="125">
        <v>460241.97114585858</v>
      </c>
      <c r="S65" s="125">
        <v>315454.47114585858</v>
      </c>
      <c r="T65" s="125">
        <v>460241.97114585858</v>
      </c>
      <c r="U65" s="125">
        <v>315454.47114585858</v>
      </c>
      <c r="V65" s="125">
        <v>460241.97114585858</v>
      </c>
      <c r="W65" s="125">
        <v>315454.47114585858</v>
      </c>
      <c r="X65" s="125">
        <v>460241.97114585858</v>
      </c>
      <c r="Y65" s="125">
        <v>315454.47114585858</v>
      </c>
      <c r="Z65" s="125">
        <v>460241.97114585858</v>
      </c>
      <c r="AA65" s="125">
        <v>315454.47114585858</v>
      </c>
      <c r="AB65" s="125">
        <v>460241.97114585858</v>
      </c>
      <c r="AC65" s="125">
        <v>315454.47114585858</v>
      </c>
      <c r="AD65" s="125">
        <v>460241.97114585858</v>
      </c>
      <c r="AE65" s="125">
        <v>0</v>
      </c>
      <c r="AF65" s="125">
        <v>775696.44229171716</v>
      </c>
      <c r="AG65" s="125">
        <v>552287.71378308896</v>
      </c>
      <c r="AH65" s="125">
        <v>407500.2137830889</v>
      </c>
      <c r="AI65" s="125">
        <v>552287.71378308896</v>
      </c>
      <c r="AJ65" s="125">
        <v>407500.2137830889</v>
      </c>
      <c r="AK65" s="125">
        <v>0</v>
      </c>
      <c r="AL65" s="125">
        <v>775696.44229171716</v>
      </c>
      <c r="AM65" s="125">
        <v>460241.97114585858</v>
      </c>
      <c r="AN65" s="125">
        <v>315454.47114585858</v>
      </c>
      <c r="AO65" s="125">
        <v>460241.97114585858</v>
      </c>
      <c r="AP65" s="125">
        <v>315454.47114585858</v>
      </c>
      <c r="AQ65" s="125">
        <v>460241.97114585858</v>
      </c>
      <c r="AR65" s="125">
        <v>315454.47114585858</v>
      </c>
      <c r="AS65" s="125">
        <v>460241.97114585858</v>
      </c>
      <c r="AT65" s="125">
        <v>315454.47114585858</v>
      </c>
      <c r="AU65" s="125">
        <v>460241.97114585858</v>
      </c>
      <c r="AV65" s="125">
        <v>315454.47114585858</v>
      </c>
      <c r="AW65" s="125">
        <v>460241.97114585858</v>
      </c>
      <c r="AX65" s="125">
        <v>315454.47114585858</v>
      </c>
      <c r="AY65" s="125">
        <v>460241.97114585858</v>
      </c>
      <c r="AZ65" s="100">
        <f>SUM($D$65:$AY$65)</f>
        <v>19591217.314150102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B260"/>
  <sheetViews>
    <sheetView workbookViewId="0">
      <pane xSplit="2" ySplit="7" topLeftCell="C166" activePane="bottomRight" state="frozen"/>
      <selection pane="topRight"/>
      <selection pane="bottomLeft"/>
      <selection pane="bottomRight" activeCell="C185" sqref="C185:C256"/>
    </sheetView>
  </sheetViews>
  <sheetFormatPr baseColWidth="10" defaultColWidth="8.83203125" defaultRowHeight="12" x14ac:dyDescent="0"/>
  <cols>
    <col min="1" max="1" width="14.6640625" style="100" customWidth="1"/>
    <col min="2" max="2" width="12.6640625" style="100" customWidth="1"/>
    <col min="3" max="16384" width="8.83203125" style="100"/>
  </cols>
  <sheetData>
    <row r="1" spans="1:54">
      <c r="A1" s="102" t="s">
        <v>284</v>
      </c>
    </row>
    <row r="2" spans="1:54">
      <c r="A2" s="100" t="s">
        <v>285</v>
      </c>
      <c r="B2" s="107" t="s">
        <v>22</v>
      </c>
    </row>
    <row r="3" spans="1:54">
      <c r="A3" s="100" t="s">
        <v>286</v>
      </c>
      <c r="B3" s="108">
        <v>1300</v>
      </c>
      <c r="C3" s="109"/>
    </row>
    <row r="4" spans="1:54">
      <c r="B4" s="110"/>
      <c r="C4" s="110"/>
    </row>
    <row r="5" spans="1:54">
      <c r="C5" s="111" t="s">
        <v>287</v>
      </c>
    </row>
    <row r="6" spans="1:54">
      <c r="C6" s="112">
        <v>0</v>
      </c>
      <c r="D6" s="112">
        <v>1</v>
      </c>
      <c r="E6" s="112">
        <v>2</v>
      </c>
      <c r="F6" s="112">
        <v>3</v>
      </c>
      <c r="G6" s="112">
        <v>4</v>
      </c>
      <c r="H6" s="112">
        <v>5</v>
      </c>
      <c r="I6" s="112">
        <v>6</v>
      </c>
      <c r="J6" s="112">
        <v>7</v>
      </c>
      <c r="K6" s="112">
        <v>8</v>
      </c>
      <c r="L6" s="112">
        <v>9</v>
      </c>
      <c r="M6" s="112">
        <v>10</v>
      </c>
      <c r="N6" s="112">
        <v>11</v>
      </c>
      <c r="O6" s="112">
        <v>12</v>
      </c>
      <c r="P6" s="112">
        <v>13</v>
      </c>
      <c r="Q6" s="112">
        <v>14</v>
      </c>
      <c r="R6" s="112">
        <v>15</v>
      </c>
      <c r="S6" s="112">
        <v>16</v>
      </c>
      <c r="T6" s="112">
        <v>17</v>
      </c>
      <c r="U6" s="112">
        <v>18</v>
      </c>
      <c r="V6" s="112">
        <v>19</v>
      </c>
      <c r="W6" s="112">
        <v>20</v>
      </c>
      <c r="X6" s="112">
        <v>21</v>
      </c>
      <c r="Y6" s="112">
        <v>22</v>
      </c>
      <c r="Z6" s="112">
        <v>23</v>
      </c>
      <c r="AA6" s="112">
        <v>24</v>
      </c>
      <c r="AB6" s="112">
        <v>25</v>
      </c>
      <c r="AC6" s="112">
        <v>26</v>
      </c>
      <c r="AD6" s="112">
        <v>27</v>
      </c>
      <c r="AE6" s="112">
        <v>28</v>
      </c>
      <c r="AF6" s="112">
        <v>29</v>
      </c>
      <c r="AG6" s="112">
        <v>30</v>
      </c>
      <c r="AH6" s="112">
        <v>31</v>
      </c>
      <c r="AI6" s="112">
        <v>32</v>
      </c>
      <c r="AJ6" s="112">
        <v>33</v>
      </c>
      <c r="AK6" s="112">
        <v>34</v>
      </c>
      <c r="AL6" s="112">
        <v>35</v>
      </c>
      <c r="AM6" s="112">
        <v>36</v>
      </c>
      <c r="AN6" s="112">
        <v>37</v>
      </c>
      <c r="AO6" s="112">
        <v>38</v>
      </c>
      <c r="AP6" s="112">
        <v>39</v>
      </c>
      <c r="AQ6" s="112">
        <v>40</v>
      </c>
      <c r="AR6" s="112">
        <v>41</v>
      </c>
      <c r="AS6" s="112">
        <v>42</v>
      </c>
      <c r="AT6" s="112">
        <v>43</v>
      </c>
      <c r="AU6" s="112">
        <v>44</v>
      </c>
      <c r="AV6" s="112">
        <v>45</v>
      </c>
      <c r="AW6" s="112">
        <v>46</v>
      </c>
      <c r="AX6" s="112">
        <v>47</v>
      </c>
      <c r="AY6" s="112">
        <v>48</v>
      </c>
    </row>
    <row r="7" spans="1:54">
      <c r="B7" s="110"/>
      <c r="C7" s="113" t="s">
        <v>288</v>
      </c>
      <c r="D7" s="112" t="s">
        <v>289</v>
      </c>
      <c r="E7" s="112" t="s">
        <v>289</v>
      </c>
      <c r="F7" s="112" t="s">
        <v>289</v>
      </c>
      <c r="G7" s="112" t="s">
        <v>289</v>
      </c>
      <c r="H7" s="112" t="s">
        <v>289</v>
      </c>
      <c r="I7" s="112" t="s">
        <v>289</v>
      </c>
      <c r="J7" s="112" t="s">
        <v>289</v>
      </c>
      <c r="K7" s="112" t="s">
        <v>289</v>
      </c>
      <c r="L7" s="112" t="s">
        <v>289</v>
      </c>
      <c r="M7" s="112" t="s">
        <v>289</v>
      </c>
      <c r="N7" s="112" t="s">
        <v>289</v>
      </c>
      <c r="O7" s="112" t="s">
        <v>289</v>
      </c>
      <c r="P7" s="112" t="s">
        <v>289</v>
      </c>
      <c r="Q7" s="112" t="s">
        <v>289</v>
      </c>
      <c r="R7" s="112" t="s">
        <v>289</v>
      </c>
      <c r="S7" s="112" t="s">
        <v>289</v>
      </c>
      <c r="T7" s="112" t="s">
        <v>289</v>
      </c>
      <c r="U7" s="112" t="s">
        <v>289</v>
      </c>
      <c r="V7" s="112" t="s">
        <v>289</v>
      </c>
      <c r="W7" s="112" t="s">
        <v>289</v>
      </c>
      <c r="X7" s="112" t="s">
        <v>289</v>
      </c>
      <c r="Y7" s="112" t="s">
        <v>289</v>
      </c>
      <c r="Z7" s="112" t="s">
        <v>289</v>
      </c>
      <c r="AA7" s="112" t="s">
        <v>289</v>
      </c>
      <c r="AB7" s="112" t="s">
        <v>289</v>
      </c>
      <c r="AC7" s="112" t="s">
        <v>289</v>
      </c>
      <c r="AD7" s="112" t="s">
        <v>289</v>
      </c>
      <c r="AE7" s="112" t="s">
        <v>289</v>
      </c>
      <c r="AF7" s="112" t="s">
        <v>289</v>
      </c>
      <c r="AG7" s="112" t="s">
        <v>289</v>
      </c>
      <c r="AH7" s="112" t="s">
        <v>289</v>
      </c>
      <c r="AI7" s="112" t="s">
        <v>289</v>
      </c>
      <c r="AJ7" s="112" t="s">
        <v>289</v>
      </c>
      <c r="AK7" s="112" t="s">
        <v>289</v>
      </c>
      <c r="AL7" s="112" t="s">
        <v>289</v>
      </c>
      <c r="AM7" s="112" t="s">
        <v>289</v>
      </c>
      <c r="AN7" s="112" t="s">
        <v>289</v>
      </c>
      <c r="AO7" s="112" t="s">
        <v>289</v>
      </c>
      <c r="AP7" s="112" t="s">
        <v>289</v>
      </c>
      <c r="AQ7" s="112" t="s">
        <v>289</v>
      </c>
      <c r="AR7" s="112" t="s">
        <v>289</v>
      </c>
      <c r="AS7" s="112" t="s">
        <v>289</v>
      </c>
      <c r="AT7" s="112" t="s">
        <v>289</v>
      </c>
      <c r="AU7" s="112" t="s">
        <v>289</v>
      </c>
      <c r="AV7" s="112" t="s">
        <v>289</v>
      </c>
      <c r="AW7" s="112" t="s">
        <v>289</v>
      </c>
      <c r="AX7" s="112" t="s">
        <v>289</v>
      </c>
      <c r="AY7" s="111" t="s">
        <v>290</v>
      </c>
      <c r="AZ7" s="111" t="s">
        <v>291</v>
      </c>
    </row>
    <row r="8" spans="1:54">
      <c r="A8" s="102" t="s">
        <v>292</v>
      </c>
      <c r="B8" s="114"/>
      <c r="AY8" s="110"/>
    </row>
    <row r="9" spans="1:54">
      <c r="A9" s="115" t="s">
        <v>125</v>
      </c>
      <c r="B9" s="116">
        <v>1</v>
      </c>
      <c r="C9" s="117" t="s">
        <v>293</v>
      </c>
      <c r="D9" s="117">
        <v>140</v>
      </c>
      <c r="E9" s="117">
        <v>140</v>
      </c>
      <c r="F9" s="117">
        <v>140</v>
      </c>
      <c r="G9" s="117">
        <v>140</v>
      </c>
      <c r="H9" s="117">
        <v>140</v>
      </c>
      <c r="I9" s="117">
        <v>140</v>
      </c>
      <c r="J9" s="117">
        <v>140</v>
      </c>
      <c r="K9" s="117">
        <v>140</v>
      </c>
      <c r="L9" s="117">
        <v>140</v>
      </c>
      <c r="M9" s="117">
        <v>140</v>
      </c>
      <c r="N9" s="117">
        <v>140</v>
      </c>
      <c r="O9" s="117">
        <v>140</v>
      </c>
      <c r="P9" s="117">
        <v>140</v>
      </c>
      <c r="Q9" s="117">
        <v>140</v>
      </c>
      <c r="R9" s="117">
        <v>140</v>
      </c>
      <c r="S9" s="117">
        <v>140</v>
      </c>
      <c r="T9" s="117">
        <v>140</v>
      </c>
      <c r="U9" s="117">
        <v>140</v>
      </c>
      <c r="V9" s="117">
        <v>140</v>
      </c>
      <c r="W9" s="117">
        <v>140</v>
      </c>
      <c r="X9" s="117">
        <v>140</v>
      </c>
      <c r="Y9" s="117">
        <v>140</v>
      </c>
      <c r="Z9" s="117">
        <v>140</v>
      </c>
      <c r="AA9" s="117">
        <v>140</v>
      </c>
      <c r="AB9" s="117">
        <v>140</v>
      </c>
      <c r="AC9" s="117">
        <v>140</v>
      </c>
      <c r="AD9" s="117">
        <v>140</v>
      </c>
      <c r="AE9" s="117">
        <v>140</v>
      </c>
      <c r="AF9" s="117">
        <v>140</v>
      </c>
      <c r="AG9" s="117">
        <v>140</v>
      </c>
      <c r="AH9" s="117">
        <v>140</v>
      </c>
      <c r="AI9" s="117">
        <v>140</v>
      </c>
      <c r="AJ9" s="117">
        <v>140</v>
      </c>
      <c r="AK9" s="117">
        <v>140</v>
      </c>
      <c r="AL9" s="117">
        <v>140</v>
      </c>
      <c r="AM9" s="117">
        <v>140</v>
      </c>
      <c r="AN9" s="117">
        <v>140</v>
      </c>
      <c r="AO9" s="117">
        <v>140</v>
      </c>
      <c r="AP9" s="117">
        <v>140</v>
      </c>
      <c r="AQ9" s="117">
        <v>140</v>
      </c>
      <c r="AR9" s="117">
        <v>140</v>
      </c>
      <c r="AS9" s="117">
        <v>140</v>
      </c>
      <c r="AT9" s="117">
        <v>140</v>
      </c>
      <c r="AU9" s="117">
        <v>140</v>
      </c>
      <c r="AV9" s="117">
        <v>140</v>
      </c>
      <c r="AW9" s="117">
        <v>140</v>
      </c>
      <c r="AX9" s="117">
        <v>140</v>
      </c>
      <c r="AY9" s="117">
        <v>140</v>
      </c>
    </row>
    <row r="10" spans="1:54">
      <c r="A10" s="118" t="s">
        <v>133</v>
      </c>
      <c r="B10" s="119">
        <v>1</v>
      </c>
      <c r="C10" s="106" t="s">
        <v>293</v>
      </c>
      <c r="D10" s="100">
        <v>87.850958525022207</v>
      </c>
      <c r="E10" s="100">
        <v>184.66099756519515</v>
      </c>
      <c r="F10" s="100">
        <v>180</v>
      </c>
      <c r="G10" s="100">
        <v>87.79874123554238</v>
      </c>
      <c r="H10" s="100">
        <v>0</v>
      </c>
      <c r="I10" s="100">
        <v>87.798741235542394</v>
      </c>
      <c r="J10" s="100">
        <v>179.99999999999997</v>
      </c>
      <c r="K10" s="100">
        <v>87.798741235542394</v>
      </c>
      <c r="L10" s="100">
        <v>179.99999999999997</v>
      </c>
      <c r="M10" s="100">
        <v>87.798741235542394</v>
      </c>
      <c r="N10" s="100">
        <v>272.20125876445758</v>
      </c>
      <c r="O10" s="100">
        <v>180</v>
      </c>
      <c r="P10" s="100">
        <v>179.99999999999997</v>
      </c>
      <c r="Q10" s="100">
        <v>180</v>
      </c>
      <c r="R10" s="100">
        <v>179.99999999999997</v>
      </c>
      <c r="S10" s="100">
        <v>180</v>
      </c>
      <c r="T10" s="100">
        <v>92.201258764457592</v>
      </c>
      <c r="U10" s="100">
        <v>180</v>
      </c>
      <c r="V10" s="100">
        <v>179.99999999999997</v>
      </c>
      <c r="W10" s="100">
        <v>87.798741235542394</v>
      </c>
      <c r="X10" s="100">
        <v>179.99999999999997</v>
      </c>
      <c r="Y10" s="100">
        <v>87.798741235542394</v>
      </c>
      <c r="Z10" s="100">
        <v>179.99999999999997</v>
      </c>
      <c r="AA10" s="100">
        <v>87.798741235542394</v>
      </c>
      <c r="AB10" s="100">
        <v>0</v>
      </c>
      <c r="AC10" s="100">
        <v>180</v>
      </c>
      <c r="AD10" s="100">
        <v>92.201258764457592</v>
      </c>
      <c r="AE10" s="100">
        <v>180</v>
      </c>
      <c r="AF10" s="100">
        <v>87.79874123554238</v>
      </c>
      <c r="AG10" s="100">
        <v>272.20125876445758</v>
      </c>
      <c r="AH10" s="100">
        <v>0</v>
      </c>
      <c r="AI10" s="100">
        <v>87.798741235542394</v>
      </c>
      <c r="AJ10" s="100">
        <v>198.43972055380479</v>
      </c>
      <c r="AK10" s="100">
        <v>35.634084932462457</v>
      </c>
      <c r="AL10" s="100">
        <v>42.354111024724553</v>
      </c>
      <c r="AM10" s="100">
        <v>0</v>
      </c>
      <c r="AN10" s="100">
        <v>87.798741235542394</v>
      </c>
      <c r="AO10" s="100">
        <v>179.99999999999997</v>
      </c>
      <c r="AP10" s="100">
        <v>87.798741235542394</v>
      </c>
      <c r="AQ10" s="100">
        <v>92.201258764457592</v>
      </c>
      <c r="AR10" s="100">
        <v>180</v>
      </c>
      <c r="AS10" s="100">
        <v>87.79874123554238</v>
      </c>
      <c r="AT10" s="100">
        <v>180</v>
      </c>
      <c r="AU10" s="100">
        <v>87.79874123554238</v>
      </c>
      <c r="AV10" s="100">
        <v>87.798741235542394</v>
      </c>
      <c r="AW10" s="100">
        <v>0</v>
      </c>
      <c r="AX10" s="100">
        <v>87.798741235542394</v>
      </c>
      <c r="AY10" s="100">
        <v>87.79874123554238</v>
      </c>
      <c r="AZ10" s="100">
        <v>87.798741235542394</v>
      </c>
    </row>
    <row r="11" spans="1:54">
      <c r="B11" s="119">
        <v>2</v>
      </c>
      <c r="C11" s="106" t="s">
        <v>293</v>
      </c>
      <c r="E11" s="100">
        <v>0</v>
      </c>
      <c r="F11" s="100">
        <v>87.79874123554238</v>
      </c>
      <c r="G11" s="100">
        <v>0</v>
      </c>
      <c r="I11" s="100">
        <v>0</v>
      </c>
      <c r="L11" s="100">
        <v>92.201258764457592</v>
      </c>
      <c r="N11" s="100">
        <v>0</v>
      </c>
      <c r="R11" s="100">
        <v>0</v>
      </c>
      <c r="U11" s="100">
        <v>87.79874123554238</v>
      </c>
      <c r="AB11" s="100">
        <v>92.201258764457592</v>
      </c>
      <c r="AE11" s="100">
        <v>87.79874123554238</v>
      </c>
      <c r="AG11" s="100">
        <v>0</v>
      </c>
      <c r="AI11" s="100">
        <v>198.43972055380479</v>
      </c>
      <c r="AJ11" s="100">
        <v>0</v>
      </c>
      <c r="AM11" s="100">
        <v>45.444630210817827</v>
      </c>
      <c r="AN11" s="100">
        <v>184.40251752891518</v>
      </c>
      <c r="AO11" s="100">
        <v>92.201258764457592</v>
      </c>
      <c r="AQ11" s="100">
        <v>92.201258764457592</v>
      </c>
      <c r="AR11" s="100">
        <v>87.79874123554238</v>
      </c>
      <c r="AS11" s="100">
        <v>0</v>
      </c>
      <c r="AT11" s="100">
        <v>92.201258764457592</v>
      </c>
      <c r="AW11" s="100">
        <v>92.201258764457592</v>
      </c>
      <c r="AX11" s="100">
        <v>92.201258764457592</v>
      </c>
      <c r="AY11" s="100">
        <v>92.201258764457592</v>
      </c>
      <c r="AZ11" s="100">
        <v>92.201258764457592</v>
      </c>
    </row>
    <row r="12" spans="1:54">
      <c r="B12" s="120">
        <v>3</v>
      </c>
      <c r="C12" s="106" t="s">
        <v>293</v>
      </c>
      <c r="F12" s="100">
        <v>0</v>
      </c>
      <c r="I12" s="100">
        <v>92.201258764457592</v>
      </c>
      <c r="K12" s="100">
        <v>184.40251752891518</v>
      </c>
      <c r="M12" s="100">
        <v>0</v>
      </c>
      <c r="O12" s="100">
        <v>0</v>
      </c>
      <c r="W12" s="100">
        <v>0</v>
      </c>
      <c r="Y12" s="100">
        <v>92.201258764457592</v>
      </c>
      <c r="AA12" s="100">
        <v>92.201258764457592</v>
      </c>
      <c r="AC12" s="100">
        <v>0</v>
      </c>
      <c r="AD12" s="100">
        <v>179.99999999999997</v>
      </c>
      <c r="AK12" s="100">
        <v>110.64097931826241</v>
      </c>
      <c r="AM12" s="100">
        <v>110.64097931826241</v>
      </c>
      <c r="AW12" s="100">
        <v>92.201258764457592</v>
      </c>
      <c r="AY12" s="100">
        <v>87.79874123554238</v>
      </c>
      <c r="BB12" s="100">
        <v>92.201258764457592</v>
      </c>
    </row>
    <row r="13" spans="1:54">
      <c r="B13" s="120">
        <v>4</v>
      </c>
      <c r="C13" s="106" t="s">
        <v>293</v>
      </c>
    </row>
    <row r="14" spans="1:54">
      <c r="A14" s="115" t="s">
        <v>134</v>
      </c>
      <c r="B14" s="121">
        <v>1</v>
      </c>
      <c r="C14" s="117" t="s">
        <v>293</v>
      </c>
      <c r="D14" s="117">
        <v>98.052427465438669</v>
      </c>
      <c r="E14" s="117">
        <f t="shared" ref="E14:AZ14" si="0">D$172*SUM(D$122:D$169)</f>
        <v>42.314893385069517</v>
      </c>
      <c r="F14" s="117">
        <f t="shared" si="0"/>
        <v>73.62527502018105</v>
      </c>
      <c r="G14" s="117">
        <f t="shared" si="0"/>
        <v>119.62113641682632</v>
      </c>
      <c r="H14" s="117">
        <f t="shared" si="0"/>
        <v>69.513166324403997</v>
      </c>
      <c r="I14" s="117">
        <f t="shared" si="0"/>
        <v>3.8779941354851237</v>
      </c>
      <c r="J14" s="117">
        <f t="shared" si="0"/>
        <v>71.953944903552596</v>
      </c>
      <c r="K14" s="117">
        <f t="shared" si="0"/>
        <v>71.953944903552596</v>
      </c>
      <c r="L14" s="117">
        <f t="shared" si="0"/>
        <v>117.36900090138786</v>
      </c>
      <c r="M14" s="117">
        <f t="shared" si="0"/>
        <v>139.48514431993686</v>
      </c>
      <c r="N14" s="117">
        <f t="shared" si="0"/>
        <v>74.746977164088989</v>
      </c>
      <c r="O14" s="117">
        <f t="shared" si="0"/>
        <v>108.71231895006078</v>
      </c>
      <c r="P14" s="117">
        <f t="shared" si="0"/>
        <v>88.846230293213111</v>
      </c>
      <c r="Q14" s="117">
        <f t="shared" si="0"/>
        <v>92.80378549451639</v>
      </c>
      <c r="R14" s="117">
        <f t="shared" si="0"/>
        <v>97.845329946547466</v>
      </c>
      <c r="S14" s="117">
        <f t="shared" si="0"/>
        <v>100.02176152981409</v>
      </c>
      <c r="T14" s="117">
        <f t="shared" si="0"/>
        <v>103.56048802306125</v>
      </c>
      <c r="U14" s="117">
        <f t="shared" si="0"/>
        <v>47.845823713918193</v>
      </c>
      <c r="V14" s="117">
        <f t="shared" si="0"/>
        <v>107.14403846620802</v>
      </c>
      <c r="W14" s="117">
        <f t="shared" si="0"/>
        <v>97.812799355597178</v>
      </c>
      <c r="X14" s="117">
        <f t="shared" si="0"/>
        <v>56.472958454321343</v>
      </c>
      <c r="Y14" s="117">
        <f t="shared" si="0"/>
        <v>76.635728269113756</v>
      </c>
      <c r="Z14" s="117">
        <f t="shared" si="0"/>
        <v>71.953944903552596</v>
      </c>
      <c r="AA14" s="117">
        <f t="shared" si="0"/>
        <v>81.001488687144146</v>
      </c>
      <c r="AB14" s="117">
        <f t="shared" si="0"/>
        <v>77.1681137412276</v>
      </c>
      <c r="AC14" s="117">
        <f t="shared" si="0"/>
        <v>36.763851340897176</v>
      </c>
      <c r="AD14" s="117">
        <f t="shared" si="0"/>
        <v>71.953944903552596</v>
      </c>
      <c r="AE14" s="117">
        <f t="shared" si="0"/>
        <v>119.280268829806</v>
      </c>
      <c r="AF14" s="117">
        <f t="shared" si="0"/>
        <v>126.12661994325431</v>
      </c>
      <c r="AG14" s="117">
        <f t="shared" si="0"/>
        <v>59.734746634595894</v>
      </c>
      <c r="AH14" s="117">
        <f t="shared" si="0"/>
        <v>108.71231895006078</v>
      </c>
      <c r="AI14" s="117">
        <f t="shared" si="0"/>
        <v>31.861895657002609</v>
      </c>
      <c r="AJ14" s="117">
        <f t="shared" si="0"/>
        <v>114.4955014994994</v>
      </c>
      <c r="AK14" s="117">
        <f t="shared" si="0"/>
        <v>93.863481275541588</v>
      </c>
      <c r="AL14" s="117">
        <f t="shared" si="0"/>
        <v>71.788435373299791</v>
      </c>
      <c r="AM14" s="117">
        <f t="shared" si="0"/>
        <v>16.981177728688571</v>
      </c>
      <c r="AN14" s="117">
        <f t="shared" si="0"/>
        <v>62.329707502544409</v>
      </c>
      <c r="AO14" s="117">
        <f t="shared" si="0"/>
        <v>109.60334817258887</v>
      </c>
      <c r="AP14" s="117">
        <f t="shared" si="0"/>
        <v>118.64668940011916</v>
      </c>
      <c r="AQ14" s="117">
        <f t="shared" si="0"/>
        <v>69.527676262103711</v>
      </c>
      <c r="AR14" s="117">
        <f t="shared" si="0"/>
        <v>73.522225387405356</v>
      </c>
      <c r="AS14" s="117">
        <f t="shared" si="0"/>
        <v>107.14403846620802</v>
      </c>
      <c r="AT14" s="117">
        <f t="shared" si="0"/>
        <v>46.446581216444308</v>
      </c>
      <c r="AU14" s="117">
        <f t="shared" si="0"/>
        <v>108.71231895006078</v>
      </c>
      <c r="AV14" s="117">
        <f t="shared" si="0"/>
        <v>49.593834084546081</v>
      </c>
      <c r="AW14" s="117">
        <f t="shared" si="0"/>
        <v>35.19557085704443</v>
      </c>
      <c r="AX14" s="117">
        <f t="shared" si="0"/>
        <v>73.522225387405356</v>
      </c>
      <c r="AY14" s="117">
        <f t="shared" si="0"/>
        <v>71.953944903552596</v>
      </c>
      <c r="AZ14" s="110">
        <f t="shared" si="0"/>
        <v>107.14403846620802</v>
      </c>
      <c r="BA14" s="107">
        <f>SUM($E14:$AZ14)</f>
        <v>3877.1907284952104</v>
      </c>
    </row>
    <row r="15" spans="1:54">
      <c r="A15" s="122" t="s">
        <v>123</v>
      </c>
      <c r="B15" s="123">
        <v>1</v>
      </c>
      <c r="C15" s="124" t="s">
        <v>293</v>
      </c>
      <c r="D15" s="124">
        <v>98.644020786733478</v>
      </c>
      <c r="E15" s="124">
        <v>206.64488590396164</v>
      </c>
      <c r="F15" s="124">
        <v>201.95394490355284</v>
      </c>
      <c r="G15" s="124">
        <v>98.783803823961023</v>
      </c>
      <c r="H15" s="124">
        <v>1.5373183648786936E-2</v>
      </c>
      <c r="I15" s="124">
        <v>98.783803823961023</v>
      </c>
      <c r="J15" s="124">
        <v>201.95394490355284</v>
      </c>
      <c r="K15" s="124">
        <v>98.783803823961023</v>
      </c>
      <c r="L15" s="124">
        <v>201.95394490355284</v>
      </c>
      <c r="M15" s="124">
        <v>98.783803823961023</v>
      </c>
      <c r="N15" s="124">
        <v>305.12408598314465</v>
      </c>
      <c r="O15" s="124">
        <v>201.95394490355284</v>
      </c>
      <c r="P15" s="124">
        <v>201.95394490355284</v>
      </c>
      <c r="Q15" s="124">
        <v>201.95394490355284</v>
      </c>
      <c r="R15" s="124">
        <v>201.95394490355284</v>
      </c>
      <c r="S15" s="124">
        <v>201.95394490355284</v>
      </c>
      <c r="T15" s="124">
        <v>103.18551426324061</v>
      </c>
      <c r="U15" s="124">
        <v>201.95394490355284</v>
      </c>
      <c r="V15" s="124">
        <v>201.95394490355284</v>
      </c>
      <c r="W15" s="124">
        <v>98.783803823961023</v>
      </c>
      <c r="X15" s="124">
        <v>201.95394490355284</v>
      </c>
      <c r="Y15" s="124">
        <v>98.783803823961023</v>
      </c>
      <c r="Z15" s="124">
        <v>201.95394490355284</v>
      </c>
      <c r="AA15" s="124">
        <v>98.783803823961023</v>
      </c>
      <c r="AB15" s="124">
        <v>1.5373183648786936E-2</v>
      </c>
      <c r="AC15" s="124">
        <v>201.95394490355284</v>
      </c>
      <c r="AD15" s="124">
        <v>103.18551426324061</v>
      </c>
      <c r="AE15" s="124">
        <v>201.95394490355284</v>
      </c>
      <c r="AF15" s="124">
        <v>98.783803823961023</v>
      </c>
      <c r="AG15" s="124">
        <v>305.12408598314465</v>
      </c>
      <c r="AH15" s="124">
        <v>1.5373183648786936E-2</v>
      </c>
      <c r="AI15" s="124">
        <v>98.783803823961023</v>
      </c>
      <c r="AJ15" s="124">
        <v>222.58737872536585</v>
      </c>
      <c r="AK15" s="124">
        <v>40.101627229602613</v>
      </c>
      <c r="AL15" s="124">
        <v>47.661262158924224</v>
      </c>
      <c r="AM15" s="124">
        <v>1.5373183648786936E-2</v>
      </c>
      <c r="AN15" s="124">
        <v>98.783803823961023</v>
      </c>
      <c r="AO15" s="124">
        <v>201.95394490355284</v>
      </c>
      <c r="AP15" s="124">
        <v>98.783803823961023</v>
      </c>
      <c r="AQ15" s="124">
        <v>103.18551426324061</v>
      </c>
      <c r="AR15" s="124">
        <v>201.95394490355284</v>
      </c>
      <c r="AS15" s="124">
        <v>98.783803823961023</v>
      </c>
      <c r="AT15" s="124">
        <v>201.95394490355284</v>
      </c>
      <c r="AU15" s="124">
        <v>98.783803823961023</v>
      </c>
      <c r="AV15" s="124">
        <v>98.783803823961023</v>
      </c>
      <c r="AW15" s="124">
        <v>1.5373183648786936E-2</v>
      </c>
      <c r="AX15" s="124">
        <v>98.783803823961023</v>
      </c>
      <c r="AY15" s="124">
        <v>98.783803823961023</v>
      </c>
      <c r="AZ15" s="100">
        <v>98.768430640312232</v>
      </c>
    </row>
    <row r="16" spans="1:54">
      <c r="A16" s="110"/>
      <c r="B16" s="119">
        <v>2</v>
      </c>
      <c r="C16" s="109" t="s">
        <v>293</v>
      </c>
      <c r="D16" s="106"/>
      <c r="E16" s="110">
        <v>0</v>
      </c>
      <c r="F16" s="110">
        <v>98.768430640312232</v>
      </c>
      <c r="G16" s="110">
        <v>0</v>
      </c>
      <c r="H16" s="110"/>
      <c r="I16" s="110">
        <v>0</v>
      </c>
      <c r="J16" s="110"/>
      <c r="K16" s="110"/>
      <c r="L16" s="110">
        <v>103.17014107959182</v>
      </c>
      <c r="M16" s="110"/>
      <c r="N16" s="110">
        <v>0</v>
      </c>
      <c r="O16" s="110"/>
      <c r="P16" s="110"/>
      <c r="Q16" s="110"/>
      <c r="R16" s="110">
        <v>0</v>
      </c>
      <c r="S16" s="110"/>
      <c r="T16" s="110"/>
      <c r="U16" s="110">
        <v>98.768430640312232</v>
      </c>
      <c r="V16" s="110"/>
      <c r="W16" s="110"/>
      <c r="X16" s="110"/>
      <c r="Y16" s="110"/>
      <c r="Z16" s="110"/>
      <c r="AA16" s="110"/>
      <c r="AB16" s="110">
        <v>103.17014107959182</v>
      </c>
      <c r="AC16" s="110"/>
      <c r="AD16" s="110"/>
      <c r="AE16" s="110">
        <v>98.768430640312232</v>
      </c>
      <c r="AF16" s="110"/>
      <c r="AG16" s="110">
        <v>0</v>
      </c>
      <c r="AH16" s="110"/>
      <c r="AI16" s="110">
        <v>222.57200554171706</v>
      </c>
      <c r="AJ16" s="110">
        <v>0</v>
      </c>
      <c r="AK16" s="110"/>
      <c r="AL16" s="110"/>
      <c r="AM16" s="110">
        <v>51.122541665036792</v>
      </c>
      <c r="AN16" s="110">
        <v>206.34028215918363</v>
      </c>
      <c r="AO16" s="110">
        <v>103.17014107959182</v>
      </c>
      <c r="AP16" s="110"/>
      <c r="AQ16" s="110">
        <v>103.17014107959182</v>
      </c>
      <c r="AR16" s="110">
        <v>98.768430640312232</v>
      </c>
      <c r="AS16" s="110">
        <v>0</v>
      </c>
      <c r="AT16" s="110">
        <v>103.17014107959182</v>
      </c>
      <c r="AU16" s="110"/>
      <c r="AV16" s="110"/>
      <c r="AW16" s="110">
        <v>103.17014107959182</v>
      </c>
      <c r="AX16" s="110">
        <v>103.17014107959182</v>
      </c>
      <c r="AY16" s="110">
        <v>103.17014107959182</v>
      </c>
      <c r="AZ16" s="100">
        <v>103.17014107959182</v>
      </c>
    </row>
    <row r="17" spans="1:54">
      <c r="A17" s="110"/>
      <c r="B17" s="119">
        <v>3</v>
      </c>
      <c r="C17" s="109" t="s">
        <v>293</v>
      </c>
      <c r="D17" s="106"/>
      <c r="E17" s="110"/>
      <c r="F17" s="110">
        <v>0</v>
      </c>
      <c r="G17" s="110"/>
      <c r="H17" s="110"/>
      <c r="I17" s="110">
        <v>103.17014107959182</v>
      </c>
      <c r="J17" s="110"/>
      <c r="K17" s="110">
        <v>206.34028215918363</v>
      </c>
      <c r="L17" s="110"/>
      <c r="M17" s="110">
        <v>0</v>
      </c>
      <c r="N17" s="110"/>
      <c r="O17" s="110">
        <v>0</v>
      </c>
      <c r="P17" s="110"/>
      <c r="Q17" s="110"/>
      <c r="R17" s="110"/>
      <c r="S17" s="110"/>
      <c r="T17" s="110"/>
      <c r="U17" s="110"/>
      <c r="V17" s="110"/>
      <c r="W17" s="110">
        <v>0</v>
      </c>
      <c r="X17" s="110"/>
      <c r="Y17" s="110">
        <v>103.17014107959182</v>
      </c>
      <c r="Z17" s="110"/>
      <c r="AA17" s="110">
        <v>103.17014107959182</v>
      </c>
      <c r="AB17" s="110"/>
      <c r="AC17" s="110">
        <v>0</v>
      </c>
      <c r="AD17" s="110">
        <v>201.93857171990405</v>
      </c>
      <c r="AE17" s="110"/>
      <c r="AF17" s="110"/>
      <c r="AG17" s="110"/>
      <c r="AH17" s="110"/>
      <c r="AI17" s="110"/>
      <c r="AJ17" s="110"/>
      <c r="AK17" s="110">
        <v>123.80357490140483</v>
      </c>
      <c r="AL17" s="110"/>
      <c r="AM17" s="110">
        <v>123.80357490140483</v>
      </c>
      <c r="AN17" s="110"/>
      <c r="AO17" s="110"/>
      <c r="AP17" s="110"/>
      <c r="AQ17" s="110"/>
      <c r="AR17" s="110"/>
      <c r="AS17" s="110"/>
      <c r="AT17" s="110"/>
      <c r="AU17" s="110"/>
      <c r="AV17" s="110"/>
      <c r="AW17" s="110">
        <v>103.17014107959182</v>
      </c>
      <c r="AX17" s="110"/>
      <c r="AY17" s="110">
        <v>98.768430640312232</v>
      </c>
      <c r="BB17" s="100">
        <v>103.17014107959182</v>
      </c>
    </row>
    <row r="18" spans="1:54">
      <c r="A18" s="125"/>
      <c r="B18" s="116">
        <v>4</v>
      </c>
      <c r="C18" s="125" t="s">
        <v>293</v>
      </c>
      <c r="D18" s="125"/>
      <c r="E18" s="125"/>
      <c r="F18" s="125"/>
      <c r="G18" s="125"/>
      <c r="H18" s="125"/>
      <c r="I18" s="125"/>
      <c r="J18" s="125"/>
      <c r="K18" s="125"/>
      <c r="L18" s="125"/>
      <c r="M18" s="125"/>
      <c r="N18" s="125"/>
      <c r="O18" s="125"/>
      <c r="P18" s="125"/>
      <c r="Q18" s="125"/>
      <c r="R18" s="125"/>
      <c r="S18" s="125"/>
      <c r="T18" s="125"/>
      <c r="U18" s="125"/>
      <c r="V18" s="125"/>
      <c r="W18" s="125"/>
      <c r="X18" s="125"/>
      <c r="Y18" s="125"/>
      <c r="Z18" s="125"/>
      <c r="AA18" s="125"/>
      <c r="AB18" s="125"/>
      <c r="AC18" s="125"/>
      <c r="AD18" s="125"/>
      <c r="AE18" s="125"/>
      <c r="AF18" s="125"/>
      <c r="AG18" s="125"/>
      <c r="AH18" s="125"/>
      <c r="AI18" s="125"/>
      <c r="AJ18" s="125"/>
      <c r="AK18" s="125"/>
      <c r="AL18" s="125"/>
      <c r="AM18" s="125"/>
      <c r="AN18" s="125"/>
      <c r="AO18" s="125"/>
      <c r="AP18" s="125"/>
      <c r="AQ18" s="125"/>
      <c r="AR18" s="125"/>
      <c r="AS18" s="125"/>
      <c r="AT18" s="125"/>
      <c r="AU18" s="125"/>
      <c r="AV18" s="125"/>
      <c r="AW18" s="125"/>
      <c r="AX18" s="125"/>
      <c r="AY18" s="125"/>
    </row>
    <row r="20" spans="1:54">
      <c r="A20" s="102" t="s">
        <v>294</v>
      </c>
    </row>
    <row r="21" spans="1:54">
      <c r="A21" s="126" t="s">
        <v>125</v>
      </c>
      <c r="B21" s="123">
        <v>1</v>
      </c>
      <c r="C21" s="124" t="s">
        <v>293</v>
      </c>
      <c r="D21" s="124"/>
      <c r="E21" s="124"/>
      <c r="F21" s="124"/>
      <c r="G21" s="124"/>
      <c r="H21" s="124"/>
      <c r="I21" s="124"/>
      <c r="J21" s="124"/>
      <c r="K21" s="124"/>
      <c r="L21" s="124"/>
      <c r="M21" s="124"/>
      <c r="N21" s="124"/>
      <c r="O21" s="124"/>
      <c r="P21" s="124"/>
      <c r="Q21" s="124"/>
      <c r="R21" s="124"/>
      <c r="S21" s="124"/>
      <c r="T21" s="124"/>
      <c r="U21" s="124"/>
      <c r="V21" s="124"/>
      <c r="W21" s="124"/>
      <c r="X21" s="124"/>
      <c r="Y21" s="124"/>
      <c r="Z21" s="124"/>
      <c r="AA21" s="124"/>
      <c r="AB21" s="124"/>
      <c r="AC21" s="124"/>
      <c r="AD21" s="124"/>
      <c r="AE21" s="124"/>
      <c r="AF21" s="124"/>
      <c r="AG21" s="124"/>
      <c r="AH21" s="124"/>
      <c r="AI21" s="124"/>
      <c r="AJ21" s="124"/>
      <c r="AK21" s="124"/>
      <c r="AL21" s="124"/>
      <c r="AM21" s="124"/>
      <c r="AN21" s="124"/>
      <c r="AO21" s="124"/>
      <c r="AP21" s="124"/>
      <c r="AQ21" s="124"/>
      <c r="AR21" s="124"/>
      <c r="AS21" s="124"/>
      <c r="AT21" s="124"/>
      <c r="AU21" s="124"/>
      <c r="AV21" s="124"/>
      <c r="AW21" s="124"/>
      <c r="AX21" s="124"/>
      <c r="AY21" s="124"/>
    </row>
    <row r="22" spans="1:54">
      <c r="A22" s="109"/>
      <c r="B22" s="120">
        <v>2</v>
      </c>
      <c r="C22" s="110" t="s">
        <v>293</v>
      </c>
      <c r="D22" s="110"/>
      <c r="E22" s="110"/>
      <c r="F22" s="110"/>
      <c r="G22" s="110"/>
      <c r="H22" s="110"/>
      <c r="I22" s="110"/>
      <c r="J22" s="110"/>
      <c r="K22" s="110"/>
      <c r="L22" s="110"/>
      <c r="M22" s="110"/>
      <c r="N22" s="110"/>
      <c r="O22" s="110"/>
      <c r="P22" s="110"/>
      <c r="Q22" s="110"/>
      <c r="R22" s="110"/>
      <c r="S22" s="110"/>
      <c r="T22" s="110"/>
      <c r="U22" s="110"/>
      <c r="V22" s="110"/>
      <c r="W22" s="110"/>
      <c r="X22" s="110"/>
      <c r="Y22" s="110"/>
      <c r="Z22" s="110"/>
      <c r="AA22" s="110"/>
      <c r="AB22" s="110"/>
      <c r="AC22" s="110"/>
      <c r="AD22" s="110"/>
      <c r="AE22" s="110"/>
      <c r="AF22" s="110"/>
      <c r="AG22" s="110"/>
      <c r="AH22" s="110"/>
      <c r="AI22" s="110"/>
      <c r="AJ22" s="110"/>
      <c r="AK22" s="110"/>
      <c r="AL22" s="110"/>
      <c r="AM22" s="110"/>
      <c r="AN22" s="110"/>
      <c r="AO22" s="110"/>
      <c r="AP22" s="110"/>
      <c r="AQ22" s="110"/>
      <c r="AR22" s="110"/>
      <c r="AS22" s="110"/>
      <c r="AT22" s="110"/>
      <c r="AU22" s="110"/>
      <c r="AV22" s="110"/>
      <c r="AW22" s="110"/>
      <c r="AX22" s="110"/>
      <c r="AY22" s="110"/>
    </row>
    <row r="23" spans="1:54">
      <c r="A23" s="109"/>
      <c r="B23" s="127">
        <v>3</v>
      </c>
      <c r="C23" s="110" t="s">
        <v>293</v>
      </c>
      <c r="D23" s="110"/>
      <c r="E23" s="110"/>
      <c r="F23" s="110"/>
      <c r="G23" s="110"/>
      <c r="H23" s="110"/>
      <c r="I23" s="110"/>
      <c r="J23" s="110"/>
      <c r="K23" s="110"/>
      <c r="L23" s="110"/>
      <c r="M23" s="110"/>
      <c r="N23" s="110"/>
      <c r="O23" s="110"/>
      <c r="P23" s="110"/>
      <c r="Q23" s="110"/>
      <c r="R23" s="110"/>
      <c r="S23" s="110"/>
      <c r="T23" s="110"/>
      <c r="U23" s="110"/>
      <c r="V23" s="110"/>
      <c r="W23" s="110"/>
      <c r="X23" s="110"/>
      <c r="Y23" s="110"/>
      <c r="Z23" s="110"/>
      <c r="AA23" s="110"/>
      <c r="AB23" s="110"/>
      <c r="AC23" s="110"/>
      <c r="AD23" s="110"/>
      <c r="AE23" s="110"/>
      <c r="AF23" s="110"/>
      <c r="AG23" s="110"/>
      <c r="AH23" s="110"/>
      <c r="AI23" s="110"/>
      <c r="AJ23" s="110"/>
      <c r="AK23" s="110"/>
      <c r="AL23" s="110"/>
      <c r="AM23" s="110"/>
      <c r="AN23" s="110"/>
      <c r="AO23" s="110"/>
      <c r="AP23" s="110"/>
      <c r="AQ23" s="110"/>
      <c r="AR23" s="110"/>
      <c r="AS23" s="110"/>
      <c r="AT23" s="110"/>
      <c r="AU23" s="110"/>
      <c r="AV23" s="110"/>
      <c r="AW23" s="110"/>
      <c r="AX23" s="110"/>
      <c r="AY23" s="110"/>
    </row>
    <row r="24" spans="1:54">
      <c r="A24" s="128"/>
      <c r="B24" s="129">
        <v>4</v>
      </c>
      <c r="C24" s="128" t="s">
        <v>293</v>
      </c>
      <c r="D24" s="125">
        <v>0</v>
      </c>
      <c r="E24" s="125">
        <v>0</v>
      </c>
      <c r="F24" s="125">
        <v>0</v>
      </c>
      <c r="G24" s="125">
        <v>0</v>
      </c>
      <c r="H24" s="125">
        <v>0</v>
      </c>
      <c r="I24" s="125">
        <v>0</v>
      </c>
      <c r="J24" s="125">
        <v>0</v>
      </c>
      <c r="K24" s="125">
        <v>0</v>
      </c>
      <c r="L24" s="125">
        <v>0</v>
      </c>
      <c r="M24" s="125">
        <v>0</v>
      </c>
      <c r="N24" s="125">
        <v>0</v>
      </c>
      <c r="O24" s="125">
        <v>0</v>
      </c>
      <c r="P24" s="125">
        <v>0</v>
      </c>
      <c r="Q24" s="125">
        <v>0</v>
      </c>
      <c r="R24" s="125">
        <v>0</v>
      </c>
      <c r="S24" s="125">
        <v>0</v>
      </c>
      <c r="T24" s="125">
        <v>0</v>
      </c>
      <c r="U24" s="125">
        <v>0</v>
      </c>
      <c r="V24" s="125">
        <v>0</v>
      </c>
      <c r="W24" s="125">
        <v>0</v>
      </c>
      <c r="X24" s="125">
        <v>0</v>
      </c>
      <c r="Y24" s="125">
        <v>0</v>
      </c>
      <c r="Z24" s="125">
        <v>0</v>
      </c>
      <c r="AA24" s="125">
        <v>0</v>
      </c>
      <c r="AB24" s="125">
        <v>0</v>
      </c>
      <c r="AC24" s="125">
        <v>0</v>
      </c>
      <c r="AD24" s="125">
        <v>0</v>
      </c>
      <c r="AE24" s="125">
        <v>0</v>
      </c>
      <c r="AF24" s="125">
        <v>0</v>
      </c>
      <c r="AG24" s="125">
        <v>0</v>
      </c>
      <c r="AH24" s="125">
        <v>0</v>
      </c>
      <c r="AI24" s="125">
        <v>0</v>
      </c>
      <c r="AJ24" s="125">
        <v>0</v>
      </c>
      <c r="AK24" s="125">
        <v>0</v>
      </c>
      <c r="AL24" s="125">
        <v>0</v>
      </c>
      <c r="AM24" s="125">
        <v>0</v>
      </c>
      <c r="AN24" s="125">
        <v>0</v>
      </c>
      <c r="AO24" s="125">
        <v>0</v>
      </c>
      <c r="AP24" s="125">
        <v>0</v>
      </c>
      <c r="AQ24" s="125">
        <v>0</v>
      </c>
      <c r="AR24" s="125">
        <v>0</v>
      </c>
      <c r="AS24" s="125">
        <v>0</v>
      </c>
      <c r="AT24" s="125">
        <v>0</v>
      </c>
      <c r="AU24" s="125">
        <v>0</v>
      </c>
      <c r="AV24" s="125">
        <v>0</v>
      </c>
      <c r="AW24" s="125">
        <v>0</v>
      </c>
      <c r="AX24" s="125">
        <v>0</v>
      </c>
      <c r="AY24" s="125">
        <v>0</v>
      </c>
    </row>
    <row r="25" spans="1:54">
      <c r="A25" s="126" t="s">
        <v>133</v>
      </c>
      <c r="B25" s="123">
        <v>1</v>
      </c>
      <c r="C25" s="109" t="s">
        <v>293</v>
      </c>
      <c r="D25" s="110"/>
      <c r="E25" s="110"/>
      <c r="F25" s="110"/>
      <c r="G25" s="110"/>
      <c r="H25" s="110"/>
      <c r="I25" s="110"/>
      <c r="J25" s="110"/>
      <c r="K25" s="110"/>
      <c r="L25" s="110"/>
      <c r="M25" s="110"/>
      <c r="N25" s="110"/>
      <c r="O25" s="110"/>
      <c r="P25" s="110"/>
      <c r="Q25" s="110"/>
      <c r="R25" s="110"/>
      <c r="S25" s="110"/>
      <c r="T25" s="110"/>
      <c r="U25" s="110"/>
      <c r="V25" s="110"/>
      <c r="W25" s="110"/>
      <c r="X25" s="110"/>
      <c r="Y25" s="110"/>
      <c r="Z25" s="110"/>
      <c r="AA25" s="110"/>
      <c r="AB25" s="110"/>
      <c r="AC25" s="110"/>
      <c r="AD25" s="110"/>
      <c r="AE25" s="110"/>
      <c r="AF25" s="110"/>
      <c r="AG25" s="110"/>
      <c r="AH25" s="110"/>
      <c r="AI25" s="110"/>
      <c r="AJ25" s="110"/>
      <c r="AK25" s="110"/>
      <c r="AL25" s="110"/>
      <c r="AM25" s="110"/>
      <c r="AN25" s="110"/>
      <c r="AO25" s="110"/>
      <c r="AP25" s="110"/>
      <c r="AQ25" s="110"/>
      <c r="AR25" s="110"/>
      <c r="AS25" s="110"/>
      <c r="AT25" s="110"/>
      <c r="AU25" s="110"/>
      <c r="AV25" s="110"/>
      <c r="AW25" s="110"/>
      <c r="AX25" s="110"/>
      <c r="AY25" s="110"/>
    </row>
    <row r="26" spans="1:54">
      <c r="A26" s="109"/>
      <c r="B26" s="119">
        <v>2</v>
      </c>
      <c r="C26" s="109" t="s">
        <v>293</v>
      </c>
      <c r="D26" s="110"/>
      <c r="E26" s="110"/>
      <c r="F26" s="110"/>
      <c r="G26" s="110"/>
      <c r="H26" s="110"/>
      <c r="I26" s="110"/>
      <c r="J26" s="110"/>
      <c r="K26" s="110"/>
      <c r="L26" s="110"/>
      <c r="M26" s="110"/>
      <c r="N26" s="110"/>
      <c r="O26" s="110"/>
      <c r="P26" s="110"/>
      <c r="Q26" s="110"/>
      <c r="R26" s="110"/>
      <c r="S26" s="110"/>
      <c r="T26" s="110"/>
      <c r="U26" s="110"/>
      <c r="V26" s="110"/>
      <c r="W26" s="110"/>
      <c r="X26" s="110"/>
      <c r="Y26" s="110"/>
      <c r="Z26" s="110"/>
      <c r="AA26" s="110"/>
      <c r="AB26" s="110"/>
      <c r="AC26" s="110"/>
      <c r="AD26" s="110"/>
      <c r="AE26" s="110"/>
      <c r="AF26" s="110"/>
      <c r="AG26" s="110"/>
      <c r="AH26" s="110"/>
      <c r="AI26" s="110"/>
      <c r="AJ26" s="110"/>
      <c r="AK26" s="110"/>
      <c r="AL26" s="110"/>
      <c r="AM26" s="110"/>
      <c r="AN26" s="110"/>
      <c r="AO26" s="110"/>
      <c r="AP26" s="110"/>
      <c r="AQ26" s="110"/>
      <c r="AR26" s="110"/>
      <c r="AS26" s="110"/>
      <c r="AT26" s="110"/>
      <c r="AU26" s="110"/>
      <c r="AV26" s="110"/>
      <c r="AW26" s="110"/>
      <c r="AX26" s="110"/>
      <c r="AY26" s="110"/>
    </row>
    <row r="27" spans="1:54">
      <c r="A27" s="109"/>
      <c r="B27" s="120">
        <v>3</v>
      </c>
      <c r="C27" s="109" t="s">
        <v>293</v>
      </c>
      <c r="D27" s="110"/>
      <c r="E27" s="110"/>
      <c r="F27" s="110"/>
      <c r="G27" s="110"/>
      <c r="H27" s="110"/>
      <c r="I27" s="110"/>
      <c r="J27" s="110"/>
      <c r="K27" s="110"/>
      <c r="L27" s="110"/>
      <c r="M27" s="110"/>
      <c r="N27" s="110"/>
      <c r="O27" s="110"/>
      <c r="P27" s="110"/>
      <c r="Q27" s="110"/>
      <c r="R27" s="110"/>
      <c r="S27" s="110"/>
      <c r="T27" s="110"/>
      <c r="U27" s="110"/>
      <c r="V27" s="110"/>
      <c r="W27" s="110"/>
      <c r="X27" s="110"/>
      <c r="Y27" s="110"/>
      <c r="Z27" s="110"/>
      <c r="AA27" s="110"/>
      <c r="AB27" s="110"/>
      <c r="AC27" s="110"/>
      <c r="AD27" s="110"/>
      <c r="AE27" s="110"/>
      <c r="AF27" s="110"/>
      <c r="AG27" s="110"/>
      <c r="AH27" s="110"/>
      <c r="AI27" s="110"/>
      <c r="AJ27" s="110"/>
      <c r="AK27" s="110"/>
      <c r="AL27" s="110"/>
      <c r="AM27" s="110"/>
      <c r="AN27" s="110"/>
      <c r="AO27" s="110"/>
      <c r="AP27" s="110"/>
      <c r="AQ27" s="110"/>
      <c r="AR27" s="110"/>
      <c r="AS27" s="110"/>
      <c r="AT27" s="110"/>
      <c r="AU27" s="110"/>
      <c r="AV27" s="110"/>
      <c r="AW27" s="110"/>
      <c r="AX27" s="110"/>
      <c r="AY27" s="110"/>
    </row>
    <row r="28" spans="1:54">
      <c r="A28" s="109"/>
      <c r="B28" s="120">
        <v>4</v>
      </c>
      <c r="C28" s="109" t="s">
        <v>293</v>
      </c>
      <c r="D28" s="110"/>
      <c r="E28" s="110"/>
      <c r="F28" s="110"/>
      <c r="G28" s="110"/>
      <c r="H28" s="110"/>
      <c r="I28" s="110"/>
      <c r="J28" s="110"/>
      <c r="K28" s="110"/>
      <c r="L28" s="110"/>
      <c r="M28" s="110"/>
      <c r="N28" s="110"/>
      <c r="O28" s="110"/>
      <c r="P28" s="110"/>
      <c r="Q28" s="110"/>
      <c r="R28" s="110"/>
      <c r="S28" s="110"/>
      <c r="T28" s="110"/>
      <c r="U28" s="110"/>
      <c r="V28" s="110"/>
      <c r="W28" s="110"/>
      <c r="X28" s="110"/>
      <c r="Y28" s="110"/>
      <c r="Z28" s="110"/>
      <c r="AA28" s="110"/>
      <c r="AB28" s="110"/>
      <c r="AC28" s="110"/>
      <c r="AD28" s="110"/>
      <c r="AE28" s="110"/>
      <c r="AF28" s="110"/>
      <c r="AG28" s="110"/>
      <c r="AH28" s="110"/>
      <c r="AI28" s="110"/>
      <c r="AJ28" s="110"/>
      <c r="AK28" s="110"/>
      <c r="AL28" s="110"/>
      <c r="AM28" s="110"/>
      <c r="AN28" s="110"/>
      <c r="AO28" s="110"/>
      <c r="AP28" s="110"/>
      <c r="AQ28" s="110"/>
      <c r="AR28" s="110"/>
      <c r="AS28" s="110"/>
      <c r="AT28" s="110"/>
      <c r="AU28" s="110"/>
      <c r="AV28" s="110"/>
      <c r="AW28" s="110"/>
      <c r="AX28" s="110"/>
      <c r="AY28" s="110"/>
    </row>
    <row r="29" spans="1:54">
      <c r="A29" s="109"/>
      <c r="B29" s="127">
        <v>5</v>
      </c>
      <c r="C29" s="109" t="s">
        <v>293</v>
      </c>
      <c r="D29" s="110"/>
      <c r="E29" s="110"/>
      <c r="F29" s="110"/>
      <c r="G29" s="110"/>
      <c r="H29" s="110"/>
      <c r="I29" s="110"/>
      <c r="J29" s="110"/>
      <c r="K29" s="110"/>
      <c r="L29" s="110"/>
      <c r="M29" s="110"/>
      <c r="N29" s="110"/>
      <c r="O29" s="110"/>
      <c r="P29" s="110"/>
      <c r="Q29" s="110"/>
      <c r="R29" s="110"/>
      <c r="S29" s="110"/>
      <c r="T29" s="110"/>
      <c r="U29" s="110"/>
      <c r="V29" s="110"/>
      <c r="W29" s="110"/>
      <c r="X29" s="110"/>
      <c r="Y29" s="110"/>
      <c r="Z29" s="110"/>
      <c r="AA29" s="110"/>
      <c r="AB29" s="110"/>
      <c r="AC29" s="110"/>
      <c r="AD29" s="110"/>
      <c r="AE29" s="110"/>
      <c r="AF29" s="110"/>
      <c r="AG29" s="110"/>
      <c r="AH29" s="110"/>
      <c r="AI29" s="110"/>
      <c r="AJ29" s="110"/>
      <c r="AK29" s="110"/>
      <c r="AL29" s="110"/>
      <c r="AM29" s="110"/>
      <c r="AN29" s="110"/>
      <c r="AO29" s="110"/>
      <c r="AP29" s="110"/>
      <c r="AQ29" s="110"/>
      <c r="AR29" s="110"/>
      <c r="AS29" s="110"/>
      <c r="AT29" s="110"/>
      <c r="AU29" s="110"/>
      <c r="AV29" s="110"/>
      <c r="AW29" s="110"/>
      <c r="AX29" s="110"/>
      <c r="AY29" s="110"/>
    </row>
    <row r="30" spans="1:54">
      <c r="A30" s="109"/>
      <c r="B30" s="127">
        <v>6</v>
      </c>
      <c r="C30" s="109" t="s">
        <v>293</v>
      </c>
      <c r="D30" s="110"/>
      <c r="E30" s="110"/>
      <c r="F30" s="110"/>
      <c r="G30" s="110"/>
      <c r="H30" s="110"/>
      <c r="I30" s="110"/>
      <c r="J30" s="110"/>
      <c r="K30" s="110"/>
      <c r="L30" s="110"/>
      <c r="M30" s="110"/>
      <c r="N30" s="110"/>
      <c r="O30" s="110"/>
      <c r="P30" s="110"/>
      <c r="Q30" s="110"/>
      <c r="R30" s="110"/>
      <c r="S30" s="110"/>
      <c r="T30" s="110"/>
      <c r="U30" s="110"/>
      <c r="V30" s="110"/>
      <c r="W30" s="110"/>
      <c r="X30" s="110"/>
      <c r="Y30" s="110"/>
      <c r="Z30" s="110"/>
      <c r="AA30" s="110"/>
      <c r="AB30" s="110"/>
      <c r="AC30" s="110"/>
      <c r="AD30" s="110"/>
      <c r="AE30" s="110"/>
      <c r="AF30" s="110"/>
      <c r="AG30" s="110"/>
      <c r="AH30" s="110"/>
      <c r="AI30" s="110"/>
      <c r="AJ30" s="110"/>
      <c r="AK30" s="110"/>
      <c r="AL30" s="110"/>
      <c r="AM30" s="110"/>
      <c r="AN30" s="110"/>
      <c r="AO30" s="110"/>
      <c r="AP30" s="110"/>
      <c r="AQ30" s="110"/>
      <c r="AR30" s="110"/>
      <c r="AS30" s="110"/>
      <c r="AT30" s="110"/>
      <c r="AU30" s="110"/>
      <c r="AV30" s="110"/>
      <c r="AW30" s="110"/>
      <c r="AX30" s="110"/>
      <c r="AY30" s="110"/>
    </row>
    <row r="31" spans="1:54">
      <c r="A31" s="109"/>
      <c r="B31" s="130">
        <v>7</v>
      </c>
      <c r="C31" s="109" t="s">
        <v>293</v>
      </c>
      <c r="D31" s="110"/>
      <c r="E31" s="110"/>
      <c r="F31" s="110"/>
      <c r="G31" s="110"/>
      <c r="H31" s="110"/>
      <c r="I31" s="110"/>
      <c r="J31" s="110"/>
      <c r="K31" s="110"/>
      <c r="L31" s="110"/>
      <c r="M31" s="110"/>
      <c r="N31" s="110"/>
      <c r="O31" s="110"/>
      <c r="P31" s="110"/>
      <c r="Q31" s="110"/>
      <c r="R31" s="110"/>
      <c r="S31" s="110"/>
      <c r="T31" s="110"/>
      <c r="U31" s="110"/>
      <c r="V31" s="110"/>
      <c r="W31" s="110"/>
      <c r="X31" s="110"/>
      <c r="Y31" s="110"/>
      <c r="Z31" s="110"/>
      <c r="AA31" s="110"/>
      <c r="AB31" s="110"/>
      <c r="AC31" s="110"/>
      <c r="AD31" s="110"/>
      <c r="AE31" s="110"/>
      <c r="AF31" s="110"/>
      <c r="AG31" s="110"/>
      <c r="AH31" s="110"/>
      <c r="AI31" s="110"/>
      <c r="AJ31" s="110"/>
      <c r="AK31" s="110"/>
      <c r="AL31" s="110"/>
      <c r="AM31" s="110"/>
      <c r="AN31" s="110"/>
      <c r="AO31" s="110"/>
      <c r="AP31" s="110"/>
      <c r="AQ31" s="110"/>
      <c r="AR31" s="110"/>
      <c r="AS31" s="110"/>
      <c r="AT31" s="110"/>
      <c r="AU31" s="110"/>
      <c r="AV31" s="110"/>
      <c r="AW31" s="110"/>
      <c r="AX31" s="110"/>
      <c r="AY31" s="110"/>
    </row>
    <row r="32" spans="1:54">
      <c r="A32" s="128"/>
      <c r="B32" s="129">
        <v>8</v>
      </c>
      <c r="C32" s="128" t="s">
        <v>293</v>
      </c>
      <c r="D32" s="125">
        <v>0</v>
      </c>
      <c r="E32" s="125">
        <v>0</v>
      </c>
      <c r="F32" s="125">
        <v>0</v>
      </c>
      <c r="G32" s="125">
        <v>0</v>
      </c>
      <c r="H32" s="125">
        <v>0</v>
      </c>
      <c r="I32" s="125">
        <v>0</v>
      </c>
      <c r="J32" s="125">
        <v>0</v>
      </c>
      <c r="K32" s="125">
        <v>0</v>
      </c>
      <c r="L32" s="125">
        <v>0</v>
      </c>
      <c r="M32" s="125">
        <v>0</v>
      </c>
      <c r="N32" s="125">
        <v>0</v>
      </c>
      <c r="O32" s="125">
        <v>0</v>
      </c>
      <c r="P32" s="125">
        <v>0</v>
      </c>
      <c r="Q32" s="125">
        <v>0</v>
      </c>
      <c r="R32" s="125">
        <v>0</v>
      </c>
      <c r="S32" s="125">
        <v>0</v>
      </c>
      <c r="T32" s="125">
        <v>0</v>
      </c>
      <c r="U32" s="125">
        <v>0</v>
      </c>
      <c r="V32" s="125">
        <v>0</v>
      </c>
      <c r="W32" s="125">
        <v>0</v>
      </c>
      <c r="X32" s="125">
        <v>0</v>
      </c>
      <c r="Y32" s="125">
        <v>0</v>
      </c>
      <c r="Z32" s="125">
        <v>0</v>
      </c>
      <c r="AA32" s="125">
        <v>0</v>
      </c>
      <c r="AB32" s="125">
        <v>0</v>
      </c>
      <c r="AC32" s="125">
        <v>0</v>
      </c>
      <c r="AD32" s="125">
        <v>0</v>
      </c>
      <c r="AE32" s="125">
        <v>0</v>
      </c>
      <c r="AF32" s="125">
        <v>0</v>
      </c>
      <c r="AG32" s="125">
        <v>0</v>
      </c>
      <c r="AH32" s="125">
        <v>0</v>
      </c>
      <c r="AI32" s="125">
        <v>0</v>
      </c>
      <c r="AJ32" s="125">
        <v>0</v>
      </c>
      <c r="AK32" s="125">
        <v>0</v>
      </c>
      <c r="AL32" s="125">
        <v>0</v>
      </c>
      <c r="AM32" s="125">
        <v>0</v>
      </c>
      <c r="AN32" s="125">
        <v>0</v>
      </c>
      <c r="AO32" s="125">
        <v>0</v>
      </c>
      <c r="AP32" s="125">
        <v>0</v>
      </c>
      <c r="AQ32" s="125">
        <v>0</v>
      </c>
      <c r="AR32" s="125">
        <v>0</v>
      </c>
      <c r="AS32" s="125">
        <v>0</v>
      </c>
      <c r="AT32" s="125">
        <v>0</v>
      </c>
      <c r="AU32" s="125">
        <v>0</v>
      </c>
      <c r="AV32" s="125">
        <v>0</v>
      </c>
      <c r="AW32" s="125">
        <v>0</v>
      </c>
      <c r="AX32" s="125">
        <v>0</v>
      </c>
      <c r="AY32" s="125">
        <v>0</v>
      </c>
    </row>
    <row r="33" spans="1:51">
      <c r="A33" s="131" t="s">
        <v>134</v>
      </c>
      <c r="B33" s="119">
        <v>1</v>
      </c>
      <c r="C33" s="109" t="s">
        <v>293</v>
      </c>
      <c r="D33" s="106"/>
      <c r="E33" s="106"/>
      <c r="F33" s="106"/>
      <c r="G33" s="106"/>
      <c r="H33" s="106"/>
      <c r="I33" s="106"/>
      <c r="J33" s="106"/>
      <c r="K33" s="106"/>
      <c r="L33" s="106"/>
      <c r="M33" s="106"/>
      <c r="N33" s="106"/>
      <c r="O33" s="106"/>
      <c r="P33" s="106"/>
      <c r="Q33" s="106"/>
      <c r="R33" s="106"/>
      <c r="S33" s="106"/>
      <c r="T33" s="106"/>
      <c r="U33" s="106"/>
      <c r="V33" s="106"/>
      <c r="W33" s="106"/>
      <c r="X33" s="106"/>
      <c r="Y33" s="106"/>
      <c r="Z33" s="106"/>
      <c r="AA33" s="106"/>
      <c r="AB33" s="106"/>
      <c r="AC33" s="106"/>
      <c r="AD33" s="106"/>
      <c r="AE33" s="106"/>
      <c r="AF33" s="106"/>
      <c r="AG33" s="106"/>
      <c r="AH33" s="106"/>
      <c r="AI33" s="106"/>
      <c r="AJ33" s="106"/>
      <c r="AK33" s="106"/>
      <c r="AL33" s="106"/>
      <c r="AM33" s="106"/>
      <c r="AN33" s="106"/>
      <c r="AO33" s="106"/>
      <c r="AP33" s="106"/>
      <c r="AQ33" s="106"/>
      <c r="AR33" s="106"/>
      <c r="AS33" s="106"/>
      <c r="AT33" s="106"/>
      <c r="AU33" s="106"/>
      <c r="AV33" s="106"/>
      <c r="AW33" s="106"/>
      <c r="AX33" s="106"/>
      <c r="AY33" s="106"/>
    </row>
    <row r="34" spans="1:51">
      <c r="A34" s="109"/>
      <c r="B34" s="119">
        <v>2</v>
      </c>
      <c r="C34" s="109" t="s">
        <v>293</v>
      </c>
      <c r="D34" s="106"/>
      <c r="E34" s="106"/>
      <c r="F34" s="106"/>
      <c r="G34" s="106"/>
      <c r="H34" s="106"/>
      <c r="I34" s="106"/>
      <c r="J34" s="106"/>
      <c r="K34" s="106"/>
      <c r="L34" s="106"/>
      <c r="M34" s="106"/>
      <c r="N34" s="106"/>
      <c r="O34" s="106"/>
      <c r="P34" s="106"/>
      <c r="Q34" s="106"/>
      <c r="R34" s="106"/>
      <c r="S34" s="106"/>
      <c r="T34" s="106"/>
      <c r="U34" s="106"/>
      <c r="V34" s="106"/>
      <c r="W34" s="106"/>
      <c r="X34" s="106"/>
      <c r="Y34" s="106"/>
      <c r="Z34" s="106"/>
      <c r="AA34" s="106"/>
      <c r="AB34" s="106"/>
      <c r="AC34" s="106"/>
      <c r="AD34" s="106"/>
      <c r="AE34" s="106"/>
      <c r="AF34" s="106"/>
      <c r="AG34" s="106"/>
      <c r="AH34" s="106"/>
      <c r="AI34" s="106"/>
      <c r="AJ34" s="106"/>
      <c r="AK34" s="106"/>
      <c r="AL34" s="106"/>
      <c r="AM34" s="106"/>
      <c r="AN34" s="106"/>
      <c r="AO34" s="106"/>
      <c r="AP34" s="106"/>
      <c r="AQ34" s="106"/>
      <c r="AR34" s="106"/>
      <c r="AS34" s="106"/>
      <c r="AT34" s="106"/>
      <c r="AU34" s="106"/>
      <c r="AV34" s="106"/>
      <c r="AW34" s="106"/>
      <c r="AX34" s="106"/>
      <c r="AY34" s="106"/>
    </row>
    <row r="35" spans="1:51">
      <c r="A35" s="109"/>
      <c r="B35" s="119">
        <v>3</v>
      </c>
      <c r="C35" s="109" t="s">
        <v>293</v>
      </c>
      <c r="D35" s="106"/>
      <c r="E35" s="106"/>
      <c r="F35" s="106"/>
      <c r="G35" s="106"/>
      <c r="H35" s="106"/>
      <c r="I35" s="106"/>
      <c r="J35" s="106"/>
      <c r="K35" s="106"/>
      <c r="L35" s="106"/>
      <c r="M35" s="106"/>
      <c r="N35" s="106"/>
      <c r="O35" s="106"/>
      <c r="P35" s="106"/>
      <c r="Q35" s="106"/>
      <c r="R35" s="106"/>
      <c r="S35" s="106"/>
      <c r="T35" s="106"/>
      <c r="U35" s="106"/>
      <c r="V35" s="106"/>
      <c r="W35" s="106"/>
      <c r="X35" s="106"/>
      <c r="Y35" s="106"/>
      <c r="Z35" s="106"/>
      <c r="AA35" s="106"/>
      <c r="AB35" s="106"/>
      <c r="AC35" s="106"/>
      <c r="AD35" s="106"/>
      <c r="AE35" s="106"/>
      <c r="AF35" s="106"/>
      <c r="AG35" s="106"/>
      <c r="AH35" s="106"/>
      <c r="AI35" s="106"/>
      <c r="AJ35" s="106"/>
      <c r="AK35" s="106"/>
      <c r="AL35" s="106"/>
      <c r="AM35" s="106"/>
      <c r="AN35" s="106"/>
      <c r="AO35" s="106"/>
      <c r="AP35" s="106"/>
      <c r="AQ35" s="106"/>
      <c r="AR35" s="106"/>
      <c r="AS35" s="106"/>
      <c r="AT35" s="106"/>
      <c r="AU35" s="106"/>
      <c r="AV35" s="106"/>
      <c r="AW35" s="106"/>
      <c r="AX35" s="106"/>
      <c r="AY35" s="106"/>
    </row>
    <row r="36" spans="1:51">
      <c r="A36" s="109"/>
      <c r="B36" s="120">
        <v>4</v>
      </c>
      <c r="C36" s="109" t="s">
        <v>293</v>
      </c>
      <c r="D36" s="106"/>
      <c r="E36" s="106"/>
      <c r="F36" s="106"/>
      <c r="G36" s="106"/>
      <c r="H36" s="106"/>
      <c r="I36" s="106"/>
      <c r="J36" s="106"/>
      <c r="K36" s="106"/>
      <c r="L36" s="106"/>
      <c r="M36" s="106"/>
      <c r="N36" s="106"/>
      <c r="O36" s="106"/>
      <c r="P36" s="106"/>
      <c r="Q36" s="106"/>
      <c r="R36" s="106"/>
      <c r="S36" s="106"/>
      <c r="T36" s="106"/>
      <c r="U36" s="106"/>
      <c r="V36" s="106"/>
      <c r="W36" s="106"/>
      <c r="X36" s="106"/>
      <c r="Y36" s="106"/>
      <c r="Z36" s="106"/>
      <c r="AA36" s="106"/>
      <c r="AB36" s="106"/>
      <c r="AC36" s="106"/>
      <c r="AD36" s="106"/>
      <c r="AE36" s="106"/>
      <c r="AF36" s="106"/>
      <c r="AG36" s="106"/>
      <c r="AH36" s="106"/>
      <c r="AI36" s="106"/>
      <c r="AJ36" s="106"/>
      <c r="AK36" s="106"/>
      <c r="AL36" s="106"/>
      <c r="AM36" s="106"/>
      <c r="AN36" s="106"/>
      <c r="AO36" s="106"/>
      <c r="AP36" s="106"/>
      <c r="AQ36" s="106"/>
      <c r="AR36" s="106"/>
      <c r="AS36" s="106"/>
      <c r="AT36" s="106"/>
      <c r="AU36" s="106"/>
      <c r="AV36" s="106"/>
      <c r="AW36" s="106"/>
      <c r="AX36" s="106"/>
      <c r="AY36" s="106"/>
    </row>
    <row r="37" spans="1:51">
      <c r="A37" s="109"/>
      <c r="B37" s="120">
        <v>5</v>
      </c>
      <c r="C37" s="109" t="s">
        <v>293</v>
      </c>
      <c r="D37" s="106"/>
      <c r="E37" s="106"/>
      <c r="F37" s="106"/>
      <c r="G37" s="106"/>
      <c r="H37" s="106"/>
      <c r="I37" s="106"/>
      <c r="J37" s="106"/>
      <c r="K37" s="106"/>
      <c r="L37" s="106"/>
      <c r="M37" s="106"/>
      <c r="N37" s="106"/>
      <c r="O37" s="106"/>
      <c r="P37" s="106"/>
      <c r="Q37" s="106"/>
      <c r="R37" s="106"/>
      <c r="S37" s="106"/>
      <c r="T37" s="106"/>
      <c r="U37" s="106"/>
      <c r="V37" s="106"/>
      <c r="W37" s="106"/>
      <c r="X37" s="106"/>
      <c r="Y37" s="106"/>
      <c r="Z37" s="106"/>
      <c r="AA37" s="106"/>
      <c r="AB37" s="106"/>
      <c r="AC37" s="106"/>
      <c r="AD37" s="106"/>
      <c r="AE37" s="106"/>
      <c r="AF37" s="106"/>
      <c r="AG37" s="106"/>
      <c r="AH37" s="106"/>
      <c r="AI37" s="106"/>
      <c r="AJ37" s="106"/>
      <c r="AK37" s="106"/>
      <c r="AL37" s="106"/>
      <c r="AM37" s="106"/>
      <c r="AN37" s="106"/>
      <c r="AO37" s="106"/>
      <c r="AP37" s="106"/>
      <c r="AQ37" s="106"/>
      <c r="AR37" s="106"/>
      <c r="AS37" s="106"/>
      <c r="AT37" s="106"/>
      <c r="AU37" s="106"/>
      <c r="AV37" s="106"/>
      <c r="AW37" s="106"/>
      <c r="AX37" s="106"/>
      <c r="AY37" s="106"/>
    </row>
    <row r="38" spans="1:51">
      <c r="A38" s="109"/>
      <c r="B38" s="120">
        <v>6</v>
      </c>
      <c r="C38" s="109" t="s">
        <v>293</v>
      </c>
      <c r="D38" s="106"/>
      <c r="E38" s="106"/>
      <c r="F38" s="106"/>
      <c r="G38" s="106"/>
      <c r="H38" s="106"/>
      <c r="I38" s="106"/>
      <c r="J38" s="106"/>
      <c r="K38" s="106"/>
      <c r="L38" s="106"/>
      <c r="M38" s="106"/>
      <c r="N38" s="106"/>
      <c r="O38" s="106"/>
      <c r="P38" s="106"/>
      <c r="Q38" s="106"/>
      <c r="R38" s="106"/>
      <c r="S38" s="106"/>
      <c r="T38" s="106"/>
      <c r="U38" s="106"/>
      <c r="V38" s="106"/>
      <c r="W38" s="106"/>
      <c r="X38" s="106"/>
      <c r="Y38" s="106"/>
      <c r="Z38" s="106"/>
      <c r="AA38" s="106"/>
      <c r="AB38" s="106"/>
      <c r="AC38" s="106"/>
      <c r="AD38" s="106"/>
      <c r="AE38" s="106"/>
      <c r="AF38" s="106"/>
      <c r="AG38" s="106"/>
      <c r="AH38" s="106"/>
      <c r="AI38" s="106"/>
      <c r="AJ38" s="106"/>
      <c r="AK38" s="106"/>
      <c r="AL38" s="106"/>
      <c r="AM38" s="106"/>
      <c r="AN38" s="106"/>
      <c r="AO38" s="106"/>
      <c r="AP38" s="106"/>
      <c r="AQ38" s="106"/>
      <c r="AR38" s="106"/>
      <c r="AS38" s="106"/>
      <c r="AT38" s="106"/>
      <c r="AU38" s="106"/>
      <c r="AV38" s="106"/>
      <c r="AW38" s="106"/>
      <c r="AX38" s="106"/>
      <c r="AY38" s="106"/>
    </row>
    <row r="39" spans="1:51">
      <c r="A39" s="109"/>
      <c r="B39" s="127">
        <v>7</v>
      </c>
      <c r="C39" s="109" t="s">
        <v>293</v>
      </c>
      <c r="D39" s="106"/>
      <c r="E39" s="106"/>
      <c r="F39" s="106"/>
      <c r="G39" s="106"/>
      <c r="H39" s="106"/>
      <c r="I39" s="106"/>
      <c r="J39" s="106"/>
      <c r="K39" s="106"/>
      <c r="L39" s="106"/>
      <c r="M39" s="106"/>
      <c r="N39" s="106"/>
      <c r="O39" s="106"/>
      <c r="P39" s="106"/>
      <c r="Q39" s="106"/>
      <c r="R39" s="106"/>
      <c r="S39" s="106"/>
      <c r="T39" s="106"/>
      <c r="U39" s="106"/>
      <c r="V39" s="106"/>
      <c r="W39" s="106"/>
      <c r="X39" s="106"/>
      <c r="Y39" s="106"/>
      <c r="Z39" s="106"/>
      <c r="AA39" s="106"/>
      <c r="AB39" s="106"/>
      <c r="AC39" s="106"/>
      <c r="AD39" s="106"/>
      <c r="AE39" s="106"/>
      <c r="AF39" s="106"/>
      <c r="AG39" s="106"/>
      <c r="AH39" s="106"/>
      <c r="AI39" s="106"/>
      <c r="AJ39" s="106"/>
      <c r="AK39" s="106"/>
      <c r="AL39" s="106"/>
      <c r="AM39" s="106"/>
      <c r="AN39" s="106"/>
      <c r="AO39" s="106"/>
      <c r="AP39" s="106"/>
      <c r="AQ39" s="106"/>
      <c r="AR39" s="106"/>
      <c r="AS39" s="106"/>
      <c r="AT39" s="106"/>
      <c r="AU39" s="106"/>
      <c r="AV39" s="106"/>
      <c r="AW39" s="106"/>
      <c r="AX39" s="106"/>
      <c r="AY39" s="106"/>
    </row>
    <row r="40" spans="1:51">
      <c r="A40" s="109"/>
      <c r="B40" s="127">
        <v>8</v>
      </c>
      <c r="C40" s="109" t="s">
        <v>293</v>
      </c>
      <c r="D40" s="106"/>
      <c r="E40" s="106"/>
      <c r="F40" s="106"/>
      <c r="G40" s="106"/>
      <c r="H40" s="106"/>
      <c r="I40" s="106"/>
      <c r="J40" s="106"/>
      <c r="K40" s="106"/>
      <c r="L40" s="106"/>
      <c r="M40" s="106"/>
      <c r="N40" s="106"/>
      <c r="O40" s="106"/>
      <c r="P40" s="106"/>
      <c r="Q40" s="106"/>
      <c r="R40" s="106"/>
      <c r="S40" s="106"/>
      <c r="T40" s="106"/>
      <c r="U40" s="106"/>
      <c r="V40" s="106"/>
      <c r="W40" s="106"/>
      <c r="X40" s="106"/>
      <c r="Y40" s="106"/>
      <c r="Z40" s="106"/>
      <c r="AA40" s="106"/>
      <c r="AB40" s="106"/>
      <c r="AC40" s="106"/>
      <c r="AD40" s="106"/>
      <c r="AE40" s="106"/>
      <c r="AF40" s="106"/>
      <c r="AG40" s="106"/>
      <c r="AH40" s="106"/>
      <c r="AI40" s="106"/>
      <c r="AJ40" s="106"/>
      <c r="AK40" s="106"/>
      <c r="AL40" s="106"/>
      <c r="AM40" s="106"/>
      <c r="AN40" s="106"/>
      <c r="AO40" s="106"/>
      <c r="AP40" s="106"/>
      <c r="AQ40" s="106"/>
      <c r="AR40" s="106"/>
      <c r="AS40" s="106"/>
      <c r="AT40" s="106"/>
      <c r="AU40" s="106"/>
      <c r="AV40" s="106"/>
      <c r="AW40" s="106"/>
      <c r="AX40" s="106"/>
      <c r="AY40" s="106"/>
    </row>
    <row r="41" spans="1:51">
      <c r="A41" s="109"/>
      <c r="B41" s="127">
        <v>9</v>
      </c>
      <c r="C41" s="109" t="s">
        <v>293</v>
      </c>
      <c r="D41" s="106"/>
      <c r="E41" s="106"/>
      <c r="F41" s="106"/>
      <c r="G41" s="106"/>
      <c r="H41" s="106"/>
      <c r="I41" s="106"/>
      <c r="J41" s="106"/>
      <c r="K41" s="106"/>
      <c r="L41" s="106"/>
      <c r="M41" s="106"/>
      <c r="N41" s="106"/>
      <c r="O41" s="106"/>
      <c r="P41" s="106"/>
      <c r="Q41" s="106"/>
      <c r="R41" s="106"/>
      <c r="S41" s="106"/>
      <c r="T41" s="106"/>
      <c r="U41" s="106"/>
      <c r="V41" s="106"/>
      <c r="W41" s="106"/>
      <c r="X41" s="106"/>
      <c r="Y41" s="106"/>
      <c r="Z41" s="106"/>
      <c r="AA41" s="106"/>
      <c r="AB41" s="106"/>
      <c r="AC41" s="106"/>
      <c r="AD41" s="106"/>
      <c r="AE41" s="106"/>
      <c r="AF41" s="106"/>
      <c r="AG41" s="106"/>
      <c r="AH41" s="106"/>
      <c r="AI41" s="106"/>
      <c r="AJ41" s="106"/>
      <c r="AK41" s="106"/>
      <c r="AL41" s="106"/>
      <c r="AM41" s="106"/>
      <c r="AN41" s="106"/>
      <c r="AO41" s="106"/>
      <c r="AP41" s="106"/>
      <c r="AQ41" s="106"/>
      <c r="AR41" s="106"/>
      <c r="AS41" s="106"/>
      <c r="AT41" s="106"/>
      <c r="AU41" s="106"/>
      <c r="AV41" s="106"/>
      <c r="AW41" s="106"/>
      <c r="AX41" s="106"/>
      <c r="AY41" s="106"/>
    </row>
    <row r="42" spans="1:51">
      <c r="A42" s="109"/>
      <c r="B42" s="130">
        <v>10</v>
      </c>
      <c r="C42" s="109" t="s">
        <v>293</v>
      </c>
      <c r="D42" s="106"/>
      <c r="E42" s="106"/>
      <c r="F42" s="106"/>
      <c r="G42" s="106"/>
      <c r="H42" s="106"/>
      <c r="I42" s="106"/>
      <c r="J42" s="106"/>
      <c r="K42" s="106"/>
      <c r="L42" s="106"/>
      <c r="M42" s="106"/>
      <c r="N42" s="106"/>
      <c r="O42" s="106"/>
      <c r="P42" s="106"/>
      <c r="Q42" s="106"/>
      <c r="R42" s="106"/>
      <c r="S42" s="106"/>
      <c r="T42" s="106"/>
      <c r="U42" s="106"/>
      <c r="V42" s="106"/>
      <c r="W42" s="106"/>
      <c r="X42" s="106"/>
      <c r="Y42" s="106"/>
      <c r="Z42" s="106"/>
      <c r="AA42" s="106"/>
      <c r="AB42" s="106"/>
      <c r="AC42" s="106"/>
      <c r="AD42" s="106"/>
      <c r="AE42" s="106"/>
      <c r="AF42" s="106"/>
      <c r="AG42" s="106"/>
      <c r="AH42" s="106"/>
      <c r="AI42" s="106"/>
      <c r="AJ42" s="106"/>
      <c r="AK42" s="106"/>
      <c r="AL42" s="106"/>
      <c r="AM42" s="106"/>
      <c r="AN42" s="106"/>
      <c r="AO42" s="106"/>
      <c r="AP42" s="106"/>
      <c r="AQ42" s="106"/>
      <c r="AR42" s="106"/>
      <c r="AS42" s="106"/>
      <c r="AT42" s="106"/>
      <c r="AU42" s="106"/>
      <c r="AV42" s="106"/>
      <c r="AW42" s="106"/>
      <c r="AX42" s="106"/>
      <c r="AY42" s="106"/>
    </row>
    <row r="43" spans="1:51">
      <c r="A43" s="109"/>
      <c r="B43" s="130">
        <v>11</v>
      </c>
      <c r="C43" s="109" t="s">
        <v>293</v>
      </c>
      <c r="D43" s="106"/>
      <c r="E43" s="106"/>
      <c r="F43" s="106"/>
      <c r="G43" s="106"/>
      <c r="H43" s="106"/>
      <c r="I43" s="106"/>
      <c r="J43" s="106"/>
      <c r="K43" s="106"/>
      <c r="L43" s="106"/>
      <c r="M43" s="106"/>
      <c r="N43" s="106"/>
      <c r="O43" s="106"/>
      <c r="P43" s="106"/>
      <c r="Q43" s="106"/>
      <c r="R43" s="106"/>
      <c r="S43" s="106"/>
      <c r="T43" s="106"/>
      <c r="U43" s="106"/>
      <c r="V43" s="106"/>
      <c r="W43" s="106"/>
      <c r="X43" s="106"/>
      <c r="Y43" s="106"/>
      <c r="Z43" s="106"/>
      <c r="AA43" s="106"/>
      <c r="AB43" s="106"/>
      <c r="AC43" s="106"/>
      <c r="AD43" s="106"/>
      <c r="AE43" s="106"/>
      <c r="AF43" s="106"/>
      <c r="AG43" s="106"/>
      <c r="AH43" s="106"/>
      <c r="AI43" s="106"/>
      <c r="AJ43" s="106"/>
      <c r="AK43" s="106"/>
      <c r="AL43" s="106"/>
      <c r="AM43" s="106"/>
      <c r="AN43" s="106"/>
      <c r="AO43" s="106"/>
      <c r="AP43" s="106"/>
      <c r="AQ43" s="106"/>
      <c r="AR43" s="106"/>
      <c r="AS43" s="106"/>
      <c r="AT43" s="106"/>
      <c r="AU43" s="106"/>
      <c r="AV43" s="106"/>
      <c r="AW43" s="106"/>
      <c r="AX43" s="106"/>
      <c r="AY43" s="106"/>
    </row>
    <row r="44" spans="1:51">
      <c r="A44" s="109"/>
      <c r="B44" s="130">
        <v>12</v>
      </c>
      <c r="C44" s="128" t="s">
        <v>293</v>
      </c>
      <c r="D44" s="106">
        <v>0</v>
      </c>
      <c r="E44" s="106">
        <v>0</v>
      </c>
      <c r="F44" s="106">
        <v>0</v>
      </c>
      <c r="G44" s="106">
        <v>0</v>
      </c>
      <c r="H44" s="106">
        <v>0</v>
      </c>
      <c r="I44" s="106">
        <v>0</v>
      </c>
      <c r="J44" s="106">
        <v>0</v>
      </c>
      <c r="K44" s="106">
        <v>0</v>
      </c>
      <c r="L44" s="106">
        <v>0</v>
      </c>
      <c r="M44" s="106">
        <v>0</v>
      </c>
      <c r="N44" s="106">
        <v>0</v>
      </c>
      <c r="O44" s="106">
        <v>0</v>
      </c>
      <c r="P44" s="106">
        <v>0</v>
      </c>
      <c r="Q44" s="106">
        <v>0</v>
      </c>
      <c r="R44" s="106">
        <v>0</v>
      </c>
      <c r="S44" s="106">
        <v>0</v>
      </c>
      <c r="T44" s="106">
        <v>0</v>
      </c>
      <c r="U44" s="106">
        <v>0</v>
      </c>
      <c r="V44" s="106">
        <v>0</v>
      </c>
      <c r="W44" s="106">
        <v>0</v>
      </c>
      <c r="X44" s="106">
        <v>0</v>
      </c>
      <c r="Y44" s="106">
        <v>0</v>
      </c>
      <c r="Z44" s="106">
        <v>0</v>
      </c>
      <c r="AA44" s="106">
        <v>0</v>
      </c>
      <c r="AB44" s="106">
        <v>0</v>
      </c>
      <c r="AC44" s="106">
        <v>0</v>
      </c>
      <c r="AD44" s="106">
        <v>0</v>
      </c>
      <c r="AE44" s="106">
        <v>0</v>
      </c>
      <c r="AF44" s="106">
        <v>0</v>
      </c>
      <c r="AG44" s="106">
        <v>0</v>
      </c>
      <c r="AH44" s="106">
        <v>0</v>
      </c>
      <c r="AI44" s="106">
        <v>0</v>
      </c>
      <c r="AJ44" s="106">
        <v>0</v>
      </c>
      <c r="AK44" s="106">
        <v>0</v>
      </c>
      <c r="AL44" s="106">
        <v>0</v>
      </c>
      <c r="AM44" s="106">
        <v>0</v>
      </c>
      <c r="AN44" s="106">
        <v>0</v>
      </c>
      <c r="AO44" s="106">
        <v>0</v>
      </c>
      <c r="AP44" s="106">
        <v>0</v>
      </c>
      <c r="AQ44" s="106">
        <v>0</v>
      </c>
      <c r="AR44" s="106">
        <v>0</v>
      </c>
      <c r="AS44" s="106">
        <v>0</v>
      </c>
      <c r="AT44" s="106">
        <v>0</v>
      </c>
      <c r="AU44" s="106">
        <v>0</v>
      </c>
      <c r="AV44" s="106">
        <v>0</v>
      </c>
      <c r="AW44" s="106">
        <v>0</v>
      </c>
      <c r="AX44" s="106">
        <v>0</v>
      </c>
      <c r="AY44" s="106">
        <v>0</v>
      </c>
    </row>
    <row r="45" spans="1:51">
      <c r="A45" s="126" t="s">
        <v>123</v>
      </c>
      <c r="B45" s="123">
        <v>1</v>
      </c>
      <c r="C45" s="109" t="s">
        <v>293</v>
      </c>
      <c r="D45" s="124"/>
      <c r="E45" s="124"/>
      <c r="F45" s="124"/>
      <c r="G45" s="124"/>
      <c r="H45" s="124"/>
      <c r="I45" s="124"/>
      <c r="J45" s="124"/>
      <c r="K45" s="124"/>
      <c r="L45" s="124"/>
      <c r="M45" s="124"/>
      <c r="N45" s="124"/>
      <c r="O45" s="124"/>
      <c r="P45" s="124"/>
      <c r="Q45" s="124"/>
      <c r="R45" s="124"/>
      <c r="S45" s="124"/>
      <c r="T45" s="124"/>
      <c r="U45" s="124"/>
      <c r="V45" s="124"/>
      <c r="W45" s="124"/>
      <c r="X45" s="124"/>
      <c r="Y45" s="124"/>
      <c r="Z45" s="124"/>
      <c r="AA45" s="124"/>
      <c r="AB45" s="124"/>
      <c r="AC45" s="124"/>
      <c r="AD45" s="124"/>
      <c r="AE45" s="124"/>
      <c r="AF45" s="124"/>
      <c r="AG45" s="124"/>
      <c r="AH45" s="124"/>
      <c r="AI45" s="124"/>
      <c r="AJ45" s="124"/>
      <c r="AK45" s="124"/>
      <c r="AL45" s="124"/>
      <c r="AM45" s="124"/>
      <c r="AN45" s="124"/>
      <c r="AO45" s="124"/>
      <c r="AP45" s="124"/>
      <c r="AQ45" s="124"/>
      <c r="AR45" s="124"/>
      <c r="AS45" s="124"/>
      <c r="AT45" s="124"/>
      <c r="AU45" s="124"/>
      <c r="AV45" s="124"/>
      <c r="AW45" s="124"/>
      <c r="AX45" s="124"/>
      <c r="AY45" s="124"/>
    </row>
    <row r="46" spans="1:51">
      <c r="A46" s="109"/>
      <c r="B46" s="119">
        <v>2</v>
      </c>
      <c r="C46" s="109" t="s">
        <v>293</v>
      </c>
      <c r="D46" s="110"/>
      <c r="E46" s="110"/>
      <c r="F46" s="110"/>
      <c r="G46" s="110"/>
      <c r="H46" s="110"/>
      <c r="I46" s="110"/>
      <c r="J46" s="110"/>
      <c r="K46" s="110"/>
      <c r="L46" s="110"/>
      <c r="M46" s="110"/>
      <c r="N46" s="110"/>
      <c r="O46" s="110"/>
      <c r="P46" s="110"/>
      <c r="Q46" s="110"/>
      <c r="R46" s="110"/>
      <c r="S46" s="110"/>
      <c r="T46" s="110"/>
      <c r="U46" s="110"/>
      <c r="V46" s="110"/>
      <c r="W46" s="110"/>
      <c r="X46" s="110"/>
      <c r="Y46" s="110"/>
      <c r="Z46" s="110"/>
      <c r="AA46" s="110"/>
      <c r="AB46" s="110"/>
      <c r="AC46" s="110"/>
      <c r="AD46" s="110"/>
      <c r="AE46" s="110"/>
      <c r="AF46" s="110"/>
      <c r="AG46" s="110"/>
      <c r="AH46" s="110"/>
      <c r="AI46" s="110"/>
      <c r="AJ46" s="110"/>
      <c r="AK46" s="110"/>
      <c r="AL46" s="110"/>
      <c r="AM46" s="110"/>
      <c r="AN46" s="110"/>
      <c r="AO46" s="110"/>
      <c r="AP46" s="110"/>
      <c r="AQ46" s="110"/>
      <c r="AR46" s="110"/>
      <c r="AS46" s="110"/>
      <c r="AT46" s="110"/>
      <c r="AU46" s="110"/>
      <c r="AV46" s="110"/>
      <c r="AW46" s="110"/>
      <c r="AX46" s="110"/>
      <c r="AY46" s="110"/>
    </row>
    <row r="47" spans="1:51">
      <c r="A47" s="109"/>
      <c r="B47" s="119">
        <v>3</v>
      </c>
      <c r="C47" s="109" t="s">
        <v>293</v>
      </c>
      <c r="D47" s="110"/>
      <c r="E47" s="110"/>
      <c r="F47" s="110"/>
      <c r="G47" s="110"/>
      <c r="H47" s="110"/>
      <c r="I47" s="110"/>
      <c r="J47" s="110"/>
      <c r="K47" s="110"/>
      <c r="L47" s="110"/>
      <c r="M47" s="110"/>
      <c r="N47" s="110"/>
      <c r="O47" s="110"/>
      <c r="P47" s="110"/>
      <c r="Q47" s="110"/>
      <c r="R47" s="110"/>
      <c r="S47" s="110"/>
      <c r="T47" s="110"/>
      <c r="U47" s="110"/>
      <c r="V47" s="110"/>
      <c r="W47" s="110"/>
      <c r="X47" s="110"/>
      <c r="Y47" s="110"/>
      <c r="Z47" s="110"/>
      <c r="AA47" s="110"/>
      <c r="AB47" s="110"/>
      <c r="AC47" s="110"/>
      <c r="AD47" s="110"/>
      <c r="AE47" s="110"/>
      <c r="AF47" s="110"/>
      <c r="AG47" s="110"/>
      <c r="AH47" s="110"/>
      <c r="AI47" s="110"/>
      <c r="AJ47" s="110"/>
      <c r="AK47" s="110"/>
      <c r="AL47" s="110"/>
      <c r="AM47" s="110"/>
      <c r="AN47" s="110"/>
      <c r="AO47" s="110"/>
      <c r="AP47" s="110"/>
      <c r="AQ47" s="110"/>
      <c r="AR47" s="110"/>
      <c r="AS47" s="110"/>
      <c r="AT47" s="110"/>
      <c r="AU47" s="110"/>
      <c r="AV47" s="110"/>
      <c r="AW47" s="110"/>
      <c r="AX47" s="110"/>
      <c r="AY47" s="110"/>
    </row>
    <row r="48" spans="1:51">
      <c r="A48" s="109"/>
      <c r="B48" s="119">
        <v>4</v>
      </c>
      <c r="C48" s="109" t="s">
        <v>293</v>
      </c>
      <c r="D48" s="110"/>
      <c r="E48" s="110"/>
      <c r="F48" s="110"/>
      <c r="G48" s="110"/>
      <c r="H48" s="110"/>
      <c r="I48" s="110"/>
      <c r="J48" s="110"/>
      <c r="K48" s="110"/>
      <c r="L48" s="110"/>
      <c r="M48" s="110"/>
      <c r="N48" s="110"/>
      <c r="O48" s="110"/>
      <c r="P48" s="110"/>
      <c r="Q48" s="110"/>
      <c r="R48" s="110"/>
      <c r="S48" s="110"/>
      <c r="T48" s="110"/>
      <c r="U48" s="110"/>
      <c r="V48" s="110"/>
      <c r="W48" s="110"/>
      <c r="X48" s="110"/>
      <c r="Y48" s="110"/>
      <c r="Z48" s="110"/>
      <c r="AA48" s="110"/>
      <c r="AB48" s="110"/>
      <c r="AC48" s="110"/>
      <c r="AD48" s="110"/>
      <c r="AE48" s="110"/>
      <c r="AF48" s="110"/>
      <c r="AG48" s="110"/>
      <c r="AH48" s="110"/>
      <c r="AI48" s="110"/>
      <c r="AJ48" s="110"/>
      <c r="AK48" s="110"/>
      <c r="AL48" s="110"/>
      <c r="AM48" s="110"/>
      <c r="AN48" s="110"/>
      <c r="AO48" s="110"/>
      <c r="AP48" s="110"/>
      <c r="AQ48" s="110"/>
      <c r="AR48" s="110"/>
      <c r="AS48" s="110"/>
      <c r="AT48" s="110"/>
      <c r="AU48" s="110"/>
      <c r="AV48" s="110"/>
      <c r="AW48" s="110"/>
      <c r="AX48" s="110"/>
      <c r="AY48" s="110"/>
    </row>
    <row r="49" spans="1:51">
      <c r="A49" s="109"/>
      <c r="B49" s="119">
        <v>5</v>
      </c>
      <c r="C49" s="109" t="s">
        <v>293</v>
      </c>
      <c r="D49" s="110"/>
      <c r="E49" s="110"/>
      <c r="F49" s="110"/>
      <c r="G49" s="110"/>
      <c r="H49" s="110"/>
      <c r="I49" s="110"/>
      <c r="J49" s="110"/>
      <c r="K49" s="110"/>
      <c r="L49" s="110"/>
      <c r="M49" s="110"/>
      <c r="N49" s="110"/>
      <c r="O49" s="110"/>
      <c r="P49" s="110"/>
      <c r="Q49" s="110"/>
      <c r="R49" s="110"/>
      <c r="S49" s="110"/>
      <c r="T49" s="110"/>
      <c r="U49" s="110"/>
      <c r="V49" s="110"/>
      <c r="W49" s="110"/>
      <c r="X49" s="110"/>
      <c r="Y49" s="110"/>
      <c r="Z49" s="110"/>
      <c r="AA49" s="110"/>
      <c r="AB49" s="110"/>
      <c r="AC49" s="110"/>
      <c r="AD49" s="110"/>
      <c r="AE49" s="110"/>
      <c r="AF49" s="110"/>
      <c r="AG49" s="110"/>
      <c r="AH49" s="110"/>
      <c r="AI49" s="110"/>
      <c r="AJ49" s="110"/>
      <c r="AK49" s="110"/>
      <c r="AL49" s="110"/>
      <c r="AM49" s="110"/>
      <c r="AN49" s="110"/>
      <c r="AO49" s="110"/>
      <c r="AP49" s="110"/>
      <c r="AQ49" s="110"/>
      <c r="AR49" s="110"/>
      <c r="AS49" s="110"/>
      <c r="AT49" s="110"/>
      <c r="AU49" s="110"/>
      <c r="AV49" s="110"/>
      <c r="AW49" s="110"/>
      <c r="AX49" s="110"/>
      <c r="AY49" s="110"/>
    </row>
    <row r="50" spans="1:51">
      <c r="A50" s="109"/>
      <c r="B50" s="119">
        <v>6</v>
      </c>
      <c r="C50" s="109" t="s">
        <v>293</v>
      </c>
      <c r="D50" s="110"/>
      <c r="E50" s="110"/>
      <c r="F50" s="110"/>
      <c r="G50" s="110"/>
      <c r="H50" s="110"/>
      <c r="I50" s="110"/>
      <c r="J50" s="110"/>
      <c r="K50" s="110"/>
      <c r="L50" s="110"/>
      <c r="M50" s="110"/>
      <c r="N50" s="110"/>
      <c r="O50" s="110"/>
      <c r="P50" s="110"/>
      <c r="Q50" s="110"/>
      <c r="R50" s="110"/>
      <c r="S50" s="110"/>
      <c r="T50" s="110"/>
      <c r="U50" s="110"/>
      <c r="V50" s="110"/>
      <c r="W50" s="110"/>
      <c r="X50" s="110"/>
      <c r="Y50" s="110"/>
      <c r="Z50" s="110"/>
      <c r="AA50" s="110"/>
      <c r="AB50" s="110"/>
      <c r="AC50" s="110"/>
      <c r="AD50" s="110"/>
      <c r="AE50" s="110"/>
      <c r="AF50" s="110"/>
      <c r="AG50" s="110"/>
      <c r="AH50" s="110"/>
      <c r="AI50" s="110"/>
      <c r="AJ50" s="110"/>
      <c r="AK50" s="110"/>
      <c r="AL50" s="110"/>
      <c r="AM50" s="110"/>
      <c r="AN50" s="110"/>
      <c r="AO50" s="110"/>
      <c r="AP50" s="110"/>
      <c r="AQ50" s="110"/>
      <c r="AR50" s="110"/>
      <c r="AS50" s="110"/>
      <c r="AT50" s="110"/>
      <c r="AU50" s="110"/>
      <c r="AV50" s="110"/>
      <c r="AW50" s="110"/>
      <c r="AX50" s="110"/>
      <c r="AY50" s="110"/>
    </row>
    <row r="51" spans="1:51">
      <c r="A51" s="109"/>
      <c r="B51" s="119">
        <v>7</v>
      </c>
      <c r="C51" s="109" t="s">
        <v>293</v>
      </c>
      <c r="D51" s="110"/>
      <c r="E51" s="110"/>
      <c r="F51" s="110"/>
      <c r="G51" s="110"/>
      <c r="H51" s="110"/>
      <c r="I51" s="110"/>
      <c r="J51" s="110"/>
      <c r="K51" s="110"/>
      <c r="L51" s="110"/>
      <c r="M51" s="110"/>
      <c r="N51" s="110"/>
      <c r="O51" s="110"/>
      <c r="P51" s="110"/>
      <c r="Q51" s="110"/>
      <c r="R51" s="110"/>
      <c r="S51" s="110"/>
      <c r="T51" s="110"/>
      <c r="U51" s="110"/>
      <c r="V51" s="110"/>
      <c r="W51" s="110"/>
      <c r="X51" s="110"/>
      <c r="Y51" s="110"/>
      <c r="Z51" s="110"/>
      <c r="AA51" s="110"/>
      <c r="AB51" s="110"/>
      <c r="AC51" s="110"/>
      <c r="AD51" s="110"/>
      <c r="AE51" s="110"/>
      <c r="AF51" s="110"/>
      <c r="AG51" s="110"/>
      <c r="AH51" s="110"/>
      <c r="AI51" s="110"/>
      <c r="AJ51" s="110"/>
      <c r="AK51" s="110"/>
      <c r="AL51" s="110"/>
      <c r="AM51" s="110"/>
      <c r="AN51" s="110"/>
      <c r="AO51" s="110"/>
      <c r="AP51" s="110"/>
      <c r="AQ51" s="110"/>
      <c r="AR51" s="110"/>
      <c r="AS51" s="110"/>
      <c r="AT51" s="110"/>
      <c r="AU51" s="110"/>
      <c r="AV51" s="110"/>
      <c r="AW51" s="110"/>
      <c r="AX51" s="110"/>
      <c r="AY51" s="110"/>
    </row>
    <row r="52" spans="1:51">
      <c r="A52" s="109"/>
      <c r="B52" s="119">
        <v>8</v>
      </c>
      <c r="C52" s="109" t="s">
        <v>293</v>
      </c>
      <c r="D52" s="110"/>
      <c r="E52" s="110"/>
      <c r="F52" s="110"/>
      <c r="G52" s="110"/>
      <c r="H52" s="110"/>
      <c r="I52" s="110"/>
      <c r="J52" s="110"/>
      <c r="K52" s="110"/>
      <c r="L52" s="110"/>
      <c r="M52" s="110"/>
      <c r="N52" s="110"/>
      <c r="O52" s="110"/>
      <c r="P52" s="110"/>
      <c r="Q52" s="110"/>
      <c r="R52" s="110"/>
      <c r="S52" s="110"/>
      <c r="T52" s="110"/>
      <c r="U52" s="110"/>
      <c r="V52" s="110"/>
      <c r="W52" s="110"/>
      <c r="X52" s="110"/>
      <c r="Y52" s="110"/>
      <c r="Z52" s="110"/>
      <c r="AA52" s="110"/>
      <c r="AB52" s="110"/>
      <c r="AC52" s="110"/>
      <c r="AD52" s="110"/>
      <c r="AE52" s="110"/>
      <c r="AF52" s="110"/>
      <c r="AG52" s="110"/>
      <c r="AH52" s="110"/>
      <c r="AI52" s="110"/>
      <c r="AJ52" s="110"/>
      <c r="AK52" s="110"/>
      <c r="AL52" s="110"/>
      <c r="AM52" s="110"/>
      <c r="AN52" s="110"/>
      <c r="AO52" s="110"/>
      <c r="AP52" s="110"/>
      <c r="AQ52" s="110"/>
      <c r="AR52" s="110"/>
      <c r="AS52" s="110"/>
      <c r="AT52" s="110"/>
      <c r="AU52" s="110"/>
      <c r="AV52" s="110"/>
      <c r="AW52" s="110"/>
      <c r="AX52" s="110"/>
      <c r="AY52" s="110"/>
    </row>
    <row r="53" spans="1:51">
      <c r="A53" s="109"/>
      <c r="B53" s="119">
        <v>9</v>
      </c>
      <c r="C53" s="109" t="s">
        <v>293</v>
      </c>
      <c r="D53" s="110"/>
      <c r="E53" s="110"/>
      <c r="F53" s="110"/>
      <c r="G53" s="110"/>
      <c r="H53" s="110"/>
      <c r="I53" s="110"/>
      <c r="J53" s="110"/>
      <c r="K53" s="110"/>
      <c r="L53" s="110"/>
      <c r="M53" s="110"/>
      <c r="N53" s="110"/>
      <c r="O53" s="110"/>
      <c r="P53" s="110"/>
      <c r="Q53" s="110"/>
      <c r="R53" s="110"/>
      <c r="S53" s="110"/>
      <c r="T53" s="110"/>
      <c r="U53" s="110"/>
      <c r="V53" s="110"/>
      <c r="W53" s="110"/>
      <c r="X53" s="110"/>
      <c r="Y53" s="110"/>
      <c r="Z53" s="110"/>
      <c r="AA53" s="110"/>
      <c r="AB53" s="110"/>
      <c r="AC53" s="110"/>
      <c r="AD53" s="110"/>
      <c r="AE53" s="110"/>
      <c r="AF53" s="110"/>
      <c r="AG53" s="110"/>
      <c r="AH53" s="110"/>
      <c r="AI53" s="110"/>
      <c r="AJ53" s="110"/>
      <c r="AK53" s="110"/>
      <c r="AL53" s="110"/>
      <c r="AM53" s="110"/>
      <c r="AN53" s="110"/>
      <c r="AO53" s="110"/>
      <c r="AP53" s="110"/>
      <c r="AQ53" s="110"/>
      <c r="AR53" s="110"/>
      <c r="AS53" s="110"/>
      <c r="AT53" s="110"/>
      <c r="AU53" s="110"/>
      <c r="AV53" s="110"/>
      <c r="AW53" s="110"/>
      <c r="AX53" s="110"/>
      <c r="AY53" s="110"/>
    </row>
    <row r="54" spans="1:51">
      <c r="A54" s="109"/>
      <c r="B54" s="119">
        <v>10</v>
      </c>
      <c r="C54" s="109" t="s">
        <v>293</v>
      </c>
      <c r="D54" s="110"/>
      <c r="E54" s="110"/>
      <c r="F54" s="110"/>
      <c r="G54" s="110"/>
      <c r="H54" s="110"/>
      <c r="I54" s="110"/>
      <c r="J54" s="110"/>
      <c r="K54" s="110"/>
      <c r="L54" s="110"/>
      <c r="M54" s="110"/>
      <c r="N54" s="110"/>
      <c r="O54" s="110"/>
      <c r="P54" s="110"/>
      <c r="Q54" s="110"/>
      <c r="R54" s="110"/>
      <c r="S54" s="110"/>
      <c r="T54" s="110"/>
      <c r="U54" s="110"/>
      <c r="V54" s="110"/>
      <c r="W54" s="110"/>
      <c r="X54" s="110"/>
      <c r="Y54" s="110"/>
      <c r="Z54" s="110"/>
      <c r="AA54" s="110"/>
      <c r="AB54" s="110"/>
      <c r="AC54" s="110"/>
      <c r="AD54" s="110"/>
      <c r="AE54" s="110"/>
      <c r="AF54" s="110"/>
      <c r="AG54" s="110"/>
      <c r="AH54" s="110"/>
      <c r="AI54" s="110"/>
      <c r="AJ54" s="110"/>
      <c r="AK54" s="110"/>
      <c r="AL54" s="110"/>
      <c r="AM54" s="110"/>
      <c r="AN54" s="110"/>
      <c r="AO54" s="110"/>
      <c r="AP54" s="110"/>
      <c r="AQ54" s="110"/>
      <c r="AR54" s="110"/>
      <c r="AS54" s="110"/>
      <c r="AT54" s="110"/>
      <c r="AU54" s="110"/>
      <c r="AV54" s="110"/>
      <c r="AW54" s="110"/>
      <c r="AX54" s="110"/>
      <c r="AY54" s="110"/>
    </row>
    <row r="55" spans="1:51">
      <c r="A55" s="109"/>
      <c r="B55" s="119">
        <v>11</v>
      </c>
      <c r="C55" s="109" t="s">
        <v>293</v>
      </c>
      <c r="D55" s="110"/>
      <c r="E55" s="110"/>
      <c r="F55" s="110"/>
      <c r="G55" s="110"/>
      <c r="H55" s="110"/>
      <c r="I55" s="110"/>
      <c r="J55" s="110"/>
      <c r="K55" s="110"/>
      <c r="L55" s="110"/>
      <c r="M55" s="110"/>
      <c r="N55" s="110"/>
      <c r="O55" s="110"/>
      <c r="P55" s="110"/>
      <c r="Q55" s="110"/>
      <c r="R55" s="110"/>
      <c r="S55" s="110"/>
      <c r="T55" s="110"/>
      <c r="U55" s="110"/>
      <c r="V55" s="110"/>
      <c r="W55" s="110"/>
      <c r="X55" s="110"/>
      <c r="Y55" s="110"/>
      <c r="Z55" s="110"/>
      <c r="AA55" s="110"/>
      <c r="AB55" s="110"/>
      <c r="AC55" s="110"/>
      <c r="AD55" s="110"/>
      <c r="AE55" s="110"/>
      <c r="AF55" s="110"/>
      <c r="AG55" s="110"/>
      <c r="AH55" s="110"/>
      <c r="AI55" s="110"/>
      <c r="AJ55" s="110"/>
      <c r="AK55" s="110"/>
      <c r="AL55" s="110"/>
      <c r="AM55" s="110"/>
      <c r="AN55" s="110"/>
      <c r="AO55" s="110"/>
      <c r="AP55" s="110"/>
      <c r="AQ55" s="110"/>
      <c r="AR55" s="110"/>
      <c r="AS55" s="110"/>
      <c r="AT55" s="110"/>
      <c r="AU55" s="110"/>
      <c r="AV55" s="110"/>
      <c r="AW55" s="110"/>
      <c r="AX55" s="110"/>
      <c r="AY55" s="110"/>
    </row>
    <row r="56" spans="1:51">
      <c r="A56" s="109"/>
      <c r="B56" s="119">
        <v>12</v>
      </c>
      <c r="C56" s="109" t="s">
        <v>293</v>
      </c>
      <c r="D56" s="110"/>
      <c r="E56" s="110"/>
      <c r="F56" s="110"/>
      <c r="G56" s="110"/>
      <c r="H56" s="110"/>
      <c r="I56" s="110"/>
      <c r="J56" s="110"/>
      <c r="K56" s="110"/>
      <c r="L56" s="110"/>
      <c r="M56" s="110"/>
      <c r="N56" s="110"/>
      <c r="O56" s="110"/>
      <c r="P56" s="110"/>
      <c r="Q56" s="110"/>
      <c r="R56" s="110"/>
      <c r="S56" s="110"/>
      <c r="T56" s="110"/>
      <c r="U56" s="110"/>
      <c r="V56" s="110"/>
      <c r="W56" s="110"/>
      <c r="X56" s="110"/>
      <c r="Y56" s="110"/>
      <c r="Z56" s="110"/>
      <c r="AA56" s="110"/>
      <c r="AB56" s="110"/>
      <c r="AC56" s="110"/>
      <c r="AD56" s="110"/>
      <c r="AE56" s="110"/>
      <c r="AF56" s="110"/>
      <c r="AG56" s="110"/>
      <c r="AH56" s="110"/>
      <c r="AI56" s="110"/>
      <c r="AJ56" s="110"/>
      <c r="AK56" s="110"/>
      <c r="AL56" s="110"/>
      <c r="AM56" s="110"/>
      <c r="AN56" s="110"/>
      <c r="AO56" s="110"/>
      <c r="AP56" s="110"/>
      <c r="AQ56" s="110"/>
      <c r="AR56" s="110"/>
      <c r="AS56" s="110"/>
      <c r="AT56" s="110"/>
      <c r="AU56" s="110"/>
      <c r="AV56" s="110"/>
      <c r="AW56" s="110"/>
      <c r="AX56" s="110"/>
      <c r="AY56" s="110"/>
    </row>
    <row r="57" spans="1:51">
      <c r="A57" s="109"/>
      <c r="B57" s="120">
        <v>13</v>
      </c>
      <c r="C57" s="109" t="s">
        <v>293</v>
      </c>
      <c r="D57" s="110"/>
      <c r="E57" s="110"/>
      <c r="F57" s="110"/>
      <c r="G57" s="110"/>
      <c r="H57" s="110"/>
      <c r="I57" s="110"/>
      <c r="J57" s="110"/>
      <c r="K57" s="110"/>
      <c r="L57" s="110"/>
      <c r="M57" s="110"/>
      <c r="N57" s="110"/>
      <c r="O57" s="110"/>
      <c r="P57" s="110"/>
      <c r="Q57" s="110"/>
      <c r="R57" s="110"/>
      <c r="S57" s="110"/>
      <c r="T57" s="110"/>
      <c r="U57" s="110"/>
      <c r="V57" s="110"/>
      <c r="W57" s="110"/>
      <c r="X57" s="110"/>
      <c r="Y57" s="110"/>
      <c r="Z57" s="110"/>
      <c r="AA57" s="110"/>
      <c r="AB57" s="110"/>
      <c r="AC57" s="110"/>
      <c r="AD57" s="110"/>
      <c r="AE57" s="110"/>
      <c r="AF57" s="110"/>
      <c r="AG57" s="110"/>
      <c r="AH57" s="110"/>
      <c r="AI57" s="110"/>
      <c r="AJ57" s="110"/>
      <c r="AK57" s="110"/>
      <c r="AL57" s="110"/>
      <c r="AM57" s="110"/>
      <c r="AN57" s="110"/>
      <c r="AO57" s="110"/>
      <c r="AP57" s="110"/>
      <c r="AQ57" s="110"/>
      <c r="AR57" s="110"/>
      <c r="AS57" s="110"/>
      <c r="AT57" s="110"/>
      <c r="AU57" s="110"/>
      <c r="AV57" s="110"/>
      <c r="AW57" s="110"/>
      <c r="AX57" s="110"/>
      <c r="AY57" s="110"/>
    </row>
    <row r="58" spans="1:51">
      <c r="A58" s="109"/>
      <c r="B58" s="120">
        <v>14</v>
      </c>
      <c r="C58" s="109" t="s">
        <v>293</v>
      </c>
      <c r="D58" s="110"/>
      <c r="E58" s="110"/>
      <c r="F58" s="110"/>
      <c r="G58" s="110"/>
      <c r="H58" s="110"/>
      <c r="I58" s="110"/>
      <c r="J58" s="110"/>
      <c r="K58" s="110"/>
      <c r="L58" s="110"/>
      <c r="M58" s="110"/>
      <c r="N58" s="110"/>
      <c r="O58" s="110"/>
      <c r="P58" s="110"/>
      <c r="Q58" s="110"/>
      <c r="R58" s="110"/>
      <c r="S58" s="110"/>
      <c r="T58" s="110"/>
      <c r="U58" s="110"/>
      <c r="V58" s="110"/>
      <c r="W58" s="110"/>
      <c r="X58" s="110"/>
      <c r="Y58" s="110"/>
      <c r="Z58" s="110"/>
      <c r="AA58" s="110"/>
      <c r="AB58" s="110"/>
      <c r="AC58" s="110"/>
      <c r="AD58" s="110"/>
      <c r="AE58" s="110"/>
      <c r="AF58" s="110"/>
      <c r="AG58" s="110"/>
      <c r="AH58" s="110"/>
      <c r="AI58" s="110"/>
      <c r="AJ58" s="110"/>
      <c r="AK58" s="110"/>
      <c r="AL58" s="110"/>
      <c r="AM58" s="110"/>
      <c r="AN58" s="110"/>
      <c r="AO58" s="110"/>
      <c r="AP58" s="110"/>
      <c r="AQ58" s="110"/>
      <c r="AR58" s="110"/>
      <c r="AS58" s="110"/>
      <c r="AT58" s="110"/>
      <c r="AU58" s="110"/>
      <c r="AV58" s="110"/>
      <c r="AW58" s="110"/>
      <c r="AX58" s="110"/>
      <c r="AY58" s="110"/>
    </row>
    <row r="59" spans="1:51">
      <c r="A59" s="109"/>
      <c r="B59" s="120">
        <v>15</v>
      </c>
      <c r="C59" s="109" t="s">
        <v>293</v>
      </c>
      <c r="D59" s="110"/>
      <c r="E59" s="110"/>
      <c r="F59" s="110"/>
      <c r="G59" s="110"/>
      <c r="H59" s="110"/>
      <c r="I59" s="110"/>
      <c r="J59" s="110"/>
      <c r="K59" s="110"/>
      <c r="L59" s="110"/>
      <c r="M59" s="110"/>
      <c r="N59" s="110"/>
      <c r="O59" s="110"/>
      <c r="P59" s="110"/>
      <c r="Q59" s="110"/>
      <c r="R59" s="110"/>
      <c r="S59" s="110"/>
      <c r="T59" s="110"/>
      <c r="U59" s="110"/>
      <c r="V59" s="110"/>
      <c r="W59" s="110"/>
      <c r="X59" s="110"/>
      <c r="Y59" s="110"/>
      <c r="Z59" s="110"/>
      <c r="AA59" s="110"/>
      <c r="AB59" s="110"/>
      <c r="AC59" s="110"/>
      <c r="AD59" s="110"/>
      <c r="AE59" s="110"/>
      <c r="AF59" s="110"/>
      <c r="AG59" s="110"/>
      <c r="AH59" s="110"/>
      <c r="AI59" s="110"/>
      <c r="AJ59" s="110"/>
      <c r="AK59" s="110"/>
      <c r="AL59" s="110"/>
      <c r="AM59" s="110"/>
      <c r="AN59" s="110"/>
      <c r="AO59" s="110"/>
      <c r="AP59" s="110"/>
      <c r="AQ59" s="110"/>
      <c r="AR59" s="110"/>
      <c r="AS59" s="110"/>
      <c r="AT59" s="110"/>
      <c r="AU59" s="110"/>
      <c r="AV59" s="110"/>
      <c r="AW59" s="110"/>
      <c r="AX59" s="110"/>
      <c r="AY59" s="110"/>
    </row>
    <row r="60" spans="1:51">
      <c r="A60" s="109"/>
      <c r="B60" s="120">
        <v>16</v>
      </c>
      <c r="C60" s="109" t="s">
        <v>293</v>
      </c>
      <c r="D60" s="110"/>
      <c r="E60" s="110"/>
      <c r="F60" s="110"/>
      <c r="G60" s="110"/>
      <c r="H60" s="110"/>
      <c r="I60" s="110"/>
      <c r="J60" s="110"/>
      <c r="K60" s="110"/>
      <c r="L60" s="110"/>
      <c r="M60" s="110"/>
      <c r="N60" s="110"/>
      <c r="O60" s="110"/>
      <c r="P60" s="110"/>
      <c r="Q60" s="110"/>
      <c r="R60" s="110"/>
      <c r="S60" s="110"/>
      <c r="T60" s="110"/>
      <c r="U60" s="110"/>
      <c r="V60" s="110"/>
      <c r="W60" s="110"/>
      <c r="X60" s="110"/>
      <c r="Y60" s="110"/>
      <c r="Z60" s="110"/>
      <c r="AA60" s="110"/>
      <c r="AB60" s="110"/>
      <c r="AC60" s="110"/>
      <c r="AD60" s="110"/>
      <c r="AE60" s="110"/>
      <c r="AF60" s="110"/>
      <c r="AG60" s="110"/>
      <c r="AH60" s="110"/>
      <c r="AI60" s="110"/>
      <c r="AJ60" s="110"/>
      <c r="AK60" s="110"/>
      <c r="AL60" s="110"/>
      <c r="AM60" s="110"/>
      <c r="AN60" s="110"/>
      <c r="AO60" s="110"/>
      <c r="AP60" s="110"/>
      <c r="AQ60" s="110"/>
      <c r="AR60" s="110"/>
      <c r="AS60" s="110"/>
      <c r="AT60" s="110"/>
      <c r="AU60" s="110"/>
      <c r="AV60" s="110"/>
      <c r="AW60" s="110"/>
      <c r="AX60" s="110"/>
      <c r="AY60" s="110"/>
    </row>
    <row r="61" spans="1:51">
      <c r="A61" s="109"/>
      <c r="B61" s="120">
        <v>17</v>
      </c>
      <c r="C61" s="109" t="s">
        <v>293</v>
      </c>
      <c r="D61" s="110"/>
      <c r="E61" s="110"/>
      <c r="F61" s="110"/>
      <c r="G61" s="110"/>
      <c r="H61" s="110"/>
      <c r="I61" s="110"/>
      <c r="J61" s="110"/>
      <c r="K61" s="110"/>
      <c r="L61" s="110"/>
      <c r="M61" s="110"/>
      <c r="N61" s="110"/>
      <c r="O61" s="110"/>
      <c r="P61" s="110"/>
      <c r="Q61" s="110"/>
      <c r="R61" s="110"/>
      <c r="S61" s="110"/>
      <c r="T61" s="110"/>
      <c r="U61" s="110"/>
      <c r="V61" s="110"/>
      <c r="W61" s="110"/>
      <c r="X61" s="110"/>
      <c r="Y61" s="110"/>
      <c r="Z61" s="110"/>
      <c r="AA61" s="110"/>
      <c r="AB61" s="110"/>
      <c r="AC61" s="110"/>
      <c r="AD61" s="110"/>
      <c r="AE61" s="110"/>
      <c r="AF61" s="110"/>
      <c r="AG61" s="110"/>
      <c r="AH61" s="110"/>
      <c r="AI61" s="110"/>
      <c r="AJ61" s="110"/>
      <c r="AK61" s="110"/>
      <c r="AL61" s="110"/>
      <c r="AM61" s="110"/>
      <c r="AN61" s="110"/>
      <c r="AO61" s="110"/>
      <c r="AP61" s="110"/>
      <c r="AQ61" s="110"/>
      <c r="AR61" s="110"/>
      <c r="AS61" s="110"/>
      <c r="AT61" s="110"/>
      <c r="AU61" s="110"/>
      <c r="AV61" s="110"/>
      <c r="AW61" s="110"/>
      <c r="AX61" s="110"/>
      <c r="AY61" s="110"/>
    </row>
    <row r="62" spans="1:51">
      <c r="A62" s="109"/>
      <c r="B62" s="120">
        <v>18</v>
      </c>
      <c r="C62" s="109" t="s">
        <v>293</v>
      </c>
      <c r="D62" s="110"/>
      <c r="E62" s="110"/>
      <c r="F62" s="110"/>
      <c r="G62" s="110"/>
      <c r="H62" s="110"/>
      <c r="I62" s="110"/>
      <c r="J62" s="110"/>
      <c r="K62" s="110"/>
      <c r="L62" s="110"/>
      <c r="M62" s="110"/>
      <c r="N62" s="110"/>
      <c r="O62" s="110"/>
      <c r="P62" s="110"/>
      <c r="Q62" s="110"/>
      <c r="R62" s="110"/>
      <c r="S62" s="110"/>
      <c r="T62" s="110"/>
      <c r="U62" s="110"/>
      <c r="V62" s="110"/>
      <c r="W62" s="110"/>
      <c r="X62" s="110"/>
      <c r="Y62" s="110"/>
      <c r="Z62" s="110"/>
      <c r="AA62" s="110"/>
      <c r="AB62" s="110"/>
      <c r="AC62" s="110"/>
      <c r="AD62" s="110"/>
      <c r="AE62" s="110"/>
      <c r="AF62" s="110"/>
      <c r="AG62" s="110"/>
      <c r="AH62" s="110"/>
      <c r="AI62" s="110"/>
      <c r="AJ62" s="110"/>
      <c r="AK62" s="110"/>
      <c r="AL62" s="110"/>
      <c r="AM62" s="110"/>
      <c r="AN62" s="110"/>
      <c r="AO62" s="110"/>
      <c r="AP62" s="110"/>
      <c r="AQ62" s="110"/>
      <c r="AR62" s="110"/>
      <c r="AS62" s="110"/>
      <c r="AT62" s="110"/>
      <c r="AU62" s="110"/>
      <c r="AV62" s="110"/>
      <c r="AW62" s="110"/>
      <c r="AX62" s="110"/>
      <c r="AY62" s="110"/>
    </row>
    <row r="63" spans="1:51">
      <c r="A63" s="109"/>
      <c r="B63" s="120">
        <v>19</v>
      </c>
      <c r="C63" s="109" t="s">
        <v>293</v>
      </c>
      <c r="D63" s="110"/>
      <c r="E63" s="110"/>
      <c r="F63" s="110"/>
      <c r="G63" s="110"/>
      <c r="H63" s="110"/>
      <c r="I63" s="110"/>
      <c r="J63" s="110"/>
      <c r="K63" s="110"/>
      <c r="L63" s="110"/>
      <c r="M63" s="110"/>
      <c r="N63" s="110"/>
      <c r="O63" s="110"/>
      <c r="P63" s="110"/>
      <c r="Q63" s="110"/>
      <c r="R63" s="110"/>
      <c r="S63" s="110"/>
      <c r="T63" s="110"/>
      <c r="U63" s="110"/>
      <c r="V63" s="110"/>
      <c r="W63" s="110"/>
      <c r="X63" s="110"/>
      <c r="Y63" s="110"/>
      <c r="Z63" s="110"/>
      <c r="AA63" s="110"/>
      <c r="AB63" s="110"/>
      <c r="AC63" s="110"/>
      <c r="AD63" s="110"/>
      <c r="AE63" s="110"/>
      <c r="AF63" s="110"/>
      <c r="AG63" s="110"/>
      <c r="AH63" s="110"/>
      <c r="AI63" s="110"/>
      <c r="AJ63" s="110"/>
      <c r="AK63" s="110"/>
      <c r="AL63" s="110"/>
      <c r="AM63" s="110"/>
      <c r="AN63" s="110"/>
      <c r="AO63" s="110"/>
      <c r="AP63" s="110"/>
      <c r="AQ63" s="110"/>
      <c r="AR63" s="110"/>
      <c r="AS63" s="110"/>
      <c r="AT63" s="110"/>
      <c r="AU63" s="110"/>
      <c r="AV63" s="110"/>
      <c r="AW63" s="110"/>
      <c r="AX63" s="110"/>
      <c r="AY63" s="110"/>
    </row>
    <row r="64" spans="1:51">
      <c r="A64" s="109"/>
      <c r="B64" s="120">
        <v>20</v>
      </c>
      <c r="C64" s="109" t="s">
        <v>293</v>
      </c>
      <c r="D64" s="110"/>
      <c r="E64" s="110"/>
      <c r="F64" s="110"/>
      <c r="G64" s="110"/>
      <c r="H64" s="110"/>
      <c r="I64" s="110"/>
      <c r="J64" s="110"/>
      <c r="K64" s="110"/>
      <c r="L64" s="110"/>
      <c r="M64" s="110"/>
      <c r="N64" s="110"/>
      <c r="O64" s="110"/>
      <c r="P64" s="110"/>
      <c r="Q64" s="110"/>
      <c r="R64" s="110"/>
      <c r="S64" s="110"/>
      <c r="T64" s="110"/>
      <c r="U64" s="110"/>
      <c r="V64" s="110"/>
      <c r="W64" s="110"/>
      <c r="X64" s="110"/>
      <c r="Y64" s="110"/>
      <c r="Z64" s="110"/>
      <c r="AA64" s="110"/>
      <c r="AB64" s="110"/>
      <c r="AC64" s="110"/>
      <c r="AD64" s="110"/>
      <c r="AE64" s="110"/>
      <c r="AF64" s="110"/>
      <c r="AG64" s="110"/>
      <c r="AH64" s="110"/>
      <c r="AI64" s="110"/>
      <c r="AJ64" s="110"/>
      <c r="AK64" s="110"/>
      <c r="AL64" s="110"/>
      <c r="AM64" s="110"/>
      <c r="AN64" s="110"/>
      <c r="AO64" s="110"/>
      <c r="AP64" s="110"/>
      <c r="AQ64" s="110"/>
      <c r="AR64" s="110"/>
      <c r="AS64" s="110"/>
      <c r="AT64" s="110"/>
      <c r="AU64" s="110"/>
      <c r="AV64" s="110"/>
      <c r="AW64" s="110"/>
      <c r="AX64" s="110"/>
      <c r="AY64" s="110"/>
    </row>
    <row r="65" spans="1:51">
      <c r="A65" s="109"/>
      <c r="B65" s="120">
        <v>21</v>
      </c>
      <c r="C65" s="109" t="s">
        <v>293</v>
      </c>
      <c r="D65" s="110"/>
      <c r="E65" s="110"/>
      <c r="F65" s="110"/>
      <c r="G65" s="110"/>
      <c r="H65" s="110"/>
      <c r="I65" s="110"/>
      <c r="J65" s="110"/>
      <c r="K65" s="110"/>
      <c r="L65" s="110"/>
      <c r="M65" s="110"/>
      <c r="N65" s="110"/>
      <c r="O65" s="110"/>
      <c r="P65" s="110"/>
      <c r="Q65" s="110"/>
      <c r="R65" s="110"/>
      <c r="S65" s="110"/>
      <c r="T65" s="110"/>
      <c r="U65" s="110"/>
      <c r="V65" s="110"/>
      <c r="W65" s="110"/>
      <c r="X65" s="110"/>
      <c r="Y65" s="110"/>
      <c r="Z65" s="110"/>
      <c r="AA65" s="110"/>
      <c r="AB65" s="110"/>
      <c r="AC65" s="110"/>
      <c r="AD65" s="110"/>
      <c r="AE65" s="110"/>
      <c r="AF65" s="110"/>
      <c r="AG65" s="110"/>
      <c r="AH65" s="110"/>
      <c r="AI65" s="110"/>
      <c r="AJ65" s="110"/>
      <c r="AK65" s="110"/>
      <c r="AL65" s="110"/>
      <c r="AM65" s="110"/>
      <c r="AN65" s="110"/>
      <c r="AO65" s="110"/>
      <c r="AP65" s="110"/>
      <c r="AQ65" s="110"/>
      <c r="AR65" s="110"/>
      <c r="AS65" s="110"/>
      <c r="AT65" s="110"/>
      <c r="AU65" s="110"/>
      <c r="AV65" s="110"/>
      <c r="AW65" s="110"/>
      <c r="AX65" s="110"/>
      <c r="AY65" s="110"/>
    </row>
    <row r="66" spans="1:51">
      <c r="A66" s="109"/>
      <c r="B66" s="120">
        <v>22</v>
      </c>
      <c r="C66" s="109" t="s">
        <v>293</v>
      </c>
      <c r="D66" s="110"/>
      <c r="E66" s="110"/>
      <c r="F66" s="110"/>
      <c r="G66" s="110"/>
      <c r="H66" s="110"/>
      <c r="I66" s="110"/>
      <c r="J66" s="110"/>
      <c r="K66" s="110"/>
      <c r="L66" s="110"/>
      <c r="M66" s="110"/>
      <c r="N66" s="110"/>
      <c r="O66" s="110"/>
      <c r="P66" s="110"/>
      <c r="Q66" s="110"/>
      <c r="R66" s="110"/>
      <c r="S66" s="110"/>
      <c r="T66" s="110"/>
      <c r="U66" s="110"/>
      <c r="V66" s="110"/>
      <c r="W66" s="110"/>
      <c r="X66" s="110"/>
      <c r="Y66" s="110"/>
      <c r="Z66" s="110"/>
      <c r="AA66" s="110"/>
      <c r="AB66" s="110"/>
      <c r="AC66" s="110"/>
      <c r="AD66" s="110"/>
      <c r="AE66" s="110"/>
      <c r="AF66" s="110"/>
      <c r="AG66" s="110"/>
      <c r="AH66" s="110"/>
      <c r="AI66" s="110"/>
      <c r="AJ66" s="110"/>
      <c r="AK66" s="110"/>
      <c r="AL66" s="110"/>
      <c r="AM66" s="110"/>
      <c r="AN66" s="110"/>
      <c r="AO66" s="110"/>
      <c r="AP66" s="110"/>
      <c r="AQ66" s="110"/>
      <c r="AR66" s="110"/>
      <c r="AS66" s="110"/>
      <c r="AT66" s="110"/>
      <c r="AU66" s="110"/>
      <c r="AV66" s="110"/>
      <c r="AW66" s="110"/>
      <c r="AX66" s="110"/>
      <c r="AY66" s="110"/>
    </row>
    <row r="67" spans="1:51">
      <c r="A67" s="109"/>
      <c r="B67" s="120">
        <v>23</v>
      </c>
      <c r="C67" s="109" t="s">
        <v>293</v>
      </c>
      <c r="D67" s="110"/>
      <c r="E67" s="110"/>
      <c r="F67" s="110"/>
      <c r="G67" s="110"/>
      <c r="H67" s="110"/>
      <c r="I67" s="110"/>
      <c r="J67" s="110"/>
      <c r="K67" s="110"/>
      <c r="L67" s="110"/>
      <c r="M67" s="110"/>
      <c r="N67" s="110"/>
      <c r="O67" s="110"/>
      <c r="P67" s="110"/>
      <c r="Q67" s="110"/>
      <c r="R67" s="110"/>
      <c r="S67" s="110"/>
      <c r="T67" s="110"/>
      <c r="U67" s="110"/>
      <c r="V67" s="110"/>
      <c r="W67" s="110"/>
      <c r="X67" s="110"/>
      <c r="Y67" s="110"/>
      <c r="Z67" s="110"/>
      <c r="AA67" s="110"/>
      <c r="AB67" s="110"/>
      <c r="AC67" s="110"/>
      <c r="AD67" s="110"/>
      <c r="AE67" s="110"/>
      <c r="AF67" s="110"/>
      <c r="AG67" s="110"/>
      <c r="AH67" s="110"/>
      <c r="AI67" s="110"/>
      <c r="AJ67" s="110"/>
      <c r="AK67" s="110"/>
      <c r="AL67" s="110"/>
      <c r="AM67" s="110"/>
      <c r="AN67" s="110"/>
      <c r="AO67" s="110"/>
      <c r="AP67" s="110"/>
      <c r="AQ67" s="110"/>
      <c r="AR67" s="110"/>
      <c r="AS67" s="110"/>
      <c r="AT67" s="110"/>
      <c r="AU67" s="110"/>
      <c r="AV67" s="110"/>
      <c r="AW67" s="110"/>
      <c r="AX67" s="110"/>
      <c r="AY67" s="110"/>
    </row>
    <row r="68" spans="1:51">
      <c r="A68" s="109"/>
      <c r="B68" s="120">
        <v>24</v>
      </c>
      <c r="C68" s="109" t="s">
        <v>293</v>
      </c>
      <c r="D68" s="110"/>
      <c r="E68" s="110"/>
      <c r="F68" s="110"/>
      <c r="G68" s="110"/>
      <c r="H68" s="110"/>
      <c r="I68" s="110"/>
      <c r="J68" s="110"/>
      <c r="K68" s="110"/>
      <c r="L68" s="110"/>
      <c r="M68" s="110"/>
      <c r="N68" s="110"/>
      <c r="O68" s="110"/>
      <c r="P68" s="110"/>
      <c r="Q68" s="110"/>
      <c r="R68" s="110"/>
      <c r="S68" s="110"/>
      <c r="T68" s="110"/>
      <c r="U68" s="110"/>
      <c r="V68" s="110"/>
      <c r="W68" s="110"/>
      <c r="X68" s="110"/>
      <c r="Y68" s="110"/>
      <c r="Z68" s="110"/>
      <c r="AA68" s="110"/>
      <c r="AB68" s="110"/>
      <c r="AC68" s="110"/>
      <c r="AD68" s="110"/>
      <c r="AE68" s="110"/>
      <c r="AF68" s="110"/>
      <c r="AG68" s="110"/>
      <c r="AH68" s="110"/>
      <c r="AI68" s="110"/>
      <c r="AJ68" s="110"/>
      <c r="AK68" s="110"/>
      <c r="AL68" s="110"/>
      <c r="AM68" s="110"/>
      <c r="AN68" s="110"/>
      <c r="AO68" s="110"/>
      <c r="AP68" s="110"/>
      <c r="AQ68" s="110"/>
      <c r="AR68" s="110"/>
      <c r="AS68" s="110"/>
      <c r="AT68" s="110"/>
      <c r="AU68" s="110"/>
      <c r="AV68" s="110"/>
      <c r="AW68" s="110"/>
      <c r="AX68" s="110"/>
      <c r="AY68" s="110"/>
    </row>
    <row r="69" spans="1:51">
      <c r="A69" s="109"/>
      <c r="B69" s="127">
        <v>25</v>
      </c>
      <c r="C69" s="109" t="s">
        <v>293</v>
      </c>
      <c r="D69" s="110"/>
      <c r="E69" s="110"/>
      <c r="F69" s="110"/>
      <c r="G69" s="110"/>
      <c r="H69" s="110"/>
      <c r="I69" s="110"/>
      <c r="J69" s="110"/>
      <c r="K69" s="110"/>
      <c r="L69" s="110"/>
      <c r="M69" s="110"/>
      <c r="N69" s="110"/>
      <c r="O69" s="110"/>
      <c r="P69" s="110"/>
      <c r="Q69" s="110"/>
      <c r="R69" s="110"/>
      <c r="S69" s="110"/>
      <c r="T69" s="110"/>
      <c r="U69" s="110"/>
      <c r="V69" s="110"/>
      <c r="W69" s="110"/>
      <c r="X69" s="110"/>
      <c r="Y69" s="110"/>
      <c r="Z69" s="110"/>
      <c r="AA69" s="110"/>
      <c r="AB69" s="110"/>
      <c r="AC69" s="110"/>
      <c r="AD69" s="110"/>
      <c r="AE69" s="110"/>
      <c r="AF69" s="110"/>
      <c r="AG69" s="110"/>
      <c r="AH69" s="110"/>
      <c r="AI69" s="110"/>
      <c r="AJ69" s="110"/>
      <c r="AK69" s="110"/>
      <c r="AL69" s="110"/>
      <c r="AM69" s="110"/>
      <c r="AN69" s="110"/>
      <c r="AO69" s="110"/>
      <c r="AP69" s="110"/>
      <c r="AQ69" s="110"/>
      <c r="AR69" s="110"/>
      <c r="AS69" s="110"/>
      <c r="AT69" s="110"/>
      <c r="AU69" s="110"/>
      <c r="AV69" s="110"/>
      <c r="AW69" s="110"/>
      <c r="AX69" s="110"/>
      <c r="AY69" s="110"/>
    </row>
    <row r="70" spans="1:51">
      <c r="A70" s="109"/>
      <c r="B70" s="127">
        <v>26</v>
      </c>
      <c r="C70" s="109" t="s">
        <v>293</v>
      </c>
      <c r="D70" s="110"/>
      <c r="E70" s="110"/>
      <c r="F70" s="110"/>
      <c r="G70" s="110"/>
      <c r="H70" s="110"/>
      <c r="I70" s="110"/>
      <c r="J70" s="110"/>
      <c r="K70" s="110"/>
      <c r="L70" s="110"/>
      <c r="M70" s="110"/>
      <c r="N70" s="110"/>
      <c r="O70" s="110"/>
      <c r="P70" s="110"/>
      <c r="Q70" s="110"/>
      <c r="R70" s="110"/>
      <c r="S70" s="110"/>
      <c r="T70" s="110"/>
      <c r="U70" s="110"/>
      <c r="V70" s="110"/>
      <c r="W70" s="110"/>
      <c r="X70" s="110"/>
      <c r="Y70" s="110"/>
      <c r="Z70" s="110"/>
      <c r="AA70" s="110"/>
      <c r="AB70" s="110"/>
      <c r="AC70" s="110"/>
      <c r="AD70" s="110"/>
      <c r="AE70" s="110"/>
      <c r="AF70" s="110"/>
      <c r="AG70" s="110"/>
      <c r="AH70" s="110"/>
      <c r="AI70" s="110"/>
      <c r="AJ70" s="110"/>
      <c r="AK70" s="110"/>
      <c r="AL70" s="110"/>
      <c r="AM70" s="110"/>
      <c r="AN70" s="110"/>
      <c r="AO70" s="110"/>
      <c r="AP70" s="110"/>
      <c r="AQ70" s="110"/>
      <c r="AR70" s="110"/>
      <c r="AS70" s="110"/>
      <c r="AT70" s="110"/>
      <c r="AU70" s="110"/>
      <c r="AV70" s="110"/>
      <c r="AW70" s="110"/>
      <c r="AX70" s="110"/>
      <c r="AY70" s="110"/>
    </row>
    <row r="71" spans="1:51">
      <c r="A71" s="109"/>
      <c r="B71" s="127">
        <v>27</v>
      </c>
      <c r="C71" s="109" t="s">
        <v>293</v>
      </c>
      <c r="D71" s="110"/>
      <c r="E71" s="110"/>
      <c r="F71" s="110"/>
      <c r="G71" s="110"/>
      <c r="H71" s="110"/>
      <c r="I71" s="110"/>
      <c r="J71" s="110"/>
      <c r="K71" s="110"/>
      <c r="L71" s="110"/>
      <c r="M71" s="110"/>
      <c r="N71" s="110"/>
      <c r="O71" s="110"/>
      <c r="P71" s="110"/>
      <c r="Q71" s="110"/>
      <c r="R71" s="110"/>
      <c r="S71" s="110"/>
      <c r="T71" s="110"/>
      <c r="U71" s="110"/>
      <c r="V71" s="110"/>
      <c r="W71" s="110"/>
      <c r="X71" s="110"/>
      <c r="Y71" s="110"/>
      <c r="Z71" s="110"/>
      <c r="AA71" s="110"/>
      <c r="AB71" s="110"/>
      <c r="AC71" s="110"/>
      <c r="AD71" s="110"/>
      <c r="AE71" s="110"/>
      <c r="AF71" s="110"/>
      <c r="AG71" s="110"/>
      <c r="AH71" s="110"/>
      <c r="AI71" s="110"/>
      <c r="AJ71" s="110"/>
      <c r="AK71" s="110"/>
      <c r="AL71" s="110"/>
      <c r="AM71" s="110"/>
      <c r="AN71" s="110"/>
      <c r="AO71" s="110"/>
      <c r="AP71" s="110"/>
      <c r="AQ71" s="110"/>
      <c r="AR71" s="110"/>
      <c r="AS71" s="110"/>
      <c r="AT71" s="110"/>
      <c r="AU71" s="110"/>
      <c r="AV71" s="110"/>
      <c r="AW71" s="110"/>
      <c r="AX71" s="110"/>
      <c r="AY71" s="110"/>
    </row>
    <row r="72" spans="1:51">
      <c r="A72" s="109"/>
      <c r="B72" s="127">
        <v>28</v>
      </c>
      <c r="C72" s="109" t="s">
        <v>293</v>
      </c>
      <c r="D72" s="110"/>
      <c r="E72" s="110"/>
      <c r="F72" s="110"/>
      <c r="G72" s="110"/>
      <c r="H72" s="110"/>
      <c r="I72" s="110"/>
      <c r="J72" s="110"/>
      <c r="K72" s="110"/>
      <c r="L72" s="110"/>
      <c r="M72" s="110"/>
      <c r="N72" s="110"/>
      <c r="O72" s="110"/>
      <c r="P72" s="110"/>
      <c r="Q72" s="110"/>
      <c r="R72" s="110"/>
      <c r="S72" s="110"/>
      <c r="T72" s="110"/>
      <c r="U72" s="110"/>
      <c r="V72" s="110"/>
      <c r="W72" s="110"/>
      <c r="X72" s="110"/>
      <c r="Y72" s="110"/>
      <c r="Z72" s="110"/>
      <c r="AA72" s="110"/>
      <c r="AB72" s="110"/>
      <c r="AC72" s="110"/>
      <c r="AD72" s="110"/>
      <c r="AE72" s="110"/>
      <c r="AF72" s="110"/>
      <c r="AG72" s="110"/>
      <c r="AH72" s="110"/>
      <c r="AI72" s="110"/>
      <c r="AJ72" s="110"/>
      <c r="AK72" s="110"/>
      <c r="AL72" s="110"/>
      <c r="AM72" s="110"/>
      <c r="AN72" s="110"/>
      <c r="AO72" s="110"/>
      <c r="AP72" s="110"/>
      <c r="AQ72" s="110"/>
      <c r="AR72" s="110"/>
      <c r="AS72" s="110"/>
      <c r="AT72" s="110"/>
      <c r="AU72" s="110"/>
      <c r="AV72" s="110"/>
      <c r="AW72" s="110"/>
      <c r="AX72" s="110"/>
      <c r="AY72" s="110"/>
    </row>
    <row r="73" spans="1:51">
      <c r="A73" s="109"/>
      <c r="B73" s="127">
        <v>29</v>
      </c>
      <c r="C73" s="109" t="s">
        <v>293</v>
      </c>
      <c r="D73" s="110"/>
      <c r="E73" s="110"/>
      <c r="F73" s="110"/>
      <c r="G73" s="110"/>
      <c r="H73" s="110"/>
      <c r="I73" s="110"/>
      <c r="J73" s="110"/>
      <c r="K73" s="110"/>
      <c r="L73" s="110"/>
      <c r="M73" s="110"/>
      <c r="N73" s="110"/>
      <c r="O73" s="110"/>
      <c r="P73" s="110"/>
      <c r="Q73" s="110"/>
      <c r="R73" s="110"/>
      <c r="S73" s="110"/>
      <c r="T73" s="110"/>
      <c r="U73" s="110"/>
      <c r="V73" s="110"/>
      <c r="W73" s="110"/>
      <c r="X73" s="110"/>
      <c r="Y73" s="110"/>
      <c r="Z73" s="110"/>
      <c r="AA73" s="110"/>
      <c r="AB73" s="110"/>
      <c r="AC73" s="110"/>
      <c r="AD73" s="110"/>
      <c r="AE73" s="110"/>
      <c r="AF73" s="110"/>
      <c r="AG73" s="110"/>
      <c r="AH73" s="110"/>
      <c r="AI73" s="110"/>
      <c r="AJ73" s="110"/>
      <c r="AK73" s="110"/>
      <c r="AL73" s="110"/>
      <c r="AM73" s="110"/>
      <c r="AN73" s="110"/>
      <c r="AO73" s="110"/>
      <c r="AP73" s="110"/>
      <c r="AQ73" s="110"/>
      <c r="AR73" s="110"/>
      <c r="AS73" s="110"/>
      <c r="AT73" s="110"/>
      <c r="AU73" s="110"/>
      <c r="AV73" s="110"/>
      <c r="AW73" s="110"/>
      <c r="AX73" s="110"/>
      <c r="AY73" s="110"/>
    </row>
    <row r="74" spans="1:51">
      <c r="A74" s="109"/>
      <c r="B74" s="127">
        <v>30</v>
      </c>
      <c r="C74" s="109" t="s">
        <v>293</v>
      </c>
      <c r="D74" s="110"/>
      <c r="E74" s="110"/>
      <c r="F74" s="110"/>
      <c r="G74" s="110"/>
      <c r="H74" s="110"/>
      <c r="I74" s="110"/>
      <c r="J74" s="110"/>
      <c r="K74" s="110"/>
      <c r="L74" s="110"/>
      <c r="M74" s="110"/>
      <c r="N74" s="110"/>
      <c r="O74" s="110"/>
      <c r="P74" s="110"/>
      <c r="Q74" s="110"/>
      <c r="R74" s="110"/>
      <c r="S74" s="110"/>
      <c r="T74" s="110"/>
      <c r="U74" s="110"/>
      <c r="V74" s="110"/>
      <c r="W74" s="110"/>
      <c r="X74" s="110"/>
      <c r="Y74" s="110"/>
      <c r="Z74" s="110"/>
      <c r="AA74" s="110"/>
      <c r="AB74" s="110"/>
      <c r="AC74" s="110"/>
      <c r="AD74" s="110"/>
      <c r="AE74" s="110"/>
      <c r="AF74" s="110"/>
      <c r="AG74" s="110"/>
      <c r="AH74" s="110"/>
      <c r="AI74" s="110"/>
      <c r="AJ74" s="110"/>
      <c r="AK74" s="110"/>
      <c r="AL74" s="110"/>
      <c r="AM74" s="110"/>
      <c r="AN74" s="110"/>
      <c r="AO74" s="110"/>
      <c r="AP74" s="110"/>
      <c r="AQ74" s="110"/>
      <c r="AR74" s="110"/>
      <c r="AS74" s="110"/>
      <c r="AT74" s="110"/>
      <c r="AU74" s="110"/>
      <c r="AV74" s="110"/>
      <c r="AW74" s="110"/>
      <c r="AX74" s="110"/>
      <c r="AY74" s="110"/>
    </row>
    <row r="75" spans="1:51">
      <c r="A75" s="109"/>
      <c r="B75" s="127">
        <v>31</v>
      </c>
      <c r="C75" s="109" t="s">
        <v>293</v>
      </c>
      <c r="D75" s="110"/>
      <c r="E75" s="110"/>
      <c r="F75" s="110"/>
      <c r="G75" s="110"/>
      <c r="H75" s="110"/>
      <c r="I75" s="110"/>
      <c r="J75" s="110"/>
      <c r="K75" s="110"/>
      <c r="L75" s="110"/>
      <c r="M75" s="110"/>
      <c r="N75" s="110"/>
      <c r="O75" s="110"/>
      <c r="P75" s="110"/>
      <c r="Q75" s="110"/>
      <c r="R75" s="110"/>
      <c r="S75" s="110"/>
      <c r="T75" s="110"/>
      <c r="U75" s="110"/>
      <c r="V75" s="110"/>
      <c r="W75" s="110"/>
      <c r="X75" s="110"/>
      <c r="Y75" s="110"/>
      <c r="Z75" s="110"/>
      <c r="AA75" s="110"/>
      <c r="AB75" s="110"/>
      <c r="AC75" s="110"/>
      <c r="AD75" s="110"/>
      <c r="AE75" s="110"/>
      <c r="AF75" s="110"/>
      <c r="AG75" s="110"/>
      <c r="AH75" s="110"/>
      <c r="AI75" s="110"/>
      <c r="AJ75" s="110"/>
      <c r="AK75" s="110"/>
      <c r="AL75" s="110"/>
      <c r="AM75" s="110"/>
      <c r="AN75" s="110"/>
      <c r="AO75" s="110"/>
      <c r="AP75" s="110"/>
      <c r="AQ75" s="110"/>
      <c r="AR75" s="110"/>
      <c r="AS75" s="110"/>
      <c r="AT75" s="110"/>
      <c r="AU75" s="110"/>
      <c r="AV75" s="110"/>
      <c r="AW75" s="110"/>
      <c r="AX75" s="110"/>
      <c r="AY75" s="110"/>
    </row>
    <row r="76" spans="1:51">
      <c r="A76" s="109"/>
      <c r="B76" s="127">
        <v>32</v>
      </c>
      <c r="C76" s="109" t="s">
        <v>293</v>
      </c>
      <c r="D76" s="110"/>
      <c r="E76" s="110"/>
      <c r="F76" s="110"/>
      <c r="G76" s="110"/>
      <c r="H76" s="110"/>
      <c r="I76" s="110"/>
      <c r="J76" s="110"/>
      <c r="K76" s="110"/>
      <c r="L76" s="110"/>
      <c r="M76" s="110"/>
      <c r="N76" s="110"/>
      <c r="O76" s="110"/>
      <c r="P76" s="110"/>
      <c r="Q76" s="110"/>
      <c r="R76" s="110"/>
      <c r="S76" s="110"/>
      <c r="T76" s="110"/>
      <c r="U76" s="110"/>
      <c r="V76" s="110"/>
      <c r="W76" s="110"/>
      <c r="X76" s="110"/>
      <c r="Y76" s="110"/>
      <c r="Z76" s="110"/>
      <c r="AA76" s="110"/>
      <c r="AB76" s="110"/>
      <c r="AC76" s="110"/>
      <c r="AD76" s="110"/>
      <c r="AE76" s="110"/>
      <c r="AF76" s="110"/>
      <c r="AG76" s="110"/>
      <c r="AH76" s="110"/>
      <c r="AI76" s="110"/>
      <c r="AJ76" s="110"/>
      <c r="AK76" s="110"/>
      <c r="AL76" s="110"/>
      <c r="AM76" s="110"/>
      <c r="AN76" s="110"/>
      <c r="AO76" s="110"/>
      <c r="AP76" s="110"/>
      <c r="AQ76" s="110"/>
      <c r="AR76" s="110"/>
      <c r="AS76" s="110"/>
      <c r="AT76" s="110"/>
      <c r="AU76" s="110"/>
      <c r="AV76" s="110"/>
      <c r="AW76" s="110"/>
      <c r="AX76" s="110"/>
      <c r="AY76" s="110"/>
    </row>
    <row r="77" spans="1:51">
      <c r="A77" s="109"/>
      <c r="B77" s="127">
        <v>33</v>
      </c>
      <c r="C77" s="109" t="s">
        <v>293</v>
      </c>
      <c r="D77" s="110"/>
      <c r="E77" s="110"/>
      <c r="F77" s="110"/>
      <c r="G77" s="110"/>
      <c r="H77" s="110"/>
      <c r="I77" s="110"/>
      <c r="J77" s="110"/>
      <c r="K77" s="110"/>
      <c r="L77" s="110"/>
      <c r="M77" s="110"/>
      <c r="N77" s="110"/>
      <c r="O77" s="110"/>
      <c r="P77" s="110"/>
      <c r="Q77" s="110"/>
      <c r="R77" s="110"/>
      <c r="S77" s="110"/>
      <c r="T77" s="110"/>
      <c r="U77" s="110"/>
      <c r="V77" s="110"/>
      <c r="W77" s="110"/>
      <c r="X77" s="110"/>
      <c r="Y77" s="110"/>
      <c r="Z77" s="110"/>
      <c r="AA77" s="110"/>
      <c r="AB77" s="110"/>
      <c r="AC77" s="110"/>
      <c r="AD77" s="110"/>
      <c r="AE77" s="110"/>
      <c r="AF77" s="110"/>
      <c r="AG77" s="110"/>
      <c r="AH77" s="110"/>
      <c r="AI77" s="110"/>
      <c r="AJ77" s="110"/>
      <c r="AK77" s="110"/>
      <c r="AL77" s="110"/>
      <c r="AM77" s="110"/>
      <c r="AN77" s="110"/>
      <c r="AO77" s="110"/>
      <c r="AP77" s="110"/>
      <c r="AQ77" s="110"/>
      <c r="AR77" s="110"/>
      <c r="AS77" s="110"/>
      <c r="AT77" s="110"/>
      <c r="AU77" s="110"/>
      <c r="AV77" s="110"/>
      <c r="AW77" s="110"/>
      <c r="AX77" s="110"/>
      <c r="AY77" s="110"/>
    </row>
    <row r="78" spans="1:51">
      <c r="A78" s="109"/>
      <c r="B78" s="127">
        <v>34</v>
      </c>
      <c r="C78" s="109" t="s">
        <v>293</v>
      </c>
      <c r="D78" s="110"/>
      <c r="E78" s="110"/>
      <c r="F78" s="110"/>
      <c r="G78" s="110"/>
      <c r="H78" s="110"/>
      <c r="I78" s="110"/>
      <c r="J78" s="110"/>
      <c r="K78" s="110"/>
      <c r="L78" s="110"/>
      <c r="M78" s="110"/>
      <c r="N78" s="110"/>
      <c r="O78" s="110"/>
      <c r="P78" s="110"/>
      <c r="Q78" s="110"/>
      <c r="R78" s="110"/>
      <c r="S78" s="110"/>
      <c r="T78" s="110"/>
      <c r="U78" s="110"/>
      <c r="V78" s="110"/>
      <c r="W78" s="110"/>
      <c r="X78" s="110"/>
      <c r="Y78" s="110"/>
      <c r="Z78" s="110"/>
      <c r="AA78" s="110"/>
      <c r="AB78" s="110"/>
      <c r="AC78" s="110"/>
      <c r="AD78" s="110"/>
      <c r="AE78" s="110"/>
      <c r="AF78" s="110"/>
      <c r="AG78" s="110"/>
      <c r="AH78" s="110"/>
      <c r="AI78" s="110"/>
      <c r="AJ78" s="110"/>
      <c r="AK78" s="110"/>
      <c r="AL78" s="110"/>
      <c r="AM78" s="110"/>
      <c r="AN78" s="110"/>
      <c r="AO78" s="110"/>
      <c r="AP78" s="110"/>
      <c r="AQ78" s="110"/>
      <c r="AR78" s="110"/>
      <c r="AS78" s="110"/>
      <c r="AT78" s="110"/>
      <c r="AU78" s="110"/>
      <c r="AV78" s="110"/>
      <c r="AW78" s="110"/>
      <c r="AX78" s="110"/>
      <c r="AY78" s="110"/>
    </row>
    <row r="79" spans="1:51">
      <c r="A79" s="109"/>
      <c r="B79" s="127">
        <v>35</v>
      </c>
      <c r="C79" s="109" t="s">
        <v>293</v>
      </c>
      <c r="D79" s="110"/>
      <c r="E79" s="110"/>
      <c r="F79" s="110"/>
      <c r="G79" s="110"/>
      <c r="H79" s="110"/>
      <c r="I79" s="110"/>
      <c r="J79" s="110"/>
      <c r="K79" s="110"/>
      <c r="L79" s="110"/>
      <c r="M79" s="110"/>
      <c r="N79" s="110"/>
      <c r="O79" s="110"/>
      <c r="P79" s="110"/>
      <c r="Q79" s="110"/>
      <c r="R79" s="110"/>
      <c r="S79" s="110"/>
      <c r="T79" s="110"/>
      <c r="U79" s="110"/>
      <c r="V79" s="110"/>
      <c r="W79" s="110"/>
      <c r="X79" s="110"/>
      <c r="Y79" s="110"/>
      <c r="Z79" s="110"/>
      <c r="AA79" s="110"/>
      <c r="AB79" s="110"/>
      <c r="AC79" s="110"/>
      <c r="AD79" s="110"/>
      <c r="AE79" s="110"/>
      <c r="AF79" s="110"/>
      <c r="AG79" s="110"/>
      <c r="AH79" s="110"/>
      <c r="AI79" s="110"/>
      <c r="AJ79" s="110"/>
      <c r="AK79" s="110"/>
      <c r="AL79" s="110"/>
      <c r="AM79" s="110"/>
      <c r="AN79" s="110"/>
      <c r="AO79" s="110"/>
      <c r="AP79" s="110"/>
      <c r="AQ79" s="110"/>
      <c r="AR79" s="110"/>
      <c r="AS79" s="110"/>
      <c r="AT79" s="110"/>
      <c r="AU79" s="110"/>
      <c r="AV79" s="110"/>
      <c r="AW79" s="110"/>
      <c r="AX79" s="110"/>
      <c r="AY79" s="110"/>
    </row>
    <row r="80" spans="1:51">
      <c r="A80" s="109"/>
      <c r="B80" s="127">
        <v>36</v>
      </c>
      <c r="C80" s="109" t="s">
        <v>293</v>
      </c>
      <c r="D80" s="110"/>
      <c r="E80" s="110"/>
      <c r="F80" s="110"/>
      <c r="G80" s="110"/>
      <c r="H80" s="110"/>
      <c r="I80" s="110"/>
      <c r="J80" s="110"/>
      <c r="K80" s="110"/>
      <c r="L80" s="110"/>
      <c r="M80" s="110"/>
      <c r="N80" s="110"/>
      <c r="O80" s="110"/>
      <c r="P80" s="110"/>
      <c r="Q80" s="110"/>
      <c r="R80" s="110"/>
      <c r="S80" s="110"/>
      <c r="T80" s="110"/>
      <c r="U80" s="110"/>
      <c r="V80" s="110"/>
      <c r="W80" s="110"/>
      <c r="X80" s="110"/>
      <c r="Y80" s="110"/>
      <c r="Z80" s="110"/>
      <c r="AA80" s="110"/>
      <c r="AB80" s="110"/>
      <c r="AC80" s="110"/>
      <c r="AD80" s="110"/>
      <c r="AE80" s="110"/>
      <c r="AF80" s="110"/>
      <c r="AG80" s="110"/>
      <c r="AH80" s="110"/>
      <c r="AI80" s="110"/>
      <c r="AJ80" s="110"/>
      <c r="AK80" s="110"/>
      <c r="AL80" s="110"/>
      <c r="AM80" s="110"/>
      <c r="AN80" s="110"/>
      <c r="AO80" s="110"/>
      <c r="AP80" s="110"/>
      <c r="AQ80" s="110"/>
      <c r="AR80" s="110"/>
      <c r="AS80" s="110"/>
      <c r="AT80" s="110"/>
      <c r="AU80" s="110"/>
      <c r="AV80" s="110"/>
      <c r="AW80" s="110"/>
      <c r="AX80" s="110"/>
      <c r="AY80" s="110"/>
    </row>
    <row r="81" spans="1:52">
      <c r="A81" s="109"/>
      <c r="B81" s="130">
        <v>37</v>
      </c>
      <c r="C81" s="109" t="s">
        <v>293</v>
      </c>
      <c r="D81" s="110"/>
      <c r="E81" s="110"/>
      <c r="F81" s="110"/>
      <c r="G81" s="110"/>
      <c r="H81" s="110"/>
      <c r="I81" s="110"/>
      <c r="J81" s="110"/>
      <c r="K81" s="110"/>
      <c r="L81" s="110"/>
      <c r="M81" s="110"/>
      <c r="N81" s="110"/>
      <c r="O81" s="110"/>
      <c r="P81" s="110"/>
      <c r="Q81" s="110"/>
      <c r="R81" s="110"/>
      <c r="S81" s="110"/>
      <c r="T81" s="110"/>
      <c r="U81" s="110"/>
      <c r="V81" s="110"/>
      <c r="W81" s="110"/>
      <c r="X81" s="110"/>
      <c r="Y81" s="110"/>
      <c r="Z81" s="110"/>
      <c r="AA81" s="110"/>
      <c r="AB81" s="110"/>
      <c r="AC81" s="110"/>
      <c r="AD81" s="110"/>
      <c r="AE81" s="110"/>
      <c r="AF81" s="110"/>
      <c r="AG81" s="110"/>
      <c r="AH81" s="110"/>
      <c r="AI81" s="110"/>
      <c r="AJ81" s="110"/>
      <c r="AK81" s="110"/>
      <c r="AL81" s="110"/>
      <c r="AM81" s="110"/>
      <c r="AN81" s="110"/>
      <c r="AO81" s="110"/>
      <c r="AP81" s="110"/>
      <c r="AQ81" s="110"/>
      <c r="AR81" s="110"/>
      <c r="AS81" s="110"/>
      <c r="AT81" s="110"/>
      <c r="AU81" s="110"/>
      <c r="AV81" s="110"/>
      <c r="AW81" s="110"/>
      <c r="AX81" s="110"/>
      <c r="AY81" s="110"/>
    </row>
    <row r="82" spans="1:52">
      <c r="A82" s="109"/>
      <c r="B82" s="130">
        <v>38</v>
      </c>
      <c r="C82" s="109" t="s">
        <v>293</v>
      </c>
      <c r="D82" s="110"/>
      <c r="E82" s="110"/>
      <c r="F82" s="110"/>
      <c r="G82" s="110"/>
      <c r="H82" s="110"/>
      <c r="I82" s="110"/>
      <c r="J82" s="110"/>
      <c r="K82" s="110"/>
      <c r="L82" s="110"/>
      <c r="M82" s="110"/>
      <c r="N82" s="110"/>
      <c r="O82" s="110"/>
      <c r="P82" s="110"/>
      <c r="Q82" s="110"/>
      <c r="R82" s="110"/>
      <c r="S82" s="110"/>
      <c r="T82" s="110"/>
      <c r="U82" s="110"/>
      <c r="V82" s="110"/>
      <c r="W82" s="110"/>
      <c r="X82" s="110"/>
      <c r="Y82" s="110"/>
      <c r="Z82" s="110"/>
      <c r="AA82" s="110"/>
      <c r="AB82" s="110"/>
      <c r="AC82" s="110"/>
      <c r="AD82" s="110"/>
      <c r="AE82" s="110"/>
      <c r="AF82" s="110"/>
      <c r="AG82" s="110"/>
      <c r="AH82" s="110"/>
      <c r="AI82" s="110"/>
      <c r="AJ82" s="110"/>
      <c r="AK82" s="110"/>
      <c r="AL82" s="110"/>
      <c r="AM82" s="110"/>
      <c r="AN82" s="110"/>
      <c r="AO82" s="110"/>
      <c r="AP82" s="110"/>
      <c r="AQ82" s="110"/>
      <c r="AR82" s="110"/>
      <c r="AS82" s="110"/>
      <c r="AT82" s="110"/>
      <c r="AU82" s="110"/>
      <c r="AV82" s="110"/>
      <c r="AW82" s="110"/>
      <c r="AX82" s="110"/>
      <c r="AY82" s="110"/>
    </row>
    <row r="83" spans="1:52">
      <c r="A83" s="109"/>
      <c r="B83" s="130">
        <v>39</v>
      </c>
      <c r="C83" s="109" t="s">
        <v>293</v>
      </c>
      <c r="D83" s="110"/>
      <c r="E83" s="110"/>
      <c r="F83" s="110"/>
      <c r="G83" s="110"/>
      <c r="H83" s="110"/>
      <c r="I83" s="110"/>
      <c r="J83" s="110"/>
      <c r="K83" s="110"/>
      <c r="L83" s="110"/>
      <c r="M83" s="110"/>
      <c r="N83" s="110"/>
      <c r="O83" s="110"/>
      <c r="P83" s="110"/>
      <c r="Q83" s="110"/>
      <c r="R83" s="110"/>
      <c r="S83" s="110"/>
      <c r="T83" s="110"/>
      <c r="U83" s="110"/>
      <c r="V83" s="110"/>
      <c r="W83" s="110"/>
      <c r="X83" s="110"/>
      <c r="Y83" s="110"/>
      <c r="Z83" s="110"/>
      <c r="AA83" s="110"/>
      <c r="AB83" s="110"/>
      <c r="AC83" s="110"/>
      <c r="AD83" s="110"/>
      <c r="AE83" s="110"/>
      <c r="AF83" s="110"/>
      <c r="AG83" s="110"/>
      <c r="AH83" s="110"/>
      <c r="AI83" s="110"/>
      <c r="AJ83" s="110"/>
      <c r="AK83" s="110"/>
      <c r="AL83" s="110"/>
      <c r="AM83" s="110"/>
      <c r="AN83" s="110"/>
      <c r="AO83" s="110"/>
      <c r="AP83" s="110"/>
      <c r="AQ83" s="110"/>
      <c r="AR83" s="110"/>
      <c r="AS83" s="110"/>
      <c r="AT83" s="110"/>
      <c r="AU83" s="110"/>
      <c r="AV83" s="110"/>
      <c r="AW83" s="110"/>
      <c r="AX83" s="110"/>
      <c r="AY83" s="110"/>
    </row>
    <row r="84" spans="1:52">
      <c r="A84" s="109"/>
      <c r="B84" s="130">
        <v>40</v>
      </c>
      <c r="C84" s="109" t="s">
        <v>293</v>
      </c>
      <c r="D84" s="110"/>
      <c r="E84" s="110"/>
      <c r="F84" s="110"/>
      <c r="G84" s="110"/>
      <c r="H84" s="110"/>
      <c r="I84" s="110"/>
      <c r="J84" s="110"/>
      <c r="K84" s="110"/>
      <c r="L84" s="110"/>
      <c r="M84" s="110"/>
      <c r="N84" s="110"/>
      <c r="O84" s="110"/>
      <c r="P84" s="110"/>
      <c r="Q84" s="110"/>
      <c r="R84" s="110"/>
      <c r="S84" s="110"/>
      <c r="T84" s="110"/>
      <c r="U84" s="110"/>
      <c r="V84" s="110"/>
      <c r="W84" s="110"/>
      <c r="X84" s="110"/>
      <c r="Y84" s="110"/>
      <c r="Z84" s="110"/>
      <c r="AA84" s="110"/>
      <c r="AB84" s="110"/>
      <c r="AC84" s="110"/>
      <c r="AD84" s="110"/>
      <c r="AE84" s="110"/>
      <c r="AF84" s="110"/>
      <c r="AG84" s="110"/>
      <c r="AH84" s="110"/>
      <c r="AI84" s="110"/>
      <c r="AJ84" s="110"/>
      <c r="AK84" s="110"/>
      <c r="AL84" s="110"/>
      <c r="AM84" s="110"/>
      <c r="AN84" s="110"/>
      <c r="AO84" s="110"/>
      <c r="AP84" s="110"/>
      <c r="AQ84" s="110"/>
      <c r="AR84" s="110"/>
      <c r="AS84" s="110"/>
      <c r="AT84" s="110"/>
      <c r="AU84" s="110"/>
      <c r="AV84" s="110"/>
      <c r="AW84" s="110"/>
      <c r="AX84" s="110"/>
      <c r="AY84" s="110"/>
    </row>
    <row r="85" spans="1:52">
      <c r="A85" s="109"/>
      <c r="B85" s="130">
        <v>41</v>
      </c>
      <c r="C85" s="109" t="s">
        <v>293</v>
      </c>
      <c r="D85" s="110"/>
      <c r="E85" s="110"/>
      <c r="F85" s="110"/>
      <c r="G85" s="110"/>
      <c r="H85" s="110"/>
      <c r="I85" s="110"/>
      <c r="J85" s="110"/>
      <c r="K85" s="110"/>
      <c r="L85" s="110"/>
      <c r="M85" s="110"/>
      <c r="N85" s="110"/>
      <c r="O85" s="110"/>
      <c r="P85" s="110"/>
      <c r="Q85" s="110"/>
      <c r="R85" s="110"/>
      <c r="S85" s="110"/>
      <c r="T85" s="110"/>
      <c r="U85" s="110"/>
      <c r="V85" s="110"/>
      <c r="W85" s="110"/>
      <c r="X85" s="110"/>
      <c r="Y85" s="110"/>
      <c r="Z85" s="110"/>
      <c r="AA85" s="110"/>
      <c r="AB85" s="110"/>
      <c r="AC85" s="110"/>
      <c r="AD85" s="110"/>
      <c r="AE85" s="110"/>
      <c r="AF85" s="110"/>
      <c r="AG85" s="110"/>
      <c r="AH85" s="110"/>
      <c r="AI85" s="110"/>
      <c r="AJ85" s="110"/>
      <c r="AK85" s="110"/>
      <c r="AL85" s="110"/>
      <c r="AM85" s="110"/>
      <c r="AN85" s="110"/>
      <c r="AO85" s="110"/>
      <c r="AP85" s="110"/>
      <c r="AQ85" s="110"/>
      <c r="AR85" s="110"/>
      <c r="AS85" s="110"/>
      <c r="AT85" s="110"/>
      <c r="AU85" s="110"/>
      <c r="AV85" s="110"/>
      <c r="AW85" s="110"/>
      <c r="AX85" s="110"/>
      <c r="AY85" s="110"/>
    </row>
    <row r="86" spans="1:52">
      <c r="A86" s="109"/>
      <c r="B86" s="130">
        <v>42</v>
      </c>
      <c r="C86" s="109" t="s">
        <v>293</v>
      </c>
      <c r="D86" s="110"/>
      <c r="E86" s="110"/>
      <c r="F86" s="110"/>
      <c r="G86" s="110"/>
      <c r="H86" s="110"/>
      <c r="I86" s="110"/>
      <c r="J86" s="110"/>
      <c r="K86" s="110"/>
      <c r="L86" s="110"/>
      <c r="M86" s="110"/>
      <c r="N86" s="110"/>
      <c r="O86" s="110"/>
      <c r="P86" s="110"/>
      <c r="Q86" s="110"/>
      <c r="R86" s="110"/>
      <c r="S86" s="110"/>
      <c r="T86" s="110"/>
      <c r="U86" s="110"/>
      <c r="V86" s="110"/>
      <c r="W86" s="110"/>
      <c r="X86" s="110"/>
      <c r="Y86" s="110"/>
      <c r="Z86" s="110"/>
      <c r="AA86" s="110"/>
      <c r="AB86" s="110"/>
      <c r="AC86" s="110"/>
      <c r="AD86" s="110"/>
      <c r="AE86" s="110"/>
      <c r="AF86" s="110"/>
      <c r="AG86" s="110"/>
      <c r="AH86" s="110"/>
      <c r="AI86" s="110"/>
      <c r="AJ86" s="110"/>
      <c r="AK86" s="110"/>
      <c r="AL86" s="110"/>
      <c r="AM86" s="110"/>
      <c r="AN86" s="110"/>
      <c r="AO86" s="110"/>
      <c r="AP86" s="110"/>
      <c r="AQ86" s="110"/>
      <c r="AR86" s="110"/>
      <c r="AS86" s="110"/>
      <c r="AT86" s="110"/>
      <c r="AU86" s="110"/>
      <c r="AV86" s="110"/>
      <c r="AW86" s="110"/>
      <c r="AX86" s="110"/>
      <c r="AY86" s="110"/>
    </row>
    <row r="87" spans="1:52">
      <c r="A87" s="109"/>
      <c r="B87" s="130">
        <v>43</v>
      </c>
      <c r="C87" s="109" t="s">
        <v>293</v>
      </c>
      <c r="D87" s="110"/>
      <c r="E87" s="110"/>
      <c r="F87" s="110"/>
      <c r="G87" s="110"/>
      <c r="H87" s="110"/>
      <c r="I87" s="110"/>
      <c r="J87" s="110"/>
      <c r="K87" s="110"/>
      <c r="L87" s="110"/>
      <c r="M87" s="110"/>
      <c r="N87" s="110"/>
      <c r="O87" s="110"/>
      <c r="P87" s="110"/>
      <c r="Q87" s="110"/>
      <c r="R87" s="110"/>
      <c r="S87" s="110"/>
      <c r="T87" s="110"/>
      <c r="U87" s="110"/>
      <c r="V87" s="110"/>
      <c r="W87" s="110"/>
      <c r="X87" s="110"/>
      <c r="Y87" s="110"/>
      <c r="Z87" s="110"/>
      <c r="AA87" s="110"/>
      <c r="AB87" s="110"/>
      <c r="AC87" s="110"/>
      <c r="AD87" s="110"/>
      <c r="AE87" s="110"/>
      <c r="AF87" s="110"/>
      <c r="AG87" s="110"/>
      <c r="AH87" s="110"/>
      <c r="AI87" s="110"/>
      <c r="AJ87" s="110"/>
      <c r="AK87" s="110"/>
      <c r="AL87" s="110"/>
      <c r="AM87" s="110"/>
      <c r="AN87" s="110"/>
      <c r="AO87" s="110"/>
      <c r="AP87" s="110"/>
      <c r="AQ87" s="110"/>
      <c r="AR87" s="110"/>
      <c r="AS87" s="110"/>
      <c r="AT87" s="110"/>
      <c r="AU87" s="110"/>
      <c r="AV87" s="110"/>
      <c r="AW87" s="110"/>
      <c r="AX87" s="110"/>
      <c r="AY87" s="110"/>
    </row>
    <row r="88" spans="1:52">
      <c r="A88" s="109"/>
      <c r="B88" s="130">
        <v>44</v>
      </c>
      <c r="C88" s="109" t="s">
        <v>293</v>
      </c>
      <c r="D88" s="110"/>
      <c r="E88" s="110"/>
      <c r="F88" s="110"/>
      <c r="G88" s="110"/>
      <c r="H88" s="110"/>
      <c r="I88" s="110"/>
      <c r="J88" s="110"/>
      <c r="K88" s="110"/>
      <c r="L88" s="110"/>
      <c r="M88" s="110"/>
      <c r="N88" s="110"/>
      <c r="O88" s="110"/>
      <c r="P88" s="110"/>
      <c r="Q88" s="110"/>
      <c r="R88" s="110"/>
      <c r="S88" s="110"/>
      <c r="T88" s="110"/>
      <c r="U88" s="110"/>
      <c r="V88" s="110"/>
      <c r="W88" s="110"/>
      <c r="X88" s="110"/>
      <c r="Y88" s="110"/>
      <c r="Z88" s="110"/>
      <c r="AA88" s="110"/>
      <c r="AB88" s="110"/>
      <c r="AC88" s="110"/>
      <c r="AD88" s="110"/>
      <c r="AE88" s="110"/>
      <c r="AF88" s="110"/>
      <c r="AG88" s="110"/>
      <c r="AH88" s="110"/>
      <c r="AI88" s="110"/>
      <c r="AJ88" s="110"/>
      <c r="AK88" s="110"/>
      <c r="AL88" s="110"/>
      <c r="AM88" s="110"/>
      <c r="AN88" s="110"/>
      <c r="AO88" s="110"/>
      <c r="AP88" s="110"/>
      <c r="AQ88" s="110"/>
      <c r="AR88" s="110"/>
      <c r="AS88" s="110"/>
      <c r="AT88" s="110"/>
      <c r="AU88" s="110"/>
      <c r="AV88" s="110"/>
      <c r="AW88" s="110"/>
      <c r="AX88" s="110"/>
      <c r="AY88" s="110"/>
    </row>
    <row r="89" spans="1:52">
      <c r="A89" s="109"/>
      <c r="B89" s="130">
        <v>45</v>
      </c>
      <c r="C89" s="109" t="s">
        <v>293</v>
      </c>
      <c r="D89" s="110"/>
      <c r="E89" s="110"/>
      <c r="F89" s="110"/>
      <c r="G89" s="110"/>
      <c r="H89" s="110"/>
      <c r="I89" s="110"/>
      <c r="J89" s="110"/>
      <c r="K89" s="110"/>
      <c r="L89" s="110"/>
      <c r="M89" s="110"/>
      <c r="N89" s="110"/>
      <c r="O89" s="110"/>
      <c r="P89" s="110"/>
      <c r="Q89" s="110"/>
      <c r="R89" s="110"/>
      <c r="S89" s="110"/>
      <c r="T89" s="110"/>
      <c r="U89" s="110"/>
      <c r="V89" s="110"/>
      <c r="W89" s="110"/>
      <c r="X89" s="110"/>
      <c r="Y89" s="110"/>
      <c r="Z89" s="110"/>
      <c r="AA89" s="110"/>
      <c r="AB89" s="110"/>
      <c r="AC89" s="110"/>
      <c r="AD89" s="110"/>
      <c r="AE89" s="110"/>
      <c r="AF89" s="110"/>
      <c r="AG89" s="110"/>
      <c r="AH89" s="110"/>
      <c r="AI89" s="110"/>
      <c r="AJ89" s="110"/>
      <c r="AK89" s="110"/>
      <c r="AL89" s="110"/>
      <c r="AM89" s="110"/>
      <c r="AN89" s="110"/>
      <c r="AO89" s="110"/>
      <c r="AP89" s="110"/>
      <c r="AQ89" s="110"/>
      <c r="AR89" s="110"/>
      <c r="AS89" s="110"/>
      <c r="AT89" s="110"/>
      <c r="AU89" s="110"/>
      <c r="AV89" s="110"/>
      <c r="AW89" s="110"/>
      <c r="AX89" s="110"/>
      <c r="AY89" s="110"/>
    </row>
    <row r="90" spans="1:52">
      <c r="A90" s="109"/>
      <c r="B90" s="130">
        <v>46</v>
      </c>
      <c r="C90" s="109" t="s">
        <v>293</v>
      </c>
      <c r="D90" s="110"/>
      <c r="E90" s="110"/>
      <c r="F90" s="110"/>
      <c r="G90" s="110"/>
      <c r="H90" s="110"/>
      <c r="I90" s="110"/>
      <c r="J90" s="110"/>
      <c r="K90" s="110"/>
      <c r="L90" s="110"/>
      <c r="M90" s="110"/>
      <c r="N90" s="110"/>
      <c r="O90" s="110"/>
      <c r="P90" s="110"/>
      <c r="Q90" s="110"/>
      <c r="R90" s="110"/>
      <c r="S90" s="110"/>
      <c r="T90" s="110"/>
      <c r="U90" s="110"/>
      <c r="V90" s="110"/>
      <c r="W90" s="110"/>
      <c r="X90" s="110"/>
      <c r="Y90" s="110"/>
      <c r="Z90" s="110"/>
      <c r="AA90" s="110"/>
      <c r="AB90" s="110"/>
      <c r="AC90" s="110"/>
      <c r="AD90" s="110"/>
      <c r="AE90" s="110"/>
      <c r="AF90" s="110"/>
      <c r="AG90" s="110"/>
      <c r="AH90" s="110"/>
      <c r="AI90" s="110"/>
      <c r="AJ90" s="110"/>
      <c r="AK90" s="110"/>
      <c r="AL90" s="110"/>
      <c r="AM90" s="110"/>
      <c r="AN90" s="110"/>
      <c r="AO90" s="110"/>
      <c r="AP90" s="110"/>
      <c r="AQ90" s="110"/>
      <c r="AR90" s="110"/>
      <c r="AS90" s="110"/>
      <c r="AT90" s="110"/>
      <c r="AU90" s="110"/>
      <c r="AV90" s="110"/>
      <c r="AW90" s="110"/>
      <c r="AX90" s="110"/>
      <c r="AY90" s="110"/>
    </row>
    <row r="91" spans="1:52">
      <c r="A91" s="109"/>
      <c r="B91" s="130">
        <v>47</v>
      </c>
      <c r="C91" s="109" t="s">
        <v>293</v>
      </c>
      <c r="D91" s="110"/>
      <c r="E91" s="110"/>
      <c r="F91" s="110"/>
      <c r="G91" s="110"/>
      <c r="H91" s="110"/>
      <c r="I91" s="110"/>
      <c r="J91" s="110"/>
      <c r="K91" s="110"/>
      <c r="L91" s="110"/>
      <c r="M91" s="110"/>
      <c r="N91" s="110"/>
      <c r="O91" s="110"/>
      <c r="P91" s="110"/>
      <c r="Q91" s="110"/>
      <c r="R91" s="110"/>
      <c r="S91" s="110"/>
      <c r="T91" s="110"/>
      <c r="U91" s="110"/>
      <c r="V91" s="110"/>
      <c r="W91" s="110"/>
      <c r="X91" s="110"/>
      <c r="Y91" s="110"/>
      <c r="Z91" s="110"/>
      <c r="AA91" s="110"/>
      <c r="AB91" s="110"/>
      <c r="AC91" s="110"/>
      <c r="AD91" s="110"/>
      <c r="AE91" s="110"/>
      <c r="AF91" s="110"/>
      <c r="AG91" s="110"/>
      <c r="AH91" s="110"/>
      <c r="AI91" s="110"/>
      <c r="AJ91" s="110"/>
      <c r="AK91" s="110"/>
      <c r="AL91" s="110"/>
      <c r="AM91" s="110"/>
      <c r="AN91" s="110"/>
      <c r="AO91" s="110"/>
      <c r="AP91" s="110"/>
      <c r="AQ91" s="110"/>
      <c r="AR91" s="110"/>
      <c r="AS91" s="110"/>
      <c r="AT91" s="110"/>
      <c r="AU91" s="110"/>
      <c r="AV91" s="110"/>
      <c r="AW91" s="110"/>
      <c r="AX91" s="110"/>
      <c r="AY91" s="110"/>
    </row>
    <row r="92" spans="1:52">
      <c r="A92" s="128"/>
      <c r="B92" s="129">
        <v>48</v>
      </c>
      <c r="C92" s="128" t="s">
        <v>293</v>
      </c>
      <c r="D92" s="125">
        <v>0</v>
      </c>
      <c r="E92" s="125">
        <v>0</v>
      </c>
      <c r="F92" s="125">
        <v>0</v>
      </c>
      <c r="G92" s="125">
        <v>0</v>
      </c>
      <c r="H92" s="125">
        <v>0</v>
      </c>
      <c r="I92" s="125">
        <v>0</v>
      </c>
      <c r="J92" s="125">
        <v>0</v>
      </c>
      <c r="K92" s="125">
        <v>0</v>
      </c>
      <c r="L92" s="125">
        <v>0</v>
      </c>
      <c r="M92" s="125">
        <v>0</v>
      </c>
      <c r="N92" s="125">
        <v>0</v>
      </c>
      <c r="O92" s="125">
        <v>0</v>
      </c>
      <c r="P92" s="125">
        <v>0</v>
      </c>
      <c r="Q92" s="125">
        <v>0</v>
      </c>
      <c r="R92" s="125">
        <v>0</v>
      </c>
      <c r="S92" s="125">
        <v>0</v>
      </c>
      <c r="T92" s="125">
        <v>0</v>
      </c>
      <c r="U92" s="125">
        <v>0</v>
      </c>
      <c r="V92" s="125">
        <v>0</v>
      </c>
      <c r="W92" s="125">
        <v>0</v>
      </c>
      <c r="X92" s="125">
        <v>0</v>
      </c>
      <c r="Y92" s="125">
        <v>0</v>
      </c>
      <c r="Z92" s="125">
        <v>0</v>
      </c>
      <c r="AA92" s="125">
        <v>0</v>
      </c>
      <c r="AB92" s="125">
        <v>0</v>
      </c>
      <c r="AC92" s="125">
        <v>0</v>
      </c>
      <c r="AD92" s="125">
        <v>0</v>
      </c>
      <c r="AE92" s="125">
        <v>0</v>
      </c>
      <c r="AF92" s="125">
        <v>0</v>
      </c>
      <c r="AG92" s="125">
        <v>0</v>
      </c>
      <c r="AH92" s="125">
        <v>0</v>
      </c>
      <c r="AI92" s="125">
        <v>0</v>
      </c>
      <c r="AJ92" s="125">
        <v>0</v>
      </c>
      <c r="AK92" s="125">
        <v>0</v>
      </c>
      <c r="AL92" s="125">
        <v>0</v>
      </c>
      <c r="AM92" s="125">
        <v>0</v>
      </c>
      <c r="AN92" s="125">
        <v>0</v>
      </c>
      <c r="AO92" s="125">
        <v>0</v>
      </c>
      <c r="AP92" s="125">
        <v>0</v>
      </c>
      <c r="AQ92" s="125">
        <v>0</v>
      </c>
      <c r="AR92" s="125">
        <v>0</v>
      </c>
      <c r="AS92" s="125">
        <v>0</v>
      </c>
      <c r="AT92" s="125">
        <v>0</v>
      </c>
      <c r="AU92" s="125">
        <v>0</v>
      </c>
      <c r="AV92" s="125">
        <v>0</v>
      </c>
      <c r="AW92" s="125">
        <v>0</v>
      </c>
      <c r="AX92" s="125">
        <v>0</v>
      </c>
      <c r="AY92" s="125">
        <v>0</v>
      </c>
      <c r="AZ92" s="107">
        <f>SUM(D21:AY92)</f>
        <v>0</v>
      </c>
    </row>
    <row r="94" spans="1:52">
      <c r="A94" s="102" t="s">
        <v>295</v>
      </c>
      <c r="B94" s="106"/>
      <c r="C94" s="106"/>
      <c r="D94" s="114"/>
      <c r="E94" s="114"/>
      <c r="F94" s="114"/>
      <c r="G94" s="114"/>
      <c r="H94" s="114"/>
      <c r="I94" s="114"/>
      <c r="J94" s="114"/>
      <c r="K94" s="114"/>
      <c r="L94" s="114"/>
      <c r="M94" s="114"/>
      <c r="N94" s="114"/>
      <c r="O94" s="114"/>
      <c r="P94" s="114"/>
      <c r="Q94" s="114"/>
      <c r="R94" s="114"/>
      <c r="S94" s="114"/>
      <c r="T94" s="114"/>
      <c r="U94" s="114"/>
      <c r="V94" s="114"/>
      <c r="W94" s="114"/>
      <c r="X94" s="114"/>
      <c r="Y94" s="114"/>
      <c r="Z94" s="114"/>
      <c r="AA94" s="114"/>
      <c r="AB94" s="114"/>
      <c r="AC94" s="114"/>
      <c r="AD94" s="114"/>
      <c r="AE94" s="114"/>
      <c r="AF94" s="114"/>
      <c r="AG94" s="114"/>
      <c r="AH94" s="114"/>
      <c r="AI94" s="114"/>
      <c r="AJ94" s="114"/>
      <c r="AK94" s="114"/>
      <c r="AL94" s="114"/>
      <c r="AM94" s="114"/>
      <c r="AN94" s="114"/>
      <c r="AO94" s="114"/>
      <c r="AP94" s="114"/>
      <c r="AQ94" s="114"/>
      <c r="AR94" s="114"/>
      <c r="AS94" s="114"/>
      <c r="AT94" s="114"/>
      <c r="AU94" s="114"/>
      <c r="AV94" s="114"/>
      <c r="AW94" s="114"/>
      <c r="AX94" s="114"/>
      <c r="AY94" s="114"/>
    </row>
    <row r="95" spans="1:52">
      <c r="A95" s="126" t="s">
        <v>125</v>
      </c>
      <c r="B95" s="123">
        <v>1</v>
      </c>
      <c r="C95" s="124">
        <v>140</v>
      </c>
      <c r="D95" s="110">
        <v>140</v>
      </c>
      <c r="E95" s="110">
        <v>140</v>
      </c>
      <c r="F95" s="110">
        <v>140</v>
      </c>
      <c r="G95" s="110">
        <v>140</v>
      </c>
      <c r="H95" s="110">
        <v>140</v>
      </c>
      <c r="I95" s="110">
        <v>140</v>
      </c>
      <c r="J95" s="110">
        <v>140</v>
      </c>
      <c r="K95" s="110">
        <v>140</v>
      </c>
      <c r="L95" s="110">
        <v>140</v>
      </c>
      <c r="M95" s="110">
        <v>140</v>
      </c>
      <c r="N95" s="110">
        <v>140</v>
      </c>
      <c r="O95" s="110">
        <v>140</v>
      </c>
      <c r="P95" s="110">
        <v>140</v>
      </c>
      <c r="Q95" s="110">
        <v>140</v>
      </c>
      <c r="R95" s="110">
        <v>140</v>
      </c>
      <c r="S95" s="110">
        <v>140</v>
      </c>
      <c r="T95" s="110">
        <v>140</v>
      </c>
      <c r="U95" s="110">
        <v>140</v>
      </c>
      <c r="V95" s="110">
        <v>140</v>
      </c>
      <c r="W95" s="110">
        <v>140</v>
      </c>
      <c r="X95" s="110">
        <v>140</v>
      </c>
      <c r="Y95" s="110">
        <v>140</v>
      </c>
      <c r="Z95" s="110">
        <v>140</v>
      </c>
      <c r="AA95" s="110">
        <v>140</v>
      </c>
      <c r="AB95" s="110">
        <v>140</v>
      </c>
      <c r="AC95" s="110">
        <v>140</v>
      </c>
      <c r="AD95" s="110">
        <v>140</v>
      </c>
      <c r="AE95" s="110">
        <v>140</v>
      </c>
      <c r="AF95" s="110">
        <v>140</v>
      </c>
      <c r="AG95" s="110">
        <v>140</v>
      </c>
      <c r="AH95" s="110">
        <v>140</v>
      </c>
      <c r="AI95" s="110">
        <v>140</v>
      </c>
      <c r="AJ95" s="110">
        <v>140</v>
      </c>
      <c r="AK95" s="110">
        <v>140</v>
      </c>
      <c r="AL95" s="110">
        <v>140</v>
      </c>
      <c r="AM95" s="110">
        <v>140</v>
      </c>
      <c r="AN95" s="110">
        <v>140</v>
      </c>
      <c r="AO95" s="110">
        <v>140</v>
      </c>
      <c r="AP95" s="110">
        <v>140</v>
      </c>
      <c r="AQ95" s="110">
        <v>140</v>
      </c>
      <c r="AR95" s="110">
        <v>140</v>
      </c>
      <c r="AS95" s="110">
        <v>140</v>
      </c>
      <c r="AT95" s="110">
        <v>140</v>
      </c>
      <c r="AU95" s="110">
        <v>140</v>
      </c>
      <c r="AV95" s="110">
        <v>140</v>
      </c>
      <c r="AW95" s="110">
        <v>140</v>
      </c>
      <c r="AX95" s="110">
        <v>140</v>
      </c>
      <c r="AY95" s="110">
        <v>140</v>
      </c>
    </row>
    <row r="96" spans="1:52">
      <c r="A96" s="109"/>
      <c r="B96" s="120">
        <v>2</v>
      </c>
      <c r="C96" s="110">
        <v>22.255218775453613</v>
      </c>
      <c r="D96" s="110">
        <v>22.255218775453613</v>
      </c>
      <c r="E96" s="110">
        <v>17.255218775453613</v>
      </c>
      <c r="F96" s="110">
        <v>44.255218775453613</v>
      </c>
      <c r="G96" s="110">
        <v>66.255218775453613</v>
      </c>
      <c r="H96" s="110">
        <v>37.255218775453613</v>
      </c>
      <c r="I96" s="110">
        <v>44.255218775453613</v>
      </c>
      <c r="J96" s="110">
        <v>65.255218775453613</v>
      </c>
      <c r="K96" s="110">
        <v>76.255218775453613</v>
      </c>
      <c r="L96" s="110">
        <v>56.255218775453613</v>
      </c>
      <c r="M96" s="110">
        <v>32.255218775453613</v>
      </c>
      <c r="N96" s="110">
        <v>0.25521877545361349</v>
      </c>
      <c r="O96" s="110">
        <v>18.255218775453613</v>
      </c>
      <c r="P96" s="110">
        <v>0</v>
      </c>
      <c r="Q96" s="110">
        <v>0</v>
      </c>
      <c r="R96" s="110">
        <v>0</v>
      </c>
      <c r="S96" s="110">
        <v>0</v>
      </c>
      <c r="T96" s="110">
        <v>0</v>
      </c>
      <c r="U96" s="110">
        <v>0</v>
      </c>
      <c r="V96" s="110">
        <v>0</v>
      </c>
      <c r="W96" s="110">
        <v>32</v>
      </c>
      <c r="X96" s="110">
        <v>53</v>
      </c>
      <c r="Y96" s="110">
        <v>43</v>
      </c>
      <c r="Z96" s="110">
        <v>42</v>
      </c>
      <c r="AA96" s="110">
        <v>53</v>
      </c>
      <c r="AB96" s="110">
        <v>18</v>
      </c>
      <c r="AC96" s="110">
        <v>4</v>
      </c>
      <c r="AD96" s="110">
        <v>0</v>
      </c>
      <c r="AE96" s="110">
        <v>20</v>
      </c>
      <c r="AF96" s="110">
        <v>40</v>
      </c>
      <c r="AG96" s="110">
        <v>40</v>
      </c>
      <c r="AH96" s="110">
        <v>43</v>
      </c>
      <c r="AI96" s="110">
        <v>38</v>
      </c>
      <c r="AJ96" s="110">
        <v>37</v>
      </c>
      <c r="AK96" s="110">
        <v>69</v>
      </c>
      <c r="AL96" s="110">
        <v>21</v>
      </c>
      <c r="AM96" s="110">
        <v>4</v>
      </c>
      <c r="AN96" s="110">
        <v>0</v>
      </c>
      <c r="AO96" s="110">
        <v>24</v>
      </c>
      <c r="AP96" s="110">
        <v>0</v>
      </c>
      <c r="AQ96" s="110">
        <v>0</v>
      </c>
      <c r="AR96" s="110">
        <v>0</v>
      </c>
      <c r="AS96" s="110">
        <v>0</v>
      </c>
      <c r="AT96" s="110">
        <v>0</v>
      </c>
      <c r="AU96" s="110">
        <v>0</v>
      </c>
      <c r="AV96" s="110">
        <v>0</v>
      </c>
      <c r="AW96" s="110">
        <v>6</v>
      </c>
      <c r="AX96" s="110">
        <v>0</v>
      </c>
      <c r="AY96" s="110">
        <v>0</v>
      </c>
    </row>
    <row r="97" spans="1:52">
      <c r="A97" s="109"/>
      <c r="B97" s="127">
        <v>3</v>
      </c>
      <c r="C97" s="110">
        <v>0</v>
      </c>
      <c r="D97" s="110">
        <v>0</v>
      </c>
      <c r="E97" s="110">
        <v>0</v>
      </c>
      <c r="F97" s="110">
        <v>0</v>
      </c>
      <c r="G97" s="110">
        <v>0</v>
      </c>
      <c r="H97" s="110">
        <v>0</v>
      </c>
      <c r="I97" s="110">
        <v>0</v>
      </c>
      <c r="J97" s="110">
        <v>0</v>
      </c>
      <c r="K97" s="110">
        <v>0</v>
      </c>
      <c r="L97" s="110">
        <v>0</v>
      </c>
      <c r="M97" s="110">
        <v>0</v>
      </c>
      <c r="N97" s="110">
        <v>0</v>
      </c>
      <c r="O97" s="110">
        <v>0</v>
      </c>
      <c r="P97" s="110">
        <v>0</v>
      </c>
      <c r="Q97" s="110">
        <v>0</v>
      </c>
      <c r="R97" s="110">
        <v>0</v>
      </c>
      <c r="S97" s="110">
        <v>0</v>
      </c>
      <c r="T97" s="110">
        <v>0</v>
      </c>
      <c r="U97" s="110">
        <v>0</v>
      </c>
      <c r="V97" s="110">
        <v>0</v>
      </c>
      <c r="W97" s="110">
        <v>0</v>
      </c>
      <c r="X97" s="110">
        <v>0</v>
      </c>
      <c r="Y97" s="110">
        <v>0</v>
      </c>
      <c r="Z97" s="110">
        <v>0</v>
      </c>
      <c r="AA97" s="110">
        <v>0</v>
      </c>
      <c r="AB97" s="110">
        <v>0</v>
      </c>
      <c r="AC97" s="110">
        <v>0</v>
      </c>
      <c r="AD97" s="110">
        <v>0</v>
      </c>
      <c r="AE97" s="110">
        <v>0</v>
      </c>
      <c r="AF97" s="110">
        <v>0</v>
      </c>
      <c r="AG97" s="110">
        <v>0</v>
      </c>
      <c r="AH97" s="110">
        <v>0</v>
      </c>
      <c r="AI97" s="110">
        <v>0</v>
      </c>
      <c r="AJ97" s="110">
        <v>0</v>
      </c>
      <c r="AK97" s="110">
        <v>0</v>
      </c>
      <c r="AL97" s="110">
        <v>0</v>
      </c>
      <c r="AM97" s="110">
        <v>0</v>
      </c>
      <c r="AN97" s="110">
        <v>0</v>
      </c>
      <c r="AO97" s="110">
        <v>0</v>
      </c>
      <c r="AP97" s="110">
        <v>0</v>
      </c>
      <c r="AQ97" s="110">
        <v>0</v>
      </c>
      <c r="AR97" s="110">
        <v>0</v>
      </c>
      <c r="AS97" s="110">
        <v>0</v>
      </c>
      <c r="AT97" s="110">
        <v>0</v>
      </c>
      <c r="AU97" s="110">
        <v>0</v>
      </c>
      <c r="AV97" s="110">
        <v>0</v>
      </c>
      <c r="AW97" s="110">
        <v>0</v>
      </c>
      <c r="AX97" s="110">
        <v>0</v>
      </c>
      <c r="AY97" s="110">
        <v>0</v>
      </c>
    </row>
    <row r="98" spans="1:52">
      <c r="A98" s="109"/>
      <c r="B98" s="130">
        <v>4</v>
      </c>
      <c r="C98" s="106">
        <v>0</v>
      </c>
      <c r="D98" s="110">
        <v>0</v>
      </c>
      <c r="E98" s="110">
        <v>0</v>
      </c>
      <c r="F98" s="110">
        <v>0</v>
      </c>
      <c r="G98" s="110">
        <v>0</v>
      </c>
      <c r="H98" s="110">
        <v>0</v>
      </c>
      <c r="I98" s="110">
        <v>0</v>
      </c>
      <c r="J98" s="110">
        <v>0</v>
      </c>
      <c r="K98" s="110">
        <v>0</v>
      </c>
      <c r="L98" s="110">
        <v>0</v>
      </c>
      <c r="M98" s="110">
        <v>0</v>
      </c>
      <c r="N98" s="110">
        <v>0</v>
      </c>
      <c r="O98" s="110">
        <v>0</v>
      </c>
      <c r="P98" s="110">
        <v>0</v>
      </c>
      <c r="Q98" s="110">
        <v>0</v>
      </c>
      <c r="R98" s="110">
        <v>0</v>
      </c>
      <c r="S98" s="110">
        <v>0</v>
      </c>
      <c r="T98" s="110">
        <v>0</v>
      </c>
      <c r="U98" s="110">
        <v>0</v>
      </c>
      <c r="V98" s="110">
        <v>0</v>
      </c>
      <c r="W98" s="110">
        <v>0</v>
      </c>
      <c r="X98" s="110">
        <v>0</v>
      </c>
      <c r="Y98" s="110">
        <v>0</v>
      </c>
      <c r="Z98" s="110">
        <v>0</v>
      </c>
      <c r="AA98" s="110">
        <v>0</v>
      </c>
      <c r="AB98" s="110">
        <v>0</v>
      </c>
      <c r="AC98" s="110">
        <v>0</v>
      </c>
      <c r="AD98" s="110">
        <v>0</v>
      </c>
      <c r="AE98" s="110">
        <v>0</v>
      </c>
      <c r="AF98" s="110">
        <v>0</v>
      </c>
      <c r="AG98" s="110">
        <v>0</v>
      </c>
      <c r="AH98" s="110">
        <v>0</v>
      </c>
      <c r="AI98" s="110">
        <v>0</v>
      </c>
      <c r="AJ98" s="110">
        <v>0</v>
      </c>
      <c r="AK98" s="110">
        <v>0</v>
      </c>
      <c r="AL98" s="110">
        <v>0</v>
      </c>
      <c r="AM98" s="110">
        <v>0</v>
      </c>
      <c r="AN98" s="110">
        <v>0</v>
      </c>
      <c r="AO98" s="110">
        <v>0</v>
      </c>
      <c r="AP98" s="110">
        <v>0</v>
      </c>
      <c r="AQ98" s="110">
        <v>0</v>
      </c>
      <c r="AR98" s="110">
        <v>0</v>
      </c>
      <c r="AS98" s="110">
        <v>0</v>
      </c>
      <c r="AT98" s="110">
        <v>0</v>
      </c>
      <c r="AU98" s="110">
        <v>0</v>
      </c>
      <c r="AV98" s="110">
        <v>0</v>
      </c>
      <c r="AW98" s="110">
        <v>0</v>
      </c>
      <c r="AX98" s="110">
        <v>0</v>
      </c>
      <c r="AY98" s="110">
        <v>0</v>
      </c>
    </row>
    <row r="99" spans="1:52">
      <c r="A99" s="128"/>
      <c r="B99" s="132" t="s">
        <v>296</v>
      </c>
      <c r="C99" s="125">
        <v>0</v>
      </c>
      <c r="D99" s="125">
        <v>0</v>
      </c>
      <c r="E99" s="125">
        <v>0</v>
      </c>
      <c r="F99" s="125">
        <v>0</v>
      </c>
      <c r="G99" s="125">
        <v>0</v>
      </c>
      <c r="H99" s="125">
        <v>0</v>
      </c>
      <c r="I99" s="125">
        <v>0</v>
      </c>
      <c r="J99" s="125">
        <v>0</v>
      </c>
      <c r="K99" s="125">
        <v>0</v>
      </c>
      <c r="L99" s="125">
        <v>0</v>
      </c>
      <c r="M99" s="125">
        <v>0</v>
      </c>
      <c r="N99" s="125">
        <v>0</v>
      </c>
      <c r="O99" s="125">
        <v>0</v>
      </c>
      <c r="P99" s="125">
        <v>0</v>
      </c>
      <c r="Q99" s="125">
        <v>0</v>
      </c>
      <c r="R99" s="125">
        <v>0</v>
      </c>
      <c r="S99" s="125">
        <v>0</v>
      </c>
      <c r="T99" s="125">
        <v>0</v>
      </c>
      <c r="U99" s="125">
        <v>0</v>
      </c>
      <c r="V99" s="125">
        <v>0</v>
      </c>
      <c r="W99" s="125">
        <v>0</v>
      </c>
      <c r="X99" s="125">
        <v>0</v>
      </c>
      <c r="Y99" s="125">
        <v>0</v>
      </c>
      <c r="Z99" s="125">
        <v>0</v>
      </c>
      <c r="AA99" s="125">
        <v>0</v>
      </c>
      <c r="AB99" s="125">
        <v>0</v>
      </c>
      <c r="AC99" s="125">
        <v>0</v>
      </c>
      <c r="AD99" s="125">
        <v>0</v>
      </c>
      <c r="AE99" s="125">
        <v>0</v>
      </c>
      <c r="AF99" s="125">
        <v>0</v>
      </c>
      <c r="AG99" s="125">
        <v>0</v>
      </c>
      <c r="AH99" s="125">
        <v>0</v>
      </c>
      <c r="AI99" s="125">
        <v>0</v>
      </c>
      <c r="AJ99" s="125">
        <v>0</v>
      </c>
      <c r="AK99" s="125">
        <v>0</v>
      </c>
      <c r="AL99" s="125">
        <v>0</v>
      </c>
      <c r="AM99" s="125">
        <v>0</v>
      </c>
      <c r="AN99" s="125">
        <v>0</v>
      </c>
      <c r="AO99" s="125">
        <v>0</v>
      </c>
      <c r="AP99" s="125">
        <v>0</v>
      </c>
      <c r="AQ99" s="125">
        <v>0</v>
      </c>
      <c r="AR99" s="125">
        <v>0</v>
      </c>
      <c r="AS99" s="125">
        <v>0</v>
      </c>
      <c r="AT99" s="125">
        <v>0</v>
      </c>
      <c r="AU99" s="125">
        <v>0</v>
      </c>
      <c r="AV99" s="125">
        <v>0</v>
      </c>
      <c r="AW99" s="125">
        <v>0</v>
      </c>
      <c r="AX99" s="125">
        <v>0</v>
      </c>
      <c r="AY99" s="125">
        <v>0</v>
      </c>
      <c r="AZ99" s="107">
        <f>SUM($D99:$AY99)</f>
        <v>0</v>
      </c>
    </row>
    <row r="100" spans="1:52">
      <c r="A100" s="131" t="s">
        <v>133</v>
      </c>
      <c r="B100" s="119">
        <v>1</v>
      </c>
      <c r="C100" s="106">
        <v>179.99999999999875</v>
      </c>
      <c r="D100" s="106">
        <v>87.850958525022207</v>
      </c>
      <c r="E100" s="106">
        <v>184.66099756519515</v>
      </c>
      <c r="F100" s="106">
        <v>180</v>
      </c>
      <c r="G100" s="106">
        <v>87.79874123554238</v>
      </c>
      <c r="H100" s="106">
        <v>0</v>
      </c>
      <c r="I100" s="106">
        <v>87.798741235542394</v>
      </c>
      <c r="J100" s="106">
        <v>179.99999999999997</v>
      </c>
      <c r="K100" s="106">
        <v>87.798741235542394</v>
      </c>
      <c r="L100" s="106">
        <v>179.99999999999997</v>
      </c>
      <c r="M100" s="106">
        <v>87.798741235542394</v>
      </c>
      <c r="N100" s="106">
        <v>272.20125876445758</v>
      </c>
      <c r="O100" s="106">
        <v>180</v>
      </c>
      <c r="P100" s="106">
        <v>179.99999999999997</v>
      </c>
      <c r="Q100" s="106">
        <v>180</v>
      </c>
      <c r="R100" s="106">
        <v>179.99999999999997</v>
      </c>
      <c r="S100" s="106">
        <v>180</v>
      </c>
      <c r="T100" s="106">
        <v>92.201258764457592</v>
      </c>
      <c r="U100" s="106">
        <v>180</v>
      </c>
      <c r="V100" s="106">
        <v>179.99999999999997</v>
      </c>
      <c r="W100" s="106">
        <v>87.798741235542394</v>
      </c>
      <c r="X100" s="106">
        <v>179.99999999999997</v>
      </c>
      <c r="Y100" s="106">
        <v>87.798741235542394</v>
      </c>
      <c r="Z100" s="106">
        <v>179.99999999999997</v>
      </c>
      <c r="AA100" s="106">
        <v>87.798741235542394</v>
      </c>
      <c r="AB100" s="106">
        <v>0</v>
      </c>
      <c r="AC100" s="106">
        <v>180</v>
      </c>
      <c r="AD100" s="106">
        <v>92.201258764457592</v>
      </c>
      <c r="AE100" s="106">
        <v>180</v>
      </c>
      <c r="AF100" s="106">
        <v>87.79874123554238</v>
      </c>
      <c r="AG100" s="106">
        <v>272.20125876445758</v>
      </c>
      <c r="AH100" s="106">
        <v>0</v>
      </c>
      <c r="AI100" s="106">
        <v>87.798741235542394</v>
      </c>
      <c r="AJ100" s="106">
        <v>198.43972055380479</v>
      </c>
      <c r="AK100" s="106">
        <v>35.634084932462457</v>
      </c>
      <c r="AL100" s="106">
        <v>42.354111024724553</v>
      </c>
      <c r="AM100" s="106">
        <v>0</v>
      </c>
      <c r="AN100" s="106">
        <v>87.798741235542394</v>
      </c>
      <c r="AO100" s="106">
        <v>179.99999999999997</v>
      </c>
      <c r="AP100" s="106">
        <v>87.798741235542394</v>
      </c>
      <c r="AQ100" s="106">
        <v>92.201258764457592</v>
      </c>
      <c r="AR100" s="106">
        <v>180</v>
      </c>
      <c r="AS100" s="106">
        <v>87.79874123554238</v>
      </c>
      <c r="AT100" s="106">
        <v>180</v>
      </c>
      <c r="AU100" s="106">
        <v>87.79874123554238</v>
      </c>
      <c r="AV100" s="106">
        <v>87.798741235542394</v>
      </c>
      <c r="AW100" s="106">
        <v>0</v>
      </c>
      <c r="AX100" s="106">
        <v>87.798741235542394</v>
      </c>
      <c r="AY100" s="106">
        <v>87.79874123554238</v>
      </c>
    </row>
    <row r="101" spans="1:52">
      <c r="A101" s="109"/>
      <c r="B101" s="119">
        <v>2</v>
      </c>
      <c r="C101" s="106">
        <v>76.850958525020957</v>
      </c>
      <c r="D101" s="106">
        <v>57.850958525019706</v>
      </c>
      <c r="E101" s="106">
        <v>0</v>
      </c>
      <c r="F101" s="106">
        <v>99.459738800737512</v>
      </c>
      <c r="G101" s="106">
        <v>72.459738800737512</v>
      </c>
      <c r="H101" s="106">
        <v>1.4210854715202004E-14</v>
      </c>
      <c r="I101" s="106">
        <v>0</v>
      </c>
      <c r="J101" s="106">
        <v>20.999999999999986</v>
      </c>
      <c r="K101" s="106">
        <v>2.8421709430404007E-14</v>
      </c>
      <c r="L101" s="106">
        <v>180</v>
      </c>
      <c r="M101" s="106">
        <v>179.99999999999997</v>
      </c>
      <c r="N101" s="106">
        <v>87.798741235542394</v>
      </c>
      <c r="O101" s="106">
        <v>191.40251752891513</v>
      </c>
      <c r="P101" s="106">
        <v>129.40251752891513</v>
      </c>
      <c r="Q101" s="106">
        <v>135.4025175289151</v>
      </c>
      <c r="R101" s="106">
        <v>95.402517528915098</v>
      </c>
      <c r="S101" s="106">
        <v>89.40251752891507</v>
      </c>
      <c r="T101" s="106">
        <v>56.40251752891507</v>
      </c>
      <c r="U101" s="106">
        <v>87.79874123554238</v>
      </c>
      <c r="V101" s="106">
        <v>70.79874123554238</v>
      </c>
      <c r="W101" s="106">
        <v>43.798741235542337</v>
      </c>
      <c r="X101" s="106">
        <v>0</v>
      </c>
      <c r="Y101" s="106">
        <v>0</v>
      </c>
      <c r="Z101" s="106">
        <v>0</v>
      </c>
      <c r="AA101" s="106">
        <v>0</v>
      </c>
      <c r="AB101" s="106">
        <v>92.201258764457606</v>
      </c>
      <c r="AC101" s="106">
        <v>0</v>
      </c>
      <c r="AD101" s="106">
        <v>0</v>
      </c>
      <c r="AE101" s="106">
        <v>135.99999999999994</v>
      </c>
      <c r="AF101" s="106">
        <v>140.99999999999994</v>
      </c>
      <c r="AG101" s="106">
        <v>65.798741235542323</v>
      </c>
      <c r="AH101" s="106">
        <v>198.99999999999989</v>
      </c>
      <c r="AI101" s="106">
        <v>198.43972055380479</v>
      </c>
      <c r="AJ101" s="106">
        <v>87.798741235542394</v>
      </c>
      <c r="AK101" s="106">
        <v>121.67818234315197</v>
      </c>
      <c r="AL101" s="106">
        <v>35.634084932462457</v>
      </c>
      <c r="AM101" s="106">
        <v>45.444630210817834</v>
      </c>
      <c r="AN101" s="106">
        <v>184.40251752891518</v>
      </c>
      <c r="AO101" s="106">
        <v>144.40251752891518</v>
      </c>
      <c r="AP101" s="106">
        <v>113.40251752891515</v>
      </c>
      <c r="AQ101" s="106">
        <v>128.40251752891515</v>
      </c>
      <c r="AR101" s="106">
        <v>131.40251752891513</v>
      </c>
      <c r="AS101" s="106">
        <v>77.402517528915126</v>
      </c>
      <c r="AT101" s="106">
        <v>108.4025175289151</v>
      </c>
      <c r="AU101" s="106">
        <v>26.402517528915098</v>
      </c>
      <c r="AV101" s="106">
        <v>0</v>
      </c>
      <c r="AW101" s="106">
        <v>92.201258764457606</v>
      </c>
      <c r="AX101" s="106">
        <v>92.201258764457592</v>
      </c>
      <c r="AY101" s="106">
        <v>92.201258764457606</v>
      </c>
    </row>
    <row r="102" spans="1:52">
      <c r="A102" s="109"/>
      <c r="B102" s="120">
        <v>3</v>
      </c>
      <c r="C102" s="106">
        <v>0</v>
      </c>
      <c r="D102" s="106">
        <v>0</v>
      </c>
      <c r="E102" s="106">
        <v>0</v>
      </c>
      <c r="F102" s="106">
        <v>0</v>
      </c>
      <c r="G102" s="106">
        <v>0</v>
      </c>
      <c r="H102" s="106">
        <v>0</v>
      </c>
      <c r="I102" s="106">
        <v>92.201258764457592</v>
      </c>
      <c r="J102" s="106">
        <v>0</v>
      </c>
      <c r="K102" s="106">
        <v>184.40251752891515</v>
      </c>
      <c r="L102" s="106">
        <v>2.8421709430404007E-14</v>
      </c>
      <c r="M102" s="106">
        <v>24.402517528915183</v>
      </c>
      <c r="N102" s="106">
        <v>52.402517528915155</v>
      </c>
      <c r="O102" s="106">
        <v>0</v>
      </c>
      <c r="P102" s="106">
        <v>0</v>
      </c>
      <c r="Q102" s="106">
        <v>0</v>
      </c>
      <c r="R102" s="106">
        <v>0</v>
      </c>
      <c r="S102" s="106">
        <v>0</v>
      </c>
      <c r="T102" s="106">
        <v>0</v>
      </c>
      <c r="U102" s="106">
        <v>0</v>
      </c>
      <c r="V102" s="106">
        <v>0</v>
      </c>
      <c r="W102" s="106">
        <v>0</v>
      </c>
      <c r="X102" s="106">
        <v>0</v>
      </c>
      <c r="Y102" s="106">
        <v>92.201258764457592</v>
      </c>
      <c r="Z102" s="106">
        <v>0</v>
      </c>
      <c r="AA102" s="106">
        <v>92.201258764457592</v>
      </c>
      <c r="AB102" s="106">
        <v>0</v>
      </c>
      <c r="AC102" s="106">
        <v>0</v>
      </c>
      <c r="AD102" s="106">
        <v>179.99999999999997</v>
      </c>
      <c r="AE102" s="106">
        <v>0</v>
      </c>
      <c r="AF102" s="106">
        <v>0</v>
      </c>
      <c r="AG102" s="106">
        <v>0</v>
      </c>
      <c r="AH102" s="106">
        <v>0</v>
      </c>
      <c r="AI102" s="106">
        <v>0</v>
      </c>
      <c r="AJ102" s="106">
        <v>17.43972055380479</v>
      </c>
      <c r="AK102" s="106">
        <v>110.64097931826242</v>
      </c>
      <c r="AL102" s="106">
        <v>12.319161661414398</v>
      </c>
      <c r="AM102" s="106">
        <v>110.64097931826242</v>
      </c>
      <c r="AN102" s="106">
        <v>0</v>
      </c>
      <c r="AO102" s="106">
        <v>0</v>
      </c>
      <c r="AP102" s="106">
        <v>0</v>
      </c>
      <c r="AQ102" s="106">
        <v>0</v>
      </c>
      <c r="AR102" s="106">
        <v>0</v>
      </c>
      <c r="AS102" s="106">
        <v>0</v>
      </c>
      <c r="AT102" s="106">
        <v>0</v>
      </c>
      <c r="AU102" s="106">
        <v>0</v>
      </c>
      <c r="AV102" s="106">
        <v>0</v>
      </c>
      <c r="AW102" s="106">
        <v>92.201258764457592</v>
      </c>
      <c r="AX102" s="106">
        <v>0</v>
      </c>
      <c r="AY102" s="106">
        <v>87.79874123554238</v>
      </c>
    </row>
    <row r="103" spans="1:52">
      <c r="A103" s="109"/>
      <c r="B103" s="120">
        <v>4</v>
      </c>
      <c r="C103" s="106">
        <v>0</v>
      </c>
      <c r="D103" s="106">
        <v>0</v>
      </c>
      <c r="E103" s="106">
        <v>0</v>
      </c>
      <c r="F103" s="106">
        <v>0</v>
      </c>
      <c r="G103" s="106">
        <v>0</v>
      </c>
      <c r="H103" s="106">
        <v>0</v>
      </c>
      <c r="I103" s="106">
        <v>0</v>
      </c>
      <c r="J103" s="106">
        <v>0</v>
      </c>
      <c r="K103" s="106">
        <v>0</v>
      </c>
      <c r="L103" s="106">
        <v>1.4025175289151548</v>
      </c>
      <c r="M103" s="106">
        <v>0</v>
      </c>
      <c r="N103" s="106">
        <v>0</v>
      </c>
      <c r="O103" s="106">
        <v>0</v>
      </c>
      <c r="P103" s="106">
        <v>0</v>
      </c>
      <c r="Q103" s="106">
        <v>0</v>
      </c>
      <c r="R103" s="106">
        <v>0</v>
      </c>
      <c r="S103" s="106">
        <v>0</v>
      </c>
      <c r="T103" s="106">
        <v>0</v>
      </c>
      <c r="U103" s="106">
        <v>0</v>
      </c>
      <c r="V103" s="106">
        <v>0</v>
      </c>
      <c r="W103" s="106">
        <v>0</v>
      </c>
      <c r="X103" s="106">
        <v>0</v>
      </c>
      <c r="Y103" s="106">
        <v>0</v>
      </c>
      <c r="Z103" s="106">
        <v>0</v>
      </c>
      <c r="AA103" s="106">
        <v>0</v>
      </c>
      <c r="AB103" s="106">
        <v>0</v>
      </c>
      <c r="AC103" s="106">
        <v>0</v>
      </c>
      <c r="AD103" s="106">
        <v>0</v>
      </c>
      <c r="AE103" s="106">
        <v>0</v>
      </c>
      <c r="AF103" s="106">
        <v>0</v>
      </c>
      <c r="AG103" s="106">
        <v>0</v>
      </c>
      <c r="AH103" s="106">
        <v>0</v>
      </c>
      <c r="AI103" s="106">
        <v>0</v>
      </c>
      <c r="AJ103" s="106">
        <v>0</v>
      </c>
      <c r="AK103" s="106">
        <v>0</v>
      </c>
      <c r="AL103" s="106">
        <v>0</v>
      </c>
      <c r="AM103" s="106">
        <v>0</v>
      </c>
      <c r="AN103" s="106">
        <v>0</v>
      </c>
      <c r="AO103" s="106">
        <v>0</v>
      </c>
      <c r="AP103" s="106">
        <v>0</v>
      </c>
      <c r="AQ103" s="106">
        <v>0</v>
      </c>
      <c r="AR103" s="106">
        <v>0</v>
      </c>
      <c r="AS103" s="106">
        <v>0</v>
      </c>
      <c r="AT103" s="106">
        <v>0</v>
      </c>
      <c r="AU103" s="106">
        <v>0</v>
      </c>
      <c r="AV103" s="106">
        <v>0</v>
      </c>
      <c r="AW103" s="106">
        <v>0</v>
      </c>
      <c r="AX103" s="106">
        <v>0</v>
      </c>
      <c r="AY103" s="106">
        <v>0</v>
      </c>
    </row>
    <row r="104" spans="1:52">
      <c r="A104" s="109"/>
      <c r="B104" s="127">
        <v>5</v>
      </c>
      <c r="C104" s="106">
        <v>0</v>
      </c>
      <c r="D104" s="106">
        <v>0</v>
      </c>
      <c r="E104" s="106">
        <v>0</v>
      </c>
      <c r="F104" s="106">
        <v>0</v>
      </c>
      <c r="G104" s="106">
        <v>0</v>
      </c>
      <c r="H104" s="106">
        <v>0</v>
      </c>
      <c r="I104" s="106">
        <v>0</v>
      </c>
      <c r="J104" s="106">
        <v>0</v>
      </c>
      <c r="K104" s="106">
        <v>0</v>
      </c>
      <c r="L104" s="106">
        <v>0</v>
      </c>
      <c r="M104" s="106">
        <v>0</v>
      </c>
      <c r="N104" s="106">
        <v>0</v>
      </c>
      <c r="O104" s="106">
        <v>0</v>
      </c>
      <c r="P104" s="106">
        <v>0</v>
      </c>
      <c r="Q104" s="106">
        <v>0</v>
      </c>
      <c r="R104" s="106">
        <v>0</v>
      </c>
      <c r="S104" s="106">
        <v>0</v>
      </c>
      <c r="T104" s="106">
        <v>0</v>
      </c>
      <c r="U104" s="106">
        <v>0</v>
      </c>
      <c r="V104" s="106">
        <v>0</v>
      </c>
      <c r="W104" s="106">
        <v>0</v>
      </c>
      <c r="X104" s="106">
        <v>0</v>
      </c>
      <c r="Y104" s="106">
        <v>0</v>
      </c>
      <c r="Z104" s="106">
        <v>0</v>
      </c>
      <c r="AA104" s="106">
        <v>0</v>
      </c>
      <c r="AB104" s="106">
        <v>0</v>
      </c>
      <c r="AC104" s="106">
        <v>0</v>
      </c>
      <c r="AD104" s="106">
        <v>0</v>
      </c>
      <c r="AE104" s="106">
        <v>0</v>
      </c>
      <c r="AF104" s="106">
        <v>0</v>
      </c>
      <c r="AG104" s="106">
        <v>0</v>
      </c>
      <c r="AH104" s="106">
        <v>0</v>
      </c>
      <c r="AI104" s="106">
        <v>0</v>
      </c>
      <c r="AJ104" s="106">
        <v>0</v>
      </c>
      <c r="AK104" s="106">
        <v>0</v>
      </c>
      <c r="AL104" s="106">
        <v>0</v>
      </c>
      <c r="AM104" s="106">
        <v>0</v>
      </c>
      <c r="AN104" s="106">
        <v>0</v>
      </c>
      <c r="AO104" s="106">
        <v>0</v>
      </c>
      <c r="AP104" s="106">
        <v>0</v>
      </c>
      <c r="AQ104" s="106">
        <v>0</v>
      </c>
      <c r="AR104" s="106">
        <v>0</v>
      </c>
      <c r="AS104" s="106">
        <v>0</v>
      </c>
      <c r="AT104" s="106">
        <v>0</v>
      </c>
      <c r="AU104" s="106">
        <v>0</v>
      </c>
      <c r="AV104" s="106">
        <v>0</v>
      </c>
      <c r="AW104" s="106">
        <v>0</v>
      </c>
      <c r="AX104" s="106">
        <v>0</v>
      </c>
      <c r="AY104" s="106">
        <v>0</v>
      </c>
    </row>
    <row r="105" spans="1:52">
      <c r="A105" s="109"/>
      <c r="B105" s="127">
        <v>6</v>
      </c>
      <c r="C105" s="106">
        <v>0</v>
      </c>
      <c r="D105" s="106">
        <v>0</v>
      </c>
      <c r="E105" s="106">
        <v>0</v>
      </c>
      <c r="F105" s="106">
        <v>0</v>
      </c>
      <c r="G105" s="106">
        <v>0</v>
      </c>
      <c r="H105" s="106">
        <v>0</v>
      </c>
      <c r="I105" s="106">
        <v>0</v>
      </c>
      <c r="J105" s="106">
        <v>0</v>
      </c>
      <c r="K105" s="106">
        <v>0</v>
      </c>
      <c r="L105" s="106">
        <v>0</v>
      </c>
      <c r="M105" s="106">
        <v>0</v>
      </c>
      <c r="N105" s="106">
        <v>0</v>
      </c>
      <c r="O105" s="106">
        <v>0</v>
      </c>
      <c r="P105" s="106">
        <v>0</v>
      </c>
      <c r="Q105" s="106">
        <v>0</v>
      </c>
      <c r="R105" s="106">
        <v>0</v>
      </c>
      <c r="S105" s="106">
        <v>0</v>
      </c>
      <c r="T105" s="106">
        <v>0</v>
      </c>
      <c r="U105" s="106">
        <v>0</v>
      </c>
      <c r="V105" s="106">
        <v>0</v>
      </c>
      <c r="W105" s="106">
        <v>0</v>
      </c>
      <c r="X105" s="106">
        <v>0</v>
      </c>
      <c r="Y105" s="106">
        <v>0</v>
      </c>
      <c r="Z105" s="106">
        <v>0</v>
      </c>
      <c r="AA105" s="106">
        <v>0</v>
      </c>
      <c r="AB105" s="106">
        <v>0</v>
      </c>
      <c r="AC105" s="106">
        <v>0</v>
      </c>
      <c r="AD105" s="106">
        <v>0</v>
      </c>
      <c r="AE105" s="106">
        <v>0</v>
      </c>
      <c r="AF105" s="106">
        <v>0</v>
      </c>
      <c r="AG105" s="106">
        <v>0</v>
      </c>
      <c r="AH105" s="106">
        <v>0</v>
      </c>
      <c r="AI105" s="106">
        <v>0</v>
      </c>
      <c r="AJ105" s="106">
        <v>0</v>
      </c>
      <c r="AK105" s="106">
        <v>0</v>
      </c>
      <c r="AL105" s="106">
        <v>0</v>
      </c>
      <c r="AM105" s="106">
        <v>0</v>
      </c>
      <c r="AN105" s="106">
        <v>0</v>
      </c>
      <c r="AO105" s="106">
        <v>0</v>
      </c>
      <c r="AP105" s="106">
        <v>0</v>
      </c>
      <c r="AQ105" s="106">
        <v>0</v>
      </c>
      <c r="AR105" s="106">
        <v>0</v>
      </c>
      <c r="AS105" s="106">
        <v>0</v>
      </c>
      <c r="AT105" s="106">
        <v>0</v>
      </c>
      <c r="AU105" s="106">
        <v>0</v>
      </c>
      <c r="AV105" s="106">
        <v>0</v>
      </c>
      <c r="AW105" s="106">
        <v>0</v>
      </c>
      <c r="AX105" s="106">
        <v>0</v>
      </c>
      <c r="AY105" s="106">
        <v>0</v>
      </c>
    </row>
    <row r="106" spans="1:52">
      <c r="A106" s="109"/>
      <c r="B106" s="130">
        <v>7</v>
      </c>
      <c r="C106" s="106">
        <v>0</v>
      </c>
      <c r="D106" s="106">
        <v>0</v>
      </c>
      <c r="E106" s="106">
        <v>0</v>
      </c>
      <c r="F106" s="106">
        <v>0</v>
      </c>
      <c r="G106" s="106">
        <v>0</v>
      </c>
      <c r="H106" s="106">
        <v>0</v>
      </c>
      <c r="I106" s="106">
        <v>0</v>
      </c>
      <c r="J106" s="106">
        <v>0</v>
      </c>
      <c r="K106" s="106">
        <v>0</v>
      </c>
      <c r="L106" s="106">
        <v>0</v>
      </c>
      <c r="M106" s="106">
        <v>0</v>
      </c>
      <c r="N106" s="106">
        <v>0</v>
      </c>
      <c r="O106" s="106">
        <v>0</v>
      </c>
      <c r="P106" s="106">
        <v>0</v>
      </c>
      <c r="Q106" s="106">
        <v>0</v>
      </c>
      <c r="R106" s="106">
        <v>0</v>
      </c>
      <c r="S106" s="106">
        <v>0</v>
      </c>
      <c r="T106" s="106">
        <v>0</v>
      </c>
      <c r="U106" s="106">
        <v>0</v>
      </c>
      <c r="V106" s="106">
        <v>0</v>
      </c>
      <c r="W106" s="106">
        <v>0</v>
      </c>
      <c r="X106" s="106">
        <v>0</v>
      </c>
      <c r="Y106" s="106">
        <v>0</v>
      </c>
      <c r="Z106" s="106">
        <v>0</v>
      </c>
      <c r="AA106" s="106">
        <v>0</v>
      </c>
      <c r="AB106" s="106">
        <v>0</v>
      </c>
      <c r="AC106" s="106">
        <v>0</v>
      </c>
      <c r="AD106" s="106">
        <v>0</v>
      </c>
      <c r="AE106" s="106">
        <v>0</v>
      </c>
      <c r="AF106" s="106">
        <v>0</v>
      </c>
      <c r="AG106" s="106">
        <v>0</v>
      </c>
      <c r="AH106" s="106">
        <v>0</v>
      </c>
      <c r="AI106" s="106">
        <v>0</v>
      </c>
      <c r="AJ106" s="106">
        <v>0</v>
      </c>
      <c r="AK106" s="106">
        <v>0</v>
      </c>
      <c r="AL106" s="106">
        <v>0</v>
      </c>
      <c r="AM106" s="106">
        <v>0</v>
      </c>
      <c r="AN106" s="106">
        <v>0</v>
      </c>
      <c r="AO106" s="106">
        <v>0</v>
      </c>
      <c r="AP106" s="106">
        <v>0</v>
      </c>
      <c r="AQ106" s="106">
        <v>0</v>
      </c>
      <c r="AR106" s="106">
        <v>0</v>
      </c>
      <c r="AS106" s="106">
        <v>0</v>
      </c>
      <c r="AT106" s="106">
        <v>0</v>
      </c>
      <c r="AU106" s="106">
        <v>0</v>
      </c>
      <c r="AV106" s="106">
        <v>0</v>
      </c>
      <c r="AW106" s="106">
        <v>0</v>
      </c>
      <c r="AX106" s="106">
        <v>0</v>
      </c>
      <c r="AY106" s="106">
        <v>0</v>
      </c>
    </row>
    <row r="107" spans="1:52">
      <c r="A107" s="109"/>
      <c r="B107" s="130">
        <v>8</v>
      </c>
      <c r="C107" s="106">
        <v>0</v>
      </c>
      <c r="D107" s="106">
        <v>0</v>
      </c>
      <c r="E107" s="106">
        <v>0</v>
      </c>
      <c r="F107" s="106">
        <v>0</v>
      </c>
      <c r="G107" s="106">
        <v>0</v>
      </c>
      <c r="H107" s="106">
        <v>0</v>
      </c>
      <c r="I107" s="106">
        <v>0</v>
      </c>
      <c r="J107" s="106">
        <v>0</v>
      </c>
      <c r="K107" s="106">
        <v>0</v>
      </c>
      <c r="L107" s="106">
        <v>0</v>
      </c>
      <c r="M107" s="106">
        <v>0</v>
      </c>
      <c r="N107" s="106">
        <v>0</v>
      </c>
      <c r="O107" s="106">
        <v>0</v>
      </c>
      <c r="P107" s="106">
        <v>0</v>
      </c>
      <c r="Q107" s="106">
        <v>0</v>
      </c>
      <c r="R107" s="106">
        <v>0</v>
      </c>
      <c r="S107" s="106">
        <v>0</v>
      </c>
      <c r="T107" s="106">
        <v>0</v>
      </c>
      <c r="U107" s="106">
        <v>0</v>
      </c>
      <c r="V107" s="106">
        <v>0</v>
      </c>
      <c r="W107" s="106">
        <v>0</v>
      </c>
      <c r="X107" s="106">
        <v>0</v>
      </c>
      <c r="Y107" s="106">
        <v>0</v>
      </c>
      <c r="Z107" s="106">
        <v>0</v>
      </c>
      <c r="AA107" s="106">
        <v>0</v>
      </c>
      <c r="AB107" s="106">
        <v>0</v>
      </c>
      <c r="AC107" s="106">
        <v>0</v>
      </c>
      <c r="AD107" s="106">
        <v>0</v>
      </c>
      <c r="AE107" s="106">
        <v>0</v>
      </c>
      <c r="AF107" s="106">
        <v>0</v>
      </c>
      <c r="AG107" s="106">
        <v>0</v>
      </c>
      <c r="AH107" s="106">
        <v>0</v>
      </c>
      <c r="AI107" s="106">
        <v>0</v>
      </c>
      <c r="AJ107" s="106">
        <v>0</v>
      </c>
      <c r="AK107" s="106">
        <v>0</v>
      </c>
      <c r="AL107" s="106">
        <v>0</v>
      </c>
      <c r="AM107" s="106">
        <v>0</v>
      </c>
      <c r="AN107" s="106">
        <v>0</v>
      </c>
      <c r="AO107" s="106">
        <v>0</v>
      </c>
      <c r="AP107" s="106">
        <v>0</v>
      </c>
      <c r="AQ107" s="106">
        <v>0</v>
      </c>
      <c r="AR107" s="106">
        <v>0</v>
      </c>
      <c r="AS107" s="106">
        <v>0</v>
      </c>
      <c r="AT107" s="106">
        <v>0</v>
      </c>
      <c r="AU107" s="106">
        <v>0</v>
      </c>
      <c r="AV107" s="106">
        <v>0</v>
      </c>
      <c r="AW107" s="106">
        <v>0</v>
      </c>
      <c r="AX107" s="106">
        <v>0</v>
      </c>
      <c r="AY107" s="106">
        <v>0</v>
      </c>
    </row>
    <row r="108" spans="1:52">
      <c r="A108" s="128"/>
      <c r="B108" s="132" t="s">
        <v>296</v>
      </c>
      <c r="C108" s="114">
        <v>0</v>
      </c>
      <c r="D108" s="125">
        <v>0</v>
      </c>
      <c r="E108" s="125">
        <v>0</v>
      </c>
      <c r="F108" s="125">
        <v>0</v>
      </c>
      <c r="G108" s="125">
        <v>0</v>
      </c>
      <c r="H108" s="125">
        <v>0</v>
      </c>
      <c r="I108" s="125">
        <v>0</v>
      </c>
      <c r="J108" s="125">
        <v>0</v>
      </c>
      <c r="K108" s="125">
        <v>0</v>
      </c>
      <c r="L108" s="125">
        <v>0</v>
      </c>
      <c r="M108" s="125">
        <v>0</v>
      </c>
      <c r="N108" s="125">
        <v>0</v>
      </c>
      <c r="O108" s="125">
        <v>0</v>
      </c>
      <c r="P108" s="125">
        <v>0</v>
      </c>
      <c r="Q108" s="125">
        <v>0</v>
      </c>
      <c r="R108" s="125">
        <v>0</v>
      </c>
      <c r="S108" s="125">
        <v>0</v>
      </c>
      <c r="T108" s="125">
        <v>0</v>
      </c>
      <c r="U108" s="125">
        <v>0</v>
      </c>
      <c r="V108" s="125">
        <v>0</v>
      </c>
      <c r="W108" s="125">
        <v>0</v>
      </c>
      <c r="X108" s="125">
        <v>0</v>
      </c>
      <c r="Y108" s="125">
        <v>0</v>
      </c>
      <c r="Z108" s="125">
        <v>0</v>
      </c>
      <c r="AA108" s="125">
        <v>0</v>
      </c>
      <c r="AB108" s="125">
        <v>0</v>
      </c>
      <c r="AC108" s="125">
        <v>0</v>
      </c>
      <c r="AD108" s="125">
        <v>0</v>
      </c>
      <c r="AE108" s="125">
        <v>0</v>
      </c>
      <c r="AF108" s="125">
        <v>0</v>
      </c>
      <c r="AG108" s="125">
        <v>0</v>
      </c>
      <c r="AH108" s="125">
        <v>0</v>
      </c>
      <c r="AI108" s="125">
        <v>0</v>
      </c>
      <c r="AJ108" s="125">
        <v>0</v>
      </c>
      <c r="AK108" s="125">
        <v>0</v>
      </c>
      <c r="AL108" s="125">
        <v>0</v>
      </c>
      <c r="AM108" s="125">
        <v>0</v>
      </c>
      <c r="AN108" s="125">
        <v>0</v>
      </c>
      <c r="AO108" s="125">
        <v>0</v>
      </c>
      <c r="AP108" s="125">
        <v>0</v>
      </c>
      <c r="AQ108" s="125">
        <v>0</v>
      </c>
      <c r="AR108" s="125">
        <v>0</v>
      </c>
      <c r="AS108" s="125">
        <v>0</v>
      </c>
      <c r="AT108" s="125">
        <v>0</v>
      </c>
      <c r="AU108" s="125">
        <v>0</v>
      </c>
      <c r="AV108" s="125">
        <v>0</v>
      </c>
      <c r="AW108" s="125">
        <v>0</v>
      </c>
      <c r="AX108" s="125">
        <v>0</v>
      </c>
      <c r="AY108" s="125">
        <v>0</v>
      </c>
      <c r="AZ108" s="107">
        <f>SUM($D108:$AY108)</f>
        <v>0</v>
      </c>
    </row>
    <row r="109" spans="1:52">
      <c r="A109" s="131" t="s">
        <v>134</v>
      </c>
      <c r="B109" s="119">
        <v>1</v>
      </c>
      <c r="C109" s="106">
        <v>106.57937367880078</v>
      </c>
      <c r="D109" s="106">
        <v>98.052427465438669</v>
      </c>
      <c r="E109" s="106">
        <v>42.314893385069517</v>
      </c>
      <c r="F109" s="106">
        <v>73.62527502018105</v>
      </c>
      <c r="G109" s="106">
        <v>119.62113641682632</v>
      </c>
      <c r="H109" s="106">
        <v>69.513166324403997</v>
      </c>
      <c r="I109" s="106">
        <v>3.8779941354851237</v>
      </c>
      <c r="J109" s="106">
        <v>71.953944903552596</v>
      </c>
      <c r="K109" s="106">
        <v>71.953944903552596</v>
      </c>
      <c r="L109" s="106">
        <v>117.36900090138786</v>
      </c>
      <c r="M109" s="106">
        <v>139.48514431993686</v>
      </c>
      <c r="N109" s="106">
        <v>74.746977164088989</v>
      </c>
      <c r="O109" s="106">
        <v>108.71231895006078</v>
      </c>
      <c r="P109" s="106">
        <v>88.846230293213111</v>
      </c>
      <c r="Q109" s="106">
        <v>92.80378549451639</v>
      </c>
      <c r="R109" s="106">
        <v>97.845329946547466</v>
      </c>
      <c r="S109" s="106">
        <v>100.02176152981409</v>
      </c>
      <c r="T109" s="106">
        <v>103.56048802306125</v>
      </c>
      <c r="U109" s="106">
        <v>47.845823713918193</v>
      </c>
      <c r="V109" s="106">
        <v>107.14403846620802</v>
      </c>
      <c r="W109" s="106">
        <v>97.812799355597178</v>
      </c>
      <c r="X109" s="106">
        <v>56.472958454321343</v>
      </c>
      <c r="Y109" s="106">
        <v>76.635728269113756</v>
      </c>
      <c r="Z109" s="106">
        <v>71.953944903552596</v>
      </c>
      <c r="AA109" s="106">
        <v>81.001488687144146</v>
      </c>
      <c r="AB109" s="106">
        <v>77.1681137412276</v>
      </c>
      <c r="AC109" s="106">
        <v>36.763851340897176</v>
      </c>
      <c r="AD109" s="106">
        <v>71.953944903552596</v>
      </c>
      <c r="AE109" s="106">
        <v>119.280268829806</v>
      </c>
      <c r="AF109" s="106">
        <v>126.12661994325431</v>
      </c>
      <c r="AG109" s="106">
        <v>59.734746634595894</v>
      </c>
      <c r="AH109" s="106">
        <v>108.71231895006078</v>
      </c>
      <c r="AI109" s="106">
        <v>31.861895657002609</v>
      </c>
      <c r="AJ109" s="106">
        <v>114.4955014994994</v>
      </c>
      <c r="AK109" s="106">
        <v>93.863481275541588</v>
      </c>
      <c r="AL109" s="106">
        <v>71.788435373299791</v>
      </c>
      <c r="AM109" s="106">
        <v>16.981177728688571</v>
      </c>
      <c r="AN109" s="106">
        <v>62.329707502544409</v>
      </c>
      <c r="AO109" s="106">
        <v>109.60334817258887</v>
      </c>
      <c r="AP109" s="106">
        <v>118.64668940011916</v>
      </c>
      <c r="AQ109" s="106">
        <v>69.527676262103711</v>
      </c>
      <c r="AR109" s="106">
        <v>73.522225387405356</v>
      </c>
      <c r="AS109" s="106">
        <v>107.14403846620802</v>
      </c>
      <c r="AT109" s="106">
        <v>46.446581216444308</v>
      </c>
      <c r="AU109" s="106">
        <v>108.71231895006078</v>
      </c>
      <c r="AV109" s="106">
        <v>49.593834084546081</v>
      </c>
      <c r="AW109" s="106">
        <v>35.19557085704443</v>
      </c>
      <c r="AX109" s="106">
        <v>73.522225387405356</v>
      </c>
      <c r="AY109" s="106">
        <v>71.953944903552596</v>
      </c>
    </row>
    <row r="110" spans="1:52">
      <c r="A110" s="109"/>
      <c r="B110" s="119">
        <v>2</v>
      </c>
      <c r="C110" s="106">
        <v>4.7608082663128783</v>
      </c>
      <c r="D110" s="106">
        <v>42.340181945113656</v>
      </c>
      <c r="E110" s="106">
        <v>73.670799365714927</v>
      </c>
      <c r="F110" s="106">
        <v>21.985692750784445</v>
      </c>
      <c r="G110" s="106">
        <v>0</v>
      </c>
      <c r="H110" s="106">
        <v>42.899954965659333</v>
      </c>
      <c r="I110" s="106">
        <v>23.41312129006333</v>
      </c>
      <c r="J110" s="106">
        <v>0</v>
      </c>
      <c r="K110" s="106">
        <v>0</v>
      </c>
      <c r="L110" s="106">
        <v>0</v>
      </c>
      <c r="M110" s="106">
        <v>12.369000901387864</v>
      </c>
      <c r="N110" s="106">
        <v>50.854145221324728</v>
      </c>
      <c r="O110" s="106">
        <v>31.601122385413717</v>
      </c>
      <c r="P110" s="106">
        <v>63.313441335474494</v>
      </c>
      <c r="Q110" s="106">
        <v>46.159671628687605</v>
      </c>
      <c r="R110" s="106">
        <v>32.963457123203995</v>
      </c>
      <c r="S110" s="106">
        <v>48.80878706975146</v>
      </c>
      <c r="T110" s="106">
        <v>46.830548599565546</v>
      </c>
      <c r="U110" s="106">
        <v>44.916943157122944</v>
      </c>
      <c r="V110" s="106">
        <v>34.762766871041137</v>
      </c>
      <c r="W110" s="106">
        <v>44.906805337249153</v>
      </c>
      <c r="X110" s="106">
        <v>39.829690626618543</v>
      </c>
      <c r="Y110" s="106">
        <v>16.708624998882499</v>
      </c>
      <c r="Z110" s="106">
        <v>0</v>
      </c>
      <c r="AA110" s="106">
        <v>10.242312193624549</v>
      </c>
      <c r="AB110" s="106">
        <v>18.807814721599151</v>
      </c>
      <c r="AC110" s="106">
        <v>5.4784511166609349</v>
      </c>
      <c r="AD110" s="106">
        <v>0</v>
      </c>
      <c r="AE110" s="106">
        <v>0</v>
      </c>
      <c r="AF110" s="106">
        <v>33.280268829806005</v>
      </c>
      <c r="AG110" s="106">
        <v>83.406888773060317</v>
      </c>
      <c r="AH110" s="106">
        <v>41.14163540765621</v>
      </c>
      <c r="AI110" s="106">
        <v>55.682314008218995</v>
      </c>
      <c r="AJ110" s="106">
        <v>2.5442096652216044</v>
      </c>
      <c r="AK110" s="106">
        <v>25.039711164720998</v>
      </c>
      <c r="AL110" s="106">
        <v>27.903192440262586</v>
      </c>
      <c r="AM110" s="106">
        <v>0</v>
      </c>
      <c r="AN110" s="106">
        <v>0</v>
      </c>
      <c r="AO110" s="106">
        <v>0</v>
      </c>
      <c r="AP110" s="106">
        <v>24.603348172588866</v>
      </c>
      <c r="AQ110" s="106">
        <v>65.250037572708024</v>
      </c>
      <c r="AR110" s="106">
        <v>69.527676262103711</v>
      </c>
      <c r="AS110" s="106">
        <v>73.522225387405356</v>
      </c>
      <c r="AT110" s="106">
        <v>107.14403846620802</v>
      </c>
      <c r="AU110" s="106">
        <v>46.446581216444308</v>
      </c>
      <c r="AV110" s="106">
        <v>107.26463850952527</v>
      </c>
      <c r="AW110" s="106">
        <v>49.593834084546081</v>
      </c>
      <c r="AX110" s="106">
        <v>7.1054273576010019E-15</v>
      </c>
      <c r="AY110" s="106">
        <v>10.206834627530078</v>
      </c>
    </row>
    <row r="111" spans="1:52">
      <c r="A111" s="109"/>
      <c r="B111" s="119">
        <v>3</v>
      </c>
      <c r="C111" s="106">
        <v>0</v>
      </c>
      <c r="D111" s="106">
        <v>0</v>
      </c>
      <c r="E111" s="106">
        <v>0</v>
      </c>
      <c r="F111" s="106">
        <v>0</v>
      </c>
      <c r="G111" s="106">
        <v>0</v>
      </c>
      <c r="H111" s="106">
        <v>0</v>
      </c>
      <c r="I111" s="106">
        <v>0</v>
      </c>
      <c r="J111" s="106">
        <v>0</v>
      </c>
      <c r="K111" s="106">
        <v>0</v>
      </c>
      <c r="L111" s="106">
        <v>0</v>
      </c>
      <c r="M111" s="106">
        <v>0</v>
      </c>
      <c r="N111" s="106">
        <v>0</v>
      </c>
      <c r="O111" s="106">
        <v>0</v>
      </c>
      <c r="P111" s="106">
        <v>0</v>
      </c>
      <c r="Q111" s="106">
        <v>0</v>
      </c>
      <c r="R111" s="106">
        <v>0</v>
      </c>
      <c r="S111" s="106">
        <v>0</v>
      </c>
      <c r="T111" s="106">
        <v>0</v>
      </c>
      <c r="U111" s="106">
        <v>0</v>
      </c>
      <c r="V111" s="106">
        <v>0</v>
      </c>
      <c r="W111" s="106">
        <v>0</v>
      </c>
      <c r="X111" s="106">
        <v>0</v>
      </c>
      <c r="Y111" s="106">
        <v>0</v>
      </c>
      <c r="Z111" s="106">
        <v>0</v>
      </c>
      <c r="AA111" s="106">
        <v>0</v>
      </c>
      <c r="AB111" s="106">
        <v>0</v>
      </c>
      <c r="AC111" s="106">
        <v>0</v>
      </c>
      <c r="AD111" s="106">
        <v>0</v>
      </c>
      <c r="AE111" s="106">
        <v>0</v>
      </c>
      <c r="AF111" s="106">
        <v>0</v>
      </c>
      <c r="AG111" s="106">
        <v>0</v>
      </c>
      <c r="AH111" s="106">
        <v>0</v>
      </c>
      <c r="AI111" s="106">
        <v>0</v>
      </c>
      <c r="AJ111" s="106">
        <v>0</v>
      </c>
      <c r="AK111" s="106">
        <v>0</v>
      </c>
      <c r="AL111" s="106">
        <v>0</v>
      </c>
      <c r="AM111" s="106">
        <v>0</v>
      </c>
      <c r="AN111" s="106">
        <v>0</v>
      </c>
      <c r="AO111" s="106">
        <v>0</v>
      </c>
      <c r="AP111" s="106">
        <v>0</v>
      </c>
      <c r="AQ111" s="106">
        <v>0</v>
      </c>
      <c r="AR111" s="106">
        <v>0.25003757270802396</v>
      </c>
      <c r="AS111" s="106">
        <v>11.777713834811735</v>
      </c>
      <c r="AT111" s="106">
        <v>17.299939222217091</v>
      </c>
      <c r="AU111" s="106">
        <v>48.443977688425107</v>
      </c>
      <c r="AV111" s="106">
        <v>0</v>
      </c>
      <c r="AW111" s="106">
        <v>17.379019234317852</v>
      </c>
      <c r="AX111" s="106">
        <v>0</v>
      </c>
      <c r="AY111" s="106">
        <v>0</v>
      </c>
    </row>
    <row r="112" spans="1:52">
      <c r="A112" s="109"/>
      <c r="B112" s="120">
        <v>4</v>
      </c>
      <c r="C112" s="106">
        <v>0</v>
      </c>
      <c r="D112" s="106">
        <v>0</v>
      </c>
      <c r="E112" s="106">
        <v>0</v>
      </c>
      <c r="F112" s="106">
        <v>0</v>
      </c>
      <c r="G112" s="106">
        <v>0</v>
      </c>
      <c r="H112" s="106">
        <v>0</v>
      </c>
      <c r="I112" s="106">
        <v>0</v>
      </c>
      <c r="J112" s="106">
        <v>0</v>
      </c>
      <c r="K112" s="106">
        <v>0</v>
      </c>
      <c r="L112" s="106">
        <v>0</v>
      </c>
      <c r="M112" s="106">
        <v>0</v>
      </c>
      <c r="N112" s="106">
        <v>0</v>
      </c>
      <c r="O112" s="106">
        <v>0</v>
      </c>
      <c r="P112" s="106">
        <v>0</v>
      </c>
      <c r="Q112" s="106">
        <v>0</v>
      </c>
      <c r="R112" s="106">
        <v>0</v>
      </c>
      <c r="S112" s="106">
        <v>0</v>
      </c>
      <c r="T112" s="106">
        <v>0</v>
      </c>
      <c r="U112" s="106">
        <v>0</v>
      </c>
      <c r="V112" s="106">
        <v>0</v>
      </c>
      <c r="W112" s="106">
        <v>0</v>
      </c>
      <c r="X112" s="106">
        <v>0</v>
      </c>
      <c r="Y112" s="106">
        <v>0</v>
      </c>
      <c r="Z112" s="106">
        <v>0</v>
      </c>
      <c r="AA112" s="106">
        <v>0</v>
      </c>
      <c r="AB112" s="106">
        <v>0</v>
      </c>
      <c r="AC112" s="106">
        <v>0</v>
      </c>
      <c r="AD112" s="106">
        <v>0</v>
      </c>
      <c r="AE112" s="106">
        <v>0</v>
      </c>
      <c r="AF112" s="106">
        <v>0</v>
      </c>
      <c r="AG112" s="106">
        <v>0</v>
      </c>
      <c r="AH112" s="106">
        <v>0</v>
      </c>
      <c r="AI112" s="106">
        <v>0</v>
      </c>
      <c r="AJ112" s="106">
        <v>0</v>
      </c>
      <c r="AK112" s="106">
        <v>0</v>
      </c>
      <c r="AL112" s="106">
        <v>0</v>
      </c>
      <c r="AM112" s="106">
        <v>0</v>
      </c>
      <c r="AN112" s="106">
        <v>0</v>
      </c>
      <c r="AO112" s="106">
        <v>0</v>
      </c>
      <c r="AP112" s="106">
        <v>0</v>
      </c>
      <c r="AQ112" s="106">
        <v>0</v>
      </c>
      <c r="AR112" s="106">
        <v>0</v>
      </c>
      <c r="AS112" s="106">
        <v>0</v>
      </c>
      <c r="AT112" s="106">
        <v>0</v>
      </c>
      <c r="AU112" s="106">
        <v>0</v>
      </c>
      <c r="AV112" s="106">
        <v>0</v>
      </c>
      <c r="AW112" s="106">
        <v>0</v>
      </c>
      <c r="AX112" s="106">
        <v>0</v>
      </c>
      <c r="AY112" s="106">
        <v>0</v>
      </c>
    </row>
    <row r="113" spans="1:52">
      <c r="A113" s="109"/>
      <c r="B113" s="120">
        <v>5</v>
      </c>
      <c r="C113" s="106">
        <v>0</v>
      </c>
      <c r="D113" s="106">
        <v>0</v>
      </c>
      <c r="E113" s="106">
        <v>0</v>
      </c>
      <c r="F113" s="106">
        <v>0</v>
      </c>
      <c r="G113" s="106">
        <v>0</v>
      </c>
      <c r="H113" s="106">
        <v>0</v>
      </c>
      <c r="I113" s="106">
        <v>0</v>
      </c>
      <c r="J113" s="106">
        <v>0</v>
      </c>
      <c r="K113" s="106">
        <v>0</v>
      </c>
      <c r="L113" s="106">
        <v>0</v>
      </c>
      <c r="M113" s="106">
        <v>0</v>
      </c>
      <c r="N113" s="106">
        <v>0</v>
      </c>
      <c r="O113" s="106">
        <v>0</v>
      </c>
      <c r="P113" s="106">
        <v>0</v>
      </c>
      <c r="Q113" s="106">
        <v>0</v>
      </c>
      <c r="R113" s="106">
        <v>0</v>
      </c>
      <c r="S113" s="106">
        <v>0</v>
      </c>
      <c r="T113" s="106">
        <v>0</v>
      </c>
      <c r="U113" s="106">
        <v>0</v>
      </c>
      <c r="V113" s="106">
        <v>0</v>
      </c>
      <c r="W113" s="106">
        <v>0</v>
      </c>
      <c r="X113" s="106">
        <v>0</v>
      </c>
      <c r="Y113" s="106">
        <v>0</v>
      </c>
      <c r="Z113" s="106">
        <v>0</v>
      </c>
      <c r="AA113" s="106">
        <v>0</v>
      </c>
      <c r="AB113" s="106">
        <v>0</v>
      </c>
      <c r="AC113" s="106">
        <v>0</v>
      </c>
      <c r="AD113" s="106">
        <v>0</v>
      </c>
      <c r="AE113" s="106">
        <v>0</v>
      </c>
      <c r="AF113" s="106">
        <v>0</v>
      </c>
      <c r="AG113" s="106">
        <v>0</v>
      </c>
      <c r="AH113" s="106">
        <v>0</v>
      </c>
      <c r="AI113" s="106">
        <v>0</v>
      </c>
      <c r="AJ113" s="106">
        <v>0</v>
      </c>
      <c r="AK113" s="106">
        <v>0</v>
      </c>
      <c r="AL113" s="106">
        <v>0</v>
      </c>
      <c r="AM113" s="106">
        <v>0</v>
      </c>
      <c r="AN113" s="106">
        <v>0</v>
      </c>
      <c r="AO113" s="106">
        <v>0</v>
      </c>
      <c r="AP113" s="106">
        <v>0</v>
      </c>
      <c r="AQ113" s="106">
        <v>0</v>
      </c>
      <c r="AR113" s="106">
        <v>0</v>
      </c>
      <c r="AS113" s="106">
        <v>0</v>
      </c>
      <c r="AT113" s="106">
        <v>0</v>
      </c>
      <c r="AU113" s="106">
        <v>0</v>
      </c>
      <c r="AV113" s="106">
        <v>0</v>
      </c>
      <c r="AW113" s="106">
        <v>0</v>
      </c>
      <c r="AX113" s="106">
        <v>0</v>
      </c>
      <c r="AY113" s="106">
        <v>0</v>
      </c>
    </row>
    <row r="114" spans="1:52">
      <c r="A114" s="109"/>
      <c r="B114" s="120">
        <v>6</v>
      </c>
      <c r="C114" s="106">
        <v>0</v>
      </c>
      <c r="D114" s="106">
        <v>0</v>
      </c>
      <c r="E114" s="106">
        <v>0</v>
      </c>
      <c r="F114" s="106">
        <v>0</v>
      </c>
      <c r="G114" s="106">
        <v>0</v>
      </c>
      <c r="H114" s="106">
        <v>0</v>
      </c>
      <c r="I114" s="106">
        <v>0</v>
      </c>
      <c r="J114" s="106">
        <v>0</v>
      </c>
      <c r="K114" s="106">
        <v>0</v>
      </c>
      <c r="L114" s="106">
        <v>0</v>
      </c>
      <c r="M114" s="106">
        <v>0</v>
      </c>
      <c r="N114" s="106">
        <v>0</v>
      </c>
      <c r="O114" s="106">
        <v>0</v>
      </c>
      <c r="P114" s="106">
        <v>0</v>
      </c>
      <c r="Q114" s="106">
        <v>0</v>
      </c>
      <c r="R114" s="106">
        <v>0</v>
      </c>
      <c r="S114" s="106">
        <v>0</v>
      </c>
      <c r="T114" s="106">
        <v>0</v>
      </c>
      <c r="U114" s="106">
        <v>0</v>
      </c>
      <c r="V114" s="106">
        <v>0</v>
      </c>
      <c r="W114" s="106">
        <v>0</v>
      </c>
      <c r="X114" s="106">
        <v>0</v>
      </c>
      <c r="Y114" s="106">
        <v>0</v>
      </c>
      <c r="Z114" s="106">
        <v>0</v>
      </c>
      <c r="AA114" s="106">
        <v>0</v>
      </c>
      <c r="AB114" s="106">
        <v>0</v>
      </c>
      <c r="AC114" s="106">
        <v>0</v>
      </c>
      <c r="AD114" s="106">
        <v>0</v>
      </c>
      <c r="AE114" s="106">
        <v>0</v>
      </c>
      <c r="AF114" s="106">
        <v>0</v>
      </c>
      <c r="AG114" s="106">
        <v>0</v>
      </c>
      <c r="AH114" s="106">
        <v>0</v>
      </c>
      <c r="AI114" s="106">
        <v>0</v>
      </c>
      <c r="AJ114" s="106">
        <v>0</v>
      </c>
      <c r="AK114" s="106">
        <v>0</v>
      </c>
      <c r="AL114" s="106">
        <v>0</v>
      </c>
      <c r="AM114" s="106">
        <v>0</v>
      </c>
      <c r="AN114" s="106">
        <v>0</v>
      </c>
      <c r="AO114" s="106">
        <v>0</v>
      </c>
      <c r="AP114" s="106">
        <v>0</v>
      </c>
      <c r="AQ114" s="106">
        <v>0</v>
      </c>
      <c r="AR114" s="106">
        <v>0</v>
      </c>
      <c r="AS114" s="106">
        <v>0</v>
      </c>
      <c r="AT114" s="106">
        <v>0</v>
      </c>
      <c r="AU114" s="106">
        <v>0</v>
      </c>
      <c r="AV114" s="106">
        <v>0</v>
      </c>
      <c r="AW114" s="106">
        <v>0</v>
      </c>
      <c r="AX114" s="106">
        <v>0</v>
      </c>
      <c r="AY114" s="106">
        <v>0</v>
      </c>
    </row>
    <row r="115" spans="1:52">
      <c r="A115" s="109"/>
      <c r="B115" s="127">
        <v>7</v>
      </c>
      <c r="C115" s="106">
        <v>0</v>
      </c>
      <c r="D115" s="106">
        <v>0</v>
      </c>
      <c r="E115" s="106">
        <v>0</v>
      </c>
      <c r="F115" s="106">
        <v>0</v>
      </c>
      <c r="G115" s="106">
        <v>0</v>
      </c>
      <c r="H115" s="106">
        <v>0</v>
      </c>
      <c r="I115" s="106">
        <v>0</v>
      </c>
      <c r="J115" s="106">
        <v>0</v>
      </c>
      <c r="K115" s="106">
        <v>0</v>
      </c>
      <c r="L115" s="106">
        <v>0</v>
      </c>
      <c r="M115" s="106">
        <v>0</v>
      </c>
      <c r="N115" s="106">
        <v>0</v>
      </c>
      <c r="O115" s="106">
        <v>0</v>
      </c>
      <c r="P115" s="106">
        <v>0</v>
      </c>
      <c r="Q115" s="106">
        <v>0</v>
      </c>
      <c r="R115" s="106">
        <v>0</v>
      </c>
      <c r="S115" s="106">
        <v>0</v>
      </c>
      <c r="T115" s="106">
        <v>0</v>
      </c>
      <c r="U115" s="106">
        <v>0</v>
      </c>
      <c r="V115" s="106">
        <v>0</v>
      </c>
      <c r="W115" s="106">
        <v>0</v>
      </c>
      <c r="X115" s="106">
        <v>0</v>
      </c>
      <c r="Y115" s="106">
        <v>0</v>
      </c>
      <c r="Z115" s="106">
        <v>0</v>
      </c>
      <c r="AA115" s="106">
        <v>0</v>
      </c>
      <c r="AB115" s="106">
        <v>0</v>
      </c>
      <c r="AC115" s="106">
        <v>0</v>
      </c>
      <c r="AD115" s="106">
        <v>0</v>
      </c>
      <c r="AE115" s="106">
        <v>0</v>
      </c>
      <c r="AF115" s="106">
        <v>0</v>
      </c>
      <c r="AG115" s="106">
        <v>0</v>
      </c>
      <c r="AH115" s="106">
        <v>0</v>
      </c>
      <c r="AI115" s="106">
        <v>0</v>
      </c>
      <c r="AJ115" s="106">
        <v>0</v>
      </c>
      <c r="AK115" s="106">
        <v>0</v>
      </c>
      <c r="AL115" s="106">
        <v>0</v>
      </c>
      <c r="AM115" s="106">
        <v>0</v>
      </c>
      <c r="AN115" s="106">
        <v>0</v>
      </c>
      <c r="AO115" s="106">
        <v>0</v>
      </c>
      <c r="AP115" s="106">
        <v>0</v>
      </c>
      <c r="AQ115" s="106">
        <v>0</v>
      </c>
      <c r="AR115" s="106">
        <v>0</v>
      </c>
      <c r="AS115" s="106">
        <v>0</v>
      </c>
      <c r="AT115" s="106">
        <v>0</v>
      </c>
      <c r="AU115" s="106">
        <v>0</v>
      </c>
      <c r="AV115" s="106">
        <v>0</v>
      </c>
      <c r="AW115" s="106">
        <v>0</v>
      </c>
      <c r="AX115" s="106">
        <v>0</v>
      </c>
      <c r="AY115" s="106">
        <v>0</v>
      </c>
    </row>
    <row r="116" spans="1:52">
      <c r="A116" s="109"/>
      <c r="B116" s="127">
        <v>8</v>
      </c>
      <c r="C116" s="106">
        <v>0</v>
      </c>
      <c r="D116" s="106">
        <v>0</v>
      </c>
      <c r="E116" s="106">
        <v>0</v>
      </c>
      <c r="F116" s="106">
        <v>0</v>
      </c>
      <c r="G116" s="106">
        <v>0</v>
      </c>
      <c r="H116" s="106">
        <v>0</v>
      </c>
      <c r="I116" s="106">
        <v>0</v>
      </c>
      <c r="J116" s="106">
        <v>0</v>
      </c>
      <c r="K116" s="106">
        <v>0</v>
      </c>
      <c r="L116" s="106">
        <v>0</v>
      </c>
      <c r="M116" s="106">
        <v>0</v>
      </c>
      <c r="N116" s="106">
        <v>0</v>
      </c>
      <c r="O116" s="106">
        <v>0</v>
      </c>
      <c r="P116" s="106">
        <v>0</v>
      </c>
      <c r="Q116" s="106">
        <v>0</v>
      </c>
      <c r="R116" s="106">
        <v>0</v>
      </c>
      <c r="S116" s="106">
        <v>0</v>
      </c>
      <c r="T116" s="106">
        <v>0</v>
      </c>
      <c r="U116" s="106">
        <v>0</v>
      </c>
      <c r="V116" s="106">
        <v>0</v>
      </c>
      <c r="W116" s="106">
        <v>0</v>
      </c>
      <c r="X116" s="106">
        <v>0</v>
      </c>
      <c r="Y116" s="106">
        <v>0</v>
      </c>
      <c r="Z116" s="106">
        <v>0</v>
      </c>
      <c r="AA116" s="106">
        <v>0</v>
      </c>
      <c r="AB116" s="106">
        <v>0</v>
      </c>
      <c r="AC116" s="106">
        <v>0</v>
      </c>
      <c r="AD116" s="106">
        <v>0</v>
      </c>
      <c r="AE116" s="106">
        <v>0</v>
      </c>
      <c r="AF116" s="106">
        <v>0</v>
      </c>
      <c r="AG116" s="106">
        <v>0</v>
      </c>
      <c r="AH116" s="106">
        <v>0</v>
      </c>
      <c r="AI116" s="106">
        <v>0</v>
      </c>
      <c r="AJ116" s="106">
        <v>0</v>
      </c>
      <c r="AK116" s="106">
        <v>0</v>
      </c>
      <c r="AL116" s="106">
        <v>0</v>
      </c>
      <c r="AM116" s="106">
        <v>0</v>
      </c>
      <c r="AN116" s="106">
        <v>0</v>
      </c>
      <c r="AO116" s="106">
        <v>0</v>
      </c>
      <c r="AP116" s="106">
        <v>0</v>
      </c>
      <c r="AQ116" s="106">
        <v>0</v>
      </c>
      <c r="AR116" s="106">
        <v>0</v>
      </c>
      <c r="AS116" s="106">
        <v>0</v>
      </c>
      <c r="AT116" s="106">
        <v>0</v>
      </c>
      <c r="AU116" s="106">
        <v>0</v>
      </c>
      <c r="AV116" s="106">
        <v>0</v>
      </c>
      <c r="AW116" s="106">
        <v>0</v>
      </c>
      <c r="AX116" s="106">
        <v>0</v>
      </c>
      <c r="AY116" s="106">
        <v>0</v>
      </c>
    </row>
    <row r="117" spans="1:52">
      <c r="A117" s="109"/>
      <c r="B117" s="127">
        <v>9</v>
      </c>
      <c r="C117" s="106">
        <v>0</v>
      </c>
      <c r="D117" s="106">
        <v>0</v>
      </c>
      <c r="E117" s="106">
        <v>0</v>
      </c>
      <c r="F117" s="106">
        <v>0</v>
      </c>
      <c r="G117" s="106">
        <v>0</v>
      </c>
      <c r="H117" s="106">
        <v>0</v>
      </c>
      <c r="I117" s="106">
        <v>0</v>
      </c>
      <c r="J117" s="106">
        <v>0</v>
      </c>
      <c r="K117" s="106">
        <v>0</v>
      </c>
      <c r="L117" s="106">
        <v>0</v>
      </c>
      <c r="M117" s="106">
        <v>0</v>
      </c>
      <c r="N117" s="106">
        <v>0</v>
      </c>
      <c r="O117" s="106">
        <v>0</v>
      </c>
      <c r="P117" s="106">
        <v>0</v>
      </c>
      <c r="Q117" s="106">
        <v>0</v>
      </c>
      <c r="R117" s="106">
        <v>0</v>
      </c>
      <c r="S117" s="106">
        <v>0</v>
      </c>
      <c r="T117" s="106">
        <v>0</v>
      </c>
      <c r="U117" s="106">
        <v>0</v>
      </c>
      <c r="V117" s="106">
        <v>0</v>
      </c>
      <c r="W117" s="106">
        <v>0</v>
      </c>
      <c r="X117" s="106">
        <v>0</v>
      </c>
      <c r="Y117" s="106">
        <v>0</v>
      </c>
      <c r="Z117" s="106">
        <v>0</v>
      </c>
      <c r="AA117" s="106">
        <v>0</v>
      </c>
      <c r="AB117" s="106">
        <v>0</v>
      </c>
      <c r="AC117" s="106">
        <v>0</v>
      </c>
      <c r="AD117" s="106">
        <v>0</v>
      </c>
      <c r="AE117" s="106">
        <v>0</v>
      </c>
      <c r="AF117" s="106">
        <v>0</v>
      </c>
      <c r="AG117" s="106">
        <v>0</v>
      </c>
      <c r="AH117" s="106">
        <v>0</v>
      </c>
      <c r="AI117" s="106">
        <v>0</v>
      </c>
      <c r="AJ117" s="106">
        <v>0</v>
      </c>
      <c r="AK117" s="106">
        <v>0</v>
      </c>
      <c r="AL117" s="106">
        <v>0</v>
      </c>
      <c r="AM117" s="106">
        <v>0</v>
      </c>
      <c r="AN117" s="106">
        <v>0</v>
      </c>
      <c r="AO117" s="106">
        <v>0</v>
      </c>
      <c r="AP117" s="106">
        <v>0</v>
      </c>
      <c r="AQ117" s="106">
        <v>0</v>
      </c>
      <c r="AR117" s="106">
        <v>0</v>
      </c>
      <c r="AS117" s="106">
        <v>0</v>
      </c>
      <c r="AT117" s="106">
        <v>0</v>
      </c>
      <c r="AU117" s="106">
        <v>0</v>
      </c>
      <c r="AV117" s="106">
        <v>0</v>
      </c>
      <c r="AW117" s="106">
        <v>0</v>
      </c>
      <c r="AX117" s="106">
        <v>0</v>
      </c>
      <c r="AY117" s="106">
        <v>0</v>
      </c>
    </row>
    <row r="118" spans="1:52">
      <c r="A118" s="109"/>
      <c r="B118" s="130">
        <v>10</v>
      </c>
      <c r="C118" s="106">
        <v>0</v>
      </c>
      <c r="D118" s="106">
        <v>0</v>
      </c>
      <c r="E118" s="106">
        <v>0</v>
      </c>
      <c r="F118" s="106">
        <v>0</v>
      </c>
      <c r="G118" s="106">
        <v>0</v>
      </c>
      <c r="H118" s="106">
        <v>0</v>
      </c>
      <c r="I118" s="106">
        <v>0</v>
      </c>
      <c r="J118" s="106">
        <v>0</v>
      </c>
      <c r="K118" s="106">
        <v>0</v>
      </c>
      <c r="L118" s="106">
        <v>0</v>
      </c>
      <c r="M118" s="106">
        <v>0</v>
      </c>
      <c r="N118" s="106">
        <v>0</v>
      </c>
      <c r="O118" s="106">
        <v>0</v>
      </c>
      <c r="P118" s="106">
        <v>0</v>
      </c>
      <c r="Q118" s="106">
        <v>0</v>
      </c>
      <c r="R118" s="106">
        <v>0</v>
      </c>
      <c r="S118" s="106">
        <v>0</v>
      </c>
      <c r="T118" s="106">
        <v>0</v>
      </c>
      <c r="U118" s="106">
        <v>0</v>
      </c>
      <c r="V118" s="106">
        <v>0</v>
      </c>
      <c r="W118" s="106">
        <v>0</v>
      </c>
      <c r="X118" s="106">
        <v>0</v>
      </c>
      <c r="Y118" s="106">
        <v>0</v>
      </c>
      <c r="Z118" s="106">
        <v>0</v>
      </c>
      <c r="AA118" s="106">
        <v>0</v>
      </c>
      <c r="AB118" s="106">
        <v>0</v>
      </c>
      <c r="AC118" s="106">
        <v>0</v>
      </c>
      <c r="AD118" s="106">
        <v>0</v>
      </c>
      <c r="AE118" s="106">
        <v>0</v>
      </c>
      <c r="AF118" s="106">
        <v>0</v>
      </c>
      <c r="AG118" s="106">
        <v>0</v>
      </c>
      <c r="AH118" s="106">
        <v>0</v>
      </c>
      <c r="AI118" s="106">
        <v>0</v>
      </c>
      <c r="AJ118" s="106">
        <v>0</v>
      </c>
      <c r="AK118" s="106">
        <v>0</v>
      </c>
      <c r="AL118" s="106">
        <v>0</v>
      </c>
      <c r="AM118" s="106">
        <v>0</v>
      </c>
      <c r="AN118" s="106">
        <v>0</v>
      </c>
      <c r="AO118" s="106">
        <v>0</v>
      </c>
      <c r="AP118" s="106">
        <v>0</v>
      </c>
      <c r="AQ118" s="106">
        <v>0</v>
      </c>
      <c r="AR118" s="106">
        <v>0</v>
      </c>
      <c r="AS118" s="106">
        <v>0</v>
      </c>
      <c r="AT118" s="106">
        <v>0</v>
      </c>
      <c r="AU118" s="106">
        <v>0</v>
      </c>
      <c r="AV118" s="106">
        <v>0</v>
      </c>
      <c r="AW118" s="106">
        <v>0</v>
      </c>
      <c r="AX118" s="106">
        <v>0</v>
      </c>
      <c r="AY118" s="106">
        <v>0</v>
      </c>
    </row>
    <row r="119" spans="1:52">
      <c r="A119" s="109"/>
      <c r="B119" s="130">
        <v>11</v>
      </c>
      <c r="C119" s="106">
        <v>0</v>
      </c>
      <c r="D119" s="106">
        <v>0</v>
      </c>
      <c r="E119" s="106">
        <v>0</v>
      </c>
      <c r="F119" s="106">
        <v>0</v>
      </c>
      <c r="G119" s="106">
        <v>0</v>
      </c>
      <c r="H119" s="106">
        <v>0</v>
      </c>
      <c r="I119" s="106">
        <v>0</v>
      </c>
      <c r="J119" s="106">
        <v>0</v>
      </c>
      <c r="K119" s="106">
        <v>0</v>
      </c>
      <c r="L119" s="106">
        <v>0</v>
      </c>
      <c r="M119" s="106">
        <v>0</v>
      </c>
      <c r="N119" s="106">
        <v>0</v>
      </c>
      <c r="O119" s="106">
        <v>0</v>
      </c>
      <c r="P119" s="106">
        <v>0</v>
      </c>
      <c r="Q119" s="106">
        <v>0</v>
      </c>
      <c r="R119" s="106">
        <v>0</v>
      </c>
      <c r="S119" s="106">
        <v>0</v>
      </c>
      <c r="T119" s="106">
        <v>0</v>
      </c>
      <c r="U119" s="106">
        <v>0</v>
      </c>
      <c r="V119" s="106">
        <v>0</v>
      </c>
      <c r="W119" s="106">
        <v>0</v>
      </c>
      <c r="X119" s="106">
        <v>0</v>
      </c>
      <c r="Y119" s="106">
        <v>0</v>
      </c>
      <c r="Z119" s="106">
        <v>0</v>
      </c>
      <c r="AA119" s="106">
        <v>0</v>
      </c>
      <c r="AB119" s="106">
        <v>0</v>
      </c>
      <c r="AC119" s="106">
        <v>0</v>
      </c>
      <c r="AD119" s="106">
        <v>0</v>
      </c>
      <c r="AE119" s="106">
        <v>0</v>
      </c>
      <c r="AF119" s="106">
        <v>0</v>
      </c>
      <c r="AG119" s="106">
        <v>0</v>
      </c>
      <c r="AH119" s="106">
        <v>0</v>
      </c>
      <c r="AI119" s="106">
        <v>0</v>
      </c>
      <c r="AJ119" s="106">
        <v>0</v>
      </c>
      <c r="AK119" s="106">
        <v>0</v>
      </c>
      <c r="AL119" s="106">
        <v>0</v>
      </c>
      <c r="AM119" s="106">
        <v>0</v>
      </c>
      <c r="AN119" s="106">
        <v>0</v>
      </c>
      <c r="AO119" s="106">
        <v>0</v>
      </c>
      <c r="AP119" s="106">
        <v>0</v>
      </c>
      <c r="AQ119" s="106">
        <v>0</v>
      </c>
      <c r="AR119" s="106">
        <v>0</v>
      </c>
      <c r="AS119" s="106">
        <v>0</v>
      </c>
      <c r="AT119" s="106">
        <v>0</v>
      </c>
      <c r="AU119" s="106">
        <v>0</v>
      </c>
      <c r="AV119" s="106">
        <v>0</v>
      </c>
      <c r="AW119" s="106">
        <v>0</v>
      </c>
      <c r="AX119" s="106">
        <v>0</v>
      </c>
      <c r="AY119" s="106">
        <v>0</v>
      </c>
    </row>
    <row r="120" spans="1:52">
      <c r="A120" s="109"/>
      <c r="B120" s="130">
        <v>12</v>
      </c>
      <c r="C120" s="106">
        <v>0</v>
      </c>
      <c r="D120" s="106">
        <v>0</v>
      </c>
      <c r="E120" s="106">
        <v>0</v>
      </c>
      <c r="F120" s="106">
        <v>0</v>
      </c>
      <c r="G120" s="106">
        <v>0</v>
      </c>
      <c r="H120" s="106">
        <v>0</v>
      </c>
      <c r="I120" s="106">
        <v>0</v>
      </c>
      <c r="J120" s="106">
        <v>0</v>
      </c>
      <c r="K120" s="106">
        <v>0</v>
      </c>
      <c r="L120" s="106">
        <v>0</v>
      </c>
      <c r="M120" s="106">
        <v>0</v>
      </c>
      <c r="N120" s="106">
        <v>0</v>
      </c>
      <c r="O120" s="106">
        <v>0</v>
      </c>
      <c r="P120" s="106">
        <v>0</v>
      </c>
      <c r="Q120" s="106">
        <v>0</v>
      </c>
      <c r="R120" s="106">
        <v>0</v>
      </c>
      <c r="S120" s="106">
        <v>0</v>
      </c>
      <c r="T120" s="106">
        <v>0</v>
      </c>
      <c r="U120" s="106">
        <v>0</v>
      </c>
      <c r="V120" s="106">
        <v>0</v>
      </c>
      <c r="W120" s="106">
        <v>0</v>
      </c>
      <c r="X120" s="106">
        <v>0</v>
      </c>
      <c r="Y120" s="106">
        <v>0</v>
      </c>
      <c r="Z120" s="106">
        <v>0</v>
      </c>
      <c r="AA120" s="106">
        <v>0</v>
      </c>
      <c r="AB120" s="106">
        <v>0</v>
      </c>
      <c r="AC120" s="106">
        <v>0</v>
      </c>
      <c r="AD120" s="106">
        <v>0</v>
      </c>
      <c r="AE120" s="106">
        <v>0</v>
      </c>
      <c r="AF120" s="106">
        <v>0</v>
      </c>
      <c r="AG120" s="106">
        <v>0</v>
      </c>
      <c r="AH120" s="106">
        <v>0</v>
      </c>
      <c r="AI120" s="106">
        <v>0</v>
      </c>
      <c r="AJ120" s="106">
        <v>0</v>
      </c>
      <c r="AK120" s="106">
        <v>0</v>
      </c>
      <c r="AL120" s="106">
        <v>0</v>
      </c>
      <c r="AM120" s="106">
        <v>0</v>
      </c>
      <c r="AN120" s="106">
        <v>0</v>
      </c>
      <c r="AO120" s="106">
        <v>0</v>
      </c>
      <c r="AP120" s="106">
        <v>0</v>
      </c>
      <c r="AQ120" s="106">
        <v>0</v>
      </c>
      <c r="AR120" s="106">
        <v>0</v>
      </c>
      <c r="AS120" s="106">
        <v>0</v>
      </c>
      <c r="AT120" s="106">
        <v>0</v>
      </c>
      <c r="AU120" s="106">
        <v>0</v>
      </c>
      <c r="AV120" s="106">
        <v>0</v>
      </c>
      <c r="AW120" s="106">
        <v>0</v>
      </c>
      <c r="AX120" s="106">
        <v>0</v>
      </c>
      <c r="AY120" s="106">
        <v>0</v>
      </c>
    </row>
    <row r="121" spans="1:52">
      <c r="A121" s="128"/>
      <c r="B121" s="132" t="s">
        <v>296</v>
      </c>
      <c r="C121" s="114">
        <v>0</v>
      </c>
      <c r="D121" s="125">
        <v>0</v>
      </c>
      <c r="E121" s="125">
        <v>0</v>
      </c>
      <c r="F121" s="125">
        <v>0</v>
      </c>
      <c r="G121" s="125">
        <v>0</v>
      </c>
      <c r="H121" s="125">
        <v>0</v>
      </c>
      <c r="I121" s="125">
        <v>0</v>
      </c>
      <c r="J121" s="125">
        <v>0</v>
      </c>
      <c r="K121" s="125">
        <v>0</v>
      </c>
      <c r="L121" s="125">
        <v>0</v>
      </c>
      <c r="M121" s="125">
        <v>0</v>
      </c>
      <c r="N121" s="125">
        <v>0</v>
      </c>
      <c r="O121" s="125">
        <v>0</v>
      </c>
      <c r="P121" s="125">
        <v>0</v>
      </c>
      <c r="Q121" s="125">
        <v>0</v>
      </c>
      <c r="R121" s="125">
        <v>0</v>
      </c>
      <c r="S121" s="125">
        <v>0</v>
      </c>
      <c r="T121" s="125">
        <v>0</v>
      </c>
      <c r="U121" s="125">
        <v>0</v>
      </c>
      <c r="V121" s="125">
        <v>0</v>
      </c>
      <c r="W121" s="125">
        <v>0</v>
      </c>
      <c r="X121" s="125">
        <v>0</v>
      </c>
      <c r="Y121" s="125">
        <v>0</v>
      </c>
      <c r="Z121" s="125">
        <v>0</v>
      </c>
      <c r="AA121" s="125">
        <v>0</v>
      </c>
      <c r="AB121" s="125">
        <v>0</v>
      </c>
      <c r="AC121" s="125">
        <v>0</v>
      </c>
      <c r="AD121" s="125">
        <v>0</v>
      </c>
      <c r="AE121" s="125">
        <v>0</v>
      </c>
      <c r="AF121" s="125">
        <v>0</v>
      </c>
      <c r="AG121" s="125">
        <v>0</v>
      </c>
      <c r="AH121" s="125">
        <v>0</v>
      </c>
      <c r="AI121" s="125">
        <v>0</v>
      </c>
      <c r="AJ121" s="125">
        <v>0</v>
      </c>
      <c r="AK121" s="125">
        <v>0</v>
      </c>
      <c r="AL121" s="125">
        <v>0</v>
      </c>
      <c r="AM121" s="125">
        <v>0</v>
      </c>
      <c r="AN121" s="125">
        <v>0</v>
      </c>
      <c r="AO121" s="125">
        <v>0</v>
      </c>
      <c r="AP121" s="125">
        <v>0</v>
      </c>
      <c r="AQ121" s="125">
        <v>0</v>
      </c>
      <c r="AR121" s="125">
        <v>0</v>
      </c>
      <c r="AS121" s="125">
        <v>0</v>
      </c>
      <c r="AT121" s="125">
        <v>0</v>
      </c>
      <c r="AU121" s="125">
        <v>0</v>
      </c>
      <c r="AV121" s="125">
        <v>0</v>
      </c>
      <c r="AW121" s="125">
        <v>0</v>
      </c>
      <c r="AX121" s="125">
        <v>0</v>
      </c>
      <c r="AY121" s="125">
        <v>0</v>
      </c>
      <c r="AZ121" s="107">
        <f>SUM($D121:$AY121)</f>
        <v>0</v>
      </c>
    </row>
    <row r="122" spans="1:52">
      <c r="A122" s="131" t="s">
        <v>123</v>
      </c>
      <c r="B122" s="119">
        <v>1</v>
      </c>
      <c r="C122" s="106">
        <v>201.56240951904726</v>
      </c>
      <c r="D122" s="106">
        <v>98.644020786733478</v>
      </c>
      <c r="E122" s="106">
        <v>206.64488590396164</v>
      </c>
      <c r="F122" s="106">
        <v>201.95394490355284</v>
      </c>
      <c r="G122" s="106">
        <v>98.783803823961023</v>
      </c>
      <c r="H122" s="106">
        <v>1.5373183648786936E-2</v>
      </c>
      <c r="I122" s="106">
        <v>98.783803823961023</v>
      </c>
      <c r="J122" s="106">
        <v>201.95394490355284</v>
      </c>
      <c r="K122" s="106">
        <v>98.783803823961023</v>
      </c>
      <c r="L122" s="106">
        <v>201.95394490355284</v>
      </c>
      <c r="M122" s="106">
        <v>98.783803823961023</v>
      </c>
      <c r="N122" s="106">
        <v>305.12408598314465</v>
      </c>
      <c r="O122" s="106">
        <v>201.95394490355284</v>
      </c>
      <c r="P122" s="106">
        <v>201.95394490355284</v>
      </c>
      <c r="Q122" s="106">
        <v>201.95394490355284</v>
      </c>
      <c r="R122" s="106">
        <v>201.95394490355284</v>
      </c>
      <c r="S122" s="106">
        <v>201.95394490355284</v>
      </c>
      <c r="T122" s="106">
        <v>103.18551426324061</v>
      </c>
      <c r="U122" s="106">
        <v>201.95394490355284</v>
      </c>
      <c r="V122" s="106">
        <v>201.95394490355284</v>
      </c>
      <c r="W122" s="106">
        <v>98.783803823961023</v>
      </c>
      <c r="X122" s="106">
        <v>201.95394490355284</v>
      </c>
      <c r="Y122" s="106">
        <v>98.783803823961023</v>
      </c>
      <c r="Z122" s="106">
        <v>201.95394490355284</v>
      </c>
      <c r="AA122" s="106">
        <v>98.783803823961023</v>
      </c>
      <c r="AB122" s="106">
        <v>1.5373183648786936E-2</v>
      </c>
      <c r="AC122" s="106">
        <v>201.95394490355284</v>
      </c>
      <c r="AD122" s="106">
        <v>103.18551426324061</v>
      </c>
      <c r="AE122" s="106">
        <v>201.95394490355284</v>
      </c>
      <c r="AF122" s="106">
        <v>98.783803823961023</v>
      </c>
      <c r="AG122" s="106">
        <v>305.12408598314465</v>
      </c>
      <c r="AH122" s="106">
        <v>1.5373183648786936E-2</v>
      </c>
      <c r="AI122" s="106">
        <v>98.783803823961023</v>
      </c>
      <c r="AJ122" s="106">
        <v>222.58737872536585</v>
      </c>
      <c r="AK122" s="106">
        <v>40.101627229602613</v>
      </c>
      <c r="AL122" s="106">
        <v>47.661262158924224</v>
      </c>
      <c r="AM122" s="106">
        <v>1.5373183648786936E-2</v>
      </c>
      <c r="AN122" s="106">
        <v>98.783803823961023</v>
      </c>
      <c r="AO122" s="106">
        <v>201.95394490355284</v>
      </c>
      <c r="AP122" s="106">
        <v>98.783803823961023</v>
      </c>
      <c r="AQ122" s="106">
        <v>103.18551426324061</v>
      </c>
      <c r="AR122" s="106">
        <v>201.95394490355284</v>
      </c>
      <c r="AS122" s="106">
        <v>98.783803823961023</v>
      </c>
      <c r="AT122" s="106">
        <v>201.95394490355284</v>
      </c>
      <c r="AU122" s="106">
        <v>98.783803823961023</v>
      </c>
      <c r="AV122" s="106">
        <v>98.783803823961023</v>
      </c>
      <c r="AW122" s="106">
        <v>1.5373183648786936E-2</v>
      </c>
      <c r="AX122" s="106">
        <v>98.783803823961023</v>
      </c>
      <c r="AY122" s="106">
        <v>98.783803823961023</v>
      </c>
    </row>
    <row r="123" spans="1:52">
      <c r="A123" s="109"/>
      <c r="B123" s="119">
        <v>2</v>
      </c>
      <c r="C123" s="106">
        <v>74.611683443331202</v>
      </c>
      <c r="D123" s="106">
        <v>20.121665496939812</v>
      </c>
      <c r="E123" s="106">
        <v>0</v>
      </c>
      <c r="F123" s="106">
        <v>133.78804152409282</v>
      </c>
      <c r="G123" s="106">
        <v>96.319580441730096</v>
      </c>
      <c r="H123" s="106">
        <v>10.869036490120131</v>
      </c>
      <c r="I123" s="106">
        <v>0</v>
      </c>
      <c r="J123" s="106">
        <v>0</v>
      </c>
      <c r="K123" s="106">
        <v>24.296806411229525</v>
      </c>
      <c r="L123" s="106">
        <v>166.75837404650841</v>
      </c>
      <c r="M123" s="106">
        <v>111.00937607934456</v>
      </c>
      <c r="N123" s="106">
        <v>0</v>
      </c>
      <c r="O123" s="106">
        <v>47.411767033083862</v>
      </c>
      <c r="P123" s="106">
        <v>58.519481643423589</v>
      </c>
      <c r="Q123" s="106">
        <v>72.669641052460037</v>
      </c>
      <c r="R123" s="106">
        <v>78.778256009465423</v>
      </c>
      <c r="S123" s="106">
        <v>88.710439383204161</v>
      </c>
      <c r="T123" s="106">
        <v>31.103896263695745</v>
      </c>
      <c r="U123" s="106">
        <v>98.768430640312218</v>
      </c>
      <c r="V123" s="106">
        <v>72.578337077657025</v>
      </c>
      <c r="W123" s="106">
        <v>59.71948262561267</v>
      </c>
      <c r="X123" s="106">
        <v>13.140413929024554</v>
      </c>
      <c r="Y123" s="106">
        <v>0</v>
      </c>
      <c r="Z123" s="106">
        <v>25.393842703594629</v>
      </c>
      <c r="AA123" s="106">
        <v>14.634666210075267</v>
      </c>
      <c r="AB123" s="106">
        <v>103.17014107959182</v>
      </c>
      <c r="AC123" s="106">
        <v>0</v>
      </c>
      <c r="AD123" s="106">
        <v>29.661183561489466</v>
      </c>
      <c r="AE123" s="106">
        <v>152.04705516717024</v>
      </c>
      <c r="AF123" s="106">
        <v>68.874380127468768</v>
      </c>
      <c r="AG123" s="106">
        <v>0</v>
      </c>
      <c r="AH123" s="106">
        <v>89.411767033083862</v>
      </c>
      <c r="AI123" s="106">
        <v>222.57200554171706</v>
      </c>
      <c r="AJ123" s="106">
        <v>40.860307866178687</v>
      </c>
      <c r="AK123" s="106">
        <v>37.584205316002951</v>
      </c>
      <c r="AL123" s="106">
        <v>0</v>
      </c>
      <c r="AM123" s="106">
        <v>51.122541665036792</v>
      </c>
      <c r="AN123" s="106">
        <v>206.35017804844341</v>
      </c>
      <c r="AO123" s="106">
        <v>131.05305014332427</v>
      </c>
      <c r="AP123" s="106">
        <v>96.360305646757951</v>
      </c>
      <c r="AQ123" s="106">
        <v>103.17014107959182</v>
      </c>
      <c r="AR123" s="106">
        <v>98.768430640312218</v>
      </c>
      <c r="AS123" s="106">
        <v>31.578337077657025</v>
      </c>
      <c r="AT123" s="106">
        <v>103.17014107959182</v>
      </c>
      <c r="AU123" s="106">
        <v>40.411767033083862</v>
      </c>
      <c r="AV123" s="106">
        <v>0</v>
      </c>
      <c r="AW123" s="106">
        <v>103.17014107959182</v>
      </c>
      <c r="AX123" s="106">
        <v>103.17014107959182</v>
      </c>
      <c r="AY123" s="106">
        <v>103.17014107959182</v>
      </c>
    </row>
    <row r="124" spans="1:52">
      <c r="A124" s="109"/>
      <c r="B124" s="119">
        <v>3</v>
      </c>
      <c r="C124" s="106">
        <v>0</v>
      </c>
      <c r="D124" s="106">
        <v>0</v>
      </c>
      <c r="E124" s="106">
        <v>0</v>
      </c>
      <c r="F124" s="106">
        <v>0</v>
      </c>
      <c r="G124" s="106">
        <v>0</v>
      </c>
      <c r="H124" s="106">
        <v>0</v>
      </c>
      <c r="I124" s="106">
        <v>103.17014107959182</v>
      </c>
      <c r="J124" s="106">
        <v>0</v>
      </c>
      <c r="K124" s="106">
        <v>206.34028215918363</v>
      </c>
      <c r="L124" s="106">
        <v>15.640124459902427</v>
      </c>
      <c r="M124" s="106">
        <v>0</v>
      </c>
      <c r="N124" s="106">
        <v>0</v>
      </c>
      <c r="O124" s="106">
        <v>0</v>
      </c>
      <c r="P124" s="106">
        <v>0</v>
      </c>
      <c r="Q124" s="106">
        <v>0</v>
      </c>
      <c r="R124" s="106">
        <v>0</v>
      </c>
      <c r="S124" s="106">
        <v>0</v>
      </c>
      <c r="T124" s="106">
        <v>0</v>
      </c>
      <c r="U124" s="106">
        <v>0</v>
      </c>
      <c r="V124" s="106">
        <v>0</v>
      </c>
      <c r="W124" s="106">
        <v>0</v>
      </c>
      <c r="X124" s="106">
        <v>0</v>
      </c>
      <c r="Y124" s="106">
        <v>103.17014107959182</v>
      </c>
      <c r="Z124" s="106">
        <v>0</v>
      </c>
      <c r="AA124" s="106">
        <v>103.17014107959182</v>
      </c>
      <c r="AB124" s="106">
        <v>0</v>
      </c>
      <c r="AC124" s="106">
        <v>0</v>
      </c>
      <c r="AD124" s="106">
        <v>201.93857171990405</v>
      </c>
      <c r="AE124" s="106">
        <v>0</v>
      </c>
      <c r="AF124" s="106">
        <v>0</v>
      </c>
      <c r="AG124" s="106">
        <v>0</v>
      </c>
      <c r="AH124" s="106">
        <v>0</v>
      </c>
      <c r="AI124" s="106">
        <v>0</v>
      </c>
      <c r="AJ124" s="106">
        <v>0</v>
      </c>
      <c r="AK124" s="106">
        <v>123.80357490140484</v>
      </c>
      <c r="AL124" s="106">
        <v>0</v>
      </c>
      <c r="AM124" s="106">
        <v>123.80357490140483</v>
      </c>
      <c r="AN124" s="106">
        <v>2.4909658321523835</v>
      </c>
      <c r="AO124" s="106">
        <v>0</v>
      </c>
      <c r="AP124" s="106">
        <v>0</v>
      </c>
      <c r="AQ124" s="106">
        <v>0</v>
      </c>
      <c r="AR124" s="106">
        <v>0</v>
      </c>
      <c r="AS124" s="106">
        <v>0</v>
      </c>
      <c r="AT124" s="106">
        <v>0</v>
      </c>
      <c r="AU124" s="106">
        <v>0</v>
      </c>
      <c r="AV124" s="106">
        <v>0</v>
      </c>
      <c r="AW124" s="106">
        <v>103.17014107959182</v>
      </c>
      <c r="AX124" s="106">
        <v>0</v>
      </c>
      <c r="AY124" s="106">
        <v>98.768430640312232</v>
      </c>
    </row>
    <row r="125" spans="1:52">
      <c r="A125" s="109"/>
      <c r="B125" s="119">
        <v>4</v>
      </c>
      <c r="C125" s="106">
        <v>0</v>
      </c>
      <c r="D125" s="106">
        <v>0</v>
      </c>
      <c r="E125" s="106">
        <v>0</v>
      </c>
      <c r="F125" s="106">
        <v>0</v>
      </c>
      <c r="G125" s="106">
        <v>0</v>
      </c>
      <c r="H125" s="106">
        <v>0</v>
      </c>
      <c r="I125" s="106">
        <v>0</v>
      </c>
      <c r="J125" s="106">
        <v>0</v>
      </c>
      <c r="K125" s="106">
        <v>0</v>
      </c>
      <c r="L125" s="106">
        <v>7.1420769893177862</v>
      </c>
      <c r="M125" s="106">
        <v>0</v>
      </c>
      <c r="N125" s="106">
        <v>0</v>
      </c>
      <c r="O125" s="106">
        <v>0</v>
      </c>
      <c r="P125" s="106">
        <v>0</v>
      </c>
      <c r="Q125" s="106">
        <v>0</v>
      </c>
      <c r="R125" s="106">
        <v>0</v>
      </c>
      <c r="S125" s="106">
        <v>0</v>
      </c>
      <c r="T125" s="106">
        <v>0</v>
      </c>
      <c r="U125" s="106">
        <v>0</v>
      </c>
      <c r="V125" s="106">
        <v>0</v>
      </c>
      <c r="W125" s="106">
        <v>0</v>
      </c>
      <c r="X125" s="106">
        <v>0</v>
      </c>
      <c r="Y125" s="106">
        <v>0</v>
      </c>
      <c r="Z125" s="106">
        <v>0</v>
      </c>
      <c r="AA125" s="106">
        <v>0</v>
      </c>
      <c r="AB125" s="106">
        <v>0</v>
      </c>
      <c r="AC125" s="106">
        <v>0</v>
      </c>
      <c r="AD125" s="106">
        <v>0</v>
      </c>
      <c r="AE125" s="106">
        <v>0</v>
      </c>
      <c r="AF125" s="106">
        <v>0</v>
      </c>
      <c r="AG125" s="106">
        <v>0</v>
      </c>
      <c r="AH125" s="106">
        <v>0</v>
      </c>
      <c r="AI125" s="106">
        <v>0</v>
      </c>
      <c r="AJ125" s="106">
        <v>0</v>
      </c>
      <c r="AK125" s="106">
        <v>0</v>
      </c>
      <c r="AL125" s="106">
        <v>0</v>
      </c>
      <c r="AM125" s="106">
        <v>0</v>
      </c>
      <c r="AN125" s="106">
        <v>0</v>
      </c>
      <c r="AO125" s="106">
        <v>0</v>
      </c>
      <c r="AP125" s="106">
        <v>0</v>
      </c>
      <c r="AQ125" s="106">
        <v>0</v>
      </c>
      <c r="AR125" s="106">
        <v>0</v>
      </c>
      <c r="AS125" s="106">
        <v>0</v>
      </c>
      <c r="AT125" s="106">
        <v>0</v>
      </c>
      <c r="AU125" s="106">
        <v>0</v>
      </c>
      <c r="AV125" s="106">
        <v>0</v>
      </c>
      <c r="AW125" s="106">
        <v>0</v>
      </c>
      <c r="AX125" s="106">
        <v>0</v>
      </c>
      <c r="AY125" s="106">
        <v>0</v>
      </c>
    </row>
    <row r="126" spans="1:52">
      <c r="A126" s="109"/>
      <c r="B126" s="119">
        <v>5</v>
      </c>
      <c r="C126" s="106">
        <v>0</v>
      </c>
      <c r="D126" s="106">
        <v>0</v>
      </c>
      <c r="E126" s="106">
        <v>0</v>
      </c>
      <c r="F126" s="106">
        <v>0</v>
      </c>
      <c r="G126" s="106">
        <v>0</v>
      </c>
      <c r="H126" s="106">
        <v>0</v>
      </c>
      <c r="I126" s="106">
        <v>0</v>
      </c>
      <c r="J126" s="106">
        <v>0</v>
      </c>
      <c r="K126" s="106">
        <v>0</v>
      </c>
      <c r="L126" s="106">
        <v>0</v>
      </c>
      <c r="M126" s="106">
        <v>0</v>
      </c>
      <c r="N126" s="106">
        <v>0</v>
      </c>
      <c r="O126" s="106">
        <v>0</v>
      </c>
      <c r="P126" s="106">
        <v>0</v>
      </c>
      <c r="Q126" s="106">
        <v>0</v>
      </c>
      <c r="R126" s="106">
        <v>0</v>
      </c>
      <c r="S126" s="106">
        <v>0</v>
      </c>
      <c r="T126" s="106">
        <v>0</v>
      </c>
      <c r="U126" s="106">
        <v>0</v>
      </c>
      <c r="V126" s="106">
        <v>0</v>
      </c>
      <c r="W126" s="106">
        <v>0</v>
      </c>
      <c r="X126" s="106">
        <v>0</v>
      </c>
      <c r="Y126" s="106">
        <v>0</v>
      </c>
      <c r="Z126" s="106">
        <v>0</v>
      </c>
      <c r="AA126" s="106">
        <v>0</v>
      </c>
      <c r="AB126" s="106">
        <v>0</v>
      </c>
      <c r="AC126" s="106">
        <v>0</v>
      </c>
      <c r="AD126" s="106">
        <v>0</v>
      </c>
      <c r="AE126" s="106">
        <v>0</v>
      </c>
      <c r="AF126" s="106">
        <v>0</v>
      </c>
      <c r="AG126" s="106">
        <v>0</v>
      </c>
      <c r="AH126" s="106">
        <v>0</v>
      </c>
      <c r="AI126" s="106">
        <v>0</v>
      </c>
      <c r="AJ126" s="106">
        <v>0</v>
      </c>
      <c r="AK126" s="106">
        <v>0</v>
      </c>
      <c r="AL126" s="106">
        <v>0</v>
      </c>
      <c r="AM126" s="106">
        <v>0</v>
      </c>
      <c r="AN126" s="106">
        <v>0</v>
      </c>
      <c r="AO126" s="106">
        <v>0</v>
      </c>
      <c r="AP126" s="106">
        <v>0</v>
      </c>
      <c r="AQ126" s="106">
        <v>0</v>
      </c>
      <c r="AR126" s="106">
        <v>0</v>
      </c>
      <c r="AS126" s="106">
        <v>0</v>
      </c>
      <c r="AT126" s="106">
        <v>0</v>
      </c>
      <c r="AU126" s="106">
        <v>0</v>
      </c>
      <c r="AV126" s="106">
        <v>0</v>
      </c>
      <c r="AW126" s="106">
        <v>0</v>
      </c>
      <c r="AX126" s="106">
        <v>0</v>
      </c>
      <c r="AY126" s="106">
        <v>0</v>
      </c>
    </row>
    <row r="127" spans="1:52">
      <c r="A127" s="109"/>
      <c r="B127" s="119">
        <v>6</v>
      </c>
      <c r="C127" s="106">
        <v>0</v>
      </c>
      <c r="D127" s="106">
        <v>0</v>
      </c>
      <c r="E127" s="106">
        <v>0</v>
      </c>
      <c r="F127" s="106">
        <v>0</v>
      </c>
      <c r="G127" s="106">
        <v>0</v>
      </c>
      <c r="H127" s="106">
        <v>0</v>
      </c>
      <c r="I127" s="106">
        <v>0</v>
      </c>
      <c r="J127" s="106">
        <v>0</v>
      </c>
      <c r="K127" s="106">
        <v>0</v>
      </c>
      <c r="L127" s="106">
        <v>0</v>
      </c>
      <c r="M127" s="106">
        <v>0</v>
      </c>
      <c r="N127" s="106">
        <v>0</v>
      </c>
      <c r="O127" s="106">
        <v>0</v>
      </c>
      <c r="P127" s="106">
        <v>0</v>
      </c>
      <c r="Q127" s="106">
        <v>0</v>
      </c>
      <c r="R127" s="106">
        <v>0</v>
      </c>
      <c r="S127" s="106">
        <v>0</v>
      </c>
      <c r="T127" s="106">
        <v>0</v>
      </c>
      <c r="U127" s="106">
        <v>0</v>
      </c>
      <c r="V127" s="106">
        <v>0</v>
      </c>
      <c r="W127" s="106">
        <v>0</v>
      </c>
      <c r="X127" s="106">
        <v>0</v>
      </c>
      <c r="Y127" s="106">
        <v>0</v>
      </c>
      <c r="Z127" s="106">
        <v>0</v>
      </c>
      <c r="AA127" s="106">
        <v>0</v>
      </c>
      <c r="AB127" s="106">
        <v>0</v>
      </c>
      <c r="AC127" s="106">
        <v>0</v>
      </c>
      <c r="AD127" s="106">
        <v>0</v>
      </c>
      <c r="AE127" s="106">
        <v>0</v>
      </c>
      <c r="AF127" s="106">
        <v>0</v>
      </c>
      <c r="AG127" s="106">
        <v>0</v>
      </c>
      <c r="AH127" s="106">
        <v>0</v>
      </c>
      <c r="AI127" s="106">
        <v>0</v>
      </c>
      <c r="AJ127" s="106">
        <v>0</v>
      </c>
      <c r="AK127" s="106">
        <v>0</v>
      </c>
      <c r="AL127" s="106">
        <v>0</v>
      </c>
      <c r="AM127" s="106">
        <v>0</v>
      </c>
      <c r="AN127" s="106">
        <v>0</v>
      </c>
      <c r="AO127" s="106">
        <v>0</v>
      </c>
      <c r="AP127" s="106">
        <v>0</v>
      </c>
      <c r="AQ127" s="106">
        <v>0</v>
      </c>
      <c r="AR127" s="106">
        <v>0</v>
      </c>
      <c r="AS127" s="106">
        <v>0</v>
      </c>
      <c r="AT127" s="106">
        <v>0</v>
      </c>
      <c r="AU127" s="106">
        <v>0</v>
      </c>
      <c r="AV127" s="106">
        <v>0</v>
      </c>
      <c r="AW127" s="106">
        <v>0</v>
      </c>
      <c r="AX127" s="106">
        <v>0</v>
      </c>
      <c r="AY127" s="106">
        <v>0</v>
      </c>
    </row>
    <row r="128" spans="1:52">
      <c r="A128" s="109"/>
      <c r="B128" s="119">
        <v>7</v>
      </c>
      <c r="C128" s="106">
        <v>0</v>
      </c>
      <c r="D128" s="106">
        <v>0</v>
      </c>
      <c r="E128" s="106">
        <v>0</v>
      </c>
      <c r="F128" s="106">
        <v>0</v>
      </c>
      <c r="G128" s="106">
        <v>0</v>
      </c>
      <c r="H128" s="106">
        <v>0</v>
      </c>
      <c r="I128" s="106">
        <v>0</v>
      </c>
      <c r="J128" s="106">
        <v>0</v>
      </c>
      <c r="K128" s="106">
        <v>0</v>
      </c>
      <c r="L128" s="106">
        <v>0</v>
      </c>
      <c r="M128" s="106">
        <v>0</v>
      </c>
      <c r="N128" s="106">
        <v>0</v>
      </c>
      <c r="O128" s="106">
        <v>0</v>
      </c>
      <c r="P128" s="106">
        <v>0</v>
      </c>
      <c r="Q128" s="106">
        <v>0</v>
      </c>
      <c r="R128" s="106">
        <v>0</v>
      </c>
      <c r="S128" s="106">
        <v>0</v>
      </c>
      <c r="T128" s="106">
        <v>0</v>
      </c>
      <c r="U128" s="106">
        <v>0</v>
      </c>
      <c r="V128" s="106">
        <v>0</v>
      </c>
      <c r="W128" s="106">
        <v>0</v>
      </c>
      <c r="X128" s="106">
        <v>0</v>
      </c>
      <c r="Y128" s="106">
        <v>0</v>
      </c>
      <c r="Z128" s="106">
        <v>0</v>
      </c>
      <c r="AA128" s="106">
        <v>0</v>
      </c>
      <c r="AB128" s="106">
        <v>0</v>
      </c>
      <c r="AC128" s="106">
        <v>0</v>
      </c>
      <c r="AD128" s="106">
        <v>0</v>
      </c>
      <c r="AE128" s="106">
        <v>0</v>
      </c>
      <c r="AF128" s="106">
        <v>0</v>
      </c>
      <c r="AG128" s="106">
        <v>0</v>
      </c>
      <c r="AH128" s="106">
        <v>0</v>
      </c>
      <c r="AI128" s="106">
        <v>0</v>
      </c>
      <c r="AJ128" s="106">
        <v>0</v>
      </c>
      <c r="AK128" s="106">
        <v>0</v>
      </c>
      <c r="AL128" s="106">
        <v>0</v>
      </c>
      <c r="AM128" s="106">
        <v>0</v>
      </c>
      <c r="AN128" s="106">
        <v>0</v>
      </c>
      <c r="AO128" s="106">
        <v>0</v>
      </c>
      <c r="AP128" s="106">
        <v>0</v>
      </c>
      <c r="AQ128" s="106">
        <v>0</v>
      </c>
      <c r="AR128" s="106">
        <v>0</v>
      </c>
      <c r="AS128" s="106">
        <v>0</v>
      </c>
      <c r="AT128" s="106">
        <v>0</v>
      </c>
      <c r="AU128" s="106">
        <v>0</v>
      </c>
      <c r="AV128" s="106">
        <v>0</v>
      </c>
      <c r="AW128" s="106">
        <v>0</v>
      </c>
      <c r="AX128" s="106">
        <v>0</v>
      </c>
      <c r="AY128" s="106">
        <v>0</v>
      </c>
    </row>
    <row r="129" spans="1:51">
      <c r="A129" s="109"/>
      <c r="B129" s="119">
        <v>8</v>
      </c>
      <c r="C129" s="106">
        <v>0</v>
      </c>
      <c r="D129" s="106">
        <v>0</v>
      </c>
      <c r="E129" s="106">
        <v>0</v>
      </c>
      <c r="F129" s="106">
        <v>0</v>
      </c>
      <c r="G129" s="106">
        <v>0</v>
      </c>
      <c r="H129" s="106">
        <v>0</v>
      </c>
      <c r="I129" s="106">
        <v>0</v>
      </c>
      <c r="J129" s="106">
        <v>0</v>
      </c>
      <c r="K129" s="106">
        <v>0</v>
      </c>
      <c r="L129" s="106">
        <v>0</v>
      </c>
      <c r="M129" s="106">
        <v>0</v>
      </c>
      <c r="N129" s="106">
        <v>0</v>
      </c>
      <c r="O129" s="106">
        <v>0</v>
      </c>
      <c r="P129" s="106">
        <v>0</v>
      </c>
      <c r="Q129" s="106">
        <v>0</v>
      </c>
      <c r="R129" s="106">
        <v>0</v>
      </c>
      <c r="S129" s="106">
        <v>0</v>
      </c>
      <c r="T129" s="106">
        <v>0</v>
      </c>
      <c r="U129" s="106">
        <v>0</v>
      </c>
      <c r="V129" s="106">
        <v>0</v>
      </c>
      <c r="W129" s="106">
        <v>0</v>
      </c>
      <c r="X129" s="106">
        <v>0</v>
      </c>
      <c r="Y129" s="106">
        <v>0</v>
      </c>
      <c r="Z129" s="106">
        <v>0</v>
      </c>
      <c r="AA129" s="106">
        <v>0</v>
      </c>
      <c r="AB129" s="106">
        <v>0</v>
      </c>
      <c r="AC129" s="106">
        <v>0</v>
      </c>
      <c r="AD129" s="106">
        <v>0</v>
      </c>
      <c r="AE129" s="106">
        <v>0</v>
      </c>
      <c r="AF129" s="106">
        <v>0</v>
      </c>
      <c r="AG129" s="106">
        <v>0</v>
      </c>
      <c r="AH129" s="106">
        <v>0</v>
      </c>
      <c r="AI129" s="106">
        <v>0</v>
      </c>
      <c r="AJ129" s="106">
        <v>0</v>
      </c>
      <c r="AK129" s="106">
        <v>0</v>
      </c>
      <c r="AL129" s="106">
        <v>0</v>
      </c>
      <c r="AM129" s="106">
        <v>0</v>
      </c>
      <c r="AN129" s="106">
        <v>0</v>
      </c>
      <c r="AO129" s="106">
        <v>0</v>
      </c>
      <c r="AP129" s="106">
        <v>0</v>
      </c>
      <c r="AQ129" s="106">
        <v>0</v>
      </c>
      <c r="AR129" s="106">
        <v>0</v>
      </c>
      <c r="AS129" s="106">
        <v>0</v>
      </c>
      <c r="AT129" s="106">
        <v>0</v>
      </c>
      <c r="AU129" s="106">
        <v>0</v>
      </c>
      <c r="AV129" s="106">
        <v>0</v>
      </c>
      <c r="AW129" s="106">
        <v>0</v>
      </c>
      <c r="AX129" s="106">
        <v>0</v>
      </c>
      <c r="AY129" s="106">
        <v>0</v>
      </c>
    </row>
    <row r="130" spans="1:51">
      <c r="A130" s="109"/>
      <c r="B130" s="119">
        <v>9</v>
      </c>
      <c r="C130" s="106">
        <v>0</v>
      </c>
      <c r="D130" s="106">
        <v>0</v>
      </c>
      <c r="E130" s="106">
        <v>0</v>
      </c>
      <c r="F130" s="106">
        <v>0</v>
      </c>
      <c r="G130" s="106">
        <v>0</v>
      </c>
      <c r="H130" s="106">
        <v>0</v>
      </c>
      <c r="I130" s="106">
        <v>0</v>
      </c>
      <c r="J130" s="106">
        <v>0</v>
      </c>
      <c r="K130" s="106">
        <v>0</v>
      </c>
      <c r="L130" s="106">
        <v>0</v>
      </c>
      <c r="M130" s="106">
        <v>0</v>
      </c>
      <c r="N130" s="106">
        <v>0</v>
      </c>
      <c r="O130" s="106">
        <v>0</v>
      </c>
      <c r="P130" s="106">
        <v>0</v>
      </c>
      <c r="Q130" s="106">
        <v>0</v>
      </c>
      <c r="R130" s="106">
        <v>0</v>
      </c>
      <c r="S130" s="106">
        <v>0</v>
      </c>
      <c r="T130" s="106">
        <v>0</v>
      </c>
      <c r="U130" s="106">
        <v>0</v>
      </c>
      <c r="V130" s="106">
        <v>0</v>
      </c>
      <c r="W130" s="106">
        <v>0</v>
      </c>
      <c r="X130" s="106">
        <v>0</v>
      </c>
      <c r="Y130" s="106">
        <v>0</v>
      </c>
      <c r="Z130" s="106">
        <v>0</v>
      </c>
      <c r="AA130" s="106">
        <v>0</v>
      </c>
      <c r="AB130" s="106">
        <v>0</v>
      </c>
      <c r="AC130" s="106">
        <v>0</v>
      </c>
      <c r="AD130" s="106">
        <v>0</v>
      </c>
      <c r="AE130" s="106">
        <v>0</v>
      </c>
      <c r="AF130" s="106">
        <v>0</v>
      </c>
      <c r="AG130" s="106">
        <v>0</v>
      </c>
      <c r="AH130" s="106">
        <v>0</v>
      </c>
      <c r="AI130" s="106">
        <v>0</v>
      </c>
      <c r="AJ130" s="106">
        <v>0</v>
      </c>
      <c r="AK130" s="106">
        <v>0</v>
      </c>
      <c r="AL130" s="106">
        <v>0</v>
      </c>
      <c r="AM130" s="106">
        <v>0</v>
      </c>
      <c r="AN130" s="106">
        <v>0</v>
      </c>
      <c r="AO130" s="106">
        <v>0</v>
      </c>
      <c r="AP130" s="106">
        <v>0</v>
      </c>
      <c r="AQ130" s="106">
        <v>0</v>
      </c>
      <c r="AR130" s="106">
        <v>0</v>
      </c>
      <c r="AS130" s="106">
        <v>0</v>
      </c>
      <c r="AT130" s="106">
        <v>0</v>
      </c>
      <c r="AU130" s="106">
        <v>0</v>
      </c>
      <c r="AV130" s="106">
        <v>0</v>
      </c>
      <c r="AW130" s="106">
        <v>0</v>
      </c>
      <c r="AX130" s="106">
        <v>0</v>
      </c>
      <c r="AY130" s="106">
        <v>0</v>
      </c>
    </row>
    <row r="131" spans="1:51">
      <c r="A131" s="109"/>
      <c r="B131" s="119">
        <v>10</v>
      </c>
      <c r="C131" s="106">
        <v>0</v>
      </c>
      <c r="D131" s="106">
        <v>0</v>
      </c>
      <c r="E131" s="106">
        <v>0</v>
      </c>
      <c r="F131" s="106">
        <v>0</v>
      </c>
      <c r="G131" s="106">
        <v>0</v>
      </c>
      <c r="H131" s="106">
        <v>0</v>
      </c>
      <c r="I131" s="106">
        <v>0</v>
      </c>
      <c r="J131" s="106">
        <v>0</v>
      </c>
      <c r="K131" s="106">
        <v>0</v>
      </c>
      <c r="L131" s="106">
        <v>0</v>
      </c>
      <c r="M131" s="106">
        <v>0</v>
      </c>
      <c r="N131" s="106">
        <v>0</v>
      </c>
      <c r="O131" s="106">
        <v>0</v>
      </c>
      <c r="P131" s="106">
        <v>0</v>
      </c>
      <c r="Q131" s="106">
        <v>0</v>
      </c>
      <c r="R131" s="106">
        <v>0</v>
      </c>
      <c r="S131" s="106">
        <v>0</v>
      </c>
      <c r="T131" s="106">
        <v>0</v>
      </c>
      <c r="U131" s="106">
        <v>0</v>
      </c>
      <c r="V131" s="106">
        <v>0</v>
      </c>
      <c r="W131" s="106">
        <v>0</v>
      </c>
      <c r="X131" s="106">
        <v>0</v>
      </c>
      <c r="Y131" s="106">
        <v>0</v>
      </c>
      <c r="Z131" s="106">
        <v>0</v>
      </c>
      <c r="AA131" s="106">
        <v>0</v>
      </c>
      <c r="AB131" s="106">
        <v>0</v>
      </c>
      <c r="AC131" s="106">
        <v>0</v>
      </c>
      <c r="AD131" s="106">
        <v>0</v>
      </c>
      <c r="AE131" s="106">
        <v>0</v>
      </c>
      <c r="AF131" s="106">
        <v>0</v>
      </c>
      <c r="AG131" s="106">
        <v>0</v>
      </c>
      <c r="AH131" s="106">
        <v>0</v>
      </c>
      <c r="AI131" s="106">
        <v>0</v>
      </c>
      <c r="AJ131" s="106">
        <v>0</v>
      </c>
      <c r="AK131" s="106">
        <v>0</v>
      </c>
      <c r="AL131" s="106">
        <v>0</v>
      </c>
      <c r="AM131" s="106">
        <v>0</v>
      </c>
      <c r="AN131" s="106">
        <v>0</v>
      </c>
      <c r="AO131" s="106">
        <v>0</v>
      </c>
      <c r="AP131" s="106">
        <v>0</v>
      </c>
      <c r="AQ131" s="106">
        <v>0</v>
      </c>
      <c r="AR131" s="106">
        <v>0</v>
      </c>
      <c r="AS131" s="106">
        <v>0</v>
      </c>
      <c r="AT131" s="106">
        <v>0</v>
      </c>
      <c r="AU131" s="106">
        <v>0</v>
      </c>
      <c r="AV131" s="106">
        <v>0</v>
      </c>
      <c r="AW131" s="106">
        <v>0</v>
      </c>
      <c r="AX131" s="106">
        <v>0</v>
      </c>
      <c r="AY131" s="106">
        <v>0</v>
      </c>
    </row>
    <row r="132" spans="1:51">
      <c r="A132" s="109"/>
      <c r="B132" s="119">
        <v>11</v>
      </c>
      <c r="C132" s="106">
        <v>0</v>
      </c>
      <c r="D132" s="106">
        <v>0</v>
      </c>
      <c r="E132" s="106">
        <v>0</v>
      </c>
      <c r="F132" s="106">
        <v>0</v>
      </c>
      <c r="G132" s="106">
        <v>0</v>
      </c>
      <c r="H132" s="106">
        <v>0</v>
      </c>
      <c r="I132" s="106">
        <v>0</v>
      </c>
      <c r="J132" s="106">
        <v>0</v>
      </c>
      <c r="K132" s="106">
        <v>0</v>
      </c>
      <c r="L132" s="106">
        <v>0</v>
      </c>
      <c r="M132" s="106">
        <v>0</v>
      </c>
      <c r="N132" s="106">
        <v>0</v>
      </c>
      <c r="O132" s="106">
        <v>0</v>
      </c>
      <c r="P132" s="106">
        <v>0</v>
      </c>
      <c r="Q132" s="106">
        <v>0</v>
      </c>
      <c r="R132" s="106">
        <v>0</v>
      </c>
      <c r="S132" s="106">
        <v>0</v>
      </c>
      <c r="T132" s="106">
        <v>0</v>
      </c>
      <c r="U132" s="106">
        <v>0</v>
      </c>
      <c r="V132" s="106">
        <v>0</v>
      </c>
      <c r="W132" s="106">
        <v>0</v>
      </c>
      <c r="X132" s="106">
        <v>0</v>
      </c>
      <c r="Y132" s="106">
        <v>0</v>
      </c>
      <c r="Z132" s="106">
        <v>0</v>
      </c>
      <c r="AA132" s="106">
        <v>0</v>
      </c>
      <c r="AB132" s="106">
        <v>0</v>
      </c>
      <c r="AC132" s="106">
        <v>0</v>
      </c>
      <c r="AD132" s="106">
        <v>0</v>
      </c>
      <c r="AE132" s="106">
        <v>0</v>
      </c>
      <c r="AF132" s="106">
        <v>0</v>
      </c>
      <c r="AG132" s="106">
        <v>0</v>
      </c>
      <c r="AH132" s="106">
        <v>0</v>
      </c>
      <c r="AI132" s="106">
        <v>0</v>
      </c>
      <c r="AJ132" s="106">
        <v>0</v>
      </c>
      <c r="AK132" s="106">
        <v>0</v>
      </c>
      <c r="AL132" s="106">
        <v>0</v>
      </c>
      <c r="AM132" s="106">
        <v>0</v>
      </c>
      <c r="AN132" s="106">
        <v>0</v>
      </c>
      <c r="AO132" s="106">
        <v>0</v>
      </c>
      <c r="AP132" s="106">
        <v>0</v>
      </c>
      <c r="AQ132" s="106">
        <v>0</v>
      </c>
      <c r="AR132" s="106">
        <v>0</v>
      </c>
      <c r="AS132" s="106">
        <v>0</v>
      </c>
      <c r="AT132" s="106">
        <v>0</v>
      </c>
      <c r="AU132" s="106">
        <v>0</v>
      </c>
      <c r="AV132" s="106">
        <v>0</v>
      </c>
      <c r="AW132" s="106">
        <v>0</v>
      </c>
      <c r="AX132" s="106">
        <v>0</v>
      </c>
      <c r="AY132" s="106">
        <v>0</v>
      </c>
    </row>
    <row r="133" spans="1:51">
      <c r="A133" s="109"/>
      <c r="B133" s="119">
        <v>12</v>
      </c>
      <c r="C133" s="106">
        <v>0</v>
      </c>
      <c r="D133" s="106">
        <v>0</v>
      </c>
      <c r="E133" s="106">
        <v>0</v>
      </c>
      <c r="F133" s="106">
        <v>0</v>
      </c>
      <c r="G133" s="106">
        <v>0</v>
      </c>
      <c r="H133" s="106">
        <v>0</v>
      </c>
      <c r="I133" s="106">
        <v>0</v>
      </c>
      <c r="J133" s="106">
        <v>0</v>
      </c>
      <c r="K133" s="106">
        <v>0</v>
      </c>
      <c r="L133" s="106">
        <v>0</v>
      </c>
      <c r="M133" s="106">
        <v>0</v>
      </c>
      <c r="N133" s="106">
        <v>0</v>
      </c>
      <c r="O133" s="106">
        <v>0</v>
      </c>
      <c r="P133" s="106">
        <v>0</v>
      </c>
      <c r="Q133" s="106">
        <v>0</v>
      </c>
      <c r="R133" s="106">
        <v>0</v>
      </c>
      <c r="S133" s="106">
        <v>0</v>
      </c>
      <c r="T133" s="106">
        <v>0</v>
      </c>
      <c r="U133" s="106">
        <v>0</v>
      </c>
      <c r="V133" s="106">
        <v>0</v>
      </c>
      <c r="W133" s="106">
        <v>0</v>
      </c>
      <c r="X133" s="106">
        <v>0</v>
      </c>
      <c r="Y133" s="106">
        <v>0</v>
      </c>
      <c r="Z133" s="106">
        <v>0</v>
      </c>
      <c r="AA133" s="106">
        <v>0</v>
      </c>
      <c r="AB133" s="106">
        <v>0</v>
      </c>
      <c r="AC133" s="106">
        <v>0</v>
      </c>
      <c r="AD133" s="106">
        <v>0</v>
      </c>
      <c r="AE133" s="106">
        <v>0</v>
      </c>
      <c r="AF133" s="106">
        <v>0</v>
      </c>
      <c r="AG133" s="106">
        <v>0</v>
      </c>
      <c r="AH133" s="106">
        <v>0</v>
      </c>
      <c r="AI133" s="106">
        <v>0</v>
      </c>
      <c r="AJ133" s="106">
        <v>0</v>
      </c>
      <c r="AK133" s="106">
        <v>0</v>
      </c>
      <c r="AL133" s="106">
        <v>0</v>
      </c>
      <c r="AM133" s="106">
        <v>0</v>
      </c>
      <c r="AN133" s="106">
        <v>0</v>
      </c>
      <c r="AO133" s="106">
        <v>0</v>
      </c>
      <c r="AP133" s="106">
        <v>0</v>
      </c>
      <c r="AQ133" s="106">
        <v>0</v>
      </c>
      <c r="AR133" s="106">
        <v>0</v>
      </c>
      <c r="AS133" s="106">
        <v>0</v>
      </c>
      <c r="AT133" s="106">
        <v>0</v>
      </c>
      <c r="AU133" s="106">
        <v>0</v>
      </c>
      <c r="AV133" s="106">
        <v>0</v>
      </c>
      <c r="AW133" s="106">
        <v>0</v>
      </c>
      <c r="AX133" s="106">
        <v>0</v>
      </c>
      <c r="AY133" s="106">
        <v>0</v>
      </c>
    </row>
    <row r="134" spans="1:51">
      <c r="A134" s="109"/>
      <c r="B134" s="120">
        <v>13</v>
      </c>
      <c r="C134" s="106">
        <v>0</v>
      </c>
      <c r="D134" s="106">
        <v>0</v>
      </c>
      <c r="E134" s="106">
        <v>0</v>
      </c>
      <c r="F134" s="106">
        <v>0</v>
      </c>
      <c r="G134" s="106">
        <v>0</v>
      </c>
      <c r="H134" s="106">
        <v>0</v>
      </c>
      <c r="I134" s="106">
        <v>0</v>
      </c>
      <c r="J134" s="106">
        <v>0</v>
      </c>
      <c r="K134" s="106">
        <v>0</v>
      </c>
      <c r="L134" s="106">
        <v>0</v>
      </c>
      <c r="M134" s="106">
        <v>0</v>
      </c>
      <c r="N134" s="106">
        <v>0</v>
      </c>
      <c r="O134" s="106">
        <v>0</v>
      </c>
      <c r="P134" s="106">
        <v>0</v>
      </c>
      <c r="Q134" s="106">
        <v>0</v>
      </c>
      <c r="R134" s="106">
        <v>0</v>
      </c>
      <c r="S134" s="106">
        <v>0</v>
      </c>
      <c r="T134" s="106">
        <v>0</v>
      </c>
      <c r="U134" s="106">
        <v>0</v>
      </c>
      <c r="V134" s="106">
        <v>0</v>
      </c>
      <c r="W134" s="106">
        <v>0</v>
      </c>
      <c r="X134" s="106">
        <v>0</v>
      </c>
      <c r="Y134" s="106">
        <v>0</v>
      </c>
      <c r="Z134" s="106">
        <v>0</v>
      </c>
      <c r="AA134" s="106">
        <v>0</v>
      </c>
      <c r="AB134" s="106">
        <v>0</v>
      </c>
      <c r="AC134" s="106">
        <v>0</v>
      </c>
      <c r="AD134" s="106">
        <v>0</v>
      </c>
      <c r="AE134" s="106">
        <v>0</v>
      </c>
      <c r="AF134" s="106">
        <v>0</v>
      </c>
      <c r="AG134" s="106">
        <v>0</v>
      </c>
      <c r="AH134" s="106">
        <v>0</v>
      </c>
      <c r="AI134" s="106">
        <v>0</v>
      </c>
      <c r="AJ134" s="106">
        <v>0</v>
      </c>
      <c r="AK134" s="106">
        <v>0</v>
      </c>
      <c r="AL134" s="106">
        <v>0</v>
      </c>
      <c r="AM134" s="106">
        <v>0</v>
      </c>
      <c r="AN134" s="106">
        <v>0</v>
      </c>
      <c r="AO134" s="106">
        <v>0</v>
      </c>
      <c r="AP134" s="106">
        <v>0</v>
      </c>
      <c r="AQ134" s="106">
        <v>0</v>
      </c>
      <c r="AR134" s="106">
        <v>0</v>
      </c>
      <c r="AS134" s="106">
        <v>0</v>
      </c>
      <c r="AT134" s="106">
        <v>0</v>
      </c>
      <c r="AU134" s="106">
        <v>0</v>
      </c>
      <c r="AV134" s="106">
        <v>0</v>
      </c>
      <c r="AW134" s="106">
        <v>0</v>
      </c>
      <c r="AX134" s="106">
        <v>0</v>
      </c>
      <c r="AY134" s="106">
        <v>0</v>
      </c>
    </row>
    <row r="135" spans="1:51">
      <c r="A135" s="109"/>
      <c r="B135" s="120">
        <v>14</v>
      </c>
      <c r="C135" s="106">
        <v>0</v>
      </c>
      <c r="D135" s="106">
        <v>0</v>
      </c>
      <c r="E135" s="106">
        <v>0</v>
      </c>
      <c r="F135" s="106">
        <v>0</v>
      </c>
      <c r="G135" s="106">
        <v>0</v>
      </c>
      <c r="H135" s="106">
        <v>0</v>
      </c>
      <c r="I135" s="106">
        <v>0</v>
      </c>
      <c r="J135" s="106">
        <v>0</v>
      </c>
      <c r="K135" s="106">
        <v>0</v>
      </c>
      <c r="L135" s="106">
        <v>0</v>
      </c>
      <c r="M135" s="106">
        <v>0</v>
      </c>
      <c r="N135" s="106">
        <v>0</v>
      </c>
      <c r="O135" s="106">
        <v>0</v>
      </c>
      <c r="P135" s="106">
        <v>0</v>
      </c>
      <c r="Q135" s="106">
        <v>0</v>
      </c>
      <c r="R135" s="106">
        <v>0</v>
      </c>
      <c r="S135" s="106">
        <v>0</v>
      </c>
      <c r="T135" s="106">
        <v>0</v>
      </c>
      <c r="U135" s="106">
        <v>0</v>
      </c>
      <c r="V135" s="106">
        <v>0</v>
      </c>
      <c r="W135" s="106">
        <v>0</v>
      </c>
      <c r="X135" s="106">
        <v>0</v>
      </c>
      <c r="Y135" s="106">
        <v>0</v>
      </c>
      <c r="Z135" s="106">
        <v>0</v>
      </c>
      <c r="AA135" s="106">
        <v>0</v>
      </c>
      <c r="AB135" s="106">
        <v>0</v>
      </c>
      <c r="AC135" s="106">
        <v>0</v>
      </c>
      <c r="AD135" s="106">
        <v>0</v>
      </c>
      <c r="AE135" s="106">
        <v>0</v>
      </c>
      <c r="AF135" s="106">
        <v>0</v>
      </c>
      <c r="AG135" s="106">
        <v>0</v>
      </c>
      <c r="AH135" s="106">
        <v>0</v>
      </c>
      <c r="AI135" s="106">
        <v>0</v>
      </c>
      <c r="AJ135" s="106">
        <v>0</v>
      </c>
      <c r="AK135" s="106">
        <v>0</v>
      </c>
      <c r="AL135" s="106">
        <v>0</v>
      </c>
      <c r="AM135" s="106">
        <v>0</v>
      </c>
      <c r="AN135" s="106">
        <v>0</v>
      </c>
      <c r="AO135" s="106">
        <v>0</v>
      </c>
      <c r="AP135" s="106">
        <v>0</v>
      </c>
      <c r="AQ135" s="106">
        <v>0</v>
      </c>
      <c r="AR135" s="106">
        <v>0</v>
      </c>
      <c r="AS135" s="106">
        <v>0</v>
      </c>
      <c r="AT135" s="106">
        <v>0</v>
      </c>
      <c r="AU135" s="106">
        <v>0</v>
      </c>
      <c r="AV135" s="106">
        <v>0</v>
      </c>
      <c r="AW135" s="106">
        <v>0</v>
      </c>
      <c r="AX135" s="106">
        <v>0</v>
      </c>
      <c r="AY135" s="106">
        <v>0</v>
      </c>
    </row>
    <row r="136" spans="1:51">
      <c r="A136" s="109"/>
      <c r="B136" s="120">
        <v>15</v>
      </c>
      <c r="C136" s="106">
        <v>0</v>
      </c>
      <c r="D136" s="106">
        <v>0</v>
      </c>
      <c r="E136" s="106">
        <v>0</v>
      </c>
      <c r="F136" s="106">
        <v>0</v>
      </c>
      <c r="G136" s="106">
        <v>0</v>
      </c>
      <c r="H136" s="106">
        <v>0</v>
      </c>
      <c r="I136" s="106">
        <v>0</v>
      </c>
      <c r="J136" s="106">
        <v>0</v>
      </c>
      <c r="K136" s="106">
        <v>0</v>
      </c>
      <c r="L136" s="106">
        <v>0</v>
      </c>
      <c r="M136" s="106">
        <v>0</v>
      </c>
      <c r="N136" s="106">
        <v>0</v>
      </c>
      <c r="O136" s="106">
        <v>0</v>
      </c>
      <c r="P136" s="106">
        <v>0</v>
      </c>
      <c r="Q136" s="106">
        <v>0</v>
      </c>
      <c r="R136" s="106">
        <v>0</v>
      </c>
      <c r="S136" s="106">
        <v>0</v>
      </c>
      <c r="T136" s="106">
        <v>0</v>
      </c>
      <c r="U136" s="106">
        <v>0</v>
      </c>
      <c r="V136" s="106">
        <v>0</v>
      </c>
      <c r="W136" s="106">
        <v>0</v>
      </c>
      <c r="X136" s="106">
        <v>0</v>
      </c>
      <c r="Y136" s="106">
        <v>0</v>
      </c>
      <c r="Z136" s="106">
        <v>0</v>
      </c>
      <c r="AA136" s="106">
        <v>0</v>
      </c>
      <c r="AB136" s="106">
        <v>0</v>
      </c>
      <c r="AC136" s="106">
        <v>0</v>
      </c>
      <c r="AD136" s="106">
        <v>0</v>
      </c>
      <c r="AE136" s="106">
        <v>0</v>
      </c>
      <c r="AF136" s="106">
        <v>0</v>
      </c>
      <c r="AG136" s="106">
        <v>0</v>
      </c>
      <c r="AH136" s="106">
        <v>0</v>
      </c>
      <c r="AI136" s="106">
        <v>0</v>
      </c>
      <c r="AJ136" s="106">
        <v>0</v>
      </c>
      <c r="AK136" s="106">
        <v>0</v>
      </c>
      <c r="AL136" s="106">
        <v>0</v>
      </c>
      <c r="AM136" s="106">
        <v>0</v>
      </c>
      <c r="AN136" s="106">
        <v>0</v>
      </c>
      <c r="AO136" s="106">
        <v>0</v>
      </c>
      <c r="AP136" s="106">
        <v>0</v>
      </c>
      <c r="AQ136" s="106">
        <v>0</v>
      </c>
      <c r="AR136" s="106">
        <v>0</v>
      </c>
      <c r="AS136" s="106">
        <v>0</v>
      </c>
      <c r="AT136" s="106">
        <v>0</v>
      </c>
      <c r="AU136" s="106">
        <v>0</v>
      </c>
      <c r="AV136" s="106">
        <v>0</v>
      </c>
      <c r="AW136" s="106">
        <v>0</v>
      </c>
      <c r="AX136" s="106">
        <v>0</v>
      </c>
      <c r="AY136" s="106">
        <v>0</v>
      </c>
    </row>
    <row r="137" spans="1:51">
      <c r="A137" s="109"/>
      <c r="B137" s="120">
        <v>16</v>
      </c>
      <c r="C137" s="106">
        <v>0</v>
      </c>
      <c r="D137" s="106">
        <v>0</v>
      </c>
      <c r="E137" s="106">
        <v>0</v>
      </c>
      <c r="F137" s="106">
        <v>0</v>
      </c>
      <c r="G137" s="106">
        <v>0</v>
      </c>
      <c r="H137" s="106">
        <v>0</v>
      </c>
      <c r="I137" s="106">
        <v>0</v>
      </c>
      <c r="J137" s="106">
        <v>0</v>
      </c>
      <c r="K137" s="106">
        <v>0</v>
      </c>
      <c r="L137" s="106">
        <v>0</v>
      </c>
      <c r="M137" s="106">
        <v>0</v>
      </c>
      <c r="N137" s="106">
        <v>0</v>
      </c>
      <c r="O137" s="106">
        <v>0</v>
      </c>
      <c r="P137" s="106">
        <v>0</v>
      </c>
      <c r="Q137" s="106">
        <v>0</v>
      </c>
      <c r="R137" s="106">
        <v>0</v>
      </c>
      <c r="S137" s="106">
        <v>0</v>
      </c>
      <c r="T137" s="106">
        <v>0</v>
      </c>
      <c r="U137" s="106">
        <v>0</v>
      </c>
      <c r="V137" s="106">
        <v>0</v>
      </c>
      <c r="W137" s="106">
        <v>0</v>
      </c>
      <c r="X137" s="106">
        <v>0</v>
      </c>
      <c r="Y137" s="106">
        <v>0</v>
      </c>
      <c r="Z137" s="106">
        <v>0</v>
      </c>
      <c r="AA137" s="106">
        <v>0</v>
      </c>
      <c r="AB137" s="106">
        <v>0</v>
      </c>
      <c r="AC137" s="106">
        <v>0</v>
      </c>
      <c r="AD137" s="106">
        <v>0</v>
      </c>
      <c r="AE137" s="106">
        <v>0</v>
      </c>
      <c r="AF137" s="106">
        <v>0</v>
      </c>
      <c r="AG137" s="106">
        <v>0</v>
      </c>
      <c r="AH137" s="106">
        <v>0</v>
      </c>
      <c r="AI137" s="106">
        <v>0</v>
      </c>
      <c r="AJ137" s="106">
        <v>0</v>
      </c>
      <c r="AK137" s="106">
        <v>0</v>
      </c>
      <c r="AL137" s="106">
        <v>0</v>
      </c>
      <c r="AM137" s="106">
        <v>0</v>
      </c>
      <c r="AN137" s="106">
        <v>0</v>
      </c>
      <c r="AO137" s="106">
        <v>0</v>
      </c>
      <c r="AP137" s="106">
        <v>0</v>
      </c>
      <c r="AQ137" s="106">
        <v>0</v>
      </c>
      <c r="AR137" s="106">
        <v>0</v>
      </c>
      <c r="AS137" s="106">
        <v>0</v>
      </c>
      <c r="AT137" s="106">
        <v>0</v>
      </c>
      <c r="AU137" s="106">
        <v>0</v>
      </c>
      <c r="AV137" s="106">
        <v>0</v>
      </c>
      <c r="AW137" s="106">
        <v>0</v>
      </c>
      <c r="AX137" s="106">
        <v>0</v>
      </c>
      <c r="AY137" s="106">
        <v>0</v>
      </c>
    </row>
    <row r="138" spans="1:51">
      <c r="A138" s="109"/>
      <c r="B138" s="120">
        <v>17</v>
      </c>
      <c r="C138" s="106">
        <v>0</v>
      </c>
      <c r="D138" s="106">
        <v>0</v>
      </c>
      <c r="E138" s="106">
        <v>0</v>
      </c>
      <c r="F138" s="106">
        <v>0</v>
      </c>
      <c r="G138" s="106">
        <v>0</v>
      </c>
      <c r="H138" s="106">
        <v>0</v>
      </c>
      <c r="I138" s="106">
        <v>0</v>
      </c>
      <c r="J138" s="106">
        <v>0</v>
      </c>
      <c r="K138" s="106">
        <v>0</v>
      </c>
      <c r="L138" s="106">
        <v>0</v>
      </c>
      <c r="M138" s="106">
        <v>0</v>
      </c>
      <c r="N138" s="106">
        <v>0</v>
      </c>
      <c r="O138" s="106">
        <v>0</v>
      </c>
      <c r="P138" s="106">
        <v>0</v>
      </c>
      <c r="Q138" s="106">
        <v>0</v>
      </c>
      <c r="R138" s="106">
        <v>0</v>
      </c>
      <c r="S138" s="106">
        <v>0</v>
      </c>
      <c r="T138" s="106">
        <v>0</v>
      </c>
      <c r="U138" s="106">
        <v>0</v>
      </c>
      <c r="V138" s="106">
        <v>0</v>
      </c>
      <c r="W138" s="106">
        <v>0</v>
      </c>
      <c r="X138" s="106">
        <v>0</v>
      </c>
      <c r="Y138" s="106">
        <v>0</v>
      </c>
      <c r="Z138" s="106">
        <v>0</v>
      </c>
      <c r="AA138" s="106">
        <v>0</v>
      </c>
      <c r="AB138" s="106">
        <v>0</v>
      </c>
      <c r="AC138" s="106">
        <v>0</v>
      </c>
      <c r="AD138" s="106">
        <v>0</v>
      </c>
      <c r="AE138" s="106">
        <v>0</v>
      </c>
      <c r="AF138" s="106">
        <v>0</v>
      </c>
      <c r="AG138" s="106">
        <v>0</v>
      </c>
      <c r="AH138" s="106">
        <v>0</v>
      </c>
      <c r="AI138" s="106">
        <v>0</v>
      </c>
      <c r="AJ138" s="106">
        <v>0</v>
      </c>
      <c r="AK138" s="106">
        <v>0</v>
      </c>
      <c r="AL138" s="106">
        <v>0</v>
      </c>
      <c r="AM138" s="106">
        <v>0</v>
      </c>
      <c r="AN138" s="106">
        <v>0</v>
      </c>
      <c r="AO138" s="106">
        <v>0</v>
      </c>
      <c r="AP138" s="106">
        <v>0</v>
      </c>
      <c r="AQ138" s="106">
        <v>0</v>
      </c>
      <c r="AR138" s="106">
        <v>0</v>
      </c>
      <c r="AS138" s="106">
        <v>0</v>
      </c>
      <c r="AT138" s="106">
        <v>0</v>
      </c>
      <c r="AU138" s="106">
        <v>0</v>
      </c>
      <c r="AV138" s="106">
        <v>0</v>
      </c>
      <c r="AW138" s="106">
        <v>0</v>
      </c>
      <c r="AX138" s="106">
        <v>0</v>
      </c>
      <c r="AY138" s="106">
        <v>0</v>
      </c>
    </row>
    <row r="139" spans="1:51">
      <c r="A139" s="109"/>
      <c r="B139" s="120">
        <v>18</v>
      </c>
      <c r="C139" s="106">
        <v>0</v>
      </c>
      <c r="D139" s="106">
        <v>0</v>
      </c>
      <c r="E139" s="106">
        <v>0</v>
      </c>
      <c r="F139" s="106">
        <v>0</v>
      </c>
      <c r="G139" s="106">
        <v>0</v>
      </c>
      <c r="H139" s="106">
        <v>0</v>
      </c>
      <c r="I139" s="106">
        <v>0</v>
      </c>
      <c r="J139" s="106">
        <v>0</v>
      </c>
      <c r="K139" s="106">
        <v>0</v>
      </c>
      <c r="L139" s="106">
        <v>0</v>
      </c>
      <c r="M139" s="106">
        <v>0</v>
      </c>
      <c r="N139" s="106">
        <v>0</v>
      </c>
      <c r="O139" s="106">
        <v>0</v>
      </c>
      <c r="P139" s="106">
        <v>0</v>
      </c>
      <c r="Q139" s="106">
        <v>0</v>
      </c>
      <c r="R139" s="106">
        <v>0</v>
      </c>
      <c r="S139" s="106">
        <v>0</v>
      </c>
      <c r="T139" s="106">
        <v>0</v>
      </c>
      <c r="U139" s="106">
        <v>0</v>
      </c>
      <c r="V139" s="106">
        <v>0</v>
      </c>
      <c r="W139" s="106">
        <v>0</v>
      </c>
      <c r="X139" s="106">
        <v>0</v>
      </c>
      <c r="Y139" s="106">
        <v>0</v>
      </c>
      <c r="Z139" s="106">
        <v>0</v>
      </c>
      <c r="AA139" s="106">
        <v>0</v>
      </c>
      <c r="AB139" s="106">
        <v>0</v>
      </c>
      <c r="AC139" s="106">
        <v>0</v>
      </c>
      <c r="AD139" s="106">
        <v>0</v>
      </c>
      <c r="AE139" s="106">
        <v>0</v>
      </c>
      <c r="AF139" s="106">
        <v>0</v>
      </c>
      <c r="AG139" s="106">
        <v>0</v>
      </c>
      <c r="AH139" s="106">
        <v>0</v>
      </c>
      <c r="AI139" s="106">
        <v>0</v>
      </c>
      <c r="AJ139" s="106">
        <v>0</v>
      </c>
      <c r="AK139" s="106">
        <v>0</v>
      </c>
      <c r="AL139" s="106">
        <v>0</v>
      </c>
      <c r="AM139" s="106">
        <v>0</v>
      </c>
      <c r="AN139" s="106">
        <v>0</v>
      </c>
      <c r="AO139" s="106">
        <v>0</v>
      </c>
      <c r="AP139" s="106">
        <v>0</v>
      </c>
      <c r="AQ139" s="106">
        <v>0</v>
      </c>
      <c r="AR139" s="106">
        <v>0</v>
      </c>
      <c r="AS139" s="106">
        <v>0</v>
      </c>
      <c r="AT139" s="106">
        <v>0</v>
      </c>
      <c r="AU139" s="106">
        <v>0</v>
      </c>
      <c r="AV139" s="106">
        <v>0</v>
      </c>
      <c r="AW139" s="106">
        <v>0</v>
      </c>
      <c r="AX139" s="106">
        <v>0</v>
      </c>
      <c r="AY139" s="106">
        <v>0</v>
      </c>
    </row>
    <row r="140" spans="1:51">
      <c r="A140" s="109"/>
      <c r="B140" s="120">
        <v>19</v>
      </c>
      <c r="C140" s="106">
        <v>0</v>
      </c>
      <c r="D140" s="106">
        <v>0</v>
      </c>
      <c r="E140" s="106">
        <v>0</v>
      </c>
      <c r="F140" s="106">
        <v>0</v>
      </c>
      <c r="G140" s="106">
        <v>0</v>
      </c>
      <c r="H140" s="106">
        <v>0</v>
      </c>
      <c r="I140" s="106">
        <v>0</v>
      </c>
      <c r="J140" s="106">
        <v>0</v>
      </c>
      <c r="K140" s="106">
        <v>0</v>
      </c>
      <c r="L140" s="106">
        <v>0</v>
      </c>
      <c r="M140" s="106">
        <v>0</v>
      </c>
      <c r="N140" s="106">
        <v>0</v>
      </c>
      <c r="O140" s="106">
        <v>0</v>
      </c>
      <c r="P140" s="106">
        <v>0</v>
      </c>
      <c r="Q140" s="106">
        <v>0</v>
      </c>
      <c r="R140" s="106">
        <v>0</v>
      </c>
      <c r="S140" s="106">
        <v>0</v>
      </c>
      <c r="T140" s="106">
        <v>0</v>
      </c>
      <c r="U140" s="106">
        <v>0</v>
      </c>
      <c r="V140" s="106">
        <v>0</v>
      </c>
      <c r="W140" s="106">
        <v>0</v>
      </c>
      <c r="X140" s="106">
        <v>0</v>
      </c>
      <c r="Y140" s="106">
        <v>0</v>
      </c>
      <c r="Z140" s="106">
        <v>0</v>
      </c>
      <c r="AA140" s="106">
        <v>0</v>
      </c>
      <c r="AB140" s="106">
        <v>0</v>
      </c>
      <c r="AC140" s="106">
        <v>0</v>
      </c>
      <c r="AD140" s="106">
        <v>0</v>
      </c>
      <c r="AE140" s="106">
        <v>0</v>
      </c>
      <c r="AF140" s="106">
        <v>0</v>
      </c>
      <c r="AG140" s="106">
        <v>0</v>
      </c>
      <c r="AH140" s="106">
        <v>0</v>
      </c>
      <c r="AI140" s="106">
        <v>0</v>
      </c>
      <c r="AJ140" s="106">
        <v>0</v>
      </c>
      <c r="AK140" s="106">
        <v>0</v>
      </c>
      <c r="AL140" s="106">
        <v>0</v>
      </c>
      <c r="AM140" s="106">
        <v>0</v>
      </c>
      <c r="AN140" s="106">
        <v>0</v>
      </c>
      <c r="AO140" s="106">
        <v>0</v>
      </c>
      <c r="AP140" s="106">
        <v>0</v>
      </c>
      <c r="AQ140" s="106">
        <v>0</v>
      </c>
      <c r="AR140" s="106">
        <v>0</v>
      </c>
      <c r="AS140" s="106">
        <v>0</v>
      </c>
      <c r="AT140" s="106">
        <v>0</v>
      </c>
      <c r="AU140" s="106">
        <v>0</v>
      </c>
      <c r="AV140" s="106">
        <v>0</v>
      </c>
      <c r="AW140" s="106">
        <v>0</v>
      </c>
      <c r="AX140" s="106">
        <v>0</v>
      </c>
      <c r="AY140" s="106">
        <v>0</v>
      </c>
    </row>
    <row r="141" spans="1:51">
      <c r="A141" s="109"/>
      <c r="B141" s="120">
        <v>20</v>
      </c>
      <c r="C141" s="106">
        <v>0</v>
      </c>
      <c r="D141" s="106">
        <v>0</v>
      </c>
      <c r="E141" s="106">
        <v>0</v>
      </c>
      <c r="F141" s="106">
        <v>0</v>
      </c>
      <c r="G141" s="106">
        <v>0</v>
      </c>
      <c r="H141" s="106">
        <v>0</v>
      </c>
      <c r="I141" s="106">
        <v>0</v>
      </c>
      <c r="J141" s="106">
        <v>0</v>
      </c>
      <c r="K141" s="106">
        <v>0</v>
      </c>
      <c r="L141" s="106">
        <v>0</v>
      </c>
      <c r="M141" s="106">
        <v>0</v>
      </c>
      <c r="N141" s="106">
        <v>0</v>
      </c>
      <c r="O141" s="106">
        <v>0</v>
      </c>
      <c r="P141" s="106">
        <v>0</v>
      </c>
      <c r="Q141" s="106">
        <v>0</v>
      </c>
      <c r="R141" s="106">
        <v>0</v>
      </c>
      <c r="S141" s="106">
        <v>0</v>
      </c>
      <c r="T141" s="106">
        <v>0</v>
      </c>
      <c r="U141" s="106">
        <v>0</v>
      </c>
      <c r="V141" s="106">
        <v>0</v>
      </c>
      <c r="W141" s="106">
        <v>0</v>
      </c>
      <c r="X141" s="106">
        <v>0</v>
      </c>
      <c r="Y141" s="106">
        <v>0</v>
      </c>
      <c r="Z141" s="106">
        <v>0</v>
      </c>
      <c r="AA141" s="106">
        <v>0</v>
      </c>
      <c r="AB141" s="106">
        <v>0</v>
      </c>
      <c r="AC141" s="106">
        <v>0</v>
      </c>
      <c r="AD141" s="106">
        <v>0</v>
      </c>
      <c r="AE141" s="106">
        <v>0</v>
      </c>
      <c r="AF141" s="106">
        <v>0</v>
      </c>
      <c r="AG141" s="106">
        <v>0</v>
      </c>
      <c r="AH141" s="106">
        <v>0</v>
      </c>
      <c r="AI141" s="106">
        <v>0</v>
      </c>
      <c r="AJ141" s="106">
        <v>0</v>
      </c>
      <c r="AK141" s="106">
        <v>0</v>
      </c>
      <c r="AL141" s="106">
        <v>0</v>
      </c>
      <c r="AM141" s="106">
        <v>0</v>
      </c>
      <c r="AN141" s="106">
        <v>0</v>
      </c>
      <c r="AO141" s="106">
        <v>0</v>
      </c>
      <c r="AP141" s="106">
        <v>0</v>
      </c>
      <c r="AQ141" s="106">
        <v>0</v>
      </c>
      <c r="AR141" s="106">
        <v>0</v>
      </c>
      <c r="AS141" s="106">
        <v>0</v>
      </c>
      <c r="AT141" s="106">
        <v>0</v>
      </c>
      <c r="AU141" s="106">
        <v>0</v>
      </c>
      <c r="AV141" s="106">
        <v>0</v>
      </c>
      <c r="AW141" s="106">
        <v>0</v>
      </c>
      <c r="AX141" s="106">
        <v>0</v>
      </c>
      <c r="AY141" s="106">
        <v>0</v>
      </c>
    </row>
    <row r="142" spans="1:51">
      <c r="A142" s="109"/>
      <c r="B142" s="120">
        <v>21</v>
      </c>
      <c r="C142" s="106">
        <v>0</v>
      </c>
      <c r="D142" s="106">
        <v>0</v>
      </c>
      <c r="E142" s="106">
        <v>0</v>
      </c>
      <c r="F142" s="106">
        <v>0</v>
      </c>
      <c r="G142" s="106">
        <v>0</v>
      </c>
      <c r="H142" s="106">
        <v>0</v>
      </c>
      <c r="I142" s="106">
        <v>0</v>
      </c>
      <c r="J142" s="106">
        <v>0</v>
      </c>
      <c r="K142" s="106">
        <v>0</v>
      </c>
      <c r="L142" s="106">
        <v>0</v>
      </c>
      <c r="M142" s="106">
        <v>0</v>
      </c>
      <c r="N142" s="106">
        <v>0</v>
      </c>
      <c r="O142" s="106">
        <v>0</v>
      </c>
      <c r="P142" s="106">
        <v>0</v>
      </c>
      <c r="Q142" s="106">
        <v>0</v>
      </c>
      <c r="R142" s="106">
        <v>0</v>
      </c>
      <c r="S142" s="106">
        <v>0</v>
      </c>
      <c r="T142" s="106">
        <v>0</v>
      </c>
      <c r="U142" s="106">
        <v>0</v>
      </c>
      <c r="V142" s="106">
        <v>0</v>
      </c>
      <c r="W142" s="106">
        <v>0</v>
      </c>
      <c r="X142" s="106">
        <v>0</v>
      </c>
      <c r="Y142" s="106">
        <v>0</v>
      </c>
      <c r="Z142" s="106">
        <v>0</v>
      </c>
      <c r="AA142" s="106">
        <v>0</v>
      </c>
      <c r="AB142" s="106">
        <v>0</v>
      </c>
      <c r="AC142" s="106">
        <v>0</v>
      </c>
      <c r="AD142" s="106">
        <v>0</v>
      </c>
      <c r="AE142" s="106">
        <v>0</v>
      </c>
      <c r="AF142" s="106">
        <v>0</v>
      </c>
      <c r="AG142" s="106">
        <v>0</v>
      </c>
      <c r="AH142" s="106">
        <v>0</v>
      </c>
      <c r="AI142" s="106">
        <v>0</v>
      </c>
      <c r="AJ142" s="106">
        <v>0</v>
      </c>
      <c r="AK142" s="106">
        <v>0</v>
      </c>
      <c r="AL142" s="106">
        <v>0</v>
      </c>
      <c r="AM142" s="106">
        <v>0</v>
      </c>
      <c r="AN142" s="106">
        <v>0</v>
      </c>
      <c r="AO142" s="106">
        <v>0</v>
      </c>
      <c r="AP142" s="106">
        <v>0</v>
      </c>
      <c r="AQ142" s="106">
        <v>0</v>
      </c>
      <c r="AR142" s="106">
        <v>0</v>
      </c>
      <c r="AS142" s="106">
        <v>0</v>
      </c>
      <c r="AT142" s="106">
        <v>0</v>
      </c>
      <c r="AU142" s="106">
        <v>0</v>
      </c>
      <c r="AV142" s="106">
        <v>0</v>
      </c>
      <c r="AW142" s="106">
        <v>0</v>
      </c>
      <c r="AX142" s="106">
        <v>0</v>
      </c>
      <c r="AY142" s="106">
        <v>0</v>
      </c>
    </row>
    <row r="143" spans="1:51">
      <c r="A143" s="109"/>
      <c r="B143" s="120">
        <v>22</v>
      </c>
      <c r="C143" s="106">
        <v>0</v>
      </c>
      <c r="D143" s="106">
        <v>0</v>
      </c>
      <c r="E143" s="106">
        <v>0</v>
      </c>
      <c r="F143" s="106">
        <v>0</v>
      </c>
      <c r="G143" s="106">
        <v>0</v>
      </c>
      <c r="H143" s="106">
        <v>0</v>
      </c>
      <c r="I143" s="106">
        <v>0</v>
      </c>
      <c r="J143" s="106">
        <v>0</v>
      </c>
      <c r="K143" s="106">
        <v>0</v>
      </c>
      <c r="L143" s="106">
        <v>0</v>
      </c>
      <c r="M143" s="106">
        <v>0</v>
      </c>
      <c r="N143" s="106">
        <v>0</v>
      </c>
      <c r="O143" s="106">
        <v>0</v>
      </c>
      <c r="P143" s="106">
        <v>0</v>
      </c>
      <c r="Q143" s="106">
        <v>0</v>
      </c>
      <c r="R143" s="106">
        <v>0</v>
      </c>
      <c r="S143" s="106">
        <v>0</v>
      </c>
      <c r="T143" s="106">
        <v>0</v>
      </c>
      <c r="U143" s="106">
        <v>0</v>
      </c>
      <c r="V143" s="106">
        <v>0</v>
      </c>
      <c r="W143" s="106">
        <v>0</v>
      </c>
      <c r="X143" s="106">
        <v>0</v>
      </c>
      <c r="Y143" s="106">
        <v>0</v>
      </c>
      <c r="Z143" s="106">
        <v>0</v>
      </c>
      <c r="AA143" s="106">
        <v>0</v>
      </c>
      <c r="AB143" s="106">
        <v>0</v>
      </c>
      <c r="AC143" s="106">
        <v>0</v>
      </c>
      <c r="AD143" s="106">
        <v>0</v>
      </c>
      <c r="AE143" s="106">
        <v>0</v>
      </c>
      <c r="AF143" s="106">
        <v>0</v>
      </c>
      <c r="AG143" s="106">
        <v>0</v>
      </c>
      <c r="AH143" s="106">
        <v>0</v>
      </c>
      <c r="AI143" s="106">
        <v>0</v>
      </c>
      <c r="AJ143" s="106">
        <v>0</v>
      </c>
      <c r="AK143" s="106">
        <v>0</v>
      </c>
      <c r="AL143" s="106">
        <v>0</v>
      </c>
      <c r="AM143" s="106">
        <v>0</v>
      </c>
      <c r="AN143" s="106">
        <v>0</v>
      </c>
      <c r="AO143" s="106">
        <v>0</v>
      </c>
      <c r="AP143" s="106">
        <v>0</v>
      </c>
      <c r="AQ143" s="106">
        <v>0</v>
      </c>
      <c r="AR143" s="106">
        <v>0</v>
      </c>
      <c r="AS143" s="106">
        <v>0</v>
      </c>
      <c r="AT143" s="106">
        <v>0</v>
      </c>
      <c r="AU143" s="106">
        <v>0</v>
      </c>
      <c r="AV143" s="106">
        <v>0</v>
      </c>
      <c r="AW143" s="106">
        <v>0</v>
      </c>
      <c r="AX143" s="106">
        <v>0</v>
      </c>
      <c r="AY143" s="106">
        <v>0</v>
      </c>
    </row>
    <row r="144" spans="1:51">
      <c r="A144" s="109"/>
      <c r="B144" s="120">
        <v>23</v>
      </c>
      <c r="C144" s="106">
        <v>0</v>
      </c>
      <c r="D144" s="106">
        <v>0</v>
      </c>
      <c r="E144" s="106">
        <v>0</v>
      </c>
      <c r="F144" s="106">
        <v>0</v>
      </c>
      <c r="G144" s="106">
        <v>0</v>
      </c>
      <c r="H144" s="106">
        <v>0</v>
      </c>
      <c r="I144" s="106">
        <v>0</v>
      </c>
      <c r="J144" s="106">
        <v>0</v>
      </c>
      <c r="K144" s="106">
        <v>0</v>
      </c>
      <c r="L144" s="106">
        <v>0</v>
      </c>
      <c r="M144" s="106">
        <v>0</v>
      </c>
      <c r="N144" s="106">
        <v>0</v>
      </c>
      <c r="O144" s="106">
        <v>0</v>
      </c>
      <c r="P144" s="106">
        <v>0</v>
      </c>
      <c r="Q144" s="106">
        <v>0</v>
      </c>
      <c r="R144" s="106">
        <v>0</v>
      </c>
      <c r="S144" s="106">
        <v>0</v>
      </c>
      <c r="T144" s="106">
        <v>0</v>
      </c>
      <c r="U144" s="106">
        <v>0</v>
      </c>
      <c r="V144" s="106">
        <v>0</v>
      </c>
      <c r="W144" s="106">
        <v>0</v>
      </c>
      <c r="X144" s="106">
        <v>0</v>
      </c>
      <c r="Y144" s="106">
        <v>0</v>
      </c>
      <c r="Z144" s="106">
        <v>0</v>
      </c>
      <c r="AA144" s="106">
        <v>0</v>
      </c>
      <c r="AB144" s="106">
        <v>0</v>
      </c>
      <c r="AC144" s="106">
        <v>0</v>
      </c>
      <c r="AD144" s="106">
        <v>0</v>
      </c>
      <c r="AE144" s="106">
        <v>0</v>
      </c>
      <c r="AF144" s="106">
        <v>0</v>
      </c>
      <c r="AG144" s="106">
        <v>0</v>
      </c>
      <c r="AH144" s="106">
        <v>0</v>
      </c>
      <c r="AI144" s="106">
        <v>0</v>
      </c>
      <c r="AJ144" s="106">
        <v>0</v>
      </c>
      <c r="AK144" s="106">
        <v>0</v>
      </c>
      <c r="AL144" s="106">
        <v>0</v>
      </c>
      <c r="AM144" s="106">
        <v>0</v>
      </c>
      <c r="AN144" s="106">
        <v>0</v>
      </c>
      <c r="AO144" s="106">
        <v>0</v>
      </c>
      <c r="AP144" s="106">
        <v>0</v>
      </c>
      <c r="AQ144" s="106">
        <v>0</v>
      </c>
      <c r="AR144" s="106">
        <v>0</v>
      </c>
      <c r="AS144" s="106">
        <v>0</v>
      </c>
      <c r="AT144" s="106">
        <v>0</v>
      </c>
      <c r="AU144" s="106">
        <v>0</v>
      </c>
      <c r="AV144" s="106">
        <v>0</v>
      </c>
      <c r="AW144" s="106">
        <v>0</v>
      </c>
      <c r="AX144" s="106">
        <v>0</v>
      </c>
      <c r="AY144" s="106">
        <v>0</v>
      </c>
    </row>
    <row r="145" spans="1:51">
      <c r="A145" s="109"/>
      <c r="B145" s="120">
        <v>24</v>
      </c>
      <c r="C145" s="106">
        <v>0</v>
      </c>
      <c r="D145" s="106">
        <v>0</v>
      </c>
      <c r="E145" s="106">
        <v>0</v>
      </c>
      <c r="F145" s="106">
        <v>0</v>
      </c>
      <c r="G145" s="106">
        <v>0</v>
      </c>
      <c r="H145" s="106">
        <v>0</v>
      </c>
      <c r="I145" s="106">
        <v>0</v>
      </c>
      <c r="J145" s="106">
        <v>0</v>
      </c>
      <c r="K145" s="106">
        <v>0</v>
      </c>
      <c r="L145" s="106">
        <v>0</v>
      </c>
      <c r="M145" s="106">
        <v>0</v>
      </c>
      <c r="N145" s="106">
        <v>0</v>
      </c>
      <c r="O145" s="106">
        <v>0</v>
      </c>
      <c r="P145" s="106">
        <v>0</v>
      </c>
      <c r="Q145" s="106">
        <v>0</v>
      </c>
      <c r="R145" s="106">
        <v>0</v>
      </c>
      <c r="S145" s="106">
        <v>0</v>
      </c>
      <c r="T145" s="106">
        <v>0</v>
      </c>
      <c r="U145" s="106">
        <v>0</v>
      </c>
      <c r="V145" s="106">
        <v>0</v>
      </c>
      <c r="W145" s="106">
        <v>0</v>
      </c>
      <c r="X145" s="106">
        <v>0</v>
      </c>
      <c r="Y145" s="106">
        <v>0</v>
      </c>
      <c r="Z145" s="106">
        <v>0</v>
      </c>
      <c r="AA145" s="106">
        <v>0</v>
      </c>
      <c r="AB145" s="106">
        <v>0</v>
      </c>
      <c r="AC145" s="106">
        <v>0</v>
      </c>
      <c r="AD145" s="106">
        <v>0</v>
      </c>
      <c r="AE145" s="106">
        <v>0</v>
      </c>
      <c r="AF145" s="106">
        <v>0</v>
      </c>
      <c r="AG145" s="106">
        <v>0</v>
      </c>
      <c r="AH145" s="106">
        <v>0</v>
      </c>
      <c r="AI145" s="106">
        <v>0</v>
      </c>
      <c r="AJ145" s="106">
        <v>0</v>
      </c>
      <c r="AK145" s="106">
        <v>0</v>
      </c>
      <c r="AL145" s="106">
        <v>0</v>
      </c>
      <c r="AM145" s="106">
        <v>0</v>
      </c>
      <c r="AN145" s="106">
        <v>0</v>
      </c>
      <c r="AO145" s="106">
        <v>0</v>
      </c>
      <c r="AP145" s="106">
        <v>0</v>
      </c>
      <c r="AQ145" s="106">
        <v>0</v>
      </c>
      <c r="AR145" s="106">
        <v>0</v>
      </c>
      <c r="AS145" s="106">
        <v>0</v>
      </c>
      <c r="AT145" s="106">
        <v>0</v>
      </c>
      <c r="AU145" s="106">
        <v>0</v>
      </c>
      <c r="AV145" s="106">
        <v>0</v>
      </c>
      <c r="AW145" s="106">
        <v>0</v>
      </c>
      <c r="AX145" s="106">
        <v>0</v>
      </c>
      <c r="AY145" s="106">
        <v>0</v>
      </c>
    </row>
    <row r="146" spans="1:51">
      <c r="A146" s="109"/>
      <c r="B146" s="127">
        <v>25</v>
      </c>
      <c r="C146" s="106">
        <v>0</v>
      </c>
      <c r="D146" s="106">
        <v>0</v>
      </c>
      <c r="E146" s="106">
        <v>0</v>
      </c>
      <c r="F146" s="106">
        <v>0</v>
      </c>
      <c r="G146" s="106">
        <v>0</v>
      </c>
      <c r="H146" s="106">
        <v>0</v>
      </c>
      <c r="I146" s="106">
        <v>0</v>
      </c>
      <c r="J146" s="106">
        <v>0</v>
      </c>
      <c r="K146" s="106">
        <v>0</v>
      </c>
      <c r="L146" s="106">
        <v>0</v>
      </c>
      <c r="M146" s="106">
        <v>0</v>
      </c>
      <c r="N146" s="106">
        <v>0</v>
      </c>
      <c r="O146" s="106">
        <v>0</v>
      </c>
      <c r="P146" s="106">
        <v>0</v>
      </c>
      <c r="Q146" s="106">
        <v>0</v>
      </c>
      <c r="R146" s="106">
        <v>0</v>
      </c>
      <c r="S146" s="106">
        <v>0</v>
      </c>
      <c r="T146" s="106">
        <v>0</v>
      </c>
      <c r="U146" s="106">
        <v>0</v>
      </c>
      <c r="V146" s="106">
        <v>0</v>
      </c>
      <c r="W146" s="106">
        <v>0</v>
      </c>
      <c r="X146" s="106">
        <v>0</v>
      </c>
      <c r="Y146" s="106">
        <v>0</v>
      </c>
      <c r="Z146" s="106">
        <v>0</v>
      </c>
      <c r="AA146" s="106">
        <v>0</v>
      </c>
      <c r="AB146" s="106">
        <v>0</v>
      </c>
      <c r="AC146" s="106">
        <v>0</v>
      </c>
      <c r="AD146" s="106">
        <v>0</v>
      </c>
      <c r="AE146" s="106">
        <v>0</v>
      </c>
      <c r="AF146" s="106">
        <v>0</v>
      </c>
      <c r="AG146" s="106">
        <v>0</v>
      </c>
      <c r="AH146" s="106">
        <v>0</v>
      </c>
      <c r="AI146" s="106">
        <v>0</v>
      </c>
      <c r="AJ146" s="106">
        <v>0</v>
      </c>
      <c r="AK146" s="106">
        <v>0</v>
      </c>
      <c r="AL146" s="106">
        <v>0</v>
      </c>
      <c r="AM146" s="106">
        <v>0</v>
      </c>
      <c r="AN146" s="106">
        <v>0</v>
      </c>
      <c r="AO146" s="106">
        <v>0</v>
      </c>
      <c r="AP146" s="106">
        <v>0</v>
      </c>
      <c r="AQ146" s="106">
        <v>0</v>
      </c>
      <c r="AR146" s="106">
        <v>0</v>
      </c>
      <c r="AS146" s="106">
        <v>0</v>
      </c>
      <c r="AT146" s="106">
        <v>0</v>
      </c>
      <c r="AU146" s="106">
        <v>0</v>
      </c>
      <c r="AV146" s="106">
        <v>0</v>
      </c>
      <c r="AW146" s="106">
        <v>0</v>
      </c>
      <c r="AX146" s="106">
        <v>0</v>
      </c>
      <c r="AY146" s="106">
        <v>0</v>
      </c>
    </row>
    <row r="147" spans="1:51">
      <c r="A147" s="109"/>
      <c r="B147" s="127">
        <v>26</v>
      </c>
      <c r="C147" s="106">
        <v>0</v>
      </c>
      <c r="D147" s="106">
        <v>0</v>
      </c>
      <c r="E147" s="106">
        <v>0</v>
      </c>
      <c r="F147" s="106">
        <v>0</v>
      </c>
      <c r="G147" s="106">
        <v>0</v>
      </c>
      <c r="H147" s="106">
        <v>0</v>
      </c>
      <c r="I147" s="106">
        <v>0</v>
      </c>
      <c r="J147" s="106">
        <v>0</v>
      </c>
      <c r="K147" s="106">
        <v>0</v>
      </c>
      <c r="L147" s="106">
        <v>0</v>
      </c>
      <c r="M147" s="106">
        <v>0</v>
      </c>
      <c r="N147" s="106">
        <v>0</v>
      </c>
      <c r="O147" s="106">
        <v>0</v>
      </c>
      <c r="P147" s="106">
        <v>0</v>
      </c>
      <c r="Q147" s="106">
        <v>0</v>
      </c>
      <c r="R147" s="106">
        <v>0</v>
      </c>
      <c r="S147" s="106">
        <v>0</v>
      </c>
      <c r="T147" s="106">
        <v>0</v>
      </c>
      <c r="U147" s="106">
        <v>0</v>
      </c>
      <c r="V147" s="106">
        <v>0</v>
      </c>
      <c r="W147" s="106">
        <v>0</v>
      </c>
      <c r="X147" s="106">
        <v>0</v>
      </c>
      <c r="Y147" s="106">
        <v>0</v>
      </c>
      <c r="Z147" s="106">
        <v>0</v>
      </c>
      <c r="AA147" s="106">
        <v>0</v>
      </c>
      <c r="AB147" s="106">
        <v>0</v>
      </c>
      <c r="AC147" s="106">
        <v>0</v>
      </c>
      <c r="AD147" s="106">
        <v>0</v>
      </c>
      <c r="AE147" s="106">
        <v>0</v>
      </c>
      <c r="AF147" s="106">
        <v>0</v>
      </c>
      <c r="AG147" s="106">
        <v>0</v>
      </c>
      <c r="AH147" s="106">
        <v>0</v>
      </c>
      <c r="AI147" s="106">
        <v>0</v>
      </c>
      <c r="AJ147" s="106">
        <v>0</v>
      </c>
      <c r="AK147" s="106">
        <v>0</v>
      </c>
      <c r="AL147" s="106">
        <v>0</v>
      </c>
      <c r="AM147" s="106">
        <v>0</v>
      </c>
      <c r="AN147" s="106">
        <v>0</v>
      </c>
      <c r="AO147" s="106">
        <v>0</v>
      </c>
      <c r="AP147" s="106">
        <v>0</v>
      </c>
      <c r="AQ147" s="106">
        <v>0</v>
      </c>
      <c r="AR147" s="106">
        <v>0</v>
      </c>
      <c r="AS147" s="106">
        <v>0</v>
      </c>
      <c r="AT147" s="106">
        <v>0</v>
      </c>
      <c r="AU147" s="106">
        <v>0</v>
      </c>
      <c r="AV147" s="106">
        <v>0</v>
      </c>
      <c r="AW147" s="106">
        <v>0</v>
      </c>
      <c r="AX147" s="106">
        <v>0</v>
      </c>
      <c r="AY147" s="106">
        <v>0</v>
      </c>
    </row>
    <row r="148" spans="1:51">
      <c r="A148" s="109"/>
      <c r="B148" s="127">
        <v>27</v>
      </c>
      <c r="C148" s="106">
        <v>0</v>
      </c>
      <c r="D148" s="106">
        <v>0</v>
      </c>
      <c r="E148" s="106">
        <v>0</v>
      </c>
      <c r="F148" s="106">
        <v>0</v>
      </c>
      <c r="G148" s="106">
        <v>0</v>
      </c>
      <c r="H148" s="106">
        <v>0</v>
      </c>
      <c r="I148" s="106">
        <v>0</v>
      </c>
      <c r="J148" s="106">
        <v>0</v>
      </c>
      <c r="K148" s="106">
        <v>0</v>
      </c>
      <c r="L148" s="106">
        <v>0</v>
      </c>
      <c r="M148" s="106">
        <v>0</v>
      </c>
      <c r="N148" s="106">
        <v>0</v>
      </c>
      <c r="O148" s="106">
        <v>0</v>
      </c>
      <c r="P148" s="106">
        <v>0</v>
      </c>
      <c r="Q148" s="106">
        <v>0</v>
      </c>
      <c r="R148" s="106">
        <v>0</v>
      </c>
      <c r="S148" s="106">
        <v>0</v>
      </c>
      <c r="T148" s="106">
        <v>0</v>
      </c>
      <c r="U148" s="106">
        <v>0</v>
      </c>
      <c r="V148" s="106">
        <v>0</v>
      </c>
      <c r="W148" s="106">
        <v>0</v>
      </c>
      <c r="X148" s="106">
        <v>0</v>
      </c>
      <c r="Y148" s="106">
        <v>0</v>
      </c>
      <c r="Z148" s="106">
        <v>0</v>
      </c>
      <c r="AA148" s="106">
        <v>0</v>
      </c>
      <c r="AB148" s="106">
        <v>0</v>
      </c>
      <c r="AC148" s="106">
        <v>0</v>
      </c>
      <c r="AD148" s="106">
        <v>0</v>
      </c>
      <c r="AE148" s="106">
        <v>0</v>
      </c>
      <c r="AF148" s="106">
        <v>0</v>
      </c>
      <c r="AG148" s="106">
        <v>0</v>
      </c>
      <c r="AH148" s="106">
        <v>0</v>
      </c>
      <c r="AI148" s="106">
        <v>0</v>
      </c>
      <c r="AJ148" s="106">
        <v>0</v>
      </c>
      <c r="AK148" s="106">
        <v>0</v>
      </c>
      <c r="AL148" s="106">
        <v>0</v>
      </c>
      <c r="AM148" s="106">
        <v>0</v>
      </c>
      <c r="AN148" s="106">
        <v>0</v>
      </c>
      <c r="AO148" s="106">
        <v>0</v>
      </c>
      <c r="AP148" s="106">
        <v>0</v>
      </c>
      <c r="AQ148" s="106">
        <v>0</v>
      </c>
      <c r="AR148" s="106">
        <v>0</v>
      </c>
      <c r="AS148" s="106">
        <v>0</v>
      </c>
      <c r="AT148" s="106">
        <v>0</v>
      </c>
      <c r="AU148" s="106">
        <v>0</v>
      </c>
      <c r="AV148" s="106">
        <v>0</v>
      </c>
      <c r="AW148" s="106">
        <v>0</v>
      </c>
      <c r="AX148" s="106">
        <v>0</v>
      </c>
      <c r="AY148" s="106">
        <v>0</v>
      </c>
    </row>
    <row r="149" spans="1:51">
      <c r="A149" s="109"/>
      <c r="B149" s="127">
        <v>28</v>
      </c>
      <c r="C149" s="106">
        <v>0</v>
      </c>
      <c r="D149" s="106">
        <v>0</v>
      </c>
      <c r="E149" s="106">
        <v>0</v>
      </c>
      <c r="F149" s="106">
        <v>0</v>
      </c>
      <c r="G149" s="106">
        <v>0</v>
      </c>
      <c r="H149" s="106">
        <v>0</v>
      </c>
      <c r="I149" s="106">
        <v>0</v>
      </c>
      <c r="J149" s="106">
        <v>0</v>
      </c>
      <c r="K149" s="106">
        <v>0</v>
      </c>
      <c r="L149" s="106">
        <v>0</v>
      </c>
      <c r="M149" s="106">
        <v>0</v>
      </c>
      <c r="N149" s="106">
        <v>0</v>
      </c>
      <c r="O149" s="106">
        <v>0</v>
      </c>
      <c r="P149" s="106">
        <v>0</v>
      </c>
      <c r="Q149" s="106">
        <v>0</v>
      </c>
      <c r="R149" s="106">
        <v>0</v>
      </c>
      <c r="S149" s="106">
        <v>0</v>
      </c>
      <c r="T149" s="106">
        <v>0</v>
      </c>
      <c r="U149" s="106">
        <v>0</v>
      </c>
      <c r="V149" s="106">
        <v>0</v>
      </c>
      <c r="W149" s="106">
        <v>0</v>
      </c>
      <c r="X149" s="106">
        <v>0</v>
      </c>
      <c r="Y149" s="106">
        <v>0</v>
      </c>
      <c r="Z149" s="106">
        <v>0</v>
      </c>
      <c r="AA149" s="106">
        <v>0</v>
      </c>
      <c r="AB149" s="106">
        <v>0</v>
      </c>
      <c r="AC149" s="106">
        <v>0</v>
      </c>
      <c r="AD149" s="106">
        <v>0</v>
      </c>
      <c r="AE149" s="106">
        <v>0</v>
      </c>
      <c r="AF149" s="106">
        <v>0</v>
      </c>
      <c r="AG149" s="106">
        <v>0</v>
      </c>
      <c r="AH149" s="106">
        <v>0</v>
      </c>
      <c r="AI149" s="106">
        <v>0</v>
      </c>
      <c r="AJ149" s="106">
        <v>0</v>
      </c>
      <c r="AK149" s="106">
        <v>0</v>
      </c>
      <c r="AL149" s="106">
        <v>0</v>
      </c>
      <c r="AM149" s="106">
        <v>0</v>
      </c>
      <c r="AN149" s="106">
        <v>0</v>
      </c>
      <c r="AO149" s="106">
        <v>0</v>
      </c>
      <c r="AP149" s="106">
        <v>0</v>
      </c>
      <c r="AQ149" s="106">
        <v>0</v>
      </c>
      <c r="AR149" s="106">
        <v>0</v>
      </c>
      <c r="AS149" s="106">
        <v>0</v>
      </c>
      <c r="AT149" s="106">
        <v>0</v>
      </c>
      <c r="AU149" s="106">
        <v>0</v>
      </c>
      <c r="AV149" s="106">
        <v>0</v>
      </c>
      <c r="AW149" s="106">
        <v>0</v>
      </c>
      <c r="AX149" s="106">
        <v>0</v>
      </c>
      <c r="AY149" s="106">
        <v>0</v>
      </c>
    </row>
    <row r="150" spans="1:51">
      <c r="A150" s="109"/>
      <c r="B150" s="127">
        <v>29</v>
      </c>
      <c r="C150" s="106">
        <v>0</v>
      </c>
      <c r="D150" s="106">
        <v>0</v>
      </c>
      <c r="E150" s="106">
        <v>0</v>
      </c>
      <c r="F150" s="106">
        <v>0</v>
      </c>
      <c r="G150" s="106">
        <v>0</v>
      </c>
      <c r="H150" s="106">
        <v>0</v>
      </c>
      <c r="I150" s="106">
        <v>0</v>
      </c>
      <c r="J150" s="106">
        <v>0</v>
      </c>
      <c r="K150" s="106">
        <v>0</v>
      </c>
      <c r="L150" s="106">
        <v>0</v>
      </c>
      <c r="M150" s="106">
        <v>0</v>
      </c>
      <c r="N150" s="106">
        <v>0</v>
      </c>
      <c r="O150" s="106">
        <v>0</v>
      </c>
      <c r="P150" s="106">
        <v>0</v>
      </c>
      <c r="Q150" s="106">
        <v>0</v>
      </c>
      <c r="R150" s="106">
        <v>0</v>
      </c>
      <c r="S150" s="106">
        <v>0</v>
      </c>
      <c r="T150" s="106">
        <v>0</v>
      </c>
      <c r="U150" s="106">
        <v>0</v>
      </c>
      <c r="V150" s="106">
        <v>0</v>
      </c>
      <c r="W150" s="106">
        <v>0</v>
      </c>
      <c r="X150" s="106">
        <v>0</v>
      </c>
      <c r="Y150" s="106">
        <v>0</v>
      </c>
      <c r="Z150" s="106">
        <v>0</v>
      </c>
      <c r="AA150" s="106">
        <v>0</v>
      </c>
      <c r="AB150" s="106">
        <v>0</v>
      </c>
      <c r="AC150" s="106">
        <v>0</v>
      </c>
      <c r="AD150" s="106">
        <v>0</v>
      </c>
      <c r="AE150" s="106">
        <v>0</v>
      </c>
      <c r="AF150" s="106">
        <v>0</v>
      </c>
      <c r="AG150" s="106">
        <v>0</v>
      </c>
      <c r="AH150" s="106">
        <v>0</v>
      </c>
      <c r="AI150" s="106">
        <v>0</v>
      </c>
      <c r="AJ150" s="106">
        <v>0</v>
      </c>
      <c r="AK150" s="106">
        <v>0</v>
      </c>
      <c r="AL150" s="106">
        <v>0</v>
      </c>
      <c r="AM150" s="106">
        <v>0</v>
      </c>
      <c r="AN150" s="106">
        <v>0</v>
      </c>
      <c r="AO150" s="106">
        <v>0</v>
      </c>
      <c r="AP150" s="106">
        <v>0</v>
      </c>
      <c r="AQ150" s="106">
        <v>0</v>
      </c>
      <c r="AR150" s="106">
        <v>0</v>
      </c>
      <c r="AS150" s="106">
        <v>0</v>
      </c>
      <c r="AT150" s="106">
        <v>0</v>
      </c>
      <c r="AU150" s="106">
        <v>0</v>
      </c>
      <c r="AV150" s="106">
        <v>0</v>
      </c>
      <c r="AW150" s="106">
        <v>0</v>
      </c>
      <c r="AX150" s="106">
        <v>0</v>
      </c>
      <c r="AY150" s="106">
        <v>0</v>
      </c>
    </row>
    <row r="151" spans="1:51">
      <c r="A151" s="109"/>
      <c r="B151" s="127">
        <v>30</v>
      </c>
      <c r="C151" s="106">
        <v>0</v>
      </c>
      <c r="D151" s="106">
        <v>0</v>
      </c>
      <c r="E151" s="106">
        <v>0</v>
      </c>
      <c r="F151" s="106">
        <v>0</v>
      </c>
      <c r="G151" s="106">
        <v>0</v>
      </c>
      <c r="H151" s="106">
        <v>0</v>
      </c>
      <c r="I151" s="106">
        <v>0</v>
      </c>
      <c r="J151" s="106">
        <v>0</v>
      </c>
      <c r="K151" s="106">
        <v>0</v>
      </c>
      <c r="L151" s="106">
        <v>0</v>
      </c>
      <c r="M151" s="106">
        <v>0</v>
      </c>
      <c r="N151" s="106">
        <v>0</v>
      </c>
      <c r="O151" s="106">
        <v>0</v>
      </c>
      <c r="P151" s="106">
        <v>0</v>
      </c>
      <c r="Q151" s="106">
        <v>0</v>
      </c>
      <c r="R151" s="106">
        <v>0</v>
      </c>
      <c r="S151" s="106">
        <v>0</v>
      </c>
      <c r="T151" s="106">
        <v>0</v>
      </c>
      <c r="U151" s="106">
        <v>0</v>
      </c>
      <c r="V151" s="106">
        <v>0</v>
      </c>
      <c r="W151" s="106">
        <v>0</v>
      </c>
      <c r="X151" s="106">
        <v>0</v>
      </c>
      <c r="Y151" s="106">
        <v>0</v>
      </c>
      <c r="Z151" s="106">
        <v>0</v>
      </c>
      <c r="AA151" s="106">
        <v>0</v>
      </c>
      <c r="AB151" s="106">
        <v>0</v>
      </c>
      <c r="AC151" s="106">
        <v>0</v>
      </c>
      <c r="AD151" s="106">
        <v>0</v>
      </c>
      <c r="AE151" s="106">
        <v>0</v>
      </c>
      <c r="AF151" s="106">
        <v>0</v>
      </c>
      <c r="AG151" s="106">
        <v>0</v>
      </c>
      <c r="AH151" s="106">
        <v>0</v>
      </c>
      <c r="AI151" s="106">
        <v>0</v>
      </c>
      <c r="AJ151" s="106">
        <v>0</v>
      </c>
      <c r="AK151" s="106">
        <v>0</v>
      </c>
      <c r="AL151" s="106">
        <v>0</v>
      </c>
      <c r="AM151" s="106">
        <v>0</v>
      </c>
      <c r="AN151" s="106">
        <v>0</v>
      </c>
      <c r="AO151" s="106">
        <v>0</v>
      </c>
      <c r="AP151" s="106">
        <v>0</v>
      </c>
      <c r="AQ151" s="106">
        <v>0</v>
      </c>
      <c r="AR151" s="106">
        <v>0</v>
      </c>
      <c r="AS151" s="106">
        <v>0</v>
      </c>
      <c r="AT151" s="106">
        <v>0</v>
      </c>
      <c r="AU151" s="106">
        <v>0</v>
      </c>
      <c r="AV151" s="106">
        <v>0</v>
      </c>
      <c r="AW151" s="106">
        <v>0</v>
      </c>
      <c r="AX151" s="106">
        <v>0</v>
      </c>
      <c r="AY151" s="106">
        <v>0</v>
      </c>
    </row>
    <row r="152" spans="1:51">
      <c r="A152" s="109"/>
      <c r="B152" s="127">
        <v>31</v>
      </c>
      <c r="C152" s="106">
        <v>0</v>
      </c>
      <c r="D152" s="106">
        <v>0</v>
      </c>
      <c r="E152" s="106">
        <v>0</v>
      </c>
      <c r="F152" s="106">
        <v>0</v>
      </c>
      <c r="G152" s="106">
        <v>0</v>
      </c>
      <c r="H152" s="106">
        <v>0</v>
      </c>
      <c r="I152" s="106">
        <v>0</v>
      </c>
      <c r="J152" s="106">
        <v>0</v>
      </c>
      <c r="K152" s="106">
        <v>0</v>
      </c>
      <c r="L152" s="106">
        <v>0</v>
      </c>
      <c r="M152" s="106">
        <v>0</v>
      </c>
      <c r="N152" s="106">
        <v>0</v>
      </c>
      <c r="O152" s="106">
        <v>0</v>
      </c>
      <c r="P152" s="106">
        <v>0</v>
      </c>
      <c r="Q152" s="106">
        <v>0</v>
      </c>
      <c r="R152" s="106">
        <v>0</v>
      </c>
      <c r="S152" s="106">
        <v>0</v>
      </c>
      <c r="T152" s="106">
        <v>0</v>
      </c>
      <c r="U152" s="106">
        <v>0</v>
      </c>
      <c r="V152" s="106">
        <v>0</v>
      </c>
      <c r="W152" s="106">
        <v>0</v>
      </c>
      <c r="X152" s="106">
        <v>0</v>
      </c>
      <c r="Y152" s="106">
        <v>0</v>
      </c>
      <c r="Z152" s="106">
        <v>0</v>
      </c>
      <c r="AA152" s="106">
        <v>0</v>
      </c>
      <c r="AB152" s="106">
        <v>0</v>
      </c>
      <c r="AC152" s="106">
        <v>0</v>
      </c>
      <c r="AD152" s="106">
        <v>0</v>
      </c>
      <c r="AE152" s="106">
        <v>0</v>
      </c>
      <c r="AF152" s="106">
        <v>0</v>
      </c>
      <c r="AG152" s="106">
        <v>0</v>
      </c>
      <c r="AH152" s="106">
        <v>0</v>
      </c>
      <c r="AI152" s="106">
        <v>0</v>
      </c>
      <c r="AJ152" s="106">
        <v>0</v>
      </c>
      <c r="AK152" s="106">
        <v>0</v>
      </c>
      <c r="AL152" s="106">
        <v>0</v>
      </c>
      <c r="AM152" s="106">
        <v>0</v>
      </c>
      <c r="AN152" s="106">
        <v>0</v>
      </c>
      <c r="AO152" s="106">
        <v>0</v>
      </c>
      <c r="AP152" s="106">
        <v>0</v>
      </c>
      <c r="AQ152" s="106">
        <v>0</v>
      </c>
      <c r="AR152" s="106">
        <v>0</v>
      </c>
      <c r="AS152" s="106">
        <v>0</v>
      </c>
      <c r="AT152" s="106">
        <v>0</v>
      </c>
      <c r="AU152" s="106">
        <v>0</v>
      </c>
      <c r="AV152" s="106">
        <v>0</v>
      </c>
      <c r="AW152" s="106">
        <v>0</v>
      </c>
      <c r="AX152" s="106">
        <v>0</v>
      </c>
      <c r="AY152" s="106">
        <v>0</v>
      </c>
    </row>
    <row r="153" spans="1:51">
      <c r="A153" s="109"/>
      <c r="B153" s="127">
        <v>32</v>
      </c>
      <c r="C153" s="106">
        <v>0</v>
      </c>
      <c r="D153" s="106">
        <v>0</v>
      </c>
      <c r="E153" s="106">
        <v>0</v>
      </c>
      <c r="F153" s="106">
        <v>0</v>
      </c>
      <c r="G153" s="106">
        <v>0</v>
      </c>
      <c r="H153" s="106">
        <v>0</v>
      </c>
      <c r="I153" s="106">
        <v>0</v>
      </c>
      <c r="J153" s="106">
        <v>0</v>
      </c>
      <c r="K153" s="106">
        <v>0</v>
      </c>
      <c r="L153" s="106">
        <v>0</v>
      </c>
      <c r="M153" s="106">
        <v>0</v>
      </c>
      <c r="N153" s="106">
        <v>0</v>
      </c>
      <c r="O153" s="106">
        <v>0</v>
      </c>
      <c r="P153" s="106">
        <v>0</v>
      </c>
      <c r="Q153" s="106">
        <v>0</v>
      </c>
      <c r="R153" s="106">
        <v>0</v>
      </c>
      <c r="S153" s="106">
        <v>0</v>
      </c>
      <c r="T153" s="106">
        <v>0</v>
      </c>
      <c r="U153" s="106">
        <v>0</v>
      </c>
      <c r="V153" s="106">
        <v>0</v>
      </c>
      <c r="W153" s="106">
        <v>0</v>
      </c>
      <c r="X153" s="106">
        <v>0</v>
      </c>
      <c r="Y153" s="106">
        <v>0</v>
      </c>
      <c r="Z153" s="106">
        <v>0</v>
      </c>
      <c r="AA153" s="106">
        <v>0</v>
      </c>
      <c r="AB153" s="106">
        <v>0</v>
      </c>
      <c r="AC153" s="106">
        <v>0</v>
      </c>
      <c r="AD153" s="106">
        <v>0</v>
      </c>
      <c r="AE153" s="106">
        <v>0</v>
      </c>
      <c r="AF153" s="106">
        <v>0</v>
      </c>
      <c r="AG153" s="106">
        <v>0</v>
      </c>
      <c r="AH153" s="106">
        <v>0</v>
      </c>
      <c r="AI153" s="106">
        <v>0</v>
      </c>
      <c r="AJ153" s="106">
        <v>0</v>
      </c>
      <c r="AK153" s="106">
        <v>0</v>
      </c>
      <c r="AL153" s="106">
        <v>0</v>
      </c>
      <c r="AM153" s="106">
        <v>0</v>
      </c>
      <c r="AN153" s="106">
        <v>0</v>
      </c>
      <c r="AO153" s="106">
        <v>0</v>
      </c>
      <c r="AP153" s="106">
        <v>0</v>
      </c>
      <c r="AQ153" s="106">
        <v>0</v>
      </c>
      <c r="AR153" s="106">
        <v>0</v>
      </c>
      <c r="AS153" s="106">
        <v>0</v>
      </c>
      <c r="AT153" s="106">
        <v>0</v>
      </c>
      <c r="AU153" s="106">
        <v>0</v>
      </c>
      <c r="AV153" s="106">
        <v>0</v>
      </c>
      <c r="AW153" s="106">
        <v>0</v>
      </c>
      <c r="AX153" s="106">
        <v>0</v>
      </c>
      <c r="AY153" s="106">
        <v>0</v>
      </c>
    </row>
    <row r="154" spans="1:51">
      <c r="A154" s="109"/>
      <c r="B154" s="127">
        <v>33</v>
      </c>
      <c r="C154" s="106">
        <v>0</v>
      </c>
      <c r="D154" s="106">
        <v>0</v>
      </c>
      <c r="E154" s="106">
        <v>0</v>
      </c>
      <c r="F154" s="106">
        <v>0</v>
      </c>
      <c r="G154" s="106">
        <v>0</v>
      </c>
      <c r="H154" s="106">
        <v>0</v>
      </c>
      <c r="I154" s="106">
        <v>0</v>
      </c>
      <c r="J154" s="106">
        <v>0</v>
      </c>
      <c r="K154" s="106">
        <v>0</v>
      </c>
      <c r="L154" s="106">
        <v>0</v>
      </c>
      <c r="M154" s="106">
        <v>0</v>
      </c>
      <c r="N154" s="106">
        <v>0</v>
      </c>
      <c r="O154" s="106">
        <v>0</v>
      </c>
      <c r="P154" s="106">
        <v>0</v>
      </c>
      <c r="Q154" s="106">
        <v>0</v>
      </c>
      <c r="R154" s="106">
        <v>0</v>
      </c>
      <c r="S154" s="106">
        <v>0</v>
      </c>
      <c r="T154" s="106">
        <v>0</v>
      </c>
      <c r="U154" s="106">
        <v>0</v>
      </c>
      <c r="V154" s="106">
        <v>0</v>
      </c>
      <c r="W154" s="106">
        <v>0</v>
      </c>
      <c r="X154" s="106">
        <v>0</v>
      </c>
      <c r="Y154" s="106">
        <v>0</v>
      </c>
      <c r="Z154" s="106">
        <v>0</v>
      </c>
      <c r="AA154" s="106">
        <v>0</v>
      </c>
      <c r="AB154" s="106">
        <v>0</v>
      </c>
      <c r="AC154" s="106">
        <v>0</v>
      </c>
      <c r="AD154" s="106">
        <v>0</v>
      </c>
      <c r="AE154" s="106">
        <v>0</v>
      </c>
      <c r="AF154" s="106">
        <v>0</v>
      </c>
      <c r="AG154" s="106">
        <v>0</v>
      </c>
      <c r="AH154" s="106">
        <v>0</v>
      </c>
      <c r="AI154" s="106">
        <v>0</v>
      </c>
      <c r="AJ154" s="106">
        <v>0</v>
      </c>
      <c r="AK154" s="106">
        <v>0</v>
      </c>
      <c r="AL154" s="106">
        <v>0</v>
      </c>
      <c r="AM154" s="106">
        <v>0</v>
      </c>
      <c r="AN154" s="106">
        <v>0</v>
      </c>
      <c r="AO154" s="106">
        <v>0</v>
      </c>
      <c r="AP154" s="106">
        <v>0</v>
      </c>
      <c r="AQ154" s="106">
        <v>0</v>
      </c>
      <c r="AR154" s="106">
        <v>0</v>
      </c>
      <c r="AS154" s="106">
        <v>0</v>
      </c>
      <c r="AT154" s="106">
        <v>0</v>
      </c>
      <c r="AU154" s="106">
        <v>0</v>
      </c>
      <c r="AV154" s="106">
        <v>0</v>
      </c>
      <c r="AW154" s="106">
        <v>0</v>
      </c>
      <c r="AX154" s="106">
        <v>0</v>
      </c>
      <c r="AY154" s="106">
        <v>0</v>
      </c>
    </row>
    <row r="155" spans="1:51">
      <c r="A155" s="109"/>
      <c r="B155" s="127">
        <v>34</v>
      </c>
      <c r="C155" s="106">
        <v>0</v>
      </c>
      <c r="D155" s="106">
        <v>0</v>
      </c>
      <c r="E155" s="106">
        <v>0</v>
      </c>
      <c r="F155" s="106">
        <v>0</v>
      </c>
      <c r="G155" s="106">
        <v>0</v>
      </c>
      <c r="H155" s="106">
        <v>0</v>
      </c>
      <c r="I155" s="106">
        <v>0</v>
      </c>
      <c r="J155" s="106">
        <v>0</v>
      </c>
      <c r="K155" s="106">
        <v>0</v>
      </c>
      <c r="L155" s="106">
        <v>0</v>
      </c>
      <c r="M155" s="106">
        <v>0</v>
      </c>
      <c r="N155" s="106">
        <v>0</v>
      </c>
      <c r="O155" s="106">
        <v>0</v>
      </c>
      <c r="P155" s="106">
        <v>0</v>
      </c>
      <c r="Q155" s="106">
        <v>0</v>
      </c>
      <c r="R155" s="106">
        <v>0</v>
      </c>
      <c r="S155" s="106">
        <v>0</v>
      </c>
      <c r="T155" s="106">
        <v>0</v>
      </c>
      <c r="U155" s="106">
        <v>0</v>
      </c>
      <c r="V155" s="106">
        <v>0</v>
      </c>
      <c r="W155" s="106">
        <v>0</v>
      </c>
      <c r="X155" s="106">
        <v>0</v>
      </c>
      <c r="Y155" s="106">
        <v>0</v>
      </c>
      <c r="Z155" s="106">
        <v>0</v>
      </c>
      <c r="AA155" s="106">
        <v>0</v>
      </c>
      <c r="AB155" s="106">
        <v>0</v>
      </c>
      <c r="AC155" s="106">
        <v>0</v>
      </c>
      <c r="AD155" s="106">
        <v>0</v>
      </c>
      <c r="AE155" s="106">
        <v>0</v>
      </c>
      <c r="AF155" s="106">
        <v>0</v>
      </c>
      <c r="AG155" s="106">
        <v>0</v>
      </c>
      <c r="AH155" s="106">
        <v>0</v>
      </c>
      <c r="AI155" s="106">
        <v>0</v>
      </c>
      <c r="AJ155" s="106">
        <v>0</v>
      </c>
      <c r="AK155" s="106">
        <v>0</v>
      </c>
      <c r="AL155" s="106">
        <v>0</v>
      </c>
      <c r="AM155" s="106">
        <v>0</v>
      </c>
      <c r="AN155" s="106">
        <v>0</v>
      </c>
      <c r="AO155" s="106">
        <v>0</v>
      </c>
      <c r="AP155" s="106">
        <v>0</v>
      </c>
      <c r="AQ155" s="106">
        <v>0</v>
      </c>
      <c r="AR155" s="106">
        <v>0</v>
      </c>
      <c r="AS155" s="106">
        <v>0</v>
      </c>
      <c r="AT155" s="106">
        <v>0</v>
      </c>
      <c r="AU155" s="106">
        <v>0</v>
      </c>
      <c r="AV155" s="106">
        <v>0</v>
      </c>
      <c r="AW155" s="106">
        <v>0</v>
      </c>
      <c r="AX155" s="106">
        <v>0</v>
      </c>
      <c r="AY155" s="106">
        <v>0</v>
      </c>
    </row>
    <row r="156" spans="1:51">
      <c r="A156" s="109"/>
      <c r="B156" s="127">
        <v>35</v>
      </c>
      <c r="C156" s="106">
        <v>0</v>
      </c>
      <c r="D156" s="106">
        <v>0</v>
      </c>
      <c r="E156" s="106">
        <v>0</v>
      </c>
      <c r="F156" s="106">
        <v>0</v>
      </c>
      <c r="G156" s="106">
        <v>0</v>
      </c>
      <c r="H156" s="106">
        <v>0</v>
      </c>
      <c r="I156" s="106">
        <v>0</v>
      </c>
      <c r="J156" s="106">
        <v>0</v>
      </c>
      <c r="K156" s="106">
        <v>0</v>
      </c>
      <c r="L156" s="106">
        <v>0</v>
      </c>
      <c r="M156" s="106">
        <v>0</v>
      </c>
      <c r="N156" s="106">
        <v>0</v>
      </c>
      <c r="O156" s="106">
        <v>0</v>
      </c>
      <c r="P156" s="106">
        <v>0</v>
      </c>
      <c r="Q156" s="106">
        <v>0</v>
      </c>
      <c r="R156" s="106">
        <v>0</v>
      </c>
      <c r="S156" s="106">
        <v>0</v>
      </c>
      <c r="T156" s="106">
        <v>0</v>
      </c>
      <c r="U156" s="106">
        <v>0</v>
      </c>
      <c r="V156" s="106">
        <v>0</v>
      </c>
      <c r="W156" s="106">
        <v>0</v>
      </c>
      <c r="X156" s="106">
        <v>0</v>
      </c>
      <c r="Y156" s="106">
        <v>0</v>
      </c>
      <c r="Z156" s="106">
        <v>0</v>
      </c>
      <c r="AA156" s="106">
        <v>0</v>
      </c>
      <c r="AB156" s="106">
        <v>0</v>
      </c>
      <c r="AC156" s="106">
        <v>0</v>
      </c>
      <c r="AD156" s="106">
        <v>0</v>
      </c>
      <c r="AE156" s="106">
        <v>0</v>
      </c>
      <c r="AF156" s="106">
        <v>0</v>
      </c>
      <c r="AG156" s="106">
        <v>0</v>
      </c>
      <c r="AH156" s="106">
        <v>0</v>
      </c>
      <c r="AI156" s="106">
        <v>0</v>
      </c>
      <c r="AJ156" s="106">
        <v>0</v>
      </c>
      <c r="AK156" s="106">
        <v>0</v>
      </c>
      <c r="AL156" s="106">
        <v>0</v>
      </c>
      <c r="AM156" s="106">
        <v>0</v>
      </c>
      <c r="AN156" s="106">
        <v>0</v>
      </c>
      <c r="AO156" s="106">
        <v>0</v>
      </c>
      <c r="AP156" s="106">
        <v>0</v>
      </c>
      <c r="AQ156" s="106">
        <v>0</v>
      </c>
      <c r="AR156" s="106">
        <v>0</v>
      </c>
      <c r="AS156" s="106">
        <v>0</v>
      </c>
      <c r="AT156" s="106">
        <v>0</v>
      </c>
      <c r="AU156" s="106">
        <v>0</v>
      </c>
      <c r="AV156" s="106">
        <v>0</v>
      </c>
      <c r="AW156" s="106">
        <v>0</v>
      </c>
      <c r="AX156" s="106">
        <v>0</v>
      </c>
      <c r="AY156" s="106">
        <v>0</v>
      </c>
    </row>
    <row r="157" spans="1:51">
      <c r="A157" s="109"/>
      <c r="B157" s="127">
        <v>36</v>
      </c>
      <c r="C157" s="106">
        <v>0</v>
      </c>
      <c r="D157" s="106">
        <v>0</v>
      </c>
      <c r="E157" s="106">
        <v>0</v>
      </c>
      <c r="F157" s="106">
        <v>0</v>
      </c>
      <c r="G157" s="106">
        <v>0</v>
      </c>
      <c r="H157" s="106">
        <v>0</v>
      </c>
      <c r="I157" s="106">
        <v>0</v>
      </c>
      <c r="J157" s="106">
        <v>0</v>
      </c>
      <c r="K157" s="106">
        <v>0</v>
      </c>
      <c r="L157" s="106">
        <v>0</v>
      </c>
      <c r="M157" s="106">
        <v>0</v>
      </c>
      <c r="N157" s="106">
        <v>0</v>
      </c>
      <c r="O157" s="106">
        <v>0</v>
      </c>
      <c r="P157" s="106">
        <v>0</v>
      </c>
      <c r="Q157" s="106">
        <v>0</v>
      </c>
      <c r="R157" s="106">
        <v>0</v>
      </c>
      <c r="S157" s="106">
        <v>0</v>
      </c>
      <c r="T157" s="106">
        <v>0</v>
      </c>
      <c r="U157" s="106">
        <v>0</v>
      </c>
      <c r="V157" s="106">
        <v>0</v>
      </c>
      <c r="W157" s="106">
        <v>0</v>
      </c>
      <c r="X157" s="106">
        <v>0</v>
      </c>
      <c r="Y157" s="106">
        <v>0</v>
      </c>
      <c r="Z157" s="106">
        <v>0</v>
      </c>
      <c r="AA157" s="106">
        <v>0</v>
      </c>
      <c r="AB157" s="106">
        <v>0</v>
      </c>
      <c r="AC157" s="106">
        <v>0</v>
      </c>
      <c r="AD157" s="106">
        <v>0</v>
      </c>
      <c r="AE157" s="106">
        <v>0</v>
      </c>
      <c r="AF157" s="106">
        <v>0</v>
      </c>
      <c r="AG157" s="106">
        <v>0</v>
      </c>
      <c r="AH157" s="106">
        <v>0</v>
      </c>
      <c r="AI157" s="106">
        <v>0</v>
      </c>
      <c r="AJ157" s="106">
        <v>0</v>
      </c>
      <c r="AK157" s="106">
        <v>0</v>
      </c>
      <c r="AL157" s="106">
        <v>0</v>
      </c>
      <c r="AM157" s="106">
        <v>0</v>
      </c>
      <c r="AN157" s="106">
        <v>0</v>
      </c>
      <c r="AO157" s="106">
        <v>0</v>
      </c>
      <c r="AP157" s="106">
        <v>0</v>
      </c>
      <c r="AQ157" s="106">
        <v>0</v>
      </c>
      <c r="AR157" s="106">
        <v>0</v>
      </c>
      <c r="AS157" s="106">
        <v>0</v>
      </c>
      <c r="AT157" s="106">
        <v>0</v>
      </c>
      <c r="AU157" s="106">
        <v>0</v>
      </c>
      <c r="AV157" s="106">
        <v>0</v>
      </c>
      <c r="AW157" s="106">
        <v>0</v>
      </c>
      <c r="AX157" s="106">
        <v>0</v>
      </c>
      <c r="AY157" s="106">
        <v>0</v>
      </c>
    </row>
    <row r="158" spans="1:51">
      <c r="A158" s="109"/>
      <c r="B158" s="130">
        <v>37</v>
      </c>
      <c r="C158" s="106">
        <v>0</v>
      </c>
      <c r="D158" s="106">
        <v>0</v>
      </c>
      <c r="E158" s="106">
        <v>0</v>
      </c>
      <c r="F158" s="106">
        <v>0</v>
      </c>
      <c r="G158" s="106">
        <v>0</v>
      </c>
      <c r="H158" s="106">
        <v>0</v>
      </c>
      <c r="I158" s="106">
        <v>0</v>
      </c>
      <c r="J158" s="106">
        <v>0</v>
      </c>
      <c r="K158" s="106">
        <v>0</v>
      </c>
      <c r="L158" s="106">
        <v>0</v>
      </c>
      <c r="M158" s="106">
        <v>0</v>
      </c>
      <c r="N158" s="106">
        <v>0</v>
      </c>
      <c r="O158" s="106">
        <v>0</v>
      </c>
      <c r="P158" s="106">
        <v>0</v>
      </c>
      <c r="Q158" s="106">
        <v>0</v>
      </c>
      <c r="R158" s="106">
        <v>0</v>
      </c>
      <c r="S158" s="106">
        <v>0</v>
      </c>
      <c r="T158" s="106">
        <v>0</v>
      </c>
      <c r="U158" s="106">
        <v>0</v>
      </c>
      <c r="V158" s="106">
        <v>0</v>
      </c>
      <c r="W158" s="106">
        <v>0</v>
      </c>
      <c r="X158" s="106">
        <v>0</v>
      </c>
      <c r="Y158" s="106">
        <v>0</v>
      </c>
      <c r="Z158" s="106">
        <v>0</v>
      </c>
      <c r="AA158" s="106">
        <v>0</v>
      </c>
      <c r="AB158" s="106">
        <v>0</v>
      </c>
      <c r="AC158" s="106">
        <v>0</v>
      </c>
      <c r="AD158" s="106">
        <v>0</v>
      </c>
      <c r="AE158" s="106">
        <v>0</v>
      </c>
      <c r="AF158" s="106">
        <v>0</v>
      </c>
      <c r="AG158" s="106">
        <v>0</v>
      </c>
      <c r="AH158" s="106">
        <v>0</v>
      </c>
      <c r="AI158" s="106">
        <v>0</v>
      </c>
      <c r="AJ158" s="106">
        <v>0</v>
      </c>
      <c r="AK158" s="106">
        <v>0</v>
      </c>
      <c r="AL158" s="106">
        <v>0</v>
      </c>
      <c r="AM158" s="106">
        <v>0</v>
      </c>
      <c r="AN158" s="106">
        <v>0</v>
      </c>
      <c r="AO158" s="106">
        <v>0</v>
      </c>
      <c r="AP158" s="106">
        <v>0</v>
      </c>
      <c r="AQ158" s="106">
        <v>0</v>
      </c>
      <c r="AR158" s="106">
        <v>0</v>
      </c>
      <c r="AS158" s="106">
        <v>0</v>
      </c>
      <c r="AT158" s="106">
        <v>0</v>
      </c>
      <c r="AU158" s="106">
        <v>0</v>
      </c>
      <c r="AV158" s="106">
        <v>0</v>
      </c>
      <c r="AW158" s="106">
        <v>0</v>
      </c>
      <c r="AX158" s="106">
        <v>0</v>
      </c>
      <c r="AY158" s="106">
        <v>0</v>
      </c>
    </row>
    <row r="159" spans="1:51">
      <c r="A159" s="109"/>
      <c r="B159" s="130">
        <v>38</v>
      </c>
      <c r="C159" s="106">
        <v>0</v>
      </c>
      <c r="D159" s="106">
        <v>0</v>
      </c>
      <c r="E159" s="106">
        <v>0</v>
      </c>
      <c r="F159" s="106">
        <v>0</v>
      </c>
      <c r="G159" s="106">
        <v>0</v>
      </c>
      <c r="H159" s="106">
        <v>0</v>
      </c>
      <c r="I159" s="106">
        <v>0</v>
      </c>
      <c r="J159" s="106">
        <v>0</v>
      </c>
      <c r="K159" s="106">
        <v>0</v>
      </c>
      <c r="L159" s="106">
        <v>0</v>
      </c>
      <c r="M159" s="106">
        <v>0</v>
      </c>
      <c r="N159" s="106">
        <v>0</v>
      </c>
      <c r="O159" s="106">
        <v>0</v>
      </c>
      <c r="P159" s="106">
        <v>0</v>
      </c>
      <c r="Q159" s="106">
        <v>0</v>
      </c>
      <c r="R159" s="106">
        <v>0</v>
      </c>
      <c r="S159" s="106">
        <v>0</v>
      </c>
      <c r="T159" s="106">
        <v>0</v>
      </c>
      <c r="U159" s="106">
        <v>0</v>
      </c>
      <c r="V159" s="106">
        <v>0</v>
      </c>
      <c r="W159" s="106">
        <v>0</v>
      </c>
      <c r="X159" s="106">
        <v>0</v>
      </c>
      <c r="Y159" s="106">
        <v>0</v>
      </c>
      <c r="Z159" s="106">
        <v>0</v>
      </c>
      <c r="AA159" s="106">
        <v>0</v>
      </c>
      <c r="AB159" s="106">
        <v>0</v>
      </c>
      <c r="AC159" s="106">
        <v>0</v>
      </c>
      <c r="AD159" s="106">
        <v>0</v>
      </c>
      <c r="AE159" s="106">
        <v>0</v>
      </c>
      <c r="AF159" s="106">
        <v>0</v>
      </c>
      <c r="AG159" s="106">
        <v>0</v>
      </c>
      <c r="AH159" s="106">
        <v>0</v>
      </c>
      <c r="AI159" s="106">
        <v>0</v>
      </c>
      <c r="AJ159" s="106">
        <v>0</v>
      </c>
      <c r="AK159" s="106">
        <v>0</v>
      </c>
      <c r="AL159" s="106">
        <v>0</v>
      </c>
      <c r="AM159" s="106">
        <v>0</v>
      </c>
      <c r="AN159" s="106">
        <v>0</v>
      </c>
      <c r="AO159" s="106">
        <v>0</v>
      </c>
      <c r="AP159" s="106">
        <v>0</v>
      </c>
      <c r="AQ159" s="106">
        <v>0</v>
      </c>
      <c r="AR159" s="106">
        <v>0</v>
      </c>
      <c r="AS159" s="106">
        <v>0</v>
      </c>
      <c r="AT159" s="106">
        <v>0</v>
      </c>
      <c r="AU159" s="106">
        <v>0</v>
      </c>
      <c r="AV159" s="106">
        <v>0</v>
      </c>
      <c r="AW159" s="106">
        <v>0</v>
      </c>
      <c r="AX159" s="106">
        <v>0</v>
      </c>
      <c r="AY159" s="106">
        <v>0</v>
      </c>
    </row>
    <row r="160" spans="1:51">
      <c r="A160" s="109"/>
      <c r="B160" s="130">
        <v>39</v>
      </c>
      <c r="C160" s="106">
        <v>0</v>
      </c>
      <c r="D160" s="106">
        <v>0</v>
      </c>
      <c r="E160" s="106">
        <v>0</v>
      </c>
      <c r="F160" s="106">
        <v>0</v>
      </c>
      <c r="G160" s="106">
        <v>0</v>
      </c>
      <c r="H160" s="106">
        <v>0</v>
      </c>
      <c r="I160" s="106">
        <v>0</v>
      </c>
      <c r="J160" s="106">
        <v>0</v>
      </c>
      <c r="K160" s="106">
        <v>0</v>
      </c>
      <c r="L160" s="106">
        <v>0</v>
      </c>
      <c r="M160" s="106">
        <v>0</v>
      </c>
      <c r="N160" s="106">
        <v>0</v>
      </c>
      <c r="O160" s="106">
        <v>0</v>
      </c>
      <c r="P160" s="106">
        <v>0</v>
      </c>
      <c r="Q160" s="106">
        <v>0</v>
      </c>
      <c r="R160" s="106">
        <v>0</v>
      </c>
      <c r="S160" s="106">
        <v>0</v>
      </c>
      <c r="T160" s="106">
        <v>0</v>
      </c>
      <c r="U160" s="106">
        <v>0</v>
      </c>
      <c r="V160" s="106">
        <v>0</v>
      </c>
      <c r="W160" s="106">
        <v>0</v>
      </c>
      <c r="X160" s="106">
        <v>0</v>
      </c>
      <c r="Y160" s="106">
        <v>0</v>
      </c>
      <c r="Z160" s="106">
        <v>0</v>
      </c>
      <c r="AA160" s="106">
        <v>0</v>
      </c>
      <c r="AB160" s="106">
        <v>0</v>
      </c>
      <c r="AC160" s="106">
        <v>0</v>
      </c>
      <c r="AD160" s="106">
        <v>0</v>
      </c>
      <c r="AE160" s="106">
        <v>0</v>
      </c>
      <c r="AF160" s="106">
        <v>0</v>
      </c>
      <c r="AG160" s="106">
        <v>0</v>
      </c>
      <c r="AH160" s="106">
        <v>0</v>
      </c>
      <c r="AI160" s="106">
        <v>0</v>
      </c>
      <c r="AJ160" s="106">
        <v>0</v>
      </c>
      <c r="AK160" s="106">
        <v>0</v>
      </c>
      <c r="AL160" s="106">
        <v>0</v>
      </c>
      <c r="AM160" s="106">
        <v>0</v>
      </c>
      <c r="AN160" s="106">
        <v>0</v>
      </c>
      <c r="AO160" s="106">
        <v>0</v>
      </c>
      <c r="AP160" s="106">
        <v>0</v>
      </c>
      <c r="AQ160" s="106">
        <v>0</v>
      </c>
      <c r="AR160" s="106">
        <v>0</v>
      </c>
      <c r="AS160" s="106">
        <v>0</v>
      </c>
      <c r="AT160" s="106">
        <v>0</v>
      </c>
      <c r="AU160" s="106">
        <v>0</v>
      </c>
      <c r="AV160" s="106">
        <v>0</v>
      </c>
      <c r="AW160" s="106">
        <v>0</v>
      </c>
      <c r="AX160" s="106">
        <v>0</v>
      </c>
      <c r="AY160" s="106">
        <v>0</v>
      </c>
    </row>
    <row r="161" spans="1:52">
      <c r="A161" s="109"/>
      <c r="B161" s="130">
        <v>40</v>
      </c>
      <c r="C161" s="106">
        <v>0</v>
      </c>
      <c r="D161" s="106">
        <v>0</v>
      </c>
      <c r="E161" s="106">
        <v>0</v>
      </c>
      <c r="F161" s="106">
        <v>0</v>
      </c>
      <c r="G161" s="106">
        <v>0</v>
      </c>
      <c r="H161" s="106">
        <v>0</v>
      </c>
      <c r="I161" s="106">
        <v>0</v>
      </c>
      <c r="J161" s="106">
        <v>0</v>
      </c>
      <c r="K161" s="106">
        <v>0</v>
      </c>
      <c r="L161" s="106">
        <v>0</v>
      </c>
      <c r="M161" s="106">
        <v>0</v>
      </c>
      <c r="N161" s="106">
        <v>0</v>
      </c>
      <c r="O161" s="106">
        <v>0</v>
      </c>
      <c r="P161" s="106">
        <v>0</v>
      </c>
      <c r="Q161" s="106">
        <v>0</v>
      </c>
      <c r="R161" s="106">
        <v>0</v>
      </c>
      <c r="S161" s="106">
        <v>0</v>
      </c>
      <c r="T161" s="106">
        <v>0</v>
      </c>
      <c r="U161" s="106">
        <v>0</v>
      </c>
      <c r="V161" s="106">
        <v>0</v>
      </c>
      <c r="W161" s="106">
        <v>0</v>
      </c>
      <c r="X161" s="106">
        <v>0</v>
      </c>
      <c r="Y161" s="106">
        <v>0</v>
      </c>
      <c r="Z161" s="106">
        <v>0</v>
      </c>
      <c r="AA161" s="106">
        <v>0</v>
      </c>
      <c r="AB161" s="106">
        <v>0</v>
      </c>
      <c r="AC161" s="106">
        <v>0</v>
      </c>
      <c r="AD161" s="106">
        <v>0</v>
      </c>
      <c r="AE161" s="106">
        <v>0</v>
      </c>
      <c r="AF161" s="106">
        <v>0</v>
      </c>
      <c r="AG161" s="106">
        <v>0</v>
      </c>
      <c r="AH161" s="106">
        <v>0</v>
      </c>
      <c r="AI161" s="106">
        <v>0</v>
      </c>
      <c r="AJ161" s="106">
        <v>0</v>
      </c>
      <c r="AK161" s="106">
        <v>0</v>
      </c>
      <c r="AL161" s="106">
        <v>0</v>
      </c>
      <c r="AM161" s="106">
        <v>0</v>
      </c>
      <c r="AN161" s="106">
        <v>0</v>
      </c>
      <c r="AO161" s="106">
        <v>0</v>
      </c>
      <c r="AP161" s="106">
        <v>0</v>
      </c>
      <c r="AQ161" s="106">
        <v>0</v>
      </c>
      <c r="AR161" s="106">
        <v>0</v>
      </c>
      <c r="AS161" s="106">
        <v>0</v>
      </c>
      <c r="AT161" s="106">
        <v>0</v>
      </c>
      <c r="AU161" s="106">
        <v>0</v>
      </c>
      <c r="AV161" s="106">
        <v>0</v>
      </c>
      <c r="AW161" s="106">
        <v>0</v>
      </c>
      <c r="AX161" s="106">
        <v>0</v>
      </c>
      <c r="AY161" s="106">
        <v>0</v>
      </c>
    </row>
    <row r="162" spans="1:52">
      <c r="A162" s="109"/>
      <c r="B162" s="130">
        <v>41</v>
      </c>
      <c r="C162" s="106">
        <v>0</v>
      </c>
      <c r="D162" s="106">
        <v>0</v>
      </c>
      <c r="E162" s="106">
        <v>0</v>
      </c>
      <c r="F162" s="106">
        <v>0</v>
      </c>
      <c r="G162" s="106">
        <v>0</v>
      </c>
      <c r="H162" s="106">
        <v>0</v>
      </c>
      <c r="I162" s="106">
        <v>0</v>
      </c>
      <c r="J162" s="106">
        <v>0</v>
      </c>
      <c r="K162" s="106">
        <v>0</v>
      </c>
      <c r="L162" s="106">
        <v>0</v>
      </c>
      <c r="M162" s="106">
        <v>0</v>
      </c>
      <c r="N162" s="106">
        <v>0</v>
      </c>
      <c r="O162" s="106">
        <v>0</v>
      </c>
      <c r="P162" s="106">
        <v>0</v>
      </c>
      <c r="Q162" s="106">
        <v>0</v>
      </c>
      <c r="R162" s="106">
        <v>0</v>
      </c>
      <c r="S162" s="106">
        <v>0</v>
      </c>
      <c r="T162" s="106">
        <v>0</v>
      </c>
      <c r="U162" s="106">
        <v>0</v>
      </c>
      <c r="V162" s="106">
        <v>0</v>
      </c>
      <c r="W162" s="106">
        <v>0</v>
      </c>
      <c r="X162" s="106">
        <v>0</v>
      </c>
      <c r="Y162" s="106">
        <v>0</v>
      </c>
      <c r="Z162" s="106">
        <v>0</v>
      </c>
      <c r="AA162" s="106">
        <v>0</v>
      </c>
      <c r="AB162" s="106">
        <v>0</v>
      </c>
      <c r="AC162" s="106">
        <v>0</v>
      </c>
      <c r="AD162" s="106">
        <v>0</v>
      </c>
      <c r="AE162" s="106">
        <v>0</v>
      </c>
      <c r="AF162" s="106">
        <v>0</v>
      </c>
      <c r="AG162" s="106">
        <v>0</v>
      </c>
      <c r="AH162" s="106">
        <v>0</v>
      </c>
      <c r="AI162" s="106">
        <v>0</v>
      </c>
      <c r="AJ162" s="106">
        <v>0</v>
      </c>
      <c r="AK162" s="106">
        <v>0</v>
      </c>
      <c r="AL162" s="106">
        <v>0</v>
      </c>
      <c r="AM162" s="106">
        <v>0</v>
      </c>
      <c r="AN162" s="106">
        <v>0</v>
      </c>
      <c r="AO162" s="106">
        <v>0</v>
      </c>
      <c r="AP162" s="106">
        <v>0</v>
      </c>
      <c r="AQ162" s="106">
        <v>0</v>
      </c>
      <c r="AR162" s="106">
        <v>0</v>
      </c>
      <c r="AS162" s="106">
        <v>0</v>
      </c>
      <c r="AT162" s="106">
        <v>0</v>
      </c>
      <c r="AU162" s="106">
        <v>0</v>
      </c>
      <c r="AV162" s="106">
        <v>0</v>
      </c>
      <c r="AW162" s="106">
        <v>0</v>
      </c>
      <c r="AX162" s="106">
        <v>0</v>
      </c>
      <c r="AY162" s="106">
        <v>0</v>
      </c>
    </row>
    <row r="163" spans="1:52">
      <c r="A163" s="109"/>
      <c r="B163" s="130">
        <v>42</v>
      </c>
      <c r="C163" s="106">
        <v>0</v>
      </c>
      <c r="D163" s="106">
        <v>0</v>
      </c>
      <c r="E163" s="106">
        <v>0</v>
      </c>
      <c r="F163" s="106">
        <v>0</v>
      </c>
      <c r="G163" s="106">
        <v>0</v>
      </c>
      <c r="H163" s="106">
        <v>0</v>
      </c>
      <c r="I163" s="106">
        <v>0</v>
      </c>
      <c r="J163" s="106">
        <v>0</v>
      </c>
      <c r="K163" s="106">
        <v>0</v>
      </c>
      <c r="L163" s="106">
        <v>0</v>
      </c>
      <c r="M163" s="106">
        <v>0</v>
      </c>
      <c r="N163" s="106">
        <v>0</v>
      </c>
      <c r="O163" s="106">
        <v>0</v>
      </c>
      <c r="P163" s="106">
        <v>0</v>
      </c>
      <c r="Q163" s="106">
        <v>0</v>
      </c>
      <c r="R163" s="106">
        <v>0</v>
      </c>
      <c r="S163" s="106">
        <v>0</v>
      </c>
      <c r="T163" s="106">
        <v>0</v>
      </c>
      <c r="U163" s="106">
        <v>0</v>
      </c>
      <c r="V163" s="106">
        <v>0</v>
      </c>
      <c r="W163" s="106">
        <v>0</v>
      </c>
      <c r="X163" s="106">
        <v>0</v>
      </c>
      <c r="Y163" s="106">
        <v>0</v>
      </c>
      <c r="Z163" s="106">
        <v>0</v>
      </c>
      <c r="AA163" s="106">
        <v>0</v>
      </c>
      <c r="AB163" s="106">
        <v>0</v>
      </c>
      <c r="AC163" s="106">
        <v>0</v>
      </c>
      <c r="AD163" s="106">
        <v>0</v>
      </c>
      <c r="AE163" s="106">
        <v>0</v>
      </c>
      <c r="AF163" s="106">
        <v>0</v>
      </c>
      <c r="AG163" s="106">
        <v>0</v>
      </c>
      <c r="AH163" s="106">
        <v>0</v>
      </c>
      <c r="AI163" s="106">
        <v>0</v>
      </c>
      <c r="AJ163" s="106">
        <v>0</v>
      </c>
      <c r="AK163" s="106">
        <v>0</v>
      </c>
      <c r="AL163" s="106">
        <v>0</v>
      </c>
      <c r="AM163" s="106">
        <v>0</v>
      </c>
      <c r="AN163" s="106">
        <v>0</v>
      </c>
      <c r="AO163" s="106">
        <v>0</v>
      </c>
      <c r="AP163" s="106">
        <v>0</v>
      </c>
      <c r="AQ163" s="106">
        <v>0</v>
      </c>
      <c r="AR163" s="106">
        <v>0</v>
      </c>
      <c r="AS163" s="106">
        <v>0</v>
      </c>
      <c r="AT163" s="106">
        <v>0</v>
      </c>
      <c r="AU163" s="106">
        <v>0</v>
      </c>
      <c r="AV163" s="106">
        <v>0</v>
      </c>
      <c r="AW163" s="106">
        <v>0</v>
      </c>
      <c r="AX163" s="106">
        <v>0</v>
      </c>
      <c r="AY163" s="106">
        <v>0</v>
      </c>
    </row>
    <row r="164" spans="1:52">
      <c r="A164" s="109"/>
      <c r="B164" s="130">
        <v>43</v>
      </c>
      <c r="C164" s="106">
        <v>0</v>
      </c>
      <c r="D164" s="106">
        <v>0</v>
      </c>
      <c r="E164" s="106">
        <v>0</v>
      </c>
      <c r="F164" s="106">
        <v>0</v>
      </c>
      <c r="G164" s="106">
        <v>0</v>
      </c>
      <c r="H164" s="106">
        <v>0</v>
      </c>
      <c r="I164" s="106">
        <v>0</v>
      </c>
      <c r="J164" s="106">
        <v>0</v>
      </c>
      <c r="K164" s="106">
        <v>0</v>
      </c>
      <c r="L164" s="106">
        <v>0</v>
      </c>
      <c r="M164" s="106">
        <v>0</v>
      </c>
      <c r="N164" s="106">
        <v>0</v>
      </c>
      <c r="O164" s="106">
        <v>0</v>
      </c>
      <c r="P164" s="106">
        <v>0</v>
      </c>
      <c r="Q164" s="106">
        <v>0</v>
      </c>
      <c r="R164" s="106">
        <v>0</v>
      </c>
      <c r="S164" s="106">
        <v>0</v>
      </c>
      <c r="T164" s="106">
        <v>0</v>
      </c>
      <c r="U164" s="106">
        <v>0</v>
      </c>
      <c r="V164" s="106">
        <v>0</v>
      </c>
      <c r="W164" s="106">
        <v>0</v>
      </c>
      <c r="X164" s="106">
        <v>0</v>
      </c>
      <c r="Y164" s="106">
        <v>0</v>
      </c>
      <c r="Z164" s="106">
        <v>0</v>
      </c>
      <c r="AA164" s="106">
        <v>0</v>
      </c>
      <c r="AB164" s="106">
        <v>0</v>
      </c>
      <c r="AC164" s="106">
        <v>0</v>
      </c>
      <c r="AD164" s="106">
        <v>0</v>
      </c>
      <c r="AE164" s="106">
        <v>0</v>
      </c>
      <c r="AF164" s="106">
        <v>0</v>
      </c>
      <c r="AG164" s="106">
        <v>0</v>
      </c>
      <c r="AH164" s="106">
        <v>0</v>
      </c>
      <c r="AI164" s="106">
        <v>0</v>
      </c>
      <c r="AJ164" s="106">
        <v>0</v>
      </c>
      <c r="AK164" s="106">
        <v>0</v>
      </c>
      <c r="AL164" s="106">
        <v>0</v>
      </c>
      <c r="AM164" s="106">
        <v>0</v>
      </c>
      <c r="AN164" s="106">
        <v>0</v>
      </c>
      <c r="AO164" s="106">
        <v>0</v>
      </c>
      <c r="AP164" s="106">
        <v>0</v>
      </c>
      <c r="AQ164" s="106">
        <v>0</v>
      </c>
      <c r="AR164" s="106">
        <v>0</v>
      </c>
      <c r="AS164" s="106">
        <v>0</v>
      </c>
      <c r="AT164" s="106">
        <v>0</v>
      </c>
      <c r="AU164" s="106">
        <v>0</v>
      </c>
      <c r="AV164" s="106">
        <v>0</v>
      </c>
      <c r="AW164" s="106">
        <v>0</v>
      </c>
      <c r="AX164" s="106">
        <v>0</v>
      </c>
      <c r="AY164" s="106">
        <v>0</v>
      </c>
    </row>
    <row r="165" spans="1:52">
      <c r="A165" s="109"/>
      <c r="B165" s="130">
        <v>44</v>
      </c>
      <c r="C165" s="106">
        <v>0</v>
      </c>
      <c r="D165" s="106">
        <v>0</v>
      </c>
      <c r="E165" s="106">
        <v>0</v>
      </c>
      <c r="F165" s="106">
        <v>0</v>
      </c>
      <c r="G165" s="106">
        <v>0</v>
      </c>
      <c r="H165" s="106">
        <v>0</v>
      </c>
      <c r="I165" s="106">
        <v>0</v>
      </c>
      <c r="J165" s="106">
        <v>0</v>
      </c>
      <c r="K165" s="106">
        <v>0</v>
      </c>
      <c r="L165" s="106">
        <v>0</v>
      </c>
      <c r="M165" s="106">
        <v>0</v>
      </c>
      <c r="N165" s="106">
        <v>0</v>
      </c>
      <c r="O165" s="106">
        <v>0</v>
      </c>
      <c r="P165" s="106">
        <v>0</v>
      </c>
      <c r="Q165" s="106">
        <v>0</v>
      </c>
      <c r="R165" s="106">
        <v>0</v>
      </c>
      <c r="S165" s="106">
        <v>0</v>
      </c>
      <c r="T165" s="106">
        <v>0</v>
      </c>
      <c r="U165" s="106">
        <v>0</v>
      </c>
      <c r="V165" s="106">
        <v>0</v>
      </c>
      <c r="W165" s="106">
        <v>0</v>
      </c>
      <c r="X165" s="106">
        <v>0</v>
      </c>
      <c r="Y165" s="106">
        <v>0</v>
      </c>
      <c r="Z165" s="106">
        <v>0</v>
      </c>
      <c r="AA165" s="106">
        <v>0</v>
      </c>
      <c r="AB165" s="106">
        <v>0</v>
      </c>
      <c r="AC165" s="106">
        <v>0</v>
      </c>
      <c r="AD165" s="106">
        <v>0</v>
      </c>
      <c r="AE165" s="106">
        <v>0</v>
      </c>
      <c r="AF165" s="106">
        <v>0</v>
      </c>
      <c r="AG165" s="106">
        <v>0</v>
      </c>
      <c r="AH165" s="106">
        <v>0</v>
      </c>
      <c r="AI165" s="106">
        <v>0</v>
      </c>
      <c r="AJ165" s="106">
        <v>0</v>
      </c>
      <c r="AK165" s="106">
        <v>0</v>
      </c>
      <c r="AL165" s="106">
        <v>0</v>
      </c>
      <c r="AM165" s="106">
        <v>0</v>
      </c>
      <c r="AN165" s="106">
        <v>0</v>
      </c>
      <c r="AO165" s="106">
        <v>0</v>
      </c>
      <c r="AP165" s="106">
        <v>0</v>
      </c>
      <c r="AQ165" s="106">
        <v>0</v>
      </c>
      <c r="AR165" s="106">
        <v>0</v>
      </c>
      <c r="AS165" s="106">
        <v>0</v>
      </c>
      <c r="AT165" s="106">
        <v>0</v>
      </c>
      <c r="AU165" s="106">
        <v>0</v>
      </c>
      <c r="AV165" s="106">
        <v>0</v>
      </c>
      <c r="AW165" s="106">
        <v>0</v>
      </c>
      <c r="AX165" s="106">
        <v>0</v>
      </c>
      <c r="AY165" s="106">
        <v>0</v>
      </c>
    </row>
    <row r="166" spans="1:52">
      <c r="A166" s="109"/>
      <c r="B166" s="130">
        <v>45</v>
      </c>
      <c r="C166" s="106">
        <v>0</v>
      </c>
      <c r="D166" s="106">
        <v>0</v>
      </c>
      <c r="E166" s="106">
        <v>0</v>
      </c>
      <c r="F166" s="106">
        <v>0</v>
      </c>
      <c r="G166" s="106">
        <v>0</v>
      </c>
      <c r="H166" s="106">
        <v>0</v>
      </c>
      <c r="I166" s="106">
        <v>0</v>
      </c>
      <c r="J166" s="106">
        <v>0</v>
      </c>
      <c r="K166" s="106">
        <v>0</v>
      </c>
      <c r="L166" s="106">
        <v>0</v>
      </c>
      <c r="M166" s="106">
        <v>0</v>
      </c>
      <c r="N166" s="106">
        <v>0</v>
      </c>
      <c r="O166" s="106">
        <v>0</v>
      </c>
      <c r="P166" s="106">
        <v>0</v>
      </c>
      <c r="Q166" s="106">
        <v>0</v>
      </c>
      <c r="R166" s="106">
        <v>0</v>
      </c>
      <c r="S166" s="106">
        <v>0</v>
      </c>
      <c r="T166" s="106">
        <v>0</v>
      </c>
      <c r="U166" s="106">
        <v>0</v>
      </c>
      <c r="V166" s="106">
        <v>0</v>
      </c>
      <c r="W166" s="106">
        <v>0</v>
      </c>
      <c r="X166" s="106">
        <v>0</v>
      </c>
      <c r="Y166" s="106">
        <v>0</v>
      </c>
      <c r="Z166" s="106">
        <v>0</v>
      </c>
      <c r="AA166" s="106">
        <v>0</v>
      </c>
      <c r="AB166" s="106">
        <v>0</v>
      </c>
      <c r="AC166" s="106">
        <v>0</v>
      </c>
      <c r="AD166" s="106">
        <v>0</v>
      </c>
      <c r="AE166" s="106">
        <v>0</v>
      </c>
      <c r="AF166" s="106">
        <v>0</v>
      </c>
      <c r="AG166" s="106">
        <v>0</v>
      </c>
      <c r="AH166" s="106">
        <v>0</v>
      </c>
      <c r="AI166" s="106">
        <v>0</v>
      </c>
      <c r="AJ166" s="106">
        <v>0</v>
      </c>
      <c r="AK166" s="106">
        <v>0</v>
      </c>
      <c r="AL166" s="106">
        <v>0</v>
      </c>
      <c r="AM166" s="106">
        <v>0</v>
      </c>
      <c r="AN166" s="106">
        <v>0</v>
      </c>
      <c r="AO166" s="106">
        <v>0</v>
      </c>
      <c r="AP166" s="106">
        <v>0</v>
      </c>
      <c r="AQ166" s="106">
        <v>0</v>
      </c>
      <c r="AR166" s="106">
        <v>0</v>
      </c>
      <c r="AS166" s="106">
        <v>0</v>
      </c>
      <c r="AT166" s="106">
        <v>0</v>
      </c>
      <c r="AU166" s="106">
        <v>0</v>
      </c>
      <c r="AV166" s="106">
        <v>0</v>
      </c>
      <c r="AW166" s="106">
        <v>0</v>
      </c>
      <c r="AX166" s="106">
        <v>0</v>
      </c>
      <c r="AY166" s="106">
        <v>0</v>
      </c>
    </row>
    <row r="167" spans="1:52">
      <c r="A167" s="109"/>
      <c r="B167" s="130">
        <v>46</v>
      </c>
      <c r="C167" s="106">
        <v>0</v>
      </c>
      <c r="D167" s="106">
        <v>0</v>
      </c>
      <c r="E167" s="106">
        <v>0</v>
      </c>
      <c r="F167" s="106">
        <v>0</v>
      </c>
      <c r="G167" s="106">
        <v>0</v>
      </c>
      <c r="H167" s="106">
        <v>0</v>
      </c>
      <c r="I167" s="106">
        <v>0</v>
      </c>
      <c r="J167" s="106">
        <v>0</v>
      </c>
      <c r="K167" s="106">
        <v>0</v>
      </c>
      <c r="L167" s="106">
        <v>0</v>
      </c>
      <c r="M167" s="106">
        <v>0</v>
      </c>
      <c r="N167" s="106">
        <v>0</v>
      </c>
      <c r="O167" s="106">
        <v>0</v>
      </c>
      <c r="P167" s="106">
        <v>0</v>
      </c>
      <c r="Q167" s="106">
        <v>0</v>
      </c>
      <c r="R167" s="106">
        <v>0</v>
      </c>
      <c r="S167" s="106">
        <v>0</v>
      </c>
      <c r="T167" s="106">
        <v>0</v>
      </c>
      <c r="U167" s="106">
        <v>0</v>
      </c>
      <c r="V167" s="106">
        <v>0</v>
      </c>
      <c r="W167" s="106">
        <v>0</v>
      </c>
      <c r="X167" s="106">
        <v>0</v>
      </c>
      <c r="Y167" s="106">
        <v>0</v>
      </c>
      <c r="Z167" s="106">
        <v>0</v>
      </c>
      <c r="AA167" s="106">
        <v>0</v>
      </c>
      <c r="AB167" s="106">
        <v>0</v>
      </c>
      <c r="AC167" s="106">
        <v>0</v>
      </c>
      <c r="AD167" s="106">
        <v>0</v>
      </c>
      <c r="AE167" s="106">
        <v>0</v>
      </c>
      <c r="AF167" s="106">
        <v>0</v>
      </c>
      <c r="AG167" s="106">
        <v>0</v>
      </c>
      <c r="AH167" s="106">
        <v>0</v>
      </c>
      <c r="AI167" s="106">
        <v>0</v>
      </c>
      <c r="AJ167" s="106">
        <v>0</v>
      </c>
      <c r="AK167" s="106">
        <v>0</v>
      </c>
      <c r="AL167" s="106">
        <v>0</v>
      </c>
      <c r="AM167" s="106">
        <v>0</v>
      </c>
      <c r="AN167" s="106">
        <v>0</v>
      </c>
      <c r="AO167" s="106">
        <v>0</v>
      </c>
      <c r="AP167" s="106">
        <v>0</v>
      </c>
      <c r="AQ167" s="106">
        <v>0</v>
      </c>
      <c r="AR167" s="106">
        <v>0</v>
      </c>
      <c r="AS167" s="106">
        <v>0</v>
      </c>
      <c r="AT167" s="106">
        <v>0</v>
      </c>
      <c r="AU167" s="106">
        <v>0</v>
      </c>
      <c r="AV167" s="106">
        <v>0</v>
      </c>
      <c r="AW167" s="106">
        <v>0</v>
      </c>
      <c r="AX167" s="106">
        <v>0</v>
      </c>
      <c r="AY167" s="106">
        <v>0</v>
      </c>
    </row>
    <row r="168" spans="1:52">
      <c r="A168" s="109"/>
      <c r="B168" s="130">
        <v>47</v>
      </c>
      <c r="C168" s="106">
        <v>0</v>
      </c>
      <c r="D168" s="106">
        <v>0</v>
      </c>
      <c r="E168" s="106">
        <v>0</v>
      </c>
      <c r="F168" s="106">
        <v>0</v>
      </c>
      <c r="G168" s="106">
        <v>0</v>
      </c>
      <c r="H168" s="106">
        <v>0</v>
      </c>
      <c r="I168" s="106">
        <v>0</v>
      </c>
      <c r="J168" s="106">
        <v>0</v>
      </c>
      <c r="K168" s="106">
        <v>0</v>
      </c>
      <c r="L168" s="106">
        <v>0</v>
      </c>
      <c r="M168" s="106">
        <v>0</v>
      </c>
      <c r="N168" s="106">
        <v>0</v>
      </c>
      <c r="O168" s="106">
        <v>0</v>
      </c>
      <c r="P168" s="106">
        <v>0</v>
      </c>
      <c r="Q168" s="106">
        <v>0</v>
      </c>
      <c r="R168" s="106">
        <v>0</v>
      </c>
      <c r="S168" s="106">
        <v>0</v>
      </c>
      <c r="T168" s="106">
        <v>0</v>
      </c>
      <c r="U168" s="106">
        <v>0</v>
      </c>
      <c r="V168" s="106">
        <v>0</v>
      </c>
      <c r="W168" s="106">
        <v>0</v>
      </c>
      <c r="X168" s="106">
        <v>0</v>
      </c>
      <c r="Y168" s="106">
        <v>0</v>
      </c>
      <c r="Z168" s="106">
        <v>0</v>
      </c>
      <c r="AA168" s="106">
        <v>0</v>
      </c>
      <c r="AB168" s="106">
        <v>0</v>
      </c>
      <c r="AC168" s="106">
        <v>0</v>
      </c>
      <c r="AD168" s="106">
        <v>0</v>
      </c>
      <c r="AE168" s="106">
        <v>0</v>
      </c>
      <c r="AF168" s="106">
        <v>0</v>
      </c>
      <c r="AG168" s="106">
        <v>0</v>
      </c>
      <c r="AH168" s="106">
        <v>0</v>
      </c>
      <c r="AI168" s="106">
        <v>0</v>
      </c>
      <c r="AJ168" s="106">
        <v>0</v>
      </c>
      <c r="AK168" s="106">
        <v>0</v>
      </c>
      <c r="AL168" s="106">
        <v>0</v>
      </c>
      <c r="AM168" s="106">
        <v>0</v>
      </c>
      <c r="AN168" s="106">
        <v>0</v>
      </c>
      <c r="AO168" s="106">
        <v>0</v>
      </c>
      <c r="AP168" s="106">
        <v>0</v>
      </c>
      <c r="AQ168" s="106">
        <v>0</v>
      </c>
      <c r="AR168" s="106">
        <v>0</v>
      </c>
      <c r="AS168" s="106">
        <v>0</v>
      </c>
      <c r="AT168" s="106">
        <v>0</v>
      </c>
      <c r="AU168" s="106">
        <v>0</v>
      </c>
      <c r="AV168" s="106">
        <v>0</v>
      </c>
      <c r="AW168" s="106">
        <v>0</v>
      </c>
      <c r="AX168" s="106">
        <v>0</v>
      </c>
      <c r="AY168" s="106">
        <v>0</v>
      </c>
    </row>
    <row r="169" spans="1:52">
      <c r="A169" s="109"/>
      <c r="B169" s="130">
        <v>48</v>
      </c>
      <c r="C169" s="106">
        <v>0</v>
      </c>
      <c r="D169" s="106">
        <v>0</v>
      </c>
      <c r="E169" s="106">
        <v>0</v>
      </c>
      <c r="F169" s="106">
        <v>0</v>
      </c>
      <c r="G169" s="106">
        <v>0</v>
      </c>
      <c r="H169" s="106">
        <v>0</v>
      </c>
      <c r="I169" s="106">
        <v>0</v>
      </c>
      <c r="J169" s="106">
        <v>0</v>
      </c>
      <c r="K169" s="106">
        <v>0</v>
      </c>
      <c r="L169" s="106">
        <v>0</v>
      </c>
      <c r="M169" s="106">
        <v>0</v>
      </c>
      <c r="N169" s="106">
        <v>0</v>
      </c>
      <c r="O169" s="106">
        <v>0</v>
      </c>
      <c r="P169" s="106">
        <v>0</v>
      </c>
      <c r="Q169" s="106">
        <v>0</v>
      </c>
      <c r="R169" s="106">
        <v>0</v>
      </c>
      <c r="S169" s="106">
        <v>0</v>
      </c>
      <c r="T169" s="106">
        <v>0</v>
      </c>
      <c r="U169" s="106">
        <v>0</v>
      </c>
      <c r="V169" s="106">
        <v>0</v>
      </c>
      <c r="W169" s="106">
        <v>0</v>
      </c>
      <c r="X169" s="106">
        <v>0</v>
      </c>
      <c r="Y169" s="106">
        <v>0</v>
      </c>
      <c r="Z169" s="106">
        <v>0</v>
      </c>
      <c r="AA169" s="106">
        <v>0</v>
      </c>
      <c r="AB169" s="106">
        <v>0</v>
      </c>
      <c r="AC169" s="106">
        <v>0</v>
      </c>
      <c r="AD169" s="106">
        <v>0</v>
      </c>
      <c r="AE169" s="106">
        <v>0</v>
      </c>
      <c r="AF169" s="106">
        <v>0</v>
      </c>
      <c r="AG169" s="106">
        <v>0</v>
      </c>
      <c r="AH169" s="106">
        <v>0</v>
      </c>
      <c r="AI169" s="106">
        <v>0</v>
      </c>
      <c r="AJ169" s="106">
        <v>0</v>
      </c>
      <c r="AK169" s="106">
        <v>0</v>
      </c>
      <c r="AL169" s="106">
        <v>0</v>
      </c>
      <c r="AM169" s="106">
        <v>0</v>
      </c>
      <c r="AN169" s="106">
        <v>0</v>
      </c>
      <c r="AO169" s="106">
        <v>0</v>
      </c>
      <c r="AP169" s="106">
        <v>0</v>
      </c>
      <c r="AQ169" s="106">
        <v>0</v>
      </c>
      <c r="AR169" s="106">
        <v>0</v>
      </c>
      <c r="AS169" s="106">
        <v>0</v>
      </c>
      <c r="AT169" s="106">
        <v>0</v>
      </c>
      <c r="AU169" s="106">
        <v>0</v>
      </c>
      <c r="AV169" s="106">
        <v>0</v>
      </c>
      <c r="AW169" s="106">
        <v>0</v>
      </c>
      <c r="AX169" s="106">
        <v>0</v>
      </c>
      <c r="AY169" s="106">
        <v>0</v>
      </c>
    </row>
    <row r="170" spans="1:52">
      <c r="A170" s="128"/>
      <c r="B170" s="132" t="s">
        <v>296</v>
      </c>
      <c r="C170" s="114">
        <v>0</v>
      </c>
      <c r="D170" s="125">
        <v>0</v>
      </c>
      <c r="E170" s="125">
        <v>0</v>
      </c>
      <c r="F170" s="125">
        <v>0</v>
      </c>
      <c r="G170" s="125">
        <v>0</v>
      </c>
      <c r="H170" s="125">
        <v>0</v>
      </c>
      <c r="I170" s="125">
        <v>0</v>
      </c>
      <c r="J170" s="125">
        <v>0</v>
      </c>
      <c r="K170" s="125">
        <v>0</v>
      </c>
      <c r="L170" s="125">
        <v>0</v>
      </c>
      <c r="M170" s="125">
        <v>0</v>
      </c>
      <c r="N170" s="125">
        <v>0</v>
      </c>
      <c r="O170" s="125">
        <v>0</v>
      </c>
      <c r="P170" s="125">
        <v>0</v>
      </c>
      <c r="Q170" s="125">
        <v>0</v>
      </c>
      <c r="R170" s="125">
        <v>0</v>
      </c>
      <c r="S170" s="125">
        <v>0</v>
      </c>
      <c r="T170" s="125">
        <v>0</v>
      </c>
      <c r="U170" s="125">
        <v>0</v>
      </c>
      <c r="V170" s="125">
        <v>0</v>
      </c>
      <c r="W170" s="125">
        <v>0</v>
      </c>
      <c r="X170" s="125">
        <v>0</v>
      </c>
      <c r="Y170" s="125">
        <v>0</v>
      </c>
      <c r="Z170" s="125">
        <v>0</v>
      </c>
      <c r="AA170" s="125">
        <v>0</v>
      </c>
      <c r="AB170" s="125">
        <v>0</v>
      </c>
      <c r="AC170" s="125">
        <v>0</v>
      </c>
      <c r="AD170" s="125">
        <v>0</v>
      </c>
      <c r="AE170" s="125">
        <v>0</v>
      </c>
      <c r="AF170" s="125">
        <v>0</v>
      </c>
      <c r="AG170" s="125">
        <v>0</v>
      </c>
      <c r="AH170" s="125">
        <v>0</v>
      </c>
      <c r="AI170" s="125">
        <v>0</v>
      </c>
      <c r="AJ170" s="125">
        <v>0</v>
      </c>
      <c r="AK170" s="125">
        <v>0</v>
      </c>
      <c r="AL170" s="125">
        <v>0</v>
      </c>
      <c r="AM170" s="125">
        <v>0</v>
      </c>
      <c r="AN170" s="125">
        <v>0</v>
      </c>
      <c r="AO170" s="125">
        <v>0</v>
      </c>
      <c r="AP170" s="125">
        <v>0</v>
      </c>
      <c r="AQ170" s="125">
        <v>0</v>
      </c>
      <c r="AR170" s="125">
        <v>0</v>
      </c>
      <c r="AS170" s="125">
        <v>0</v>
      </c>
      <c r="AT170" s="125">
        <v>0</v>
      </c>
      <c r="AU170" s="125">
        <v>0</v>
      </c>
      <c r="AV170" s="125">
        <v>0</v>
      </c>
      <c r="AW170" s="125">
        <v>0</v>
      </c>
      <c r="AX170" s="125">
        <v>0</v>
      </c>
      <c r="AY170" s="125">
        <v>0</v>
      </c>
      <c r="AZ170" s="107">
        <f>SUM($D170:$AY170)</f>
        <v>0</v>
      </c>
    </row>
    <row r="172" spans="1:52">
      <c r="A172" s="102" t="s">
        <v>124</v>
      </c>
      <c r="B172" s="133" t="s">
        <v>297</v>
      </c>
      <c r="C172" s="134">
        <v>0.35503847016814771</v>
      </c>
      <c r="D172" s="134">
        <v>0.35628888030840722</v>
      </c>
      <c r="E172" s="134">
        <v>0.35628888030840722</v>
      </c>
      <c r="F172" s="134">
        <v>0.35628888030840722</v>
      </c>
      <c r="G172" s="134">
        <v>0.35628888030840722</v>
      </c>
      <c r="H172" s="134">
        <v>0.35628888030840722</v>
      </c>
      <c r="I172" s="134">
        <v>0.35628888030840722</v>
      </c>
      <c r="J172" s="134">
        <v>0.35628888030840722</v>
      </c>
      <c r="K172" s="134">
        <v>0.35628888030840722</v>
      </c>
      <c r="L172" s="134">
        <v>0.35628888030840722</v>
      </c>
      <c r="M172" s="134">
        <v>0.35628888030840722</v>
      </c>
      <c r="N172" s="134">
        <v>0.35628888030840722</v>
      </c>
      <c r="O172" s="134">
        <v>0.35628888030840722</v>
      </c>
      <c r="P172" s="134">
        <v>0.35628888030840722</v>
      </c>
      <c r="Q172" s="134">
        <v>0.35628888030840722</v>
      </c>
      <c r="R172" s="134">
        <v>0.35628888030840722</v>
      </c>
      <c r="S172" s="134">
        <v>0.35628888030840722</v>
      </c>
      <c r="T172" s="134">
        <v>0.35628888030840722</v>
      </c>
      <c r="U172" s="134">
        <v>0.35628888030840722</v>
      </c>
      <c r="V172" s="134">
        <v>0.35628888030840722</v>
      </c>
      <c r="W172" s="134">
        <v>0.35628888030840722</v>
      </c>
      <c r="X172" s="134">
        <v>0.35628888030840722</v>
      </c>
      <c r="Y172" s="134">
        <v>0.35628888030840722</v>
      </c>
      <c r="Z172" s="134">
        <v>0.35628888030840722</v>
      </c>
      <c r="AA172" s="134">
        <v>0.35628888030840722</v>
      </c>
      <c r="AB172" s="134">
        <v>0.35628888030840722</v>
      </c>
      <c r="AC172" s="134">
        <v>0.35628888030840722</v>
      </c>
      <c r="AD172" s="134">
        <v>0.35628888030840722</v>
      </c>
      <c r="AE172" s="134">
        <v>0.35628888030840722</v>
      </c>
      <c r="AF172" s="134">
        <v>0.35628888030840722</v>
      </c>
      <c r="AG172" s="134">
        <v>0.35628888030840722</v>
      </c>
      <c r="AH172" s="134">
        <v>0.35628888030840722</v>
      </c>
      <c r="AI172" s="134">
        <v>0.35628888030840722</v>
      </c>
      <c r="AJ172" s="134">
        <v>0.35628888030840722</v>
      </c>
      <c r="AK172" s="134">
        <v>0.35628888030840722</v>
      </c>
      <c r="AL172" s="134">
        <v>0.35628888030840722</v>
      </c>
      <c r="AM172" s="134">
        <v>0.35628888030840722</v>
      </c>
      <c r="AN172" s="134">
        <v>0.35628888030840722</v>
      </c>
      <c r="AO172" s="134">
        <v>0.35628888030840722</v>
      </c>
      <c r="AP172" s="134">
        <v>0.35628888030840722</v>
      </c>
      <c r="AQ172" s="134">
        <v>0.35628888030840722</v>
      </c>
      <c r="AR172" s="134">
        <v>0.35628888030840722</v>
      </c>
      <c r="AS172" s="134">
        <v>0.35628888030840722</v>
      </c>
      <c r="AT172" s="134">
        <v>0.35628888030840722</v>
      </c>
      <c r="AU172" s="134">
        <v>0.35628888030840722</v>
      </c>
      <c r="AV172" s="134">
        <v>0.35628888030840722</v>
      </c>
      <c r="AW172" s="134">
        <v>0.35628888030840722</v>
      </c>
      <c r="AX172" s="134">
        <v>0.35628888030840722</v>
      </c>
      <c r="AY172" s="134">
        <v>0.35628888030840722</v>
      </c>
    </row>
    <row r="174" spans="1:52">
      <c r="A174" s="102" t="s">
        <v>272</v>
      </c>
    </row>
    <row r="175" spans="1:52">
      <c r="A175" s="135" t="s">
        <v>125</v>
      </c>
      <c r="B175" s="135" t="s">
        <v>298</v>
      </c>
      <c r="C175" s="124" t="s">
        <v>293</v>
      </c>
      <c r="D175" s="124">
        <f t="shared" ref="D175:AY175" si="1">SUM(D95:D98)</f>
        <v>162.25521877545361</v>
      </c>
      <c r="E175" s="124">
        <f t="shared" si="1"/>
        <v>157.25521877545361</v>
      </c>
      <c r="F175" s="124">
        <f t="shared" si="1"/>
        <v>184.25521877545361</v>
      </c>
      <c r="G175" s="124">
        <f t="shared" si="1"/>
        <v>206.25521877545361</v>
      </c>
      <c r="H175" s="124">
        <f t="shared" si="1"/>
        <v>177.25521877545361</v>
      </c>
      <c r="I175" s="124">
        <f t="shared" si="1"/>
        <v>184.25521877545361</v>
      </c>
      <c r="J175" s="124">
        <f t="shared" si="1"/>
        <v>205.25521877545361</v>
      </c>
      <c r="K175" s="124">
        <f t="shared" si="1"/>
        <v>216.25521877545361</v>
      </c>
      <c r="L175" s="124">
        <f t="shared" si="1"/>
        <v>196.25521877545361</v>
      </c>
      <c r="M175" s="124">
        <f t="shared" si="1"/>
        <v>172.25521877545361</v>
      </c>
      <c r="N175" s="124">
        <f t="shared" si="1"/>
        <v>140.25521877545361</v>
      </c>
      <c r="O175" s="124">
        <f t="shared" si="1"/>
        <v>158.25521877545361</v>
      </c>
      <c r="P175" s="124">
        <f t="shared" si="1"/>
        <v>140</v>
      </c>
      <c r="Q175" s="124">
        <f t="shared" si="1"/>
        <v>140</v>
      </c>
      <c r="R175" s="124">
        <f t="shared" si="1"/>
        <v>140</v>
      </c>
      <c r="S175" s="124">
        <f t="shared" si="1"/>
        <v>140</v>
      </c>
      <c r="T175" s="124">
        <f t="shared" si="1"/>
        <v>140</v>
      </c>
      <c r="U175" s="124">
        <f t="shared" si="1"/>
        <v>140</v>
      </c>
      <c r="V175" s="124">
        <f t="shared" si="1"/>
        <v>140</v>
      </c>
      <c r="W175" s="124">
        <f t="shared" si="1"/>
        <v>172</v>
      </c>
      <c r="X175" s="124">
        <f t="shared" si="1"/>
        <v>193</v>
      </c>
      <c r="Y175" s="124">
        <f t="shared" si="1"/>
        <v>183</v>
      </c>
      <c r="Z175" s="124">
        <f t="shared" si="1"/>
        <v>182</v>
      </c>
      <c r="AA175" s="124">
        <f t="shared" si="1"/>
        <v>193</v>
      </c>
      <c r="AB175" s="124">
        <f t="shared" si="1"/>
        <v>158</v>
      </c>
      <c r="AC175" s="124">
        <f t="shared" si="1"/>
        <v>144</v>
      </c>
      <c r="AD175" s="124">
        <f t="shared" si="1"/>
        <v>140</v>
      </c>
      <c r="AE175" s="124">
        <f t="shared" si="1"/>
        <v>160</v>
      </c>
      <c r="AF175" s="124">
        <f t="shared" si="1"/>
        <v>180</v>
      </c>
      <c r="AG175" s="124">
        <f t="shared" si="1"/>
        <v>180</v>
      </c>
      <c r="AH175" s="124">
        <f t="shared" si="1"/>
        <v>183</v>
      </c>
      <c r="AI175" s="124">
        <f t="shared" si="1"/>
        <v>178</v>
      </c>
      <c r="AJ175" s="124">
        <f t="shared" si="1"/>
        <v>177</v>
      </c>
      <c r="AK175" s="124">
        <f t="shared" si="1"/>
        <v>209</v>
      </c>
      <c r="AL175" s="124">
        <f t="shared" si="1"/>
        <v>161</v>
      </c>
      <c r="AM175" s="124">
        <f t="shared" si="1"/>
        <v>144</v>
      </c>
      <c r="AN175" s="124">
        <f t="shared" si="1"/>
        <v>140</v>
      </c>
      <c r="AO175" s="124">
        <f t="shared" si="1"/>
        <v>164</v>
      </c>
      <c r="AP175" s="124">
        <f t="shared" si="1"/>
        <v>140</v>
      </c>
      <c r="AQ175" s="124">
        <f t="shared" si="1"/>
        <v>140</v>
      </c>
      <c r="AR175" s="124">
        <f t="shared" si="1"/>
        <v>140</v>
      </c>
      <c r="AS175" s="124">
        <f t="shared" si="1"/>
        <v>140</v>
      </c>
      <c r="AT175" s="124">
        <f t="shared" si="1"/>
        <v>140</v>
      </c>
      <c r="AU175" s="124">
        <f t="shared" si="1"/>
        <v>140</v>
      </c>
      <c r="AV175" s="124">
        <f t="shared" si="1"/>
        <v>140</v>
      </c>
      <c r="AW175" s="124">
        <f t="shared" si="1"/>
        <v>146</v>
      </c>
      <c r="AX175" s="124">
        <f t="shared" si="1"/>
        <v>140</v>
      </c>
      <c r="AY175" s="124">
        <f t="shared" si="1"/>
        <v>140</v>
      </c>
    </row>
    <row r="176" spans="1:52">
      <c r="A176" s="125"/>
      <c r="B176" s="136" t="s">
        <v>299</v>
      </c>
      <c r="C176" s="125" t="s">
        <v>293</v>
      </c>
      <c r="D176" s="125">
        <v>145</v>
      </c>
      <c r="E176" s="125">
        <v>113</v>
      </c>
      <c r="F176" s="125">
        <v>118</v>
      </c>
      <c r="G176" s="125">
        <v>169</v>
      </c>
      <c r="H176" s="125">
        <v>133</v>
      </c>
      <c r="I176" s="125">
        <v>119</v>
      </c>
      <c r="J176" s="125">
        <v>129</v>
      </c>
      <c r="K176" s="125">
        <v>160</v>
      </c>
      <c r="L176" s="125">
        <v>164</v>
      </c>
      <c r="M176" s="125">
        <v>172</v>
      </c>
      <c r="N176" s="125">
        <v>122</v>
      </c>
      <c r="O176" s="125">
        <v>158.25521877545361</v>
      </c>
      <c r="P176" s="125">
        <v>140</v>
      </c>
      <c r="Q176" s="125">
        <v>140</v>
      </c>
      <c r="R176" s="125">
        <v>140</v>
      </c>
      <c r="S176" s="125">
        <v>140</v>
      </c>
      <c r="T176" s="125">
        <v>140</v>
      </c>
      <c r="U176" s="125">
        <v>140</v>
      </c>
      <c r="V176" s="125">
        <v>108</v>
      </c>
      <c r="W176" s="125">
        <v>119</v>
      </c>
      <c r="X176" s="125">
        <v>150</v>
      </c>
      <c r="Y176" s="125">
        <v>141</v>
      </c>
      <c r="Z176" s="125">
        <v>129</v>
      </c>
      <c r="AA176" s="125">
        <v>175</v>
      </c>
      <c r="AB176" s="125">
        <v>154</v>
      </c>
      <c r="AC176" s="125">
        <v>144</v>
      </c>
      <c r="AD176" s="125">
        <v>120</v>
      </c>
      <c r="AE176" s="125">
        <v>120</v>
      </c>
      <c r="AF176" s="125">
        <v>140</v>
      </c>
      <c r="AG176" s="125">
        <v>137</v>
      </c>
      <c r="AH176" s="125">
        <v>145</v>
      </c>
      <c r="AI176" s="125">
        <v>141</v>
      </c>
      <c r="AJ176" s="125">
        <v>108</v>
      </c>
      <c r="AK176" s="125">
        <v>188</v>
      </c>
      <c r="AL176" s="125">
        <v>157</v>
      </c>
      <c r="AM176" s="125">
        <v>144</v>
      </c>
      <c r="AN176" s="125">
        <v>116</v>
      </c>
      <c r="AO176" s="125">
        <v>164</v>
      </c>
      <c r="AP176" s="125">
        <v>140</v>
      </c>
      <c r="AQ176" s="125">
        <v>140</v>
      </c>
      <c r="AR176" s="125">
        <v>140</v>
      </c>
      <c r="AS176" s="125">
        <v>140</v>
      </c>
      <c r="AT176" s="125">
        <v>140</v>
      </c>
      <c r="AU176" s="125">
        <v>140</v>
      </c>
      <c r="AV176" s="125">
        <v>134</v>
      </c>
      <c r="AW176" s="125">
        <v>146</v>
      </c>
      <c r="AX176" s="125">
        <v>140</v>
      </c>
      <c r="AY176" s="125">
        <v>140</v>
      </c>
    </row>
    <row r="177" spans="1:51">
      <c r="A177" s="135" t="s">
        <v>133</v>
      </c>
      <c r="B177" s="135" t="s">
        <v>298</v>
      </c>
      <c r="C177" s="124" t="s">
        <v>293</v>
      </c>
      <c r="D177" s="124">
        <f t="shared" ref="D177:AY177" si="2">SUM(D100:D107)</f>
        <v>145.70191705004191</v>
      </c>
      <c r="E177" s="124">
        <f t="shared" si="2"/>
        <v>184.66099756519515</v>
      </c>
      <c r="F177" s="124">
        <f t="shared" si="2"/>
        <v>279.45973880073751</v>
      </c>
      <c r="G177" s="124">
        <f t="shared" si="2"/>
        <v>160.25848003627988</v>
      </c>
      <c r="H177" s="124">
        <f t="shared" si="2"/>
        <v>1.4210854715202004E-14</v>
      </c>
      <c r="I177" s="124">
        <f t="shared" si="2"/>
        <v>180</v>
      </c>
      <c r="J177" s="124">
        <f t="shared" si="2"/>
        <v>200.99999999999994</v>
      </c>
      <c r="K177" s="124">
        <f t="shared" si="2"/>
        <v>272.20125876445758</v>
      </c>
      <c r="L177" s="124">
        <f t="shared" si="2"/>
        <v>361.40251752891515</v>
      </c>
      <c r="M177" s="124">
        <f t="shared" si="2"/>
        <v>292.20125876445752</v>
      </c>
      <c r="N177" s="124">
        <f t="shared" si="2"/>
        <v>412.40251752891515</v>
      </c>
      <c r="O177" s="124">
        <f t="shared" si="2"/>
        <v>371.40251752891515</v>
      </c>
      <c r="P177" s="124">
        <f t="shared" si="2"/>
        <v>309.4025175289151</v>
      </c>
      <c r="Q177" s="124">
        <f t="shared" si="2"/>
        <v>315.4025175289151</v>
      </c>
      <c r="R177" s="124">
        <f t="shared" si="2"/>
        <v>275.40251752891504</v>
      </c>
      <c r="S177" s="124">
        <f t="shared" si="2"/>
        <v>269.40251752891504</v>
      </c>
      <c r="T177" s="124">
        <f t="shared" si="2"/>
        <v>148.60377629337268</v>
      </c>
      <c r="U177" s="124">
        <f t="shared" si="2"/>
        <v>267.79874123554237</v>
      </c>
      <c r="V177" s="124">
        <f t="shared" si="2"/>
        <v>250.79874123554237</v>
      </c>
      <c r="W177" s="124">
        <f t="shared" si="2"/>
        <v>131.59748247108473</v>
      </c>
      <c r="X177" s="124">
        <f t="shared" si="2"/>
        <v>179.99999999999997</v>
      </c>
      <c r="Y177" s="124">
        <f t="shared" si="2"/>
        <v>180</v>
      </c>
      <c r="Z177" s="124">
        <f t="shared" si="2"/>
        <v>179.99999999999997</v>
      </c>
      <c r="AA177" s="124">
        <f t="shared" si="2"/>
        <v>180</v>
      </c>
      <c r="AB177" s="124">
        <f t="shared" si="2"/>
        <v>92.201258764457606</v>
      </c>
      <c r="AC177" s="124">
        <f t="shared" si="2"/>
        <v>180</v>
      </c>
      <c r="AD177" s="124">
        <f t="shared" si="2"/>
        <v>272.20125876445758</v>
      </c>
      <c r="AE177" s="124">
        <f t="shared" si="2"/>
        <v>315.99999999999994</v>
      </c>
      <c r="AF177" s="124">
        <f t="shared" si="2"/>
        <v>228.79874123554231</v>
      </c>
      <c r="AG177" s="124">
        <f t="shared" si="2"/>
        <v>337.99999999999989</v>
      </c>
      <c r="AH177" s="124">
        <f t="shared" si="2"/>
        <v>198.99999999999989</v>
      </c>
      <c r="AI177" s="124">
        <f t="shared" si="2"/>
        <v>286.23846178934718</v>
      </c>
      <c r="AJ177" s="124">
        <f t="shared" si="2"/>
        <v>303.678182343152</v>
      </c>
      <c r="AK177" s="124">
        <f t="shared" si="2"/>
        <v>267.95324659387688</v>
      </c>
      <c r="AL177" s="124">
        <f t="shared" si="2"/>
        <v>90.307357618601401</v>
      </c>
      <c r="AM177" s="124">
        <f t="shared" si="2"/>
        <v>156.08560952908027</v>
      </c>
      <c r="AN177" s="124">
        <f t="shared" si="2"/>
        <v>272.20125876445758</v>
      </c>
      <c r="AO177" s="124">
        <f t="shared" si="2"/>
        <v>324.40251752891515</v>
      </c>
      <c r="AP177" s="124">
        <f t="shared" si="2"/>
        <v>201.20125876445755</v>
      </c>
      <c r="AQ177" s="124">
        <f t="shared" si="2"/>
        <v>220.60377629337273</v>
      </c>
      <c r="AR177" s="124">
        <f t="shared" si="2"/>
        <v>311.40251752891515</v>
      </c>
      <c r="AS177" s="124">
        <f t="shared" si="2"/>
        <v>165.20125876445752</v>
      </c>
      <c r="AT177" s="124">
        <f t="shared" si="2"/>
        <v>288.4025175289151</v>
      </c>
      <c r="AU177" s="124">
        <f t="shared" si="2"/>
        <v>114.20125876445748</v>
      </c>
      <c r="AV177" s="124">
        <f t="shared" si="2"/>
        <v>87.798741235542394</v>
      </c>
      <c r="AW177" s="124">
        <f t="shared" si="2"/>
        <v>184.40251752891521</v>
      </c>
      <c r="AX177" s="124">
        <f t="shared" si="2"/>
        <v>180</v>
      </c>
      <c r="AY177" s="124">
        <f t="shared" si="2"/>
        <v>267.79874123554237</v>
      </c>
    </row>
    <row r="178" spans="1:51">
      <c r="A178" s="125"/>
      <c r="B178" s="136" t="s">
        <v>299</v>
      </c>
      <c r="C178" s="125" t="s">
        <v>293</v>
      </c>
      <c r="D178" s="125">
        <v>145.70191705004191</v>
      </c>
      <c r="E178" s="125">
        <v>173</v>
      </c>
      <c r="F178" s="125">
        <v>207</v>
      </c>
      <c r="G178" s="125">
        <v>160.25848003627988</v>
      </c>
      <c r="H178" s="125">
        <v>1.4210854715202004E-14</v>
      </c>
      <c r="I178" s="125">
        <v>159</v>
      </c>
      <c r="J178" s="125">
        <v>200.99999999999994</v>
      </c>
      <c r="K178" s="125">
        <v>183</v>
      </c>
      <c r="L178" s="125">
        <v>157</v>
      </c>
      <c r="M178" s="125">
        <v>152</v>
      </c>
      <c r="N178" s="125">
        <v>221</v>
      </c>
      <c r="O178" s="125">
        <v>242</v>
      </c>
      <c r="P178" s="125">
        <v>174</v>
      </c>
      <c r="Q178" s="125">
        <v>220</v>
      </c>
      <c r="R178" s="125">
        <v>186</v>
      </c>
      <c r="S178" s="125">
        <v>213</v>
      </c>
      <c r="T178" s="125">
        <v>148.60377629337268</v>
      </c>
      <c r="U178" s="125">
        <v>197</v>
      </c>
      <c r="V178" s="125">
        <v>207</v>
      </c>
      <c r="W178" s="125">
        <v>131.59748247108473</v>
      </c>
      <c r="X178" s="125">
        <v>179.99999999999997</v>
      </c>
      <c r="Y178" s="125">
        <v>180</v>
      </c>
      <c r="Z178" s="125">
        <v>179.99999999999997</v>
      </c>
      <c r="AA178" s="125">
        <v>180</v>
      </c>
      <c r="AB178" s="125">
        <v>92.201258764457606</v>
      </c>
      <c r="AC178" s="125">
        <v>180</v>
      </c>
      <c r="AD178" s="125">
        <v>224</v>
      </c>
      <c r="AE178" s="125">
        <v>175</v>
      </c>
      <c r="AF178" s="125">
        <v>163</v>
      </c>
      <c r="AG178" s="125">
        <v>139</v>
      </c>
      <c r="AH178" s="125">
        <v>198.99999999999989</v>
      </c>
      <c r="AI178" s="125">
        <v>181</v>
      </c>
      <c r="AJ178" s="125">
        <v>182</v>
      </c>
      <c r="AK178" s="125">
        <v>220</v>
      </c>
      <c r="AL178" s="125">
        <v>90.307357618601401</v>
      </c>
      <c r="AM178" s="125">
        <v>156.08560952908027</v>
      </c>
      <c r="AN178" s="125">
        <v>220</v>
      </c>
      <c r="AO178" s="125">
        <v>211</v>
      </c>
      <c r="AP178" s="125">
        <v>165</v>
      </c>
      <c r="AQ178" s="125">
        <v>177</v>
      </c>
      <c r="AR178" s="125">
        <v>234</v>
      </c>
      <c r="AS178" s="125">
        <v>149</v>
      </c>
      <c r="AT178" s="125">
        <v>262</v>
      </c>
      <c r="AU178" s="125">
        <v>114.20125876445748</v>
      </c>
      <c r="AV178" s="125">
        <v>87.798741235542394</v>
      </c>
      <c r="AW178" s="125">
        <v>184.40251752891521</v>
      </c>
      <c r="AX178" s="125">
        <v>180</v>
      </c>
      <c r="AY178" s="125">
        <v>247</v>
      </c>
    </row>
    <row r="179" spans="1:51">
      <c r="A179" s="135" t="s">
        <v>134</v>
      </c>
      <c r="B179" s="135" t="s">
        <v>298</v>
      </c>
      <c r="C179" s="124" t="s">
        <v>293</v>
      </c>
      <c r="D179" s="124">
        <f t="shared" ref="D179:AY179" si="3">SUM(D109:D120)</f>
        <v>140.39260941055232</v>
      </c>
      <c r="E179" s="124">
        <f t="shared" si="3"/>
        <v>115.98569275078444</v>
      </c>
      <c r="F179" s="124">
        <f t="shared" si="3"/>
        <v>95.610967770965487</v>
      </c>
      <c r="G179" s="124">
        <f t="shared" si="3"/>
        <v>119.62113641682632</v>
      </c>
      <c r="H179" s="124">
        <f t="shared" si="3"/>
        <v>112.41312129006333</v>
      </c>
      <c r="I179" s="124">
        <f t="shared" si="3"/>
        <v>27.291115425548455</v>
      </c>
      <c r="J179" s="124">
        <f t="shared" si="3"/>
        <v>71.953944903552596</v>
      </c>
      <c r="K179" s="124">
        <f t="shared" si="3"/>
        <v>71.953944903552596</v>
      </c>
      <c r="L179" s="124">
        <f t="shared" si="3"/>
        <v>117.36900090138786</v>
      </c>
      <c r="M179" s="124">
        <f t="shared" si="3"/>
        <v>151.85414522132473</v>
      </c>
      <c r="N179" s="124">
        <f t="shared" si="3"/>
        <v>125.60112238541372</v>
      </c>
      <c r="O179" s="124">
        <f t="shared" si="3"/>
        <v>140.31344133547449</v>
      </c>
      <c r="P179" s="124">
        <f t="shared" si="3"/>
        <v>152.15967162868759</v>
      </c>
      <c r="Q179" s="124">
        <f t="shared" si="3"/>
        <v>138.96345712320399</v>
      </c>
      <c r="R179" s="124">
        <f t="shared" si="3"/>
        <v>130.80878706975147</v>
      </c>
      <c r="S179" s="124">
        <f t="shared" si="3"/>
        <v>148.83054859956553</v>
      </c>
      <c r="T179" s="124">
        <f t="shared" si="3"/>
        <v>150.39103662262681</v>
      </c>
      <c r="U179" s="124">
        <f t="shared" si="3"/>
        <v>92.762766871041137</v>
      </c>
      <c r="V179" s="124">
        <f t="shared" si="3"/>
        <v>141.90680533724915</v>
      </c>
      <c r="W179" s="124">
        <f t="shared" si="3"/>
        <v>142.71960469284633</v>
      </c>
      <c r="X179" s="124">
        <f t="shared" si="3"/>
        <v>96.302649080939887</v>
      </c>
      <c r="Y179" s="124">
        <f t="shared" si="3"/>
        <v>93.344353267996254</v>
      </c>
      <c r="Z179" s="124">
        <f t="shared" si="3"/>
        <v>71.953944903552596</v>
      </c>
      <c r="AA179" s="124">
        <f t="shared" si="3"/>
        <v>91.243800880768703</v>
      </c>
      <c r="AB179" s="124">
        <f t="shared" si="3"/>
        <v>95.975928462826744</v>
      </c>
      <c r="AC179" s="124">
        <f t="shared" si="3"/>
        <v>42.242302457558111</v>
      </c>
      <c r="AD179" s="124">
        <f t="shared" si="3"/>
        <v>71.953944903552596</v>
      </c>
      <c r="AE179" s="124">
        <f t="shared" si="3"/>
        <v>119.280268829806</v>
      </c>
      <c r="AF179" s="124">
        <f t="shared" si="3"/>
        <v>159.4068887730603</v>
      </c>
      <c r="AG179" s="124">
        <f t="shared" si="3"/>
        <v>143.14163540765622</v>
      </c>
      <c r="AH179" s="124">
        <f t="shared" si="3"/>
        <v>149.85395435771699</v>
      </c>
      <c r="AI179" s="124">
        <f t="shared" si="3"/>
        <v>87.544209665221601</v>
      </c>
      <c r="AJ179" s="124">
        <f t="shared" si="3"/>
        <v>117.039711164721</v>
      </c>
      <c r="AK179" s="124">
        <f t="shared" si="3"/>
        <v>118.90319244026259</v>
      </c>
      <c r="AL179" s="124">
        <f t="shared" si="3"/>
        <v>99.691627813562377</v>
      </c>
      <c r="AM179" s="124">
        <f t="shared" si="3"/>
        <v>16.981177728688571</v>
      </c>
      <c r="AN179" s="124">
        <f t="shared" si="3"/>
        <v>62.329707502544409</v>
      </c>
      <c r="AO179" s="124">
        <f t="shared" si="3"/>
        <v>109.60334817258887</v>
      </c>
      <c r="AP179" s="124">
        <f t="shared" si="3"/>
        <v>143.25003757270804</v>
      </c>
      <c r="AQ179" s="124">
        <f t="shared" si="3"/>
        <v>134.77771383481172</v>
      </c>
      <c r="AR179" s="124">
        <f t="shared" si="3"/>
        <v>143.29993922221712</v>
      </c>
      <c r="AS179" s="124">
        <f t="shared" si="3"/>
        <v>192.44397768842509</v>
      </c>
      <c r="AT179" s="124">
        <f t="shared" si="3"/>
        <v>170.89055890486941</v>
      </c>
      <c r="AU179" s="124">
        <f t="shared" si="3"/>
        <v>203.60287785493017</v>
      </c>
      <c r="AV179" s="124">
        <f t="shared" si="3"/>
        <v>156.85847259407134</v>
      </c>
      <c r="AW179" s="124">
        <f t="shared" si="3"/>
        <v>102.16842417590836</v>
      </c>
      <c r="AX179" s="124">
        <f t="shared" si="3"/>
        <v>73.522225387405371</v>
      </c>
      <c r="AY179" s="124">
        <f t="shared" si="3"/>
        <v>82.160779531082682</v>
      </c>
    </row>
    <row r="180" spans="1:51">
      <c r="A180" s="125"/>
      <c r="B180" s="136" t="s">
        <v>299</v>
      </c>
      <c r="C180" s="125" t="s">
        <v>293</v>
      </c>
      <c r="D180" s="125">
        <v>66.721810044837397</v>
      </c>
      <c r="E180" s="125">
        <v>94</v>
      </c>
      <c r="F180" s="125">
        <v>95.610967770965487</v>
      </c>
      <c r="G180" s="125">
        <v>76.721181451166984</v>
      </c>
      <c r="H180" s="125">
        <v>89</v>
      </c>
      <c r="I180" s="125">
        <v>27.291115425548455</v>
      </c>
      <c r="J180" s="125">
        <v>71.953944903552596</v>
      </c>
      <c r="K180" s="125">
        <v>71.953944903552596</v>
      </c>
      <c r="L180" s="125">
        <v>105</v>
      </c>
      <c r="M180" s="125">
        <v>101</v>
      </c>
      <c r="N180" s="125">
        <v>94</v>
      </c>
      <c r="O180" s="125">
        <v>77</v>
      </c>
      <c r="P180" s="125">
        <v>106</v>
      </c>
      <c r="Q180" s="125">
        <v>106</v>
      </c>
      <c r="R180" s="125">
        <v>82</v>
      </c>
      <c r="S180" s="125">
        <v>102</v>
      </c>
      <c r="T180" s="125">
        <v>105.47409346550386</v>
      </c>
      <c r="U180" s="125">
        <v>58</v>
      </c>
      <c r="V180" s="125">
        <v>97</v>
      </c>
      <c r="W180" s="125">
        <v>102.88991406622779</v>
      </c>
      <c r="X180" s="125">
        <v>79.594024082057388</v>
      </c>
      <c r="Y180" s="125">
        <v>93.344353267996254</v>
      </c>
      <c r="Z180" s="125">
        <v>61.711632709928047</v>
      </c>
      <c r="AA180" s="125">
        <v>72.435986159169545</v>
      </c>
      <c r="AB180" s="125">
        <v>90.497477346165823</v>
      </c>
      <c r="AC180" s="125">
        <v>42.242302457558111</v>
      </c>
      <c r="AD180" s="125">
        <v>71.953944903552596</v>
      </c>
      <c r="AE180" s="125">
        <v>86</v>
      </c>
      <c r="AF180" s="125">
        <v>76</v>
      </c>
      <c r="AG180" s="125">
        <v>102</v>
      </c>
      <c r="AH180" s="125">
        <v>94.171640349497991</v>
      </c>
      <c r="AI180" s="125">
        <v>85</v>
      </c>
      <c r="AJ180" s="125">
        <v>92</v>
      </c>
      <c r="AK180" s="125">
        <v>91</v>
      </c>
      <c r="AL180" s="125">
        <v>99.691627813562377</v>
      </c>
      <c r="AM180" s="125">
        <v>16.981177728688571</v>
      </c>
      <c r="AN180" s="125">
        <v>62.329707502544409</v>
      </c>
      <c r="AO180" s="125">
        <v>85</v>
      </c>
      <c r="AP180" s="125">
        <v>78</v>
      </c>
      <c r="AQ180" s="125">
        <v>65</v>
      </c>
      <c r="AR180" s="125">
        <v>58</v>
      </c>
      <c r="AS180" s="125">
        <v>68</v>
      </c>
      <c r="AT180" s="125">
        <v>76</v>
      </c>
      <c r="AU180" s="125">
        <v>96.338239345404915</v>
      </c>
      <c r="AV180" s="125">
        <v>89.885619275207418</v>
      </c>
      <c r="AW180" s="125">
        <v>102.16842417590836</v>
      </c>
      <c r="AX180" s="125">
        <v>63.315390759875285</v>
      </c>
      <c r="AY180" s="125">
        <v>82.160779531082682</v>
      </c>
    </row>
    <row r="181" spans="1:51">
      <c r="A181" s="135" t="s">
        <v>123</v>
      </c>
      <c r="B181" s="135" t="s">
        <v>298</v>
      </c>
      <c r="C181" s="124" t="s">
        <v>293</v>
      </c>
      <c r="D181" s="124">
        <f t="shared" ref="D181:AY181" si="4">(1-D172)*SUM(D122:D169)</f>
        <v>76.45079289860378</v>
      </c>
      <c r="E181" s="124">
        <f t="shared" si="4"/>
        <v>133.01961088378059</v>
      </c>
      <c r="F181" s="124">
        <f t="shared" si="4"/>
        <v>216.12085001081934</v>
      </c>
      <c r="G181" s="124">
        <f t="shared" si="4"/>
        <v>125.59021794128712</v>
      </c>
      <c r="H181" s="124">
        <f t="shared" si="4"/>
        <v>7.006415538283794</v>
      </c>
      <c r="I181" s="124">
        <f t="shared" si="4"/>
        <v>130.00000000000023</v>
      </c>
      <c r="J181" s="124">
        <f t="shared" si="4"/>
        <v>130.00000000000023</v>
      </c>
      <c r="K181" s="124">
        <f t="shared" si="4"/>
        <v>212.0518914929863</v>
      </c>
      <c r="L181" s="124">
        <f t="shared" si="4"/>
        <v>252.00937607934458</v>
      </c>
      <c r="M181" s="124">
        <f t="shared" si="4"/>
        <v>135.0462027392166</v>
      </c>
      <c r="N181" s="124">
        <f t="shared" si="4"/>
        <v>196.41176703308386</v>
      </c>
      <c r="O181" s="124">
        <f t="shared" si="4"/>
        <v>160.5194816434236</v>
      </c>
      <c r="P181" s="124">
        <f t="shared" si="4"/>
        <v>167.66964105246007</v>
      </c>
      <c r="Q181" s="124">
        <f t="shared" si="4"/>
        <v>176.77825600946545</v>
      </c>
      <c r="R181" s="124">
        <f t="shared" si="4"/>
        <v>180.71043938320415</v>
      </c>
      <c r="S181" s="124">
        <f t="shared" si="4"/>
        <v>187.10389626369576</v>
      </c>
      <c r="T181" s="124">
        <f t="shared" si="4"/>
        <v>86.443586813018172</v>
      </c>
      <c r="U181" s="124">
        <f t="shared" si="4"/>
        <v>193.57833707765701</v>
      </c>
      <c r="V181" s="124">
        <f t="shared" si="4"/>
        <v>176.71948262561267</v>
      </c>
      <c r="W181" s="124">
        <f t="shared" si="4"/>
        <v>102.03032799525235</v>
      </c>
      <c r="X181" s="124">
        <f t="shared" si="4"/>
        <v>138.45863056346363</v>
      </c>
      <c r="Y181" s="124">
        <f t="shared" si="4"/>
        <v>130.00000000000023</v>
      </c>
      <c r="Z181" s="124">
        <f t="shared" si="4"/>
        <v>146.34629892000331</v>
      </c>
      <c r="AA181" s="124">
        <f t="shared" si="4"/>
        <v>139.42049737240049</v>
      </c>
      <c r="AB181" s="124">
        <f t="shared" si="4"/>
        <v>66.42166292234343</v>
      </c>
      <c r="AC181" s="124">
        <f t="shared" si="4"/>
        <v>130.00000000000023</v>
      </c>
      <c r="AD181" s="124">
        <f t="shared" si="4"/>
        <v>215.50500071482816</v>
      </c>
      <c r="AE181" s="124">
        <f t="shared" si="4"/>
        <v>227.87438012746878</v>
      </c>
      <c r="AF181" s="124">
        <f t="shared" si="4"/>
        <v>107.92343731683391</v>
      </c>
      <c r="AG181" s="124">
        <f t="shared" si="4"/>
        <v>196.41176703308386</v>
      </c>
      <c r="AH181" s="124">
        <f t="shared" si="4"/>
        <v>57.56524455973004</v>
      </c>
      <c r="AI181" s="124">
        <f t="shared" si="4"/>
        <v>206.86030786617866</v>
      </c>
      <c r="AJ181" s="124">
        <f t="shared" si="4"/>
        <v>169.58420531600294</v>
      </c>
      <c r="AK181" s="124">
        <f t="shared" si="4"/>
        <v>129.70097207371063</v>
      </c>
      <c r="AL181" s="124">
        <f t="shared" si="4"/>
        <v>30.680084430235652</v>
      </c>
      <c r="AM181" s="124">
        <f t="shared" si="4"/>
        <v>112.61178224754599</v>
      </c>
      <c r="AN181" s="124">
        <f t="shared" si="4"/>
        <v>198.02159953196792</v>
      </c>
      <c r="AO181" s="124">
        <f t="shared" si="4"/>
        <v>214.36030564675798</v>
      </c>
      <c r="AP181" s="124">
        <f t="shared" si="4"/>
        <v>125.61643320861526</v>
      </c>
      <c r="AQ181" s="124">
        <f t="shared" si="4"/>
        <v>132.83342995542708</v>
      </c>
      <c r="AR181" s="124">
        <f t="shared" si="4"/>
        <v>193.57833707765701</v>
      </c>
      <c r="AS181" s="124">
        <f t="shared" si="4"/>
        <v>83.915559685173733</v>
      </c>
      <c r="AT181" s="124">
        <f t="shared" si="4"/>
        <v>196.41176703308386</v>
      </c>
      <c r="AU181" s="124">
        <f t="shared" si="4"/>
        <v>89.601736772498811</v>
      </c>
      <c r="AV181" s="124">
        <f t="shared" si="4"/>
        <v>63.588232966916593</v>
      </c>
      <c r="AW181" s="124">
        <f t="shared" si="4"/>
        <v>132.83342995542708</v>
      </c>
      <c r="AX181" s="124">
        <f t="shared" si="4"/>
        <v>130.00000000000023</v>
      </c>
      <c r="AY181" s="124">
        <f t="shared" si="4"/>
        <v>193.57833707765701</v>
      </c>
    </row>
    <row r="182" spans="1:51">
      <c r="A182" s="125"/>
      <c r="B182" s="136" t="s">
        <v>299</v>
      </c>
      <c r="C182" s="125" t="s">
        <v>293</v>
      </c>
      <c r="D182" s="125">
        <v>76.45079289860378</v>
      </c>
      <c r="E182" s="125">
        <v>98</v>
      </c>
      <c r="F182" s="125">
        <v>119.80126956908923</v>
      </c>
      <c r="G182" s="125">
        <v>114.72118145116698</v>
      </c>
      <c r="H182" s="125">
        <v>7.006415538283794</v>
      </c>
      <c r="I182" s="125">
        <v>130.00000000000023</v>
      </c>
      <c r="J182" s="125">
        <v>105.7031935887707</v>
      </c>
      <c r="K182" s="125">
        <v>125.68145707684948</v>
      </c>
      <c r="L182" s="125">
        <v>141</v>
      </c>
      <c r="M182" s="125">
        <v>135.0462027392166</v>
      </c>
      <c r="N182" s="125">
        <v>149</v>
      </c>
      <c r="O182" s="125">
        <v>102</v>
      </c>
      <c r="P182" s="125">
        <v>95</v>
      </c>
      <c r="Q182" s="125">
        <v>98</v>
      </c>
      <c r="R182" s="125">
        <v>92</v>
      </c>
      <c r="S182" s="125">
        <v>156</v>
      </c>
      <c r="T182" s="125">
        <v>86.443586813018172</v>
      </c>
      <c r="U182" s="125">
        <v>121</v>
      </c>
      <c r="V182" s="125">
        <v>117</v>
      </c>
      <c r="W182" s="125">
        <v>88.889914066227789</v>
      </c>
      <c r="X182" s="125">
        <v>138.45863056346363</v>
      </c>
      <c r="Y182" s="125">
        <v>104.6061572964056</v>
      </c>
      <c r="Z182" s="125">
        <v>131.71163270992804</v>
      </c>
      <c r="AA182" s="125">
        <v>139.42049737240049</v>
      </c>
      <c r="AB182" s="125">
        <v>66.42166292234343</v>
      </c>
      <c r="AC182" s="125">
        <v>100.33881643851076</v>
      </c>
      <c r="AD182" s="125">
        <v>162.22637618797009</v>
      </c>
      <c r="AE182" s="125">
        <v>159</v>
      </c>
      <c r="AF182" s="125">
        <v>107.92343731683391</v>
      </c>
      <c r="AG182" s="125">
        <v>107</v>
      </c>
      <c r="AH182" s="125">
        <v>57.56524455973004</v>
      </c>
      <c r="AI182" s="125">
        <v>166</v>
      </c>
      <c r="AJ182" s="125">
        <v>132</v>
      </c>
      <c r="AK182" s="125">
        <v>129.70097207371063</v>
      </c>
      <c r="AL182" s="125">
        <v>30.680084430235652</v>
      </c>
      <c r="AM182" s="125">
        <v>110.11092052613384</v>
      </c>
      <c r="AN182" s="125">
        <v>170.1386904682355</v>
      </c>
      <c r="AO182" s="125">
        <v>118</v>
      </c>
      <c r="AP182" s="125">
        <v>125.61643320861526</v>
      </c>
      <c r="AQ182" s="125">
        <v>132.83342995542708</v>
      </c>
      <c r="AR182" s="125">
        <v>162</v>
      </c>
      <c r="AS182" s="125">
        <v>83.915559685173733</v>
      </c>
      <c r="AT182" s="125">
        <v>156</v>
      </c>
      <c r="AU182" s="125">
        <v>89.601736772498811</v>
      </c>
      <c r="AV182" s="125">
        <v>63.588232966916593</v>
      </c>
      <c r="AW182" s="125">
        <v>132.83342995542708</v>
      </c>
      <c r="AX182" s="125">
        <v>130.00000000000023</v>
      </c>
      <c r="AY182" s="125">
        <v>162.79836438094733</v>
      </c>
    </row>
    <row r="184" spans="1:51">
      <c r="A184" s="102" t="s">
        <v>300</v>
      </c>
    </row>
    <row r="185" spans="1:51">
      <c r="A185" s="126" t="s">
        <v>125</v>
      </c>
      <c r="B185" s="123">
        <v>1</v>
      </c>
      <c r="C185" s="124">
        <v>117.74478122454639</v>
      </c>
      <c r="D185" s="124">
        <v>122.74478122454639</v>
      </c>
      <c r="E185" s="124">
        <v>95.744781224546387</v>
      </c>
      <c r="F185" s="124">
        <v>73.744781224546387</v>
      </c>
      <c r="G185" s="124">
        <v>102.74478122454639</v>
      </c>
      <c r="H185" s="124">
        <v>95.744781224546387</v>
      </c>
      <c r="I185" s="124">
        <v>74.744781224546387</v>
      </c>
      <c r="J185" s="124">
        <v>63.744781224546387</v>
      </c>
      <c r="K185" s="124">
        <v>83.744781224546387</v>
      </c>
      <c r="L185" s="124">
        <v>107.74478122454639</v>
      </c>
      <c r="M185" s="124">
        <v>139.74478122454639</v>
      </c>
      <c r="N185" s="124">
        <v>121.74478122454639</v>
      </c>
      <c r="O185" s="124">
        <v>140</v>
      </c>
      <c r="P185" s="124">
        <v>140</v>
      </c>
      <c r="Q185" s="124">
        <v>140</v>
      </c>
      <c r="R185" s="124">
        <v>140</v>
      </c>
      <c r="S185" s="124">
        <v>140</v>
      </c>
      <c r="T185" s="124">
        <v>140</v>
      </c>
      <c r="U185" s="124">
        <v>140</v>
      </c>
      <c r="V185" s="124">
        <v>108</v>
      </c>
      <c r="W185" s="124">
        <v>87</v>
      </c>
      <c r="X185" s="124">
        <v>97</v>
      </c>
      <c r="Y185" s="124">
        <v>98</v>
      </c>
      <c r="Z185" s="124">
        <v>87</v>
      </c>
      <c r="AA185" s="124">
        <v>122</v>
      </c>
      <c r="AB185" s="124">
        <v>136</v>
      </c>
      <c r="AC185" s="124">
        <v>140</v>
      </c>
      <c r="AD185" s="124">
        <v>120</v>
      </c>
      <c r="AE185" s="124">
        <v>100</v>
      </c>
      <c r="AF185" s="124">
        <v>100</v>
      </c>
      <c r="AG185" s="124">
        <v>97</v>
      </c>
      <c r="AH185" s="124">
        <v>102</v>
      </c>
      <c r="AI185" s="124">
        <v>103</v>
      </c>
      <c r="AJ185" s="124">
        <v>71</v>
      </c>
      <c r="AK185" s="124">
        <v>119</v>
      </c>
      <c r="AL185" s="124">
        <v>136</v>
      </c>
      <c r="AM185" s="124">
        <v>140</v>
      </c>
      <c r="AN185" s="124">
        <v>116</v>
      </c>
      <c r="AO185" s="124">
        <v>140</v>
      </c>
      <c r="AP185" s="124">
        <v>140</v>
      </c>
      <c r="AQ185" s="124">
        <v>140</v>
      </c>
      <c r="AR185" s="124">
        <v>140</v>
      </c>
      <c r="AS185" s="124">
        <v>140</v>
      </c>
      <c r="AT185" s="124">
        <v>140</v>
      </c>
      <c r="AU185" s="124">
        <v>140</v>
      </c>
      <c r="AV185" s="124">
        <v>134</v>
      </c>
      <c r="AW185" s="124">
        <v>140</v>
      </c>
      <c r="AX185" s="124">
        <v>140</v>
      </c>
      <c r="AY185" s="124">
        <v>140</v>
      </c>
    </row>
    <row r="186" spans="1:51">
      <c r="A186" s="109"/>
      <c r="B186" s="120">
        <v>2</v>
      </c>
      <c r="C186" s="106">
        <v>22.255218775453613</v>
      </c>
      <c r="D186" s="106">
        <v>22.255218775453613</v>
      </c>
      <c r="E186" s="106">
        <v>17.255218775453613</v>
      </c>
      <c r="F186" s="106">
        <v>44.255218775453613</v>
      </c>
      <c r="G186" s="106">
        <v>66.255218775453613</v>
      </c>
      <c r="H186" s="106">
        <v>37.255218775453613</v>
      </c>
      <c r="I186" s="106">
        <v>44.255218775453613</v>
      </c>
      <c r="J186" s="106">
        <v>65.255218775453613</v>
      </c>
      <c r="K186" s="106">
        <v>76.255218775453613</v>
      </c>
      <c r="L186" s="106">
        <v>56.255218775453613</v>
      </c>
      <c r="M186" s="106">
        <v>32.255218775453613</v>
      </c>
      <c r="N186" s="106">
        <v>0.25521877545361349</v>
      </c>
      <c r="O186" s="106">
        <v>18.255218775453613</v>
      </c>
      <c r="P186" s="106">
        <v>0</v>
      </c>
      <c r="Q186" s="106">
        <v>0</v>
      </c>
      <c r="R186" s="106">
        <v>0</v>
      </c>
      <c r="S186" s="106">
        <v>0</v>
      </c>
      <c r="T186" s="106">
        <v>0</v>
      </c>
      <c r="U186" s="106">
        <v>0</v>
      </c>
      <c r="V186" s="106">
        <v>0</v>
      </c>
      <c r="W186" s="106">
        <v>32</v>
      </c>
      <c r="X186" s="106">
        <v>53</v>
      </c>
      <c r="Y186" s="106">
        <v>43</v>
      </c>
      <c r="Z186" s="106">
        <v>42</v>
      </c>
      <c r="AA186" s="106">
        <v>53</v>
      </c>
      <c r="AB186" s="106">
        <v>18</v>
      </c>
      <c r="AC186" s="106">
        <v>4</v>
      </c>
      <c r="AD186" s="106">
        <v>0</v>
      </c>
      <c r="AE186" s="106">
        <v>20</v>
      </c>
      <c r="AF186" s="106">
        <v>40</v>
      </c>
      <c r="AG186" s="106">
        <v>40</v>
      </c>
      <c r="AH186" s="106">
        <v>43</v>
      </c>
      <c r="AI186" s="106">
        <v>38</v>
      </c>
      <c r="AJ186" s="106">
        <v>37</v>
      </c>
      <c r="AK186" s="106">
        <v>69</v>
      </c>
      <c r="AL186" s="106">
        <v>21</v>
      </c>
      <c r="AM186" s="106">
        <v>4</v>
      </c>
      <c r="AN186" s="106">
        <v>0</v>
      </c>
      <c r="AO186" s="106">
        <v>24</v>
      </c>
      <c r="AP186" s="106">
        <v>0</v>
      </c>
      <c r="AQ186" s="106">
        <v>0</v>
      </c>
      <c r="AR186" s="106">
        <v>0</v>
      </c>
      <c r="AS186" s="106">
        <v>0</v>
      </c>
      <c r="AT186" s="106">
        <v>0</v>
      </c>
      <c r="AU186" s="106">
        <v>0</v>
      </c>
      <c r="AV186" s="106">
        <v>0</v>
      </c>
      <c r="AW186" s="106">
        <v>6</v>
      </c>
      <c r="AX186" s="106">
        <v>0</v>
      </c>
      <c r="AY186" s="106">
        <v>0</v>
      </c>
    </row>
    <row r="187" spans="1:51">
      <c r="A187" s="109"/>
      <c r="B187" s="127">
        <v>3</v>
      </c>
      <c r="C187" s="106">
        <v>0</v>
      </c>
      <c r="D187" s="106">
        <v>0</v>
      </c>
      <c r="E187" s="106">
        <v>0</v>
      </c>
      <c r="F187" s="106">
        <v>0</v>
      </c>
      <c r="G187" s="106">
        <v>0</v>
      </c>
      <c r="H187" s="106">
        <v>0</v>
      </c>
      <c r="I187" s="106">
        <v>0</v>
      </c>
      <c r="J187" s="106">
        <v>0</v>
      </c>
      <c r="K187" s="106">
        <v>0</v>
      </c>
      <c r="L187" s="106">
        <v>0</v>
      </c>
      <c r="M187" s="106">
        <v>0</v>
      </c>
      <c r="N187" s="106">
        <v>0</v>
      </c>
      <c r="O187" s="106">
        <v>0</v>
      </c>
      <c r="P187" s="106">
        <v>0</v>
      </c>
      <c r="Q187" s="106">
        <v>0</v>
      </c>
      <c r="R187" s="106">
        <v>0</v>
      </c>
      <c r="S187" s="106">
        <v>0</v>
      </c>
      <c r="T187" s="106">
        <v>0</v>
      </c>
      <c r="U187" s="106">
        <v>0</v>
      </c>
      <c r="V187" s="106">
        <v>0</v>
      </c>
      <c r="W187" s="106">
        <v>0</v>
      </c>
      <c r="X187" s="106">
        <v>0</v>
      </c>
      <c r="Y187" s="106">
        <v>0</v>
      </c>
      <c r="Z187" s="106">
        <v>0</v>
      </c>
      <c r="AA187" s="106">
        <v>0</v>
      </c>
      <c r="AB187" s="106">
        <v>0</v>
      </c>
      <c r="AC187" s="106">
        <v>0</v>
      </c>
      <c r="AD187" s="106">
        <v>0</v>
      </c>
      <c r="AE187" s="106">
        <v>0</v>
      </c>
      <c r="AF187" s="106">
        <v>0</v>
      </c>
      <c r="AG187" s="106">
        <v>0</v>
      </c>
      <c r="AH187" s="106">
        <v>0</v>
      </c>
      <c r="AI187" s="106">
        <v>0</v>
      </c>
      <c r="AJ187" s="106">
        <v>0</v>
      </c>
      <c r="AK187" s="106">
        <v>0</v>
      </c>
      <c r="AL187" s="106">
        <v>0</v>
      </c>
      <c r="AM187" s="106">
        <v>0</v>
      </c>
      <c r="AN187" s="106">
        <v>0</v>
      </c>
      <c r="AO187" s="106">
        <v>0</v>
      </c>
      <c r="AP187" s="106">
        <v>0</v>
      </c>
      <c r="AQ187" s="106">
        <v>0</v>
      </c>
      <c r="AR187" s="106">
        <v>0</v>
      </c>
      <c r="AS187" s="106">
        <v>0</v>
      </c>
      <c r="AT187" s="106">
        <v>0</v>
      </c>
      <c r="AU187" s="106">
        <v>0</v>
      </c>
      <c r="AV187" s="106">
        <v>0</v>
      </c>
      <c r="AW187" s="106">
        <v>0</v>
      </c>
      <c r="AX187" s="106">
        <v>0</v>
      </c>
      <c r="AY187" s="106">
        <v>0</v>
      </c>
    </row>
    <row r="188" spans="1:51">
      <c r="A188" s="128"/>
      <c r="B188" s="129">
        <v>4</v>
      </c>
      <c r="C188" s="106">
        <v>0</v>
      </c>
      <c r="D188" s="106">
        <v>0</v>
      </c>
      <c r="E188" s="106">
        <v>0</v>
      </c>
      <c r="F188" s="106">
        <v>0</v>
      </c>
      <c r="G188" s="106">
        <v>0</v>
      </c>
      <c r="H188" s="106">
        <v>0</v>
      </c>
      <c r="I188" s="106">
        <v>0</v>
      </c>
      <c r="J188" s="106">
        <v>0</v>
      </c>
      <c r="K188" s="106">
        <v>0</v>
      </c>
      <c r="L188" s="106">
        <v>0</v>
      </c>
      <c r="M188" s="106">
        <v>0</v>
      </c>
      <c r="N188" s="106">
        <v>0</v>
      </c>
      <c r="O188" s="106">
        <v>0</v>
      </c>
      <c r="P188" s="106">
        <v>0</v>
      </c>
      <c r="Q188" s="106">
        <v>0</v>
      </c>
      <c r="R188" s="106">
        <v>0</v>
      </c>
      <c r="S188" s="106">
        <v>0</v>
      </c>
      <c r="T188" s="106">
        <v>0</v>
      </c>
      <c r="U188" s="106">
        <v>0</v>
      </c>
      <c r="V188" s="106">
        <v>0</v>
      </c>
      <c r="W188" s="106">
        <v>0</v>
      </c>
      <c r="X188" s="106">
        <v>0</v>
      </c>
      <c r="Y188" s="106">
        <v>0</v>
      </c>
      <c r="Z188" s="106">
        <v>0</v>
      </c>
      <c r="AA188" s="106">
        <v>0</v>
      </c>
      <c r="AB188" s="106">
        <v>0</v>
      </c>
      <c r="AC188" s="106">
        <v>0</v>
      </c>
      <c r="AD188" s="106">
        <v>0</v>
      </c>
      <c r="AE188" s="106">
        <v>0</v>
      </c>
      <c r="AF188" s="106">
        <v>0</v>
      </c>
      <c r="AG188" s="106">
        <v>0</v>
      </c>
      <c r="AH188" s="106">
        <v>0</v>
      </c>
      <c r="AI188" s="106">
        <v>0</v>
      </c>
      <c r="AJ188" s="106">
        <v>0</v>
      </c>
      <c r="AK188" s="106">
        <v>0</v>
      </c>
      <c r="AL188" s="106">
        <v>0</v>
      </c>
      <c r="AM188" s="106">
        <v>0</v>
      </c>
      <c r="AN188" s="106">
        <v>0</v>
      </c>
      <c r="AO188" s="106">
        <v>0</v>
      </c>
      <c r="AP188" s="106">
        <v>0</v>
      </c>
      <c r="AQ188" s="106">
        <v>0</v>
      </c>
      <c r="AR188" s="106">
        <v>0</v>
      </c>
      <c r="AS188" s="106">
        <v>0</v>
      </c>
      <c r="AT188" s="106">
        <v>0</v>
      </c>
      <c r="AU188" s="106">
        <v>0</v>
      </c>
      <c r="AV188" s="106">
        <v>0</v>
      </c>
      <c r="AW188" s="106">
        <v>0</v>
      </c>
      <c r="AX188" s="106">
        <v>0</v>
      </c>
      <c r="AY188" s="106">
        <v>0</v>
      </c>
    </row>
    <row r="189" spans="1:51">
      <c r="A189" s="126" t="s">
        <v>133</v>
      </c>
      <c r="B189" s="123">
        <v>1</v>
      </c>
      <c r="C189" s="124">
        <v>122.14904147497904</v>
      </c>
      <c r="D189" s="124">
        <v>87.850958525022207</v>
      </c>
      <c r="E189" s="124">
        <v>173</v>
      </c>
      <c r="F189" s="124">
        <v>107.54026119926249</v>
      </c>
      <c r="G189" s="124">
        <v>87.798741235542366</v>
      </c>
      <c r="H189" s="124">
        <v>0</v>
      </c>
      <c r="I189" s="124">
        <v>66.798741235542408</v>
      </c>
      <c r="J189" s="124">
        <v>179.99999999999994</v>
      </c>
      <c r="K189" s="124">
        <v>0</v>
      </c>
      <c r="L189" s="124">
        <v>0</v>
      </c>
      <c r="M189" s="124">
        <v>0</v>
      </c>
      <c r="N189" s="124">
        <v>80.798741235542451</v>
      </c>
      <c r="O189" s="124">
        <v>50.597482471084874</v>
      </c>
      <c r="P189" s="124">
        <v>44.597482471084874</v>
      </c>
      <c r="Q189" s="124">
        <v>84.597482471084902</v>
      </c>
      <c r="R189" s="124">
        <v>90.597482471084902</v>
      </c>
      <c r="S189" s="124">
        <v>123.59748247108493</v>
      </c>
      <c r="T189" s="124">
        <v>92.201258764457592</v>
      </c>
      <c r="U189" s="124">
        <v>109.20125876445762</v>
      </c>
      <c r="V189" s="124">
        <v>136.20125876445763</v>
      </c>
      <c r="W189" s="124">
        <v>87.798741235542394</v>
      </c>
      <c r="X189" s="124">
        <v>179.99999999999997</v>
      </c>
      <c r="Y189" s="124">
        <v>87.798741235542394</v>
      </c>
      <c r="Z189" s="124">
        <v>179.99999999999997</v>
      </c>
      <c r="AA189" s="124">
        <v>87.798741235542394</v>
      </c>
      <c r="AB189" s="124">
        <v>0</v>
      </c>
      <c r="AC189" s="124">
        <v>180</v>
      </c>
      <c r="AD189" s="124">
        <v>44.000000000000028</v>
      </c>
      <c r="AE189" s="124">
        <v>39.000000000000057</v>
      </c>
      <c r="AF189" s="124">
        <v>22.000000000000057</v>
      </c>
      <c r="AG189" s="124">
        <v>73.201258764457677</v>
      </c>
      <c r="AH189" s="124">
        <v>0</v>
      </c>
      <c r="AI189" s="124">
        <v>0</v>
      </c>
      <c r="AJ189" s="124">
        <v>76.761538210652816</v>
      </c>
      <c r="AK189" s="124">
        <v>0</v>
      </c>
      <c r="AL189" s="124">
        <v>42.354111024724546</v>
      </c>
      <c r="AM189" s="124">
        <v>0</v>
      </c>
      <c r="AN189" s="124">
        <v>35.597482471084817</v>
      </c>
      <c r="AO189" s="124">
        <v>66.597482471084817</v>
      </c>
      <c r="AP189" s="124">
        <v>51.597482471084845</v>
      </c>
      <c r="AQ189" s="124">
        <v>48.597482471084845</v>
      </c>
      <c r="AR189" s="124">
        <v>102.59748247108487</v>
      </c>
      <c r="AS189" s="124">
        <v>71.597482471084874</v>
      </c>
      <c r="AT189" s="124">
        <v>153.5974824710849</v>
      </c>
      <c r="AU189" s="124">
        <v>87.79874123554238</v>
      </c>
      <c r="AV189" s="124">
        <v>87.798741235542394</v>
      </c>
      <c r="AW189" s="124">
        <v>0</v>
      </c>
      <c r="AX189" s="124">
        <v>87.798741235542394</v>
      </c>
      <c r="AY189" s="124">
        <v>67.000000000000028</v>
      </c>
    </row>
    <row r="190" spans="1:51">
      <c r="A190" s="109"/>
      <c r="B190" s="119">
        <v>2</v>
      </c>
      <c r="C190" s="106">
        <v>76.850958525020957</v>
      </c>
      <c r="D190" s="106">
        <v>57.850958525019706</v>
      </c>
      <c r="E190" s="106">
        <v>0</v>
      </c>
      <c r="F190" s="106">
        <v>99.459738800737512</v>
      </c>
      <c r="G190" s="106">
        <v>72.459738800737512</v>
      </c>
      <c r="H190" s="106">
        <v>1.4210854715202004E-14</v>
      </c>
      <c r="I190" s="106">
        <v>0</v>
      </c>
      <c r="J190" s="106">
        <v>20.999999999999986</v>
      </c>
      <c r="K190" s="106">
        <v>0</v>
      </c>
      <c r="L190" s="106">
        <v>155.59748247108482</v>
      </c>
      <c r="M190" s="106">
        <v>127.59748247108482</v>
      </c>
      <c r="N190" s="106">
        <v>87.798741235542394</v>
      </c>
      <c r="O190" s="106">
        <v>191.40251752891513</v>
      </c>
      <c r="P190" s="106">
        <v>129.40251752891513</v>
      </c>
      <c r="Q190" s="106">
        <v>135.4025175289151</v>
      </c>
      <c r="R190" s="106">
        <v>95.402517528915098</v>
      </c>
      <c r="S190" s="106">
        <v>89.40251752891507</v>
      </c>
      <c r="T190" s="106">
        <v>56.40251752891507</v>
      </c>
      <c r="U190" s="106">
        <v>87.79874123554238</v>
      </c>
      <c r="V190" s="106">
        <v>70.79874123554238</v>
      </c>
      <c r="W190" s="106">
        <v>43.798741235542337</v>
      </c>
      <c r="X190" s="106">
        <v>0</v>
      </c>
      <c r="Y190" s="106">
        <v>0</v>
      </c>
      <c r="Z190" s="106">
        <v>0</v>
      </c>
      <c r="AA190" s="106">
        <v>0</v>
      </c>
      <c r="AB190" s="106">
        <v>92.201258764457606</v>
      </c>
      <c r="AC190" s="106">
        <v>0</v>
      </c>
      <c r="AD190" s="106">
        <v>0</v>
      </c>
      <c r="AE190" s="106">
        <v>135.99999999999994</v>
      </c>
      <c r="AF190" s="106">
        <v>140.99999999999994</v>
      </c>
      <c r="AG190" s="106">
        <v>65.798741235542323</v>
      </c>
      <c r="AH190" s="106">
        <v>198.99999999999989</v>
      </c>
      <c r="AI190" s="106">
        <v>181</v>
      </c>
      <c r="AJ190" s="106">
        <v>87.798741235542394</v>
      </c>
      <c r="AK190" s="106">
        <v>109.35902068173758</v>
      </c>
      <c r="AL190" s="106">
        <v>35.634084932462457</v>
      </c>
      <c r="AM190" s="106">
        <v>45.444630210817834</v>
      </c>
      <c r="AN190" s="106">
        <v>184.40251752891518</v>
      </c>
      <c r="AO190" s="106">
        <v>144.40251752891518</v>
      </c>
      <c r="AP190" s="106">
        <v>113.40251752891515</v>
      </c>
      <c r="AQ190" s="106">
        <v>128.40251752891515</v>
      </c>
      <c r="AR190" s="106">
        <v>131.40251752891513</v>
      </c>
      <c r="AS190" s="106">
        <v>77.402517528915126</v>
      </c>
      <c r="AT190" s="106">
        <v>108.4025175289151</v>
      </c>
      <c r="AU190" s="106">
        <v>26.402517528915098</v>
      </c>
      <c r="AV190" s="106">
        <v>0</v>
      </c>
      <c r="AW190" s="106">
        <v>92.201258764457606</v>
      </c>
      <c r="AX190" s="106">
        <v>92.201258764457592</v>
      </c>
      <c r="AY190" s="106">
        <v>92.201258764457606</v>
      </c>
    </row>
    <row r="191" spans="1:51">
      <c r="A191" s="109"/>
      <c r="B191" s="120">
        <v>3</v>
      </c>
      <c r="C191" s="106">
        <v>0</v>
      </c>
      <c r="D191" s="106">
        <v>0</v>
      </c>
      <c r="E191" s="106">
        <v>0</v>
      </c>
      <c r="F191" s="106">
        <v>0</v>
      </c>
      <c r="G191" s="106">
        <v>0</v>
      </c>
      <c r="H191" s="106">
        <v>0</v>
      </c>
      <c r="I191" s="106">
        <v>92.201258764457592</v>
      </c>
      <c r="J191" s="106">
        <v>0</v>
      </c>
      <c r="K191" s="106">
        <v>183</v>
      </c>
      <c r="L191" s="106">
        <v>2.8421709430404007E-14</v>
      </c>
      <c r="M191" s="106">
        <v>24.402517528915183</v>
      </c>
      <c r="N191" s="106">
        <v>52.402517528915155</v>
      </c>
      <c r="O191" s="106">
        <v>0</v>
      </c>
      <c r="P191" s="106">
        <v>0</v>
      </c>
      <c r="Q191" s="106">
        <v>0</v>
      </c>
      <c r="R191" s="106">
        <v>0</v>
      </c>
      <c r="S191" s="106">
        <v>0</v>
      </c>
      <c r="T191" s="106">
        <v>0</v>
      </c>
      <c r="U191" s="106">
        <v>0</v>
      </c>
      <c r="V191" s="106">
        <v>0</v>
      </c>
      <c r="W191" s="106">
        <v>0</v>
      </c>
      <c r="X191" s="106">
        <v>0</v>
      </c>
      <c r="Y191" s="106">
        <v>92.201258764457592</v>
      </c>
      <c r="Z191" s="106">
        <v>0</v>
      </c>
      <c r="AA191" s="106">
        <v>92.201258764457592</v>
      </c>
      <c r="AB191" s="106">
        <v>0</v>
      </c>
      <c r="AC191" s="106">
        <v>0</v>
      </c>
      <c r="AD191" s="106">
        <v>179.99999999999997</v>
      </c>
      <c r="AE191" s="106">
        <v>0</v>
      </c>
      <c r="AF191" s="106">
        <v>0</v>
      </c>
      <c r="AG191" s="106">
        <v>0</v>
      </c>
      <c r="AH191" s="106">
        <v>0</v>
      </c>
      <c r="AI191" s="106">
        <v>0</v>
      </c>
      <c r="AJ191" s="106">
        <v>17.43972055380479</v>
      </c>
      <c r="AK191" s="106">
        <v>110.64097931826242</v>
      </c>
      <c r="AL191" s="106">
        <v>12.319161661414398</v>
      </c>
      <c r="AM191" s="106">
        <v>110.64097931826242</v>
      </c>
      <c r="AN191" s="106">
        <v>0</v>
      </c>
      <c r="AO191" s="106">
        <v>0</v>
      </c>
      <c r="AP191" s="106">
        <v>0</v>
      </c>
      <c r="AQ191" s="106">
        <v>0</v>
      </c>
      <c r="AR191" s="106">
        <v>0</v>
      </c>
      <c r="AS191" s="106">
        <v>0</v>
      </c>
      <c r="AT191" s="106">
        <v>0</v>
      </c>
      <c r="AU191" s="106">
        <v>0</v>
      </c>
      <c r="AV191" s="106">
        <v>0</v>
      </c>
      <c r="AW191" s="106">
        <v>92.201258764457592</v>
      </c>
      <c r="AX191" s="106">
        <v>0</v>
      </c>
      <c r="AY191" s="106">
        <v>87.79874123554238</v>
      </c>
    </row>
    <row r="192" spans="1:51">
      <c r="A192" s="109"/>
      <c r="B192" s="120">
        <v>4</v>
      </c>
      <c r="C192" s="106">
        <v>0</v>
      </c>
      <c r="D192" s="106">
        <v>0</v>
      </c>
      <c r="E192" s="106">
        <v>0</v>
      </c>
      <c r="F192" s="106">
        <v>0</v>
      </c>
      <c r="G192" s="106">
        <v>0</v>
      </c>
      <c r="H192" s="106">
        <v>0</v>
      </c>
      <c r="I192" s="106">
        <v>0</v>
      </c>
      <c r="J192" s="106">
        <v>0</v>
      </c>
      <c r="K192" s="106">
        <v>0</v>
      </c>
      <c r="L192" s="106">
        <v>1.4025175289151548</v>
      </c>
      <c r="M192" s="106">
        <v>0</v>
      </c>
      <c r="N192" s="106">
        <v>0</v>
      </c>
      <c r="O192" s="106">
        <v>0</v>
      </c>
      <c r="P192" s="106">
        <v>0</v>
      </c>
      <c r="Q192" s="106">
        <v>0</v>
      </c>
      <c r="R192" s="106">
        <v>0</v>
      </c>
      <c r="S192" s="106">
        <v>0</v>
      </c>
      <c r="T192" s="106">
        <v>0</v>
      </c>
      <c r="U192" s="106">
        <v>0</v>
      </c>
      <c r="V192" s="106">
        <v>0</v>
      </c>
      <c r="W192" s="106">
        <v>0</v>
      </c>
      <c r="X192" s="106">
        <v>0</v>
      </c>
      <c r="Y192" s="106">
        <v>0</v>
      </c>
      <c r="Z192" s="106">
        <v>0</v>
      </c>
      <c r="AA192" s="106">
        <v>0</v>
      </c>
      <c r="AB192" s="106">
        <v>0</v>
      </c>
      <c r="AC192" s="106">
        <v>0</v>
      </c>
      <c r="AD192" s="106">
        <v>0</v>
      </c>
      <c r="AE192" s="106">
        <v>0</v>
      </c>
      <c r="AF192" s="106">
        <v>0</v>
      </c>
      <c r="AG192" s="106">
        <v>0</v>
      </c>
      <c r="AH192" s="106">
        <v>0</v>
      </c>
      <c r="AI192" s="106">
        <v>0</v>
      </c>
      <c r="AJ192" s="106">
        <v>0</v>
      </c>
      <c r="AK192" s="106">
        <v>0</v>
      </c>
      <c r="AL192" s="106">
        <v>0</v>
      </c>
      <c r="AM192" s="106">
        <v>0</v>
      </c>
      <c r="AN192" s="106">
        <v>0</v>
      </c>
      <c r="AO192" s="106">
        <v>0</v>
      </c>
      <c r="AP192" s="106">
        <v>0</v>
      </c>
      <c r="AQ192" s="106">
        <v>0</v>
      </c>
      <c r="AR192" s="106">
        <v>0</v>
      </c>
      <c r="AS192" s="106">
        <v>0</v>
      </c>
      <c r="AT192" s="106">
        <v>0</v>
      </c>
      <c r="AU192" s="106">
        <v>0</v>
      </c>
      <c r="AV192" s="106">
        <v>0</v>
      </c>
      <c r="AW192" s="106">
        <v>0</v>
      </c>
      <c r="AX192" s="106">
        <v>0</v>
      </c>
      <c r="AY192" s="106">
        <v>0</v>
      </c>
    </row>
    <row r="193" spans="1:51">
      <c r="A193" s="109"/>
      <c r="B193" s="127">
        <v>5</v>
      </c>
      <c r="C193" s="106">
        <v>0</v>
      </c>
      <c r="D193" s="106">
        <v>0</v>
      </c>
      <c r="E193" s="106">
        <v>0</v>
      </c>
      <c r="F193" s="106">
        <v>0</v>
      </c>
      <c r="G193" s="106">
        <v>0</v>
      </c>
      <c r="H193" s="106">
        <v>0</v>
      </c>
      <c r="I193" s="106">
        <v>0</v>
      </c>
      <c r="J193" s="106">
        <v>0</v>
      </c>
      <c r="K193" s="106">
        <v>0</v>
      </c>
      <c r="L193" s="106">
        <v>0</v>
      </c>
      <c r="M193" s="106">
        <v>0</v>
      </c>
      <c r="N193" s="106">
        <v>0</v>
      </c>
      <c r="O193" s="106">
        <v>0</v>
      </c>
      <c r="P193" s="106">
        <v>0</v>
      </c>
      <c r="Q193" s="106">
        <v>0</v>
      </c>
      <c r="R193" s="106">
        <v>0</v>
      </c>
      <c r="S193" s="106">
        <v>0</v>
      </c>
      <c r="T193" s="106">
        <v>0</v>
      </c>
      <c r="U193" s="106">
        <v>0</v>
      </c>
      <c r="V193" s="106">
        <v>0</v>
      </c>
      <c r="W193" s="106">
        <v>0</v>
      </c>
      <c r="X193" s="106">
        <v>0</v>
      </c>
      <c r="Y193" s="106">
        <v>0</v>
      </c>
      <c r="Z193" s="106">
        <v>0</v>
      </c>
      <c r="AA193" s="106">
        <v>0</v>
      </c>
      <c r="AB193" s="106">
        <v>0</v>
      </c>
      <c r="AC193" s="106">
        <v>0</v>
      </c>
      <c r="AD193" s="106">
        <v>0</v>
      </c>
      <c r="AE193" s="106">
        <v>0</v>
      </c>
      <c r="AF193" s="106">
        <v>0</v>
      </c>
      <c r="AG193" s="106">
        <v>0</v>
      </c>
      <c r="AH193" s="106">
        <v>0</v>
      </c>
      <c r="AI193" s="106">
        <v>0</v>
      </c>
      <c r="AJ193" s="106">
        <v>0</v>
      </c>
      <c r="AK193" s="106">
        <v>0</v>
      </c>
      <c r="AL193" s="106">
        <v>0</v>
      </c>
      <c r="AM193" s="106">
        <v>0</v>
      </c>
      <c r="AN193" s="106">
        <v>0</v>
      </c>
      <c r="AO193" s="106">
        <v>0</v>
      </c>
      <c r="AP193" s="106">
        <v>0</v>
      </c>
      <c r="AQ193" s="106">
        <v>0</v>
      </c>
      <c r="AR193" s="106">
        <v>0</v>
      </c>
      <c r="AS193" s="106">
        <v>0</v>
      </c>
      <c r="AT193" s="106">
        <v>0</v>
      </c>
      <c r="AU193" s="106">
        <v>0</v>
      </c>
      <c r="AV193" s="106">
        <v>0</v>
      </c>
      <c r="AW193" s="106">
        <v>0</v>
      </c>
      <c r="AX193" s="106">
        <v>0</v>
      </c>
      <c r="AY193" s="106">
        <v>0</v>
      </c>
    </row>
    <row r="194" spans="1:51">
      <c r="A194" s="109"/>
      <c r="B194" s="127">
        <v>6</v>
      </c>
      <c r="C194" s="106">
        <v>0</v>
      </c>
      <c r="D194" s="106">
        <v>0</v>
      </c>
      <c r="E194" s="106">
        <v>0</v>
      </c>
      <c r="F194" s="106">
        <v>0</v>
      </c>
      <c r="G194" s="106">
        <v>0</v>
      </c>
      <c r="H194" s="106">
        <v>0</v>
      </c>
      <c r="I194" s="106">
        <v>0</v>
      </c>
      <c r="J194" s="106">
        <v>0</v>
      </c>
      <c r="K194" s="106">
        <v>0</v>
      </c>
      <c r="L194" s="106">
        <v>0</v>
      </c>
      <c r="M194" s="106">
        <v>0</v>
      </c>
      <c r="N194" s="106">
        <v>0</v>
      </c>
      <c r="O194" s="106">
        <v>0</v>
      </c>
      <c r="P194" s="106">
        <v>0</v>
      </c>
      <c r="Q194" s="106">
        <v>0</v>
      </c>
      <c r="R194" s="106">
        <v>0</v>
      </c>
      <c r="S194" s="106">
        <v>0</v>
      </c>
      <c r="T194" s="106">
        <v>0</v>
      </c>
      <c r="U194" s="106">
        <v>0</v>
      </c>
      <c r="V194" s="106">
        <v>0</v>
      </c>
      <c r="W194" s="106">
        <v>0</v>
      </c>
      <c r="X194" s="106">
        <v>0</v>
      </c>
      <c r="Y194" s="106">
        <v>0</v>
      </c>
      <c r="Z194" s="106">
        <v>0</v>
      </c>
      <c r="AA194" s="106">
        <v>0</v>
      </c>
      <c r="AB194" s="106">
        <v>0</v>
      </c>
      <c r="AC194" s="106">
        <v>0</v>
      </c>
      <c r="AD194" s="106">
        <v>0</v>
      </c>
      <c r="AE194" s="106">
        <v>0</v>
      </c>
      <c r="AF194" s="106">
        <v>0</v>
      </c>
      <c r="AG194" s="106">
        <v>0</v>
      </c>
      <c r="AH194" s="106">
        <v>0</v>
      </c>
      <c r="AI194" s="106">
        <v>0</v>
      </c>
      <c r="AJ194" s="106">
        <v>0</v>
      </c>
      <c r="AK194" s="106">
        <v>0</v>
      </c>
      <c r="AL194" s="106">
        <v>0</v>
      </c>
      <c r="AM194" s="106">
        <v>0</v>
      </c>
      <c r="AN194" s="106">
        <v>0</v>
      </c>
      <c r="AO194" s="106">
        <v>0</v>
      </c>
      <c r="AP194" s="106">
        <v>0</v>
      </c>
      <c r="AQ194" s="106">
        <v>0</v>
      </c>
      <c r="AR194" s="106">
        <v>0</v>
      </c>
      <c r="AS194" s="106">
        <v>0</v>
      </c>
      <c r="AT194" s="106">
        <v>0</v>
      </c>
      <c r="AU194" s="106">
        <v>0</v>
      </c>
      <c r="AV194" s="106">
        <v>0</v>
      </c>
      <c r="AW194" s="106">
        <v>0</v>
      </c>
      <c r="AX194" s="106">
        <v>0</v>
      </c>
      <c r="AY194" s="106">
        <v>0</v>
      </c>
    </row>
    <row r="195" spans="1:51">
      <c r="A195" s="109"/>
      <c r="B195" s="130">
        <v>7</v>
      </c>
      <c r="C195" s="106">
        <v>0</v>
      </c>
      <c r="D195" s="106">
        <v>0</v>
      </c>
      <c r="E195" s="106">
        <v>0</v>
      </c>
      <c r="F195" s="106">
        <v>0</v>
      </c>
      <c r="G195" s="106">
        <v>0</v>
      </c>
      <c r="H195" s="106">
        <v>0</v>
      </c>
      <c r="I195" s="106">
        <v>0</v>
      </c>
      <c r="J195" s="106">
        <v>0</v>
      </c>
      <c r="K195" s="106">
        <v>0</v>
      </c>
      <c r="L195" s="106">
        <v>0</v>
      </c>
      <c r="M195" s="106">
        <v>0</v>
      </c>
      <c r="N195" s="106">
        <v>0</v>
      </c>
      <c r="O195" s="106">
        <v>0</v>
      </c>
      <c r="P195" s="106">
        <v>0</v>
      </c>
      <c r="Q195" s="106">
        <v>0</v>
      </c>
      <c r="R195" s="106">
        <v>0</v>
      </c>
      <c r="S195" s="106">
        <v>0</v>
      </c>
      <c r="T195" s="106">
        <v>0</v>
      </c>
      <c r="U195" s="106">
        <v>0</v>
      </c>
      <c r="V195" s="106">
        <v>0</v>
      </c>
      <c r="W195" s="106">
        <v>0</v>
      </c>
      <c r="X195" s="106">
        <v>0</v>
      </c>
      <c r="Y195" s="106">
        <v>0</v>
      </c>
      <c r="Z195" s="106">
        <v>0</v>
      </c>
      <c r="AA195" s="106">
        <v>0</v>
      </c>
      <c r="AB195" s="106">
        <v>0</v>
      </c>
      <c r="AC195" s="106">
        <v>0</v>
      </c>
      <c r="AD195" s="106">
        <v>0</v>
      </c>
      <c r="AE195" s="106">
        <v>0</v>
      </c>
      <c r="AF195" s="106">
        <v>0</v>
      </c>
      <c r="AG195" s="106">
        <v>0</v>
      </c>
      <c r="AH195" s="106">
        <v>0</v>
      </c>
      <c r="AI195" s="106">
        <v>0</v>
      </c>
      <c r="AJ195" s="106">
        <v>0</v>
      </c>
      <c r="AK195" s="106">
        <v>0</v>
      </c>
      <c r="AL195" s="106">
        <v>0</v>
      </c>
      <c r="AM195" s="106">
        <v>0</v>
      </c>
      <c r="AN195" s="106">
        <v>0</v>
      </c>
      <c r="AO195" s="106">
        <v>0</v>
      </c>
      <c r="AP195" s="106">
        <v>0</v>
      </c>
      <c r="AQ195" s="106">
        <v>0</v>
      </c>
      <c r="AR195" s="106">
        <v>0</v>
      </c>
      <c r="AS195" s="106">
        <v>0</v>
      </c>
      <c r="AT195" s="106">
        <v>0</v>
      </c>
      <c r="AU195" s="106">
        <v>0</v>
      </c>
      <c r="AV195" s="106">
        <v>0</v>
      </c>
      <c r="AW195" s="106">
        <v>0</v>
      </c>
      <c r="AX195" s="106">
        <v>0</v>
      </c>
      <c r="AY195" s="106">
        <v>0</v>
      </c>
    </row>
    <row r="196" spans="1:51">
      <c r="A196" s="128"/>
      <c r="B196" s="129">
        <v>8</v>
      </c>
      <c r="C196" s="114">
        <v>0</v>
      </c>
      <c r="D196" s="114">
        <v>0</v>
      </c>
      <c r="E196" s="114">
        <v>0</v>
      </c>
      <c r="F196" s="114">
        <v>0</v>
      </c>
      <c r="G196" s="114">
        <v>0</v>
      </c>
      <c r="H196" s="114">
        <v>0</v>
      </c>
      <c r="I196" s="114">
        <v>0</v>
      </c>
      <c r="J196" s="114">
        <v>0</v>
      </c>
      <c r="K196" s="114">
        <v>0</v>
      </c>
      <c r="L196" s="114">
        <v>0</v>
      </c>
      <c r="M196" s="114">
        <v>0</v>
      </c>
      <c r="N196" s="114">
        <v>0</v>
      </c>
      <c r="O196" s="114">
        <v>0</v>
      </c>
      <c r="P196" s="114">
        <v>0</v>
      </c>
      <c r="Q196" s="114">
        <v>0</v>
      </c>
      <c r="R196" s="114">
        <v>0</v>
      </c>
      <c r="S196" s="114">
        <v>0</v>
      </c>
      <c r="T196" s="114">
        <v>0</v>
      </c>
      <c r="U196" s="114">
        <v>0</v>
      </c>
      <c r="V196" s="114">
        <v>0</v>
      </c>
      <c r="W196" s="114">
        <v>0</v>
      </c>
      <c r="X196" s="114">
        <v>0</v>
      </c>
      <c r="Y196" s="114">
        <v>0</v>
      </c>
      <c r="Z196" s="114">
        <v>0</v>
      </c>
      <c r="AA196" s="114">
        <v>0</v>
      </c>
      <c r="AB196" s="114">
        <v>0</v>
      </c>
      <c r="AC196" s="114">
        <v>0</v>
      </c>
      <c r="AD196" s="114">
        <v>0</v>
      </c>
      <c r="AE196" s="114">
        <v>0</v>
      </c>
      <c r="AF196" s="114">
        <v>0</v>
      </c>
      <c r="AG196" s="114">
        <v>0</v>
      </c>
      <c r="AH196" s="114">
        <v>0</v>
      </c>
      <c r="AI196" s="114">
        <v>0</v>
      </c>
      <c r="AJ196" s="114">
        <v>0</v>
      </c>
      <c r="AK196" s="114">
        <v>0</v>
      </c>
      <c r="AL196" s="114">
        <v>0</v>
      </c>
      <c r="AM196" s="114">
        <v>0</v>
      </c>
      <c r="AN196" s="114">
        <v>0</v>
      </c>
      <c r="AO196" s="114">
        <v>0</v>
      </c>
      <c r="AP196" s="114">
        <v>0</v>
      </c>
      <c r="AQ196" s="114">
        <v>0</v>
      </c>
      <c r="AR196" s="114">
        <v>0</v>
      </c>
      <c r="AS196" s="114">
        <v>0</v>
      </c>
      <c r="AT196" s="114">
        <v>0</v>
      </c>
      <c r="AU196" s="114">
        <v>0</v>
      </c>
      <c r="AV196" s="114">
        <v>0</v>
      </c>
      <c r="AW196" s="114">
        <v>0</v>
      </c>
      <c r="AX196" s="114">
        <v>0</v>
      </c>
      <c r="AY196" s="114">
        <v>0</v>
      </c>
    </row>
    <row r="197" spans="1:51">
      <c r="A197" s="131" t="s">
        <v>134</v>
      </c>
      <c r="B197" s="119">
        <v>1</v>
      </c>
      <c r="C197" s="106">
        <v>64.239191733687122</v>
      </c>
      <c r="D197" s="106">
        <v>24.381628099723741</v>
      </c>
      <c r="E197" s="106">
        <v>20.329200634285073</v>
      </c>
      <c r="F197" s="106">
        <v>73.62527502018105</v>
      </c>
      <c r="G197" s="106">
        <v>76.721181451166984</v>
      </c>
      <c r="H197" s="106">
        <v>46.100045034340667</v>
      </c>
      <c r="I197" s="106">
        <v>3.8779941354851237</v>
      </c>
      <c r="J197" s="106">
        <v>71.953944903552596</v>
      </c>
      <c r="K197" s="106">
        <v>71.953944903552596</v>
      </c>
      <c r="L197" s="106">
        <v>105</v>
      </c>
      <c r="M197" s="106">
        <v>88.630999098612136</v>
      </c>
      <c r="N197" s="106">
        <v>43.145854778675272</v>
      </c>
      <c r="O197" s="106">
        <v>45.398877614586283</v>
      </c>
      <c r="P197" s="106">
        <v>42.686558664525506</v>
      </c>
      <c r="Q197" s="106">
        <v>59.840328371312395</v>
      </c>
      <c r="R197" s="106">
        <v>49.036542876796005</v>
      </c>
      <c r="S197" s="106">
        <v>53.19121293024854</v>
      </c>
      <c r="T197" s="106">
        <v>58.64354486593831</v>
      </c>
      <c r="U197" s="106">
        <v>13.083056842877056</v>
      </c>
      <c r="V197" s="106">
        <v>62.237233128958863</v>
      </c>
      <c r="W197" s="106">
        <v>57.983108728978635</v>
      </c>
      <c r="X197" s="106">
        <v>39.764333455438845</v>
      </c>
      <c r="Y197" s="106">
        <v>76.635728269113756</v>
      </c>
      <c r="Z197" s="106">
        <v>61.711632709928047</v>
      </c>
      <c r="AA197" s="106">
        <v>62.193673965544995</v>
      </c>
      <c r="AB197" s="106">
        <v>71.689662624566665</v>
      </c>
      <c r="AC197" s="106">
        <v>36.763851340897176</v>
      </c>
      <c r="AD197" s="106">
        <v>71.953944903552596</v>
      </c>
      <c r="AE197" s="106">
        <v>86</v>
      </c>
      <c r="AF197" s="106">
        <v>42.719731170193995</v>
      </c>
      <c r="AG197" s="106">
        <v>18.593111226939683</v>
      </c>
      <c r="AH197" s="106">
        <v>53.030004941841781</v>
      </c>
      <c r="AI197" s="106">
        <v>29.317685991781005</v>
      </c>
      <c r="AJ197" s="106">
        <v>89.455790334778399</v>
      </c>
      <c r="AK197" s="106">
        <v>65.960288835279002</v>
      </c>
      <c r="AL197" s="106">
        <v>71.788435373299791</v>
      </c>
      <c r="AM197" s="106">
        <v>16.981177728688571</v>
      </c>
      <c r="AN197" s="106">
        <v>62.329707502544409</v>
      </c>
      <c r="AO197" s="106">
        <v>85</v>
      </c>
      <c r="AP197" s="106">
        <v>53.396651827411134</v>
      </c>
      <c r="AQ197" s="106">
        <v>0</v>
      </c>
      <c r="AR197" s="106">
        <v>0</v>
      </c>
      <c r="AS197" s="106">
        <v>0</v>
      </c>
      <c r="AT197" s="106">
        <v>0</v>
      </c>
      <c r="AU197" s="106">
        <v>1.4476804405354997</v>
      </c>
      <c r="AV197" s="106">
        <v>0</v>
      </c>
      <c r="AW197" s="106">
        <v>35.195570857044423</v>
      </c>
      <c r="AX197" s="106">
        <v>63.315390759875278</v>
      </c>
      <c r="AY197" s="106">
        <v>71.953944903552596</v>
      </c>
    </row>
    <row r="198" spans="1:51">
      <c r="A198" s="109"/>
      <c r="B198" s="119">
        <v>2</v>
      </c>
      <c r="C198" s="106">
        <v>4.7608082663128783</v>
      </c>
      <c r="D198" s="106">
        <v>42.340181945113656</v>
      </c>
      <c r="E198" s="106">
        <v>73.670799365714927</v>
      </c>
      <c r="F198" s="106">
        <v>21.985692750784445</v>
      </c>
      <c r="G198" s="106">
        <v>0</v>
      </c>
      <c r="H198" s="106">
        <v>42.899954965659333</v>
      </c>
      <c r="I198" s="106">
        <v>23.41312129006333</v>
      </c>
      <c r="J198" s="106">
        <v>0</v>
      </c>
      <c r="K198" s="106">
        <v>0</v>
      </c>
      <c r="L198" s="106">
        <v>0</v>
      </c>
      <c r="M198" s="106">
        <v>12.369000901387864</v>
      </c>
      <c r="N198" s="106">
        <v>50.854145221324728</v>
      </c>
      <c r="O198" s="106">
        <v>31.601122385413717</v>
      </c>
      <c r="P198" s="106">
        <v>63.313441335474494</v>
      </c>
      <c r="Q198" s="106">
        <v>46.159671628687605</v>
      </c>
      <c r="R198" s="106">
        <v>32.963457123203995</v>
      </c>
      <c r="S198" s="106">
        <v>48.80878706975146</v>
      </c>
      <c r="T198" s="106">
        <v>46.830548599565546</v>
      </c>
      <c r="U198" s="106">
        <v>44.916943157122944</v>
      </c>
      <c r="V198" s="106">
        <v>34.762766871041137</v>
      </c>
      <c r="W198" s="106">
        <v>44.906805337249153</v>
      </c>
      <c r="X198" s="106">
        <v>39.829690626618543</v>
      </c>
      <c r="Y198" s="106">
        <v>16.708624998882499</v>
      </c>
      <c r="Z198" s="106">
        <v>0</v>
      </c>
      <c r="AA198" s="106">
        <v>10.242312193624549</v>
      </c>
      <c r="AB198" s="106">
        <v>18.807814721599151</v>
      </c>
      <c r="AC198" s="106">
        <v>5.4784511166609349</v>
      </c>
      <c r="AD198" s="106">
        <v>0</v>
      </c>
      <c r="AE198" s="106">
        <v>0</v>
      </c>
      <c r="AF198" s="106">
        <v>33.280268829806005</v>
      </c>
      <c r="AG198" s="106">
        <v>83.406888773060317</v>
      </c>
      <c r="AH198" s="106">
        <v>41.14163540765621</v>
      </c>
      <c r="AI198" s="106">
        <v>55.682314008218995</v>
      </c>
      <c r="AJ198" s="106">
        <v>2.5442096652216044</v>
      </c>
      <c r="AK198" s="106">
        <v>25.039711164720998</v>
      </c>
      <c r="AL198" s="106">
        <v>27.903192440262586</v>
      </c>
      <c r="AM198" s="106">
        <v>0</v>
      </c>
      <c r="AN198" s="106">
        <v>0</v>
      </c>
      <c r="AO198" s="106">
        <v>0</v>
      </c>
      <c r="AP198" s="106">
        <v>24.603348172588866</v>
      </c>
      <c r="AQ198" s="106">
        <v>65</v>
      </c>
      <c r="AR198" s="106">
        <v>57.749962427291976</v>
      </c>
      <c r="AS198" s="106">
        <v>56.222286165188265</v>
      </c>
      <c r="AT198" s="106">
        <v>58.700060777782909</v>
      </c>
      <c r="AU198" s="106">
        <v>46.446581216444308</v>
      </c>
      <c r="AV198" s="106">
        <v>89.885619275207418</v>
      </c>
      <c r="AW198" s="106">
        <v>49.593834084546081</v>
      </c>
      <c r="AX198" s="106">
        <v>7.1054273576010019E-15</v>
      </c>
      <c r="AY198" s="106">
        <v>10.206834627530078</v>
      </c>
    </row>
    <row r="199" spans="1:51">
      <c r="A199" s="109"/>
      <c r="B199" s="119">
        <v>3</v>
      </c>
      <c r="C199" s="106">
        <v>0</v>
      </c>
      <c r="D199" s="106">
        <v>0</v>
      </c>
      <c r="E199" s="106">
        <v>0</v>
      </c>
      <c r="F199" s="106">
        <v>0</v>
      </c>
      <c r="G199" s="106">
        <v>0</v>
      </c>
      <c r="H199" s="106">
        <v>0</v>
      </c>
      <c r="I199" s="106">
        <v>0</v>
      </c>
      <c r="J199" s="106">
        <v>0</v>
      </c>
      <c r="K199" s="106">
        <v>0</v>
      </c>
      <c r="L199" s="106">
        <v>0</v>
      </c>
      <c r="M199" s="106">
        <v>0</v>
      </c>
      <c r="N199" s="106">
        <v>0</v>
      </c>
      <c r="O199" s="106">
        <v>0</v>
      </c>
      <c r="P199" s="106">
        <v>0</v>
      </c>
      <c r="Q199" s="106">
        <v>0</v>
      </c>
      <c r="R199" s="106">
        <v>0</v>
      </c>
      <c r="S199" s="106">
        <v>0</v>
      </c>
      <c r="T199" s="106">
        <v>0</v>
      </c>
      <c r="U199" s="106">
        <v>0</v>
      </c>
      <c r="V199" s="106">
        <v>0</v>
      </c>
      <c r="W199" s="106">
        <v>0</v>
      </c>
      <c r="X199" s="106">
        <v>0</v>
      </c>
      <c r="Y199" s="106">
        <v>0</v>
      </c>
      <c r="Z199" s="106">
        <v>0</v>
      </c>
      <c r="AA199" s="106">
        <v>0</v>
      </c>
      <c r="AB199" s="106">
        <v>0</v>
      </c>
      <c r="AC199" s="106">
        <v>0</v>
      </c>
      <c r="AD199" s="106">
        <v>0</v>
      </c>
      <c r="AE199" s="106">
        <v>0</v>
      </c>
      <c r="AF199" s="106">
        <v>0</v>
      </c>
      <c r="AG199" s="106">
        <v>0</v>
      </c>
      <c r="AH199" s="106">
        <v>0</v>
      </c>
      <c r="AI199" s="106">
        <v>0</v>
      </c>
      <c r="AJ199" s="106">
        <v>0</v>
      </c>
      <c r="AK199" s="106">
        <v>0</v>
      </c>
      <c r="AL199" s="106">
        <v>0</v>
      </c>
      <c r="AM199" s="106">
        <v>0</v>
      </c>
      <c r="AN199" s="106">
        <v>0</v>
      </c>
      <c r="AO199" s="106">
        <v>0</v>
      </c>
      <c r="AP199" s="106">
        <v>0</v>
      </c>
      <c r="AQ199" s="106">
        <v>0</v>
      </c>
      <c r="AR199" s="106">
        <v>0.25003757270802396</v>
      </c>
      <c r="AS199" s="106">
        <v>11.777713834811735</v>
      </c>
      <c r="AT199" s="106">
        <v>17.299939222217091</v>
      </c>
      <c r="AU199" s="106">
        <v>48.443977688425107</v>
      </c>
      <c r="AV199" s="106">
        <v>0</v>
      </c>
      <c r="AW199" s="106">
        <v>17.379019234317852</v>
      </c>
      <c r="AX199" s="106">
        <v>0</v>
      </c>
      <c r="AY199" s="106">
        <v>0</v>
      </c>
    </row>
    <row r="200" spans="1:51">
      <c r="A200" s="109"/>
      <c r="B200" s="120">
        <v>4</v>
      </c>
      <c r="C200" s="106">
        <v>0</v>
      </c>
      <c r="D200" s="106">
        <v>0</v>
      </c>
      <c r="E200" s="106">
        <v>0</v>
      </c>
      <c r="F200" s="106">
        <v>0</v>
      </c>
      <c r="G200" s="106">
        <v>0</v>
      </c>
      <c r="H200" s="106">
        <v>0</v>
      </c>
      <c r="I200" s="106">
        <v>0</v>
      </c>
      <c r="J200" s="106">
        <v>0</v>
      </c>
      <c r="K200" s="106">
        <v>0</v>
      </c>
      <c r="L200" s="106">
        <v>0</v>
      </c>
      <c r="M200" s="106">
        <v>0</v>
      </c>
      <c r="N200" s="106">
        <v>0</v>
      </c>
      <c r="O200" s="106">
        <v>0</v>
      </c>
      <c r="P200" s="106">
        <v>0</v>
      </c>
      <c r="Q200" s="106">
        <v>0</v>
      </c>
      <c r="R200" s="106">
        <v>0</v>
      </c>
      <c r="S200" s="106">
        <v>0</v>
      </c>
      <c r="T200" s="106">
        <v>0</v>
      </c>
      <c r="U200" s="106">
        <v>0</v>
      </c>
      <c r="V200" s="106">
        <v>0</v>
      </c>
      <c r="W200" s="106">
        <v>0</v>
      </c>
      <c r="X200" s="106">
        <v>0</v>
      </c>
      <c r="Y200" s="106">
        <v>0</v>
      </c>
      <c r="Z200" s="106">
        <v>0</v>
      </c>
      <c r="AA200" s="106">
        <v>0</v>
      </c>
      <c r="AB200" s="106">
        <v>0</v>
      </c>
      <c r="AC200" s="106">
        <v>0</v>
      </c>
      <c r="AD200" s="106">
        <v>0</v>
      </c>
      <c r="AE200" s="106">
        <v>0</v>
      </c>
      <c r="AF200" s="106">
        <v>0</v>
      </c>
      <c r="AG200" s="106">
        <v>0</v>
      </c>
      <c r="AH200" s="106">
        <v>0</v>
      </c>
      <c r="AI200" s="106">
        <v>0</v>
      </c>
      <c r="AJ200" s="106">
        <v>0</v>
      </c>
      <c r="AK200" s="106">
        <v>0</v>
      </c>
      <c r="AL200" s="106">
        <v>0</v>
      </c>
      <c r="AM200" s="106">
        <v>0</v>
      </c>
      <c r="AN200" s="106">
        <v>0</v>
      </c>
      <c r="AO200" s="106">
        <v>0</v>
      </c>
      <c r="AP200" s="106">
        <v>0</v>
      </c>
      <c r="AQ200" s="106">
        <v>0</v>
      </c>
      <c r="AR200" s="106">
        <v>0</v>
      </c>
      <c r="AS200" s="106">
        <v>0</v>
      </c>
      <c r="AT200" s="106">
        <v>0</v>
      </c>
      <c r="AU200" s="106">
        <v>0</v>
      </c>
      <c r="AV200" s="106">
        <v>0</v>
      </c>
      <c r="AW200" s="106">
        <v>0</v>
      </c>
      <c r="AX200" s="106">
        <v>0</v>
      </c>
      <c r="AY200" s="106">
        <v>0</v>
      </c>
    </row>
    <row r="201" spans="1:51">
      <c r="A201" s="109"/>
      <c r="B201" s="120">
        <v>5</v>
      </c>
      <c r="C201" s="106">
        <v>0</v>
      </c>
      <c r="D201" s="106">
        <v>0</v>
      </c>
      <c r="E201" s="106">
        <v>0</v>
      </c>
      <c r="F201" s="106">
        <v>0</v>
      </c>
      <c r="G201" s="106">
        <v>0</v>
      </c>
      <c r="H201" s="106">
        <v>0</v>
      </c>
      <c r="I201" s="106">
        <v>0</v>
      </c>
      <c r="J201" s="106">
        <v>0</v>
      </c>
      <c r="K201" s="106">
        <v>0</v>
      </c>
      <c r="L201" s="106">
        <v>0</v>
      </c>
      <c r="M201" s="106">
        <v>0</v>
      </c>
      <c r="N201" s="106">
        <v>0</v>
      </c>
      <c r="O201" s="106">
        <v>0</v>
      </c>
      <c r="P201" s="106">
        <v>0</v>
      </c>
      <c r="Q201" s="106">
        <v>0</v>
      </c>
      <c r="R201" s="106">
        <v>0</v>
      </c>
      <c r="S201" s="106">
        <v>0</v>
      </c>
      <c r="T201" s="106">
        <v>0</v>
      </c>
      <c r="U201" s="106">
        <v>0</v>
      </c>
      <c r="V201" s="106">
        <v>0</v>
      </c>
      <c r="W201" s="106">
        <v>0</v>
      </c>
      <c r="X201" s="106">
        <v>0</v>
      </c>
      <c r="Y201" s="106">
        <v>0</v>
      </c>
      <c r="Z201" s="106">
        <v>0</v>
      </c>
      <c r="AA201" s="106">
        <v>0</v>
      </c>
      <c r="AB201" s="106">
        <v>0</v>
      </c>
      <c r="AC201" s="106">
        <v>0</v>
      </c>
      <c r="AD201" s="106">
        <v>0</v>
      </c>
      <c r="AE201" s="106">
        <v>0</v>
      </c>
      <c r="AF201" s="106">
        <v>0</v>
      </c>
      <c r="AG201" s="106">
        <v>0</v>
      </c>
      <c r="AH201" s="106">
        <v>0</v>
      </c>
      <c r="AI201" s="106">
        <v>0</v>
      </c>
      <c r="AJ201" s="106">
        <v>0</v>
      </c>
      <c r="AK201" s="106">
        <v>0</v>
      </c>
      <c r="AL201" s="106">
        <v>0</v>
      </c>
      <c r="AM201" s="106">
        <v>0</v>
      </c>
      <c r="AN201" s="106">
        <v>0</v>
      </c>
      <c r="AO201" s="106">
        <v>0</v>
      </c>
      <c r="AP201" s="106">
        <v>0</v>
      </c>
      <c r="AQ201" s="106">
        <v>0</v>
      </c>
      <c r="AR201" s="106">
        <v>0</v>
      </c>
      <c r="AS201" s="106">
        <v>0</v>
      </c>
      <c r="AT201" s="106">
        <v>0</v>
      </c>
      <c r="AU201" s="106">
        <v>0</v>
      </c>
      <c r="AV201" s="106">
        <v>0</v>
      </c>
      <c r="AW201" s="106">
        <v>0</v>
      </c>
      <c r="AX201" s="106">
        <v>0</v>
      </c>
      <c r="AY201" s="106">
        <v>0</v>
      </c>
    </row>
    <row r="202" spans="1:51">
      <c r="A202" s="109"/>
      <c r="B202" s="120">
        <v>6</v>
      </c>
      <c r="C202" s="106">
        <v>0</v>
      </c>
      <c r="D202" s="106">
        <v>0</v>
      </c>
      <c r="E202" s="106">
        <v>0</v>
      </c>
      <c r="F202" s="106">
        <v>0</v>
      </c>
      <c r="G202" s="106">
        <v>0</v>
      </c>
      <c r="H202" s="106">
        <v>0</v>
      </c>
      <c r="I202" s="106">
        <v>0</v>
      </c>
      <c r="J202" s="106">
        <v>0</v>
      </c>
      <c r="K202" s="106">
        <v>0</v>
      </c>
      <c r="L202" s="106">
        <v>0</v>
      </c>
      <c r="M202" s="106">
        <v>0</v>
      </c>
      <c r="N202" s="106">
        <v>0</v>
      </c>
      <c r="O202" s="106">
        <v>0</v>
      </c>
      <c r="P202" s="106">
        <v>0</v>
      </c>
      <c r="Q202" s="106">
        <v>0</v>
      </c>
      <c r="R202" s="106">
        <v>0</v>
      </c>
      <c r="S202" s="106">
        <v>0</v>
      </c>
      <c r="T202" s="106">
        <v>0</v>
      </c>
      <c r="U202" s="106">
        <v>0</v>
      </c>
      <c r="V202" s="106">
        <v>0</v>
      </c>
      <c r="W202" s="106">
        <v>0</v>
      </c>
      <c r="X202" s="106">
        <v>0</v>
      </c>
      <c r="Y202" s="106">
        <v>0</v>
      </c>
      <c r="Z202" s="106">
        <v>0</v>
      </c>
      <c r="AA202" s="106">
        <v>0</v>
      </c>
      <c r="AB202" s="106">
        <v>0</v>
      </c>
      <c r="AC202" s="106">
        <v>0</v>
      </c>
      <c r="AD202" s="106">
        <v>0</v>
      </c>
      <c r="AE202" s="106">
        <v>0</v>
      </c>
      <c r="AF202" s="106">
        <v>0</v>
      </c>
      <c r="AG202" s="106">
        <v>0</v>
      </c>
      <c r="AH202" s="106">
        <v>0</v>
      </c>
      <c r="AI202" s="106">
        <v>0</v>
      </c>
      <c r="AJ202" s="106">
        <v>0</v>
      </c>
      <c r="AK202" s="106">
        <v>0</v>
      </c>
      <c r="AL202" s="106">
        <v>0</v>
      </c>
      <c r="AM202" s="106">
        <v>0</v>
      </c>
      <c r="AN202" s="106">
        <v>0</v>
      </c>
      <c r="AO202" s="106">
        <v>0</v>
      </c>
      <c r="AP202" s="106">
        <v>0</v>
      </c>
      <c r="AQ202" s="106">
        <v>0</v>
      </c>
      <c r="AR202" s="106">
        <v>0</v>
      </c>
      <c r="AS202" s="106">
        <v>0</v>
      </c>
      <c r="AT202" s="106">
        <v>0</v>
      </c>
      <c r="AU202" s="106">
        <v>0</v>
      </c>
      <c r="AV202" s="106">
        <v>0</v>
      </c>
      <c r="AW202" s="106">
        <v>0</v>
      </c>
      <c r="AX202" s="106">
        <v>0</v>
      </c>
      <c r="AY202" s="106">
        <v>0</v>
      </c>
    </row>
    <row r="203" spans="1:51">
      <c r="A203" s="109"/>
      <c r="B203" s="127">
        <v>7</v>
      </c>
      <c r="C203" s="106">
        <v>0</v>
      </c>
      <c r="D203" s="106">
        <v>0</v>
      </c>
      <c r="E203" s="106">
        <v>0</v>
      </c>
      <c r="F203" s="106">
        <v>0</v>
      </c>
      <c r="G203" s="106">
        <v>0</v>
      </c>
      <c r="H203" s="106">
        <v>0</v>
      </c>
      <c r="I203" s="106">
        <v>0</v>
      </c>
      <c r="J203" s="106">
        <v>0</v>
      </c>
      <c r="K203" s="106">
        <v>0</v>
      </c>
      <c r="L203" s="106">
        <v>0</v>
      </c>
      <c r="M203" s="106">
        <v>0</v>
      </c>
      <c r="N203" s="106">
        <v>0</v>
      </c>
      <c r="O203" s="106">
        <v>0</v>
      </c>
      <c r="P203" s="106">
        <v>0</v>
      </c>
      <c r="Q203" s="106">
        <v>0</v>
      </c>
      <c r="R203" s="106">
        <v>0</v>
      </c>
      <c r="S203" s="106">
        <v>0</v>
      </c>
      <c r="T203" s="106">
        <v>0</v>
      </c>
      <c r="U203" s="106">
        <v>0</v>
      </c>
      <c r="V203" s="106">
        <v>0</v>
      </c>
      <c r="W203" s="106">
        <v>0</v>
      </c>
      <c r="X203" s="106">
        <v>0</v>
      </c>
      <c r="Y203" s="106">
        <v>0</v>
      </c>
      <c r="Z203" s="106">
        <v>0</v>
      </c>
      <c r="AA203" s="106">
        <v>0</v>
      </c>
      <c r="AB203" s="106">
        <v>0</v>
      </c>
      <c r="AC203" s="106">
        <v>0</v>
      </c>
      <c r="AD203" s="106">
        <v>0</v>
      </c>
      <c r="AE203" s="106">
        <v>0</v>
      </c>
      <c r="AF203" s="106">
        <v>0</v>
      </c>
      <c r="AG203" s="106">
        <v>0</v>
      </c>
      <c r="AH203" s="106">
        <v>0</v>
      </c>
      <c r="AI203" s="106">
        <v>0</v>
      </c>
      <c r="AJ203" s="106">
        <v>0</v>
      </c>
      <c r="AK203" s="106">
        <v>0</v>
      </c>
      <c r="AL203" s="106">
        <v>0</v>
      </c>
      <c r="AM203" s="106">
        <v>0</v>
      </c>
      <c r="AN203" s="106">
        <v>0</v>
      </c>
      <c r="AO203" s="106">
        <v>0</v>
      </c>
      <c r="AP203" s="106">
        <v>0</v>
      </c>
      <c r="AQ203" s="106">
        <v>0</v>
      </c>
      <c r="AR203" s="106">
        <v>0</v>
      </c>
      <c r="AS203" s="106">
        <v>0</v>
      </c>
      <c r="AT203" s="106">
        <v>0</v>
      </c>
      <c r="AU203" s="106">
        <v>0</v>
      </c>
      <c r="AV203" s="106">
        <v>0</v>
      </c>
      <c r="AW203" s="106">
        <v>0</v>
      </c>
      <c r="AX203" s="106">
        <v>0</v>
      </c>
      <c r="AY203" s="106">
        <v>0</v>
      </c>
    </row>
    <row r="204" spans="1:51">
      <c r="A204" s="109"/>
      <c r="B204" s="127">
        <v>8</v>
      </c>
      <c r="C204" s="106">
        <v>0</v>
      </c>
      <c r="D204" s="106">
        <v>0</v>
      </c>
      <c r="E204" s="106">
        <v>0</v>
      </c>
      <c r="F204" s="106">
        <v>0</v>
      </c>
      <c r="G204" s="106">
        <v>0</v>
      </c>
      <c r="H204" s="106">
        <v>0</v>
      </c>
      <c r="I204" s="106">
        <v>0</v>
      </c>
      <c r="J204" s="106">
        <v>0</v>
      </c>
      <c r="K204" s="106">
        <v>0</v>
      </c>
      <c r="L204" s="106">
        <v>0</v>
      </c>
      <c r="M204" s="106">
        <v>0</v>
      </c>
      <c r="N204" s="106">
        <v>0</v>
      </c>
      <c r="O204" s="106">
        <v>0</v>
      </c>
      <c r="P204" s="106">
        <v>0</v>
      </c>
      <c r="Q204" s="106">
        <v>0</v>
      </c>
      <c r="R204" s="106">
        <v>0</v>
      </c>
      <c r="S204" s="106">
        <v>0</v>
      </c>
      <c r="T204" s="106">
        <v>0</v>
      </c>
      <c r="U204" s="106">
        <v>0</v>
      </c>
      <c r="V204" s="106">
        <v>0</v>
      </c>
      <c r="W204" s="106">
        <v>0</v>
      </c>
      <c r="X204" s="106">
        <v>0</v>
      </c>
      <c r="Y204" s="106">
        <v>0</v>
      </c>
      <c r="Z204" s="106">
        <v>0</v>
      </c>
      <c r="AA204" s="106">
        <v>0</v>
      </c>
      <c r="AB204" s="106">
        <v>0</v>
      </c>
      <c r="AC204" s="106">
        <v>0</v>
      </c>
      <c r="AD204" s="106">
        <v>0</v>
      </c>
      <c r="AE204" s="106">
        <v>0</v>
      </c>
      <c r="AF204" s="106">
        <v>0</v>
      </c>
      <c r="AG204" s="106">
        <v>0</v>
      </c>
      <c r="AH204" s="106">
        <v>0</v>
      </c>
      <c r="AI204" s="106">
        <v>0</v>
      </c>
      <c r="AJ204" s="106">
        <v>0</v>
      </c>
      <c r="AK204" s="106">
        <v>0</v>
      </c>
      <c r="AL204" s="106">
        <v>0</v>
      </c>
      <c r="AM204" s="106">
        <v>0</v>
      </c>
      <c r="AN204" s="106">
        <v>0</v>
      </c>
      <c r="AO204" s="106">
        <v>0</v>
      </c>
      <c r="AP204" s="106">
        <v>0</v>
      </c>
      <c r="AQ204" s="106">
        <v>0</v>
      </c>
      <c r="AR204" s="106">
        <v>0</v>
      </c>
      <c r="AS204" s="106">
        <v>0</v>
      </c>
      <c r="AT204" s="106">
        <v>0</v>
      </c>
      <c r="AU204" s="106">
        <v>0</v>
      </c>
      <c r="AV204" s="106">
        <v>0</v>
      </c>
      <c r="AW204" s="106">
        <v>0</v>
      </c>
      <c r="AX204" s="106">
        <v>0</v>
      </c>
      <c r="AY204" s="106">
        <v>0</v>
      </c>
    </row>
    <row r="205" spans="1:51">
      <c r="A205" s="109"/>
      <c r="B205" s="127">
        <v>9</v>
      </c>
      <c r="C205" s="106">
        <v>0</v>
      </c>
      <c r="D205" s="106">
        <v>0</v>
      </c>
      <c r="E205" s="106">
        <v>0</v>
      </c>
      <c r="F205" s="106">
        <v>0</v>
      </c>
      <c r="G205" s="106">
        <v>0</v>
      </c>
      <c r="H205" s="106">
        <v>0</v>
      </c>
      <c r="I205" s="106">
        <v>0</v>
      </c>
      <c r="J205" s="106">
        <v>0</v>
      </c>
      <c r="K205" s="106">
        <v>0</v>
      </c>
      <c r="L205" s="106">
        <v>0</v>
      </c>
      <c r="M205" s="106">
        <v>0</v>
      </c>
      <c r="N205" s="106">
        <v>0</v>
      </c>
      <c r="O205" s="106">
        <v>0</v>
      </c>
      <c r="P205" s="106">
        <v>0</v>
      </c>
      <c r="Q205" s="106">
        <v>0</v>
      </c>
      <c r="R205" s="106">
        <v>0</v>
      </c>
      <c r="S205" s="106">
        <v>0</v>
      </c>
      <c r="T205" s="106">
        <v>0</v>
      </c>
      <c r="U205" s="106">
        <v>0</v>
      </c>
      <c r="V205" s="106">
        <v>0</v>
      </c>
      <c r="W205" s="106">
        <v>0</v>
      </c>
      <c r="X205" s="106">
        <v>0</v>
      </c>
      <c r="Y205" s="106">
        <v>0</v>
      </c>
      <c r="Z205" s="106">
        <v>0</v>
      </c>
      <c r="AA205" s="106">
        <v>0</v>
      </c>
      <c r="AB205" s="106">
        <v>0</v>
      </c>
      <c r="AC205" s="106">
        <v>0</v>
      </c>
      <c r="AD205" s="106">
        <v>0</v>
      </c>
      <c r="AE205" s="106">
        <v>0</v>
      </c>
      <c r="AF205" s="106">
        <v>0</v>
      </c>
      <c r="AG205" s="106">
        <v>0</v>
      </c>
      <c r="AH205" s="106">
        <v>0</v>
      </c>
      <c r="AI205" s="106">
        <v>0</v>
      </c>
      <c r="AJ205" s="106">
        <v>0</v>
      </c>
      <c r="AK205" s="106">
        <v>0</v>
      </c>
      <c r="AL205" s="106">
        <v>0</v>
      </c>
      <c r="AM205" s="106">
        <v>0</v>
      </c>
      <c r="AN205" s="106">
        <v>0</v>
      </c>
      <c r="AO205" s="106">
        <v>0</v>
      </c>
      <c r="AP205" s="106">
        <v>0</v>
      </c>
      <c r="AQ205" s="106">
        <v>0</v>
      </c>
      <c r="AR205" s="106">
        <v>0</v>
      </c>
      <c r="AS205" s="106">
        <v>0</v>
      </c>
      <c r="AT205" s="106">
        <v>0</v>
      </c>
      <c r="AU205" s="106">
        <v>0</v>
      </c>
      <c r="AV205" s="106">
        <v>0</v>
      </c>
      <c r="AW205" s="106">
        <v>0</v>
      </c>
      <c r="AX205" s="106">
        <v>0</v>
      </c>
      <c r="AY205" s="106">
        <v>0</v>
      </c>
    </row>
    <row r="206" spans="1:51">
      <c r="A206" s="109"/>
      <c r="B206" s="130">
        <v>10</v>
      </c>
      <c r="C206" s="106">
        <v>0</v>
      </c>
      <c r="D206" s="106">
        <v>0</v>
      </c>
      <c r="E206" s="106">
        <v>0</v>
      </c>
      <c r="F206" s="106">
        <v>0</v>
      </c>
      <c r="G206" s="106">
        <v>0</v>
      </c>
      <c r="H206" s="106">
        <v>0</v>
      </c>
      <c r="I206" s="106">
        <v>0</v>
      </c>
      <c r="J206" s="106">
        <v>0</v>
      </c>
      <c r="K206" s="106">
        <v>0</v>
      </c>
      <c r="L206" s="106">
        <v>0</v>
      </c>
      <c r="M206" s="106">
        <v>0</v>
      </c>
      <c r="N206" s="106">
        <v>0</v>
      </c>
      <c r="O206" s="106">
        <v>0</v>
      </c>
      <c r="P206" s="106">
        <v>0</v>
      </c>
      <c r="Q206" s="106">
        <v>0</v>
      </c>
      <c r="R206" s="106">
        <v>0</v>
      </c>
      <c r="S206" s="106">
        <v>0</v>
      </c>
      <c r="T206" s="106">
        <v>0</v>
      </c>
      <c r="U206" s="106">
        <v>0</v>
      </c>
      <c r="V206" s="106">
        <v>0</v>
      </c>
      <c r="W206" s="106">
        <v>0</v>
      </c>
      <c r="X206" s="106">
        <v>0</v>
      </c>
      <c r="Y206" s="106">
        <v>0</v>
      </c>
      <c r="Z206" s="106">
        <v>0</v>
      </c>
      <c r="AA206" s="106">
        <v>0</v>
      </c>
      <c r="AB206" s="106">
        <v>0</v>
      </c>
      <c r="AC206" s="106">
        <v>0</v>
      </c>
      <c r="AD206" s="106">
        <v>0</v>
      </c>
      <c r="AE206" s="106">
        <v>0</v>
      </c>
      <c r="AF206" s="106">
        <v>0</v>
      </c>
      <c r="AG206" s="106">
        <v>0</v>
      </c>
      <c r="AH206" s="106">
        <v>0</v>
      </c>
      <c r="AI206" s="106">
        <v>0</v>
      </c>
      <c r="AJ206" s="106">
        <v>0</v>
      </c>
      <c r="AK206" s="106">
        <v>0</v>
      </c>
      <c r="AL206" s="106">
        <v>0</v>
      </c>
      <c r="AM206" s="106">
        <v>0</v>
      </c>
      <c r="AN206" s="106">
        <v>0</v>
      </c>
      <c r="AO206" s="106">
        <v>0</v>
      </c>
      <c r="AP206" s="106">
        <v>0</v>
      </c>
      <c r="AQ206" s="106">
        <v>0</v>
      </c>
      <c r="AR206" s="106">
        <v>0</v>
      </c>
      <c r="AS206" s="106">
        <v>0</v>
      </c>
      <c r="AT206" s="106">
        <v>0</v>
      </c>
      <c r="AU206" s="106">
        <v>0</v>
      </c>
      <c r="AV206" s="106">
        <v>0</v>
      </c>
      <c r="AW206" s="106">
        <v>0</v>
      </c>
      <c r="AX206" s="106">
        <v>0</v>
      </c>
      <c r="AY206" s="106">
        <v>0</v>
      </c>
    </row>
    <row r="207" spans="1:51">
      <c r="A207" s="109"/>
      <c r="B207" s="130">
        <v>11</v>
      </c>
      <c r="C207" s="106">
        <v>0</v>
      </c>
      <c r="D207" s="106">
        <v>0</v>
      </c>
      <c r="E207" s="106">
        <v>0</v>
      </c>
      <c r="F207" s="106">
        <v>0</v>
      </c>
      <c r="G207" s="106">
        <v>0</v>
      </c>
      <c r="H207" s="106">
        <v>0</v>
      </c>
      <c r="I207" s="106">
        <v>0</v>
      </c>
      <c r="J207" s="106">
        <v>0</v>
      </c>
      <c r="K207" s="106">
        <v>0</v>
      </c>
      <c r="L207" s="106">
        <v>0</v>
      </c>
      <c r="M207" s="106">
        <v>0</v>
      </c>
      <c r="N207" s="106">
        <v>0</v>
      </c>
      <c r="O207" s="106">
        <v>0</v>
      </c>
      <c r="P207" s="106">
        <v>0</v>
      </c>
      <c r="Q207" s="106">
        <v>0</v>
      </c>
      <c r="R207" s="106">
        <v>0</v>
      </c>
      <c r="S207" s="106">
        <v>0</v>
      </c>
      <c r="T207" s="106">
        <v>0</v>
      </c>
      <c r="U207" s="106">
        <v>0</v>
      </c>
      <c r="V207" s="106">
        <v>0</v>
      </c>
      <c r="W207" s="106">
        <v>0</v>
      </c>
      <c r="X207" s="106">
        <v>0</v>
      </c>
      <c r="Y207" s="106">
        <v>0</v>
      </c>
      <c r="Z207" s="106">
        <v>0</v>
      </c>
      <c r="AA207" s="106">
        <v>0</v>
      </c>
      <c r="AB207" s="106">
        <v>0</v>
      </c>
      <c r="AC207" s="106">
        <v>0</v>
      </c>
      <c r="AD207" s="106">
        <v>0</v>
      </c>
      <c r="AE207" s="106">
        <v>0</v>
      </c>
      <c r="AF207" s="106">
        <v>0</v>
      </c>
      <c r="AG207" s="106">
        <v>0</v>
      </c>
      <c r="AH207" s="106">
        <v>0</v>
      </c>
      <c r="AI207" s="106">
        <v>0</v>
      </c>
      <c r="AJ207" s="106">
        <v>0</v>
      </c>
      <c r="AK207" s="106">
        <v>0</v>
      </c>
      <c r="AL207" s="106">
        <v>0</v>
      </c>
      <c r="AM207" s="106">
        <v>0</v>
      </c>
      <c r="AN207" s="106">
        <v>0</v>
      </c>
      <c r="AO207" s="106">
        <v>0</v>
      </c>
      <c r="AP207" s="106">
        <v>0</v>
      </c>
      <c r="AQ207" s="106">
        <v>0</v>
      </c>
      <c r="AR207" s="106">
        <v>0</v>
      </c>
      <c r="AS207" s="106">
        <v>0</v>
      </c>
      <c r="AT207" s="106">
        <v>0</v>
      </c>
      <c r="AU207" s="106">
        <v>0</v>
      </c>
      <c r="AV207" s="106">
        <v>0</v>
      </c>
      <c r="AW207" s="106">
        <v>0</v>
      </c>
      <c r="AX207" s="106">
        <v>0</v>
      </c>
      <c r="AY207" s="106">
        <v>0</v>
      </c>
    </row>
    <row r="208" spans="1:51">
      <c r="A208" s="109"/>
      <c r="B208" s="130">
        <v>12</v>
      </c>
      <c r="C208" s="106">
        <v>0</v>
      </c>
      <c r="D208" s="106">
        <v>0</v>
      </c>
      <c r="E208" s="106">
        <v>0</v>
      </c>
      <c r="F208" s="106">
        <v>0</v>
      </c>
      <c r="G208" s="106">
        <v>0</v>
      </c>
      <c r="H208" s="106">
        <v>0</v>
      </c>
      <c r="I208" s="106">
        <v>0</v>
      </c>
      <c r="J208" s="106">
        <v>0</v>
      </c>
      <c r="K208" s="106">
        <v>0</v>
      </c>
      <c r="L208" s="106">
        <v>0</v>
      </c>
      <c r="M208" s="106">
        <v>0</v>
      </c>
      <c r="N208" s="106">
        <v>0</v>
      </c>
      <c r="O208" s="106">
        <v>0</v>
      </c>
      <c r="P208" s="106">
        <v>0</v>
      </c>
      <c r="Q208" s="106">
        <v>0</v>
      </c>
      <c r="R208" s="106">
        <v>0</v>
      </c>
      <c r="S208" s="106">
        <v>0</v>
      </c>
      <c r="T208" s="106">
        <v>0</v>
      </c>
      <c r="U208" s="106">
        <v>0</v>
      </c>
      <c r="V208" s="106">
        <v>0</v>
      </c>
      <c r="W208" s="106">
        <v>0</v>
      </c>
      <c r="X208" s="106">
        <v>0</v>
      </c>
      <c r="Y208" s="106">
        <v>0</v>
      </c>
      <c r="Z208" s="106">
        <v>0</v>
      </c>
      <c r="AA208" s="106">
        <v>0</v>
      </c>
      <c r="AB208" s="106">
        <v>0</v>
      </c>
      <c r="AC208" s="106">
        <v>0</v>
      </c>
      <c r="AD208" s="106">
        <v>0</v>
      </c>
      <c r="AE208" s="106">
        <v>0</v>
      </c>
      <c r="AF208" s="106">
        <v>0</v>
      </c>
      <c r="AG208" s="106">
        <v>0</v>
      </c>
      <c r="AH208" s="106">
        <v>0</v>
      </c>
      <c r="AI208" s="106">
        <v>0</v>
      </c>
      <c r="AJ208" s="106">
        <v>0</v>
      </c>
      <c r="AK208" s="106">
        <v>0</v>
      </c>
      <c r="AL208" s="106">
        <v>0</v>
      </c>
      <c r="AM208" s="106">
        <v>0</v>
      </c>
      <c r="AN208" s="106">
        <v>0</v>
      </c>
      <c r="AO208" s="106">
        <v>0</v>
      </c>
      <c r="AP208" s="106">
        <v>0</v>
      </c>
      <c r="AQ208" s="106">
        <v>0</v>
      </c>
      <c r="AR208" s="106">
        <v>0</v>
      </c>
      <c r="AS208" s="106">
        <v>0</v>
      </c>
      <c r="AT208" s="106">
        <v>0</v>
      </c>
      <c r="AU208" s="106">
        <v>0</v>
      </c>
      <c r="AV208" s="106">
        <v>0</v>
      </c>
      <c r="AW208" s="106">
        <v>0</v>
      </c>
      <c r="AX208" s="106">
        <v>0</v>
      </c>
      <c r="AY208" s="106">
        <v>0</v>
      </c>
    </row>
    <row r="209" spans="1:51">
      <c r="A209" s="126" t="s">
        <v>123</v>
      </c>
      <c r="B209" s="123">
        <v>1</v>
      </c>
      <c r="C209" s="124">
        <v>109.87833450305922</v>
      </c>
      <c r="D209" s="124">
        <v>63.498253071508962</v>
      </c>
      <c r="E209" s="124">
        <v>98</v>
      </c>
      <c r="F209" s="124">
        <v>33.680419558270131</v>
      </c>
      <c r="G209" s="124">
        <v>52.719196476796462</v>
      </c>
      <c r="H209" s="124">
        <v>9.8958892597851237E-3</v>
      </c>
      <c r="I209" s="124">
        <v>63.588232966916593</v>
      </c>
      <c r="J209" s="124">
        <v>105.7031935887707</v>
      </c>
      <c r="K209" s="124">
        <v>0</v>
      </c>
      <c r="L209" s="124">
        <v>18.990623920655665</v>
      </c>
      <c r="M209" s="124">
        <v>63.588232966916593</v>
      </c>
      <c r="N209" s="124">
        <v>149</v>
      </c>
      <c r="O209" s="124">
        <v>71.480518356576638</v>
      </c>
      <c r="P209" s="124">
        <v>57.330358947540191</v>
      </c>
      <c r="Q209" s="124">
        <v>51.221743990534812</v>
      </c>
      <c r="R209" s="124">
        <v>41.289560616796066</v>
      </c>
      <c r="S209" s="124">
        <v>98.896103736304482</v>
      </c>
      <c r="T209" s="124">
        <v>66.42166292234343</v>
      </c>
      <c r="U209" s="124">
        <v>57.421662922343202</v>
      </c>
      <c r="V209" s="124">
        <v>70.280517374387557</v>
      </c>
      <c r="W209" s="124">
        <v>50.447819037892039</v>
      </c>
      <c r="X209" s="124">
        <v>130.00000000000023</v>
      </c>
      <c r="Y209" s="124">
        <v>38.194390263321964</v>
      </c>
      <c r="Z209" s="124">
        <v>115.36533378992496</v>
      </c>
      <c r="AA209" s="124">
        <v>63.588232966916586</v>
      </c>
      <c r="AB209" s="124">
        <v>9.8958892597851237E-3</v>
      </c>
      <c r="AC209" s="124">
        <v>100.33881643851076</v>
      </c>
      <c r="AD209" s="124">
        <v>13.143038395485394</v>
      </c>
      <c r="AE209" s="124">
        <v>61.125619872531459</v>
      </c>
      <c r="AF209" s="124">
        <v>63.588232966916593</v>
      </c>
      <c r="AG209" s="124">
        <v>107</v>
      </c>
      <c r="AH209" s="124">
        <v>9.8958892597851237E-3</v>
      </c>
      <c r="AI209" s="124">
        <v>22.727925100737906</v>
      </c>
      <c r="AJ209" s="124">
        <v>105.69776547251892</v>
      </c>
      <c r="AK209" s="124">
        <v>25.813863365422364</v>
      </c>
      <c r="AL209" s="124">
        <v>30.680084430235652</v>
      </c>
      <c r="AM209" s="124">
        <v>0</v>
      </c>
      <c r="AN209" s="124">
        <v>35.705323903184137</v>
      </c>
      <c r="AO209" s="124">
        <v>33.639694353242277</v>
      </c>
      <c r="AP209" s="124">
        <v>63.588232966916593</v>
      </c>
      <c r="AQ209" s="124">
        <v>66.42166292234343</v>
      </c>
      <c r="AR209" s="124">
        <v>98.421662922343202</v>
      </c>
      <c r="AS209" s="124">
        <v>63.588232966916593</v>
      </c>
      <c r="AT209" s="124">
        <v>89.588232966916365</v>
      </c>
      <c r="AU209" s="124">
        <v>63.588232966916593</v>
      </c>
      <c r="AV209" s="124">
        <v>63.588232966916593</v>
      </c>
      <c r="AW209" s="124">
        <v>9.8958892597851237E-3</v>
      </c>
      <c r="AX209" s="124">
        <v>63.588232966916593</v>
      </c>
      <c r="AY209" s="124">
        <v>32.808260270206887</v>
      </c>
    </row>
    <row r="210" spans="1:51">
      <c r="A210" s="109"/>
      <c r="B210" s="119">
        <v>2</v>
      </c>
      <c r="C210" s="106">
        <v>48.121665496940778</v>
      </c>
      <c r="D210" s="110">
        <v>12.952539827094816</v>
      </c>
      <c r="E210" s="110">
        <v>0</v>
      </c>
      <c r="F210" s="110">
        <v>86.120850010819098</v>
      </c>
      <c r="G210" s="110">
        <v>62.001984974370522</v>
      </c>
      <c r="H210" s="110">
        <v>6.9965196490240089</v>
      </c>
      <c r="I210" s="110">
        <v>0</v>
      </c>
      <c r="J210" s="110">
        <v>0</v>
      </c>
      <c r="K210" s="110">
        <v>0</v>
      </c>
      <c r="L210" s="110">
        <v>107.34421967542737</v>
      </c>
      <c r="M210" s="110">
        <v>71.457969772300004</v>
      </c>
      <c r="N210" s="110">
        <v>0</v>
      </c>
      <c r="O210" s="110">
        <v>30.519481643423358</v>
      </c>
      <c r="P210" s="110">
        <v>37.669641052459809</v>
      </c>
      <c r="Q210" s="110">
        <v>46.778256009465188</v>
      </c>
      <c r="R210" s="110">
        <v>50.710439383203934</v>
      </c>
      <c r="S210" s="110">
        <v>57.103896263695518</v>
      </c>
      <c r="T210" s="110">
        <v>20.021923890674739</v>
      </c>
      <c r="U210" s="110">
        <v>63.578337077656798</v>
      </c>
      <c r="V210" s="110">
        <v>46.71948262561245</v>
      </c>
      <c r="W210" s="110">
        <v>38.44209502833575</v>
      </c>
      <c r="X210" s="110">
        <v>8.458630563463398</v>
      </c>
      <c r="Y210" s="110">
        <v>0</v>
      </c>
      <c r="Z210" s="110">
        <v>16.346298920003083</v>
      </c>
      <c r="AA210" s="110">
        <v>9.4204973724002681</v>
      </c>
      <c r="AB210" s="110">
        <v>66.411767033083635</v>
      </c>
      <c r="AC210" s="110">
        <v>0</v>
      </c>
      <c r="AD210" s="110">
        <v>19.093233681744248</v>
      </c>
      <c r="AE210" s="110">
        <v>97.874380127468541</v>
      </c>
      <c r="AF210" s="110">
        <v>44.335204349917305</v>
      </c>
      <c r="AG210" s="110">
        <v>0</v>
      </c>
      <c r="AH210" s="110">
        <v>57.555348670470252</v>
      </c>
      <c r="AI210" s="110">
        <v>143.27207489926209</v>
      </c>
      <c r="AJ210" s="110">
        <v>26.30223452748108</v>
      </c>
      <c r="AK210" s="110">
        <v>24.193370886682974</v>
      </c>
      <c r="AL210" s="110">
        <v>0</v>
      </c>
      <c r="AM210" s="110">
        <v>30.417182704528557</v>
      </c>
      <c r="AN210" s="110">
        <v>132.82990416012305</v>
      </c>
      <c r="AO210" s="110">
        <v>84.360305646757723</v>
      </c>
      <c r="AP210" s="110">
        <v>62.02820024169867</v>
      </c>
      <c r="AQ210" s="110">
        <v>66.411767033083635</v>
      </c>
      <c r="AR210" s="110">
        <v>63.578337077656798</v>
      </c>
      <c r="AS210" s="110">
        <v>20.327326718257144</v>
      </c>
      <c r="AT210" s="110">
        <v>66.411767033083635</v>
      </c>
      <c r="AU210" s="110">
        <v>26.013503805582211</v>
      </c>
      <c r="AV210" s="110">
        <v>0</v>
      </c>
      <c r="AW210" s="110">
        <v>66.411767033083635</v>
      </c>
      <c r="AX210" s="110">
        <v>66.411767033083635</v>
      </c>
      <c r="AY210" s="110">
        <v>66.411767033083635</v>
      </c>
    </row>
    <row r="211" spans="1:51">
      <c r="A211" s="109"/>
      <c r="B211" s="119">
        <v>3</v>
      </c>
      <c r="C211" s="106">
        <v>0</v>
      </c>
      <c r="D211" s="110">
        <v>0</v>
      </c>
      <c r="E211" s="110">
        <v>0</v>
      </c>
      <c r="F211" s="110">
        <v>0</v>
      </c>
      <c r="G211" s="110">
        <v>0</v>
      </c>
      <c r="H211" s="110">
        <v>0</v>
      </c>
      <c r="I211" s="110">
        <v>66.411767033083635</v>
      </c>
      <c r="J211" s="110">
        <v>0</v>
      </c>
      <c r="K211" s="110">
        <v>125.68145707684948</v>
      </c>
      <c r="L211" s="110">
        <v>10.067722028199659</v>
      </c>
      <c r="M211" s="110">
        <v>0</v>
      </c>
      <c r="N211" s="110">
        <v>0</v>
      </c>
      <c r="O211" s="110">
        <v>0</v>
      </c>
      <c r="P211" s="110">
        <v>0</v>
      </c>
      <c r="Q211" s="110">
        <v>0</v>
      </c>
      <c r="R211" s="110">
        <v>0</v>
      </c>
      <c r="S211" s="110">
        <v>0</v>
      </c>
      <c r="T211" s="110">
        <v>0</v>
      </c>
      <c r="U211" s="110">
        <v>0</v>
      </c>
      <c r="V211" s="110">
        <v>0</v>
      </c>
      <c r="W211" s="110">
        <v>0</v>
      </c>
      <c r="X211" s="110">
        <v>0</v>
      </c>
      <c r="Y211" s="110">
        <v>66.411767033083635</v>
      </c>
      <c r="Z211" s="110">
        <v>0</v>
      </c>
      <c r="AA211" s="110">
        <v>66.411767033083635</v>
      </c>
      <c r="AB211" s="110">
        <v>0</v>
      </c>
      <c r="AC211" s="110">
        <v>0</v>
      </c>
      <c r="AD211" s="110">
        <v>129.99010411074045</v>
      </c>
      <c r="AE211" s="110">
        <v>0</v>
      </c>
      <c r="AF211" s="110">
        <v>0</v>
      </c>
      <c r="AG211" s="110">
        <v>0</v>
      </c>
      <c r="AH211" s="110">
        <v>0</v>
      </c>
      <c r="AI211" s="110">
        <v>0</v>
      </c>
      <c r="AJ211" s="110">
        <v>0</v>
      </c>
      <c r="AK211" s="110">
        <v>79.693737821605282</v>
      </c>
      <c r="AL211" s="110">
        <v>0</v>
      </c>
      <c r="AM211" s="110">
        <v>79.693737821605282</v>
      </c>
      <c r="AN211" s="110">
        <v>1.603462404928311</v>
      </c>
      <c r="AO211" s="110">
        <v>0</v>
      </c>
      <c r="AP211" s="110">
        <v>0</v>
      </c>
      <c r="AQ211" s="110">
        <v>0</v>
      </c>
      <c r="AR211" s="110">
        <v>0</v>
      </c>
      <c r="AS211" s="110">
        <v>0</v>
      </c>
      <c r="AT211" s="110">
        <v>0</v>
      </c>
      <c r="AU211" s="110">
        <v>0</v>
      </c>
      <c r="AV211" s="110">
        <v>0</v>
      </c>
      <c r="AW211" s="110">
        <v>66.411767033083635</v>
      </c>
      <c r="AX211" s="110">
        <v>0</v>
      </c>
      <c r="AY211" s="110">
        <v>63.578337077656805</v>
      </c>
    </row>
    <row r="212" spans="1:51">
      <c r="A212" s="109"/>
      <c r="B212" s="119">
        <v>4</v>
      </c>
      <c r="C212" s="106">
        <v>0</v>
      </c>
      <c r="D212" s="110">
        <v>0</v>
      </c>
      <c r="E212" s="110">
        <v>0</v>
      </c>
      <c r="F212" s="110">
        <v>0</v>
      </c>
      <c r="G212" s="110">
        <v>0</v>
      </c>
      <c r="H212" s="110">
        <v>0</v>
      </c>
      <c r="I212" s="110">
        <v>0</v>
      </c>
      <c r="J212" s="110">
        <v>0</v>
      </c>
      <c r="K212" s="110">
        <v>0</v>
      </c>
      <c r="L212" s="110">
        <v>4.5974343757173122</v>
      </c>
      <c r="M212" s="110">
        <v>0</v>
      </c>
      <c r="N212" s="110">
        <v>0</v>
      </c>
      <c r="O212" s="110">
        <v>0</v>
      </c>
      <c r="P212" s="110">
        <v>0</v>
      </c>
      <c r="Q212" s="110">
        <v>0</v>
      </c>
      <c r="R212" s="110">
        <v>0</v>
      </c>
      <c r="S212" s="110">
        <v>0</v>
      </c>
      <c r="T212" s="110">
        <v>0</v>
      </c>
      <c r="U212" s="110">
        <v>0</v>
      </c>
      <c r="V212" s="110">
        <v>0</v>
      </c>
      <c r="W212" s="110">
        <v>0</v>
      </c>
      <c r="X212" s="110">
        <v>0</v>
      </c>
      <c r="Y212" s="110">
        <v>0</v>
      </c>
      <c r="Z212" s="110">
        <v>0</v>
      </c>
      <c r="AA212" s="110">
        <v>0</v>
      </c>
      <c r="AB212" s="110">
        <v>0</v>
      </c>
      <c r="AC212" s="110">
        <v>0</v>
      </c>
      <c r="AD212" s="110">
        <v>0</v>
      </c>
      <c r="AE212" s="110">
        <v>0</v>
      </c>
      <c r="AF212" s="110">
        <v>0</v>
      </c>
      <c r="AG212" s="110">
        <v>0</v>
      </c>
      <c r="AH212" s="110">
        <v>0</v>
      </c>
      <c r="AI212" s="110">
        <v>0</v>
      </c>
      <c r="AJ212" s="110">
        <v>0</v>
      </c>
      <c r="AK212" s="110">
        <v>0</v>
      </c>
      <c r="AL212" s="110">
        <v>0</v>
      </c>
      <c r="AM212" s="110">
        <v>0</v>
      </c>
      <c r="AN212" s="110">
        <v>0</v>
      </c>
      <c r="AO212" s="110">
        <v>0</v>
      </c>
      <c r="AP212" s="110">
        <v>0</v>
      </c>
      <c r="AQ212" s="110">
        <v>0</v>
      </c>
      <c r="AR212" s="110">
        <v>0</v>
      </c>
      <c r="AS212" s="110">
        <v>0</v>
      </c>
      <c r="AT212" s="110">
        <v>0</v>
      </c>
      <c r="AU212" s="110">
        <v>0</v>
      </c>
      <c r="AV212" s="110">
        <v>0</v>
      </c>
      <c r="AW212" s="110">
        <v>0</v>
      </c>
      <c r="AX212" s="110">
        <v>0</v>
      </c>
      <c r="AY212" s="110">
        <v>0</v>
      </c>
    </row>
    <row r="213" spans="1:51">
      <c r="A213" s="109"/>
      <c r="B213" s="119">
        <v>5</v>
      </c>
      <c r="C213" s="106">
        <v>0</v>
      </c>
      <c r="D213" s="110">
        <v>0</v>
      </c>
      <c r="E213" s="110">
        <v>0</v>
      </c>
      <c r="F213" s="110">
        <v>0</v>
      </c>
      <c r="G213" s="110">
        <v>0</v>
      </c>
      <c r="H213" s="110">
        <v>0</v>
      </c>
      <c r="I213" s="110">
        <v>0</v>
      </c>
      <c r="J213" s="110">
        <v>0</v>
      </c>
      <c r="K213" s="110">
        <v>0</v>
      </c>
      <c r="L213" s="110">
        <v>0</v>
      </c>
      <c r="M213" s="110">
        <v>0</v>
      </c>
      <c r="N213" s="110">
        <v>0</v>
      </c>
      <c r="O213" s="110">
        <v>0</v>
      </c>
      <c r="P213" s="110">
        <v>0</v>
      </c>
      <c r="Q213" s="110">
        <v>0</v>
      </c>
      <c r="R213" s="110">
        <v>0</v>
      </c>
      <c r="S213" s="110">
        <v>0</v>
      </c>
      <c r="T213" s="110">
        <v>0</v>
      </c>
      <c r="U213" s="110">
        <v>0</v>
      </c>
      <c r="V213" s="110">
        <v>0</v>
      </c>
      <c r="W213" s="110">
        <v>0</v>
      </c>
      <c r="X213" s="110">
        <v>0</v>
      </c>
      <c r="Y213" s="110">
        <v>0</v>
      </c>
      <c r="Z213" s="110">
        <v>0</v>
      </c>
      <c r="AA213" s="110">
        <v>0</v>
      </c>
      <c r="AB213" s="110">
        <v>0</v>
      </c>
      <c r="AC213" s="110">
        <v>0</v>
      </c>
      <c r="AD213" s="110">
        <v>0</v>
      </c>
      <c r="AE213" s="110">
        <v>0</v>
      </c>
      <c r="AF213" s="110">
        <v>0</v>
      </c>
      <c r="AG213" s="110">
        <v>0</v>
      </c>
      <c r="AH213" s="110">
        <v>0</v>
      </c>
      <c r="AI213" s="110">
        <v>0</v>
      </c>
      <c r="AJ213" s="110">
        <v>0</v>
      </c>
      <c r="AK213" s="110">
        <v>0</v>
      </c>
      <c r="AL213" s="110">
        <v>0</v>
      </c>
      <c r="AM213" s="110">
        <v>0</v>
      </c>
      <c r="AN213" s="110">
        <v>0</v>
      </c>
      <c r="AO213" s="110">
        <v>0</v>
      </c>
      <c r="AP213" s="110">
        <v>0</v>
      </c>
      <c r="AQ213" s="110">
        <v>0</v>
      </c>
      <c r="AR213" s="110">
        <v>0</v>
      </c>
      <c r="AS213" s="110">
        <v>0</v>
      </c>
      <c r="AT213" s="110">
        <v>0</v>
      </c>
      <c r="AU213" s="110">
        <v>0</v>
      </c>
      <c r="AV213" s="110">
        <v>0</v>
      </c>
      <c r="AW213" s="110">
        <v>0</v>
      </c>
      <c r="AX213" s="110">
        <v>0</v>
      </c>
      <c r="AY213" s="110">
        <v>0</v>
      </c>
    </row>
    <row r="214" spans="1:51">
      <c r="A214" s="109"/>
      <c r="B214" s="119">
        <v>6</v>
      </c>
      <c r="C214" s="106">
        <v>0</v>
      </c>
      <c r="D214" s="110">
        <v>0</v>
      </c>
      <c r="E214" s="110">
        <v>0</v>
      </c>
      <c r="F214" s="110">
        <v>0</v>
      </c>
      <c r="G214" s="110">
        <v>0</v>
      </c>
      <c r="H214" s="110">
        <v>0</v>
      </c>
      <c r="I214" s="110">
        <v>0</v>
      </c>
      <c r="J214" s="110">
        <v>0</v>
      </c>
      <c r="K214" s="110">
        <v>0</v>
      </c>
      <c r="L214" s="110">
        <v>0</v>
      </c>
      <c r="M214" s="110">
        <v>0</v>
      </c>
      <c r="N214" s="110">
        <v>0</v>
      </c>
      <c r="O214" s="110">
        <v>0</v>
      </c>
      <c r="P214" s="110">
        <v>0</v>
      </c>
      <c r="Q214" s="110">
        <v>0</v>
      </c>
      <c r="R214" s="110">
        <v>0</v>
      </c>
      <c r="S214" s="110">
        <v>0</v>
      </c>
      <c r="T214" s="110">
        <v>0</v>
      </c>
      <c r="U214" s="110">
        <v>0</v>
      </c>
      <c r="V214" s="110">
        <v>0</v>
      </c>
      <c r="W214" s="110">
        <v>0</v>
      </c>
      <c r="X214" s="110">
        <v>0</v>
      </c>
      <c r="Y214" s="110">
        <v>0</v>
      </c>
      <c r="Z214" s="110">
        <v>0</v>
      </c>
      <c r="AA214" s="110">
        <v>0</v>
      </c>
      <c r="AB214" s="110">
        <v>0</v>
      </c>
      <c r="AC214" s="110">
        <v>0</v>
      </c>
      <c r="AD214" s="110">
        <v>0</v>
      </c>
      <c r="AE214" s="110">
        <v>0</v>
      </c>
      <c r="AF214" s="110">
        <v>0</v>
      </c>
      <c r="AG214" s="110">
        <v>0</v>
      </c>
      <c r="AH214" s="110">
        <v>0</v>
      </c>
      <c r="AI214" s="110">
        <v>0</v>
      </c>
      <c r="AJ214" s="110">
        <v>0</v>
      </c>
      <c r="AK214" s="110">
        <v>0</v>
      </c>
      <c r="AL214" s="110">
        <v>0</v>
      </c>
      <c r="AM214" s="110">
        <v>0</v>
      </c>
      <c r="AN214" s="110">
        <v>0</v>
      </c>
      <c r="AO214" s="110">
        <v>0</v>
      </c>
      <c r="AP214" s="110">
        <v>0</v>
      </c>
      <c r="AQ214" s="110">
        <v>0</v>
      </c>
      <c r="AR214" s="110">
        <v>0</v>
      </c>
      <c r="AS214" s="110">
        <v>0</v>
      </c>
      <c r="AT214" s="110">
        <v>0</v>
      </c>
      <c r="AU214" s="110">
        <v>0</v>
      </c>
      <c r="AV214" s="110">
        <v>0</v>
      </c>
      <c r="AW214" s="110">
        <v>0</v>
      </c>
      <c r="AX214" s="110">
        <v>0</v>
      </c>
      <c r="AY214" s="110">
        <v>0</v>
      </c>
    </row>
    <row r="215" spans="1:51">
      <c r="A215" s="109"/>
      <c r="B215" s="119">
        <v>7</v>
      </c>
      <c r="C215" s="106">
        <v>0</v>
      </c>
      <c r="D215" s="110">
        <v>0</v>
      </c>
      <c r="E215" s="110">
        <v>0</v>
      </c>
      <c r="F215" s="110">
        <v>0</v>
      </c>
      <c r="G215" s="110">
        <v>0</v>
      </c>
      <c r="H215" s="110">
        <v>0</v>
      </c>
      <c r="I215" s="110">
        <v>0</v>
      </c>
      <c r="J215" s="110">
        <v>0</v>
      </c>
      <c r="K215" s="110">
        <v>0</v>
      </c>
      <c r="L215" s="110">
        <v>0</v>
      </c>
      <c r="M215" s="110">
        <v>0</v>
      </c>
      <c r="N215" s="110">
        <v>0</v>
      </c>
      <c r="O215" s="110">
        <v>0</v>
      </c>
      <c r="P215" s="110">
        <v>0</v>
      </c>
      <c r="Q215" s="110">
        <v>0</v>
      </c>
      <c r="R215" s="110">
        <v>0</v>
      </c>
      <c r="S215" s="110">
        <v>0</v>
      </c>
      <c r="T215" s="110">
        <v>0</v>
      </c>
      <c r="U215" s="110">
        <v>0</v>
      </c>
      <c r="V215" s="110">
        <v>0</v>
      </c>
      <c r="W215" s="110">
        <v>0</v>
      </c>
      <c r="X215" s="110">
        <v>0</v>
      </c>
      <c r="Y215" s="110">
        <v>0</v>
      </c>
      <c r="Z215" s="110">
        <v>0</v>
      </c>
      <c r="AA215" s="110">
        <v>0</v>
      </c>
      <c r="AB215" s="110">
        <v>0</v>
      </c>
      <c r="AC215" s="110">
        <v>0</v>
      </c>
      <c r="AD215" s="110">
        <v>0</v>
      </c>
      <c r="AE215" s="110">
        <v>0</v>
      </c>
      <c r="AF215" s="110">
        <v>0</v>
      </c>
      <c r="AG215" s="110">
        <v>0</v>
      </c>
      <c r="AH215" s="110">
        <v>0</v>
      </c>
      <c r="AI215" s="110">
        <v>0</v>
      </c>
      <c r="AJ215" s="110">
        <v>0</v>
      </c>
      <c r="AK215" s="110">
        <v>0</v>
      </c>
      <c r="AL215" s="110">
        <v>0</v>
      </c>
      <c r="AM215" s="110">
        <v>0</v>
      </c>
      <c r="AN215" s="110">
        <v>0</v>
      </c>
      <c r="AO215" s="110">
        <v>0</v>
      </c>
      <c r="AP215" s="110">
        <v>0</v>
      </c>
      <c r="AQ215" s="110">
        <v>0</v>
      </c>
      <c r="AR215" s="110">
        <v>0</v>
      </c>
      <c r="AS215" s="110">
        <v>0</v>
      </c>
      <c r="AT215" s="110">
        <v>0</v>
      </c>
      <c r="AU215" s="110">
        <v>0</v>
      </c>
      <c r="AV215" s="110">
        <v>0</v>
      </c>
      <c r="AW215" s="110">
        <v>0</v>
      </c>
      <c r="AX215" s="110">
        <v>0</v>
      </c>
      <c r="AY215" s="110">
        <v>0</v>
      </c>
    </row>
    <row r="216" spans="1:51">
      <c r="A216" s="109"/>
      <c r="B216" s="119">
        <v>8</v>
      </c>
      <c r="C216" s="106">
        <v>0</v>
      </c>
      <c r="D216" s="110">
        <v>0</v>
      </c>
      <c r="E216" s="110">
        <v>0</v>
      </c>
      <c r="F216" s="110">
        <v>0</v>
      </c>
      <c r="G216" s="110">
        <v>0</v>
      </c>
      <c r="H216" s="110">
        <v>0</v>
      </c>
      <c r="I216" s="110">
        <v>0</v>
      </c>
      <c r="J216" s="110">
        <v>0</v>
      </c>
      <c r="K216" s="110">
        <v>0</v>
      </c>
      <c r="L216" s="110">
        <v>0</v>
      </c>
      <c r="M216" s="110">
        <v>0</v>
      </c>
      <c r="N216" s="110">
        <v>0</v>
      </c>
      <c r="O216" s="110">
        <v>0</v>
      </c>
      <c r="P216" s="110">
        <v>0</v>
      </c>
      <c r="Q216" s="110">
        <v>0</v>
      </c>
      <c r="R216" s="110">
        <v>0</v>
      </c>
      <c r="S216" s="110">
        <v>0</v>
      </c>
      <c r="T216" s="110">
        <v>0</v>
      </c>
      <c r="U216" s="110">
        <v>0</v>
      </c>
      <c r="V216" s="110">
        <v>0</v>
      </c>
      <c r="W216" s="110">
        <v>0</v>
      </c>
      <c r="X216" s="110">
        <v>0</v>
      </c>
      <c r="Y216" s="110">
        <v>0</v>
      </c>
      <c r="Z216" s="110">
        <v>0</v>
      </c>
      <c r="AA216" s="110">
        <v>0</v>
      </c>
      <c r="AB216" s="110">
        <v>0</v>
      </c>
      <c r="AC216" s="110">
        <v>0</v>
      </c>
      <c r="AD216" s="110">
        <v>0</v>
      </c>
      <c r="AE216" s="110">
        <v>0</v>
      </c>
      <c r="AF216" s="110">
        <v>0</v>
      </c>
      <c r="AG216" s="110">
        <v>0</v>
      </c>
      <c r="AH216" s="110">
        <v>0</v>
      </c>
      <c r="AI216" s="110">
        <v>0</v>
      </c>
      <c r="AJ216" s="110">
        <v>0</v>
      </c>
      <c r="AK216" s="110">
        <v>0</v>
      </c>
      <c r="AL216" s="110">
        <v>0</v>
      </c>
      <c r="AM216" s="110">
        <v>0</v>
      </c>
      <c r="AN216" s="110">
        <v>0</v>
      </c>
      <c r="AO216" s="110">
        <v>0</v>
      </c>
      <c r="AP216" s="110">
        <v>0</v>
      </c>
      <c r="AQ216" s="110">
        <v>0</v>
      </c>
      <c r="AR216" s="110">
        <v>0</v>
      </c>
      <c r="AS216" s="110">
        <v>0</v>
      </c>
      <c r="AT216" s="110">
        <v>0</v>
      </c>
      <c r="AU216" s="110">
        <v>0</v>
      </c>
      <c r="AV216" s="110">
        <v>0</v>
      </c>
      <c r="AW216" s="110">
        <v>0</v>
      </c>
      <c r="AX216" s="110">
        <v>0</v>
      </c>
      <c r="AY216" s="110">
        <v>0</v>
      </c>
    </row>
    <row r="217" spans="1:51">
      <c r="A217" s="109"/>
      <c r="B217" s="119">
        <v>9</v>
      </c>
      <c r="C217" s="106">
        <v>0</v>
      </c>
      <c r="D217" s="110">
        <v>0</v>
      </c>
      <c r="E217" s="110">
        <v>0</v>
      </c>
      <c r="F217" s="110">
        <v>0</v>
      </c>
      <c r="G217" s="110">
        <v>0</v>
      </c>
      <c r="H217" s="110">
        <v>0</v>
      </c>
      <c r="I217" s="110">
        <v>0</v>
      </c>
      <c r="J217" s="110">
        <v>0</v>
      </c>
      <c r="K217" s="110">
        <v>0</v>
      </c>
      <c r="L217" s="110">
        <v>0</v>
      </c>
      <c r="M217" s="110">
        <v>0</v>
      </c>
      <c r="N217" s="110">
        <v>0</v>
      </c>
      <c r="O217" s="110">
        <v>0</v>
      </c>
      <c r="P217" s="110">
        <v>0</v>
      </c>
      <c r="Q217" s="110">
        <v>0</v>
      </c>
      <c r="R217" s="110">
        <v>0</v>
      </c>
      <c r="S217" s="110">
        <v>0</v>
      </c>
      <c r="T217" s="110">
        <v>0</v>
      </c>
      <c r="U217" s="110">
        <v>0</v>
      </c>
      <c r="V217" s="110">
        <v>0</v>
      </c>
      <c r="W217" s="110">
        <v>0</v>
      </c>
      <c r="X217" s="110">
        <v>0</v>
      </c>
      <c r="Y217" s="110">
        <v>0</v>
      </c>
      <c r="Z217" s="110">
        <v>0</v>
      </c>
      <c r="AA217" s="110">
        <v>0</v>
      </c>
      <c r="AB217" s="110">
        <v>0</v>
      </c>
      <c r="AC217" s="110">
        <v>0</v>
      </c>
      <c r="AD217" s="110">
        <v>0</v>
      </c>
      <c r="AE217" s="110">
        <v>0</v>
      </c>
      <c r="AF217" s="110">
        <v>0</v>
      </c>
      <c r="AG217" s="110">
        <v>0</v>
      </c>
      <c r="AH217" s="110">
        <v>0</v>
      </c>
      <c r="AI217" s="110">
        <v>0</v>
      </c>
      <c r="AJ217" s="110">
        <v>0</v>
      </c>
      <c r="AK217" s="110">
        <v>0</v>
      </c>
      <c r="AL217" s="110">
        <v>0</v>
      </c>
      <c r="AM217" s="110">
        <v>0</v>
      </c>
      <c r="AN217" s="110">
        <v>0</v>
      </c>
      <c r="AO217" s="110">
        <v>0</v>
      </c>
      <c r="AP217" s="110">
        <v>0</v>
      </c>
      <c r="AQ217" s="110">
        <v>0</v>
      </c>
      <c r="AR217" s="110">
        <v>0</v>
      </c>
      <c r="AS217" s="110">
        <v>0</v>
      </c>
      <c r="AT217" s="110">
        <v>0</v>
      </c>
      <c r="AU217" s="110">
        <v>0</v>
      </c>
      <c r="AV217" s="110">
        <v>0</v>
      </c>
      <c r="AW217" s="110">
        <v>0</v>
      </c>
      <c r="AX217" s="110">
        <v>0</v>
      </c>
      <c r="AY217" s="110">
        <v>0</v>
      </c>
    </row>
    <row r="218" spans="1:51">
      <c r="A218" s="109"/>
      <c r="B218" s="119">
        <v>10</v>
      </c>
      <c r="C218" s="106">
        <v>0</v>
      </c>
      <c r="D218" s="110">
        <v>0</v>
      </c>
      <c r="E218" s="110">
        <v>0</v>
      </c>
      <c r="F218" s="110">
        <v>0</v>
      </c>
      <c r="G218" s="110">
        <v>0</v>
      </c>
      <c r="H218" s="110">
        <v>0</v>
      </c>
      <c r="I218" s="110">
        <v>0</v>
      </c>
      <c r="J218" s="110">
        <v>0</v>
      </c>
      <c r="K218" s="110">
        <v>0</v>
      </c>
      <c r="L218" s="110">
        <v>0</v>
      </c>
      <c r="M218" s="110">
        <v>0</v>
      </c>
      <c r="N218" s="110">
        <v>0</v>
      </c>
      <c r="O218" s="110">
        <v>0</v>
      </c>
      <c r="P218" s="110">
        <v>0</v>
      </c>
      <c r="Q218" s="110">
        <v>0</v>
      </c>
      <c r="R218" s="110">
        <v>0</v>
      </c>
      <c r="S218" s="110">
        <v>0</v>
      </c>
      <c r="T218" s="110">
        <v>0</v>
      </c>
      <c r="U218" s="110">
        <v>0</v>
      </c>
      <c r="V218" s="110">
        <v>0</v>
      </c>
      <c r="W218" s="110">
        <v>0</v>
      </c>
      <c r="X218" s="110">
        <v>0</v>
      </c>
      <c r="Y218" s="110">
        <v>0</v>
      </c>
      <c r="Z218" s="110">
        <v>0</v>
      </c>
      <c r="AA218" s="110">
        <v>0</v>
      </c>
      <c r="AB218" s="110">
        <v>0</v>
      </c>
      <c r="AC218" s="110">
        <v>0</v>
      </c>
      <c r="AD218" s="110">
        <v>0</v>
      </c>
      <c r="AE218" s="110">
        <v>0</v>
      </c>
      <c r="AF218" s="110">
        <v>0</v>
      </c>
      <c r="AG218" s="110">
        <v>0</v>
      </c>
      <c r="AH218" s="110">
        <v>0</v>
      </c>
      <c r="AI218" s="110">
        <v>0</v>
      </c>
      <c r="AJ218" s="110">
        <v>0</v>
      </c>
      <c r="AK218" s="110">
        <v>0</v>
      </c>
      <c r="AL218" s="110">
        <v>0</v>
      </c>
      <c r="AM218" s="110">
        <v>0</v>
      </c>
      <c r="AN218" s="110">
        <v>0</v>
      </c>
      <c r="AO218" s="110">
        <v>0</v>
      </c>
      <c r="AP218" s="110">
        <v>0</v>
      </c>
      <c r="AQ218" s="110">
        <v>0</v>
      </c>
      <c r="AR218" s="110">
        <v>0</v>
      </c>
      <c r="AS218" s="110">
        <v>0</v>
      </c>
      <c r="AT218" s="110">
        <v>0</v>
      </c>
      <c r="AU218" s="110">
        <v>0</v>
      </c>
      <c r="AV218" s="110">
        <v>0</v>
      </c>
      <c r="AW218" s="110">
        <v>0</v>
      </c>
      <c r="AX218" s="110">
        <v>0</v>
      </c>
      <c r="AY218" s="110">
        <v>0</v>
      </c>
    </row>
    <row r="219" spans="1:51">
      <c r="A219" s="109"/>
      <c r="B219" s="119">
        <v>11</v>
      </c>
      <c r="C219" s="106">
        <v>0</v>
      </c>
      <c r="D219" s="110">
        <v>0</v>
      </c>
      <c r="E219" s="110">
        <v>0</v>
      </c>
      <c r="F219" s="110">
        <v>0</v>
      </c>
      <c r="G219" s="110">
        <v>0</v>
      </c>
      <c r="H219" s="110">
        <v>0</v>
      </c>
      <c r="I219" s="110">
        <v>0</v>
      </c>
      <c r="J219" s="110">
        <v>0</v>
      </c>
      <c r="K219" s="110">
        <v>0</v>
      </c>
      <c r="L219" s="110">
        <v>0</v>
      </c>
      <c r="M219" s="110">
        <v>0</v>
      </c>
      <c r="N219" s="110">
        <v>0</v>
      </c>
      <c r="O219" s="110">
        <v>0</v>
      </c>
      <c r="P219" s="110">
        <v>0</v>
      </c>
      <c r="Q219" s="110">
        <v>0</v>
      </c>
      <c r="R219" s="110">
        <v>0</v>
      </c>
      <c r="S219" s="110">
        <v>0</v>
      </c>
      <c r="T219" s="110">
        <v>0</v>
      </c>
      <c r="U219" s="110">
        <v>0</v>
      </c>
      <c r="V219" s="110">
        <v>0</v>
      </c>
      <c r="W219" s="110">
        <v>0</v>
      </c>
      <c r="X219" s="110">
        <v>0</v>
      </c>
      <c r="Y219" s="110">
        <v>0</v>
      </c>
      <c r="Z219" s="110">
        <v>0</v>
      </c>
      <c r="AA219" s="110">
        <v>0</v>
      </c>
      <c r="AB219" s="110">
        <v>0</v>
      </c>
      <c r="AC219" s="110">
        <v>0</v>
      </c>
      <c r="AD219" s="110">
        <v>0</v>
      </c>
      <c r="AE219" s="110">
        <v>0</v>
      </c>
      <c r="AF219" s="110">
        <v>0</v>
      </c>
      <c r="AG219" s="110">
        <v>0</v>
      </c>
      <c r="AH219" s="110">
        <v>0</v>
      </c>
      <c r="AI219" s="110">
        <v>0</v>
      </c>
      <c r="AJ219" s="110">
        <v>0</v>
      </c>
      <c r="AK219" s="110">
        <v>0</v>
      </c>
      <c r="AL219" s="110">
        <v>0</v>
      </c>
      <c r="AM219" s="110">
        <v>0</v>
      </c>
      <c r="AN219" s="110">
        <v>0</v>
      </c>
      <c r="AO219" s="110">
        <v>0</v>
      </c>
      <c r="AP219" s="110">
        <v>0</v>
      </c>
      <c r="AQ219" s="110">
        <v>0</v>
      </c>
      <c r="AR219" s="110">
        <v>0</v>
      </c>
      <c r="AS219" s="110">
        <v>0</v>
      </c>
      <c r="AT219" s="110">
        <v>0</v>
      </c>
      <c r="AU219" s="110">
        <v>0</v>
      </c>
      <c r="AV219" s="110">
        <v>0</v>
      </c>
      <c r="AW219" s="110">
        <v>0</v>
      </c>
      <c r="AX219" s="110">
        <v>0</v>
      </c>
      <c r="AY219" s="110">
        <v>0</v>
      </c>
    </row>
    <row r="220" spans="1:51">
      <c r="A220" s="109"/>
      <c r="B220" s="119">
        <v>12</v>
      </c>
      <c r="C220" s="106">
        <v>0</v>
      </c>
      <c r="D220" s="110">
        <v>0</v>
      </c>
      <c r="E220" s="110">
        <v>0</v>
      </c>
      <c r="F220" s="110">
        <v>0</v>
      </c>
      <c r="G220" s="110">
        <v>0</v>
      </c>
      <c r="H220" s="110">
        <v>0</v>
      </c>
      <c r="I220" s="110">
        <v>0</v>
      </c>
      <c r="J220" s="110">
        <v>0</v>
      </c>
      <c r="K220" s="110">
        <v>0</v>
      </c>
      <c r="L220" s="110">
        <v>0</v>
      </c>
      <c r="M220" s="110">
        <v>0</v>
      </c>
      <c r="N220" s="110">
        <v>0</v>
      </c>
      <c r="O220" s="110">
        <v>0</v>
      </c>
      <c r="P220" s="110">
        <v>0</v>
      </c>
      <c r="Q220" s="110">
        <v>0</v>
      </c>
      <c r="R220" s="110">
        <v>0</v>
      </c>
      <c r="S220" s="110">
        <v>0</v>
      </c>
      <c r="T220" s="110">
        <v>0</v>
      </c>
      <c r="U220" s="110">
        <v>0</v>
      </c>
      <c r="V220" s="110">
        <v>0</v>
      </c>
      <c r="W220" s="110">
        <v>0</v>
      </c>
      <c r="X220" s="110">
        <v>0</v>
      </c>
      <c r="Y220" s="110">
        <v>0</v>
      </c>
      <c r="Z220" s="110">
        <v>0</v>
      </c>
      <c r="AA220" s="110">
        <v>0</v>
      </c>
      <c r="AB220" s="110">
        <v>0</v>
      </c>
      <c r="AC220" s="110">
        <v>0</v>
      </c>
      <c r="AD220" s="110">
        <v>0</v>
      </c>
      <c r="AE220" s="110">
        <v>0</v>
      </c>
      <c r="AF220" s="110">
        <v>0</v>
      </c>
      <c r="AG220" s="110">
        <v>0</v>
      </c>
      <c r="AH220" s="110">
        <v>0</v>
      </c>
      <c r="AI220" s="110">
        <v>0</v>
      </c>
      <c r="AJ220" s="110">
        <v>0</v>
      </c>
      <c r="AK220" s="110">
        <v>0</v>
      </c>
      <c r="AL220" s="110">
        <v>0</v>
      </c>
      <c r="AM220" s="110">
        <v>0</v>
      </c>
      <c r="AN220" s="110">
        <v>0</v>
      </c>
      <c r="AO220" s="110">
        <v>0</v>
      </c>
      <c r="AP220" s="110">
        <v>0</v>
      </c>
      <c r="AQ220" s="110">
        <v>0</v>
      </c>
      <c r="AR220" s="110">
        <v>0</v>
      </c>
      <c r="AS220" s="110">
        <v>0</v>
      </c>
      <c r="AT220" s="110">
        <v>0</v>
      </c>
      <c r="AU220" s="110">
        <v>0</v>
      </c>
      <c r="AV220" s="110">
        <v>0</v>
      </c>
      <c r="AW220" s="110">
        <v>0</v>
      </c>
      <c r="AX220" s="110">
        <v>0</v>
      </c>
      <c r="AY220" s="110">
        <v>0</v>
      </c>
    </row>
    <row r="221" spans="1:51">
      <c r="A221" s="109"/>
      <c r="B221" s="120">
        <v>13</v>
      </c>
      <c r="C221" s="106">
        <v>0</v>
      </c>
      <c r="D221" s="110">
        <v>0</v>
      </c>
      <c r="E221" s="110">
        <v>0</v>
      </c>
      <c r="F221" s="110">
        <v>0</v>
      </c>
      <c r="G221" s="110">
        <v>0</v>
      </c>
      <c r="H221" s="110">
        <v>0</v>
      </c>
      <c r="I221" s="110">
        <v>0</v>
      </c>
      <c r="J221" s="110">
        <v>0</v>
      </c>
      <c r="K221" s="110">
        <v>0</v>
      </c>
      <c r="L221" s="110">
        <v>0</v>
      </c>
      <c r="M221" s="110">
        <v>0</v>
      </c>
      <c r="N221" s="110">
        <v>0</v>
      </c>
      <c r="O221" s="110">
        <v>0</v>
      </c>
      <c r="P221" s="110">
        <v>0</v>
      </c>
      <c r="Q221" s="110">
        <v>0</v>
      </c>
      <c r="R221" s="110">
        <v>0</v>
      </c>
      <c r="S221" s="110">
        <v>0</v>
      </c>
      <c r="T221" s="110">
        <v>0</v>
      </c>
      <c r="U221" s="110">
        <v>0</v>
      </c>
      <c r="V221" s="110">
        <v>0</v>
      </c>
      <c r="W221" s="110">
        <v>0</v>
      </c>
      <c r="X221" s="110">
        <v>0</v>
      </c>
      <c r="Y221" s="110">
        <v>0</v>
      </c>
      <c r="Z221" s="110">
        <v>0</v>
      </c>
      <c r="AA221" s="110">
        <v>0</v>
      </c>
      <c r="AB221" s="110">
        <v>0</v>
      </c>
      <c r="AC221" s="110">
        <v>0</v>
      </c>
      <c r="AD221" s="110">
        <v>0</v>
      </c>
      <c r="AE221" s="110">
        <v>0</v>
      </c>
      <c r="AF221" s="110">
        <v>0</v>
      </c>
      <c r="AG221" s="110">
        <v>0</v>
      </c>
      <c r="AH221" s="110">
        <v>0</v>
      </c>
      <c r="AI221" s="110">
        <v>0</v>
      </c>
      <c r="AJ221" s="110">
        <v>0</v>
      </c>
      <c r="AK221" s="110">
        <v>0</v>
      </c>
      <c r="AL221" s="110">
        <v>0</v>
      </c>
      <c r="AM221" s="110">
        <v>0</v>
      </c>
      <c r="AN221" s="110">
        <v>0</v>
      </c>
      <c r="AO221" s="110">
        <v>0</v>
      </c>
      <c r="AP221" s="110">
        <v>0</v>
      </c>
      <c r="AQ221" s="110">
        <v>0</v>
      </c>
      <c r="AR221" s="110">
        <v>0</v>
      </c>
      <c r="AS221" s="110">
        <v>0</v>
      </c>
      <c r="AT221" s="110">
        <v>0</v>
      </c>
      <c r="AU221" s="110">
        <v>0</v>
      </c>
      <c r="AV221" s="110">
        <v>0</v>
      </c>
      <c r="AW221" s="110">
        <v>0</v>
      </c>
      <c r="AX221" s="110">
        <v>0</v>
      </c>
      <c r="AY221" s="110">
        <v>0</v>
      </c>
    </row>
    <row r="222" spans="1:51">
      <c r="A222" s="109"/>
      <c r="B222" s="120">
        <v>14</v>
      </c>
      <c r="C222" s="106">
        <v>0</v>
      </c>
      <c r="D222" s="110">
        <v>0</v>
      </c>
      <c r="E222" s="110">
        <v>0</v>
      </c>
      <c r="F222" s="110">
        <v>0</v>
      </c>
      <c r="G222" s="110">
        <v>0</v>
      </c>
      <c r="H222" s="110">
        <v>0</v>
      </c>
      <c r="I222" s="110">
        <v>0</v>
      </c>
      <c r="J222" s="110">
        <v>0</v>
      </c>
      <c r="K222" s="110">
        <v>0</v>
      </c>
      <c r="L222" s="110">
        <v>0</v>
      </c>
      <c r="M222" s="110">
        <v>0</v>
      </c>
      <c r="N222" s="110">
        <v>0</v>
      </c>
      <c r="O222" s="110">
        <v>0</v>
      </c>
      <c r="P222" s="110">
        <v>0</v>
      </c>
      <c r="Q222" s="110">
        <v>0</v>
      </c>
      <c r="R222" s="110">
        <v>0</v>
      </c>
      <c r="S222" s="110">
        <v>0</v>
      </c>
      <c r="T222" s="110">
        <v>0</v>
      </c>
      <c r="U222" s="110">
        <v>0</v>
      </c>
      <c r="V222" s="110">
        <v>0</v>
      </c>
      <c r="W222" s="110">
        <v>0</v>
      </c>
      <c r="X222" s="110">
        <v>0</v>
      </c>
      <c r="Y222" s="110">
        <v>0</v>
      </c>
      <c r="Z222" s="110">
        <v>0</v>
      </c>
      <c r="AA222" s="110">
        <v>0</v>
      </c>
      <c r="AB222" s="110">
        <v>0</v>
      </c>
      <c r="AC222" s="110">
        <v>0</v>
      </c>
      <c r="AD222" s="110">
        <v>0</v>
      </c>
      <c r="AE222" s="110">
        <v>0</v>
      </c>
      <c r="AF222" s="110">
        <v>0</v>
      </c>
      <c r="AG222" s="110">
        <v>0</v>
      </c>
      <c r="AH222" s="110">
        <v>0</v>
      </c>
      <c r="AI222" s="110">
        <v>0</v>
      </c>
      <c r="AJ222" s="110">
        <v>0</v>
      </c>
      <c r="AK222" s="110">
        <v>0</v>
      </c>
      <c r="AL222" s="110">
        <v>0</v>
      </c>
      <c r="AM222" s="110">
        <v>0</v>
      </c>
      <c r="AN222" s="110">
        <v>0</v>
      </c>
      <c r="AO222" s="110">
        <v>0</v>
      </c>
      <c r="AP222" s="110">
        <v>0</v>
      </c>
      <c r="AQ222" s="110">
        <v>0</v>
      </c>
      <c r="AR222" s="110">
        <v>0</v>
      </c>
      <c r="AS222" s="110">
        <v>0</v>
      </c>
      <c r="AT222" s="110">
        <v>0</v>
      </c>
      <c r="AU222" s="110">
        <v>0</v>
      </c>
      <c r="AV222" s="110">
        <v>0</v>
      </c>
      <c r="AW222" s="110">
        <v>0</v>
      </c>
      <c r="AX222" s="110">
        <v>0</v>
      </c>
      <c r="AY222" s="110">
        <v>0</v>
      </c>
    </row>
    <row r="223" spans="1:51">
      <c r="A223" s="109"/>
      <c r="B223" s="120">
        <v>15</v>
      </c>
      <c r="C223" s="106">
        <v>0</v>
      </c>
      <c r="D223" s="110">
        <v>0</v>
      </c>
      <c r="E223" s="110">
        <v>0</v>
      </c>
      <c r="F223" s="110">
        <v>0</v>
      </c>
      <c r="G223" s="110">
        <v>0</v>
      </c>
      <c r="H223" s="110">
        <v>0</v>
      </c>
      <c r="I223" s="110">
        <v>0</v>
      </c>
      <c r="J223" s="110">
        <v>0</v>
      </c>
      <c r="K223" s="110">
        <v>0</v>
      </c>
      <c r="L223" s="110">
        <v>0</v>
      </c>
      <c r="M223" s="110">
        <v>0</v>
      </c>
      <c r="N223" s="110">
        <v>0</v>
      </c>
      <c r="O223" s="110">
        <v>0</v>
      </c>
      <c r="P223" s="110">
        <v>0</v>
      </c>
      <c r="Q223" s="110">
        <v>0</v>
      </c>
      <c r="R223" s="110">
        <v>0</v>
      </c>
      <c r="S223" s="110">
        <v>0</v>
      </c>
      <c r="T223" s="110">
        <v>0</v>
      </c>
      <c r="U223" s="110">
        <v>0</v>
      </c>
      <c r="V223" s="110">
        <v>0</v>
      </c>
      <c r="W223" s="110">
        <v>0</v>
      </c>
      <c r="X223" s="110">
        <v>0</v>
      </c>
      <c r="Y223" s="110">
        <v>0</v>
      </c>
      <c r="Z223" s="110">
        <v>0</v>
      </c>
      <c r="AA223" s="110">
        <v>0</v>
      </c>
      <c r="AB223" s="110">
        <v>0</v>
      </c>
      <c r="AC223" s="110">
        <v>0</v>
      </c>
      <c r="AD223" s="110">
        <v>0</v>
      </c>
      <c r="AE223" s="110">
        <v>0</v>
      </c>
      <c r="AF223" s="110">
        <v>0</v>
      </c>
      <c r="AG223" s="110">
        <v>0</v>
      </c>
      <c r="AH223" s="110">
        <v>0</v>
      </c>
      <c r="AI223" s="110">
        <v>0</v>
      </c>
      <c r="AJ223" s="110">
        <v>0</v>
      </c>
      <c r="AK223" s="110">
        <v>0</v>
      </c>
      <c r="AL223" s="110">
        <v>0</v>
      </c>
      <c r="AM223" s="110">
        <v>0</v>
      </c>
      <c r="AN223" s="110">
        <v>0</v>
      </c>
      <c r="AO223" s="110">
        <v>0</v>
      </c>
      <c r="AP223" s="110">
        <v>0</v>
      </c>
      <c r="AQ223" s="110">
        <v>0</v>
      </c>
      <c r="AR223" s="110">
        <v>0</v>
      </c>
      <c r="AS223" s="110">
        <v>0</v>
      </c>
      <c r="AT223" s="110">
        <v>0</v>
      </c>
      <c r="AU223" s="110">
        <v>0</v>
      </c>
      <c r="AV223" s="110">
        <v>0</v>
      </c>
      <c r="AW223" s="110">
        <v>0</v>
      </c>
      <c r="AX223" s="110">
        <v>0</v>
      </c>
      <c r="AY223" s="110">
        <v>0</v>
      </c>
    </row>
    <row r="224" spans="1:51">
      <c r="A224" s="109"/>
      <c r="B224" s="120">
        <v>16</v>
      </c>
      <c r="C224" s="106">
        <v>0</v>
      </c>
      <c r="D224" s="110">
        <v>0</v>
      </c>
      <c r="E224" s="110">
        <v>0</v>
      </c>
      <c r="F224" s="110">
        <v>0</v>
      </c>
      <c r="G224" s="110">
        <v>0</v>
      </c>
      <c r="H224" s="110">
        <v>0</v>
      </c>
      <c r="I224" s="110">
        <v>0</v>
      </c>
      <c r="J224" s="110">
        <v>0</v>
      </c>
      <c r="K224" s="110">
        <v>0</v>
      </c>
      <c r="L224" s="110">
        <v>0</v>
      </c>
      <c r="M224" s="110">
        <v>0</v>
      </c>
      <c r="N224" s="110">
        <v>0</v>
      </c>
      <c r="O224" s="110">
        <v>0</v>
      </c>
      <c r="P224" s="110">
        <v>0</v>
      </c>
      <c r="Q224" s="110">
        <v>0</v>
      </c>
      <c r="R224" s="110">
        <v>0</v>
      </c>
      <c r="S224" s="110">
        <v>0</v>
      </c>
      <c r="T224" s="110">
        <v>0</v>
      </c>
      <c r="U224" s="110">
        <v>0</v>
      </c>
      <c r="V224" s="110">
        <v>0</v>
      </c>
      <c r="W224" s="110">
        <v>0</v>
      </c>
      <c r="X224" s="110">
        <v>0</v>
      </c>
      <c r="Y224" s="110">
        <v>0</v>
      </c>
      <c r="Z224" s="110">
        <v>0</v>
      </c>
      <c r="AA224" s="110">
        <v>0</v>
      </c>
      <c r="AB224" s="110">
        <v>0</v>
      </c>
      <c r="AC224" s="110">
        <v>0</v>
      </c>
      <c r="AD224" s="110">
        <v>0</v>
      </c>
      <c r="AE224" s="110">
        <v>0</v>
      </c>
      <c r="AF224" s="110">
        <v>0</v>
      </c>
      <c r="AG224" s="110">
        <v>0</v>
      </c>
      <c r="AH224" s="110">
        <v>0</v>
      </c>
      <c r="AI224" s="110">
        <v>0</v>
      </c>
      <c r="AJ224" s="110">
        <v>0</v>
      </c>
      <c r="AK224" s="110">
        <v>0</v>
      </c>
      <c r="AL224" s="110">
        <v>0</v>
      </c>
      <c r="AM224" s="110">
        <v>0</v>
      </c>
      <c r="AN224" s="110">
        <v>0</v>
      </c>
      <c r="AO224" s="110">
        <v>0</v>
      </c>
      <c r="AP224" s="110">
        <v>0</v>
      </c>
      <c r="AQ224" s="110">
        <v>0</v>
      </c>
      <c r="AR224" s="110">
        <v>0</v>
      </c>
      <c r="AS224" s="110">
        <v>0</v>
      </c>
      <c r="AT224" s="110">
        <v>0</v>
      </c>
      <c r="AU224" s="110">
        <v>0</v>
      </c>
      <c r="AV224" s="110">
        <v>0</v>
      </c>
      <c r="AW224" s="110">
        <v>0</v>
      </c>
      <c r="AX224" s="110">
        <v>0</v>
      </c>
      <c r="AY224" s="110">
        <v>0</v>
      </c>
    </row>
    <row r="225" spans="1:51">
      <c r="A225" s="109"/>
      <c r="B225" s="120">
        <v>17</v>
      </c>
      <c r="C225" s="106">
        <v>0</v>
      </c>
      <c r="D225" s="110">
        <v>0</v>
      </c>
      <c r="E225" s="110">
        <v>0</v>
      </c>
      <c r="F225" s="110">
        <v>0</v>
      </c>
      <c r="G225" s="110">
        <v>0</v>
      </c>
      <c r="H225" s="110">
        <v>0</v>
      </c>
      <c r="I225" s="110">
        <v>0</v>
      </c>
      <c r="J225" s="110">
        <v>0</v>
      </c>
      <c r="K225" s="110">
        <v>0</v>
      </c>
      <c r="L225" s="110">
        <v>0</v>
      </c>
      <c r="M225" s="110">
        <v>0</v>
      </c>
      <c r="N225" s="110">
        <v>0</v>
      </c>
      <c r="O225" s="110">
        <v>0</v>
      </c>
      <c r="P225" s="110">
        <v>0</v>
      </c>
      <c r="Q225" s="110">
        <v>0</v>
      </c>
      <c r="R225" s="110">
        <v>0</v>
      </c>
      <c r="S225" s="110">
        <v>0</v>
      </c>
      <c r="T225" s="110">
        <v>0</v>
      </c>
      <c r="U225" s="110">
        <v>0</v>
      </c>
      <c r="V225" s="110">
        <v>0</v>
      </c>
      <c r="W225" s="110">
        <v>0</v>
      </c>
      <c r="X225" s="110">
        <v>0</v>
      </c>
      <c r="Y225" s="110">
        <v>0</v>
      </c>
      <c r="Z225" s="110">
        <v>0</v>
      </c>
      <c r="AA225" s="110">
        <v>0</v>
      </c>
      <c r="AB225" s="110">
        <v>0</v>
      </c>
      <c r="AC225" s="110">
        <v>0</v>
      </c>
      <c r="AD225" s="110">
        <v>0</v>
      </c>
      <c r="AE225" s="110">
        <v>0</v>
      </c>
      <c r="AF225" s="110">
        <v>0</v>
      </c>
      <c r="AG225" s="110">
        <v>0</v>
      </c>
      <c r="AH225" s="110">
        <v>0</v>
      </c>
      <c r="AI225" s="110">
        <v>0</v>
      </c>
      <c r="AJ225" s="110">
        <v>0</v>
      </c>
      <c r="AK225" s="110">
        <v>0</v>
      </c>
      <c r="AL225" s="110">
        <v>0</v>
      </c>
      <c r="AM225" s="110">
        <v>0</v>
      </c>
      <c r="AN225" s="110">
        <v>0</v>
      </c>
      <c r="AO225" s="110">
        <v>0</v>
      </c>
      <c r="AP225" s="110">
        <v>0</v>
      </c>
      <c r="AQ225" s="110">
        <v>0</v>
      </c>
      <c r="AR225" s="110">
        <v>0</v>
      </c>
      <c r="AS225" s="110">
        <v>0</v>
      </c>
      <c r="AT225" s="110">
        <v>0</v>
      </c>
      <c r="AU225" s="110">
        <v>0</v>
      </c>
      <c r="AV225" s="110">
        <v>0</v>
      </c>
      <c r="AW225" s="110">
        <v>0</v>
      </c>
      <c r="AX225" s="110">
        <v>0</v>
      </c>
      <c r="AY225" s="110">
        <v>0</v>
      </c>
    </row>
    <row r="226" spans="1:51">
      <c r="A226" s="109"/>
      <c r="B226" s="120">
        <v>18</v>
      </c>
      <c r="C226" s="106">
        <v>0</v>
      </c>
      <c r="D226" s="110">
        <v>0</v>
      </c>
      <c r="E226" s="110">
        <v>0</v>
      </c>
      <c r="F226" s="110">
        <v>0</v>
      </c>
      <c r="G226" s="110">
        <v>0</v>
      </c>
      <c r="H226" s="110">
        <v>0</v>
      </c>
      <c r="I226" s="110">
        <v>0</v>
      </c>
      <c r="J226" s="110">
        <v>0</v>
      </c>
      <c r="K226" s="110">
        <v>0</v>
      </c>
      <c r="L226" s="110">
        <v>0</v>
      </c>
      <c r="M226" s="110">
        <v>0</v>
      </c>
      <c r="N226" s="110">
        <v>0</v>
      </c>
      <c r="O226" s="110">
        <v>0</v>
      </c>
      <c r="P226" s="110">
        <v>0</v>
      </c>
      <c r="Q226" s="110">
        <v>0</v>
      </c>
      <c r="R226" s="110">
        <v>0</v>
      </c>
      <c r="S226" s="110">
        <v>0</v>
      </c>
      <c r="T226" s="110">
        <v>0</v>
      </c>
      <c r="U226" s="110">
        <v>0</v>
      </c>
      <c r="V226" s="110">
        <v>0</v>
      </c>
      <c r="W226" s="110">
        <v>0</v>
      </c>
      <c r="X226" s="110">
        <v>0</v>
      </c>
      <c r="Y226" s="110">
        <v>0</v>
      </c>
      <c r="Z226" s="110">
        <v>0</v>
      </c>
      <c r="AA226" s="110">
        <v>0</v>
      </c>
      <c r="AB226" s="110">
        <v>0</v>
      </c>
      <c r="AC226" s="110">
        <v>0</v>
      </c>
      <c r="AD226" s="110">
        <v>0</v>
      </c>
      <c r="AE226" s="110">
        <v>0</v>
      </c>
      <c r="AF226" s="110">
        <v>0</v>
      </c>
      <c r="AG226" s="110">
        <v>0</v>
      </c>
      <c r="AH226" s="110">
        <v>0</v>
      </c>
      <c r="AI226" s="110">
        <v>0</v>
      </c>
      <c r="AJ226" s="110">
        <v>0</v>
      </c>
      <c r="AK226" s="110">
        <v>0</v>
      </c>
      <c r="AL226" s="110">
        <v>0</v>
      </c>
      <c r="AM226" s="110">
        <v>0</v>
      </c>
      <c r="AN226" s="110">
        <v>0</v>
      </c>
      <c r="AO226" s="110">
        <v>0</v>
      </c>
      <c r="AP226" s="110">
        <v>0</v>
      </c>
      <c r="AQ226" s="110">
        <v>0</v>
      </c>
      <c r="AR226" s="110">
        <v>0</v>
      </c>
      <c r="AS226" s="110">
        <v>0</v>
      </c>
      <c r="AT226" s="110">
        <v>0</v>
      </c>
      <c r="AU226" s="110">
        <v>0</v>
      </c>
      <c r="AV226" s="110">
        <v>0</v>
      </c>
      <c r="AW226" s="110">
        <v>0</v>
      </c>
      <c r="AX226" s="110">
        <v>0</v>
      </c>
      <c r="AY226" s="110">
        <v>0</v>
      </c>
    </row>
    <row r="227" spans="1:51">
      <c r="A227" s="109"/>
      <c r="B227" s="120">
        <v>19</v>
      </c>
      <c r="C227" s="106">
        <v>0</v>
      </c>
      <c r="D227" s="110">
        <v>0</v>
      </c>
      <c r="E227" s="110">
        <v>0</v>
      </c>
      <c r="F227" s="110">
        <v>0</v>
      </c>
      <c r="G227" s="110">
        <v>0</v>
      </c>
      <c r="H227" s="110">
        <v>0</v>
      </c>
      <c r="I227" s="110">
        <v>0</v>
      </c>
      <c r="J227" s="110">
        <v>0</v>
      </c>
      <c r="K227" s="110">
        <v>0</v>
      </c>
      <c r="L227" s="110">
        <v>0</v>
      </c>
      <c r="M227" s="110">
        <v>0</v>
      </c>
      <c r="N227" s="110">
        <v>0</v>
      </c>
      <c r="O227" s="110">
        <v>0</v>
      </c>
      <c r="P227" s="110">
        <v>0</v>
      </c>
      <c r="Q227" s="110">
        <v>0</v>
      </c>
      <c r="R227" s="110">
        <v>0</v>
      </c>
      <c r="S227" s="110">
        <v>0</v>
      </c>
      <c r="T227" s="110">
        <v>0</v>
      </c>
      <c r="U227" s="110">
        <v>0</v>
      </c>
      <c r="V227" s="110">
        <v>0</v>
      </c>
      <c r="W227" s="110">
        <v>0</v>
      </c>
      <c r="X227" s="110">
        <v>0</v>
      </c>
      <c r="Y227" s="110">
        <v>0</v>
      </c>
      <c r="Z227" s="110">
        <v>0</v>
      </c>
      <c r="AA227" s="110">
        <v>0</v>
      </c>
      <c r="AB227" s="110">
        <v>0</v>
      </c>
      <c r="AC227" s="110">
        <v>0</v>
      </c>
      <c r="AD227" s="110">
        <v>0</v>
      </c>
      <c r="AE227" s="110">
        <v>0</v>
      </c>
      <c r="AF227" s="110">
        <v>0</v>
      </c>
      <c r="AG227" s="110">
        <v>0</v>
      </c>
      <c r="AH227" s="110">
        <v>0</v>
      </c>
      <c r="AI227" s="110">
        <v>0</v>
      </c>
      <c r="AJ227" s="110">
        <v>0</v>
      </c>
      <c r="AK227" s="110">
        <v>0</v>
      </c>
      <c r="AL227" s="110">
        <v>0</v>
      </c>
      <c r="AM227" s="110">
        <v>0</v>
      </c>
      <c r="AN227" s="110">
        <v>0</v>
      </c>
      <c r="AO227" s="110">
        <v>0</v>
      </c>
      <c r="AP227" s="110">
        <v>0</v>
      </c>
      <c r="AQ227" s="110">
        <v>0</v>
      </c>
      <c r="AR227" s="110">
        <v>0</v>
      </c>
      <c r="AS227" s="110">
        <v>0</v>
      </c>
      <c r="AT227" s="110">
        <v>0</v>
      </c>
      <c r="AU227" s="110">
        <v>0</v>
      </c>
      <c r="AV227" s="110">
        <v>0</v>
      </c>
      <c r="AW227" s="110">
        <v>0</v>
      </c>
      <c r="AX227" s="110">
        <v>0</v>
      </c>
      <c r="AY227" s="110">
        <v>0</v>
      </c>
    </row>
    <row r="228" spans="1:51">
      <c r="A228" s="109"/>
      <c r="B228" s="120">
        <v>20</v>
      </c>
      <c r="C228" s="106">
        <v>0</v>
      </c>
      <c r="D228" s="110">
        <v>0</v>
      </c>
      <c r="E228" s="110">
        <v>0</v>
      </c>
      <c r="F228" s="110">
        <v>0</v>
      </c>
      <c r="G228" s="110">
        <v>0</v>
      </c>
      <c r="H228" s="110">
        <v>0</v>
      </c>
      <c r="I228" s="110">
        <v>0</v>
      </c>
      <c r="J228" s="110">
        <v>0</v>
      </c>
      <c r="K228" s="110">
        <v>0</v>
      </c>
      <c r="L228" s="110">
        <v>0</v>
      </c>
      <c r="M228" s="110">
        <v>0</v>
      </c>
      <c r="N228" s="110">
        <v>0</v>
      </c>
      <c r="O228" s="110">
        <v>0</v>
      </c>
      <c r="P228" s="110">
        <v>0</v>
      </c>
      <c r="Q228" s="110">
        <v>0</v>
      </c>
      <c r="R228" s="110">
        <v>0</v>
      </c>
      <c r="S228" s="110">
        <v>0</v>
      </c>
      <c r="T228" s="110">
        <v>0</v>
      </c>
      <c r="U228" s="110">
        <v>0</v>
      </c>
      <c r="V228" s="110">
        <v>0</v>
      </c>
      <c r="W228" s="110">
        <v>0</v>
      </c>
      <c r="X228" s="110">
        <v>0</v>
      </c>
      <c r="Y228" s="110">
        <v>0</v>
      </c>
      <c r="Z228" s="110">
        <v>0</v>
      </c>
      <c r="AA228" s="110">
        <v>0</v>
      </c>
      <c r="AB228" s="110">
        <v>0</v>
      </c>
      <c r="AC228" s="110">
        <v>0</v>
      </c>
      <c r="AD228" s="110">
        <v>0</v>
      </c>
      <c r="AE228" s="110">
        <v>0</v>
      </c>
      <c r="AF228" s="110">
        <v>0</v>
      </c>
      <c r="AG228" s="110">
        <v>0</v>
      </c>
      <c r="AH228" s="110">
        <v>0</v>
      </c>
      <c r="AI228" s="110">
        <v>0</v>
      </c>
      <c r="AJ228" s="110">
        <v>0</v>
      </c>
      <c r="AK228" s="110">
        <v>0</v>
      </c>
      <c r="AL228" s="110">
        <v>0</v>
      </c>
      <c r="AM228" s="110">
        <v>0</v>
      </c>
      <c r="AN228" s="110">
        <v>0</v>
      </c>
      <c r="AO228" s="110">
        <v>0</v>
      </c>
      <c r="AP228" s="110">
        <v>0</v>
      </c>
      <c r="AQ228" s="110">
        <v>0</v>
      </c>
      <c r="AR228" s="110">
        <v>0</v>
      </c>
      <c r="AS228" s="110">
        <v>0</v>
      </c>
      <c r="AT228" s="110">
        <v>0</v>
      </c>
      <c r="AU228" s="110">
        <v>0</v>
      </c>
      <c r="AV228" s="110">
        <v>0</v>
      </c>
      <c r="AW228" s="110">
        <v>0</v>
      </c>
      <c r="AX228" s="110">
        <v>0</v>
      </c>
      <c r="AY228" s="110">
        <v>0</v>
      </c>
    </row>
    <row r="229" spans="1:51">
      <c r="A229" s="109"/>
      <c r="B229" s="120">
        <v>21</v>
      </c>
      <c r="C229" s="106">
        <v>0</v>
      </c>
      <c r="D229" s="110">
        <v>0</v>
      </c>
      <c r="E229" s="110">
        <v>0</v>
      </c>
      <c r="F229" s="110">
        <v>0</v>
      </c>
      <c r="G229" s="110">
        <v>0</v>
      </c>
      <c r="H229" s="110">
        <v>0</v>
      </c>
      <c r="I229" s="110">
        <v>0</v>
      </c>
      <c r="J229" s="110">
        <v>0</v>
      </c>
      <c r="K229" s="110">
        <v>0</v>
      </c>
      <c r="L229" s="110">
        <v>0</v>
      </c>
      <c r="M229" s="110">
        <v>0</v>
      </c>
      <c r="N229" s="110">
        <v>0</v>
      </c>
      <c r="O229" s="110">
        <v>0</v>
      </c>
      <c r="P229" s="110">
        <v>0</v>
      </c>
      <c r="Q229" s="110">
        <v>0</v>
      </c>
      <c r="R229" s="110">
        <v>0</v>
      </c>
      <c r="S229" s="110">
        <v>0</v>
      </c>
      <c r="T229" s="110">
        <v>0</v>
      </c>
      <c r="U229" s="110">
        <v>0</v>
      </c>
      <c r="V229" s="110">
        <v>0</v>
      </c>
      <c r="W229" s="110">
        <v>0</v>
      </c>
      <c r="X229" s="110">
        <v>0</v>
      </c>
      <c r="Y229" s="110">
        <v>0</v>
      </c>
      <c r="Z229" s="110">
        <v>0</v>
      </c>
      <c r="AA229" s="110">
        <v>0</v>
      </c>
      <c r="AB229" s="110">
        <v>0</v>
      </c>
      <c r="AC229" s="110">
        <v>0</v>
      </c>
      <c r="AD229" s="110">
        <v>0</v>
      </c>
      <c r="AE229" s="110">
        <v>0</v>
      </c>
      <c r="AF229" s="110">
        <v>0</v>
      </c>
      <c r="AG229" s="110">
        <v>0</v>
      </c>
      <c r="AH229" s="110">
        <v>0</v>
      </c>
      <c r="AI229" s="110">
        <v>0</v>
      </c>
      <c r="AJ229" s="110">
        <v>0</v>
      </c>
      <c r="AK229" s="110">
        <v>0</v>
      </c>
      <c r="AL229" s="110">
        <v>0</v>
      </c>
      <c r="AM229" s="110">
        <v>0</v>
      </c>
      <c r="AN229" s="110">
        <v>0</v>
      </c>
      <c r="AO229" s="110">
        <v>0</v>
      </c>
      <c r="AP229" s="110">
        <v>0</v>
      </c>
      <c r="AQ229" s="110">
        <v>0</v>
      </c>
      <c r="AR229" s="110">
        <v>0</v>
      </c>
      <c r="AS229" s="110">
        <v>0</v>
      </c>
      <c r="AT229" s="110">
        <v>0</v>
      </c>
      <c r="AU229" s="110">
        <v>0</v>
      </c>
      <c r="AV229" s="110">
        <v>0</v>
      </c>
      <c r="AW229" s="110">
        <v>0</v>
      </c>
      <c r="AX229" s="110">
        <v>0</v>
      </c>
      <c r="AY229" s="110">
        <v>0</v>
      </c>
    </row>
    <row r="230" spans="1:51">
      <c r="A230" s="109"/>
      <c r="B230" s="120">
        <v>22</v>
      </c>
      <c r="C230" s="106">
        <v>0</v>
      </c>
      <c r="D230" s="110">
        <v>0</v>
      </c>
      <c r="E230" s="110">
        <v>0</v>
      </c>
      <c r="F230" s="110">
        <v>0</v>
      </c>
      <c r="G230" s="110">
        <v>0</v>
      </c>
      <c r="H230" s="110">
        <v>0</v>
      </c>
      <c r="I230" s="110">
        <v>0</v>
      </c>
      <c r="J230" s="110">
        <v>0</v>
      </c>
      <c r="K230" s="110">
        <v>0</v>
      </c>
      <c r="L230" s="110">
        <v>0</v>
      </c>
      <c r="M230" s="110">
        <v>0</v>
      </c>
      <c r="N230" s="110">
        <v>0</v>
      </c>
      <c r="O230" s="110">
        <v>0</v>
      </c>
      <c r="P230" s="110">
        <v>0</v>
      </c>
      <c r="Q230" s="110">
        <v>0</v>
      </c>
      <c r="R230" s="110">
        <v>0</v>
      </c>
      <c r="S230" s="110">
        <v>0</v>
      </c>
      <c r="T230" s="110">
        <v>0</v>
      </c>
      <c r="U230" s="110">
        <v>0</v>
      </c>
      <c r="V230" s="110">
        <v>0</v>
      </c>
      <c r="W230" s="110">
        <v>0</v>
      </c>
      <c r="X230" s="110">
        <v>0</v>
      </c>
      <c r="Y230" s="110">
        <v>0</v>
      </c>
      <c r="Z230" s="110">
        <v>0</v>
      </c>
      <c r="AA230" s="110">
        <v>0</v>
      </c>
      <c r="AB230" s="110">
        <v>0</v>
      </c>
      <c r="AC230" s="110">
        <v>0</v>
      </c>
      <c r="AD230" s="110">
        <v>0</v>
      </c>
      <c r="AE230" s="110">
        <v>0</v>
      </c>
      <c r="AF230" s="110">
        <v>0</v>
      </c>
      <c r="AG230" s="110">
        <v>0</v>
      </c>
      <c r="AH230" s="110">
        <v>0</v>
      </c>
      <c r="AI230" s="110">
        <v>0</v>
      </c>
      <c r="AJ230" s="110">
        <v>0</v>
      </c>
      <c r="AK230" s="110">
        <v>0</v>
      </c>
      <c r="AL230" s="110">
        <v>0</v>
      </c>
      <c r="AM230" s="110">
        <v>0</v>
      </c>
      <c r="AN230" s="110">
        <v>0</v>
      </c>
      <c r="AO230" s="110">
        <v>0</v>
      </c>
      <c r="AP230" s="110">
        <v>0</v>
      </c>
      <c r="AQ230" s="110">
        <v>0</v>
      </c>
      <c r="AR230" s="110">
        <v>0</v>
      </c>
      <c r="AS230" s="110">
        <v>0</v>
      </c>
      <c r="AT230" s="110">
        <v>0</v>
      </c>
      <c r="AU230" s="110">
        <v>0</v>
      </c>
      <c r="AV230" s="110">
        <v>0</v>
      </c>
      <c r="AW230" s="110">
        <v>0</v>
      </c>
      <c r="AX230" s="110">
        <v>0</v>
      </c>
      <c r="AY230" s="110">
        <v>0</v>
      </c>
    </row>
    <row r="231" spans="1:51">
      <c r="A231" s="109"/>
      <c r="B231" s="120">
        <v>23</v>
      </c>
      <c r="C231" s="106">
        <v>0</v>
      </c>
      <c r="D231" s="110">
        <v>0</v>
      </c>
      <c r="E231" s="110">
        <v>0</v>
      </c>
      <c r="F231" s="110">
        <v>0</v>
      </c>
      <c r="G231" s="110">
        <v>0</v>
      </c>
      <c r="H231" s="110">
        <v>0</v>
      </c>
      <c r="I231" s="110">
        <v>0</v>
      </c>
      <c r="J231" s="110">
        <v>0</v>
      </c>
      <c r="K231" s="110">
        <v>0</v>
      </c>
      <c r="L231" s="110">
        <v>0</v>
      </c>
      <c r="M231" s="110">
        <v>0</v>
      </c>
      <c r="N231" s="110">
        <v>0</v>
      </c>
      <c r="O231" s="110">
        <v>0</v>
      </c>
      <c r="P231" s="110">
        <v>0</v>
      </c>
      <c r="Q231" s="110">
        <v>0</v>
      </c>
      <c r="R231" s="110">
        <v>0</v>
      </c>
      <c r="S231" s="110">
        <v>0</v>
      </c>
      <c r="T231" s="110">
        <v>0</v>
      </c>
      <c r="U231" s="110">
        <v>0</v>
      </c>
      <c r="V231" s="110">
        <v>0</v>
      </c>
      <c r="W231" s="110">
        <v>0</v>
      </c>
      <c r="X231" s="110">
        <v>0</v>
      </c>
      <c r="Y231" s="110">
        <v>0</v>
      </c>
      <c r="Z231" s="110">
        <v>0</v>
      </c>
      <c r="AA231" s="110">
        <v>0</v>
      </c>
      <c r="AB231" s="110">
        <v>0</v>
      </c>
      <c r="AC231" s="110">
        <v>0</v>
      </c>
      <c r="AD231" s="110">
        <v>0</v>
      </c>
      <c r="AE231" s="110">
        <v>0</v>
      </c>
      <c r="AF231" s="110">
        <v>0</v>
      </c>
      <c r="AG231" s="110">
        <v>0</v>
      </c>
      <c r="AH231" s="110">
        <v>0</v>
      </c>
      <c r="AI231" s="110">
        <v>0</v>
      </c>
      <c r="AJ231" s="110">
        <v>0</v>
      </c>
      <c r="AK231" s="110">
        <v>0</v>
      </c>
      <c r="AL231" s="110">
        <v>0</v>
      </c>
      <c r="AM231" s="110">
        <v>0</v>
      </c>
      <c r="AN231" s="110">
        <v>0</v>
      </c>
      <c r="AO231" s="110">
        <v>0</v>
      </c>
      <c r="AP231" s="110">
        <v>0</v>
      </c>
      <c r="AQ231" s="110">
        <v>0</v>
      </c>
      <c r="AR231" s="110">
        <v>0</v>
      </c>
      <c r="AS231" s="110">
        <v>0</v>
      </c>
      <c r="AT231" s="110">
        <v>0</v>
      </c>
      <c r="AU231" s="110">
        <v>0</v>
      </c>
      <c r="AV231" s="110">
        <v>0</v>
      </c>
      <c r="AW231" s="110">
        <v>0</v>
      </c>
      <c r="AX231" s="110">
        <v>0</v>
      </c>
      <c r="AY231" s="110">
        <v>0</v>
      </c>
    </row>
    <row r="232" spans="1:51">
      <c r="A232" s="109"/>
      <c r="B232" s="120">
        <v>24</v>
      </c>
      <c r="C232" s="106">
        <v>0</v>
      </c>
      <c r="D232" s="110">
        <v>0</v>
      </c>
      <c r="E232" s="110">
        <v>0</v>
      </c>
      <c r="F232" s="110">
        <v>0</v>
      </c>
      <c r="G232" s="110">
        <v>0</v>
      </c>
      <c r="H232" s="110">
        <v>0</v>
      </c>
      <c r="I232" s="110">
        <v>0</v>
      </c>
      <c r="J232" s="110">
        <v>0</v>
      </c>
      <c r="K232" s="110">
        <v>0</v>
      </c>
      <c r="L232" s="110">
        <v>0</v>
      </c>
      <c r="M232" s="110">
        <v>0</v>
      </c>
      <c r="N232" s="110">
        <v>0</v>
      </c>
      <c r="O232" s="110">
        <v>0</v>
      </c>
      <c r="P232" s="110">
        <v>0</v>
      </c>
      <c r="Q232" s="110">
        <v>0</v>
      </c>
      <c r="R232" s="110">
        <v>0</v>
      </c>
      <c r="S232" s="110">
        <v>0</v>
      </c>
      <c r="T232" s="110">
        <v>0</v>
      </c>
      <c r="U232" s="110">
        <v>0</v>
      </c>
      <c r="V232" s="110">
        <v>0</v>
      </c>
      <c r="W232" s="110">
        <v>0</v>
      </c>
      <c r="X232" s="110">
        <v>0</v>
      </c>
      <c r="Y232" s="110">
        <v>0</v>
      </c>
      <c r="Z232" s="110">
        <v>0</v>
      </c>
      <c r="AA232" s="110">
        <v>0</v>
      </c>
      <c r="AB232" s="110">
        <v>0</v>
      </c>
      <c r="AC232" s="110">
        <v>0</v>
      </c>
      <c r="AD232" s="110">
        <v>0</v>
      </c>
      <c r="AE232" s="110">
        <v>0</v>
      </c>
      <c r="AF232" s="110">
        <v>0</v>
      </c>
      <c r="AG232" s="110">
        <v>0</v>
      </c>
      <c r="AH232" s="110">
        <v>0</v>
      </c>
      <c r="AI232" s="110">
        <v>0</v>
      </c>
      <c r="AJ232" s="110">
        <v>0</v>
      </c>
      <c r="AK232" s="110">
        <v>0</v>
      </c>
      <c r="AL232" s="110">
        <v>0</v>
      </c>
      <c r="AM232" s="110">
        <v>0</v>
      </c>
      <c r="AN232" s="110">
        <v>0</v>
      </c>
      <c r="AO232" s="110">
        <v>0</v>
      </c>
      <c r="AP232" s="110">
        <v>0</v>
      </c>
      <c r="AQ232" s="110">
        <v>0</v>
      </c>
      <c r="AR232" s="110">
        <v>0</v>
      </c>
      <c r="AS232" s="110">
        <v>0</v>
      </c>
      <c r="AT232" s="110">
        <v>0</v>
      </c>
      <c r="AU232" s="110">
        <v>0</v>
      </c>
      <c r="AV232" s="110">
        <v>0</v>
      </c>
      <c r="AW232" s="110">
        <v>0</v>
      </c>
      <c r="AX232" s="110">
        <v>0</v>
      </c>
      <c r="AY232" s="110">
        <v>0</v>
      </c>
    </row>
    <row r="233" spans="1:51">
      <c r="A233" s="109"/>
      <c r="B233" s="127">
        <v>25</v>
      </c>
      <c r="C233" s="106">
        <v>0</v>
      </c>
      <c r="D233" s="110">
        <v>0</v>
      </c>
      <c r="E233" s="110">
        <v>0</v>
      </c>
      <c r="F233" s="110">
        <v>0</v>
      </c>
      <c r="G233" s="110">
        <v>0</v>
      </c>
      <c r="H233" s="110">
        <v>0</v>
      </c>
      <c r="I233" s="110">
        <v>0</v>
      </c>
      <c r="J233" s="110">
        <v>0</v>
      </c>
      <c r="K233" s="110">
        <v>0</v>
      </c>
      <c r="L233" s="110">
        <v>0</v>
      </c>
      <c r="M233" s="110">
        <v>0</v>
      </c>
      <c r="N233" s="110">
        <v>0</v>
      </c>
      <c r="O233" s="110">
        <v>0</v>
      </c>
      <c r="P233" s="110">
        <v>0</v>
      </c>
      <c r="Q233" s="110">
        <v>0</v>
      </c>
      <c r="R233" s="110">
        <v>0</v>
      </c>
      <c r="S233" s="110">
        <v>0</v>
      </c>
      <c r="T233" s="110">
        <v>0</v>
      </c>
      <c r="U233" s="110">
        <v>0</v>
      </c>
      <c r="V233" s="110">
        <v>0</v>
      </c>
      <c r="W233" s="110">
        <v>0</v>
      </c>
      <c r="X233" s="110">
        <v>0</v>
      </c>
      <c r="Y233" s="110">
        <v>0</v>
      </c>
      <c r="Z233" s="110">
        <v>0</v>
      </c>
      <c r="AA233" s="110">
        <v>0</v>
      </c>
      <c r="AB233" s="110">
        <v>0</v>
      </c>
      <c r="AC233" s="110">
        <v>0</v>
      </c>
      <c r="AD233" s="110">
        <v>0</v>
      </c>
      <c r="AE233" s="110">
        <v>0</v>
      </c>
      <c r="AF233" s="110">
        <v>0</v>
      </c>
      <c r="AG233" s="110">
        <v>0</v>
      </c>
      <c r="AH233" s="110">
        <v>0</v>
      </c>
      <c r="AI233" s="110">
        <v>0</v>
      </c>
      <c r="AJ233" s="110">
        <v>0</v>
      </c>
      <c r="AK233" s="110">
        <v>0</v>
      </c>
      <c r="AL233" s="110">
        <v>0</v>
      </c>
      <c r="AM233" s="110">
        <v>0</v>
      </c>
      <c r="AN233" s="110">
        <v>0</v>
      </c>
      <c r="AO233" s="110">
        <v>0</v>
      </c>
      <c r="AP233" s="110">
        <v>0</v>
      </c>
      <c r="AQ233" s="110">
        <v>0</v>
      </c>
      <c r="AR233" s="110">
        <v>0</v>
      </c>
      <c r="AS233" s="110">
        <v>0</v>
      </c>
      <c r="AT233" s="110">
        <v>0</v>
      </c>
      <c r="AU233" s="110">
        <v>0</v>
      </c>
      <c r="AV233" s="110">
        <v>0</v>
      </c>
      <c r="AW233" s="110">
        <v>0</v>
      </c>
      <c r="AX233" s="110">
        <v>0</v>
      </c>
      <c r="AY233" s="110">
        <v>0</v>
      </c>
    </row>
    <row r="234" spans="1:51">
      <c r="A234" s="109"/>
      <c r="B234" s="127">
        <v>26</v>
      </c>
      <c r="C234" s="106">
        <v>0</v>
      </c>
      <c r="D234" s="110">
        <v>0</v>
      </c>
      <c r="E234" s="110">
        <v>0</v>
      </c>
      <c r="F234" s="110">
        <v>0</v>
      </c>
      <c r="G234" s="110">
        <v>0</v>
      </c>
      <c r="H234" s="110">
        <v>0</v>
      </c>
      <c r="I234" s="110">
        <v>0</v>
      </c>
      <c r="J234" s="110">
        <v>0</v>
      </c>
      <c r="K234" s="110">
        <v>0</v>
      </c>
      <c r="L234" s="110">
        <v>0</v>
      </c>
      <c r="M234" s="110">
        <v>0</v>
      </c>
      <c r="N234" s="110">
        <v>0</v>
      </c>
      <c r="O234" s="110">
        <v>0</v>
      </c>
      <c r="P234" s="110">
        <v>0</v>
      </c>
      <c r="Q234" s="110">
        <v>0</v>
      </c>
      <c r="R234" s="110">
        <v>0</v>
      </c>
      <c r="S234" s="110">
        <v>0</v>
      </c>
      <c r="T234" s="110">
        <v>0</v>
      </c>
      <c r="U234" s="110">
        <v>0</v>
      </c>
      <c r="V234" s="110">
        <v>0</v>
      </c>
      <c r="W234" s="110">
        <v>0</v>
      </c>
      <c r="X234" s="110">
        <v>0</v>
      </c>
      <c r="Y234" s="110">
        <v>0</v>
      </c>
      <c r="Z234" s="110">
        <v>0</v>
      </c>
      <c r="AA234" s="110">
        <v>0</v>
      </c>
      <c r="AB234" s="110">
        <v>0</v>
      </c>
      <c r="AC234" s="110">
        <v>0</v>
      </c>
      <c r="AD234" s="110">
        <v>0</v>
      </c>
      <c r="AE234" s="110">
        <v>0</v>
      </c>
      <c r="AF234" s="110">
        <v>0</v>
      </c>
      <c r="AG234" s="110">
        <v>0</v>
      </c>
      <c r="AH234" s="110">
        <v>0</v>
      </c>
      <c r="AI234" s="110">
        <v>0</v>
      </c>
      <c r="AJ234" s="110">
        <v>0</v>
      </c>
      <c r="AK234" s="110">
        <v>0</v>
      </c>
      <c r="AL234" s="110">
        <v>0</v>
      </c>
      <c r="AM234" s="110">
        <v>0</v>
      </c>
      <c r="AN234" s="110">
        <v>0</v>
      </c>
      <c r="AO234" s="110">
        <v>0</v>
      </c>
      <c r="AP234" s="110">
        <v>0</v>
      </c>
      <c r="AQ234" s="110">
        <v>0</v>
      </c>
      <c r="AR234" s="110">
        <v>0</v>
      </c>
      <c r="AS234" s="110">
        <v>0</v>
      </c>
      <c r="AT234" s="110">
        <v>0</v>
      </c>
      <c r="AU234" s="110">
        <v>0</v>
      </c>
      <c r="AV234" s="110">
        <v>0</v>
      </c>
      <c r="AW234" s="110">
        <v>0</v>
      </c>
      <c r="AX234" s="110">
        <v>0</v>
      </c>
      <c r="AY234" s="110">
        <v>0</v>
      </c>
    </row>
    <row r="235" spans="1:51">
      <c r="A235" s="109"/>
      <c r="B235" s="127">
        <v>27</v>
      </c>
      <c r="C235" s="106">
        <v>0</v>
      </c>
      <c r="D235" s="110">
        <v>0</v>
      </c>
      <c r="E235" s="110">
        <v>0</v>
      </c>
      <c r="F235" s="110">
        <v>0</v>
      </c>
      <c r="G235" s="110">
        <v>0</v>
      </c>
      <c r="H235" s="110">
        <v>0</v>
      </c>
      <c r="I235" s="110">
        <v>0</v>
      </c>
      <c r="J235" s="110">
        <v>0</v>
      </c>
      <c r="K235" s="110">
        <v>0</v>
      </c>
      <c r="L235" s="110">
        <v>0</v>
      </c>
      <c r="M235" s="110">
        <v>0</v>
      </c>
      <c r="N235" s="110">
        <v>0</v>
      </c>
      <c r="O235" s="110">
        <v>0</v>
      </c>
      <c r="P235" s="110">
        <v>0</v>
      </c>
      <c r="Q235" s="110">
        <v>0</v>
      </c>
      <c r="R235" s="110">
        <v>0</v>
      </c>
      <c r="S235" s="110">
        <v>0</v>
      </c>
      <c r="T235" s="110">
        <v>0</v>
      </c>
      <c r="U235" s="110">
        <v>0</v>
      </c>
      <c r="V235" s="110">
        <v>0</v>
      </c>
      <c r="W235" s="110">
        <v>0</v>
      </c>
      <c r="X235" s="110">
        <v>0</v>
      </c>
      <c r="Y235" s="110">
        <v>0</v>
      </c>
      <c r="Z235" s="110">
        <v>0</v>
      </c>
      <c r="AA235" s="110">
        <v>0</v>
      </c>
      <c r="AB235" s="110">
        <v>0</v>
      </c>
      <c r="AC235" s="110">
        <v>0</v>
      </c>
      <c r="AD235" s="110">
        <v>0</v>
      </c>
      <c r="AE235" s="110">
        <v>0</v>
      </c>
      <c r="AF235" s="110">
        <v>0</v>
      </c>
      <c r="AG235" s="110">
        <v>0</v>
      </c>
      <c r="AH235" s="110">
        <v>0</v>
      </c>
      <c r="AI235" s="110">
        <v>0</v>
      </c>
      <c r="AJ235" s="110">
        <v>0</v>
      </c>
      <c r="AK235" s="110">
        <v>0</v>
      </c>
      <c r="AL235" s="110">
        <v>0</v>
      </c>
      <c r="AM235" s="110">
        <v>0</v>
      </c>
      <c r="AN235" s="110">
        <v>0</v>
      </c>
      <c r="AO235" s="110">
        <v>0</v>
      </c>
      <c r="AP235" s="110">
        <v>0</v>
      </c>
      <c r="AQ235" s="110">
        <v>0</v>
      </c>
      <c r="AR235" s="110">
        <v>0</v>
      </c>
      <c r="AS235" s="110">
        <v>0</v>
      </c>
      <c r="AT235" s="110">
        <v>0</v>
      </c>
      <c r="AU235" s="110">
        <v>0</v>
      </c>
      <c r="AV235" s="110">
        <v>0</v>
      </c>
      <c r="AW235" s="110">
        <v>0</v>
      </c>
      <c r="AX235" s="110">
        <v>0</v>
      </c>
      <c r="AY235" s="110">
        <v>0</v>
      </c>
    </row>
    <row r="236" spans="1:51">
      <c r="A236" s="109"/>
      <c r="B236" s="127">
        <v>28</v>
      </c>
      <c r="C236" s="106">
        <v>0</v>
      </c>
      <c r="D236" s="110">
        <v>0</v>
      </c>
      <c r="E236" s="110">
        <v>0</v>
      </c>
      <c r="F236" s="110">
        <v>0</v>
      </c>
      <c r="G236" s="110">
        <v>0</v>
      </c>
      <c r="H236" s="110">
        <v>0</v>
      </c>
      <c r="I236" s="110">
        <v>0</v>
      </c>
      <c r="J236" s="110">
        <v>0</v>
      </c>
      <c r="K236" s="110">
        <v>0</v>
      </c>
      <c r="L236" s="110">
        <v>0</v>
      </c>
      <c r="M236" s="110">
        <v>0</v>
      </c>
      <c r="N236" s="110">
        <v>0</v>
      </c>
      <c r="O236" s="110">
        <v>0</v>
      </c>
      <c r="P236" s="110">
        <v>0</v>
      </c>
      <c r="Q236" s="110">
        <v>0</v>
      </c>
      <c r="R236" s="110">
        <v>0</v>
      </c>
      <c r="S236" s="110">
        <v>0</v>
      </c>
      <c r="T236" s="110">
        <v>0</v>
      </c>
      <c r="U236" s="110">
        <v>0</v>
      </c>
      <c r="V236" s="110">
        <v>0</v>
      </c>
      <c r="W236" s="110">
        <v>0</v>
      </c>
      <c r="X236" s="110">
        <v>0</v>
      </c>
      <c r="Y236" s="110">
        <v>0</v>
      </c>
      <c r="Z236" s="110">
        <v>0</v>
      </c>
      <c r="AA236" s="110">
        <v>0</v>
      </c>
      <c r="AB236" s="110">
        <v>0</v>
      </c>
      <c r="AC236" s="110">
        <v>0</v>
      </c>
      <c r="AD236" s="110">
        <v>0</v>
      </c>
      <c r="AE236" s="110">
        <v>0</v>
      </c>
      <c r="AF236" s="110">
        <v>0</v>
      </c>
      <c r="AG236" s="110">
        <v>0</v>
      </c>
      <c r="AH236" s="110">
        <v>0</v>
      </c>
      <c r="AI236" s="110">
        <v>0</v>
      </c>
      <c r="AJ236" s="110">
        <v>0</v>
      </c>
      <c r="AK236" s="110">
        <v>0</v>
      </c>
      <c r="AL236" s="110">
        <v>0</v>
      </c>
      <c r="AM236" s="110">
        <v>0</v>
      </c>
      <c r="AN236" s="110">
        <v>0</v>
      </c>
      <c r="AO236" s="110">
        <v>0</v>
      </c>
      <c r="AP236" s="110">
        <v>0</v>
      </c>
      <c r="AQ236" s="110">
        <v>0</v>
      </c>
      <c r="AR236" s="110">
        <v>0</v>
      </c>
      <c r="AS236" s="110">
        <v>0</v>
      </c>
      <c r="AT236" s="110">
        <v>0</v>
      </c>
      <c r="AU236" s="110">
        <v>0</v>
      </c>
      <c r="AV236" s="110">
        <v>0</v>
      </c>
      <c r="AW236" s="110">
        <v>0</v>
      </c>
      <c r="AX236" s="110">
        <v>0</v>
      </c>
      <c r="AY236" s="110">
        <v>0</v>
      </c>
    </row>
    <row r="237" spans="1:51">
      <c r="A237" s="109"/>
      <c r="B237" s="127">
        <v>29</v>
      </c>
      <c r="C237" s="106">
        <v>0</v>
      </c>
      <c r="D237" s="110">
        <v>0</v>
      </c>
      <c r="E237" s="110">
        <v>0</v>
      </c>
      <c r="F237" s="110">
        <v>0</v>
      </c>
      <c r="G237" s="110">
        <v>0</v>
      </c>
      <c r="H237" s="110">
        <v>0</v>
      </c>
      <c r="I237" s="110">
        <v>0</v>
      </c>
      <c r="J237" s="110">
        <v>0</v>
      </c>
      <c r="K237" s="110">
        <v>0</v>
      </c>
      <c r="L237" s="110">
        <v>0</v>
      </c>
      <c r="M237" s="110">
        <v>0</v>
      </c>
      <c r="N237" s="110">
        <v>0</v>
      </c>
      <c r="O237" s="110">
        <v>0</v>
      </c>
      <c r="P237" s="110">
        <v>0</v>
      </c>
      <c r="Q237" s="110">
        <v>0</v>
      </c>
      <c r="R237" s="110">
        <v>0</v>
      </c>
      <c r="S237" s="110">
        <v>0</v>
      </c>
      <c r="T237" s="110">
        <v>0</v>
      </c>
      <c r="U237" s="110">
        <v>0</v>
      </c>
      <c r="V237" s="110">
        <v>0</v>
      </c>
      <c r="W237" s="110">
        <v>0</v>
      </c>
      <c r="X237" s="110">
        <v>0</v>
      </c>
      <c r="Y237" s="110">
        <v>0</v>
      </c>
      <c r="Z237" s="110">
        <v>0</v>
      </c>
      <c r="AA237" s="110">
        <v>0</v>
      </c>
      <c r="AB237" s="110">
        <v>0</v>
      </c>
      <c r="AC237" s="110">
        <v>0</v>
      </c>
      <c r="AD237" s="110">
        <v>0</v>
      </c>
      <c r="AE237" s="110">
        <v>0</v>
      </c>
      <c r="AF237" s="110">
        <v>0</v>
      </c>
      <c r="AG237" s="110">
        <v>0</v>
      </c>
      <c r="AH237" s="110">
        <v>0</v>
      </c>
      <c r="AI237" s="110">
        <v>0</v>
      </c>
      <c r="AJ237" s="110">
        <v>0</v>
      </c>
      <c r="AK237" s="110">
        <v>0</v>
      </c>
      <c r="AL237" s="110">
        <v>0</v>
      </c>
      <c r="AM237" s="110">
        <v>0</v>
      </c>
      <c r="AN237" s="110">
        <v>0</v>
      </c>
      <c r="AO237" s="110">
        <v>0</v>
      </c>
      <c r="AP237" s="110">
        <v>0</v>
      </c>
      <c r="AQ237" s="110">
        <v>0</v>
      </c>
      <c r="AR237" s="110">
        <v>0</v>
      </c>
      <c r="AS237" s="110">
        <v>0</v>
      </c>
      <c r="AT237" s="110">
        <v>0</v>
      </c>
      <c r="AU237" s="110">
        <v>0</v>
      </c>
      <c r="AV237" s="110">
        <v>0</v>
      </c>
      <c r="AW237" s="110">
        <v>0</v>
      </c>
      <c r="AX237" s="110">
        <v>0</v>
      </c>
      <c r="AY237" s="110">
        <v>0</v>
      </c>
    </row>
    <row r="238" spans="1:51">
      <c r="A238" s="109"/>
      <c r="B238" s="127">
        <v>30</v>
      </c>
      <c r="C238" s="106">
        <v>0</v>
      </c>
      <c r="D238" s="110">
        <v>0</v>
      </c>
      <c r="E238" s="110">
        <v>0</v>
      </c>
      <c r="F238" s="110">
        <v>0</v>
      </c>
      <c r="G238" s="110">
        <v>0</v>
      </c>
      <c r="H238" s="110">
        <v>0</v>
      </c>
      <c r="I238" s="110">
        <v>0</v>
      </c>
      <c r="J238" s="110">
        <v>0</v>
      </c>
      <c r="K238" s="110">
        <v>0</v>
      </c>
      <c r="L238" s="110">
        <v>0</v>
      </c>
      <c r="M238" s="110">
        <v>0</v>
      </c>
      <c r="N238" s="110">
        <v>0</v>
      </c>
      <c r="O238" s="110">
        <v>0</v>
      </c>
      <c r="P238" s="110">
        <v>0</v>
      </c>
      <c r="Q238" s="110">
        <v>0</v>
      </c>
      <c r="R238" s="110">
        <v>0</v>
      </c>
      <c r="S238" s="110">
        <v>0</v>
      </c>
      <c r="T238" s="110">
        <v>0</v>
      </c>
      <c r="U238" s="110">
        <v>0</v>
      </c>
      <c r="V238" s="110">
        <v>0</v>
      </c>
      <c r="W238" s="110">
        <v>0</v>
      </c>
      <c r="X238" s="110">
        <v>0</v>
      </c>
      <c r="Y238" s="110">
        <v>0</v>
      </c>
      <c r="Z238" s="110">
        <v>0</v>
      </c>
      <c r="AA238" s="110">
        <v>0</v>
      </c>
      <c r="AB238" s="110">
        <v>0</v>
      </c>
      <c r="AC238" s="110">
        <v>0</v>
      </c>
      <c r="AD238" s="110">
        <v>0</v>
      </c>
      <c r="AE238" s="110">
        <v>0</v>
      </c>
      <c r="AF238" s="110">
        <v>0</v>
      </c>
      <c r="AG238" s="110">
        <v>0</v>
      </c>
      <c r="AH238" s="110">
        <v>0</v>
      </c>
      <c r="AI238" s="110">
        <v>0</v>
      </c>
      <c r="AJ238" s="110">
        <v>0</v>
      </c>
      <c r="AK238" s="110">
        <v>0</v>
      </c>
      <c r="AL238" s="110">
        <v>0</v>
      </c>
      <c r="AM238" s="110">
        <v>0</v>
      </c>
      <c r="AN238" s="110">
        <v>0</v>
      </c>
      <c r="AO238" s="110">
        <v>0</v>
      </c>
      <c r="AP238" s="110">
        <v>0</v>
      </c>
      <c r="AQ238" s="110">
        <v>0</v>
      </c>
      <c r="AR238" s="110">
        <v>0</v>
      </c>
      <c r="AS238" s="110">
        <v>0</v>
      </c>
      <c r="AT238" s="110">
        <v>0</v>
      </c>
      <c r="AU238" s="110">
        <v>0</v>
      </c>
      <c r="AV238" s="110">
        <v>0</v>
      </c>
      <c r="AW238" s="110">
        <v>0</v>
      </c>
      <c r="AX238" s="110">
        <v>0</v>
      </c>
      <c r="AY238" s="110">
        <v>0</v>
      </c>
    </row>
    <row r="239" spans="1:51">
      <c r="A239" s="109"/>
      <c r="B239" s="127">
        <v>31</v>
      </c>
      <c r="C239" s="106">
        <v>0</v>
      </c>
      <c r="D239" s="110">
        <v>0</v>
      </c>
      <c r="E239" s="110">
        <v>0</v>
      </c>
      <c r="F239" s="110">
        <v>0</v>
      </c>
      <c r="G239" s="110">
        <v>0</v>
      </c>
      <c r="H239" s="110">
        <v>0</v>
      </c>
      <c r="I239" s="110">
        <v>0</v>
      </c>
      <c r="J239" s="110">
        <v>0</v>
      </c>
      <c r="K239" s="110">
        <v>0</v>
      </c>
      <c r="L239" s="110">
        <v>0</v>
      </c>
      <c r="M239" s="110">
        <v>0</v>
      </c>
      <c r="N239" s="110">
        <v>0</v>
      </c>
      <c r="O239" s="110">
        <v>0</v>
      </c>
      <c r="P239" s="110">
        <v>0</v>
      </c>
      <c r="Q239" s="110">
        <v>0</v>
      </c>
      <c r="R239" s="110">
        <v>0</v>
      </c>
      <c r="S239" s="110">
        <v>0</v>
      </c>
      <c r="T239" s="110">
        <v>0</v>
      </c>
      <c r="U239" s="110">
        <v>0</v>
      </c>
      <c r="V239" s="110">
        <v>0</v>
      </c>
      <c r="W239" s="110">
        <v>0</v>
      </c>
      <c r="X239" s="110">
        <v>0</v>
      </c>
      <c r="Y239" s="110">
        <v>0</v>
      </c>
      <c r="Z239" s="110">
        <v>0</v>
      </c>
      <c r="AA239" s="110">
        <v>0</v>
      </c>
      <c r="AB239" s="110">
        <v>0</v>
      </c>
      <c r="AC239" s="110">
        <v>0</v>
      </c>
      <c r="AD239" s="110">
        <v>0</v>
      </c>
      <c r="AE239" s="110">
        <v>0</v>
      </c>
      <c r="AF239" s="110">
        <v>0</v>
      </c>
      <c r="AG239" s="110">
        <v>0</v>
      </c>
      <c r="AH239" s="110">
        <v>0</v>
      </c>
      <c r="AI239" s="110">
        <v>0</v>
      </c>
      <c r="AJ239" s="110">
        <v>0</v>
      </c>
      <c r="AK239" s="110">
        <v>0</v>
      </c>
      <c r="AL239" s="110">
        <v>0</v>
      </c>
      <c r="AM239" s="110">
        <v>0</v>
      </c>
      <c r="AN239" s="110">
        <v>0</v>
      </c>
      <c r="AO239" s="110">
        <v>0</v>
      </c>
      <c r="AP239" s="110">
        <v>0</v>
      </c>
      <c r="AQ239" s="110">
        <v>0</v>
      </c>
      <c r="AR239" s="110">
        <v>0</v>
      </c>
      <c r="AS239" s="110">
        <v>0</v>
      </c>
      <c r="AT239" s="110">
        <v>0</v>
      </c>
      <c r="AU239" s="110">
        <v>0</v>
      </c>
      <c r="AV239" s="110">
        <v>0</v>
      </c>
      <c r="AW239" s="110">
        <v>0</v>
      </c>
      <c r="AX239" s="110">
        <v>0</v>
      </c>
      <c r="AY239" s="110">
        <v>0</v>
      </c>
    </row>
    <row r="240" spans="1:51">
      <c r="A240" s="109"/>
      <c r="B240" s="127">
        <v>32</v>
      </c>
      <c r="C240" s="106">
        <v>0</v>
      </c>
      <c r="D240" s="110">
        <v>0</v>
      </c>
      <c r="E240" s="110">
        <v>0</v>
      </c>
      <c r="F240" s="110">
        <v>0</v>
      </c>
      <c r="G240" s="110">
        <v>0</v>
      </c>
      <c r="H240" s="110">
        <v>0</v>
      </c>
      <c r="I240" s="110">
        <v>0</v>
      </c>
      <c r="J240" s="110">
        <v>0</v>
      </c>
      <c r="K240" s="110">
        <v>0</v>
      </c>
      <c r="L240" s="110">
        <v>0</v>
      </c>
      <c r="M240" s="110">
        <v>0</v>
      </c>
      <c r="N240" s="110">
        <v>0</v>
      </c>
      <c r="O240" s="110">
        <v>0</v>
      </c>
      <c r="P240" s="110">
        <v>0</v>
      </c>
      <c r="Q240" s="110">
        <v>0</v>
      </c>
      <c r="R240" s="110">
        <v>0</v>
      </c>
      <c r="S240" s="110">
        <v>0</v>
      </c>
      <c r="T240" s="110">
        <v>0</v>
      </c>
      <c r="U240" s="110">
        <v>0</v>
      </c>
      <c r="V240" s="110">
        <v>0</v>
      </c>
      <c r="W240" s="110">
        <v>0</v>
      </c>
      <c r="X240" s="110">
        <v>0</v>
      </c>
      <c r="Y240" s="110">
        <v>0</v>
      </c>
      <c r="Z240" s="110">
        <v>0</v>
      </c>
      <c r="AA240" s="110">
        <v>0</v>
      </c>
      <c r="AB240" s="110">
        <v>0</v>
      </c>
      <c r="AC240" s="110">
        <v>0</v>
      </c>
      <c r="AD240" s="110">
        <v>0</v>
      </c>
      <c r="AE240" s="110">
        <v>0</v>
      </c>
      <c r="AF240" s="110">
        <v>0</v>
      </c>
      <c r="AG240" s="110">
        <v>0</v>
      </c>
      <c r="AH240" s="110">
        <v>0</v>
      </c>
      <c r="AI240" s="110">
        <v>0</v>
      </c>
      <c r="AJ240" s="110">
        <v>0</v>
      </c>
      <c r="AK240" s="110">
        <v>0</v>
      </c>
      <c r="AL240" s="110">
        <v>0</v>
      </c>
      <c r="AM240" s="110">
        <v>0</v>
      </c>
      <c r="AN240" s="110">
        <v>0</v>
      </c>
      <c r="AO240" s="110">
        <v>0</v>
      </c>
      <c r="AP240" s="110">
        <v>0</v>
      </c>
      <c r="AQ240" s="110">
        <v>0</v>
      </c>
      <c r="AR240" s="110">
        <v>0</v>
      </c>
      <c r="AS240" s="110">
        <v>0</v>
      </c>
      <c r="AT240" s="110">
        <v>0</v>
      </c>
      <c r="AU240" s="110">
        <v>0</v>
      </c>
      <c r="AV240" s="110">
        <v>0</v>
      </c>
      <c r="AW240" s="110">
        <v>0</v>
      </c>
      <c r="AX240" s="110">
        <v>0</v>
      </c>
      <c r="AY240" s="110">
        <v>0</v>
      </c>
    </row>
    <row r="241" spans="1:51">
      <c r="A241" s="109"/>
      <c r="B241" s="127">
        <v>33</v>
      </c>
      <c r="C241" s="106">
        <v>0</v>
      </c>
      <c r="D241" s="110">
        <v>0</v>
      </c>
      <c r="E241" s="110">
        <v>0</v>
      </c>
      <c r="F241" s="110">
        <v>0</v>
      </c>
      <c r="G241" s="110">
        <v>0</v>
      </c>
      <c r="H241" s="110">
        <v>0</v>
      </c>
      <c r="I241" s="110">
        <v>0</v>
      </c>
      <c r="J241" s="110">
        <v>0</v>
      </c>
      <c r="K241" s="110">
        <v>0</v>
      </c>
      <c r="L241" s="110">
        <v>0</v>
      </c>
      <c r="M241" s="110">
        <v>0</v>
      </c>
      <c r="N241" s="110">
        <v>0</v>
      </c>
      <c r="O241" s="110">
        <v>0</v>
      </c>
      <c r="P241" s="110">
        <v>0</v>
      </c>
      <c r="Q241" s="110">
        <v>0</v>
      </c>
      <c r="R241" s="110">
        <v>0</v>
      </c>
      <c r="S241" s="110">
        <v>0</v>
      </c>
      <c r="T241" s="110">
        <v>0</v>
      </c>
      <c r="U241" s="110">
        <v>0</v>
      </c>
      <c r="V241" s="110">
        <v>0</v>
      </c>
      <c r="W241" s="110">
        <v>0</v>
      </c>
      <c r="X241" s="110">
        <v>0</v>
      </c>
      <c r="Y241" s="110">
        <v>0</v>
      </c>
      <c r="Z241" s="110">
        <v>0</v>
      </c>
      <c r="AA241" s="110">
        <v>0</v>
      </c>
      <c r="AB241" s="110">
        <v>0</v>
      </c>
      <c r="AC241" s="110">
        <v>0</v>
      </c>
      <c r="AD241" s="110">
        <v>0</v>
      </c>
      <c r="AE241" s="110">
        <v>0</v>
      </c>
      <c r="AF241" s="110">
        <v>0</v>
      </c>
      <c r="AG241" s="110">
        <v>0</v>
      </c>
      <c r="AH241" s="110">
        <v>0</v>
      </c>
      <c r="AI241" s="110">
        <v>0</v>
      </c>
      <c r="AJ241" s="110">
        <v>0</v>
      </c>
      <c r="AK241" s="110">
        <v>0</v>
      </c>
      <c r="AL241" s="110">
        <v>0</v>
      </c>
      <c r="AM241" s="110">
        <v>0</v>
      </c>
      <c r="AN241" s="110">
        <v>0</v>
      </c>
      <c r="AO241" s="110">
        <v>0</v>
      </c>
      <c r="AP241" s="110">
        <v>0</v>
      </c>
      <c r="AQ241" s="110">
        <v>0</v>
      </c>
      <c r="AR241" s="110">
        <v>0</v>
      </c>
      <c r="AS241" s="110">
        <v>0</v>
      </c>
      <c r="AT241" s="110">
        <v>0</v>
      </c>
      <c r="AU241" s="110">
        <v>0</v>
      </c>
      <c r="AV241" s="110">
        <v>0</v>
      </c>
      <c r="AW241" s="110">
        <v>0</v>
      </c>
      <c r="AX241" s="110">
        <v>0</v>
      </c>
      <c r="AY241" s="110">
        <v>0</v>
      </c>
    </row>
    <row r="242" spans="1:51">
      <c r="A242" s="109"/>
      <c r="B242" s="127">
        <v>34</v>
      </c>
      <c r="C242" s="106">
        <v>0</v>
      </c>
      <c r="D242" s="110">
        <v>0</v>
      </c>
      <c r="E242" s="110">
        <v>0</v>
      </c>
      <c r="F242" s="110">
        <v>0</v>
      </c>
      <c r="G242" s="110">
        <v>0</v>
      </c>
      <c r="H242" s="110">
        <v>0</v>
      </c>
      <c r="I242" s="110">
        <v>0</v>
      </c>
      <c r="J242" s="110">
        <v>0</v>
      </c>
      <c r="K242" s="110">
        <v>0</v>
      </c>
      <c r="L242" s="110">
        <v>0</v>
      </c>
      <c r="M242" s="110">
        <v>0</v>
      </c>
      <c r="N242" s="110">
        <v>0</v>
      </c>
      <c r="O242" s="110">
        <v>0</v>
      </c>
      <c r="P242" s="110">
        <v>0</v>
      </c>
      <c r="Q242" s="110">
        <v>0</v>
      </c>
      <c r="R242" s="110">
        <v>0</v>
      </c>
      <c r="S242" s="110">
        <v>0</v>
      </c>
      <c r="T242" s="110">
        <v>0</v>
      </c>
      <c r="U242" s="110">
        <v>0</v>
      </c>
      <c r="V242" s="110">
        <v>0</v>
      </c>
      <c r="W242" s="110">
        <v>0</v>
      </c>
      <c r="X242" s="110">
        <v>0</v>
      </c>
      <c r="Y242" s="110">
        <v>0</v>
      </c>
      <c r="Z242" s="110">
        <v>0</v>
      </c>
      <c r="AA242" s="110">
        <v>0</v>
      </c>
      <c r="AB242" s="110">
        <v>0</v>
      </c>
      <c r="AC242" s="110">
        <v>0</v>
      </c>
      <c r="AD242" s="110">
        <v>0</v>
      </c>
      <c r="AE242" s="110">
        <v>0</v>
      </c>
      <c r="AF242" s="110">
        <v>0</v>
      </c>
      <c r="AG242" s="110">
        <v>0</v>
      </c>
      <c r="AH242" s="110">
        <v>0</v>
      </c>
      <c r="AI242" s="110">
        <v>0</v>
      </c>
      <c r="AJ242" s="110">
        <v>0</v>
      </c>
      <c r="AK242" s="110">
        <v>0</v>
      </c>
      <c r="AL242" s="110">
        <v>0</v>
      </c>
      <c r="AM242" s="110">
        <v>0</v>
      </c>
      <c r="AN242" s="110">
        <v>0</v>
      </c>
      <c r="AO242" s="110">
        <v>0</v>
      </c>
      <c r="AP242" s="110">
        <v>0</v>
      </c>
      <c r="AQ242" s="110">
        <v>0</v>
      </c>
      <c r="AR242" s="110">
        <v>0</v>
      </c>
      <c r="AS242" s="110">
        <v>0</v>
      </c>
      <c r="AT242" s="110">
        <v>0</v>
      </c>
      <c r="AU242" s="110">
        <v>0</v>
      </c>
      <c r="AV242" s="110">
        <v>0</v>
      </c>
      <c r="AW242" s="110">
        <v>0</v>
      </c>
      <c r="AX242" s="110">
        <v>0</v>
      </c>
      <c r="AY242" s="110">
        <v>0</v>
      </c>
    </row>
    <row r="243" spans="1:51">
      <c r="A243" s="109"/>
      <c r="B243" s="127">
        <v>35</v>
      </c>
      <c r="C243" s="106">
        <v>0</v>
      </c>
      <c r="D243" s="110">
        <v>0</v>
      </c>
      <c r="E243" s="110">
        <v>0</v>
      </c>
      <c r="F243" s="110">
        <v>0</v>
      </c>
      <c r="G243" s="110">
        <v>0</v>
      </c>
      <c r="H243" s="110">
        <v>0</v>
      </c>
      <c r="I243" s="110">
        <v>0</v>
      </c>
      <c r="J243" s="110">
        <v>0</v>
      </c>
      <c r="K243" s="110">
        <v>0</v>
      </c>
      <c r="L243" s="110">
        <v>0</v>
      </c>
      <c r="M243" s="110">
        <v>0</v>
      </c>
      <c r="N243" s="110">
        <v>0</v>
      </c>
      <c r="O243" s="110">
        <v>0</v>
      </c>
      <c r="P243" s="110">
        <v>0</v>
      </c>
      <c r="Q243" s="110">
        <v>0</v>
      </c>
      <c r="R243" s="110">
        <v>0</v>
      </c>
      <c r="S243" s="110">
        <v>0</v>
      </c>
      <c r="T243" s="110">
        <v>0</v>
      </c>
      <c r="U243" s="110">
        <v>0</v>
      </c>
      <c r="V243" s="110">
        <v>0</v>
      </c>
      <c r="W243" s="110">
        <v>0</v>
      </c>
      <c r="X243" s="110">
        <v>0</v>
      </c>
      <c r="Y243" s="110">
        <v>0</v>
      </c>
      <c r="Z243" s="110">
        <v>0</v>
      </c>
      <c r="AA243" s="110">
        <v>0</v>
      </c>
      <c r="AB243" s="110">
        <v>0</v>
      </c>
      <c r="AC243" s="110">
        <v>0</v>
      </c>
      <c r="AD243" s="110">
        <v>0</v>
      </c>
      <c r="AE243" s="110">
        <v>0</v>
      </c>
      <c r="AF243" s="110">
        <v>0</v>
      </c>
      <c r="AG243" s="110">
        <v>0</v>
      </c>
      <c r="AH243" s="110">
        <v>0</v>
      </c>
      <c r="AI243" s="110">
        <v>0</v>
      </c>
      <c r="AJ243" s="110">
        <v>0</v>
      </c>
      <c r="AK243" s="110">
        <v>0</v>
      </c>
      <c r="AL243" s="110">
        <v>0</v>
      </c>
      <c r="AM243" s="110">
        <v>0</v>
      </c>
      <c r="AN243" s="110">
        <v>0</v>
      </c>
      <c r="AO243" s="110">
        <v>0</v>
      </c>
      <c r="AP243" s="110">
        <v>0</v>
      </c>
      <c r="AQ243" s="110">
        <v>0</v>
      </c>
      <c r="AR243" s="110">
        <v>0</v>
      </c>
      <c r="AS243" s="110">
        <v>0</v>
      </c>
      <c r="AT243" s="110">
        <v>0</v>
      </c>
      <c r="AU243" s="110">
        <v>0</v>
      </c>
      <c r="AV243" s="110">
        <v>0</v>
      </c>
      <c r="AW243" s="110">
        <v>0</v>
      </c>
      <c r="AX243" s="110">
        <v>0</v>
      </c>
      <c r="AY243" s="110">
        <v>0</v>
      </c>
    </row>
    <row r="244" spans="1:51">
      <c r="A244" s="109"/>
      <c r="B244" s="127">
        <v>36</v>
      </c>
      <c r="C244" s="106">
        <v>0</v>
      </c>
      <c r="D244" s="110">
        <v>0</v>
      </c>
      <c r="E244" s="110">
        <v>0</v>
      </c>
      <c r="F244" s="110">
        <v>0</v>
      </c>
      <c r="G244" s="110">
        <v>0</v>
      </c>
      <c r="H244" s="110">
        <v>0</v>
      </c>
      <c r="I244" s="110">
        <v>0</v>
      </c>
      <c r="J244" s="110">
        <v>0</v>
      </c>
      <c r="K244" s="110">
        <v>0</v>
      </c>
      <c r="L244" s="110">
        <v>0</v>
      </c>
      <c r="M244" s="110">
        <v>0</v>
      </c>
      <c r="N244" s="110">
        <v>0</v>
      </c>
      <c r="O244" s="110">
        <v>0</v>
      </c>
      <c r="P244" s="110">
        <v>0</v>
      </c>
      <c r="Q244" s="110">
        <v>0</v>
      </c>
      <c r="R244" s="110">
        <v>0</v>
      </c>
      <c r="S244" s="110">
        <v>0</v>
      </c>
      <c r="T244" s="110">
        <v>0</v>
      </c>
      <c r="U244" s="110">
        <v>0</v>
      </c>
      <c r="V244" s="110">
        <v>0</v>
      </c>
      <c r="W244" s="110">
        <v>0</v>
      </c>
      <c r="X244" s="110">
        <v>0</v>
      </c>
      <c r="Y244" s="110">
        <v>0</v>
      </c>
      <c r="Z244" s="110">
        <v>0</v>
      </c>
      <c r="AA244" s="110">
        <v>0</v>
      </c>
      <c r="AB244" s="110">
        <v>0</v>
      </c>
      <c r="AC244" s="110">
        <v>0</v>
      </c>
      <c r="AD244" s="110">
        <v>0</v>
      </c>
      <c r="AE244" s="110">
        <v>0</v>
      </c>
      <c r="AF244" s="110">
        <v>0</v>
      </c>
      <c r="AG244" s="110">
        <v>0</v>
      </c>
      <c r="AH244" s="110">
        <v>0</v>
      </c>
      <c r="AI244" s="110">
        <v>0</v>
      </c>
      <c r="AJ244" s="110">
        <v>0</v>
      </c>
      <c r="AK244" s="110">
        <v>0</v>
      </c>
      <c r="AL244" s="110">
        <v>0</v>
      </c>
      <c r="AM244" s="110">
        <v>0</v>
      </c>
      <c r="AN244" s="110">
        <v>0</v>
      </c>
      <c r="AO244" s="110">
        <v>0</v>
      </c>
      <c r="AP244" s="110">
        <v>0</v>
      </c>
      <c r="AQ244" s="110">
        <v>0</v>
      </c>
      <c r="AR244" s="110">
        <v>0</v>
      </c>
      <c r="AS244" s="110">
        <v>0</v>
      </c>
      <c r="AT244" s="110">
        <v>0</v>
      </c>
      <c r="AU244" s="110">
        <v>0</v>
      </c>
      <c r="AV244" s="110">
        <v>0</v>
      </c>
      <c r="AW244" s="110">
        <v>0</v>
      </c>
      <c r="AX244" s="110">
        <v>0</v>
      </c>
      <c r="AY244" s="110">
        <v>0</v>
      </c>
    </row>
    <row r="245" spans="1:51">
      <c r="A245" s="109"/>
      <c r="B245" s="130">
        <v>37</v>
      </c>
      <c r="C245" s="106">
        <v>0</v>
      </c>
      <c r="D245" s="110">
        <v>0</v>
      </c>
      <c r="E245" s="110">
        <v>0</v>
      </c>
      <c r="F245" s="110">
        <v>0</v>
      </c>
      <c r="G245" s="110">
        <v>0</v>
      </c>
      <c r="H245" s="110">
        <v>0</v>
      </c>
      <c r="I245" s="110">
        <v>0</v>
      </c>
      <c r="J245" s="110">
        <v>0</v>
      </c>
      <c r="K245" s="110">
        <v>0</v>
      </c>
      <c r="L245" s="110">
        <v>0</v>
      </c>
      <c r="M245" s="110">
        <v>0</v>
      </c>
      <c r="N245" s="110">
        <v>0</v>
      </c>
      <c r="O245" s="110">
        <v>0</v>
      </c>
      <c r="P245" s="110">
        <v>0</v>
      </c>
      <c r="Q245" s="110">
        <v>0</v>
      </c>
      <c r="R245" s="110">
        <v>0</v>
      </c>
      <c r="S245" s="110">
        <v>0</v>
      </c>
      <c r="T245" s="110">
        <v>0</v>
      </c>
      <c r="U245" s="110">
        <v>0</v>
      </c>
      <c r="V245" s="110">
        <v>0</v>
      </c>
      <c r="W245" s="110">
        <v>0</v>
      </c>
      <c r="X245" s="110">
        <v>0</v>
      </c>
      <c r="Y245" s="110">
        <v>0</v>
      </c>
      <c r="Z245" s="110">
        <v>0</v>
      </c>
      <c r="AA245" s="110">
        <v>0</v>
      </c>
      <c r="AB245" s="110">
        <v>0</v>
      </c>
      <c r="AC245" s="110">
        <v>0</v>
      </c>
      <c r="AD245" s="110">
        <v>0</v>
      </c>
      <c r="AE245" s="110">
        <v>0</v>
      </c>
      <c r="AF245" s="110">
        <v>0</v>
      </c>
      <c r="AG245" s="110">
        <v>0</v>
      </c>
      <c r="AH245" s="110">
        <v>0</v>
      </c>
      <c r="AI245" s="110">
        <v>0</v>
      </c>
      <c r="AJ245" s="110">
        <v>0</v>
      </c>
      <c r="AK245" s="110">
        <v>0</v>
      </c>
      <c r="AL245" s="110">
        <v>0</v>
      </c>
      <c r="AM245" s="110">
        <v>0</v>
      </c>
      <c r="AN245" s="110">
        <v>0</v>
      </c>
      <c r="AO245" s="110">
        <v>0</v>
      </c>
      <c r="AP245" s="110">
        <v>0</v>
      </c>
      <c r="AQ245" s="110">
        <v>0</v>
      </c>
      <c r="AR245" s="110">
        <v>0</v>
      </c>
      <c r="AS245" s="110">
        <v>0</v>
      </c>
      <c r="AT245" s="110">
        <v>0</v>
      </c>
      <c r="AU245" s="110">
        <v>0</v>
      </c>
      <c r="AV245" s="110">
        <v>0</v>
      </c>
      <c r="AW245" s="110">
        <v>0</v>
      </c>
      <c r="AX245" s="110">
        <v>0</v>
      </c>
      <c r="AY245" s="110">
        <v>0</v>
      </c>
    </row>
    <row r="246" spans="1:51">
      <c r="A246" s="109"/>
      <c r="B246" s="130">
        <v>38</v>
      </c>
      <c r="C246" s="106">
        <v>0</v>
      </c>
      <c r="D246" s="110">
        <v>0</v>
      </c>
      <c r="E246" s="110">
        <v>0</v>
      </c>
      <c r="F246" s="110">
        <v>0</v>
      </c>
      <c r="G246" s="110">
        <v>0</v>
      </c>
      <c r="H246" s="110">
        <v>0</v>
      </c>
      <c r="I246" s="110">
        <v>0</v>
      </c>
      <c r="J246" s="110">
        <v>0</v>
      </c>
      <c r="K246" s="110">
        <v>0</v>
      </c>
      <c r="L246" s="110">
        <v>0</v>
      </c>
      <c r="M246" s="110">
        <v>0</v>
      </c>
      <c r="N246" s="110">
        <v>0</v>
      </c>
      <c r="O246" s="110">
        <v>0</v>
      </c>
      <c r="P246" s="110">
        <v>0</v>
      </c>
      <c r="Q246" s="110">
        <v>0</v>
      </c>
      <c r="R246" s="110">
        <v>0</v>
      </c>
      <c r="S246" s="110">
        <v>0</v>
      </c>
      <c r="T246" s="110">
        <v>0</v>
      </c>
      <c r="U246" s="110">
        <v>0</v>
      </c>
      <c r="V246" s="110">
        <v>0</v>
      </c>
      <c r="W246" s="110">
        <v>0</v>
      </c>
      <c r="X246" s="110">
        <v>0</v>
      </c>
      <c r="Y246" s="110">
        <v>0</v>
      </c>
      <c r="Z246" s="110">
        <v>0</v>
      </c>
      <c r="AA246" s="110">
        <v>0</v>
      </c>
      <c r="AB246" s="110">
        <v>0</v>
      </c>
      <c r="AC246" s="110">
        <v>0</v>
      </c>
      <c r="AD246" s="110">
        <v>0</v>
      </c>
      <c r="AE246" s="110">
        <v>0</v>
      </c>
      <c r="AF246" s="110">
        <v>0</v>
      </c>
      <c r="AG246" s="110">
        <v>0</v>
      </c>
      <c r="AH246" s="110">
        <v>0</v>
      </c>
      <c r="AI246" s="110">
        <v>0</v>
      </c>
      <c r="AJ246" s="110">
        <v>0</v>
      </c>
      <c r="AK246" s="110">
        <v>0</v>
      </c>
      <c r="AL246" s="110">
        <v>0</v>
      </c>
      <c r="AM246" s="110">
        <v>0</v>
      </c>
      <c r="AN246" s="110">
        <v>0</v>
      </c>
      <c r="AO246" s="110">
        <v>0</v>
      </c>
      <c r="AP246" s="110">
        <v>0</v>
      </c>
      <c r="AQ246" s="110">
        <v>0</v>
      </c>
      <c r="AR246" s="110">
        <v>0</v>
      </c>
      <c r="AS246" s="110">
        <v>0</v>
      </c>
      <c r="AT246" s="110">
        <v>0</v>
      </c>
      <c r="AU246" s="110">
        <v>0</v>
      </c>
      <c r="AV246" s="110">
        <v>0</v>
      </c>
      <c r="AW246" s="110">
        <v>0</v>
      </c>
      <c r="AX246" s="110">
        <v>0</v>
      </c>
      <c r="AY246" s="110">
        <v>0</v>
      </c>
    </row>
    <row r="247" spans="1:51">
      <c r="A247" s="109"/>
      <c r="B247" s="130">
        <v>39</v>
      </c>
      <c r="C247" s="106">
        <v>0</v>
      </c>
      <c r="D247" s="110">
        <v>0</v>
      </c>
      <c r="E247" s="110">
        <v>0</v>
      </c>
      <c r="F247" s="110">
        <v>0</v>
      </c>
      <c r="G247" s="110">
        <v>0</v>
      </c>
      <c r="H247" s="110">
        <v>0</v>
      </c>
      <c r="I247" s="110">
        <v>0</v>
      </c>
      <c r="J247" s="110">
        <v>0</v>
      </c>
      <c r="K247" s="110">
        <v>0</v>
      </c>
      <c r="L247" s="110">
        <v>0</v>
      </c>
      <c r="M247" s="110">
        <v>0</v>
      </c>
      <c r="N247" s="110">
        <v>0</v>
      </c>
      <c r="O247" s="110">
        <v>0</v>
      </c>
      <c r="P247" s="110">
        <v>0</v>
      </c>
      <c r="Q247" s="110">
        <v>0</v>
      </c>
      <c r="R247" s="110">
        <v>0</v>
      </c>
      <c r="S247" s="110">
        <v>0</v>
      </c>
      <c r="T247" s="110">
        <v>0</v>
      </c>
      <c r="U247" s="110">
        <v>0</v>
      </c>
      <c r="V247" s="110">
        <v>0</v>
      </c>
      <c r="W247" s="110">
        <v>0</v>
      </c>
      <c r="X247" s="110">
        <v>0</v>
      </c>
      <c r="Y247" s="110">
        <v>0</v>
      </c>
      <c r="Z247" s="110">
        <v>0</v>
      </c>
      <c r="AA247" s="110">
        <v>0</v>
      </c>
      <c r="AB247" s="110">
        <v>0</v>
      </c>
      <c r="AC247" s="110">
        <v>0</v>
      </c>
      <c r="AD247" s="110">
        <v>0</v>
      </c>
      <c r="AE247" s="110">
        <v>0</v>
      </c>
      <c r="AF247" s="110">
        <v>0</v>
      </c>
      <c r="AG247" s="110">
        <v>0</v>
      </c>
      <c r="AH247" s="110">
        <v>0</v>
      </c>
      <c r="AI247" s="110">
        <v>0</v>
      </c>
      <c r="AJ247" s="110">
        <v>0</v>
      </c>
      <c r="AK247" s="110">
        <v>0</v>
      </c>
      <c r="AL247" s="110">
        <v>0</v>
      </c>
      <c r="AM247" s="110">
        <v>0</v>
      </c>
      <c r="AN247" s="110">
        <v>0</v>
      </c>
      <c r="AO247" s="110">
        <v>0</v>
      </c>
      <c r="AP247" s="110">
        <v>0</v>
      </c>
      <c r="AQ247" s="110">
        <v>0</v>
      </c>
      <c r="AR247" s="110">
        <v>0</v>
      </c>
      <c r="AS247" s="110">
        <v>0</v>
      </c>
      <c r="AT247" s="110">
        <v>0</v>
      </c>
      <c r="AU247" s="110">
        <v>0</v>
      </c>
      <c r="AV247" s="110">
        <v>0</v>
      </c>
      <c r="AW247" s="110">
        <v>0</v>
      </c>
      <c r="AX247" s="110">
        <v>0</v>
      </c>
      <c r="AY247" s="110">
        <v>0</v>
      </c>
    </row>
    <row r="248" spans="1:51">
      <c r="A248" s="109"/>
      <c r="B248" s="130">
        <v>40</v>
      </c>
      <c r="C248" s="106">
        <v>0</v>
      </c>
      <c r="D248" s="110">
        <v>0</v>
      </c>
      <c r="E248" s="110">
        <v>0</v>
      </c>
      <c r="F248" s="110">
        <v>0</v>
      </c>
      <c r="G248" s="110">
        <v>0</v>
      </c>
      <c r="H248" s="110">
        <v>0</v>
      </c>
      <c r="I248" s="110">
        <v>0</v>
      </c>
      <c r="J248" s="110">
        <v>0</v>
      </c>
      <c r="K248" s="110">
        <v>0</v>
      </c>
      <c r="L248" s="110">
        <v>0</v>
      </c>
      <c r="M248" s="110">
        <v>0</v>
      </c>
      <c r="N248" s="110">
        <v>0</v>
      </c>
      <c r="O248" s="110">
        <v>0</v>
      </c>
      <c r="P248" s="110">
        <v>0</v>
      </c>
      <c r="Q248" s="110">
        <v>0</v>
      </c>
      <c r="R248" s="110">
        <v>0</v>
      </c>
      <c r="S248" s="110">
        <v>0</v>
      </c>
      <c r="T248" s="110">
        <v>0</v>
      </c>
      <c r="U248" s="110">
        <v>0</v>
      </c>
      <c r="V248" s="110">
        <v>0</v>
      </c>
      <c r="W248" s="110">
        <v>0</v>
      </c>
      <c r="X248" s="110">
        <v>0</v>
      </c>
      <c r="Y248" s="110">
        <v>0</v>
      </c>
      <c r="Z248" s="110">
        <v>0</v>
      </c>
      <c r="AA248" s="110">
        <v>0</v>
      </c>
      <c r="AB248" s="110">
        <v>0</v>
      </c>
      <c r="AC248" s="110">
        <v>0</v>
      </c>
      <c r="AD248" s="110">
        <v>0</v>
      </c>
      <c r="AE248" s="110">
        <v>0</v>
      </c>
      <c r="AF248" s="110">
        <v>0</v>
      </c>
      <c r="AG248" s="110">
        <v>0</v>
      </c>
      <c r="AH248" s="110">
        <v>0</v>
      </c>
      <c r="AI248" s="110">
        <v>0</v>
      </c>
      <c r="AJ248" s="110">
        <v>0</v>
      </c>
      <c r="AK248" s="110">
        <v>0</v>
      </c>
      <c r="AL248" s="110">
        <v>0</v>
      </c>
      <c r="AM248" s="110">
        <v>0</v>
      </c>
      <c r="AN248" s="110">
        <v>0</v>
      </c>
      <c r="AO248" s="110">
        <v>0</v>
      </c>
      <c r="AP248" s="110">
        <v>0</v>
      </c>
      <c r="AQ248" s="110">
        <v>0</v>
      </c>
      <c r="AR248" s="110">
        <v>0</v>
      </c>
      <c r="AS248" s="110">
        <v>0</v>
      </c>
      <c r="AT248" s="110">
        <v>0</v>
      </c>
      <c r="AU248" s="110">
        <v>0</v>
      </c>
      <c r="AV248" s="110">
        <v>0</v>
      </c>
      <c r="AW248" s="110">
        <v>0</v>
      </c>
      <c r="AX248" s="110">
        <v>0</v>
      </c>
      <c r="AY248" s="110">
        <v>0</v>
      </c>
    </row>
    <row r="249" spans="1:51">
      <c r="A249" s="109"/>
      <c r="B249" s="130">
        <v>41</v>
      </c>
      <c r="C249" s="106">
        <v>0</v>
      </c>
      <c r="D249" s="110">
        <v>0</v>
      </c>
      <c r="E249" s="110">
        <v>0</v>
      </c>
      <c r="F249" s="110">
        <v>0</v>
      </c>
      <c r="G249" s="110">
        <v>0</v>
      </c>
      <c r="H249" s="110">
        <v>0</v>
      </c>
      <c r="I249" s="110">
        <v>0</v>
      </c>
      <c r="J249" s="110">
        <v>0</v>
      </c>
      <c r="K249" s="110">
        <v>0</v>
      </c>
      <c r="L249" s="110">
        <v>0</v>
      </c>
      <c r="M249" s="110">
        <v>0</v>
      </c>
      <c r="N249" s="110">
        <v>0</v>
      </c>
      <c r="O249" s="110">
        <v>0</v>
      </c>
      <c r="P249" s="110">
        <v>0</v>
      </c>
      <c r="Q249" s="110">
        <v>0</v>
      </c>
      <c r="R249" s="110">
        <v>0</v>
      </c>
      <c r="S249" s="110">
        <v>0</v>
      </c>
      <c r="T249" s="110">
        <v>0</v>
      </c>
      <c r="U249" s="110">
        <v>0</v>
      </c>
      <c r="V249" s="110">
        <v>0</v>
      </c>
      <c r="W249" s="110">
        <v>0</v>
      </c>
      <c r="X249" s="110">
        <v>0</v>
      </c>
      <c r="Y249" s="110">
        <v>0</v>
      </c>
      <c r="Z249" s="110">
        <v>0</v>
      </c>
      <c r="AA249" s="110">
        <v>0</v>
      </c>
      <c r="AB249" s="110">
        <v>0</v>
      </c>
      <c r="AC249" s="110">
        <v>0</v>
      </c>
      <c r="AD249" s="110">
        <v>0</v>
      </c>
      <c r="AE249" s="110">
        <v>0</v>
      </c>
      <c r="AF249" s="110">
        <v>0</v>
      </c>
      <c r="AG249" s="110">
        <v>0</v>
      </c>
      <c r="AH249" s="110">
        <v>0</v>
      </c>
      <c r="AI249" s="110">
        <v>0</v>
      </c>
      <c r="AJ249" s="110">
        <v>0</v>
      </c>
      <c r="AK249" s="110">
        <v>0</v>
      </c>
      <c r="AL249" s="110">
        <v>0</v>
      </c>
      <c r="AM249" s="110">
        <v>0</v>
      </c>
      <c r="AN249" s="110">
        <v>0</v>
      </c>
      <c r="AO249" s="110">
        <v>0</v>
      </c>
      <c r="AP249" s="110">
        <v>0</v>
      </c>
      <c r="AQ249" s="110">
        <v>0</v>
      </c>
      <c r="AR249" s="110">
        <v>0</v>
      </c>
      <c r="AS249" s="110">
        <v>0</v>
      </c>
      <c r="AT249" s="110">
        <v>0</v>
      </c>
      <c r="AU249" s="110">
        <v>0</v>
      </c>
      <c r="AV249" s="110">
        <v>0</v>
      </c>
      <c r="AW249" s="110">
        <v>0</v>
      </c>
      <c r="AX249" s="110">
        <v>0</v>
      </c>
      <c r="AY249" s="110">
        <v>0</v>
      </c>
    </row>
    <row r="250" spans="1:51">
      <c r="A250" s="109"/>
      <c r="B250" s="130">
        <v>42</v>
      </c>
      <c r="C250" s="106">
        <v>0</v>
      </c>
      <c r="D250" s="110">
        <v>0</v>
      </c>
      <c r="E250" s="110">
        <v>0</v>
      </c>
      <c r="F250" s="110">
        <v>0</v>
      </c>
      <c r="G250" s="110">
        <v>0</v>
      </c>
      <c r="H250" s="110">
        <v>0</v>
      </c>
      <c r="I250" s="110">
        <v>0</v>
      </c>
      <c r="J250" s="110">
        <v>0</v>
      </c>
      <c r="K250" s="110">
        <v>0</v>
      </c>
      <c r="L250" s="110">
        <v>0</v>
      </c>
      <c r="M250" s="110">
        <v>0</v>
      </c>
      <c r="N250" s="110">
        <v>0</v>
      </c>
      <c r="O250" s="110">
        <v>0</v>
      </c>
      <c r="P250" s="110">
        <v>0</v>
      </c>
      <c r="Q250" s="110">
        <v>0</v>
      </c>
      <c r="R250" s="110">
        <v>0</v>
      </c>
      <c r="S250" s="110">
        <v>0</v>
      </c>
      <c r="T250" s="110">
        <v>0</v>
      </c>
      <c r="U250" s="110">
        <v>0</v>
      </c>
      <c r="V250" s="110">
        <v>0</v>
      </c>
      <c r="W250" s="110">
        <v>0</v>
      </c>
      <c r="X250" s="110">
        <v>0</v>
      </c>
      <c r="Y250" s="110">
        <v>0</v>
      </c>
      <c r="Z250" s="110">
        <v>0</v>
      </c>
      <c r="AA250" s="110">
        <v>0</v>
      </c>
      <c r="AB250" s="110">
        <v>0</v>
      </c>
      <c r="AC250" s="110">
        <v>0</v>
      </c>
      <c r="AD250" s="110">
        <v>0</v>
      </c>
      <c r="AE250" s="110">
        <v>0</v>
      </c>
      <c r="AF250" s="110">
        <v>0</v>
      </c>
      <c r="AG250" s="110">
        <v>0</v>
      </c>
      <c r="AH250" s="110">
        <v>0</v>
      </c>
      <c r="AI250" s="110">
        <v>0</v>
      </c>
      <c r="AJ250" s="110">
        <v>0</v>
      </c>
      <c r="AK250" s="110">
        <v>0</v>
      </c>
      <c r="AL250" s="110">
        <v>0</v>
      </c>
      <c r="AM250" s="110">
        <v>0</v>
      </c>
      <c r="AN250" s="110">
        <v>0</v>
      </c>
      <c r="AO250" s="110">
        <v>0</v>
      </c>
      <c r="AP250" s="110">
        <v>0</v>
      </c>
      <c r="AQ250" s="110">
        <v>0</v>
      </c>
      <c r="AR250" s="110">
        <v>0</v>
      </c>
      <c r="AS250" s="110">
        <v>0</v>
      </c>
      <c r="AT250" s="110">
        <v>0</v>
      </c>
      <c r="AU250" s="110">
        <v>0</v>
      </c>
      <c r="AV250" s="110">
        <v>0</v>
      </c>
      <c r="AW250" s="110">
        <v>0</v>
      </c>
      <c r="AX250" s="110">
        <v>0</v>
      </c>
      <c r="AY250" s="110">
        <v>0</v>
      </c>
    </row>
    <row r="251" spans="1:51">
      <c r="A251" s="109"/>
      <c r="B251" s="130">
        <v>43</v>
      </c>
      <c r="C251" s="106">
        <v>0</v>
      </c>
      <c r="D251" s="110">
        <v>0</v>
      </c>
      <c r="E251" s="110">
        <v>0</v>
      </c>
      <c r="F251" s="110">
        <v>0</v>
      </c>
      <c r="G251" s="110">
        <v>0</v>
      </c>
      <c r="H251" s="110">
        <v>0</v>
      </c>
      <c r="I251" s="110">
        <v>0</v>
      </c>
      <c r="J251" s="110">
        <v>0</v>
      </c>
      <c r="K251" s="110">
        <v>0</v>
      </c>
      <c r="L251" s="110">
        <v>0</v>
      </c>
      <c r="M251" s="110">
        <v>0</v>
      </c>
      <c r="N251" s="110">
        <v>0</v>
      </c>
      <c r="O251" s="110">
        <v>0</v>
      </c>
      <c r="P251" s="110">
        <v>0</v>
      </c>
      <c r="Q251" s="110">
        <v>0</v>
      </c>
      <c r="R251" s="110">
        <v>0</v>
      </c>
      <c r="S251" s="110">
        <v>0</v>
      </c>
      <c r="T251" s="110">
        <v>0</v>
      </c>
      <c r="U251" s="110">
        <v>0</v>
      </c>
      <c r="V251" s="110">
        <v>0</v>
      </c>
      <c r="W251" s="110">
        <v>0</v>
      </c>
      <c r="X251" s="110">
        <v>0</v>
      </c>
      <c r="Y251" s="110">
        <v>0</v>
      </c>
      <c r="Z251" s="110">
        <v>0</v>
      </c>
      <c r="AA251" s="110">
        <v>0</v>
      </c>
      <c r="AB251" s="110">
        <v>0</v>
      </c>
      <c r="AC251" s="110">
        <v>0</v>
      </c>
      <c r="AD251" s="110">
        <v>0</v>
      </c>
      <c r="AE251" s="110">
        <v>0</v>
      </c>
      <c r="AF251" s="110">
        <v>0</v>
      </c>
      <c r="AG251" s="110">
        <v>0</v>
      </c>
      <c r="AH251" s="110">
        <v>0</v>
      </c>
      <c r="AI251" s="110">
        <v>0</v>
      </c>
      <c r="AJ251" s="110">
        <v>0</v>
      </c>
      <c r="AK251" s="110">
        <v>0</v>
      </c>
      <c r="AL251" s="110">
        <v>0</v>
      </c>
      <c r="AM251" s="110">
        <v>0</v>
      </c>
      <c r="AN251" s="110">
        <v>0</v>
      </c>
      <c r="AO251" s="110">
        <v>0</v>
      </c>
      <c r="AP251" s="110">
        <v>0</v>
      </c>
      <c r="AQ251" s="110">
        <v>0</v>
      </c>
      <c r="AR251" s="110">
        <v>0</v>
      </c>
      <c r="AS251" s="110">
        <v>0</v>
      </c>
      <c r="AT251" s="110">
        <v>0</v>
      </c>
      <c r="AU251" s="110">
        <v>0</v>
      </c>
      <c r="AV251" s="110">
        <v>0</v>
      </c>
      <c r="AW251" s="110">
        <v>0</v>
      </c>
      <c r="AX251" s="110">
        <v>0</v>
      </c>
      <c r="AY251" s="110">
        <v>0</v>
      </c>
    </row>
    <row r="252" spans="1:51">
      <c r="A252" s="109"/>
      <c r="B252" s="130">
        <v>44</v>
      </c>
      <c r="C252" s="106">
        <v>0</v>
      </c>
      <c r="D252" s="110">
        <v>0</v>
      </c>
      <c r="E252" s="110">
        <v>0</v>
      </c>
      <c r="F252" s="110">
        <v>0</v>
      </c>
      <c r="G252" s="110">
        <v>0</v>
      </c>
      <c r="H252" s="110">
        <v>0</v>
      </c>
      <c r="I252" s="110">
        <v>0</v>
      </c>
      <c r="J252" s="110">
        <v>0</v>
      </c>
      <c r="K252" s="110">
        <v>0</v>
      </c>
      <c r="L252" s="110">
        <v>0</v>
      </c>
      <c r="M252" s="110">
        <v>0</v>
      </c>
      <c r="N252" s="110">
        <v>0</v>
      </c>
      <c r="O252" s="110">
        <v>0</v>
      </c>
      <c r="P252" s="110">
        <v>0</v>
      </c>
      <c r="Q252" s="110">
        <v>0</v>
      </c>
      <c r="R252" s="110">
        <v>0</v>
      </c>
      <c r="S252" s="110">
        <v>0</v>
      </c>
      <c r="T252" s="110">
        <v>0</v>
      </c>
      <c r="U252" s="110">
        <v>0</v>
      </c>
      <c r="V252" s="110">
        <v>0</v>
      </c>
      <c r="W252" s="110">
        <v>0</v>
      </c>
      <c r="X252" s="110">
        <v>0</v>
      </c>
      <c r="Y252" s="110">
        <v>0</v>
      </c>
      <c r="Z252" s="110">
        <v>0</v>
      </c>
      <c r="AA252" s="110">
        <v>0</v>
      </c>
      <c r="AB252" s="110">
        <v>0</v>
      </c>
      <c r="AC252" s="110">
        <v>0</v>
      </c>
      <c r="AD252" s="110">
        <v>0</v>
      </c>
      <c r="AE252" s="110">
        <v>0</v>
      </c>
      <c r="AF252" s="110">
        <v>0</v>
      </c>
      <c r="AG252" s="110">
        <v>0</v>
      </c>
      <c r="AH252" s="110">
        <v>0</v>
      </c>
      <c r="AI252" s="110">
        <v>0</v>
      </c>
      <c r="AJ252" s="110">
        <v>0</v>
      </c>
      <c r="AK252" s="110">
        <v>0</v>
      </c>
      <c r="AL252" s="110">
        <v>0</v>
      </c>
      <c r="AM252" s="110">
        <v>0</v>
      </c>
      <c r="AN252" s="110">
        <v>0</v>
      </c>
      <c r="AO252" s="110">
        <v>0</v>
      </c>
      <c r="AP252" s="110">
        <v>0</v>
      </c>
      <c r="AQ252" s="110">
        <v>0</v>
      </c>
      <c r="AR252" s="110">
        <v>0</v>
      </c>
      <c r="AS252" s="110">
        <v>0</v>
      </c>
      <c r="AT252" s="110">
        <v>0</v>
      </c>
      <c r="AU252" s="110">
        <v>0</v>
      </c>
      <c r="AV252" s="110">
        <v>0</v>
      </c>
      <c r="AW252" s="110">
        <v>0</v>
      </c>
      <c r="AX252" s="110">
        <v>0</v>
      </c>
      <c r="AY252" s="110">
        <v>0</v>
      </c>
    </row>
    <row r="253" spans="1:51">
      <c r="A253" s="109"/>
      <c r="B253" s="130">
        <v>45</v>
      </c>
      <c r="C253" s="106">
        <v>0</v>
      </c>
      <c r="D253" s="110">
        <v>0</v>
      </c>
      <c r="E253" s="110">
        <v>0</v>
      </c>
      <c r="F253" s="110">
        <v>0</v>
      </c>
      <c r="G253" s="110">
        <v>0</v>
      </c>
      <c r="H253" s="110">
        <v>0</v>
      </c>
      <c r="I253" s="110">
        <v>0</v>
      </c>
      <c r="J253" s="110">
        <v>0</v>
      </c>
      <c r="K253" s="110">
        <v>0</v>
      </c>
      <c r="L253" s="110">
        <v>0</v>
      </c>
      <c r="M253" s="110">
        <v>0</v>
      </c>
      <c r="N253" s="110">
        <v>0</v>
      </c>
      <c r="O253" s="110">
        <v>0</v>
      </c>
      <c r="P253" s="110">
        <v>0</v>
      </c>
      <c r="Q253" s="110">
        <v>0</v>
      </c>
      <c r="R253" s="110">
        <v>0</v>
      </c>
      <c r="S253" s="110">
        <v>0</v>
      </c>
      <c r="T253" s="110">
        <v>0</v>
      </c>
      <c r="U253" s="110">
        <v>0</v>
      </c>
      <c r="V253" s="110">
        <v>0</v>
      </c>
      <c r="W253" s="110">
        <v>0</v>
      </c>
      <c r="X253" s="110">
        <v>0</v>
      </c>
      <c r="Y253" s="110">
        <v>0</v>
      </c>
      <c r="Z253" s="110">
        <v>0</v>
      </c>
      <c r="AA253" s="110">
        <v>0</v>
      </c>
      <c r="AB253" s="110">
        <v>0</v>
      </c>
      <c r="AC253" s="110">
        <v>0</v>
      </c>
      <c r="AD253" s="110">
        <v>0</v>
      </c>
      <c r="AE253" s="110">
        <v>0</v>
      </c>
      <c r="AF253" s="110">
        <v>0</v>
      </c>
      <c r="AG253" s="110">
        <v>0</v>
      </c>
      <c r="AH253" s="110">
        <v>0</v>
      </c>
      <c r="AI253" s="110">
        <v>0</v>
      </c>
      <c r="AJ253" s="110">
        <v>0</v>
      </c>
      <c r="AK253" s="110">
        <v>0</v>
      </c>
      <c r="AL253" s="110">
        <v>0</v>
      </c>
      <c r="AM253" s="110">
        <v>0</v>
      </c>
      <c r="AN253" s="110">
        <v>0</v>
      </c>
      <c r="AO253" s="110">
        <v>0</v>
      </c>
      <c r="AP253" s="110">
        <v>0</v>
      </c>
      <c r="AQ253" s="110">
        <v>0</v>
      </c>
      <c r="AR253" s="110">
        <v>0</v>
      </c>
      <c r="AS253" s="110">
        <v>0</v>
      </c>
      <c r="AT253" s="110">
        <v>0</v>
      </c>
      <c r="AU253" s="110">
        <v>0</v>
      </c>
      <c r="AV253" s="110">
        <v>0</v>
      </c>
      <c r="AW253" s="110">
        <v>0</v>
      </c>
      <c r="AX253" s="110">
        <v>0</v>
      </c>
      <c r="AY253" s="110">
        <v>0</v>
      </c>
    </row>
    <row r="254" spans="1:51">
      <c r="A254" s="109"/>
      <c r="B254" s="130">
        <v>46</v>
      </c>
      <c r="C254" s="106">
        <v>0</v>
      </c>
      <c r="D254" s="110">
        <v>0</v>
      </c>
      <c r="E254" s="110">
        <v>0</v>
      </c>
      <c r="F254" s="110">
        <v>0</v>
      </c>
      <c r="G254" s="110">
        <v>0</v>
      </c>
      <c r="H254" s="110">
        <v>0</v>
      </c>
      <c r="I254" s="110">
        <v>0</v>
      </c>
      <c r="J254" s="110">
        <v>0</v>
      </c>
      <c r="K254" s="110">
        <v>0</v>
      </c>
      <c r="L254" s="110">
        <v>0</v>
      </c>
      <c r="M254" s="110">
        <v>0</v>
      </c>
      <c r="N254" s="110">
        <v>0</v>
      </c>
      <c r="O254" s="110">
        <v>0</v>
      </c>
      <c r="P254" s="110">
        <v>0</v>
      </c>
      <c r="Q254" s="110">
        <v>0</v>
      </c>
      <c r="R254" s="110">
        <v>0</v>
      </c>
      <c r="S254" s="110">
        <v>0</v>
      </c>
      <c r="T254" s="110">
        <v>0</v>
      </c>
      <c r="U254" s="110">
        <v>0</v>
      </c>
      <c r="V254" s="110">
        <v>0</v>
      </c>
      <c r="W254" s="110">
        <v>0</v>
      </c>
      <c r="X254" s="110">
        <v>0</v>
      </c>
      <c r="Y254" s="110">
        <v>0</v>
      </c>
      <c r="Z254" s="110">
        <v>0</v>
      </c>
      <c r="AA254" s="110">
        <v>0</v>
      </c>
      <c r="AB254" s="110">
        <v>0</v>
      </c>
      <c r="AC254" s="110">
        <v>0</v>
      </c>
      <c r="AD254" s="110">
        <v>0</v>
      </c>
      <c r="AE254" s="110">
        <v>0</v>
      </c>
      <c r="AF254" s="110">
        <v>0</v>
      </c>
      <c r="AG254" s="110">
        <v>0</v>
      </c>
      <c r="AH254" s="110">
        <v>0</v>
      </c>
      <c r="AI254" s="110">
        <v>0</v>
      </c>
      <c r="AJ254" s="110">
        <v>0</v>
      </c>
      <c r="AK254" s="110">
        <v>0</v>
      </c>
      <c r="AL254" s="110">
        <v>0</v>
      </c>
      <c r="AM254" s="110">
        <v>0</v>
      </c>
      <c r="AN254" s="110">
        <v>0</v>
      </c>
      <c r="AO254" s="110">
        <v>0</v>
      </c>
      <c r="AP254" s="110">
        <v>0</v>
      </c>
      <c r="AQ254" s="110">
        <v>0</v>
      </c>
      <c r="AR254" s="110">
        <v>0</v>
      </c>
      <c r="AS254" s="110">
        <v>0</v>
      </c>
      <c r="AT254" s="110">
        <v>0</v>
      </c>
      <c r="AU254" s="110">
        <v>0</v>
      </c>
      <c r="AV254" s="110">
        <v>0</v>
      </c>
      <c r="AW254" s="110">
        <v>0</v>
      </c>
      <c r="AX254" s="110">
        <v>0</v>
      </c>
      <c r="AY254" s="110">
        <v>0</v>
      </c>
    </row>
    <row r="255" spans="1:51">
      <c r="A255" s="109"/>
      <c r="B255" s="130">
        <v>47</v>
      </c>
      <c r="C255" s="106">
        <v>0</v>
      </c>
      <c r="D255" s="110">
        <v>0</v>
      </c>
      <c r="E255" s="110">
        <v>0</v>
      </c>
      <c r="F255" s="110">
        <v>0</v>
      </c>
      <c r="G255" s="110">
        <v>0</v>
      </c>
      <c r="H255" s="110">
        <v>0</v>
      </c>
      <c r="I255" s="110">
        <v>0</v>
      </c>
      <c r="J255" s="110">
        <v>0</v>
      </c>
      <c r="K255" s="110">
        <v>0</v>
      </c>
      <c r="L255" s="110">
        <v>0</v>
      </c>
      <c r="M255" s="110">
        <v>0</v>
      </c>
      <c r="N255" s="110">
        <v>0</v>
      </c>
      <c r="O255" s="110">
        <v>0</v>
      </c>
      <c r="P255" s="110">
        <v>0</v>
      </c>
      <c r="Q255" s="110">
        <v>0</v>
      </c>
      <c r="R255" s="110">
        <v>0</v>
      </c>
      <c r="S255" s="110">
        <v>0</v>
      </c>
      <c r="T255" s="110">
        <v>0</v>
      </c>
      <c r="U255" s="110">
        <v>0</v>
      </c>
      <c r="V255" s="110">
        <v>0</v>
      </c>
      <c r="W255" s="110">
        <v>0</v>
      </c>
      <c r="X255" s="110">
        <v>0</v>
      </c>
      <c r="Y255" s="110">
        <v>0</v>
      </c>
      <c r="Z255" s="110">
        <v>0</v>
      </c>
      <c r="AA255" s="110">
        <v>0</v>
      </c>
      <c r="AB255" s="110">
        <v>0</v>
      </c>
      <c r="AC255" s="110">
        <v>0</v>
      </c>
      <c r="AD255" s="110">
        <v>0</v>
      </c>
      <c r="AE255" s="110">
        <v>0</v>
      </c>
      <c r="AF255" s="110">
        <v>0</v>
      </c>
      <c r="AG255" s="110">
        <v>0</v>
      </c>
      <c r="AH255" s="110">
        <v>0</v>
      </c>
      <c r="AI255" s="110">
        <v>0</v>
      </c>
      <c r="AJ255" s="110">
        <v>0</v>
      </c>
      <c r="AK255" s="110">
        <v>0</v>
      </c>
      <c r="AL255" s="110">
        <v>0</v>
      </c>
      <c r="AM255" s="110">
        <v>0</v>
      </c>
      <c r="AN255" s="110">
        <v>0</v>
      </c>
      <c r="AO255" s="110">
        <v>0</v>
      </c>
      <c r="AP255" s="110">
        <v>0</v>
      </c>
      <c r="AQ255" s="110">
        <v>0</v>
      </c>
      <c r="AR255" s="110">
        <v>0</v>
      </c>
      <c r="AS255" s="110">
        <v>0</v>
      </c>
      <c r="AT255" s="110">
        <v>0</v>
      </c>
      <c r="AU255" s="110">
        <v>0</v>
      </c>
      <c r="AV255" s="110">
        <v>0</v>
      </c>
      <c r="AW255" s="110">
        <v>0</v>
      </c>
      <c r="AX255" s="110">
        <v>0</v>
      </c>
      <c r="AY255" s="110">
        <v>0</v>
      </c>
    </row>
    <row r="256" spans="1:51">
      <c r="A256" s="128"/>
      <c r="B256" s="129">
        <v>48</v>
      </c>
      <c r="C256" s="114">
        <v>0</v>
      </c>
      <c r="D256" s="125">
        <v>0</v>
      </c>
      <c r="E256" s="125">
        <v>0</v>
      </c>
      <c r="F256" s="125">
        <v>0</v>
      </c>
      <c r="G256" s="125">
        <v>0</v>
      </c>
      <c r="H256" s="125">
        <v>0</v>
      </c>
      <c r="I256" s="125">
        <v>0</v>
      </c>
      <c r="J256" s="125">
        <v>0</v>
      </c>
      <c r="K256" s="125">
        <v>0</v>
      </c>
      <c r="L256" s="125">
        <v>0</v>
      </c>
      <c r="M256" s="125">
        <v>0</v>
      </c>
      <c r="N256" s="125">
        <v>0</v>
      </c>
      <c r="O256" s="125">
        <v>0</v>
      </c>
      <c r="P256" s="125">
        <v>0</v>
      </c>
      <c r="Q256" s="125">
        <v>0</v>
      </c>
      <c r="R256" s="125">
        <v>0</v>
      </c>
      <c r="S256" s="125">
        <v>0</v>
      </c>
      <c r="T256" s="125">
        <v>0</v>
      </c>
      <c r="U256" s="125">
        <v>0</v>
      </c>
      <c r="V256" s="125">
        <v>0</v>
      </c>
      <c r="W256" s="125">
        <v>0</v>
      </c>
      <c r="X256" s="125">
        <v>0</v>
      </c>
      <c r="Y256" s="125">
        <v>0</v>
      </c>
      <c r="Z256" s="125">
        <v>0</v>
      </c>
      <c r="AA256" s="125">
        <v>0</v>
      </c>
      <c r="AB256" s="125">
        <v>0</v>
      </c>
      <c r="AC256" s="125">
        <v>0</v>
      </c>
      <c r="AD256" s="125">
        <v>0</v>
      </c>
      <c r="AE256" s="125">
        <v>0</v>
      </c>
      <c r="AF256" s="125">
        <v>0</v>
      </c>
      <c r="AG256" s="125">
        <v>0</v>
      </c>
      <c r="AH256" s="125">
        <v>0</v>
      </c>
      <c r="AI256" s="125">
        <v>0</v>
      </c>
      <c r="AJ256" s="125">
        <v>0</v>
      </c>
      <c r="AK256" s="125">
        <v>0</v>
      </c>
      <c r="AL256" s="125">
        <v>0</v>
      </c>
      <c r="AM256" s="125">
        <v>0</v>
      </c>
      <c r="AN256" s="125">
        <v>0</v>
      </c>
      <c r="AO256" s="125">
        <v>0</v>
      </c>
      <c r="AP256" s="125">
        <v>0</v>
      </c>
      <c r="AQ256" s="125">
        <v>0</v>
      </c>
      <c r="AR256" s="125">
        <v>0</v>
      </c>
      <c r="AS256" s="125">
        <v>0</v>
      </c>
      <c r="AT256" s="125">
        <v>0</v>
      </c>
      <c r="AU256" s="125">
        <v>0</v>
      </c>
      <c r="AV256" s="125">
        <v>0</v>
      </c>
      <c r="AW256" s="125">
        <v>0</v>
      </c>
      <c r="AX256" s="125">
        <v>0</v>
      </c>
      <c r="AY256" s="125">
        <v>0</v>
      </c>
    </row>
    <row r="258" spans="1:52">
      <c r="A258" s="102" t="s">
        <v>301</v>
      </c>
    </row>
    <row r="259" spans="1:52">
      <c r="A259" s="137" t="s">
        <v>124</v>
      </c>
      <c r="B259" s="138">
        <v>650</v>
      </c>
      <c r="C259" s="124" t="s">
        <v>293</v>
      </c>
      <c r="D259" s="124">
        <f>E$14*$B$259</f>
        <v>27504.680700295186</v>
      </c>
      <c r="E259" s="124">
        <f t="shared" ref="E259:AX259" si="5">F$14*$B$259</f>
        <v>47856.428763117685</v>
      </c>
      <c r="F259" s="124">
        <f t="shared" si="5"/>
        <v>77753.738670937106</v>
      </c>
      <c r="G259" s="124">
        <f t="shared" si="5"/>
        <v>45183.558110862599</v>
      </c>
      <c r="H259" s="124">
        <f t="shared" si="5"/>
        <v>2520.6961880653303</v>
      </c>
      <c r="I259" s="124">
        <f t="shared" si="5"/>
        <v>46770.064187309188</v>
      </c>
      <c r="J259" s="124">
        <f t="shared" si="5"/>
        <v>46770.064187309188</v>
      </c>
      <c r="K259" s="124">
        <f t="shared" si="5"/>
        <v>76289.85058590211</v>
      </c>
      <c r="L259" s="124">
        <f t="shared" si="5"/>
        <v>90665.343807958969</v>
      </c>
      <c r="M259" s="124">
        <f t="shared" si="5"/>
        <v>48585.535156657839</v>
      </c>
      <c r="N259" s="124">
        <f t="shared" si="5"/>
        <v>70663.007317539508</v>
      </c>
      <c r="O259" s="124">
        <f t="shared" si="5"/>
        <v>57750.049690588523</v>
      </c>
      <c r="P259" s="124">
        <f t="shared" si="5"/>
        <v>60322.460571435651</v>
      </c>
      <c r="Q259" s="124">
        <f t="shared" si="5"/>
        <v>63599.464465255856</v>
      </c>
      <c r="R259" s="124">
        <f t="shared" si="5"/>
        <v>65014.144994379152</v>
      </c>
      <c r="S259" s="124">
        <f t="shared" si="5"/>
        <v>67314.317214989816</v>
      </c>
      <c r="T259" s="124">
        <f t="shared" si="5"/>
        <v>31099.785414046826</v>
      </c>
      <c r="U259" s="124">
        <f t="shared" si="5"/>
        <v>69643.625003035209</v>
      </c>
      <c r="V259" s="124">
        <f t="shared" si="5"/>
        <v>63578.319581138167</v>
      </c>
      <c r="W259" s="124">
        <f t="shared" si="5"/>
        <v>36707.422995308872</v>
      </c>
      <c r="X259" s="124">
        <f t="shared" si="5"/>
        <v>49813.223374923939</v>
      </c>
      <c r="Y259" s="124">
        <f t="shared" si="5"/>
        <v>46770.064187309188</v>
      </c>
      <c r="Z259" s="124">
        <f t="shared" si="5"/>
        <v>52650.967646643694</v>
      </c>
      <c r="AA259" s="124">
        <f t="shared" si="5"/>
        <v>50159.273931797943</v>
      </c>
      <c r="AB259" s="124">
        <f t="shared" si="5"/>
        <v>23896.503371583163</v>
      </c>
      <c r="AC259" s="124">
        <f t="shared" si="5"/>
        <v>46770.064187309188</v>
      </c>
      <c r="AD259" s="124">
        <f t="shared" si="5"/>
        <v>77532.174739373906</v>
      </c>
      <c r="AE259" s="124">
        <f t="shared" si="5"/>
        <v>81982.302963115304</v>
      </c>
      <c r="AF259" s="124">
        <f t="shared" si="5"/>
        <v>38827.585312487332</v>
      </c>
      <c r="AG259" s="124">
        <f t="shared" si="5"/>
        <v>70663.007317539508</v>
      </c>
      <c r="AH259" s="124">
        <f t="shared" si="5"/>
        <v>20710.232177051697</v>
      </c>
      <c r="AI259" s="124">
        <f t="shared" si="5"/>
        <v>74422.075974674604</v>
      </c>
      <c r="AJ259" s="124">
        <f t="shared" si="5"/>
        <v>61011.26282910203</v>
      </c>
      <c r="AK259" s="124">
        <f t="shared" si="5"/>
        <v>46662.482992644866</v>
      </c>
      <c r="AL259" s="124">
        <f t="shared" si="5"/>
        <v>11037.765523647571</v>
      </c>
      <c r="AM259" s="124">
        <f t="shared" si="5"/>
        <v>40514.309876653868</v>
      </c>
      <c r="AN259" s="124">
        <f t="shared" si="5"/>
        <v>71242.176312182768</v>
      </c>
      <c r="AO259" s="124">
        <f t="shared" si="5"/>
        <v>77120.348110077452</v>
      </c>
      <c r="AP259" s="124">
        <f t="shared" si="5"/>
        <v>45192.989570367412</v>
      </c>
      <c r="AQ259" s="124">
        <f t="shared" si="5"/>
        <v>47789.44650181348</v>
      </c>
      <c r="AR259" s="124">
        <f t="shared" si="5"/>
        <v>69643.625003035209</v>
      </c>
      <c r="AS259" s="124">
        <f t="shared" si="5"/>
        <v>30190.2777906888</v>
      </c>
      <c r="AT259" s="124">
        <f t="shared" si="5"/>
        <v>70663.007317539508</v>
      </c>
      <c r="AU259" s="124">
        <f t="shared" si="5"/>
        <v>32235.992154954954</v>
      </c>
      <c r="AV259" s="124">
        <f t="shared" si="5"/>
        <v>22877.121057078879</v>
      </c>
      <c r="AW259" s="124">
        <f t="shared" si="5"/>
        <v>47789.44650181348</v>
      </c>
      <c r="AX259" s="124">
        <f t="shared" si="5"/>
        <v>46770.064187309188</v>
      </c>
      <c r="AY259" s="124">
        <f>AZ$14*$B$259</f>
        <v>69643.625003035209</v>
      </c>
      <c r="AZ259" s="139">
        <f>SUM($D259:$AY259)</f>
        <v>2520173.9735218869</v>
      </c>
    </row>
    <row r="260" spans="1:52">
      <c r="A260" s="140" t="s">
        <v>302</v>
      </c>
      <c r="B260" s="114">
        <v>60</v>
      </c>
      <c r="C260" s="125" t="s">
        <v>293</v>
      </c>
      <c r="D260" s="125">
        <f>(D$175-D$176+D$177-D$178+D$179-D$180+D$181-D$182)*$B$260</f>
        <v>5455.5610884701127</v>
      </c>
      <c r="E260" s="125">
        <f t="shared" ref="E260:AY260" si="6">(E$175-E$176+E$177-E$178+E$179-E$180+E$181-E$182)*$B$260</f>
        <v>6775.2911985128267</v>
      </c>
      <c r="F260" s="125">
        <f t="shared" si="6"/>
        <v>14102.072281075272</v>
      </c>
      <c r="G260" s="125">
        <f t="shared" si="6"/>
        <v>5461.4526138739839</v>
      </c>
      <c r="H260" s="125">
        <f t="shared" si="6"/>
        <v>4060.1004039310155</v>
      </c>
      <c r="I260" s="125">
        <f t="shared" si="6"/>
        <v>5175.3131265272168</v>
      </c>
      <c r="J260" s="125">
        <f t="shared" si="6"/>
        <v>6033.1215112009886</v>
      </c>
      <c r="K260" s="125">
        <f t="shared" si="6"/>
        <v>13909.614717362878</v>
      </c>
      <c r="L260" s="125">
        <f t="shared" si="6"/>
        <v>21602.166797106071</v>
      </c>
      <c r="M260" s="125">
        <f t="shared" si="6"/>
        <v>11478.637365674153</v>
      </c>
      <c r="N260" s="125">
        <f t="shared" si="6"/>
        <v>17320.237543371983</v>
      </c>
      <c r="O260" s="125">
        <f t="shared" si="6"/>
        <v>15074.126430468797</v>
      </c>
      <c r="P260" s="125">
        <f t="shared" si="6"/>
        <v>15253.909812603764</v>
      </c>
      <c r="Q260" s="125">
        <f t="shared" si="6"/>
        <v>12428.653839695071</v>
      </c>
      <c r="R260" s="125">
        <f t="shared" si="6"/>
        <v>13615.304638912241</v>
      </c>
      <c r="S260" s="125">
        <f t="shared" si="6"/>
        <v>8060.2177435305821</v>
      </c>
      <c r="T260" s="125">
        <f t="shared" si="6"/>
        <v>2695.0165894273773</v>
      </c>
      <c r="U260" s="125">
        <f t="shared" si="6"/>
        <v>10688.390711054431</v>
      </c>
      <c r="V260" s="125">
        <f t="shared" si="6"/>
        <v>10825.501751904252</v>
      </c>
      <c r="W260" s="125">
        <f t="shared" si="6"/>
        <v>6358.2062733385865</v>
      </c>
      <c r="X260" s="125">
        <f t="shared" si="6"/>
        <v>3582.5174999329502</v>
      </c>
      <c r="Y260" s="125">
        <f t="shared" si="6"/>
        <v>4043.6305622156779</v>
      </c>
      <c r="Z260" s="125">
        <f t="shared" si="6"/>
        <v>4672.6187042219881</v>
      </c>
      <c r="AA260" s="125">
        <f t="shared" si="6"/>
        <v>2208.4688832959496</v>
      </c>
      <c r="AB260" s="125">
        <f t="shared" si="6"/>
        <v>568.70706699965524</v>
      </c>
      <c r="AC260" s="125">
        <f t="shared" si="6"/>
        <v>1779.671013689368</v>
      </c>
      <c r="AD260" s="125">
        <f t="shared" si="6"/>
        <v>7288.7929974789386</v>
      </c>
      <c r="AE260" s="125">
        <f t="shared" si="6"/>
        <v>16989.278937436484</v>
      </c>
      <c r="AF260" s="125">
        <f t="shared" si="6"/>
        <v>11352.337800516156</v>
      </c>
      <c r="AG260" s="125">
        <f t="shared" si="6"/>
        <v>22353.204146444401</v>
      </c>
      <c r="AH260" s="125">
        <f t="shared" si="6"/>
        <v>5620.9388404931387</v>
      </c>
      <c r="AI260" s="125">
        <f t="shared" si="6"/>
        <v>11138.578759244849</v>
      </c>
      <c r="AJ260" s="125">
        <f t="shared" si="6"/>
        <v>15198.125929432554</v>
      </c>
      <c r="AK260" s="125">
        <f t="shared" si="6"/>
        <v>5811.3863420483685</v>
      </c>
      <c r="AL260" s="125">
        <f t="shared" si="6"/>
        <v>240</v>
      </c>
      <c r="AM260" s="125">
        <f t="shared" si="6"/>
        <v>150.051703284729</v>
      </c>
      <c r="AN260" s="125">
        <f t="shared" si="6"/>
        <v>6245.0500696914005</v>
      </c>
      <c r="AO260" s="125">
        <f t="shared" si="6"/>
        <v>14061.970280895721</v>
      </c>
      <c r="AP260" s="125">
        <f t="shared" si="6"/>
        <v>6087.0777802299353</v>
      </c>
      <c r="AQ260" s="125">
        <f t="shared" si="6"/>
        <v>6802.8894076910674</v>
      </c>
      <c r="AR260" s="125">
        <f t="shared" si="6"/>
        <v>11656.847629727357</v>
      </c>
      <c r="AS260" s="125">
        <f t="shared" si="6"/>
        <v>8438.7141871729564</v>
      </c>
      <c r="AT260" s="125">
        <f t="shared" si="6"/>
        <v>9702.2906080121029</v>
      </c>
      <c r="AU260" s="125">
        <f t="shared" si="6"/>
        <v>6435.8783105715165</v>
      </c>
      <c r="AV260" s="125">
        <f t="shared" si="6"/>
        <v>4378.3711991318351</v>
      </c>
      <c r="AW260" s="125">
        <f t="shared" si="6"/>
        <v>0</v>
      </c>
      <c r="AX260" s="125">
        <f t="shared" si="6"/>
        <v>612.41007765180598</v>
      </c>
      <c r="AY260" s="125">
        <f t="shared" si="6"/>
        <v>3094.7228359351225</v>
      </c>
      <c r="AZ260" s="141">
        <f>SUM($D260:$AY260)</f>
        <v>396887.42801148765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260"/>
  <sheetViews>
    <sheetView workbookViewId="0">
      <pane xSplit="2" ySplit="7" topLeftCell="C166" activePane="bottomRight" state="frozen"/>
      <selection pane="topRight"/>
      <selection pane="bottomLeft"/>
      <selection pane="bottomRight" activeCell="C185" sqref="C185:C256"/>
    </sheetView>
  </sheetViews>
  <sheetFormatPr baseColWidth="10" defaultColWidth="8.83203125" defaultRowHeight="12" x14ac:dyDescent="0"/>
  <cols>
    <col min="1" max="1" width="14.6640625" style="100" customWidth="1"/>
    <col min="2" max="2" width="12.6640625" style="100" customWidth="1"/>
    <col min="3" max="16384" width="8.83203125" style="100"/>
  </cols>
  <sheetData>
    <row r="1" spans="1:53">
      <c r="A1" s="102" t="s">
        <v>284</v>
      </c>
    </row>
    <row r="2" spans="1:53">
      <c r="A2" s="100" t="s">
        <v>285</v>
      </c>
      <c r="B2" s="107" t="s">
        <v>46</v>
      </c>
    </row>
    <row r="3" spans="1:53">
      <c r="A3" s="100" t="s">
        <v>286</v>
      </c>
      <c r="B3" s="108">
        <v>1250</v>
      </c>
      <c r="C3" s="109"/>
    </row>
    <row r="4" spans="1:53">
      <c r="B4" s="110"/>
      <c r="C4" s="110"/>
    </row>
    <row r="5" spans="1:53">
      <c r="C5" s="111" t="s">
        <v>287</v>
      </c>
    </row>
    <row r="6" spans="1:53">
      <c r="C6" s="112">
        <v>0</v>
      </c>
      <c r="D6" s="112">
        <v>1</v>
      </c>
      <c r="E6" s="112">
        <v>2</v>
      </c>
      <c r="F6" s="112">
        <v>3</v>
      </c>
      <c r="G6" s="112">
        <v>4</v>
      </c>
      <c r="H6" s="112">
        <v>5</v>
      </c>
      <c r="I6" s="112">
        <v>6</v>
      </c>
      <c r="J6" s="112">
        <v>7</v>
      </c>
      <c r="K6" s="112">
        <v>8</v>
      </c>
      <c r="L6" s="112">
        <v>9</v>
      </c>
      <c r="M6" s="112">
        <v>10</v>
      </c>
      <c r="N6" s="112">
        <v>11</v>
      </c>
      <c r="O6" s="112">
        <v>12</v>
      </c>
      <c r="P6" s="112">
        <v>13</v>
      </c>
      <c r="Q6" s="112">
        <v>14</v>
      </c>
      <c r="R6" s="112">
        <v>15</v>
      </c>
      <c r="S6" s="112">
        <v>16</v>
      </c>
      <c r="T6" s="112">
        <v>17</v>
      </c>
      <c r="U6" s="112">
        <v>18</v>
      </c>
      <c r="V6" s="112">
        <v>19</v>
      </c>
      <c r="W6" s="112">
        <v>20</v>
      </c>
      <c r="X6" s="112">
        <v>21</v>
      </c>
      <c r="Y6" s="112">
        <v>22</v>
      </c>
      <c r="Z6" s="112">
        <v>23</v>
      </c>
      <c r="AA6" s="112">
        <v>24</v>
      </c>
      <c r="AB6" s="112">
        <v>25</v>
      </c>
      <c r="AC6" s="112">
        <v>26</v>
      </c>
      <c r="AD6" s="112">
        <v>27</v>
      </c>
      <c r="AE6" s="112">
        <v>28</v>
      </c>
      <c r="AF6" s="112">
        <v>29</v>
      </c>
      <c r="AG6" s="112">
        <v>30</v>
      </c>
      <c r="AH6" s="112">
        <v>31</v>
      </c>
      <c r="AI6" s="112">
        <v>32</v>
      </c>
      <c r="AJ6" s="112">
        <v>33</v>
      </c>
      <c r="AK6" s="112">
        <v>34</v>
      </c>
      <c r="AL6" s="112">
        <v>35</v>
      </c>
      <c r="AM6" s="112">
        <v>36</v>
      </c>
      <c r="AN6" s="112">
        <v>37</v>
      </c>
      <c r="AO6" s="112">
        <v>38</v>
      </c>
      <c r="AP6" s="112">
        <v>39</v>
      </c>
      <c r="AQ6" s="112">
        <v>40</v>
      </c>
      <c r="AR6" s="112">
        <v>41</v>
      </c>
      <c r="AS6" s="112">
        <v>42</v>
      </c>
      <c r="AT6" s="112">
        <v>43</v>
      </c>
      <c r="AU6" s="112">
        <v>44</v>
      </c>
      <c r="AV6" s="112">
        <v>45</v>
      </c>
      <c r="AW6" s="112">
        <v>46</v>
      </c>
      <c r="AX6" s="112">
        <v>47</v>
      </c>
      <c r="AY6" s="112">
        <v>48</v>
      </c>
    </row>
    <row r="7" spans="1:53">
      <c r="B7" s="110"/>
      <c r="C7" s="113" t="s">
        <v>288</v>
      </c>
      <c r="D7" s="112" t="s">
        <v>289</v>
      </c>
      <c r="E7" s="112" t="s">
        <v>289</v>
      </c>
      <c r="F7" s="112" t="s">
        <v>289</v>
      </c>
      <c r="G7" s="112" t="s">
        <v>289</v>
      </c>
      <c r="H7" s="112" t="s">
        <v>289</v>
      </c>
      <c r="I7" s="112" t="s">
        <v>289</v>
      </c>
      <c r="J7" s="112" t="s">
        <v>289</v>
      </c>
      <c r="K7" s="112" t="s">
        <v>289</v>
      </c>
      <c r="L7" s="112" t="s">
        <v>289</v>
      </c>
      <c r="M7" s="112" t="s">
        <v>289</v>
      </c>
      <c r="N7" s="112" t="s">
        <v>289</v>
      </c>
      <c r="O7" s="112" t="s">
        <v>289</v>
      </c>
      <c r="P7" s="112" t="s">
        <v>289</v>
      </c>
      <c r="Q7" s="112" t="s">
        <v>289</v>
      </c>
      <c r="R7" s="112" t="s">
        <v>289</v>
      </c>
      <c r="S7" s="112" t="s">
        <v>289</v>
      </c>
      <c r="T7" s="112" t="s">
        <v>289</v>
      </c>
      <c r="U7" s="112" t="s">
        <v>289</v>
      </c>
      <c r="V7" s="112" t="s">
        <v>289</v>
      </c>
      <c r="W7" s="112" t="s">
        <v>289</v>
      </c>
      <c r="X7" s="112" t="s">
        <v>289</v>
      </c>
      <c r="Y7" s="112" t="s">
        <v>289</v>
      </c>
      <c r="Z7" s="112" t="s">
        <v>289</v>
      </c>
      <c r="AA7" s="112" t="s">
        <v>289</v>
      </c>
      <c r="AB7" s="112" t="s">
        <v>289</v>
      </c>
      <c r="AC7" s="112" t="s">
        <v>289</v>
      </c>
      <c r="AD7" s="112" t="s">
        <v>289</v>
      </c>
      <c r="AE7" s="112" t="s">
        <v>289</v>
      </c>
      <c r="AF7" s="112" t="s">
        <v>289</v>
      </c>
      <c r="AG7" s="112" t="s">
        <v>289</v>
      </c>
      <c r="AH7" s="112" t="s">
        <v>289</v>
      </c>
      <c r="AI7" s="112" t="s">
        <v>289</v>
      </c>
      <c r="AJ7" s="112" t="s">
        <v>289</v>
      </c>
      <c r="AK7" s="112" t="s">
        <v>289</v>
      </c>
      <c r="AL7" s="112" t="s">
        <v>289</v>
      </c>
      <c r="AM7" s="112" t="s">
        <v>289</v>
      </c>
      <c r="AN7" s="112" t="s">
        <v>289</v>
      </c>
      <c r="AO7" s="112" t="s">
        <v>289</v>
      </c>
      <c r="AP7" s="112" t="s">
        <v>289</v>
      </c>
      <c r="AQ7" s="112" t="s">
        <v>289</v>
      </c>
      <c r="AR7" s="112" t="s">
        <v>289</v>
      </c>
      <c r="AS7" s="112" t="s">
        <v>289</v>
      </c>
      <c r="AT7" s="112" t="s">
        <v>289</v>
      </c>
      <c r="AU7" s="112" t="s">
        <v>289</v>
      </c>
      <c r="AV7" s="112" t="s">
        <v>289</v>
      </c>
      <c r="AW7" s="112" t="s">
        <v>289</v>
      </c>
      <c r="AX7" s="112" t="s">
        <v>289</v>
      </c>
      <c r="AY7" s="111" t="s">
        <v>290</v>
      </c>
      <c r="AZ7" s="111" t="s">
        <v>291</v>
      </c>
    </row>
    <row r="8" spans="1:53">
      <c r="A8" s="102" t="s">
        <v>292</v>
      </c>
      <c r="B8" s="114"/>
      <c r="AY8" s="110"/>
    </row>
    <row r="9" spans="1:53">
      <c r="A9" s="115" t="s">
        <v>125</v>
      </c>
      <c r="B9" s="116">
        <v>1</v>
      </c>
      <c r="C9" s="117" t="s">
        <v>293</v>
      </c>
      <c r="D9" s="117">
        <v>190</v>
      </c>
      <c r="E9" s="117">
        <v>190</v>
      </c>
      <c r="F9" s="117">
        <v>190</v>
      </c>
      <c r="G9" s="117">
        <v>190</v>
      </c>
      <c r="H9" s="117">
        <v>190</v>
      </c>
      <c r="I9" s="117">
        <v>190</v>
      </c>
      <c r="J9" s="117">
        <v>190</v>
      </c>
      <c r="K9" s="117">
        <v>190</v>
      </c>
      <c r="L9" s="117">
        <v>190</v>
      </c>
      <c r="M9" s="117">
        <v>190</v>
      </c>
      <c r="N9" s="117">
        <v>190</v>
      </c>
      <c r="O9" s="117">
        <v>190</v>
      </c>
      <c r="P9" s="117">
        <v>190</v>
      </c>
      <c r="Q9" s="117">
        <v>190</v>
      </c>
      <c r="R9" s="117">
        <v>190</v>
      </c>
      <c r="S9" s="117">
        <v>190</v>
      </c>
      <c r="T9" s="117">
        <v>190</v>
      </c>
      <c r="U9" s="117">
        <v>190</v>
      </c>
      <c r="V9" s="117">
        <v>190</v>
      </c>
      <c r="W9" s="117">
        <v>190</v>
      </c>
      <c r="X9" s="117">
        <v>190</v>
      </c>
      <c r="Y9" s="117">
        <v>190</v>
      </c>
      <c r="Z9" s="117">
        <v>190</v>
      </c>
      <c r="AA9" s="117">
        <v>190</v>
      </c>
      <c r="AB9" s="117">
        <v>190</v>
      </c>
      <c r="AC9" s="117">
        <v>190</v>
      </c>
      <c r="AD9" s="117">
        <v>190</v>
      </c>
      <c r="AE9" s="117">
        <v>190</v>
      </c>
      <c r="AF9" s="117">
        <v>190</v>
      </c>
      <c r="AG9" s="117">
        <v>190</v>
      </c>
      <c r="AH9" s="117">
        <v>190</v>
      </c>
      <c r="AI9" s="117">
        <v>77.113590034330272</v>
      </c>
      <c r="AJ9" s="117">
        <v>190</v>
      </c>
      <c r="AK9" s="117">
        <v>190</v>
      </c>
      <c r="AL9" s="117">
        <v>190</v>
      </c>
      <c r="AM9" s="117">
        <v>190</v>
      </c>
      <c r="AN9" s="117">
        <v>190</v>
      </c>
      <c r="AO9" s="117">
        <v>190</v>
      </c>
      <c r="AP9" s="117">
        <v>190</v>
      </c>
      <c r="AQ9" s="117">
        <v>190</v>
      </c>
      <c r="AR9" s="117">
        <v>190</v>
      </c>
      <c r="AS9" s="117">
        <v>190</v>
      </c>
      <c r="AT9" s="117">
        <v>190</v>
      </c>
      <c r="AU9" s="117">
        <v>190</v>
      </c>
      <c r="AV9" s="117">
        <v>190</v>
      </c>
      <c r="AW9" s="117">
        <v>190</v>
      </c>
      <c r="AX9" s="117">
        <v>190</v>
      </c>
      <c r="AY9" s="117">
        <v>190</v>
      </c>
    </row>
    <row r="10" spans="1:53">
      <c r="A10" s="118" t="s">
        <v>133</v>
      </c>
      <c r="B10" s="119">
        <v>1</v>
      </c>
      <c r="C10" s="106" t="s">
        <v>293</v>
      </c>
      <c r="D10" s="100">
        <v>169.99999999999898</v>
      </c>
      <c r="E10" s="100">
        <v>169.99999999999986</v>
      </c>
      <c r="F10" s="100">
        <v>169.99999999999983</v>
      </c>
      <c r="G10" s="100">
        <v>169.99999999999986</v>
      </c>
      <c r="H10" s="100">
        <v>0</v>
      </c>
      <c r="I10" s="100">
        <v>169.99999999999983</v>
      </c>
      <c r="J10" s="100">
        <v>169.99999999999986</v>
      </c>
      <c r="K10" s="100">
        <v>169.99999999999983</v>
      </c>
      <c r="L10" s="100">
        <v>12.335740301852786</v>
      </c>
      <c r="M10" s="100">
        <v>169.99999999999983</v>
      </c>
      <c r="N10" s="100">
        <v>169.99999999999986</v>
      </c>
      <c r="O10" s="100">
        <v>169.99999999999983</v>
      </c>
      <c r="P10" s="100">
        <v>169.99999999999986</v>
      </c>
      <c r="Q10" s="100">
        <v>169.99999999999983</v>
      </c>
      <c r="R10" s="100">
        <v>12.335740301852786</v>
      </c>
      <c r="S10" s="100">
        <v>169.99999999999983</v>
      </c>
      <c r="T10" s="100">
        <v>12.335740301852786</v>
      </c>
      <c r="U10" s="100">
        <v>169.99999999999983</v>
      </c>
      <c r="V10" s="100">
        <v>12.335740301852786</v>
      </c>
      <c r="W10" s="100">
        <v>169.99999999999983</v>
      </c>
      <c r="X10" s="100">
        <v>12.335740301852786</v>
      </c>
      <c r="Y10" s="100">
        <v>169.99999999999983</v>
      </c>
      <c r="Z10" s="100">
        <v>12.335740301852786</v>
      </c>
      <c r="AA10" s="100">
        <v>169.99999999999983</v>
      </c>
      <c r="AB10" s="100">
        <v>12.335740301852786</v>
      </c>
      <c r="AC10" s="100">
        <v>169.99999999999983</v>
      </c>
      <c r="AD10" s="100">
        <v>169.99999999999986</v>
      </c>
      <c r="AE10" s="100">
        <v>169.99999999999983</v>
      </c>
      <c r="AF10" s="100">
        <v>12.335740301852786</v>
      </c>
      <c r="AG10" s="100">
        <v>169.99999999999983</v>
      </c>
      <c r="AH10" s="100">
        <v>12.335740301852786</v>
      </c>
      <c r="AI10" s="100">
        <v>169.99999999999983</v>
      </c>
      <c r="AJ10" s="100">
        <v>12.335740301852786</v>
      </c>
      <c r="AK10" s="100">
        <v>68.996370030716548</v>
      </c>
      <c r="AL10" s="100">
        <v>123.35740301852783</v>
      </c>
      <c r="AM10" s="100">
        <v>0</v>
      </c>
      <c r="AN10" s="100">
        <v>169.99999999999983</v>
      </c>
      <c r="AO10" s="100">
        <v>169.99999999999986</v>
      </c>
      <c r="AP10" s="100">
        <v>169.99999999999983</v>
      </c>
      <c r="AQ10" s="100">
        <v>12.335740301852786</v>
      </c>
      <c r="AR10" s="100">
        <v>169.99999999999983</v>
      </c>
      <c r="AS10" s="100">
        <v>12.335740301852786</v>
      </c>
      <c r="AT10" s="100">
        <v>169.99999999999983</v>
      </c>
      <c r="AU10" s="100">
        <v>169.99999999999986</v>
      </c>
      <c r="AV10" s="100">
        <v>169.99999999999983</v>
      </c>
      <c r="AW10" s="100">
        <v>169.99999999999986</v>
      </c>
      <c r="AX10" s="100">
        <v>169.99999999999983</v>
      </c>
      <c r="AY10" s="100">
        <v>169.99999999999986</v>
      </c>
      <c r="AZ10" s="100">
        <v>169.99999999999983</v>
      </c>
    </row>
    <row r="11" spans="1:53">
      <c r="B11" s="119">
        <v>2</v>
      </c>
      <c r="C11" s="106" t="s">
        <v>293</v>
      </c>
      <c r="D11" s="100">
        <v>157.6668718748117</v>
      </c>
      <c r="E11" s="100">
        <v>0</v>
      </c>
      <c r="F11" s="100">
        <v>0</v>
      </c>
      <c r="G11" s="100">
        <v>0</v>
      </c>
      <c r="H11" s="100">
        <v>0</v>
      </c>
      <c r="L11" s="100">
        <v>0</v>
      </c>
      <c r="M11" s="100">
        <v>157.66425969814708</v>
      </c>
      <c r="N11" s="100">
        <v>0</v>
      </c>
      <c r="P11" s="100">
        <v>0</v>
      </c>
      <c r="R11" s="100">
        <v>0</v>
      </c>
      <c r="S11" s="100">
        <v>157.66425969814708</v>
      </c>
      <c r="T11" s="100">
        <v>0</v>
      </c>
      <c r="U11" s="100">
        <v>0</v>
      </c>
      <c r="V11" s="100">
        <v>0</v>
      </c>
      <c r="W11" s="100">
        <v>157.66425969814708</v>
      </c>
      <c r="AA11" s="100">
        <v>157.66425969814708</v>
      </c>
      <c r="AC11" s="100">
        <v>157.66425969814708</v>
      </c>
      <c r="AF11" s="100">
        <v>0</v>
      </c>
      <c r="AI11" s="100">
        <v>157.66425969814708</v>
      </c>
      <c r="AJ11" s="100">
        <v>0</v>
      </c>
      <c r="AK11" s="100">
        <v>157.66425969814708</v>
      </c>
      <c r="AL11" s="100">
        <v>0</v>
      </c>
      <c r="AM11" s="100">
        <v>46.642596981472025</v>
      </c>
      <c r="AP11" s="100">
        <v>0</v>
      </c>
      <c r="AR11" s="100">
        <v>157.66425969814708</v>
      </c>
      <c r="AT11" s="100">
        <v>157.66425969814708</v>
      </c>
      <c r="AV11" s="100">
        <v>0</v>
      </c>
      <c r="AX11" s="100">
        <v>0</v>
      </c>
      <c r="AY11" s="100">
        <v>0</v>
      </c>
      <c r="BA11" s="100">
        <v>0</v>
      </c>
    </row>
    <row r="12" spans="1:53">
      <c r="B12" s="120">
        <v>3</v>
      </c>
      <c r="C12" s="106" t="s">
        <v>293</v>
      </c>
      <c r="K12" s="100">
        <v>0</v>
      </c>
      <c r="M12" s="100">
        <v>0</v>
      </c>
      <c r="N12" s="100">
        <v>0</v>
      </c>
      <c r="V12" s="100">
        <v>157.66425969814708</v>
      </c>
      <c r="Z12" s="100">
        <v>157.66425969814708</v>
      </c>
      <c r="AE12" s="100">
        <v>0</v>
      </c>
      <c r="AH12" s="100">
        <v>157.66425969814708</v>
      </c>
      <c r="AO12" s="100">
        <v>0</v>
      </c>
      <c r="AP12" s="100">
        <v>0</v>
      </c>
      <c r="AT12" s="100">
        <v>0</v>
      </c>
      <c r="AV12" s="100">
        <v>0</v>
      </c>
    </row>
    <row r="13" spans="1:53">
      <c r="B13" s="120">
        <v>4</v>
      </c>
      <c r="C13" s="106" t="s">
        <v>293</v>
      </c>
    </row>
    <row r="14" spans="1:53">
      <c r="A14" s="115" t="s">
        <v>134</v>
      </c>
      <c r="B14" s="121">
        <v>1</v>
      </c>
      <c r="C14" s="117" t="s">
        <v>293</v>
      </c>
      <c r="D14" s="117">
        <v>119.9999999999993</v>
      </c>
      <c r="E14" s="117">
        <f t="shared" ref="E14:AZ14" si="0">D$172*SUM(D$122:D$169)</f>
        <v>231.36889754217427</v>
      </c>
      <c r="F14" s="117">
        <f t="shared" si="0"/>
        <v>152.05093032730275</v>
      </c>
      <c r="G14" s="117">
        <f t="shared" si="0"/>
        <v>119.99999999999994</v>
      </c>
      <c r="H14" s="117">
        <f t="shared" si="0"/>
        <v>119.99999999999991</v>
      </c>
      <c r="I14" s="117">
        <f t="shared" si="0"/>
        <v>9.227341696386648E-3</v>
      </c>
      <c r="J14" s="117">
        <f t="shared" si="0"/>
        <v>119.99999999999993</v>
      </c>
      <c r="K14" s="117">
        <f t="shared" si="0"/>
        <v>119.99999999999991</v>
      </c>
      <c r="L14" s="117">
        <f t="shared" si="0"/>
        <v>119.99999999999993</v>
      </c>
      <c r="M14" s="117">
        <f t="shared" si="0"/>
        <v>8.7161391659992766</v>
      </c>
      <c r="N14" s="117">
        <f t="shared" si="0"/>
        <v>231.28386083400056</v>
      </c>
      <c r="O14" s="117">
        <f t="shared" si="0"/>
        <v>144.28100218335567</v>
      </c>
      <c r="P14" s="117">
        <f t="shared" si="0"/>
        <v>119.99999999999993</v>
      </c>
      <c r="Q14" s="117">
        <f t="shared" si="0"/>
        <v>119.99999999999991</v>
      </c>
      <c r="R14" s="117">
        <f t="shared" si="0"/>
        <v>119.99999999999993</v>
      </c>
      <c r="S14" s="117">
        <f t="shared" si="0"/>
        <v>8.7161391659992766</v>
      </c>
      <c r="T14" s="117">
        <f t="shared" si="0"/>
        <v>231.28386083400056</v>
      </c>
      <c r="U14" s="117">
        <f t="shared" si="0"/>
        <v>29.986934295227243</v>
      </c>
      <c r="V14" s="117">
        <f t="shared" si="0"/>
        <v>119.99999999999993</v>
      </c>
      <c r="W14" s="117">
        <f t="shared" si="0"/>
        <v>119.99999999999991</v>
      </c>
      <c r="X14" s="117">
        <f t="shared" si="0"/>
        <v>231.28386083400056</v>
      </c>
      <c r="Y14" s="117">
        <f t="shared" si="0"/>
        <v>52.749676411776527</v>
      </c>
      <c r="Z14" s="117">
        <f t="shared" si="0"/>
        <v>119.99999999999993</v>
      </c>
      <c r="AA14" s="117">
        <f t="shared" si="0"/>
        <v>119.99999999999991</v>
      </c>
      <c r="AB14" s="117">
        <f t="shared" si="0"/>
        <v>231.28386083400056</v>
      </c>
      <c r="AC14" s="117">
        <f t="shared" si="0"/>
        <v>44.688669027314624</v>
      </c>
      <c r="AD14" s="117">
        <f t="shared" si="0"/>
        <v>231.28386083400056</v>
      </c>
      <c r="AE14" s="117">
        <f t="shared" si="0"/>
        <v>140.24539521961461</v>
      </c>
      <c r="AF14" s="117">
        <f t="shared" si="0"/>
        <v>119.99999999999994</v>
      </c>
      <c r="AG14" s="117">
        <f t="shared" si="0"/>
        <v>8.7161391659992766</v>
      </c>
      <c r="AH14" s="117">
        <f t="shared" si="0"/>
        <v>119.99999999999993</v>
      </c>
      <c r="AI14" s="117">
        <f t="shared" si="0"/>
        <v>119.99999999999991</v>
      </c>
      <c r="AJ14" s="117">
        <f t="shared" si="0"/>
        <v>231.28386083400056</v>
      </c>
      <c r="AK14" s="117">
        <f t="shared" si="0"/>
        <v>19.684421984511633</v>
      </c>
      <c r="AL14" s="117">
        <f t="shared" si="0"/>
        <v>159.9926631792494</v>
      </c>
      <c r="AM14" s="117">
        <f t="shared" si="0"/>
        <v>87.078345584725298</v>
      </c>
      <c r="AN14" s="117">
        <f t="shared" si="0"/>
        <v>32.930881756971004</v>
      </c>
      <c r="AO14" s="117">
        <f t="shared" si="0"/>
        <v>119.99999999999993</v>
      </c>
      <c r="AP14" s="117">
        <f t="shared" si="0"/>
        <v>119.99999999999991</v>
      </c>
      <c r="AQ14" s="117">
        <f t="shared" si="0"/>
        <v>119.99999999999993</v>
      </c>
      <c r="AR14" s="117">
        <f t="shared" si="0"/>
        <v>8.7161391659992766</v>
      </c>
      <c r="AS14" s="117">
        <f t="shared" si="0"/>
        <v>231.28386083400056</v>
      </c>
      <c r="AT14" s="117">
        <f t="shared" si="0"/>
        <v>60.065586742181594</v>
      </c>
      <c r="AU14" s="117">
        <f t="shared" si="0"/>
        <v>231.28386083400056</v>
      </c>
      <c r="AV14" s="117">
        <f t="shared" si="0"/>
        <v>165.49116497749341</v>
      </c>
      <c r="AW14" s="117">
        <f t="shared" si="0"/>
        <v>125.05291726842475</v>
      </c>
      <c r="AX14" s="117">
        <f t="shared" si="0"/>
        <v>119.99999999999991</v>
      </c>
      <c r="AY14" s="117">
        <f t="shared" si="0"/>
        <v>119.99999999999993</v>
      </c>
      <c r="AZ14" s="110">
        <f t="shared" si="0"/>
        <v>119.99999999999991</v>
      </c>
      <c r="BA14" s="107">
        <f>SUM($E14:$AZ14)</f>
        <v>5850.8121571780202</v>
      </c>
    </row>
    <row r="15" spans="1:53">
      <c r="A15" s="122" t="s">
        <v>123</v>
      </c>
      <c r="B15" s="123">
        <v>1</v>
      </c>
      <c r="C15" s="124" t="s">
        <v>293</v>
      </c>
      <c r="D15" s="124">
        <v>243.53911396040971</v>
      </c>
      <c r="E15" s="124">
        <v>243.45154821266112</v>
      </c>
      <c r="F15" s="124">
        <v>243.45154821266115</v>
      </c>
      <c r="G15" s="124">
        <v>243.45154821266112</v>
      </c>
      <c r="H15" s="124">
        <v>1.872008851560478E-2</v>
      </c>
      <c r="I15" s="124">
        <v>243.45154821266115</v>
      </c>
      <c r="J15" s="124">
        <v>243.45154821266112</v>
      </c>
      <c r="K15" s="124">
        <v>243.45154821266115</v>
      </c>
      <c r="L15" s="124">
        <v>17.68297978666282</v>
      </c>
      <c r="M15" s="124">
        <v>243.45154821266115</v>
      </c>
      <c r="N15" s="124">
        <v>243.45154821266112</v>
      </c>
      <c r="O15" s="124">
        <v>243.45154821266115</v>
      </c>
      <c r="P15" s="124">
        <v>243.45154821266112</v>
      </c>
      <c r="Q15" s="124">
        <v>243.45154821266115</v>
      </c>
      <c r="R15" s="124">
        <v>17.68297978666282</v>
      </c>
      <c r="S15" s="124">
        <v>243.45154821266115</v>
      </c>
      <c r="T15" s="124">
        <v>17.68297978666282</v>
      </c>
      <c r="U15" s="124">
        <v>243.45154821266115</v>
      </c>
      <c r="V15" s="124">
        <v>17.68297978666282</v>
      </c>
      <c r="W15" s="124">
        <v>243.45154821266115</v>
      </c>
      <c r="X15" s="124">
        <v>17.68297978666282</v>
      </c>
      <c r="Y15" s="124">
        <v>243.45154821266115</v>
      </c>
      <c r="Z15" s="124">
        <v>17.68297978666282</v>
      </c>
      <c r="AA15" s="124">
        <v>243.45154821266115</v>
      </c>
      <c r="AB15" s="124">
        <v>17.68297978666282</v>
      </c>
      <c r="AC15" s="124">
        <v>243.45154821266115</v>
      </c>
      <c r="AD15" s="124">
        <v>243.45154821266112</v>
      </c>
      <c r="AE15" s="124">
        <v>243.45154821266115</v>
      </c>
      <c r="AF15" s="124">
        <v>17.68297978666282</v>
      </c>
      <c r="AG15" s="124">
        <v>243.45154821266115</v>
      </c>
      <c r="AH15" s="124">
        <v>17.68297978666282</v>
      </c>
      <c r="AI15" s="124">
        <v>243.45154821266115</v>
      </c>
      <c r="AJ15" s="124">
        <v>17.68297978666282</v>
      </c>
      <c r="AK15" s="124">
        <v>98.818611187794318</v>
      </c>
      <c r="AL15" s="124">
        <v>176.66131706998777</v>
      </c>
      <c r="AM15" s="124">
        <v>1.872008851560478E-2</v>
      </c>
      <c r="AN15" s="124">
        <v>243.45154821266115</v>
      </c>
      <c r="AO15" s="124">
        <v>243.45154821266112</v>
      </c>
      <c r="AP15" s="124">
        <v>243.45154821266115</v>
      </c>
      <c r="AQ15" s="124">
        <v>17.68297978666282</v>
      </c>
      <c r="AR15" s="124">
        <v>243.45154821266115</v>
      </c>
      <c r="AS15" s="124">
        <v>17.68297978666282</v>
      </c>
      <c r="AT15" s="124">
        <v>243.45154821266115</v>
      </c>
      <c r="AU15" s="124">
        <v>243.45154821266112</v>
      </c>
      <c r="AV15" s="124">
        <v>243.45154821266115</v>
      </c>
      <c r="AW15" s="124">
        <v>243.45154821266112</v>
      </c>
      <c r="AX15" s="124">
        <v>243.45154821266115</v>
      </c>
      <c r="AY15" s="124">
        <v>243.45154821266112</v>
      </c>
      <c r="AZ15" s="100">
        <v>243.43282812414554</v>
      </c>
    </row>
    <row r="16" spans="1:53">
      <c r="A16" s="110"/>
      <c r="B16" s="119">
        <v>2</v>
      </c>
      <c r="C16" s="109" t="s">
        <v>293</v>
      </c>
      <c r="D16" s="106">
        <v>225.85352199708132</v>
      </c>
      <c r="E16" s="110">
        <v>0</v>
      </c>
      <c r="F16" s="110">
        <v>0</v>
      </c>
      <c r="G16" s="110">
        <v>0</v>
      </c>
      <c r="H16" s="110">
        <v>0</v>
      </c>
      <c r="I16" s="110"/>
      <c r="J16" s="110"/>
      <c r="K16" s="110"/>
      <c r="L16" s="110">
        <v>0</v>
      </c>
      <c r="M16" s="110">
        <v>225.7685684259983</v>
      </c>
      <c r="N16" s="110">
        <v>0</v>
      </c>
      <c r="O16" s="110"/>
      <c r="P16" s="110">
        <v>0</v>
      </c>
      <c r="Q16" s="110"/>
      <c r="R16" s="110">
        <v>0</v>
      </c>
      <c r="S16" s="110">
        <v>225.7685684259983</v>
      </c>
      <c r="T16" s="110">
        <v>0</v>
      </c>
      <c r="U16" s="110">
        <v>0</v>
      </c>
      <c r="V16" s="110">
        <v>0</v>
      </c>
      <c r="W16" s="110">
        <v>225.7685684259983</v>
      </c>
      <c r="X16" s="110"/>
      <c r="Y16" s="110"/>
      <c r="Z16" s="110"/>
      <c r="AA16" s="110">
        <v>225.7685684259983</v>
      </c>
      <c r="AB16" s="110"/>
      <c r="AC16" s="110">
        <v>225.7685684259983</v>
      </c>
      <c r="AD16" s="110"/>
      <c r="AE16" s="110"/>
      <c r="AF16" s="110">
        <v>0</v>
      </c>
      <c r="AG16" s="110"/>
      <c r="AH16" s="110"/>
      <c r="AI16" s="110">
        <v>225.7685684259983</v>
      </c>
      <c r="AJ16" s="110">
        <v>0</v>
      </c>
      <c r="AK16" s="110">
        <v>225.7685684259983</v>
      </c>
      <c r="AL16" s="110">
        <v>0</v>
      </c>
      <c r="AM16" s="110">
        <v>66.790231142673349</v>
      </c>
      <c r="AN16" s="110"/>
      <c r="AO16" s="110"/>
      <c r="AP16" s="110">
        <v>0</v>
      </c>
      <c r="AQ16" s="110"/>
      <c r="AR16" s="110">
        <v>225.7685684259983</v>
      </c>
      <c r="AS16" s="110"/>
      <c r="AT16" s="110">
        <v>225.7685684259983</v>
      </c>
      <c r="AU16" s="110"/>
      <c r="AV16" s="110">
        <v>0</v>
      </c>
      <c r="AW16" s="110"/>
      <c r="AX16" s="110">
        <v>0</v>
      </c>
      <c r="AY16" s="110">
        <v>0</v>
      </c>
      <c r="BA16" s="100">
        <v>0</v>
      </c>
    </row>
    <row r="17" spans="1:51">
      <c r="A17" s="110"/>
      <c r="B17" s="119">
        <v>3</v>
      </c>
      <c r="C17" s="109" t="s">
        <v>293</v>
      </c>
      <c r="D17" s="106"/>
      <c r="E17" s="110"/>
      <c r="F17" s="110"/>
      <c r="G17" s="110"/>
      <c r="H17" s="110"/>
      <c r="I17" s="110"/>
      <c r="J17" s="110"/>
      <c r="K17" s="110">
        <v>0</v>
      </c>
      <c r="L17" s="110"/>
      <c r="M17" s="110">
        <v>0</v>
      </c>
      <c r="N17" s="110">
        <v>0</v>
      </c>
      <c r="O17" s="110"/>
      <c r="P17" s="110"/>
      <c r="Q17" s="110"/>
      <c r="R17" s="110"/>
      <c r="S17" s="110"/>
      <c r="T17" s="110"/>
      <c r="U17" s="110"/>
      <c r="V17" s="110">
        <v>225.7685684259983</v>
      </c>
      <c r="W17" s="110"/>
      <c r="X17" s="110"/>
      <c r="Y17" s="110"/>
      <c r="Z17" s="110">
        <v>225.7685684259983</v>
      </c>
      <c r="AA17" s="110"/>
      <c r="AB17" s="110"/>
      <c r="AC17" s="110"/>
      <c r="AD17" s="110"/>
      <c r="AE17" s="110">
        <v>0</v>
      </c>
      <c r="AF17" s="110"/>
      <c r="AG17" s="110"/>
      <c r="AH17" s="110">
        <v>225.7685684259983</v>
      </c>
      <c r="AI17" s="110"/>
      <c r="AJ17" s="110"/>
      <c r="AK17" s="110"/>
      <c r="AL17" s="110"/>
      <c r="AM17" s="110"/>
      <c r="AN17" s="110"/>
      <c r="AO17" s="110">
        <v>0</v>
      </c>
      <c r="AP17" s="110">
        <v>0</v>
      </c>
      <c r="AQ17" s="110"/>
      <c r="AR17" s="110"/>
      <c r="AS17" s="110"/>
      <c r="AT17" s="110">
        <v>0</v>
      </c>
      <c r="AU17" s="110"/>
      <c r="AV17" s="110">
        <v>0</v>
      </c>
      <c r="AW17" s="110"/>
      <c r="AX17" s="110"/>
      <c r="AY17" s="110"/>
    </row>
    <row r="18" spans="1:51">
      <c r="A18" s="125"/>
      <c r="B18" s="116">
        <v>4</v>
      </c>
      <c r="C18" s="125" t="s">
        <v>293</v>
      </c>
      <c r="D18" s="125"/>
      <c r="E18" s="125"/>
      <c r="F18" s="125"/>
      <c r="G18" s="125"/>
      <c r="H18" s="125"/>
      <c r="I18" s="125"/>
      <c r="J18" s="125"/>
      <c r="K18" s="125"/>
      <c r="L18" s="125"/>
      <c r="M18" s="125"/>
      <c r="N18" s="125"/>
      <c r="O18" s="125"/>
      <c r="P18" s="125"/>
      <c r="Q18" s="125"/>
      <c r="R18" s="125"/>
      <c r="S18" s="125"/>
      <c r="T18" s="125"/>
      <c r="U18" s="125"/>
      <c r="V18" s="125"/>
      <c r="W18" s="125"/>
      <c r="X18" s="125"/>
      <c r="Y18" s="125"/>
      <c r="Z18" s="125"/>
      <c r="AA18" s="125"/>
      <c r="AB18" s="125"/>
      <c r="AC18" s="125"/>
      <c r="AD18" s="125"/>
      <c r="AE18" s="125"/>
      <c r="AF18" s="125"/>
      <c r="AG18" s="125"/>
      <c r="AH18" s="125"/>
      <c r="AI18" s="125"/>
      <c r="AJ18" s="125"/>
      <c r="AK18" s="125"/>
      <c r="AL18" s="125"/>
      <c r="AM18" s="125"/>
      <c r="AN18" s="125"/>
      <c r="AO18" s="125"/>
      <c r="AP18" s="125"/>
      <c r="AQ18" s="125"/>
      <c r="AR18" s="125"/>
      <c r="AS18" s="125"/>
      <c r="AT18" s="125"/>
      <c r="AU18" s="125"/>
      <c r="AV18" s="125"/>
      <c r="AW18" s="125"/>
      <c r="AX18" s="125"/>
      <c r="AY18" s="125"/>
    </row>
    <row r="20" spans="1:51">
      <c r="A20" s="102" t="s">
        <v>294</v>
      </c>
    </row>
    <row r="21" spans="1:51">
      <c r="A21" s="126" t="s">
        <v>125</v>
      </c>
      <c r="B21" s="123">
        <v>1</v>
      </c>
      <c r="C21" s="124" t="s">
        <v>293</v>
      </c>
      <c r="D21" s="124"/>
      <c r="E21" s="124"/>
      <c r="F21" s="124"/>
      <c r="G21" s="124"/>
      <c r="H21" s="124"/>
      <c r="I21" s="124"/>
      <c r="J21" s="124"/>
      <c r="K21" s="124"/>
      <c r="L21" s="124"/>
      <c r="M21" s="124"/>
      <c r="N21" s="124"/>
      <c r="O21" s="124"/>
      <c r="P21" s="124"/>
      <c r="Q21" s="124"/>
      <c r="R21" s="124"/>
      <c r="S21" s="124"/>
      <c r="T21" s="124"/>
      <c r="U21" s="124"/>
      <c r="V21" s="124"/>
      <c r="W21" s="124"/>
      <c r="X21" s="124"/>
      <c r="Y21" s="124"/>
      <c r="Z21" s="124"/>
      <c r="AA21" s="124"/>
      <c r="AB21" s="124"/>
      <c r="AC21" s="124"/>
      <c r="AD21" s="124"/>
      <c r="AE21" s="124"/>
      <c r="AF21" s="124"/>
      <c r="AG21" s="124"/>
      <c r="AH21" s="124"/>
      <c r="AI21" s="124"/>
      <c r="AJ21" s="124"/>
      <c r="AK21" s="124"/>
      <c r="AL21" s="124"/>
      <c r="AM21" s="124"/>
      <c r="AN21" s="124"/>
      <c r="AO21" s="124"/>
      <c r="AP21" s="124"/>
      <c r="AQ21" s="124"/>
      <c r="AR21" s="124"/>
      <c r="AS21" s="124"/>
      <c r="AT21" s="124"/>
      <c r="AU21" s="124"/>
      <c r="AV21" s="124"/>
      <c r="AW21" s="124"/>
      <c r="AX21" s="124"/>
      <c r="AY21" s="124"/>
    </row>
    <row r="22" spans="1:51">
      <c r="A22" s="109"/>
      <c r="B22" s="120">
        <v>2</v>
      </c>
      <c r="C22" s="110" t="s">
        <v>293</v>
      </c>
      <c r="D22" s="110"/>
      <c r="E22" s="110"/>
      <c r="F22" s="110"/>
      <c r="G22" s="110"/>
      <c r="H22" s="110"/>
      <c r="I22" s="110"/>
      <c r="J22" s="110"/>
      <c r="K22" s="110"/>
      <c r="L22" s="110"/>
      <c r="M22" s="110"/>
      <c r="N22" s="110"/>
      <c r="O22" s="110"/>
      <c r="P22" s="110"/>
      <c r="Q22" s="110"/>
      <c r="R22" s="110"/>
      <c r="S22" s="110"/>
      <c r="T22" s="110"/>
      <c r="U22" s="110"/>
      <c r="V22" s="110"/>
      <c r="W22" s="110">
        <v>9.2243111445561681</v>
      </c>
      <c r="X22" s="110"/>
      <c r="Y22" s="110"/>
      <c r="Z22" s="110"/>
      <c r="AA22" s="110"/>
      <c r="AB22" s="110"/>
      <c r="AC22" s="110"/>
      <c r="AD22" s="110"/>
      <c r="AE22" s="110"/>
      <c r="AF22" s="110"/>
      <c r="AG22" s="110"/>
      <c r="AH22" s="110"/>
      <c r="AI22" s="110"/>
      <c r="AJ22" s="110"/>
      <c r="AK22" s="110"/>
      <c r="AL22" s="110"/>
      <c r="AM22" s="110"/>
      <c r="AN22" s="110"/>
      <c r="AO22" s="110"/>
      <c r="AP22" s="110"/>
      <c r="AQ22" s="110"/>
      <c r="AR22" s="110"/>
      <c r="AS22" s="110"/>
      <c r="AT22" s="110"/>
      <c r="AU22" s="110"/>
      <c r="AV22" s="110"/>
      <c r="AW22" s="110"/>
      <c r="AX22" s="110"/>
      <c r="AY22" s="110"/>
    </row>
    <row r="23" spans="1:51">
      <c r="A23" s="109"/>
      <c r="B23" s="127">
        <v>3</v>
      </c>
      <c r="C23" s="110" t="s">
        <v>293</v>
      </c>
      <c r="D23" s="110"/>
      <c r="E23" s="110"/>
      <c r="F23" s="110"/>
      <c r="G23" s="110"/>
      <c r="H23" s="110"/>
      <c r="I23" s="110"/>
      <c r="J23" s="110"/>
      <c r="K23" s="110"/>
      <c r="L23" s="110"/>
      <c r="M23" s="110">
        <v>2.6005155028055924</v>
      </c>
      <c r="N23" s="110">
        <v>73.059549689444339</v>
      </c>
      <c r="O23" s="110"/>
      <c r="P23" s="110"/>
      <c r="Q23" s="110"/>
      <c r="R23" s="110"/>
      <c r="S23" s="110"/>
      <c r="T23" s="110"/>
      <c r="U23" s="110"/>
      <c r="V23" s="110"/>
      <c r="W23" s="110">
        <v>0</v>
      </c>
      <c r="X23" s="110"/>
      <c r="Y23" s="110"/>
      <c r="Z23" s="110"/>
      <c r="AA23" s="110"/>
      <c r="AB23" s="110"/>
      <c r="AC23" s="110"/>
      <c r="AD23" s="110"/>
      <c r="AE23" s="110"/>
      <c r="AF23" s="110"/>
      <c r="AG23" s="110"/>
      <c r="AH23" s="110"/>
      <c r="AI23" s="110"/>
      <c r="AJ23" s="110"/>
      <c r="AK23" s="110"/>
      <c r="AL23" s="110"/>
      <c r="AM23" s="110"/>
      <c r="AN23" s="110"/>
      <c r="AO23" s="110"/>
      <c r="AP23" s="110"/>
      <c r="AQ23" s="110"/>
      <c r="AR23" s="110"/>
      <c r="AS23" s="110"/>
      <c r="AT23" s="110"/>
      <c r="AU23" s="110"/>
      <c r="AV23" s="110"/>
      <c r="AW23" s="110"/>
      <c r="AX23" s="110"/>
      <c r="AY23" s="110"/>
    </row>
    <row r="24" spans="1:51">
      <c r="A24" s="128"/>
      <c r="B24" s="129">
        <v>4</v>
      </c>
      <c r="C24" s="128" t="s">
        <v>293</v>
      </c>
      <c r="D24" s="125">
        <v>0</v>
      </c>
      <c r="E24" s="125">
        <v>0</v>
      </c>
      <c r="F24" s="125">
        <v>0</v>
      </c>
      <c r="G24" s="125">
        <v>0</v>
      </c>
      <c r="H24" s="125">
        <v>0</v>
      </c>
      <c r="I24" s="125">
        <v>0</v>
      </c>
      <c r="J24" s="125">
        <v>0</v>
      </c>
      <c r="K24" s="125">
        <v>0</v>
      </c>
      <c r="L24" s="125">
        <v>0</v>
      </c>
      <c r="M24" s="125">
        <v>0</v>
      </c>
      <c r="N24" s="125">
        <v>0</v>
      </c>
      <c r="O24" s="125">
        <v>0</v>
      </c>
      <c r="P24" s="125">
        <v>0</v>
      </c>
      <c r="Q24" s="125">
        <v>0</v>
      </c>
      <c r="R24" s="125">
        <v>0</v>
      </c>
      <c r="S24" s="125">
        <v>0</v>
      </c>
      <c r="T24" s="125">
        <v>0</v>
      </c>
      <c r="U24" s="125">
        <v>0</v>
      </c>
      <c r="V24" s="125">
        <v>0</v>
      </c>
      <c r="W24" s="125">
        <v>0</v>
      </c>
      <c r="X24" s="125">
        <v>0</v>
      </c>
      <c r="Y24" s="125">
        <v>0</v>
      </c>
      <c r="Z24" s="125">
        <v>0</v>
      </c>
      <c r="AA24" s="125">
        <v>0</v>
      </c>
      <c r="AB24" s="125">
        <v>0</v>
      </c>
      <c r="AC24" s="125">
        <v>0</v>
      </c>
      <c r="AD24" s="125">
        <v>0</v>
      </c>
      <c r="AE24" s="125">
        <v>0</v>
      </c>
      <c r="AF24" s="125">
        <v>0</v>
      </c>
      <c r="AG24" s="125">
        <v>0</v>
      </c>
      <c r="AH24" s="125">
        <v>0</v>
      </c>
      <c r="AI24" s="125">
        <v>0</v>
      </c>
      <c r="AJ24" s="125">
        <v>0</v>
      </c>
      <c r="AK24" s="125">
        <v>0</v>
      </c>
      <c r="AL24" s="125">
        <v>0</v>
      </c>
      <c r="AM24" s="125">
        <v>0</v>
      </c>
      <c r="AN24" s="125">
        <v>0</v>
      </c>
      <c r="AO24" s="125">
        <v>0</v>
      </c>
      <c r="AP24" s="125">
        <v>0</v>
      </c>
      <c r="AQ24" s="125">
        <v>0</v>
      </c>
      <c r="AR24" s="125">
        <v>0</v>
      </c>
      <c r="AS24" s="125">
        <v>0</v>
      </c>
      <c r="AT24" s="125">
        <v>0</v>
      </c>
      <c r="AU24" s="125">
        <v>0</v>
      </c>
      <c r="AV24" s="125">
        <v>0</v>
      </c>
      <c r="AW24" s="125">
        <v>0</v>
      </c>
      <c r="AX24" s="125">
        <v>0</v>
      </c>
      <c r="AY24" s="125">
        <v>0</v>
      </c>
    </row>
    <row r="25" spans="1:51">
      <c r="A25" s="126" t="s">
        <v>133</v>
      </c>
      <c r="B25" s="123">
        <v>1</v>
      </c>
      <c r="C25" s="109" t="s">
        <v>293</v>
      </c>
      <c r="D25" s="110"/>
      <c r="E25" s="110"/>
      <c r="F25" s="110"/>
      <c r="G25" s="110"/>
      <c r="H25" s="110"/>
      <c r="I25" s="110"/>
      <c r="J25" s="110"/>
      <c r="K25" s="110"/>
      <c r="L25" s="110"/>
      <c r="M25" s="110"/>
      <c r="N25" s="110"/>
      <c r="O25" s="110"/>
      <c r="P25" s="110"/>
      <c r="Q25" s="110"/>
      <c r="R25" s="110"/>
      <c r="S25" s="110"/>
      <c r="T25" s="110"/>
      <c r="U25" s="110"/>
      <c r="V25" s="110"/>
      <c r="W25" s="110"/>
      <c r="X25" s="110"/>
      <c r="Y25" s="110"/>
      <c r="Z25" s="110"/>
      <c r="AA25" s="110"/>
      <c r="AB25" s="110"/>
      <c r="AC25" s="110"/>
      <c r="AD25" s="110"/>
      <c r="AE25" s="110"/>
      <c r="AF25" s="110"/>
      <c r="AG25" s="110"/>
      <c r="AH25" s="110"/>
      <c r="AI25" s="110"/>
      <c r="AJ25" s="110"/>
      <c r="AK25" s="110"/>
      <c r="AL25" s="110"/>
      <c r="AM25" s="110"/>
      <c r="AN25" s="110"/>
      <c r="AO25" s="110"/>
      <c r="AP25" s="110"/>
      <c r="AQ25" s="110"/>
      <c r="AR25" s="110"/>
      <c r="AS25" s="110"/>
      <c r="AT25" s="110"/>
      <c r="AU25" s="110"/>
      <c r="AV25" s="110"/>
      <c r="AW25" s="110"/>
      <c r="AX25" s="110"/>
      <c r="AY25" s="110"/>
    </row>
    <row r="26" spans="1:51">
      <c r="A26" s="109"/>
      <c r="B26" s="119">
        <v>2</v>
      </c>
      <c r="C26" s="109" t="s">
        <v>293</v>
      </c>
      <c r="D26" s="110"/>
      <c r="E26" s="110"/>
      <c r="F26" s="110"/>
      <c r="G26" s="110"/>
      <c r="H26" s="110"/>
      <c r="I26" s="110"/>
      <c r="J26" s="110"/>
      <c r="K26" s="110"/>
      <c r="L26" s="110"/>
      <c r="M26" s="110"/>
      <c r="N26" s="110"/>
      <c r="O26" s="110"/>
      <c r="P26" s="110"/>
      <c r="Q26" s="110"/>
      <c r="R26" s="110"/>
      <c r="S26" s="110"/>
      <c r="T26" s="110"/>
      <c r="U26" s="110"/>
      <c r="V26" s="110"/>
      <c r="W26" s="110"/>
      <c r="X26" s="110"/>
      <c r="Y26" s="110"/>
      <c r="Z26" s="110"/>
      <c r="AA26" s="110"/>
      <c r="AB26" s="110"/>
      <c r="AC26" s="110"/>
      <c r="AD26" s="110"/>
      <c r="AE26" s="110"/>
      <c r="AF26" s="110"/>
      <c r="AG26" s="110"/>
      <c r="AH26" s="110"/>
      <c r="AI26" s="110"/>
      <c r="AJ26" s="110"/>
      <c r="AK26" s="110"/>
      <c r="AL26" s="110"/>
      <c r="AM26" s="110"/>
      <c r="AN26" s="110"/>
      <c r="AO26" s="110"/>
      <c r="AP26" s="110"/>
      <c r="AQ26" s="110"/>
      <c r="AR26" s="110"/>
      <c r="AS26" s="110"/>
      <c r="AT26" s="110"/>
      <c r="AU26" s="110"/>
      <c r="AV26" s="110"/>
      <c r="AW26" s="110"/>
      <c r="AX26" s="110"/>
      <c r="AY26" s="110"/>
    </row>
    <row r="27" spans="1:51">
      <c r="A27" s="109"/>
      <c r="B27" s="120">
        <v>3</v>
      </c>
      <c r="C27" s="109" t="s">
        <v>293</v>
      </c>
      <c r="D27" s="110"/>
      <c r="E27" s="110"/>
      <c r="F27" s="110"/>
      <c r="G27" s="110"/>
      <c r="H27" s="110"/>
      <c r="I27" s="110"/>
      <c r="J27" s="110"/>
      <c r="K27" s="110"/>
      <c r="L27" s="110"/>
      <c r="M27" s="110"/>
      <c r="N27" s="110"/>
      <c r="O27" s="110"/>
      <c r="P27" s="110"/>
      <c r="Q27" s="110"/>
      <c r="R27" s="110"/>
      <c r="S27" s="110"/>
      <c r="T27" s="110"/>
      <c r="U27" s="110"/>
      <c r="V27" s="110"/>
      <c r="W27" s="110"/>
      <c r="X27" s="110"/>
      <c r="Y27" s="110"/>
      <c r="Z27" s="110"/>
      <c r="AA27" s="110"/>
      <c r="AB27" s="110"/>
      <c r="AC27" s="110"/>
      <c r="AD27" s="110"/>
      <c r="AE27" s="110"/>
      <c r="AF27" s="110"/>
      <c r="AG27" s="110"/>
      <c r="AH27" s="110"/>
      <c r="AI27" s="110"/>
      <c r="AJ27" s="110"/>
      <c r="AK27" s="110"/>
      <c r="AL27" s="110"/>
      <c r="AM27" s="110"/>
      <c r="AN27" s="110"/>
      <c r="AO27" s="110"/>
      <c r="AP27" s="110"/>
      <c r="AQ27" s="110"/>
      <c r="AR27" s="110"/>
      <c r="AS27" s="110"/>
      <c r="AT27" s="110"/>
      <c r="AU27" s="110"/>
      <c r="AV27" s="110"/>
      <c r="AW27" s="110"/>
      <c r="AX27" s="110"/>
      <c r="AY27" s="110"/>
    </row>
    <row r="28" spans="1:51">
      <c r="A28" s="109"/>
      <c r="B28" s="120">
        <v>4</v>
      </c>
      <c r="C28" s="109" t="s">
        <v>293</v>
      </c>
      <c r="D28" s="110"/>
      <c r="E28" s="110"/>
      <c r="F28" s="110"/>
      <c r="G28" s="110"/>
      <c r="H28" s="110"/>
      <c r="I28" s="110"/>
      <c r="J28" s="110"/>
      <c r="K28" s="110"/>
      <c r="L28" s="110"/>
      <c r="M28" s="110"/>
      <c r="N28" s="110"/>
      <c r="O28" s="110"/>
      <c r="P28" s="110"/>
      <c r="Q28" s="110"/>
      <c r="R28" s="110"/>
      <c r="S28" s="110"/>
      <c r="T28" s="110"/>
      <c r="U28" s="110"/>
      <c r="V28" s="110"/>
      <c r="W28" s="110"/>
      <c r="X28" s="110"/>
      <c r="Y28" s="110"/>
      <c r="Z28" s="110"/>
      <c r="AA28" s="110"/>
      <c r="AB28" s="110"/>
      <c r="AC28" s="110"/>
      <c r="AD28" s="110"/>
      <c r="AE28" s="110"/>
      <c r="AF28" s="110"/>
      <c r="AG28" s="110"/>
      <c r="AH28" s="110"/>
      <c r="AI28" s="110"/>
      <c r="AJ28" s="110"/>
      <c r="AK28" s="110"/>
      <c r="AL28" s="110"/>
      <c r="AM28" s="110"/>
      <c r="AN28" s="110"/>
      <c r="AO28" s="110"/>
      <c r="AP28" s="110"/>
      <c r="AQ28" s="110"/>
      <c r="AR28" s="110"/>
      <c r="AS28" s="110"/>
      <c r="AT28" s="110"/>
      <c r="AU28" s="110"/>
      <c r="AV28" s="110"/>
      <c r="AW28" s="110"/>
      <c r="AX28" s="110"/>
      <c r="AY28" s="110"/>
    </row>
    <row r="29" spans="1:51">
      <c r="A29" s="109"/>
      <c r="B29" s="127">
        <v>5</v>
      </c>
      <c r="C29" s="109" t="s">
        <v>293</v>
      </c>
      <c r="D29" s="110"/>
      <c r="E29" s="110"/>
      <c r="F29" s="110"/>
      <c r="G29" s="110"/>
      <c r="H29" s="110"/>
      <c r="I29" s="110"/>
      <c r="J29" s="110"/>
      <c r="K29" s="110"/>
      <c r="L29" s="110"/>
      <c r="M29" s="110"/>
      <c r="N29" s="110"/>
      <c r="O29" s="110"/>
      <c r="P29" s="110"/>
      <c r="Q29" s="110"/>
      <c r="R29" s="110"/>
      <c r="S29" s="110"/>
      <c r="T29" s="110"/>
      <c r="U29" s="110"/>
      <c r="V29" s="110"/>
      <c r="W29" s="110"/>
      <c r="X29" s="110"/>
      <c r="Y29" s="110"/>
      <c r="Z29" s="110"/>
      <c r="AA29" s="110"/>
      <c r="AB29" s="110"/>
      <c r="AC29" s="110"/>
      <c r="AD29" s="110"/>
      <c r="AE29" s="110"/>
      <c r="AF29" s="110"/>
      <c r="AG29" s="110"/>
      <c r="AH29" s="110"/>
      <c r="AI29" s="110"/>
      <c r="AJ29" s="110"/>
      <c r="AK29" s="110"/>
      <c r="AL29" s="110"/>
      <c r="AM29" s="110"/>
      <c r="AN29" s="110"/>
      <c r="AO29" s="110"/>
      <c r="AP29" s="110"/>
      <c r="AQ29" s="110"/>
      <c r="AR29" s="110"/>
      <c r="AS29" s="110"/>
      <c r="AT29" s="110"/>
      <c r="AU29" s="110"/>
      <c r="AV29" s="110"/>
      <c r="AW29" s="110"/>
      <c r="AX29" s="110"/>
      <c r="AY29" s="110"/>
    </row>
    <row r="30" spans="1:51">
      <c r="A30" s="109"/>
      <c r="B30" s="127">
        <v>6</v>
      </c>
      <c r="C30" s="109" t="s">
        <v>293</v>
      </c>
      <c r="D30" s="110"/>
      <c r="E30" s="110"/>
      <c r="F30" s="110"/>
      <c r="G30" s="110"/>
      <c r="H30" s="110"/>
      <c r="I30" s="110"/>
      <c r="J30" s="110"/>
      <c r="K30" s="110"/>
      <c r="L30" s="110"/>
      <c r="M30" s="110"/>
      <c r="N30" s="110"/>
      <c r="O30" s="110"/>
      <c r="P30" s="110"/>
      <c r="Q30" s="110"/>
      <c r="R30" s="110"/>
      <c r="S30" s="110"/>
      <c r="T30" s="110"/>
      <c r="U30" s="110"/>
      <c r="V30" s="110"/>
      <c r="W30" s="110">
        <v>0</v>
      </c>
      <c r="X30" s="110"/>
      <c r="Y30" s="110"/>
      <c r="Z30" s="110"/>
      <c r="AA30" s="110"/>
      <c r="AB30" s="110"/>
      <c r="AC30" s="110"/>
      <c r="AD30" s="110"/>
      <c r="AE30" s="110"/>
      <c r="AF30" s="110"/>
      <c r="AG30" s="110"/>
      <c r="AH30" s="110"/>
      <c r="AI30" s="110"/>
      <c r="AJ30" s="110"/>
      <c r="AK30" s="110"/>
      <c r="AL30" s="110"/>
      <c r="AM30" s="110"/>
      <c r="AN30" s="110"/>
      <c r="AO30" s="110"/>
      <c r="AP30" s="110"/>
      <c r="AQ30" s="110"/>
      <c r="AR30" s="110"/>
      <c r="AS30" s="110"/>
      <c r="AT30" s="110"/>
      <c r="AU30" s="110"/>
      <c r="AV30" s="110"/>
      <c r="AW30" s="110"/>
      <c r="AX30" s="110"/>
      <c r="AY30" s="110"/>
    </row>
    <row r="31" spans="1:51">
      <c r="A31" s="109"/>
      <c r="B31" s="130">
        <v>7</v>
      </c>
      <c r="C31" s="109" t="s">
        <v>293</v>
      </c>
      <c r="D31" s="110"/>
      <c r="E31" s="110"/>
      <c r="F31" s="110"/>
      <c r="G31" s="110"/>
      <c r="H31" s="110"/>
      <c r="I31" s="110"/>
      <c r="J31" s="110"/>
      <c r="K31" s="110"/>
      <c r="L31" s="110"/>
      <c r="M31" s="110">
        <v>0</v>
      </c>
      <c r="N31" s="110">
        <v>0</v>
      </c>
      <c r="O31" s="110"/>
      <c r="P31" s="110"/>
      <c r="Q31" s="110"/>
      <c r="R31" s="110"/>
      <c r="S31" s="110"/>
      <c r="T31" s="110"/>
      <c r="U31" s="110"/>
      <c r="V31" s="110"/>
      <c r="W31" s="110">
        <v>0</v>
      </c>
      <c r="X31" s="110"/>
      <c r="Y31" s="110"/>
      <c r="Z31" s="110"/>
      <c r="AA31" s="110"/>
      <c r="AB31" s="110"/>
      <c r="AC31" s="110"/>
      <c r="AD31" s="110"/>
      <c r="AE31" s="110"/>
      <c r="AF31" s="110"/>
      <c r="AG31" s="110"/>
      <c r="AH31" s="110"/>
      <c r="AI31" s="110"/>
      <c r="AJ31" s="110"/>
      <c r="AK31" s="110"/>
      <c r="AL31" s="110"/>
      <c r="AM31" s="110"/>
      <c r="AN31" s="110"/>
      <c r="AO31" s="110"/>
      <c r="AP31" s="110"/>
      <c r="AQ31" s="110"/>
      <c r="AR31" s="110"/>
      <c r="AS31" s="110"/>
      <c r="AT31" s="110"/>
      <c r="AU31" s="110"/>
      <c r="AV31" s="110"/>
      <c r="AW31" s="110"/>
      <c r="AX31" s="110"/>
      <c r="AY31" s="110"/>
    </row>
    <row r="32" spans="1:51">
      <c r="A32" s="128"/>
      <c r="B32" s="129">
        <v>8</v>
      </c>
      <c r="C32" s="128" t="s">
        <v>293</v>
      </c>
      <c r="D32" s="125">
        <v>0</v>
      </c>
      <c r="E32" s="125">
        <v>0</v>
      </c>
      <c r="F32" s="125">
        <v>0</v>
      </c>
      <c r="G32" s="125">
        <v>0</v>
      </c>
      <c r="H32" s="125">
        <v>0</v>
      </c>
      <c r="I32" s="125">
        <v>0</v>
      </c>
      <c r="J32" s="125">
        <v>0</v>
      </c>
      <c r="K32" s="125">
        <v>0</v>
      </c>
      <c r="L32" s="125">
        <v>0</v>
      </c>
      <c r="M32" s="125">
        <v>0</v>
      </c>
      <c r="N32" s="125">
        <v>0</v>
      </c>
      <c r="O32" s="125">
        <v>0</v>
      </c>
      <c r="P32" s="125">
        <v>0</v>
      </c>
      <c r="Q32" s="125">
        <v>0</v>
      </c>
      <c r="R32" s="125">
        <v>0</v>
      </c>
      <c r="S32" s="125">
        <v>0</v>
      </c>
      <c r="T32" s="125">
        <v>0</v>
      </c>
      <c r="U32" s="125">
        <v>0</v>
      </c>
      <c r="V32" s="125">
        <v>0</v>
      </c>
      <c r="W32" s="125">
        <v>0</v>
      </c>
      <c r="X32" s="125">
        <v>0</v>
      </c>
      <c r="Y32" s="125">
        <v>0</v>
      </c>
      <c r="Z32" s="125">
        <v>0</v>
      </c>
      <c r="AA32" s="125">
        <v>0</v>
      </c>
      <c r="AB32" s="125">
        <v>0</v>
      </c>
      <c r="AC32" s="125">
        <v>0</v>
      </c>
      <c r="AD32" s="125">
        <v>0</v>
      </c>
      <c r="AE32" s="125">
        <v>0</v>
      </c>
      <c r="AF32" s="125">
        <v>0</v>
      </c>
      <c r="AG32" s="125">
        <v>0</v>
      </c>
      <c r="AH32" s="125">
        <v>0</v>
      </c>
      <c r="AI32" s="125">
        <v>0</v>
      </c>
      <c r="AJ32" s="125">
        <v>0</v>
      </c>
      <c r="AK32" s="125">
        <v>0</v>
      </c>
      <c r="AL32" s="125">
        <v>0</v>
      </c>
      <c r="AM32" s="125">
        <v>0</v>
      </c>
      <c r="AN32" s="125">
        <v>0</v>
      </c>
      <c r="AO32" s="125">
        <v>0</v>
      </c>
      <c r="AP32" s="125">
        <v>0</v>
      </c>
      <c r="AQ32" s="125">
        <v>0</v>
      </c>
      <c r="AR32" s="125">
        <v>0</v>
      </c>
      <c r="AS32" s="125">
        <v>0</v>
      </c>
      <c r="AT32" s="125">
        <v>0</v>
      </c>
      <c r="AU32" s="125">
        <v>0</v>
      </c>
      <c r="AV32" s="125">
        <v>0</v>
      </c>
      <c r="AW32" s="125">
        <v>0</v>
      </c>
      <c r="AX32" s="125">
        <v>0</v>
      </c>
      <c r="AY32" s="125">
        <v>0</v>
      </c>
    </row>
    <row r="33" spans="1:51">
      <c r="A33" s="131" t="s">
        <v>134</v>
      </c>
      <c r="B33" s="119">
        <v>1</v>
      </c>
      <c r="C33" s="109" t="s">
        <v>293</v>
      </c>
      <c r="D33" s="106"/>
      <c r="E33" s="106"/>
      <c r="F33" s="106"/>
      <c r="G33" s="106"/>
      <c r="H33" s="106"/>
      <c r="I33" s="106"/>
      <c r="J33" s="106"/>
      <c r="K33" s="106"/>
      <c r="L33" s="106"/>
      <c r="M33" s="106"/>
      <c r="N33" s="106"/>
      <c r="O33" s="106"/>
      <c r="P33" s="106"/>
      <c r="Q33" s="106"/>
      <c r="R33" s="106"/>
      <c r="S33" s="106"/>
      <c r="T33" s="106"/>
      <c r="U33" s="106"/>
      <c r="V33" s="106"/>
      <c r="W33" s="106"/>
      <c r="X33" s="106"/>
      <c r="Y33" s="106"/>
      <c r="Z33" s="106"/>
      <c r="AA33" s="106"/>
      <c r="AB33" s="106"/>
      <c r="AC33" s="106"/>
      <c r="AD33" s="106"/>
      <c r="AE33" s="106"/>
      <c r="AF33" s="106"/>
      <c r="AG33" s="106"/>
      <c r="AH33" s="106"/>
      <c r="AI33" s="106"/>
      <c r="AJ33" s="106"/>
      <c r="AK33" s="106"/>
      <c r="AL33" s="106"/>
      <c r="AM33" s="106"/>
      <c r="AN33" s="106"/>
      <c r="AO33" s="106"/>
      <c r="AP33" s="106"/>
      <c r="AQ33" s="106"/>
      <c r="AR33" s="106"/>
      <c r="AS33" s="106"/>
      <c r="AT33" s="106"/>
      <c r="AU33" s="106"/>
      <c r="AV33" s="106"/>
      <c r="AW33" s="106"/>
      <c r="AX33" s="106"/>
      <c r="AY33" s="106"/>
    </row>
    <row r="34" spans="1:51">
      <c r="A34" s="109"/>
      <c r="B34" s="119">
        <v>2</v>
      </c>
      <c r="C34" s="109" t="s">
        <v>293</v>
      </c>
      <c r="D34" s="106"/>
      <c r="E34" s="106"/>
      <c r="F34" s="106"/>
      <c r="G34" s="106"/>
      <c r="H34" s="106"/>
      <c r="I34" s="106"/>
      <c r="J34" s="106"/>
      <c r="K34" s="106"/>
      <c r="L34" s="106"/>
      <c r="M34" s="106"/>
      <c r="N34" s="106"/>
      <c r="O34" s="106"/>
      <c r="P34" s="106"/>
      <c r="Q34" s="106"/>
      <c r="R34" s="106"/>
      <c r="S34" s="106"/>
      <c r="T34" s="106"/>
      <c r="U34" s="106"/>
      <c r="V34" s="106"/>
      <c r="W34" s="106"/>
      <c r="X34" s="106"/>
      <c r="Y34" s="106"/>
      <c r="Z34" s="106"/>
      <c r="AA34" s="106"/>
      <c r="AB34" s="106"/>
      <c r="AC34" s="106"/>
      <c r="AD34" s="106"/>
      <c r="AE34" s="106"/>
      <c r="AF34" s="106"/>
      <c r="AG34" s="106"/>
      <c r="AH34" s="106"/>
      <c r="AI34" s="106"/>
      <c r="AJ34" s="106"/>
      <c r="AK34" s="106"/>
      <c r="AL34" s="106"/>
      <c r="AM34" s="106"/>
      <c r="AN34" s="106"/>
      <c r="AO34" s="106"/>
      <c r="AP34" s="106"/>
      <c r="AQ34" s="106"/>
      <c r="AR34" s="106"/>
      <c r="AS34" s="106"/>
      <c r="AT34" s="106"/>
      <c r="AU34" s="106"/>
      <c r="AV34" s="106"/>
      <c r="AW34" s="106"/>
      <c r="AX34" s="106"/>
      <c r="AY34" s="106"/>
    </row>
    <row r="35" spans="1:51">
      <c r="A35" s="109"/>
      <c r="B35" s="119">
        <v>3</v>
      </c>
      <c r="C35" s="109" t="s">
        <v>293</v>
      </c>
      <c r="D35" s="106"/>
      <c r="E35" s="106"/>
      <c r="F35" s="106"/>
      <c r="G35" s="106"/>
      <c r="H35" s="106"/>
      <c r="I35" s="106"/>
      <c r="J35" s="106"/>
      <c r="K35" s="106"/>
      <c r="L35" s="106"/>
      <c r="M35" s="106"/>
      <c r="N35" s="106"/>
      <c r="O35" s="106"/>
      <c r="P35" s="106"/>
      <c r="Q35" s="106"/>
      <c r="R35" s="106"/>
      <c r="S35" s="106"/>
      <c r="T35" s="106"/>
      <c r="U35" s="106"/>
      <c r="V35" s="106"/>
      <c r="W35" s="106"/>
      <c r="X35" s="106"/>
      <c r="Y35" s="106"/>
      <c r="Z35" s="106"/>
      <c r="AA35" s="106"/>
      <c r="AB35" s="106"/>
      <c r="AC35" s="106"/>
      <c r="AD35" s="106"/>
      <c r="AE35" s="106"/>
      <c r="AF35" s="106"/>
      <c r="AG35" s="106"/>
      <c r="AH35" s="106"/>
      <c r="AI35" s="106"/>
      <c r="AJ35" s="106"/>
      <c r="AK35" s="106"/>
      <c r="AL35" s="106"/>
      <c r="AM35" s="106"/>
      <c r="AN35" s="106"/>
      <c r="AO35" s="106"/>
      <c r="AP35" s="106"/>
      <c r="AQ35" s="106"/>
      <c r="AR35" s="106"/>
      <c r="AS35" s="106"/>
      <c r="AT35" s="106"/>
      <c r="AU35" s="106"/>
      <c r="AV35" s="106"/>
      <c r="AW35" s="106"/>
      <c r="AX35" s="106"/>
      <c r="AY35" s="106"/>
    </row>
    <row r="36" spans="1:51">
      <c r="A36" s="109"/>
      <c r="B36" s="120">
        <v>4</v>
      </c>
      <c r="C36" s="109" t="s">
        <v>293</v>
      </c>
      <c r="D36" s="106"/>
      <c r="E36" s="106"/>
      <c r="F36" s="106"/>
      <c r="G36" s="106"/>
      <c r="H36" s="106"/>
      <c r="I36" s="106"/>
      <c r="J36" s="106"/>
      <c r="K36" s="106"/>
      <c r="L36" s="106"/>
      <c r="M36" s="106"/>
      <c r="N36" s="106"/>
      <c r="O36" s="106"/>
      <c r="P36" s="106"/>
      <c r="Q36" s="106"/>
      <c r="R36" s="106"/>
      <c r="S36" s="106"/>
      <c r="T36" s="106"/>
      <c r="U36" s="106"/>
      <c r="V36" s="106"/>
      <c r="W36" s="106"/>
      <c r="X36" s="106"/>
      <c r="Y36" s="106"/>
      <c r="Z36" s="106"/>
      <c r="AA36" s="106"/>
      <c r="AB36" s="106"/>
      <c r="AC36" s="106"/>
      <c r="AD36" s="106"/>
      <c r="AE36" s="106"/>
      <c r="AF36" s="106"/>
      <c r="AG36" s="106"/>
      <c r="AH36" s="106"/>
      <c r="AI36" s="106"/>
      <c r="AJ36" s="106"/>
      <c r="AK36" s="106"/>
      <c r="AL36" s="106"/>
      <c r="AM36" s="106"/>
      <c r="AN36" s="106"/>
      <c r="AO36" s="106"/>
      <c r="AP36" s="106"/>
      <c r="AQ36" s="106"/>
      <c r="AR36" s="106"/>
      <c r="AS36" s="106"/>
      <c r="AT36" s="106"/>
      <c r="AU36" s="106"/>
      <c r="AV36" s="106"/>
      <c r="AW36" s="106"/>
      <c r="AX36" s="106"/>
      <c r="AY36" s="106"/>
    </row>
    <row r="37" spans="1:51">
      <c r="A37" s="109"/>
      <c r="B37" s="120">
        <v>5</v>
      </c>
      <c r="C37" s="109" t="s">
        <v>293</v>
      </c>
      <c r="D37" s="106"/>
      <c r="E37" s="106"/>
      <c r="F37" s="106"/>
      <c r="G37" s="106"/>
      <c r="H37" s="106"/>
      <c r="I37" s="106"/>
      <c r="J37" s="106"/>
      <c r="K37" s="106"/>
      <c r="L37" s="106"/>
      <c r="M37" s="106"/>
      <c r="N37" s="106"/>
      <c r="O37" s="106"/>
      <c r="P37" s="106"/>
      <c r="Q37" s="106"/>
      <c r="R37" s="106"/>
      <c r="S37" s="106"/>
      <c r="T37" s="106"/>
      <c r="U37" s="106"/>
      <c r="V37" s="106"/>
      <c r="W37" s="106"/>
      <c r="X37" s="106"/>
      <c r="Y37" s="106"/>
      <c r="Z37" s="106"/>
      <c r="AA37" s="106"/>
      <c r="AB37" s="106"/>
      <c r="AC37" s="106"/>
      <c r="AD37" s="106"/>
      <c r="AE37" s="106"/>
      <c r="AF37" s="106"/>
      <c r="AG37" s="106"/>
      <c r="AH37" s="106"/>
      <c r="AI37" s="106"/>
      <c r="AJ37" s="106"/>
      <c r="AK37" s="106"/>
      <c r="AL37" s="106"/>
      <c r="AM37" s="106"/>
      <c r="AN37" s="106"/>
      <c r="AO37" s="106"/>
      <c r="AP37" s="106"/>
      <c r="AQ37" s="106"/>
      <c r="AR37" s="106"/>
      <c r="AS37" s="106"/>
      <c r="AT37" s="106"/>
      <c r="AU37" s="106"/>
      <c r="AV37" s="106"/>
      <c r="AW37" s="106"/>
      <c r="AX37" s="106"/>
      <c r="AY37" s="106"/>
    </row>
    <row r="38" spans="1:51">
      <c r="A38" s="109"/>
      <c r="B38" s="120">
        <v>6</v>
      </c>
      <c r="C38" s="109" t="s">
        <v>293</v>
      </c>
      <c r="D38" s="106"/>
      <c r="E38" s="106"/>
      <c r="F38" s="106"/>
      <c r="G38" s="106"/>
      <c r="H38" s="106"/>
      <c r="I38" s="106"/>
      <c r="J38" s="106"/>
      <c r="K38" s="106"/>
      <c r="L38" s="106"/>
      <c r="M38" s="106"/>
      <c r="N38" s="106"/>
      <c r="O38" s="106"/>
      <c r="P38" s="106"/>
      <c r="Q38" s="106"/>
      <c r="R38" s="106"/>
      <c r="S38" s="106"/>
      <c r="T38" s="106"/>
      <c r="U38" s="106"/>
      <c r="V38" s="106"/>
      <c r="W38" s="106"/>
      <c r="X38" s="106"/>
      <c r="Y38" s="106"/>
      <c r="Z38" s="106"/>
      <c r="AA38" s="106"/>
      <c r="AB38" s="106"/>
      <c r="AC38" s="106"/>
      <c r="AD38" s="106"/>
      <c r="AE38" s="106"/>
      <c r="AF38" s="106"/>
      <c r="AG38" s="106"/>
      <c r="AH38" s="106"/>
      <c r="AI38" s="106"/>
      <c r="AJ38" s="106"/>
      <c r="AK38" s="106"/>
      <c r="AL38" s="106"/>
      <c r="AM38" s="106"/>
      <c r="AN38" s="106"/>
      <c r="AO38" s="106"/>
      <c r="AP38" s="106"/>
      <c r="AQ38" s="106"/>
      <c r="AR38" s="106"/>
      <c r="AS38" s="106"/>
      <c r="AT38" s="106"/>
      <c r="AU38" s="106"/>
      <c r="AV38" s="106"/>
      <c r="AW38" s="106"/>
      <c r="AX38" s="106"/>
      <c r="AY38" s="106"/>
    </row>
    <row r="39" spans="1:51">
      <c r="A39" s="109"/>
      <c r="B39" s="127">
        <v>7</v>
      </c>
      <c r="C39" s="109" t="s">
        <v>293</v>
      </c>
      <c r="D39" s="106"/>
      <c r="E39" s="106"/>
      <c r="F39" s="106"/>
      <c r="G39" s="106"/>
      <c r="H39" s="106"/>
      <c r="I39" s="106"/>
      <c r="J39" s="106"/>
      <c r="K39" s="106"/>
      <c r="L39" s="106"/>
      <c r="M39" s="106"/>
      <c r="N39" s="106"/>
      <c r="O39" s="106"/>
      <c r="P39" s="106"/>
      <c r="Q39" s="106"/>
      <c r="R39" s="106"/>
      <c r="S39" s="106"/>
      <c r="T39" s="106"/>
      <c r="U39" s="106"/>
      <c r="V39" s="106"/>
      <c r="W39" s="106"/>
      <c r="X39" s="106"/>
      <c r="Y39" s="106"/>
      <c r="Z39" s="106"/>
      <c r="AA39" s="106"/>
      <c r="AB39" s="106"/>
      <c r="AC39" s="106"/>
      <c r="AD39" s="106"/>
      <c r="AE39" s="106"/>
      <c r="AF39" s="106"/>
      <c r="AG39" s="106"/>
      <c r="AH39" s="106"/>
      <c r="AI39" s="106"/>
      <c r="AJ39" s="106"/>
      <c r="AK39" s="106"/>
      <c r="AL39" s="106"/>
      <c r="AM39" s="106"/>
      <c r="AN39" s="106"/>
      <c r="AO39" s="106"/>
      <c r="AP39" s="106"/>
      <c r="AQ39" s="106"/>
      <c r="AR39" s="106"/>
      <c r="AS39" s="106"/>
      <c r="AT39" s="106"/>
      <c r="AU39" s="106"/>
      <c r="AV39" s="106"/>
      <c r="AW39" s="106"/>
      <c r="AX39" s="106"/>
      <c r="AY39" s="106"/>
    </row>
    <row r="40" spans="1:51">
      <c r="A40" s="109"/>
      <c r="B40" s="127">
        <v>8</v>
      </c>
      <c r="C40" s="109" t="s">
        <v>293</v>
      </c>
      <c r="D40" s="106"/>
      <c r="E40" s="106"/>
      <c r="F40" s="106"/>
      <c r="G40" s="106"/>
      <c r="H40" s="106"/>
      <c r="I40" s="106"/>
      <c r="J40" s="106"/>
      <c r="K40" s="106"/>
      <c r="L40" s="106"/>
      <c r="M40" s="106"/>
      <c r="N40" s="106"/>
      <c r="O40" s="106"/>
      <c r="P40" s="106"/>
      <c r="Q40" s="106"/>
      <c r="R40" s="106"/>
      <c r="S40" s="106"/>
      <c r="T40" s="106"/>
      <c r="U40" s="106"/>
      <c r="V40" s="106"/>
      <c r="W40" s="106"/>
      <c r="X40" s="106"/>
      <c r="Y40" s="106"/>
      <c r="Z40" s="106"/>
      <c r="AA40" s="106"/>
      <c r="AB40" s="106"/>
      <c r="AC40" s="106"/>
      <c r="AD40" s="106"/>
      <c r="AE40" s="106"/>
      <c r="AF40" s="106"/>
      <c r="AG40" s="106"/>
      <c r="AH40" s="106"/>
      <c r="AI40" s="106"/>
      <c r="AJ40" s="106"/>
      <c r="AK40" s="106"/>
      <c r="AL40" s="106"/>
      <c r="AM40" s="106"/>
      <c r="AN40" s="106"/>
      <c r="AO40" s="106"/>
      <c r="AP40" s="106"/>
      <c r="AQ40" s="106"/>
      <c r="AR40" s="106"/>
      <c r="AS40" s="106"/>
      <c r="AT40" s="106"/>
      <c r="AU40" s="106"/>
      <c r="AV40" s="106"/>
      <c r="AW40" s="106"/>
      <c r="AX40" s="106"/>
      <c r="AY40" s="106"/>
    </row>
    <row r="41" spans="1:51">
      <c r="A41" s="109"/>
      <c r="B41" s="127">
        <v>9</v>
      </c>
      <c r="C41" s="109" t="s">
        <v>293</v>
      </c>
      <c r="D41" s="106"/>
      <c r="E41" s="106"/>
      <c r="F41" s="106"/>
      <c r="G41" s="106"/>
      <c r="H41" s="106"/>
      <c r="I41" s="106"/>
      <c r="J41" s="106"/>
      <c r="K41" s="106"/>
      <c r="L41" s="106"/>
      <c r="M41" s="106"/>
      <c r="N41" s="106"/>
      <c r="O41" s="106"/>
      <c r="P41" s="106"/>
      <c r="Q41" s="106"/>
      <c r="R41" s="106"/>
      <c r="S41" s="106"/>
      <c r="T41" s="106"/>
      <c r="U41" s="106"/>
      <c r="V41" s="106"/>
      <c r="W41" s="106"/>
      <c r="X41" s="106"/>
      <c r="Y41" s="106"/>
      <c r="Z41" s="106"/>
      <c r="AA41" s="106"/>
      <c r="AB41" s="106"/>
      <c r="AC41" s="106"/>
      <c r="AD41" s="106"/>
      <c r="AE41" s="106"/>
      <c r="AF41" s="106"/>
      <c r="AG41" s="106"/>
      <c r="AH41" s="106"/>
      <c r="AI41" s="106"/>
      <c r="AJ41" s="106"/>
      <c r="AK41" s="106"/>
      <c r="AL41" s="106"/>
      <c r="AM41" s="106"/>
      <c r="AN41" s="106"/>
      <c r="AO41" s="106"/>
      <c r="AP41" s="106"/>
      <c r="AQ41" s="106"/>
      <c r="AR41" s="106"/>
      <c r="AS41" s="106"/>
      <c r="AT41" s="106"/>
      <c r="AU41" s="106"/>
      <c r="AV41" s="106"/>
      <c r="AW41" s="106"/>
      <c r="AX41" s="106"/>
      <c r="AY41" s="106"/>
    </row>
    <row r="42" spans="1:51">
      <c r="A42" s="109"/>
      <c r="B42" s="130">
        <v>10</v>
      </c>
      <c r="C42" s="109" t="s">
        <v>293</v>
      </c>
      <c r="D42" s="106"/>
      <c r="E42" s="106"/>
      <c r="F42" s="106"/>
      <c r="G42" s="106"/>
      <c r="H42" s="106"/>
      <c r="I42" s="106"/>
      <c r="J42" s="106"/>
      <c r="K42" s="106"/>
      <c r="L42" s="106"/>
      <c r="M42" s="106"/>
      <c r="N42" s="106"/>
      <c r="O42" s="106"/>
      <c r="P42" s="106"/>
      <c r="Q42" s="106"/>
      <c r="R42" s="106"/>
      <c r="S42" s="106"/>
      <c r="T42" s="106"/>
      <c r="U42" s="106"/>
      <c r="V42" s="106"/>
      <c r="W42" s="106">
        <v>0</v>
      </c>
      <c r="X42" s="106"/>
      <c r="Y42" s="106"/>
      <c r="Z42" s="106"/>
      <c r="AA42" s="106"/>
      <c r="AB42" s="106"/>
      <c r="AC42" s="106"/>
      <c r="AD42" s="106"/>
      <c r="AE42" s="106"/>
      <c r="AF42" s="106"/>
      <c r="AG42" s="106"/>
      <c r="AH42" s="106"/>
      <c r="AI42" s="106"/>
      <c r="AJ42" s="106"/>
      <c r="AK42" s="106"/>
      <c r="AL42" s="106"/>
      <c r="AM42" s="106"/>
      <c r="AN42" s="106"/>
      <c r="AO42" s="106"/>
      <c r="AP42" s="106"/>
      <c r="AQ42" s="106"/>
      <c r="AR42" s="106"/>
      <c r="AS42" s="106"/>
      <c r="AT42" s="106"/>
      <c r="AU42" s="106"/>
      <c r="AV42" s="106"/>
      <c r="AW42" s="106"/>
      <c r="AX42" s="106"/>
      <c r="AY42" s="106"/>
    </row>
    <row r="43" spans="1:51">
      <c r="A43" s="109"/>
      <c r="B43" s="130">
        <v>11</v>
      </c>
      <c r="C43" s="109" t="s">
        <v>293</v>
      </c>
      <c r="D43" s="106"/>
      <c r="E43" s="106"/>
      <c r="F43" s="106"/>
      <c r="G43" s="106"/>
      <c r="H43" s="106"/>
      <c r="I43" s="106"/>
      <c r="J43" s="106"/>
      <c r="K43" s="106"/>
      <c r="L43" s="106"/>
      <c r="M43" s="106">
        <v>0</v>
      </c>
      <c r="N43" s="106">
        <v>0</v>
      </c>
      <c r="O43" s="106"/>
      <c r="P43" s="106"/>
      <c r="Q43" s="106"/>
      <c r="R43" s="106"/>
      <c r="S43" s="106"/>
      <c r="T43" s="106"/>
      <c r="U43" s="106"/>
      <c r="V43" s="106"/>
      <c r="W43" s="106">
        <v>0</v>
      </c>
      <c r="X43" s="106"/>
      <c r="Y43" s="106"/>
      <c r="Z43" s="106"/>
      <c r="AA43" s="106"/>
      <c r="AB43" s="106"/>
      <c r="AC43" s="106"/>
      <c r="AD43" s="106"/>
      <c r="AE43" s="106"/>
      <c r="AF43" s="106"/>
      <c r="AG43" s="106"/>
      <c r="AH43" s="106"/>
      <c r="AI43" s="106"/>
      <c r="AJ43" s="106"/>
      <c r="AK43" s="106"/>
      <c r="AL43" s="106"/>
      <c r="AM43" s="106"/>
      <c r="AN43" s="106"/>
      <c r="AO43" s="106"/>
      <c r="AP43" s="106"/>
      <c r="AQ43" s="106"/>
      <c r="AR43" s="106"/>
      <c r="AS43" s="106"/>
      <c r="AT43" s="106"/>
      <c r="AU43" s="106"/>
      <c r="AV43" s="106"/>
      <c r="AW43" s="106"/>
      <c r="AX43" s="106"/>
      <c r="AY43" s="106"/>
    </row>
    <row r="44" spans="1:51">
      <c r="A44" s="109"/>
      <c r="B44" s="130">
        <v>12</v>
      </c>
      <c r="C44" s="128" t="s">
        <v>293</v>
      </c>
      <c r="D44" s="106">
        <v>0</v>
      </c>
      <c r="E44" s="106">
        <v>0</v>
      </c>
      <c r="F44" s="106">
        <v>0</v>
      </c>
      <c r="G44" s="106">
        <v>0</v>
      </c>
      <c r="H44" s="106">
        <v>0</v>
      </c>
      <c r="I44" s="106">
        <v>0</v>
      </c>
      <c r="J44" s="106">
        <v>0</v>
      </c>
      <c r="K44" s="106">
        <v>0</v>
      </c>
      <c r="L44" s="106">
        <v>0</v>
      </c>
      <c r="M44" s="106">
        <v>0</v>
      </c>
      <c r="N44" s="106">
        <v>0</v>
      </c>
      <c r="O44" s="106">
        <v>0</v>
      </c>
      <c r="P44" s="106">
        <v>0</v>
      </c>
      <c r="Q44" s="106">
        <v>0</v>
      </c>
      <c r="R44" s="106">
        <v>0</v>
      </c>
      <c r="S44" s="106">
        <v>0</v>
      </c>
      <c r="T44" s="106">
        <v>0</v>
      </c>
      <c r="U44" s="106">
        <v>0</v>
      </c>
      <c r="V44" s="106">
        <v>0</v>
      </c>
      <c r="W44" s="106">
        <v>0</v>
      </c>
      <c r="X44" s="106">
        <v>0</v>
      </c>
      <c r="Y44" s="106">
        <v>0</v>
      </c>
      <c r="Z44" s="106">
        <v>0</v>
      </c>
      <c r="AA44" s="106">
        <v>0</v>
      </c>
      <c r="AB44" s="106">
        <v>0</v>
      </c>
      <c r="AC44" s="106">
        <v>0</v>
      </c>
      <c r="AD44" s="106">
        <v>0</v>
      </c>
      <c r="AE44" s="106">
        <v>0</v>
      </c>
      <c r="AF44" s="106">
        <v>0</v>
      </c>
      <c r="AG44" s="106">
        <v>0</v>
      </c>
      <c r="AH44" s="106">
        <v>0</v>
      </c>
      <c r="AI44" s="106">
        <v>0</v>
      </c>
      <c r="AJ44" s="106">
        <v>0</v>
      </c>
      <c r="AK44" s="106">
        <v>0</v>
      </c>
      <c r="AL44" s="106">
        <v>0</v>
      </c>
      <c r="AM44" s="106">
        <v>0</v>
      </c>
      <c r="AN44" s="106">
        <v>0</v>
      </c>
      <c r="AO44" s="106">
        <v>0</v>
      </c>
      <c r="AP44" s="106">
        <v>0</v>
      </c>
      <c r="AQ44" s="106">
        <v>0</v>
      </c>
      <c r="AR44" s="106">
        <v>0</v>
      </c>
      <c r="AS44" s="106">
        <v>0</v>
      </c>
      <c r="AT44" s="106">
        <v>0</v>
      </c>
      <c r="AU44" s="106">
        <v>0</v>
      </c>
      <c r="AV44" s="106">
        <v>0</v>
      </c>
      <c r="AW44" s="106">
        <v>0</v>
      </c>
      <c r="AX44" s="106">
        <v>0</v>
      </c>
      <c r="AY44" s="106">
        <v>0</v>
      </c>
    </row>
    <row r="45" spans="1:51">
      <c r="A45" s="126" t="s">
        <v>123</v>
      </c>
      <c r="B45" s="123">
        <v>1</v>
      </c>
      <c r="C45" s="109" t="s">
        <v>293</v>
      </c>
      <c r="D45" s="124"/>
      <c r="E45" s="124"/>
      <c r="F45" s="124"/>
      <c r="G45" s="124"/>
      <c r="H45" s="124"/>
      <c r="I45" s="124"/>
      <c r="J45" s="124"/>
      <c r="K45" s="124"/>
      <c r="L45" s="124"/>
      <c r="M45" s="124"/>
      <c r="N45" s="124"/>
      <c r="O45" s="124"/>
      <c r="P45" s="124"/>
      <c r="Q45" s="124"/>
      <c r="R45" s="124"/>
      <c r="S45" s="124"/>
      <c r="T45" s="124"/>
      <c r="U45" s="124"/>
      <c r="V45" s="124"/>
      <c r="W45" s="124"/>
      <c r="X45" s="124"/>
      <c r="Y45" s="124"/>
      <c r="Z45" s="124"/>
      <c r="AA45" s="124"/>
      <c r="AB45" s="124"/>
      <c r="AC45" s="124"/>
      <c r="AD45" s="124"/>
      <c r="AE45" s="124"/>
      <c r="AF45" s="124"/>
      <c r="AG45" s="124"/>
      <c r="AH45" s="124"/>
      <c r="AI45" s="124"/>
      <c r="AJ45" s="124"/>
      <c r="AK45" s="124"/>
      <c r="AL45" s="124"/>
      <c r="AM45" s="124"/>
      <c r="AN45" s="124"/>
      <c r="AO45" s="124"/>
      <c r="AP45" s="124"/>
      <c r="AQ45" s="124"/>
      <c r="AR45" s="124"/>
      <c r="AS45" s="124"/>
      <c r="AT45" s="124"/>
      <c r="AU45" s="124"/>
      <c r="AV45" s="124"/>
      <c r="AW45" s="124"/>
      <c r="AX45" s="124"/>
      <c r="AY45" s="124"/>
    </row>
    <row r="46" spans="1:51">
      <c r="A46" s="109"/>
      <c r="B46" s="119">
        <v>2</v>
      </c>
      <c r="C46" s="109" t="s">
        <v>293</v>
      </c>
      <c r="D46" s="110"/>
      <c r="E46" s="110"/>
      <c r="F46" s="110"/>
      <c r="G46" s="110"/>
      <c r="H46" s="110"/>
      <c r="I46" s="110"/>
      <c r="J46" s="110"/>
      <c r="K46" s="110"/>
      <c r="L46" s="110"/>
      <c r="M46" s="110"/>
      <c r="N46" s="110"/>
      <c r="O46" s="110"/>
      <c r="P46" s="110"/>
      <c r="Q46" s="110"/>
      <c r="R46" s="110"/>
      <c r="S46" s="110"/>
      <c r="T46" s="110"/>
      <c r="U46" s="110"/>
      <c r="V46" s="110"/>
      <c r="W46" s="110"/>
      <c r="X46" s="110"/>
      <c r="Y46" s="110"/>
      <c r="Z46" s="110"/>
      <c r="AA46" s="110"/>
      <c r="AB46" s="110"/>
      <c r="AC46" s="110"/>
      <c r="AD46" s="110"/>
      <c r="AE46" s="110"/>
      <c r="AF46" s="110"/>
      <c r="AG46" s="110"/>
      <c r="AH46" s="110"/>
      <c r="AI46" s="110"/>
      <c r="AJ46" s="110"/>
      <c r="AK46" s="110"/>
      <c r="AL46" s="110"/>
      <c r="AM46" s="110"/>
      <c r="AN46" s="110"/>
      <c r="AO46" s="110"/>
      <c r="AP46" s="110"/>
      <c r="AQ46" s="110"/>
      <c r="AR46" s="110"/>
      <c r="AS46" s="110"/>
      <c r="AT46" s="110"/>
      <c r="AU46" s="110"/>
      <c r="AV46" s="110"/>
      <c r="AW46" s="110"/>
      <c r="AX46" s="110"/>
      <c r="AY46" s="110"/>
    </row>
    <row r="47" spans="1:51">
      <c r="A47" s="109"/>
      <c r="B47" s="119">
        <v>3</v>
      </c>
      <c r="C47" s="109" t="s">
        <v>293</v>
      </c>
      <c r="D47" s="110"/>
      <c r="E47" s="110"/>
      <c r="F47" s="110"/>
      <c r="G47" s="110"/>
      <c r="H47" s="110"/>
      <c r="I47" s="110"/>
      <c r="J47" s="110"/>
      <c r="K47" s="110"/>
      <c r="L47" s="110"/>
      <c r="M47" s="110"/>
      <c r="N47" s="110"/>
      <c r="O47" s="110"/>
      <c r="P47" s="110"/>
      <c r="Q47" s="110"/>
      <c r="R47" s="110"/>
      <c r="S47" s="110"/>
      <c r="T47" s="110"/>
      <c r="U47" s="110"/>
      <c r="V47" s="110"/>
      <c r="W47" s="110"/>
      <c r="X47" s="110"/>
      <c r="Y47" s="110"/>
      <c r="Z47" s="110"/>
      <c r="AA47" s="110"/>
      <c r="AB47" s="110"/>
      <c r="AC47" s="110"/>
      <c r="AD47" s="110"/>
      <c r="AE47" s="110"/>
      <c r="AF47" s="110"/>
      <c r="AG47" s="110"/>
      <c r="AH47" s="110"/>
      <c r="AI47" s="110"/>
      <c r="AJ47" s="110"/>
      <c r="AK47" s="110"/>
      <c r="AL47" s="110"/>
      <c r="AM47" s="110"/>
      <c r="AN47" s="110"/>
      <c r="AO47" s="110"/>
      <c r="AP47" s="110"/>
      <c r="AQ47" s="110"/>
      <c r="AR47" s="110"/>
      <c r="AS47" s="110"/>
      <c r="AT47" s="110"/>
      <c r="AU47" s="110"/>
      <c r="AV47" s="110"/>
      <c r="AW47" s="110"/>
      <c r="AX47" s="110"/>
      <c r="AY47" s="110"/>
    </row>
    <row r="48" spans="1:51">
      <c r="A48" s="109"/>
      <c r="B48" s="119">
        <v>4</v>
      </c>
      <c r="C48" s="109" t="s">
        <v>293</v>
      </c>
      <c r="D48" s="110"/>
      <c r="E48" s="110"/>
      <c r="F48" s="110"/>
      <c r="G48" s="110"/>
      <c r="H48" s="110"/>
      <c r="I48" s="110"/>
      <c r="J48" s="110"/>
      <c r="K48" s="110"/>
      <c r="L48" s="110"/>
      <c r="M48" s="110"/>
      <c r="N48" s="110"/>
      <c r="O48" s="110"/>
      <c r="P48" s="110"/>
      <c r="Q48" s="110"/>
      <c r="R48" s="110"/>
      <c r="S48" s="110"/>
      <c r="T48" s="110"/>
      <c r="U48" s="110"/>
      <c r="V48" s="110"/>
      <c r="W48" s="110"/>
      <c r="X48" s="110"/>
      <c r="Y48" s="110"/>
      <c r="Z48" s="110"/>
      <c r="AA48" s="110"/>
      <c r="AB48" s="110"/>
      <c r="AC48" s="110"/>
      <c r="AD48" s="110"/>
      <c r="AE48" s="110"/>
      <c r="AF48" s="110"/>
      <c r="AG48" s="110"/>
      <c r="AH48" s="110"/>
      <c r="AI48" s="110"/>
      <c r="AJ48" s="110"/>
      <c r="AK48" s="110"/>
      <c r="AL48" s="110"/>
      <c r="AM48" s="110"/>
      <c r="AN48" s="110"/>
      <c r="AO48" s="110"/>
      <c r="AP48" s="110"/>
      <c r="AQ48" s="110"/>
      <c r="AR48" s="110"/>
      <c r="AS48" s="110"/>
      <c r="AT48" s="110"/>
      <c r="AU48" s="110"/>
      <c r="AV48" s="110"/>
      <c r="AW48" s="110"/>
      <c r="AX48" s="110"/>
      <c r="AY48" s="110"/>
    </row>
    <row r="49" spans="1:51">
      <c r="A49" s="109"/>
      <c r="B49" s="119">
        <v>5</v>
      </c>
      <c r="C49" s="109" t="s">
        <v>293</v>
      </c>
      <c r="D49" s="110"/>
      <c r="E49" s="110"/>
      <c r="F49" s="110"/>
      <c r="G49" s="110"/>
      <c r="H49" s="110"/>
      <c r="I49" s="110"/>
      <c r="J49" s="110"/>
      <c r="K49" s="110"/>
      <c r="L49" s="110"/>
      <c r="M49" s="110"/>
      <c r="N49" s="110"/>
      <c r="O49" s="110"/>
      <c r="P49" s="110"/>
      <c r="Q49" s="110"/>
      <c r="R49" s="110"/>
      <c r="S49" s="110"/>
      <c r="T49" s="110"/>
      <c r="U49" s="110"/>
      <c r="V49" s="110"/>
      <c r="W49" s="110"/>
      <c r="X49" s="110"/>
      <c r="Y49" s="110"/>
      <c r="Z49" s="110"/>
      <c r="AA49" s="110"/>
      <c r="AB49" s="110"/>
      <c r="AC49" s="110"/>
      <c r="AD49" s="110"/>
      <c r="AE49" s="110"/>
      <c r="AF49" s="110"/>
      <c r="AG49" s="110"/>
      <c r="AH49" s="110"/>
      <c r="AI49" s="110"/>
      <c r="AJ49" s="110"/>
      <c r="AK49" s="110"/>
      <c r="AL49" s="110"/>
      <c r="AM49" s="110"/>
      <c r="AN49" s="110"/>
      <c r="AO49" s="110"/>
      <c r="AP49" s="110"/>
      <c r="AQ49" s="110"/>
      <c r="AR49" s="110"/>
      <c r="AS49" s="110"/>
      <c r="AT49" s="110"/>
      <c r="AU49" s="110"/>
      <c r="AV49" s="110"/>
      <c r="AW49" s="110"/>
      <c r="AX49" s="110"/>
      <c r="AY49" s="110"/>
    </row>
    <row r="50" spans="1:51">
      <c r="A50" s="109"/>
      <c r="B50" s="119">
        <v>6</v>
      </c>
      <c r="C50" s="109" t="s">
        <v>293</v>
      </c>
      <c r="D50" s="110"/>
      <c r="E50" s="110"/>
      <c r="F50" s="110"/>
      <c r="G50" s="110"/>
      <c r="H50" s="110"/>
      <c r="I50" s="110"/>
      <c r="J50" s="110"/>
      <c r="K50" s="110"/>
      <c r="L50" s="110"/>
      <c r="M50" s="110"/>
      <c r="N50" s="110"/>
      <c r="O50" s="110"/>
      <c r="P50" s="110"/>
      <c r="Q50" s="110"/>
      <c r="R50" s="110"/>
      <c r="S50" s="110"/>
      <c r="T50" s="110"/>
      <c r="U50" s="110"/>
      <c r="V50" s="110"/>
      <c r="W50" s="110"/>
      <c r="X50" s="110"/>
      <c r="Y50" s="110"/>
      <c r="Z50" s="110"/>
      <c r="AA50" s="110"/>
      <c r="AB50" s="110"/>
      <c r="AC50" s="110"/>
      <c r="AD50" s="110"/>
      <c r="AE50" s="110"/>
      <c r="AF50" s="110"/>
      <c r="AG50" s="110"/>
      <c r="AH50" s="110"/>
      <c r="AI50" s="110"/>
      <c r="AJ50" s="110"/>
      <c r="AK50" s="110"/>
      <c r="AL50" s="110"/>
      <c r="AM50" s="110"/>
      <c r="AN50" s="110"/>
      <c r="AO50" s="110"/>
      <c r="AP50" s="110"/>
      <c r="AQ50" s="110"/>
      <c r="AR50" s="110"/>
      <c r="AS50" s="110"/>
      <c r="AT50" s="110"/>
      <c r="AU50" s="110"/>
      <c r="AV50" s="110"/>
      <c r="AW50" s="110"/>
      <c r="AX50" s="110"/>
      <c r="AY50" s="110"/>
    </row>
    <row r="51" spans="1:51">
      <c r="A51" s="109"/>
      <c r="B51" s="119">
        <v>7</v>
      </c>
      <c r="C51" s="109" t="s">
        <v>293</v>
      </c>
      <c r="D51" s="110"/>
      <c r="E51" s="110"/>
      <c r="F51" s="110"/>
      <c r="G51" s="110"/>
      <c r="H51" s="110"/>
      <c r="I51" s="110"/>
      <c r="J51" s="110"/>
      <c r="K51" s="110"/>
      <c r="L51" s="110"/>
      <c r="M51" s="110"/>
      <c r="N51" s="110"/>
      <c r="O51" s="110"/>
      <c r="P51" s="110"/>
      <c r="Q51" s="110"/>
      <c r="R51" s="110"/>
      <c r="S51" s="110"/>
      <c r="T51" s="110"/>
      <c r="U51" s="110"/>
      <c r="V51" s="110"/>
      <c r="W51" s="110"/>
      <c r="X51" s="110"/>
      <c r="Y51" s="110"/>
      <c r="Z51" s="110"/>
      <c r="AA51" s="110"/>
      <c r="AB51" s="110"/>
      <c r="AC51" s="110"/>
      <c r="AD51" s="110"/>
      <c r="AE51" s="110"/>
      <c r="AF51" s="110"/>
      <c r="AG51" s="110"/>
      <c r="AH51" s="110"/>
      <c r="AI51" s="110"/>
      <c r="AJ51" s="110"/>
      <c r="AK51" s="110"/>
      <c r="AL51" s="110"/>
      <c r="AM51" s="110"/>
      <c r="AN51" s="110"/>
      <c r="AO51" s="110"/>
      <c r="AP51" s="110"/>
      <c r="AQ51" s="110"/>
      <c r="AR51" s="110"/>
      <c r="AS51" s="110"/>
      <c r="AT51" s="110"/>
      <c r="AU51" s="110"/>
      <c r="AV51" s="110"/>
      <c r="AW51" s="110"/>
      <c r="AX51" s="110"/>
      <c r="AY51" s="110"/>
    </row>
    <row r="52" spans="1:51">
      <c r="A52" s="109"/>
      <c r="B52" s="119">
        <v>8</v>
      </c>
      <c r="C52" s="109" t="s">
        <v>293</v>
      </c>
      <c r="D52" s="110"/>
      <c r="E52" s="110"/>
      <c r="F52" s="110"/>
      <c r="G52" s="110"/>
      <c r="H52" s="110"/>
      <c r="I52" s="110"/>
      <c r="J52" s="110"/>
      <c r="K52" s="110"/>
      <c r="L52" s="110"/>
      <c r="M52" s="110"/>
      <c r="N52" s="110"/>
      <c r="O52" s="110"/>
      <c r="P52" s="110"/>
      <c r="Q52" s="110"/>
      <c r="R52" s="110"/>
      <c r="S52" s="110"/>
      <c r="T52" s="110"/>
      <c r="U52" s="110"/>
      <c r="V52" s="110"/>
      <c r="W52" s="110"/>
      <c r="X52" s="110"/>
      <c r="Y52" s="110"/>
      <c r="Z52" s="110"/>
      <c r="AA52" s="110"/>
      <c r="AB52" s="110"/>
      <c r="AC52" s="110"/>
      <c r="AD52" s="110"/>
      <c r="AE52" s="110"/>
      <c r="AF52" s="110"/>
      <c r="AG52" s="110"/>
      <c r="AH52" s="110"/>
      <c r="AI52" s="110"/>
      <c r="AJ52" s="110"/>
      <c r="AK52" s="110"/>
      <c r="AL52" s="110"/>
      <c r="AM52" s="110"/>
      <c r="AN52" s="110"/>
      <c r="AO52" s="110"/>
      <c r="AP52" s="110"/>
      <c r="AQ52" s="110"/>
      <c r="AR52" s="110"/>
      <c r="AS52" s="110"/>
      <c r="AT52" s="110"/>
      <c r="AU52" s="110"/>
      <c r="AV52" s="110"/>
      <c r="AW52" s="110"/>
      <c r="AX52" s="110"/>
      <c r="AY52" s="110"/>
    </row>
    <row r="53" spans="1:51">
      <c r="A53" s="109"/>
      <c r="B53" s="119">
        <v>9</v>
      </c>
      <c r="C53" s="109" t="s">
        <v>293</v>
      </c>
      <c r="D53" s="110"/>
      <c r="E53" s="110"/>
      <c r="F53" s="110"/>
      <c r="G53" s="110"/>
      <c r="H53" s="110"/>
      <c r="I53" s="110"/>
      <c r="J53" s="110"/>
      <c r="K53" s="110"/>
      <c r="L53" s="110"/>
      <c r="M53" s="110"/>
      <c r="N53" s="110"/>
      <c r="O53" s="110"/>
      <c r="P53" s="110"/>
      <c r="Q53" s="110"/>
      <c r="R53" s="110"/>
      <c r="S53" s="110"/>
      <c r="T53" s="110"/>
      <c r="U53" s="110"/>
      <c r="V53" s="110"/>
      <c r="W53" s="110"/>
      <c r="X53" s="110"/>
      <c r="Y53" s="110"/>
      <c r="Z53" s="110"/>
      <c r="AA53" s="110"/>
      <c r="AB53" s="110"/>
      <c r="AC53" s="110"/>
      <c r="AD53" s="110"/>
      <c r="AE53" s="110"/>
      <c r="AF53" s="110"/>
      <c r="AG53" s="110"/>
      <c r="AH53" s="110"/>
      <c r="AI53" s="110"/>
      <c r="AJ53" s="110"/>
      <c r="AK53" s="110"/>
      <c r="AL53" s="110"/>
      <c r="AM53" s="110"/>
      <c r="AN53" s="110"/>
      <c r="AO53" s="110"/>
      <c r="AP53" s="110"/>
      <c r="AQ53" s="110"/>
      <c r="AR53" s="110"/>
      <c r="AS53" s="110"/>
      <c r="AT53" s="110"/>
      <c r="AU53" s="110"/>
      <c r="AV53" s="110"/>
      <c r="AW53" s="110"/>
      <c r="AX53" s="110"/>
      <c r="AY53" s="110"/>
    </row>
    <row r="54" spans="1:51">
      <c r="A54" s="109"/>
      <c r="B54" s="119">
        <v>10</v>
      </c>
      <c r="C54" s="109" t="s">
        <v>293</v>
      </c>
      <c r="D54" s="110"/>
      <c r="E54" s="110"/>
      <c r="F54" s="110"/>
      <c r="G54" s="110"/>
      <c r="H54" s="110"/>
      <c r="I54" s="110"/>
      <c r="J54" s="110"/>
      <c r="K54" s="110"/>
      <c r="L54" s="110"/>
      <c r="M54" s="110"/>
      <c r="N54" s="110"/>
      <c r="O54" s="110"/>
      <c r="P54" s="110"/>
      <c r="Q54" s="110"/>
      <c r="R54" s="110"/>
      <c r="S54" s="110"/>
      <c r="T54" s="110"/>
      <c r="U54" s="110"/>
      <c r="V54" s="110"/>
      <c r="W54" s="110"/>
      <c r="X54" s="110"/>
      <c r="Y54" s="110"/>
      <c r="Z54" s="110"/>
      <c r="AA54" s="110"/>
      <c r="AB54" s="110"/>
      <c r="AC54" s="110"/>
      <c r="AD54" s="110"/>
      <c r="AE54" s="110"/>
      <c r="AF54" s="110"/>
      <c r="AG54" s="110"/>
      <c r="AH54" s="110"/>
      <c r="AI54" s="110"/>
      <c r="AJ54" s="110"/>
      <c r="AK54" s="110"/>
      <c r="AL54" s="110"/>
      <c r="AM54" s="110"/>
      <c r="AN54" s="110"/>
      <c r="AO54" s="110"/>
      <c r="AP54" s="110"/>
      <c r="AQ54" s="110"/>
      <c r="AR54" s="110"/>
      <c r="AS54" s="110"/>
      <c r="AT54" s="110"/>
      <c r="AU54" s="110"/>
      <c r="AV54" s="110"/>
      <c r="AW54" s="110"/>
      <c r="AX54" s="110"/>
      <c r="AY54" s="110"/>
    </row>
    <row r="55" spans="1:51">
      <c r="A55" s="109"/>
      <c r="B55" s="119">
        <v>11</v>
      </c>
      <c r="C55" s="109" t="s">
        <v>293</v>
      </c>
      <c r="D55" s="110"/>
      <c r="E55" s="110"/>
      <c r="F55" s="110"/>
      <c r="G55" s="110"/>
      <c r="H55" s="110"/>
      <c r="I55" s="110"/>
      <c r="J55" s="110"/>
      <c r="K55" s="110"/>
      <c r="L55" s="110"/>
      <c r="M55" s="110"/>
      <c r="N55" s="110"/>
      <c r="O55" s="110"/>
      <c r="P55" s="110"/>
      <c r="Q55" s="110"/>
      <c r="R55" s="110"/>
      <c r="S55" s="110"/>
      <c r="T55" s="110"/>
      <c r="U55" s="110"/>
      <c r="V55" s="110"/>
      <c r="W55" s="110"/>
      <c r="X55" s="110"/>
      <c r="Y55" s="110"/>
      <c r="Z55" s="110"/>
      <c r="AA55" s="110"/>
      <c r="AB55" s="110"/>
      <c r="AC55" s="110"/>
      <c r="AD55" s="110"/>
      <c r="AE55" s="110"/>
      <c r="AF55" s="110"/>
      <c r="AG55" s="110"/>
      <c r="AH55" s="110"/>
      <c r="AI55" s="110"/>
      <c r="AJ55" s="110"/>
      <c r="AK55" s="110"/>
      <c r="AL55" s="110"/>
      <c r="AM55" s="110"/>
      <c r="AN55" s="110"/>
      <c r="AO55" s="110"/>
      <c r="AP55" s="110"/>
      <c r="AQ55" s="110"/>
      <c r="AR55" s="110"/>
      <c r="AS55" s="110"/>
      <c r="AT55" s="110"/>
      <c r="AU55" s="110"/>
      <c r="AV55" s="110"/>
      <c r="AW55" s="110"/>
      <c r="AX55" s="110"/>
      <c r="AY55" s="110"/>
    </row>
    <row r="56" spans="1:51">
      <c r="A56" s="109"/>
      <c r="B56" s="119">
        <v>12</v>
      </c>
      <c r="C56" s="109" t="s">
        <v>293</v>
      </c>
      <c r="D56" s="110"/>
      <c r="E56" s="110"/>
      <c r="F56" s="110"/>
      <c r="G56" s="110"/>
      <c r="H56" s="110"/>
      <c r="I56" s="110"/>
      <c r="J56" s="110"/>
      <c r="K56" s="110"/>
      <c r="L56" s="110"/>
      <c r="M56" s="110"/>
      <c r="N56" s="110"/>
      <c r="O56" s="110"/>
      <c r="P56" s="110"/>
      <c r="Q56" s="110"/>
      <c r="R56" s="110"/>
      <c r="S56" s="110"/>
      <c r="T56" s="110"/>
      <c r="U56" s="110"/>
      <c r="V56" s="110"/>
      <c r="W56" s="110"/>
      <c r="X56" s="110"/>
      <c r="Y56" s="110"/>
      <c r="Z56" s="110"/>
      <c r="AA56" s="110"/>
      <c r="AB56" s="110"/>
      <c r="AC56" s="110"/>
      <c r="AD56" s="110"/>
      <c r="AE56" s="110"/>
      <c r="AF56" s="110"/>
      <c r="AG56" s="110"/>
      <c r="AH56" s="110"/>
      <c r="AI56" s="110"/>
      <c r="AJ56" s="110"/>
      <c r="AK56" s="110"/>
      <c r="AL56" s="110"/>
      <c r="AM56" s="110"/>
      <c r="AN56" s="110"/>
      <c r="AO56" s="110"/>
      <c r="AP56" s="110"/>
      <c r="AQ56" s="110"/>
      <c r="AR56" s="110"/>
      <c r="AS56" s="110"/>
      <c r="AT56" s="110"/>
      <c r="AU56" s="110"/>
      <c r="AV56" s="110"/>
      <c r="AW56" s="110"/>
      <c r="AX56" s="110"/>
      <c r="AY56" s="110"/>
    </row>
    <row r="57" spans="1:51">
      <c r="A57" s="109"/>
      <c r="B57" s="120">
        <v>13</v>
      </c>
      <c r="C57" s="109" t="s">
        <v>293</v>
      </c>
      <c r="D57" s="110"/>
      <c r="E57" s="110"/>
      <c r="F57" s="110"/>
      <c r="G57" s="110"/>
      <c r="H57" s="110"/>
      <c r="I57" s="110"/>
      <c r="J57" s="110"/>
      <c r="K57" s="110"/>
      <c r="L57" s="110"/>
      <c r="M57" s="110"/>
      <c r="N57" s="110"/>
      <c r="O57" s="110"/>
      <c r="P57" s="110"/>
      <c r="Q57" s="110"/>
      <c r="R57" s="110"/>
      <c r="S57" s="110"/>
      <c r="T57" s="110"/>
      <c r="U57" s="110"/>
      <c r="V57" s="110"/>
      <c r="W57" s="110"/>
      <c r="X57" s="110"/>
      <c r="Y57" s="110"/>
      <c r="Z57" s="110"/>
      <c r="AA57" s="110"/>
      <c r="AB57" s="110"/>
      <c r="AC57" s="110"/>
      <c r="AD57" s="110"/>
      <c r="AE57" s="110"/>
      <c r="AF57" s="110"/>
      <c r="AG57" s="110"/>
      <c r="AH57" s="110"/>
      <c r="AI57" s="110"/>
      <c r="AJ57" s="110"/>
      <c r="AK57" s="110"/>
      <c r="AL57" s="110"/>
      <c r="AM57" s="110"/>
      <c r="AN57" s="110"/>
      <c r="AO57" s="110"/>
      <c r="AP57" s="110"/>
      <c r="AQ57" s="110"/>
      <c r="AR57" s="110"/>
      <c r="AS57" s="110"/>
      <c r="AT57" s="110"/>
      <c r="AU57" s="110"/>
      <c r="AV57" s="110"/>
      <c r="AW57" s="110"/>
      <c r="AX57" s="110"/>
      <c r="AY57" s="110"/>
    </row>
    <row r="58" spans="1:51">
      <c r="A58" s="109"/>
      <c r="B58" s="120">
        <v>14</v>
      </c>
      <c r="C58" s="109" t="s">
        <v>293</v>
      </c>
      <c r="D58" s="110"/>
      <c r="E58" s="110"/>
      <c r="F58" s="110"/>
      <c r="G58" s="110"/>
      <c r="H58" s="110"/>
      <c r="I58" s="110"/>
      <c r="J58" s="110"/>
      <c r="K58" s="110"/>
      <c r="L58" s="110"/>
      <c r="M58" s="110"/>
      <c r="N58" s="110"/>
      <c r="O58" s="110"/>
      <c r="P58" s="110"/>
      <c r="Q58" s="110"/>
      <c r="R58" s="110"/>
      <c r="S58" s="110"/>
      <c r="T58" s="110"/>
      <c r="U58" s="110"/>
      <c r="V58" s="110"/>
      <c r="W58" s="110"/>
      <c r="X58" s="110"/>
      <c r="Y58" s="110"/>
      <c r="Z58" s="110"/>
      <c r="AA58" s="110"/>
      <c r="AB58" s="110"/>
      <c r="AC58" s="110"/>
      <c r="AD58" s="110"/>
      <c r="AE58" s="110"/>
      <c r="AF58" s="110"/>
      <c r="AG58" s="110"/>
      <c r="AH58" s="110"/>
      <c r="AI58" s="110"/>
      <c r="AJ58" s="110"/>
      <c r="AK58" s="110"/>
      <c r="AL58" s="110"/>
      <c r="AM58" s="110"/>
      <c r="AN58" s="110"/>
      <c r="AO58" s="110"/>
      <c r="AP58" s="110"/>
      <c r="AQ58" s="110"/>
      <c r="AR58" s="110"/>
      <c r="AS58" s="110"/>
      <c r="AT58" s="110"/>
      <c r="AU58" s="110"/>
      <c r="AV58" s="110"/>
      <c r="AW58" s="110"/>
      <c r="AX58" s="110"/>
      <c r="AY58" s="110"/>
    </row>
    <row r="59" spans="1:51">
      <c r="A59" s="109"/>
      <c r="B59" s="120">
        <v>15</v>
      </c>
      <c r="C59" s="109" t="s">
        <v>293</v>
      </c>
      <c r="D59" s="110"/>
      <c r="E59" s="110"/>
      <c r="F59" s="110"/>
      <c r="G59" s="110"/>
      <c r="H59" s="110"/>
      <c r="I59" s="110"/>
      <c r="J59" s="110"/>
      <c r="K59" s="110"/>
      <c r="L59" s="110"/>
      <c r="M59" s="110"/>
      <c r="N59" s="110"/>
      <c r="O59" s="110"/>
      <c r="P59" s="110"/>
      <c r="Q59" s="110"/>
      <c r="R59" s="110"/>
      <c r="S59" s="110"/>
      <c r="T59" s="110"/>
      <c r="U59" s="110"/>
      <c r="V59" s="110"/>
      <c r="W59" s="110"/>
      <c r="X59" s="110"/>
      <c r="Y59" s="110"/>
      <c r="Z59" s="110"/>
      <c r="AA59" s="110"/>
      <c r="AB59" s="110"/>
      <c r="AC59" s="110"/>
      <c r="AD59" s="110"/>
      <c r="AE59" s="110"/>
      <c r="AF59" s="110"/>
      <c r="AG59" s="110"/>
      <c r="AH59" s="110"/>
      <c r="AI59" s="110"/>
      <c r="AJ59" s="110"/>
      <c r="AK59" s="110"/>
      <c r="AL59" s="110"/>
      <c r="AM59" s="110"/>
      <c r="AN59" s="110"/>
      <c r="AO59" s="110"/>
      <c r="AP59" s="110"/>
      <c r="AQ59" s="110"/>
      <c r="AR59" s="110"/>
      <c r="AS59" s="110"/>
      <c r="AT59" s="110"/>
      <c r="AU59" s="110"/>
      <c r="AV59" s="110"/>
      <c r="AW59" s="110"/>
      <c r="AX59" s="110"/>
      <c r="AY59" s="110"/>
    </row>
    <row r="60" spans="1:51">
      <c r="A60" s="109"/>
      <c r="B60" s="120">
        <v>16</v>
      </c>
      <c r="C60" s="109" t="s">
        <v>293</v>
      </c>
      <c r="D60" s="110"/>
      <c r="E60" s="110"/>
      <c r="F60" s="110"/>
      <c r="G60" s="110"/>
      <c r="H60" s="110"/>
      <c r="I60" s="110"/>
      <c r="J60" s="110"/>
      <c r="K60" s="110"/>
      <c r="L60" s="110"/>
      <c r="M60" s="110"/>
      <c r="N60" s="110"/>
      <c r="O60" s="110"/>
      <c r="P60" s="110"/>
      <c r="Q60" s="110"/>
      <c r="R60" s="110"/>
      <c r="S60" s="110"/>
      <c r="T60" s="110"/>
      <c r="U60" s="110"/>
      <c r="V60" s="110"/>
      <c r="W60" s="110"/>
      <c r="X60" s="110"/>
      <c r="Y60" s="110"/>
      <c r="Z60" s="110"/>
      <c r="AA60" s="110"/>
      <c r="AB60" s="110"/>
      <c r="AC60" s="110"/>
      <c r="AD60" s="110"/>
      <c r="AE60" s="110"/>
      <c r="AF60" s="110"/>
      <c r="AG60" s="110"/>
      <c r="AH60" s="110"/>
      <c r="AI60" s="110"/>
      <c r="AJ60" s="110"/>
      <c r="AK60" s="110"/>
      <c r="AL60" s="110"/>
      <c r="AM60" s="110"/>
      <c r="AN60" s="110"/>
      <c r="AO60" s="110"/>
      <c r="AP60" s="110"/>
      <c r="AQ60" s="110"/>
      <c r="AR60" s="110"/>
      <c r="AS60" s="110"/>
      <c r="AT60" s="110"/>
      <c r="AU60" s="110"/>
      <c r="AV60" s="110"/>
      <c r="AW60" s="110"/>
      <c r="AX60" s="110"/>
      <c r="AY60" s="110"/>
    </row>
    <row r="61" spans="1:51">
      <c r="A61" s="109"/>
      <c r="B61" s="120">
        <v>17</v>
      </c>
      <c r="C61" s="109" t="s">
        <v>293</v>
      </c>
      <c r="D61" s="110"/>
      <c r="E61" s="110"/>
      <c r="F61" s="110"/>
      <c r="G61" s="110"/>
      <c r="H61" s="110"/>
      <c r="I61" s="110"/>
      <c r="J61" s="110"/>
      <c r="K61" s="110"/>
      <c r="L61" s="110"/>
      <c r="M61" s="110"/>
      <c r="N61" s="110"/>
      <c r="O61" s="110"/>
      <c r="P61" s="110"/>
      <c r="Q61" s="110"/>
      <c r="R61" s="110"/>
      <c r="S61" s="110"/>
      <c r="T61" s="110"/>
      <c r="U61" s="110"/>
      <c r="V61" s="110"/>
      <c r="W61" s="110"/>
      <c r="X61" s="110"/>
      <c r="Y61" s="110"/>
      <c r="Z61" s="110"/>
      <c r="AA61" s="110"/>
      <c r="AB61" s="110"/>
      <c r="AC61" s="110"/>
      <c r="AD61" s="110"/>
      <c r="AE61" s="110"/>
      <c r="AF61" s="110"/>
      <c r="AG61" s="110"/>
      <c r="AH61" s="110"/>
      <c r="AI61" s="110"/>
      <c r="AJ61" s="110"/>
      <c r="AK61" s="110"/>
      <c r="AL61" s="110"/>
      <c r="AM61" s="110"/>
      <c r="AN61" s="110"/>
      <c r="AO61" s="110"/>
      <c r="AP61" s="110"/>
      <c r="AQ61" s="110"/>
      <c r="AR61" s="110"/>
      <c r="AS61" s="110"/>
      <c r="AT61" s="110"/>
      <c r="AU61" s="110"/>
      <c r="AV61" s="110"/>
      <c r="AW61" s="110"/>
      <c r="AX61" s="110"/>
      <c r="AY61" s="110"/>
    </row>
    <row r="62" spans="1:51">
      <c r="A62" s="109"/>
      <c r="B62" s="120">
        <v>18</v>
      </c>
      <c r="C62" s="109" t="s">
        <v>293</v>
      </c>
      <c r="D62" s="110"/>
      <c r="E62" s="110"/>
      <c r="F62" s="110"/>
      <c r="G62" s="110"/>
      <c r="H62" s="110"/>
      <c r="I62" s="110"/>
      <c r="J62" s="110"/>
      <c r="K62" s="110"/>
      <c r="L62" s="110"/>
      <c r="M62" s="110"/>
      <c r="N62" s="110"/>
      <c r="O62" s="110"/>
      <c r="P62" s="110"/>
      <c r="Q62" s="110"/>
      <c r="R62" s="110"/>
      <c r="S62" s="110"/>
      <c r="T62" s="110"/>
      <c r="U62" s="110"/>
      <c r="V62" s="110"/>
      <c r="W62" s="110"/>
      <c r="X62" s="110"/>
      <c r="Y62" s="110"/>
      <c r="Z62" s="110"/>
      <c r="AA62" s="110"/>
      <c r="AB62" s="110"/>
      <c r="AC62" s="110"/>
      <c r="AD62" s="110"/>
      <c r="AE62" s="110"/>
      <c r="AF62" s="110"/>
      <c r="AG62" s="110"/>
      <c r="AH62" s="110"/>
      <c r="AI62" s="110"/>
      <c r="AJ62" s="110"/>
      <c r="AK62" s="110"/>
      <c r="AL62" s="110"/>
      <c r="AM62" s="110"/>
      <c r="AN62" s="110"/>
      <c r="AO62" s="110"/>
      <c r="AP62" s="110"/>
      <c r="AQ62" s="110"/>
      <c r="AR62" s="110"/>
      <c r="AS62" s="110"/>
      <c r="AT62" s="110"/>
      <c r="AU62" s="110"/>
      <c r="AV62" s="110"/>
      <c r="AW62" s="110"/>
      <c r="AX62" s="110"/>
      <c r="AY62" s="110"/>
    </row>
    <row r="63" spans="1:51">
      <c r="A63" s="109"/>
      <c r="B63" s="120">
        <v>19</v>
      </c>
      <c r="C63" s="109" t="s">
        <v>293</v>
      </c>
      <c r="D63" s="110"/>
      <c r="E63" s="110"/>
      <c r="F63" s="110"/>
      <c r="G63" s="110"/>
      <c r="H63" s="110"/>
      <c r="I63" s="110"/>
      <c r="J63" s="110"/>
      <c r="K63" s="110"/>
      <c r="L63" s="110"/>
      <c r="M63" s="110"/>
      <c r="N63" s="110"/>
      <c r="O63" s="110"/>
      <c r="P63" s="110"/>
      <c r="Q63" s="110"/>
      <c r="R63" s="110"/>
      <c r="S63" s="110"/>
      <c r="T63" s="110"/>
      <c r="U63" s="110"/>
      <c r="V63" s="110"/>
      <c r="W63" s="110"/>
      <c r="X63" s="110"/>
      <c r="Y63" s="110"/>
      <c r="Z63" s="110"/>
      <c r="AA63" s="110"/>
      <c r="AB63" s="110"/>
      <c r="AC63" s="110"/>
      <c r="AD63" s="110"/>
      <c r="AE63" s="110"/>
      <c r="AF63" s="110"/>
      <c r="AG63" s="110"/>
      <c r="AH63" s="110"/>
      <c r="AI63" s="110"/>
      <c r="AJ63" s="110"/>
      <c r="AK63" s="110"/>
      <c r="AL63" s="110"/>
      <c r="AM63" s="110"/>
      <c r="AN63" s="110"/>
      <c r="AO63" s="110"/>
      <c r="AP63" s="110"/>
      <c r="AQ63" s="110"/>
      <c r="AR63" s="110"/>
      <c r="AS63" s="110"/>
      <c r="AT63" s="110"/>
      <c r="AU63" s="110"/>
      <c r="AV63" s="110"/>
      <c r="AW63" s="110"/>
      <c r="AX63" s="110"/>
      <c r="AY63" s="110"/>
    </row>
    <row r="64" spans="1:51">
      <c r="A64" s="109"/>
      <c r="B64" s="120">
        <v>20</v>
      </c>
      <c r="C64" s="109" t="s">
        <v>293</v>
      </c>
      <c r="D64" s="110"/>
      <c r="E64" s="110"/>
      <c r="F64" s="110"/>
      <c r="G64" s="110"/>
      <c r="H64" s="110"/>
      <c r="I64" s="110"/>
      <c r="J64" s="110"/>
      <c r="K64" s="110"/>
      <c r="L64" s="110"/>
      <c r="M64" s="110"/>
      <c r="N64" s="110"/>
      <c r="O64" s="110"/>
      <c r="P64" s="110"/>
      <c r="Q64" s="110"/>
      <c r="R64" s="110"/>
      <c r="S64" s="110"/>
      <c r="T64" s="110"/>
      <c r="U64" s="110"/>
      <c r="V64" s="110"/>
      <c r="W64" s="110"/>
      <c r="X64" s="110"/>
      <c r="Y64" s="110"/>
      <c r="Z64" s="110"/>
      <c r="AA64" s="110"/>
      <c r="AB64" s="110"/>
      <c r="AC64" s="110"/>
      <c r="AD64" s="110"/>
      <c r="AE64" s="110"/>
      <c r="AF64" s="110"/>
      <c r="AG64" s="110"/>
      <c r="AH64" s="110"/>
      <c r="AI64" s="110"/>
      <c r="AJ64" s="110"/>
      <c r="AK64" s="110"/>
      <c r="AL64" s="110"/>
      <c r="AM64" s="110"/>
      <c r="AN64" s="110"/>
      <c r="AO64" s="110"/>
      <c r="AP64" s="110"/>
      <c r="AQ64" s="110"/>
      <c r="AR64" s="110"/>
      <c r="AS64" s="110"/>
      <c r="AT64" s="110"/>
      <c r="AU64" s="110"/>
      <c r="AV64" s="110"/>
      <c r="AW64" s="110"/>
      <c r="AX64" s="110"/>
      <c r="AY64" s="110"/>
    </row>
    <row r="65" spans="1:51">
      <c r="A65" s="109"/>
      <c r="B65" s="120">
        <v>21</v>
      </c>
      <c r="C65" s="109" t="s">
        <v>293</v>
      </c>
      <c r="D65" s="110"/>
      <c r="E65" s="110"/>
      <c r="F65" s="110"/>
      <c r="G65" s="110"/>
      <c r="H65" s="110"/>
      <c r="I65" s="110"/>
      <c r="J65" s="110"/>
      <c r="K65" s="110"/>
      <c r="L65" s="110"/>
      <c r="M65" s="110"/>
      <c r="N65" s="110"/>
      <c r="O65" s="110"/>
      <c r="P65" s="110"/>
      <c r="Q65" s="110"/>
      <c r="R65" s="110"/>
      <c r="S65" s="110"/>
      <c r="T65" s="110"/>
      <c r="U65" s="110"/>
      <c r="V65" s="110"/>
      <c r="W65" s="110"/>
      <c r="X65" s="110"/>
      <c r="Y65" s="110"/>
      <c r="Z65" s="110"/>
      <c r="AA65" s="110"/>
      <c r="AB65" s="110"/>
      <c r="AC65" s="110"/>
      <c r="AD65" s="110"/>
      <c r="AE65" s="110"/>
      <c r="AF65" s="110"/>
      <c r="AG65" s="110"/>
      <c r="AH65" s="110"/>
      <c r="AI65" s="110"/>
      <c r="AJ65" s="110"/>
      <c r="AK65" s="110"/>
      <c r="AL65" s="110"/>
      <c r="AM65" s="110"/>
      <c r="AN65" s="110"/>
      <c r="AO65" s="110"/>
      <c r="AP65" s="110"/>
      <c r="AQ65" s="110"/>
      <c r="AR65" s="110"/>
      <c r="AS65" s="110"/>
      <c r="AT65" s="110"/>
      <c r="AU65" s="110"/>
      <c r="AV65" s="110"/>
      <c r="AW65" s="110"/>
      <c r="AX65" s="110"/>
      <c r="AY65" s="110"/>
    </row>
    <row r="66" spans="1:51">
      <c r="A66" s="109"/>
      <c r="B66" s="120">
        <v>22</v>
      </c>
      <c r="C66" s="109" t="s">
        <v>293</v>
      </c>
      <c r="D66" s="110"/>
      <c r="E66" s="110"/>
      <c r="F66" s="110"/>
      <c r="G66" s="110"/>
      <c r="H66" s="110"/>
      <c r="I66" s="110"/>
      <c r="J66" s="110"/>
      <c r="K66" s="110"/>
      <c r="L66" s="110"/>
      <c r="M66" s="110"/>
      <c r="N66" s="110"/>
      <c r="O66" s="110"/>
      <c r="P66" s="110"/>
      <c r="Q66" s="110"/>
      <c r="R66" s="110"/>
      <c r="S66" s="110"/>
      <c r="T66" s="110"/>
      <c r="U66" s="110"/>
      <c r="V66" s="110"/>
      <c r="W66" s="110"/>
      <c r="X66" s="110"/>
      <c r="Y66" s="110"/>
      <c r="Z66" s="110"/>
      <c r="AA66" s="110"/>
      <c r="AB66" s="110"/>
      <c r="AC66" s="110"/>
      <c r="AD66" s="110"/>
      <c r="AE66" s="110"/>
      <c r="AF66" s="110"/>
      <c r="AG66" s="110"/>
      <c r="AH66" s="110"/>
      <c r="AI66" s="110"/>
      <c r="AJ66" s="110"/>
      <c r="AK66" s="110"/>
      <c r="AL66" s="110"/>
      <c r="AM66" s="110"/>
      <c r="AN66" s="110"/>
      <c r="AO66" s="110"/>
      <c r="AP66" s="110"/>
      <c r="AQ66" s="110"/>
      <c r="AR66" s="110"/>
      <c r="AS66" s="110"/>
      <c r="AT66" s="110"/>
      <c r="AU66" s="110"/>
      <c r="AV66" s="110"/>
      <c r="AW66" s="110"/>
      <c r="AX66" s="110"/>
      <c r="AY66" s="110"/>
    </row>
    <row r="67" spans="1:51">
      <c r="A67" s="109"/>
      <c r="B67" s="120">
        <v>23</v>
      </c>
      <c r="C67" s="109" t="s">
        <v>293</v>
      </c>
      <c r="D67" s="110"/>
      <c r="E67" s="110"/>
      <c r="F67" s="110"/>
      <c r="G67" s="110"/>
      <c r="H67" s="110"/>
      <c r="I67" s="110"/>
      <c r="J67" s="110"/>
      <c r="K67" s="110"/>
      <c r="L67" s="110"/>
      <c r="M67" s="110"/>
      <c r="N67" s="110"/>
      <c r="O67" s="110"/>
      <c r="P67" s="110"/>
      <c r="Q67" s="110"/>
      <c r="R67" s="110"/>
      <c r="S67" s="110"/>
      <c r="T67" s="110"/>
      <c r="U67" s="110"/>
      <c r="V67" s="110"/>
      <c r="W67" s="110"/>
      <c r="X67" s="110"/>
      <c r="Y67" s="110"/>
      <c r="Z67" s="110"/>
      <c r="AA67" s="110"/>
      <c r="AB67" s="110"/>
      <c r="AC67" s="110"/>
      <c r="AD67" s="110"/>
      <c r="AE67" s="110"/>
      <c r="AF67" s="110"/>
      <c r="AG67" s="110"/>
      <c r="AH67" s="110"/>
      <c r="AI67" s="110"/>
      <c r="AJ67" s="110"/>
      <c r="AK67" s="110"/>
      <c r="AL67" s="110"/>
      <c r="AM67" s="110"/>
      <c r="AN67" s="110"/>
      <c r="AO67" s="110"/>
      <c r="AP67" s="110"/>
      <c r="AQ67" s="110"/>
      <c r="AR67" s="110"/>
      <c r="AS67" s="110"/>
      <c r="AT67" s="110"/>
      <c r="AU67" s="110"/>
      <c r="AV67" s="110"/>
      <c r="AW67" s="110"/>
      <c r="AX67" s="110"/>
      <c r="AY67" s="110"/>
    </row>
    <row r="68" spans="1:51">
      <c r="A68" s="109"/>
      <c r="B68" s="120">
        <v>24</v>
      </c>
      <c r="C68" s="109" t="s">
        <v>293</v>
      </c>
      <c r="D68" s="110"/>
      <c r="E68" s="110"/>
      <c r="F68" s="110"/>
      <c r="G68" s="110"/>
      <c r="H68" s="110"/>
      <c r="I68" s="110"/>
      <c r="J68" s="110"/>
      <c r="K68" s="110"/>
      <c r="L68" s="110"/>
      <c r="M68" s="110"/>
      <c r="N68" s="110"/>
      <c r="O68" s="110"/>
      <c r="P68" s="110"/>
      <c r="Q68" s="110"/>
      <c r="R68" s="110"/>
      <c r="S68" s="110"/>
      <c r="T68" s="110"/>
      <c r="U68" s="110"/>
      <c r="V68" s="110"/>
      <c r="W68" s="110"/>
      <c r="X68" s="110"/>
      <c r="Y68" s="110"/>
      <c r="Z68" s="110"/>
      <c r="AA68" s="110"/>
      <c r="AB68" s="110"/>
      <c r="AC68" s="110"/>
      <c r="AD68" s="110"/>
      <c r="AE68" s="110"/>
      <c r="AF68" s="110"/>
      <c r="AG68" s="110"/>
      <c r="AH68" s="110"/>
      <c r="AI68" s="110"/>
      <c r="AJ68" s="110"/>
      <c r="AK68" s="110"/>
      <c r="AL68" s="110"/>
      <c r="AM68" s="110"/>
      <c r="AN68" s="110"/>
      <c r="AO68" s="110"/>
      <c r="AP68" s="110"/>
      <c r="AQ68" s="110"/>
      <c r="AR68" s="110"/>
      <c r="AS68" s="110"/>
      <c r="AT68" s="110"/>
      <c r="AU68" s="110"/>
      <c r="AV68" s="110"/>
      <c r="AW68" s="110"/>
      <c r="AX68" s="110"/>
      <c r="AY68" s="110"/>
    </row>
    <row r="69" spans="1:51">
      <c r="A69" s="109"/>
      <c r="B69" s="127">
        <v>25</v>
      </c>
      <c r="C69" s="109" t="s">
        <v>293</v>
      </c>
      <c r="D69" s="110"/>
      <c r="E69" s="110"/>
      <c r="F69" s="110"/>
      <c r="G69" s="110"/>
      <c r="H69" s="110"/>
      <c r="I69" s="110"/>
      <c r="J69" s="110"/>
      <c r="K69" s="110"/>
      <c r="L69" s="110"/>
      <c r="M69" s="110"/>
      <c r="N69" s="110"/>
      <c r="O69" s="110"/>
      <c r="P69" s="110"/>
      <c r="Q69" s="110"/>
      <c r="R69" s="110"/>
      <c r="S69" s="110"/>
      <c r="T69" s="110"/>
      <c r="U69" s="110"/>
      <c r="V69" s="110"/>
      <c r="W69" s="110"/>
      <c r="X69" s="110"/>
      <c r="Y69" s="110"/>
      <c r="Z69" s="110"/>
      <c r="AA69" s="110"/>
      <c r="AB69" s="110"/>
      <c r="AC69" s="110"/>
      <c r="AD69" s="110"/>
      <c r="AE69" s="110"/>
      <c r="AF69" s="110"/>
      <c r="AG69" s="110"/>
      <c r="AH69" s="110"/>
      <c r="AI69" s="110"/>
      <c r="AJ69" s="110"/>
      <c r="AK69" s="110"/>
      <c r="AL69" s="110"/>
      <c r="AM69" s="110"/>
      <c r="AN69" s="110"/>
      <c r="AO69" s="110"/>
      <c r="AP69" s="110"/>
      <c r="AQ69" s="110"/>
      <c r="AR69" s="110"/>
      <c r="AS69" s="110"/>
      <c r="AT69" s="110"/>
      <c r="AU69" s="110"/>
      <c r="AV69" s="110"/>
      <c r="AW69" s="110"/>
      <c r="AX69" s="110"/>
      <c r="AY69" s="110"/>
    </row>
    <row r="70" spans="1:51">
      <c r="A70" s="109"/>
      <c r="B70" s="127">
        <v>26</v>
      </c>
      <c r="C70" s="109" t="s">
        <v>293</v>
      </c>
      <c r="D70" s="110"/>
      <c r="E70" s="110"/>
      <c r="F70" s="110"/>
      <c r="G70" s="110"/>
      <c r="H70" s="110"/>
      <c r="I70" s="110"/>
      <c r="J70" s="110"/>
      <c r="K70" s="110"/>
      <c r="L70" s="110"/>
      <c r="M70" s="110"/>
      <c r="N70" s="110"/>
      <c r="O70" s="110"/>
      <c r="P70" s="110"/>
      <c r="Q70" s="110"/>
      <c r="R70" s="110"/>
      <c r="S70" s="110"/>
      <c r="T70" s="110"/>
      <c r="U70" s="110"/>
      <c r="V70" s="110"/>
      <c r="W70" s="110"/>
      <c r="X70" s="110"/>
      <c r="Y70" s="110"/>
      <c r="Z70" s="110"/>
      <c r="AA70" s="110"/>
      <c r="AB70" s="110"/>
      <c r="AC70" s="110"/>
      <c r="AD70" s="110"/>
      <c r="AE70" s="110"/>
      <c r="AF70" s="110"/>
      <c r="AG70" s="110"/>
      <c r="AH70" s="110"/>
      <c r="AI70" s="110"/>
      <c r="AJ70" s="110"/>
      <c r="AK70" s="110"/>
      <c r="AL70" s="110"/>
      <c r="AM70" s="110"/>
      <c r="AN70" s="110"/>
      <c r="AO70" s="110"/>
      <c r="AP70" s="110"/>
      <c r="AQ70" s="110"/>
      <c r="AR70" s="110"/>
      <c r="AS70" s="110"/>
      <c r="AT70" s="110"/>
      <c r="AU70" s="110"/>
      <c r="AV70" s="110"/>
      <c r="AW70" s="110"/>
      <c r="AX70" s="110"/>
      <c r="AY70" s="110"/>
    </row>
    <row r="71" spans="1:51">
      <c r="A71" s="109"/>
      <c r="B71" s="127">
        <v>27</v>
      </c>
      <c r="C71" s="109" t="s">
        <v>293</v>
      </c>
      <c r="D71" s="110"/>
      <c r="E71" s="110"/>
      <c r="F71" s="110"/>
      <c r="G71" s="110"/>
      <c r="H71" s="110"/>
      <c r="I71" s="110"/>
      <c r="J71" s="110"/>
      <c r="K71" s="110"/>
      <c r="L71" s="110"/>
      <c r="M71" s="110"/>
      <c r="N71" s="110"/>
      <c r="O71" s="110"/>
      <c r="P71" s="110"/>
      <c r="Q71" s="110"/>
      <c r="R71" s="110"/>
      <c r="S71" s="110"/>
      <c r="T71" s="110"/>
      <c r="U71" s="110"/>
      <c r="V71" s="110"/>
      <c r="W71" s="110"/>
      <c r="X71" s="110"/>
      <c r="Y71" s="110"/>
      <c r="Z71" s="110"/>
      <c r="AA71" s="110"/>
      <c r="AB71" s="110"/>
      <c r="AC71" s="110"/>
      <c r="AD71" s="110"/>
      <c r="AE71" s="110"/>
      <c r="AF71" s="110"/>
      <c r="AG71" s="110"/>
      <c r="AH71" s="110"/>
      <c r="AI71" s="110"/>
      <c r="AJ71" s="110"/>
      <c r="AK71" s="110"/>
      <c r="AL71" s="110"/>
      <c r="AM71" s="110"/>
      <c r="AN71" s="110"/>
      <c r="AO71" s="110"/>
      <c r="AP71" s="110"/>
      <c r="AQ71" s="110"/>
      <c r="AR71" s="110"/>
      <c r="AS71" s="110"/>
      <c r="AT71" s="110"/>
      <c r="AU71" s="110"/>
      <c r="AV71" s="110"/>
      <c r="AW71" s="110"/>
      <c r="AX71" s="110"/>
      <c r="AY71" s="110"/>
    </row>
    <row r="72" spans="1:51">
      <c r="A72" s="109"/>
      <c r="B72" s="127">
        <v>28</v>
      </c>
      <c r="C72" s="109" t="s">
        <v>293</v>
      </c>
      <c r="D72" s="110"/>
      <c r="E72" s="110"/>
      <c r="F72" s="110"/>
      <c r="G72" s="110"/>
      <c r="H72" s="110"/>
      <c r="I72" s="110"/>
      <c r="J72" s="110"/>
      <c r="K72" s="110"/>
      <c r="L72" s="110"/>
      <c r="M72" s="110"/>
      <c r="N72" s="110"/>
      <c r="O72" s="110"/>
      <c r="P72" s="110"/>
      <c r="Q72" s="110"/>
      <c r="R72" s="110"/>
      <c r="S72" s="110"/>
      <c r="T72" s="110"/>
      <c r="U72" s="110"/>
      <c r="V72" s="110"/>
      <c r="W72" s="110"/>
      <c r="X72" s="110"/>
      <c r="Y72" s="110"/>
      <c r="Z72" s="110"/>
      <c r="AA72" s="110"/>
      <c r="AB72" s="110"/>
      <c r="AC72" s="110"/>
      <c r="AD72" s="110"/>
      <c r="AE72" s="110"/>
      <c r="AF72" s="110"/>
      <c r="AG72" s="110"/>
      <c r="AH72" s="110"/>
      <c r="AI72" s="110"/>
      <c r="AJ72" s="110"/>
      <c r="AK72" s="110"/>
      <c r="AL72" s="110"/>
      <c r="AM72" s="110"/>
      <c r="AN72" s="110"/>
      <c r="AO72" s="110"/>
      <c r="AP72" s="110"/>
      <c r="AQ72" s="110"/>
      <c r="AR72" s="110"/>
      <c r="AS72" s="110"/>
      <c r="AT72" s="110"/>
      <c r="AU72" s="110"/>
      <c r="AV72" s="110"/>
      <c r="AW72" s="110"/>
      <c r="AX72" s="110"/>
      <c r="AY72" s="110"/>
    </row>
    <row r="73" spans="1:51">
      <c r="A73" s="109"/>
      <c r="B73" s="127">
        <v>29</v>
      </c>
      <c r="C73" s="109" t="s">
        <v>293</v>
      </c>
      <c r="D73" s="110"/>
      <c r="E73" s="110"/>
      <c r="F73" s="110"/>
      <c r="G73" s="110"/>
      <c r="H73" s="110"/>
      <c r="I73" s="110"/>
      <c r="J73" s="110"/>
      <c r="K73" s="110"/>
      <c r="L73" s="110"/>
      <c r="M73" s="110"/>
      <c r="N73" s="110"/>
      <c r="O73" s="110"/>
      <c r="P73" s="110"/>
      <c r="Q73" s="110"/>
      <c r="R73" s="110"/>
      <c r="S73" s="110"/>
      <c r="T73" s="110"/>
      <c r="U73" s="110"/>
      <c r="V73" s="110"/>
      <c r="W73" s="110"/>
      <c r="X73" s="110"/>
      <c r="Y73" s="110"/>
      <c r="Z73" s="110"/>
      <c r="AA73" s="110"/>
      <c r="AB73" s="110"/>
      <c r="AC73" s="110"/>
      <c r="AD73" s="110"/>
      <c r="AE73" s="110"/>
      <c r="AF73" s="110"/>
      <c r="AG73" s="110"/>
      <c r="AH73" s="110"/>
      <c r="AI73" s="110"/>
      <c r="AJ73" s="110"/>
      <c r="AK73" s="110"/>
      <c r="AL73" s="110"/>
      <c r="AM73" s="110"/>
      <c r="AN73" s="110"/>
      <c r="AO73" s="110"/>
      <c r="AP73" s="110"/>
      <c r="AQ73" s="110"/>
      <c r="AR73" s="110"/>
      <c r="AS73" s="110"/>
      <c r="AT73" s="110"/>
      <c r="AU73" s="110"/>
      <c r="AV73" s="110"/>
      <c r="AW73" s="110"/>
      <c r="AX73" s="110"/>
      <c r="AY73" s="110"/>
    </row>
    <row r="74" spans="1:51">
      <c r="A74" s="109"/>
      <c r="B74" s="127">
        <v>30</v>
      </c>
      <c r="C74" s="109" t="s">
        <v>293</v>
      </c>
      <c r="D74" s="110"/>
      <c r="E74" s="110"/>
      <c r="F74" s="110"/>
      <c r="G74" s="110"/>
      <c r="H74" s="110"/>
      <c r="I74" s="110"/>
      <c r="J74" s="110"/>
      <c r="K74" s="110"/>
      <c r="L74" s="110"/>
      <c r="M74" s="110"/>
      <c r="N74" s="110"/>
      <c r="O74" s="110"/>
      <c r="P74" s="110"/>
      <c r="Q74" s="110"/>
      <c r="R74" s="110"/>
      <c r="S74" s="110"/>
      <c r="T74" s="110"/>
      <c r="U74" s="110"/>
      <c r="V74" s="110"/>
      <c r="W74" s="110"/>
      <c r="X74" s="110"/>
      <c r="Y74" s="110"/>
      <c r="Z74" s="110"/>
      <c r="AA74" s="110"/>
      <c r="AB74" s="110"/>
      <c r="AC74" s="110"/>
      <c r="AD74" s="110"/>
      <c r="AE74" s="110"/>
      <c r="AF74" s="110"/>
      <c r="AG74" s="110"/>
      <c r="AH74" s="110"/>
      <c r="AI74" s="110"/>
      <c r="AJ74" s="110"/>
      <c r="AK74" s="110"/>
      <c r="AL74" s="110"/>
      <c r="AM74" s="110"/>
      <c r="AN74" s="110"/>
      <c r="AO74" s="110"/>
      <c r="AP74" s="110"/>
      <c r="AQ74" s="110"/>
      <c r="AR74" s="110"/>
      <c r="AS74" s="110"/>
      <c r="AT74" s="110"/>
      <c r="AU74" s="110"/>
      <c r="AV74" s="110"/>
      <c r="AW74" s="110"/>
      <c r="AX74" s="110"/>
      <c r="AY74" s="110"/>
    </row>
    <row r="75" spans="1:51">
      <c r="A75" s="109"/>
      <c r="B75" s="127">
        <v>31</v>
      </c>
      <c r="C75" s="109" t="s">
        <v>293</v>
      </c>
      <c r="D75" s="110"/>
      <c r="E75" s="110"/>
      <c r="F75" s="110"/>
      <c r="G75" s="110"/>
      <c r="H75" s="110"/>
      <c r="I75" s="110"/>
      <c r="J75" s="110"/>
      <c r="K75" s="110"/>
      <c r="L75" s="110"/>
      <c r="M75" s="110"/>
      <c r="N75" s="110"/>
      <c r="O75" s="110"/>
      <c r="P75" s="110"/>
      <c r="Q75" s="110"/>
      <c r="R75" s="110"/>
      <c r="S75" s="110"/>
      <c r="T75" s="110"/>
      <c r="U75" s="110"/>
      <c r="V75" s="110"/>
      <c r="W75" s="110"/>
      <c r="X75" s="110"/>
      <c r="Y75" s="110"/>
      <c r="Z75" s="110"/>
      <c r="AA75" s="110"/>
      <c r="AB75" s="110"/>
      <c r="AC75" s="110"/>
      <c r="AD75" s="110"/>
      <c r="AE75" s="110"/>
      <c r="AF75" s="110"/>
      <c r="AG75" s="110"/>
      <c r="AH75" s="110"/>
      <c r="AI75" s="110"/>
      <c r="AJ75" s="110"/>
      <c r="AK75" s="110"/>
      <c r="AL75" s="110"/>
      <c r="AM75" s="110"/>
      <c r="AN75" s="110"/>
      <c r="AO75" s="110"/>
      <c r="AP75" s="110"/>
      <c r="AQ75" s="110"/>
      <c r="AR75" s="110"/>
      <c r="AS75" s="110"/>
      <c r="AT75" s="110"/>
      <c r="AU75" s="110"/>
      <c r="AV75" s="110"/>
      <c r="AW75" s="110"/>
      <c r="AX75" s="110"/>
      <c r="AY75" s="110"/>
    </row>
    <row r="76" spans="1:51">
      <c r="A76" s="109"/>
      <c r="B76" s="127">
        <v>32</v>
      </c>
      <c r="C76" s="109" t="s">
        <v>293</v>
      </c>
      <c r="D76" s="110"/>
      <c r="E76" s="110"/>
      <c r="F76" s="110"/>
      <c r="G76" s="110"/>
      <c r="H76" s="110"/>
      <c r="I76" s="110"/>
      <c r="J76" s="110"/>
      <c r="K76" s="110"/>
      <c r="L76" s="110"/>
      <c r="M76" s="110"/>
      <c r="N76" s="110"/>
      <c r="O76" s="110"/>
      <c r="P76" s="110"/>
      <c r="Q76" s="110"/>
      <c r="R76" s="110"/>
      <c r="S76" s="110"/>
      <c r="T76" s="110"/>
      <c r="U76" s="110"/>
      <c r="V76" s="110"/>
      <c r="W76" s="110"/>
      <c r="X76" s="110"/>
      <c r="Y76" s="110"/>
      <c r="Z76" s="110"/>
      <c r="AA76" s="110"/>
      <c r="AB76" s="110"/>
      <c r="AC76" s="110"/>
      <c r="AD76" s="110"/>
      <c r="AE76" s="110"/>
      <c r="AF76" s="110"/>
      <c r="AG76" s="110"/>
      <c r="AH76" s="110"/>
      <c r="AI76" s="110"/>
      <c r="AJ76" s="110"/>
      <c r="AK76" s="110"/>
      <c r="AL76" s="110"/>
      <c r="AM76" s="110"/>
      <c r="AN76" s="110"/>
      <c r="AO76" s="110"/>
      <c r="AP76" s="110"/>
      <c r="AQ76" s="110"/>
      <c r="AR76" s="110"/>
      <c r="AS76" s="110"/>
      <c r="AT76" s="110"/>
      <c r="AU76" s="110"/>
      <c r="AV76" s="110"/>
      <c r="AW76" s="110"/>
      <c r="AX76" s="110"/>
      <c r="AY76" s="110"/>
    </row>
    <row r="77" spans="1:51">
      <c r="A77" s="109"/>
      <c r="B77" s="127">
        <v>33</v>
      </c>
      <c r="C77" s="109" t="s">
        <v>293</v>
      </c>
      <c r="D77" s="110"/>
      <c r="E77" s="110"/>
      <c r="F77" s="110"/>
      <c r="G77" s="110"/>
      <c r="H77" s="110"/>
      <c r="I77" s="110"/>
      <c r="J77" s="110"/>
      <c r="K77" s="110"/>
      <c r="L77" s="110"/>
      <c r="M77" s="110"/>
      <c r="N77" s="110"/>
      <c r="O77" s="110"/>
      <c r="P77" s="110"/>
      <c r="Q77" s="110"/>
      <c r="R77" s="110"/>
      <c r="S77" s="110"/>
      <c r="T77" s="110"/>
      <c r="U77" s="110"/>
      <c r="V77" s="110"/>
      <c r="W77" s="110"/>
      <c r="X77" s="110"/>
      <c r="Y77" s="110"/>
      <c r="Z77" s="110"/>
      <c r="AA77" s="110"/>
      <c r="AB77" s="110"/>
      <c r="AC77" s="110"/>
      <c r="AD77" s="110"/>
      <c r="AE77" s="110"/>
      <c r="AF77" s="110"/>
      <c r="AG77" s="110"/>
      <c r="AH77" s="110"/>
      <c r="AI77" s="110"/>
      <c r="AJ77" s="110"/>
      <c r="AK77" s="110"/>
      <c r="AL77" s="110"/>
      <c r="AM77" s="110"/>
      <c r="AN77" s="110"/>
      <c r="AO77" s="110"/>
      <c r="AP77" s="110"/>
      <c r="AQ77" s="110"/>
      <c r="AR77" s="110"/>
      <c r="AS77" s="110"/>
      <c r="AT77" s="110"/>
      <c r="AU77" s="110"/>
      <c r="AV77" s="110"/>
      <c r="AW77" s="110"/>
      <c r="AX77" s="110"/>
      <c r="AY77" s="110"/>
    </row>
    <row r="78" spans="1:51">
      <c r="A78" s="109"/>
      <c r="B78" s="127">
        <v>34</v>
      </c>
      <c r="C78" s="109" t="s">
        <v>293</v>
      </c>
      <c r="D78" s="110"/>
      <c r="E78" s="110"/>
      <c r="F78" s="110"/>
      <c r="G78" s="110"/>
      <c r="H78" s="110"/>
      <c r="I78" s="110"/>
      <c r="J78" s="110"/>
      <c r="K78" s="110"/>
      <c r="L78" s="110"/>
      <c r="M78" s="110"/>
      <c r="N78" s="110"/>
      <c r="O78" s="110"/>
      <c r="P78" s="110"/>
      <c r="Q78" s="110"/>
      <c r="R78" s="110"/>
      <c r="S78" s="110"/>
      <c r="T78" s="110"/>
      <c r="U78" s="110"/>
      <c r="V78" s="110"/>
      <c r="W78" s="110"/>
      <c r="X78" s="110"/>
      <c r="Y78" s="110"/>
      <c r="Z78" s="110"/>
      <c r="AA78" s="110"/>
      <c r="AB78" s="110"/>
      <c r="AC78" s="110"/>
      <c r="AD78" s="110"/>
      <c r="AE78" s="110"/>
      <c r="AF78" s="110"/>
      <c r="AG78" s="110"/>
      <c r="AH78" s="110"/>
      <c r="AI78" s="110"/>
      <c r="AJ78" s="110"/>
      <c r="AK78" s="110"/>
      <c r="AL78" s="110"/>
      <c r="AM78" s="110"/>
      <c r="AN78" s="110"/>
      <c r="AO78" s="110"/>
      <c r="AP78" s="110"/>
      <c r="AQ78" s="110"/>
      <c r="AR78" s="110"/>
      <c r="AS78" s="110"/>
      <c r="AT78" s="110"/>
      <c r="AU78" s="110"/>
      <c r="AV78" s="110"/>
      <c r="AW78" s="110"/>
      <c r="AX78" s="110"/>
      <c r="AY78" s="110"/>
    </row>
    <row r="79" spans="1:51">
      <c r="A79" s="109"/>
      <c r="B79" s="127">
        <v>35</v>
      </c>
      <c r="C79" s="109" t="s">
        <v>293</v>
      </c>
      <c r="D79" s="110"/>
      <c r="E79" s="110"/>
      <c r="F79" s="110"/>
      <c r="G79" s="110"/>
      <c r="H79" s="110"/>
      <c r="I79" s="110"/>
      <c r="J79" s="110"/>
      <c r="K79" s="110"/>
      <c r="L79" s="110"/>
      <c r="M79" s="110"/>
      <c r="N79" s="110"/>
      <c r="O79" s="110"/>
      <c r="P79" s="110"/>
      <c r="Q79" s="110"/>
      <c r="R79" s="110"/>
      <c r="S79" s="110"/>
      <c r="T79" s="110"/>
      <c r="U79" s="110"/>
      <c r="V79" s="110"/>
      <c r="W79" s="110"/>
      <c r="X79" s="110"/>
      <c r="Y79" s="110"/>
      <c r="Z79" s="110"/>
      <c r="AA79" s="110"/>
      <c r="AB79" s="110"/>
      <c r="AC79" s="110"/>
      <c r="AD79" s="110"/>
      <c r="AE79" s="110"/>
      <c r="AF79" s="110"/>
      <c r="AG79" s="110"/>
      <c r="AH79" s="110"/>
      <c r="AI79" s="110"/>
      <c r="AJ79" s="110"/>
      <c r="AK79" s="110"/>
      <c r="AL79" s="110"/>
      <c r="AM79" s="110"/>
      <c r="AN79" s="110"/>
      <c r="AO79" s="110"/>
      <c r="AP79" s="110"/>
      <c r="AQ79" s="110"/>
      <c r="AR79" s="110"/>
      <c r="AS79" s="110"/>
      <c r="AT79" s="110"/>
      <c r="AU79" s="110"/>
      <c r="AV79" s="110"/>
      <c r="AW79" s="110"/>
      <c r="AX79" s="110"/>
      <c r="AY79" s="110"/>
    </row>
    <row r="80" spans="1:51">
      <c r="A80" s="109"/>
      <c r="B80" s="127">
        <v>36</v>
      </c>
      <c r="C80" s="109" t="s">
        <v>293</v>
      </c>
      <c r="D80" s="110"/>
      <c r="E80" s="110"/>
      <c r="F80" s="110"/>
      <c r="G80" s="110"/>
      <c r="H80" s="110"/>
      <c r="I80" s="110"/>
      <c r="J80" s="110"/>
      <c r="K80" s="110"/>
      <c r="L80" s="110"/>
      <c r="M80" s="110"/>
      <c r="N80" s="110"/>
      <c r="O80" s="110"/>
      <c r="P80" s="110"/>
      <c r="Q80" s="110"/>
      <c r="R80" s="110"/>
      <c r="S80" s="110"/>
      <c r="T80" s="110"/>
      <c r="U80" s="110"/>
      <c r="V80" s="110"/>
      <c r="W80" s="110"/>
      <c r="X80" s="110"/>
      <c r="Y80" s="110"/>
      <c r="Z80" s="110"/>
      <c r="AA80" s="110"/>
      <c r="AB80" s="110"/>
      <c r="AC80" s="110"/>
      <c r="AD80" s="110"/>
      <c r="AE80" s="110"/>
      <c r="AF80" s="110"/>
      <c r="AG80" s="110"/>
      <c r="AH80" s="110"/>
      <c r="AI80" s="110"/>
      <c r="AJ80" s="110"/>
      <c r="AK80" s="110"/>
      <c r="AL80" s="110"/>
      <c r="AM80" s="110"/>
      <c r="AN80" s="110"/>
      <c r="AO80" s="110"/>
      <c r="AP80" s="110"/>
      <c r="AQ80" s="110"/>
      <c r="AR80" s="110"/>
      <c r="AS80" s="110"/>
      <c r="AT80" s="110"/>
      <c r="AU80" s="110"/>
      <c r="AV80" s="110"/>
      <c r="AW80" s="110"/>
      <c r="AX80" s="110"/>
      <c r="AY80" s="110"/>
    </row>
    <row r="81" spans="1:52">
      <c r="A81" s="109"/>
      <c r="B81" s="130">
        <v>37</v>
      </c>
      <c r="C81" s="109" t="s">
        <v>293</v>
      </c>
      <c r="D81" s="110"/>
      <c r="E81" s="110"/>
      <c r="F81" s="110"/>
      <c r="G81" s="110"/>
      <c r="H81" s="110"/>
      <c r="I81" s="110"/>
      <c r="J81" s="110"/>
      <c r="K81" s="110"/>
      <c r="L81" s="110"/>
      <c r="M81" s="110"/>
      <c r="N81" s="110"/>
      <c r="O81" s="110"/>
      <c r="P81" s="110"/>
      <c r="Q81" s="110"/>
      <c r="R81" s="110"/>
      <c r="S81" s="110"/>
      <c r="T81" s="110"/>
      <c r="U81" s="110"/>
      <c r="V81" s="110"/>
      <c r="W81" s="110"/>
      <c r="X81" s="110"/>
      <c r="Y81" s="110"/>
      <c r="Z81" s="110"/>
      <c r="AA81" s="110"/>
      <c r="AB81" s="110"/>
      <c r="AC81" s="110"/>
      <c r="AD81" s="110"/>
      <c r="AE81" s="110"/>
      <c r="AF81" s="110"/>
      <c r="AG81" s="110"/>
      <c r="AH81" s="110"/>
      <c r="AI81" s="110"/>
      <c r="AJ81" s="110"/>
      <c r="AK81" s="110"/>
      <c r="AL81" s="110"/>
      <c r="AM81" s="110"/>
      <c r="AN81" s="110"/>
      <c r="AO81" s="110"/>
      <c r="AP81" s="110"/>
      <c r="AQ81" s="110"/>
      <c r="AR81" s="110"/>
      <c r="AS81" s="110"/>
      <c r="AT81" s="110"/>
      <c r="AU81" s="110"/>
      <c r="AV81" s="110"/>
      <c r="AW81" s="110"/>
      <c r="AX81" s="110"/>
      <c r="AY81" s="110"/>
    </row>
    <row r="82" spans="1:52">
      <c r="A82" s="109"/>
      <c r="B82" s="130">
        <v>38</v>
      </c>
      <c r="C82" s="109" t="s">
        <v>293</v>
      </c>
      <c r="D82" s="110"/>
      <c r="E82" s="110"/>
      <c r="F82" s="110"/>
      <c r="G82" s="110"/>
      <c r="H82" s="110"/>
      <c r="I82" s="110"/>
      <c r="J82" s="110"/>
      <c r="K82" s="110"/>
      <c r="L82" s="110"/>
      <c r="M82" s="110"/>
      <c r="N82" s="110"/>
      <c r="O82" s="110"/>
      <c r="P82" s="110"/>
      <c r="Q82" s="110"/>
      <c r="R82" s="110"/>
      <c r="S82" s="110"/>
      <c r="T82" s="110"/>
      <c r="U82" s="110"/>
      <c r="V82" s="110"/>
      <c r="W82" s="110"/>
      <c r="X82" s="110"/>
      <c r="Y82" s="110"/>
      <c r="Z82" s="110"/>
      <c r="AA82" s="110"/>
      <c r="AB82" s="110"/>
      <c r="AC82" s="110"/>
      <c r="AD82" s="110"/>
      <c r="AE82" s="110"/>
      <c r="AF82" s="110"/>
      <c r="AG82" s="110"/>
      <c r="AH82" s="110"/>
      <c r="AI82" s="110"/>
      <c r="AJ82" s="110"/>
      <c r="AK82" s="110"/>
      <c r="AL82" s="110"/>
      <c r="AM82" s="110"/>
      <c r="AN82" s="110"/>
      <c r="AO82" s="110"/>
      <c r="AP82" s="110"/>
      <c r="AQ82" s="110"/>
      <c r="AR82" s="110"/>
      <c r="AS82" s="110"/>
      <c r="AT82" s="110"/>
      <c r="AU82" s="110"/>
      <c r="AV82" s="110"/>
      <c r="AW82" s="110"/>
      <c r="AX82" s="110"/>
      <c r="AY82" s="110"/>
    </row>
    <row r="83" spans="1:52">
      <c r="A83" s="109"/>
      <c r="B83" s="130">
        <v>39</v>
      </c>
      <c r="C83" s="109" t="s">
        <v>293</v>
      </c>
      <c r="D83" s="110"/>
      <c r="E83" s="110"/>
      <c r="F83" s="110"/>
      <c r="G83" s="110"/>
      <c r="H83" s="110"/>
      <c r="I83" s="110"/>
      <c r="J83" s="110"/>
      <c r="K83" s="110"/>
      <c r="L83" s="110"/>
      <c r="M83" s="110"/>
      <c r="N83" s="110"/>
      <c r="O83" s="110"/>
      <c r="P83" s="110"/>
      <c r="Q83" s="110"/>
      <c r="R83" s="110"/>
      <c r="S83" s="110"/>
      <c r="T83" s="110"/>
      <c r="U83" s="110"/>
      <c r="V83" s="110"/>
      <c r="W83" s="110"/>
      <c r="X83" s="110"/>
      <c r="Y83" s="110"/>
      <c r="Z83" s="110"/>
      <c r="AA83" s="110"/>
      <c r="AB83" s="110"/>
      <c r="AC83" s="110"/>
      <c r="AD83" s="110"/>
      <c r="AE83" s="110"/>
      <c r="AF83" s="110"/>
      <c r="AG83" s="110"/>
      <c r="AH83" s="110"/>
      <c r="AI83" s="110"/>
      <c r="AJ83" s="110"/>
      <c r="AK83" s="110"/>
      <c r="AL83" s="110"/>
      <c r="AM83" s="110"/>
      <c r="AN83" s="110"/>
      <c r="AO83" s="110"/>
      <c r="AP83" s="110"/>
      <c r="AQ83" s="110"/>
      <c r="AR83" s="110"/>
      <c r="AS83" s="110"/>
      <c r="AT83" s="110"/>
      <c r="AU83" s="110"/>
      <c r="AV83" s="110"/>
      <c r="AW83" s="110"/>
      <c r="AX83" s="110"/>
      <c r="AY83" s="110"/>
    </row>
    <row r="84" spans="1:52">
      <c r="A84" s="109"/>
      <c r="B84" s="130">
        <v>40</v>
      </c>
      <c r="C84" s="109" t="s">
        <v>293</v>
      </c>
      <c r="D84" s="110"/>
      <c r="E84" s="110"/>
      <c r="F84" s="110"/>
      <c r="G84" s="110"/>
      <c r="H84" s="110"/>
      <c r="I84" s="110"/>
      <c r="J84" s="110"/>
      <c r="K84" s="110"/>
      <c r="L84" s="110"/>
      <c r="M84" s="110"/>
      <c r="N84" s="110"/>
      <c r="O84" s="110"/>
      <c r="P84" s="110"/>
      <c r="Q84" s="110"/>
      <c r="R84" s="110"/>
      <c r="S84" s="110"/>
      <c r="T84" s="110"/>
      <c r="U84" s="110"/>
      <c r="V84" s="110"/>
      <c r="W84" s="110"/>
      <c r="X84" s="110"/>
      <c r="Y84" s="110"/>
      <c r="Z84" s="110"/>
      <c r="AA84" s="110"/>
      <c r="AB84" s="110"/>
      <c r="AC84" s="110"/>
      <c r="AD84" s="110"/>
      <c r="AE84" s="110"/>
      <c r="AF84" s="110"/>
      <c r="AG84" s="110"/>
      <c r="AH84" s="110"/>
      <c r="AI84" s="110"/>
      <c r="AJ84" s="110"/>
      <c r="AK84" s="110"/>
      <c r="AL84" s="110"/>
      <c r="AM84" s="110"/>
      <c r="AN84" s="110"/>
      <c r="AO84" s="110"/>
      <c r="AP84" s="110"/>
      <c r="AQ84" s="110"/>
      <c r="AR84" s="110"/>
      <c r="AS84" s="110"/>
      <c r="AT84" s="110"/>
      <c r="AU84" s="110"/>
      <c r="AV84" s="110"/>
      <c r="AW84" s="110"/>
      <c r="AX84" s="110"/>
      <c r="AY84" s="110"/>
    </row>
    <row r="85" spans="1:52">
      <c r="A85" s="109"/>
      <c r="B85" s="130">
        <v>41</v>
      </c>
      <c r="C85" s="109" t="s">
        <v>293</v>
      </c>
      <c r="D85" s="110"/>
      <c r="E85" s="110"/>
      <c r="F85" s="110"/>
      <c r="G85" s="110"/>
      <c r="H85" s="110"/>
      <c r="I85" s="110"/>
      <c r="J85" s="110"/>
      <c r="K85" s="110"/>
      <c r="L85" s="110"/>
      <c r="M85" s="110"/>
      <c r="N85" s="110"/>
      <c r="O85" s="110"/>
      <c r="P85" s="110"/>
      <c r="Q85" s="110"/>
      <c r="R85" s="110"/>
      <c r="S85" s="110"/>
      <c r="T85" s="110"/>
      <c r="U85" s="110"/>
      <c r="V85" s="110"/>
      <c r="W85" s="110"/>
      <c r="X85" s="110"/>
      <c r="Y85" s="110"/>
      <c r="Z85" s="110"/>
      <c r="AA85" s="110"/>
      <c r="AB85" s="110"/>
      <c r="AC85" s="110"/>
      <c r="AD85" s="110"/>
      <c r="AE85" s="110"/>
      <c r="AF85" s="110"/>
      <c r="AG85" s="110"/>
      <c r="AH85" s="110"/>
      <c r="AI85" s="110"/>
      <c r="AJ85" s="110"/>
      <c r="AK85" s="110"/>
      <c r="AL85" s="110"/>
      <c r="AM85" s="110"/>
      <c r="AN85" s="110"/>
      <c r="AO85" s="110"/>
      <c r="AP85" s="110"/>
      <c r="AQ85" s="110"/>
      <c r="AR85" s="110"/>
      <c r="AS85" s="110"/>
      <c r="AT85" s="110"/>
      <c r="AU85" s="110"/>
      <c r="AV85" s="110"/>
      <c r="AW85" s="110"/>
      <c r="AX85" s="110"/>
      <c r="AY85" s="110"/>
    </row>
    <row r="86" spans="1:52">
      <c r="A86" s="109"/>
      <c r="B86" s="130">
        <v>42</v>
      </c>
      <c r="C86" s="109" t="s">
        <v>293</v>
      </c>
      <c r="D86" s="110"/>
      <c r="E86" s="110"/>
      <c r="F86" s="110"/>
      <c r="G86" s="110"/>
      <c r="H86" s="110"/>
      <c r="I86" s="110"/>
      <c r="J86" s="110"/>
      <c r="K86" s="110"/>
      <c r="L86" s="110"/>
      <c r="M86" s="110"/>
      <c r="N86" s="110"/>
      <c r="O86" s="110"/>
      <c r="P86" s="110"/>
      <c r="Q86" s="110"/>
      <c r="R86" s="110"/>
      <c r="S86" s="110"/>
      <c r="T86" s="110"/>
      <c r="U86" s="110"/>
      <c r="V86" s="110"/>
      <c r="W86" s="110"/>
      <c r="X86" s="110"/>
      <c r="Y86" s="110"/>
      <c r="Z86" s="110"/>
      <c r="AA86" s="110"/>
      <c r="AB86" s="110"/>
      <c r="AC86" s="110"/>
      <c r="AD86" s="110"/>
      <c r="AE86" s="110"/>
      <c r="AF86" s="110"/>
      <c r="AG86" s="110"/>
      <c r="AH86" s="110"/>
      <c r="AI86" s="110"/>
      <c r="AJ86" s="110"/>
      <c r="AK86" s="110"/>
      <c r="AL86" s="110"/>
      <c r="AM86" s="110"/>
      <c r="AN86" s="110"/>
      <c r="AO86" s="110"/>
      <c r="AP86" s="110"/>
      <c r="AQ86" s="110"/>
      <c r="AR86" s="110"/>
      <c r="AS86" s="110"/>
      <c r="AT86" s="110"/>
      <c r="AU86" s="110"/>
      <c r="AV86" s="110"/>
      <c r="AW86" s="110"/>
      <c r="AX86" s="110"/>
      <c r="AY86" s="110"/>
    </row>
    <row r="87" spans="1:52">
      <c r="A87" s="109"/>
      <c r="B87" s="130">
        <v>43</v>
      </c>
      <c r="C87" s="109" t="s">
        <v>293</v>
      </c>
      <c r="D87" s="110"/>
      <c r="E87" s="110"/>
      <c r="F87" s="110"/>
      <c r="G87" s="110"/>
      <c r="H87" s="110"/>
      <c r="I87" s="110"/>
      <c r="J87" s="110"/>
      <c r="K87" s="110"/>
      <c r="L87" s="110"/>
      <c r="M87" s="110"/>
      <c r="N87" s="110"/>
      <c r="O87" s="110"/>
      <c r="P87" s="110"/>
      <c r="Q87" s="110"/>
      <c r="R87" s="110"/>
      <c r="S87" s="110"/>
      <c r="T87" s="110"/>
      <c r="U87" s="110"/>
      <c r="V87" s="110"/>
      <c r="W87" s="110"/>
      <c r="X87" s="110"/>
      <c r="Y87" s="110"/>
      <c r="Z87" s="110"/>
      <c r="AA87" s="110"/>
      <c r="AB87" s="110"/>
      <c r="AC87" s="110"/>
      <c r="AD87" s="110"/>
      <c r="AE87" s="110"/>
      <c r="AF87" s="110"/>
      <c r="AG87" s="110"/>
      <c r="AH87" s="110"/>
      <c r="AI87" s="110"/>
      <c r="AJ87" s="110"/>
      <c r="AK87" s="110"/>
      <c r="AL87" s="110"/>
      <c r="AM87" s="110"/>
      <c r="AN87" s="110"/>
      <c r="AO87" s="110"/>
      <c r="AP87" s="110"/>
      <c r="AQ87" s="110"/>
      <c r="AR87" s="110"/>
      <c r="AS87" s="110"/>
      <c r="AT87" s="110"/>
      <c r="AU87" s="110"/>
      <c r="AV87" s="110"/>
      <c r="AW87" s="110"/>
      <c r="AX87" s="110"/>
      <c r="AY87" s="110"/>
    </row>
    <row r="88" spans="1:52">
      <c r="A88" s="109"/>
      <c r="B88" s="130">
        <v>44</v>
      </c>
      <c r="C88" s="109" t="s">
        <v>293</v>
      </c>
      <c r="D88" s="110"/>
      <c r="E88" s="110"/>
      <c r="F88" s="110"/>
      <c r="G88" s="110"/>
      <c r="H88" s="110"/>
      <c r="I88" s="110"/>
      <c r="J88" s="110"/>
      <c r="K88" s="110"/>
      <c r="L88" s="110"/>
      <c r="M88" s="110"/>
      <c r="N88" s="110"/>
      <c r="O88" s="110"/>
      <c r="P88" s="110"/>
      <c r="Q88" s="110"/>
      <c r="R88" s="110"/>
      <c r="S88" s="110"/>
      <c r="T88" s="110"/>
      <c r="U88" s="110"/>
      <c r="V88" s="110"/>
      <c r="W88" s="110"/>
      <c r="X88" s="110"/>
      <c r="Y88" s="110"/>
      <c r="Z88" s="110"/>
      <c r="AA88" s="110"/>
      <c r="AB88" s="110"/>
      <c r="AC88" s="110"/>
      <c r="AD88" s="110"/>
      <c r="AE88" s="110"/>
      <c r="AF88" s="110"/>
      <c r="AG88" s="110"/>
      <c r="AH88" s="110"/>
      <c r="AI88" s="110"/>
      <c r="AJ88" s="110"/>
      <c r="AK88" s="110"/>
      <c r="AL88" s="110"/>
      <c r="AM88" s="110"/>
      <c r="AN88" s="110"/>
      <c r="AO88" s="110"/>
      <c r="AP88" s="110"/>
      <c r="AQ88" s="110"/>
      <c r="AR88" s="110"/>
      <c r="AS88" s="110"/>
      <c r="AT88" s="110"/>
      <c r="AU88" s="110"/>
      <c r="AV88" s="110"/>
      <c r="AW88" s="110"/>
      <c r="AX88" s="110"/>
      <c r="AY88" s="110"/>
    </row>
    <row r="89" spans="1:52">
      <c r="A89" s="109"/>
      <c r="B89" s="130">
        <v>45</v>
      </c>
      <c r="C89" s="109" t="s">
        <v>293</v>
      </c>
      <c r="D89" s="110"/>
      <c r="E89" s="110"/>
      <c r="F89" s="110"/>
      <c r="G89" s="110"/>
      <c r="H89" s="110"/>
      <c r="I89" s="110"/>
      <c r="J89" s="110"/>
      <c r="K89" s="110"/>
      <c r="L89" s="110"/>
      <c r="M89" s="110"/>
      <c r="N89" s="110"/>
      <c r="O89" s="110"/>
      <c r="P89" s="110"/>
      <c r="Q89" s="110"/>
      <c r="R89" s="110"/>
      <c r="S89" s="110"/>
      <c r="T89" s="110"/>
      <c r="U89" s="110"/>
      <c r="V89" s="110"/>
      <c r="W89" s="110"/>
      <c r="X89" s="110"/>
      <c r="Y89" s="110"/>
      <c r="Z89" s="110"/>
      <c r="AA89" s="110"/>
      <c r="AB89" s="110"/>
      <c r="AC89" s="110"/>
      <c r="AD89" s="110"/>
      <c r="AE89" s="110"/>
      <c r="AF89" s="110"/>
      <c r="AG89" s="110"/>
      <c r="AH89" s="110"/>
      <c r="AI89" s="110"/>
      <c r="AJ89" s="110"/>
      <c r="AK89" s="110"/>
      <c r="AL89" s="110"/>
      <c r="AM89" s="110"/>
      <c r="AN89" s="110"/>
      <c r="AO89" s="110"/>
      <c r="AP89" s="110"/>
      <c r="AQ89" s="110"/>
      <c r="AR89" s="110"/>
      <c r="AS89" s="110"/>
      <c r="AT89" s="110"/>
      <c r="AU89" s="110"/>
      <c r="AV89" s="110"/>
      <c r="AW89" s="110"/>
      <c r="AX89" s="110"/>
      <c r="AY89" s="110"/>
    </row>
    <row r="90" spans="1:52">
      <c r="A90" s="109"/>
      <c r="B90" s="130">
        <v>46</v>
      </c>
      <c r="C90" s="109" t="s">
        <v>293</v>
      </c>
      <c r="D90" s="110"/>
      <c r="E90" s="110"/>
      <c r="F90" s="110"/>
      <c r="G90" s="110"/>
      <c r="H90" s="110"/>
      <c r="I90" s="110"/>
      <c r="J90" s="110"/>
      <c r="K90" s="110"/>
      <c r="L90" s="110"/>
      <c r="M90" s="110"/>
      <c r="N90" s="110"/>
      <c r="O90" s="110"/>
      <c r="P90" s="110"/>
      <c r="Q90" s="110"/>
      <c r="R90" s="110"/>
      <c r="S90" s="110"/>
      <c r="T90" s="110"/>
      <c r="U90" s="110"/>
      <c r="V90" s="110"/>
      <c r="W90" s="110">
        <v>0</v>
      </c>
      <c r="X90" s="110"/>
      <c r="Y90" s="110"/>
      <c r="Z90" s="110"/>
      <c r="AA90" s="110"/>
      <c r="AB90" s="110"/>
      <c r="AC90" s="110"/>
      <c r="AD90" s="110"/>
      <c r="AE90" s="110"/>
      <c r="AF90" s="110"/>
      <c r="AG90" s="110"/>
      <c r="AH90" s="110"/>
      <c r="AI90" s="110"/>
      <c r="AJ90" s="110"/>
      <c r="AK90" s="110"/>
      <c r="AL90" s="110"/>
      <c r="AM90" s="110"/>
      <c r="AN90" s="110"/>
      <c r="AO90" s="110"/>
      <c r="AP90" s="110"/>
      <c r="AQ90" s="110"/>
      <c r="AR90" s="110"/>
      <c r="AS90" s="110"/>
      <c r="AT90" s="110"/>
      <c r="AU90" s="110"/>
      <c r="AV90" s="110"/>
      <c r="AW90" s="110"/>
      <c r="AX90" s="110"/>
      <c r="AY90" s="110"/>
    </row>
    <row r="91" spans="1:52">
      <c r="A91" s="109"/>
      <c r="B91" s="130">
        <v>47</v>
      </c>
      <c r="C91" s="109" t="s">
        <v>293</v>
      </c>
      <c r="D91" s="110"/>
      <c r="E91" s="110"/>
      <c r="F91" s="110"/>
      <c r="G91" s="110"/>
      <c r="H91" s="110"/>
      <c r="I91" s="110"/>
      <c r="J91" s="110"/>
      <c r="K91" s="110"/>
      <c r="L91" s="110"/>
      <c r="M91" s="110">
        <v>0</v>
      </c>
      <c r="N91" s="110">
        <v>0</v>
      </c>
      <c r="O91" s="110"/>
      <c r="P91" s="110"/>
      <c r="Q91" s="110"/>
      <c r="R91" s="110"/>
      <c r="S91" s="110"/>
      <c r="T91" s="110"/>
      <c r="U91" s="110"/>
      <c r="V91" s="110"/>
      <c r="W91" s="110">
        <v>0</v>
      </c>
      <c r="X91" s="110"/>
      <c r="Y91" s="110"/>
      <c r="Z91" s="110"/>
      <c r="AA91" s="110"/>
      <c r="AB91" s="110"/>
      <c r="AC91" s="110"/>
      <c r="AD91" s="110"/>
      <c r="AE91" s="110"/>
      <c r="AF91" s="110"/>
      <c r="AG91" s="110"/>
      <c r="AH91" s="110"/>
      <c r="AI91" s="110"/>
      <c r="AJ91" s="110"/>
      <c r="AK91" s="110"/>
      <c r="AL91" s="110"/>
      <c r="AM91" s="110"/>
      <c r="AN91" s="110"/>
      <c r="AO91" s="110"/>
      <c r="AP91" s="110"/>
      <c r="AQ91" s="110"/>
      <c r="AR91" s="110"/>
      <c r="AS91" s="110"/>
      <c r="AT91" s="110"/>
      <c r="AU91" s="110"/>
      <c r="AV91" s="110"/>
      <c r="AW91" s="110"/>
      <c r="AX91" s="110"/>
      <c r="AY91" s="110"/>
    </row>
    <row r="92" spans="1:52">
      <c r="A92" s="128"/>
      <c r="B92" s="129">
        <v>48</v>
      </c>
      <c r="C92" s="128" t="s">
        <v>293</v>
      </c>
      <c r="D92" s="125">
        <v>0</v>
      </c>
      <c r="E92" s="125">
        <v>0</v>
      </c>
      <c r="F92" s="125">
        <v>0</v>
      </c>
      <c r="G92" s="125">
        <v>0</v>
      </c>
      <c r="H92" s="125">
        <v>0</v>
      </c>
      <c r="I92" s="125">
        <v>0</v>
      </c>
      <c r="J92" s="125">
        <v>0</v>
      </c>
      <c r="K92" s="125">
        <v>0</v>
      </c>
      <c r="L92" s="125">
        <v>0</v>
      </c>
      <c r="M92" s="125">
        <v>0</v>
      </c>
      <c r="N92" s="125">
        <v>0</v>
      </c>
      <c r="O92" s="125">
        <v>0</v>
      </c>
      <c r="P92" s="125">
        <v>0</v>
      </c>
      <c r="Q92" s="125">
        <v>0</v>
      </c>
      <c r="R92" s="125">
        <v>0</v>
      </c>
      <c r="S92" s="125">
        <v>0</v>
      </c>
      <c r="T92" s="125">
        <v>0</v>
      </c>
      <c r="U92" s="125">
        <v>0</v>
      </c>
      <c r="V92" s="125">
        <v>0</v>
      </c>
      <c r="W92" s="125">
        <v>0</v>
      </c>
      <c r="X92" s="125">
        <v>0</v>
      </c>
      <c r="Y92" s="125">
        <v>0</v>
      </c>
      <c r="Z92" s="125">
        <v>0</v>
      </c>
      <c r="AA92" s="125">
        <v>0</v>
      </c>
      <c r="AB92" s="125">
        <v>0</v>
      </c>
      <c r="AC92" s="125">
        <v>0</v>
      </c>
      <c r="AD92" s="125">
        <v>0</v>
      </c>
      <c r="AE92" s="125">
        <v>0</v>
      </c>
      <c r="AF92" s="125">
        <v>0</v>
      </c>
      <c r="AG92" s="125">
        <v>0</v>
      </c>
      <c r="AH92" s="125">
        <v>0</v>
      </c>
      <c r="AI92" s="125">
        <v>0</v>
      </c>
      <c r="AJ92" s="125">
        <v>0</v>
      </c>
      <c r="AK92" s="125">
        <v>0</v>
      </c>
      <c r="AL92" s="125">
        <v>0</v>
      </c>
      <c r="AM92" s="125">
        <v>0</v>
      </c>
      <c r="AN92" s="125">
        <v>0</v>
      </c>
      <c r="AO92" s="125">
        <v>0</v>
      </c>
      <c r="AP92" s="125">
        <v>0</v>
      </c>
      <c r="AQ92" s="125">
        <v>0</v>
      </c>
      <c r="AR92" s="125">
        <v>0</v>
      </c>
      <c r="AS92" s="125">
        <v>0</v>
      </c>
      <c r="AT92" s="125">
        <v>0</v>
      </c>
      <c r="AU92" s="125">
        <v>0</v>
      </c>
      <c r="AV92" s="125">
        <v>0</v>
      </c>
      <c r="AW92" s="125">
        <v>0</v>
      </c>
      <c r="AX92" s="125">
        <v>0</v>
      </c>
      <c r="AY92" s="125">
        <v>0</v>
      </c>
      <c r="AZ92" s="107">
        <f>SUM(D21:AY92)</f>
        <v>84.884376336806099</v>
      </c>
    </row>
    <row r="94" spans="1:52">
      <c r="A94" s="102" t="s">
        <v>295</v>
      </c>
      <c r="B94" s="106"/>
      <c r="C94" s="106"/>
      <c r="D94" s="114"/>
      <c r="E94" s="114"/>
      <c r="F94" s="114"/>
      <c r="G94" s="114"/>
      <c r="H94" s="114"/>
      <c r="I94" s="114"/>
      <c r="J94" s="114"/>
      <c r="K94" s="114"/>
      <c r="L94" s="114"/>
      <c r="M94" s="114"/>
      <c r="N94" s="114"/>
      <c r="O94" s="114"/>
      <c r="P94" s="114"/>
      <c r="Q94" s="114"/>
      <c r="R94" s="114"/>
      <c r="S94" s="114"/>
      <c r="T94" s="114"/>
      <c r="U94" s="114"/>
      <c r="V94" s="114"/>
      <c r="W94" s="114"/>
      <c r="X94" s="114"/>
      <c r="Y94" s="114"/>
      <c r="Z94" s="114"/>
      <c r="AA94" s="114"/>
      <c r="AB94" s="114"/>
      <c r="AC94" s="114"/>
      <c r="AD94" s="114"/>
      <c r="AE94" s="114"/>
      <c r="AF94" s="114"/>
      <c r="AG94" s="114"/>
      <c r="AH94" s="114"/>
      <c r="AI94" s="114"/>
      <c r="AJ94" s="114"/>
      <c r="AK94" s="114"/>
      <c r="AL94" s="114"/>
      <c r="AM94" s="114"/>
      <c r="AN94" s="114"/>
      <c r="AO94" s="114"/>
      <c r="AP94" s="114"/>
      <c r="AQ94" s="114"/>
      <c r="AR94" s="114"/>
      <c r="AS94" s="114"/>
      <c r="AT94" s="114"/>
      <c r="AU94" s="114"/>
      <c r="AV94" s="114"/>
      <c r="AW94" s="114"/>
      <c r="AX94" s="114"/>
      <c r="AY94" s="114"/>
    </row>
    <row r="95" spans="1:52">
      <c r="A95" s="126" t="s">
        <v>125</v>
      </c>
      <c r="B95" s="123">
        <v>1</v>
      </c>
      <c r="C95" s="124">
        <v>190</v>
      </c>
      <c r="D95" s="110">
        <v>190</v>
      </c>
      <c r="E95" s="110">
        <v>190</v>
      </c>
      <c r="F95" s="110">
        <v>190</v>
      </c>
      <c r="G95" s="110">
        <v>190</v>
      </c>
      <c r="H95" s="110">
        <v>190</v>
      </c>
      <c r="I95" s="110">
        <v>190</v>
      </c>
      <c r="J95" s="110">
        <v>190</v>
      </c>
      <c r="K95" s="110">
        <v>190</v>
      </c>
      <c r="L95" s="110">
        <v>190</v>
      </c>
      <c r="M95" s="110">
        <v>190</v>
      </c>
      <c r="N95" s="110">
        <v>190</v>
      </c>
      <c r="O95" s="110">
        <v>190</v>
      </c>
      <c r="P95" s="110">
        <v>190</v>
      </c>
      <c r="Q95" s="110">
        <v>190</v>
      </c>
      <c r="R95" s="110">
        <v>190</v>
      </c>
      <c r="S95" s="110">
        <v>190</v>
      </c>
      <c r="T95" s="110">
        <v>190</v>
      </c>
      <c r="U95" s="110">
        <v>190</v>
      </c>
      <c r="V95" s="110">
        <v>190</v>
      </c>
      <c r="W95" s="110">
        <v>190</v>
      </c>
      <c r="X95" s="110">
        <v>190</v>
      </c>
      <c r="Y95" s="110">
        <v>190</v>
      </c>
      <c r="Z95" s="110">
        <v>190</v>
      </c>
      <c r="AA95" s="110">
        <v>190</v>
      </c>
      <c r="AB95" s="110">
        <v>190</v>
      </c>
      <c r="AC95" s="110">
        <v>190</v>
      </c>
      <c r="AD95" s="110">
        <v>190</v>
      </c>
      <c r="AE95" s="110">
        <v>190</v>
      </c>
      <c r="AF95" s="110">
        <v>190</v>
      </c>
      <c r="AG95" s="110">
        <v>190</v>
      </c>
      <c r="AH95" s="110">
        <v>190</v>
      </c>
      <c r="AI95" s="110">
        <v>77.113590034330272</v>
      </c>
      <c r="AJ95" s="110">
        <v>190</v>
      </c>
      <c r="AK95" s="110">
        <v>190</v>
      </c>
      <c r="AL95" s="110">
        <v>190</v>
      </c>
      <c r="AM95" s="110">
        <v>190</v>
      </c>
      <c r="AN95" s="110">
        <v>190</v>
      </c>
      <c r="AO95" s="110">
        <v>190</v>
      </c>
      <c r="AP95" s="110">
        <v>190</v>
      </c>
      <c r="AQ95" s="110">
        <v>190</v>
      </c>
      <c r="AR95" s="110">
        <v>190</v>
      </c>
      <c r="AS95" s="110">
        <v>190</v>
      </c>
      <c r="AT95" s="110">
        <v>190</v>
      </c>
      <c r="AU95" s="110">
        <v>190</v>
      </c>
      <c r="AV95" s="110">
        <v>190</v>
      </c>
      <c r="AW95" s="110">
        <v>190</v>
      </c>
      <c r="AX95" s="110">
        <v>190</v>
      </c>
      <c r="AY95" s="110">
        <v>190</v>
      </c>
    </row>
    <row r="96" spans="1:52">
      <c r="A96" s="109"/>
      <c r="B96" s="120">
        <v>2</v>
      </c>
      <c r="C96" s="110">
        <v>100</v>
      </c>
      <c r="D96" s="110">
        <v>87</v>
      </c>
      <c r="E96" s="110">
        <v>123</v>
      </c>
      <c r="F96" s="110">
        <v>167</v>
      </c>
      <c r="G96" s="110">
        <v>160</v>
      </c>
      <c r="H96" s="110">
        <v>190</v>
      </c>
      <c r="I96" s="110">
        <v>190</v>
      </c>
      <c r="J96" s="110">
        <v>190</v>
      </c>
      <c r="K96" s="110">
        <v>190</v>
      </c>
      <c r="L96" s="110">
        <v>190</v>
      </c>
      <c r="M96" s="110">
        <v>190</v>
      </c>
      <c r="N96" s="110">
        <v>190</v>
      </c>
      <c r="O96" s="110">
        <v>190</v>
      </c>
      <c r="P96" s="110">
        <v>190</v>
      </c>
      <c r="Q96" s="110">
        <v>183.33993480775007</v>
      </c>
      <c r="R96" s="110">
        <v>160.33993480775007</v>
      </c>
      <c r="S96" s="110">
        <v>161.33993480775007</v>
      </c>
      <c r="T96" s="110">
        <v>128.33993480775007</v>
      </c>
      <c r="U96" s="110">
        <v>131.33993480775007</v>
      </c>
      <c r="V96" s="110">
        <v>122.33993480775007</v>
      </c>
      <c r="W96" s="110">
        <v>133.1156236631939</v>
      </c>
      <c r="X96" s="110">
        <v>82.115623663193901</v>
      </c>
      <c r="Y96" s="110">
        <v>70.115623663193901</v>
      </c>
      <c r="Z96" s="110">
        <v>87.115623663193901</v>
      </c>
      <c r="AA96" s="110">
        <v>57.115623663193901</v>
      </c>
      <c r="AB96" s="110">
        <v>63.115623663193901</v>
      </c>
      <c r="AC96" s="110">
        <v>78.115623663193901</v>
      </c>
      <c r="AD96" s="110">
        <v>59.115623663193901</v>
      </c>
      <c r="AE96" s="110">
        <v>41.115623663193901</v>
      </c>
      <c r="AF96" s="110">
        <v>19.115623663193901</v>
      </c>
      <c r="AG96" s="110">
        <v>8.1156236631939009</v>
      </c>
      <c r="AH96" s="110">
        <v>46.115623663193901</v>
      </c>
      <c r="AI96" s="110">
        <v>47.115623663193901</v>
      </c>
      <c r="AJ96" s="110">
        <v>0</v>
      </c>
      <c r="AK96" s="110">
        <v>38</v>
      </c>
      <c r="AL96" s="110">
        <v>21</v>
      </c>
      <c r="AM96" s="110">
        <v>9</v>
      </c>
      <c r="AN96" s="110">
        <v>24</v>
      </c>
      <c r="AO96" s="110">
        <v>27</v>
      </c>
      <c r="AP96" s="110">
        <v>37</v>
      </c>
      <c r="AQ96" s="110">
        <v>59</v>
      </c>
      <c r="AR96" s="110">
        <v>87</v>
      </c>
      <c r="AS96" s="110">
        <v>55</v>
      </c>
      <c r="AT96" s="110">
        <v>57</v>
      </c>
      <c r="AU96" s="110">
        <v>0</v>
      </c>
      <c r="AV96" s="110">
        <v>0</v>
      </c>
      <c r="AW96" s="110">
        <v>0</v>
      </c>
      <c r="AX96" s="110">
        <v>0</v>
      </c>
      <c r="AY96" s="110">
        <v>0</v>
      </c>
    </row>
    <row r="97" spans="1:52">
      <c r="A97" s="109"/>
      <c r="B97" s="127">
        <v>3</v>
      </c>
      <c r="C97" s="110">
        <v>0</v>
      </c>
      <c r="D97" s="110">
        <v>0</v>
      </c>
      <c r="E97" s="110">
        <v>0</v>
      </c>
      <c r="F97" s="110">
        <v>0</v>
      </c>
      <c r="G97" s="110">
        <v>0</v>
      </c>
      <c r="H97" s="110">
        <v>1</v>
      </c>
      <c r="I97" s="110">
        <v>29</v>
      </c>
      <c r="J97" s="110">
        <v>54</v>
      </c>
      <c r="K97" s="110">
        <v>41</v>
      </c>
      <c r="L97" s="110">
        <v>69</v>
      </c>
      <c r="M97" s="110">
        <v>64.399484497194408</v>
      </c>
      <c r="N97" s="110">
        <v>2.339934807750069</v>
      </c>
      <c r="O97" s="110">
        <v>0.33993480775006901</v>
      </c>
      <c r="P97" s="110">
        <v>32.339934807750069</v>
      </c>
      <c r="Q97" s="110">
        <v>0</v>
      </c>
      <c r="R97" s="110">
        <v>0</v>
      </c>
      <c r="S97" s="110">
        <v>0</v>
      </c>
      <c r="T97" s="110">
        <v>0</v>
      </c>
      <c r="U97" s="110">
        <v>0</v>
      </c>
      <c r="V97" s="110">
        <v>0</v>
      </c>
      <c r="W97" s="110">
        <v>0</v>
      </c>
      <c r="X97" s="110">
        <v>0</v>
      </c>
      <c r="Y97" s="110">
        <v>0</v>
      </c>
      <c r="Z97" s="110">
        <v>0</v>
      </c>
      <c r="AA97" s="110">
        <v>0</v>
      </c>
      <c r="AB97" s="110">
        <v>0</v>
      </c>
      <c r="AC97" s="110">
        <v>0</v>
      </c>
      <c r="AD97" s="110">
        <v>0</v>
      </c>
      <c r="AE97" s="110">
        <v>0</v>
      </c>
      <c r="AF97" s="110">
        <v>0</v>
      </c>
      <c r="AG97" s="110">
        <v>0</v>
      </c>
      <c r="AH97" s="110">
        <v>0</v>
      </c>
      <c r="AI97" s="110">
        <v>0</v>
      </c>
      <c r="AJ97" s="110">
        <v>0</v>
      </c>
      <c r="AK97" s="110">
        <v>0</v>
      </c>
      <c r="AL97" s="110">
        <v>0</v>
      </c>
      <c r="AM97" s="110">
        <v>0</v>
      </c>
      <c r="AN97" s="110">
        <v>0</v>
      </c>
      <c r="AO97" s="110">
        <v>0</v>
      </c>
      <c r="AP97" s="110">
        <v>0</v>
      </c>
      <c r="AQ97" s="110">
        <v>0</v>
      </c>
      <c r="AR97" s="110">
        <v>0</v>
      </c>
      <c r="AS97" s="110">
        <v>0</v>
      </c>
      <c r="AT97" s="110">
        <v>0</v>
      </c>
      <c r="AU97" s="110">
        <v>0</v>
      </c>
      <c r="AV97" s="110">
        <v>0</v>
      </c>
      <c r="AW97" s="110">
        <v>0</v>
      </c>
      <c r="AX97" s="110">
        <v>0</v>
      </c>
      <c r="AY97" s="110">
        <v>0</v>
      </c>
    </row>
    <row r="98" spans="1:52">
      <c r="A98" s="109"/>
      <c r="B98" s="130">
        <v>4</v>
      </c>
      <c r="C98" s="106">
        <v>0</v>
      </c>
      <c r="D98" s="110">
        <v>0</v>
      </c>
      <c r="E98" s="110">
        <v>0</v>
      </c>
      <c r="F98" s="110">
        <v>0</v>
      </c>
      <c r="G98" s="110">
        <v>0</v>
      </c>
      <c r="H98" s="110">
        <v>0</v>
      </c>
      <c r="I98" s="110">
        <v>0</v>
      </c>
      <c r="J98" s="110">
        <v>0</v>
      </c>
      <c r="K98" s="110">
        <v>0</v>
      </c>
      <c r="L98" s="110">
        <v>0</v>
      </c>
      <c r="M98" s="110">
        <v>0</v>
      </c>
      <c r="N98" s="110">
        <v>0</v>
      </c>
      <c r="O98" s="110">
        <v>0</v>
      </c>
      <c r="P98" s="110">
        <v>0</v>
      </c>
      <c r="Q98" s="110">
        <v>0</v>
      </c>
      <c r="R98" s="110">
        <v>0</v>
      </c>
      <c r="S98" s="110">
        <v>0</v>
      </c>
      <c r="T98" s="110">
        <v>0</v>
      </c>
      <c r="U98" s="110">
        <v>0</v>
      </c>
      <c r="V98" s="110">
        <v>0</v>
      </c>
      <c r="W98" s="110">
        <v>0</v>
      </c>
      <c r="X98" s="110">
        <v>0</v>
      </c>
      <c r="Y98" s="110">
        <v>0</v>
      </c>
      <c r="Z98" s="110">
        <v>0</v>
      </c>
      <c r="AA98" s="110">
        <v>0</v>
      </c>
      <c r="AB98" s="110">
        <v>0</v>
      </c>
      <c r="AC98" s="110">
        <v>0</v>
      </c>
      <c r="AD98" s="110">
        <v>0</v>
      </c>
      <c r="AE98" s="110">
        <v>0</v>
      </c>
      <c r="AF98" s="110">
        <v>0</v>
      </c>
      <c r="AG98" s="110">
        <v>0</v>
      </c>
      <c r="AH98" s="110">
        <v>0</v>
      </c>
      <c r="AI98" s="110">
        <v>0</v>
      </c>
      <c r="AJ98" s="110">
        <v>0</v>
      </c>
      <c r="AK98" s="110">
        <v>0</v>
      </c>
      <c r="AL98" s="110">
        <v>0</v>
      </c>
      <c r="AM98" s="110">
        <v>0</v>
      </c>
      <c r="AN98" s="110">
        <v>0</v>
      </c>
      <c r="AO98" s="110">
        <v>0</v>
      </c>
      <c r="AP98" s="110">
        <v>0</v>
      </c>
      <c r="AQ98" s="110">
        <v>0</v>
      </c>
      <c r="AR98" s="110">
        <v>0</v>
      </c>
      <c r="AS98" s="110">
        <v>0</v>
      </c>
      <c r="AT98" s="110">
        <v>0</v>
      </c>
      <c r="AU98" s="110">
        <v>0</v>
      </c>
      <c r="AV98" s="110">
        <v>0</v>
      </c>
      <c r="AW98" s="110">
        <v>0</v>
      </c>
      <c r="AX98" s="110">
        <v>0</v>
      </c>
      <c r="AY98" s="110">
        <v>0</v>
      </c>
    </row>
    <row r="99" spans="1:52">
      <c r="A99" s="128"/>
      <c r="B99" s="132" t="s">
        <v>296</v>
      </c>
      <c r="C99" s="125">
        <v>0</v>
      </c>
      <c r="D99" s="125">
        <v>0</v>
      </c>
      <c r="E99" s="125">
        <v>0</v>
      </c>
      <c r="F99" s="125">
        <v>0</v>
      </c>
      <c r="G99" s="125">
        <v>0</v>
      </c>
      <c r="H99" s="125">
        <v>0</v>
      </c>
      <c r="I99" s="125">
        <v>0</v>
      </c>
      <c r="J99" s="125">
        <v>0</v>
      </c>
      <c r="K99" s="125">
        <v>0</v>
      </c>
      <c r="L99" s="125">
        <v>0</v>
      </c>
      <c r="M99" s="125">
        <v>0</v>
      </c>
      <c r="N99" s="125">
        <v>0</v>
      </c>
      <c r="O99" s="125">
        <v>0</v>
      </c>
      <c r="P99" s="125">
        <v>0</v>
      </c>
      <c r="Q99" s="125">
        <v>0</v>
      </c>
      <c r="R99" s="125">
        <v>0</v>
      </c>
      <c r="S99" s="125">
        <v>0</v>
      </c>
      <c r="T99" s="125">
        <v>0</v>
      </c>
      <c r="U99" s="125">
        <v>0</v>
      </c>
      <c r="V99" s="125">
        <v>0</v>
      </c>
      <c r="W99" s="125">
        <v>0</v>
      </c>
      <c r="X99" s="125">
        <v>0</v>
      </c>
      <c r="Y99" s="125">
        <v>0</v>
      </c>
      <c r="Z99" s="125">
        <v>0</v>
      </c>
      <c r="AA99" s="125">
        <v>0</v>
      </c>
      <c r="AB99" s="125">
        <v>0</v>
      </c>
      <c r="AC99" s="125">
        <v>0</v>
      </c>
      <c r="AD99" s="125">
        <v>0</v>
      </c>
      <c r="AE99" s="125">
        <v>0</v>
      </c>
      <c r="AF99" s="125">
        <v>0</v>
      </c>
      <c r="AG99" s="125">
        <v>0</v>
      </c>
      <c r="AH99" s="125">
        <v>0</v>
      </c>
      <c r="AI99" s="125">
        <v>0</v>
      </c>
      <c r="AJ99" s="125">
        <v>0</v>
      </c>
      <c r="AK99" s="125">
        <v>0</v>
      </c>
      <c r="AL99" s="125">
        <v>0</v>
      </c>
      <c r="AM99" s="125">
        <v>0</v>
      </c>
      <c r="AN99" s="125">
        <v>0</v>
      </c>
      <c r="AO99" s="125">
        <v>0</v>
      </c>
      <c r="AP99" s="125">
        <v>0</v>
      </c>
      <c r="AQ99" s="125">
        <v>0</v>
      </c>
      <c r="AR99" s="125">
        <v>0</v>
      </c>
      <c r="AS99" s="125">
        <v>0</v>
      </c>
      <c r="AT99" s="125">
        <v>0</v>
      </c>
      <c r="AU99" s="125">
        <v>0</v>
      </c>
      <c r="AV99" s="125">
        <v>0</v>
      </c>
      <c r="AW99" s="125">
        <v>0</v>
      </c>
      <c r="AX99" s="125">
        <v>0</v>
      </c>
      <c r="AY99" s="125">
        <v>0</v>
      </c>
      <c r="AZ99" s="107">
        <f>SUM($D99:$AY99)</f>
        <v>0</v>
      </c>
    </row>
    <row r="100" spans="1:52">
      <c r="A100" s="131" t="s">
        <v>133</v>
      </c>
      <c r="B100" s="119">
        <v>1</v>
      </c>
      <c r="C100" s="106">
        <v>12.333128125187292</v>
      </c>
      <c r="D100" s="106">
        <v>169.99999999999898</v>
      </c>
      <c r="E100" s="106">
        <v>169.99999999999986</v>
      </c>
      <c r="F100" s="106">
        <v>169.99999999999983</v>
      </c>
      <c r="G100" s="106">
        <v>169.99999999999986</v>
      </c>
      <c r="H100" s="106">
        <v>0</v>
      </c>
      <c r="I100" s="106">
        <v>169.99999999999983</v>
      </c>
      <c r="J100" s="106">
        <v>169.99999999999986</v>
      </c>
      <c r="K100" s="106">
        <v>169.99999999999983</v>
      </c>
      <c r="L100" s="106">
        <v>12.335740301852786</v>
      </c>
      <c r="M100" s="106">
        <v>169.99999999999983</v>
      </c>
      <c r="N100" s="106">
        <v>169.99999999999986</v>
      </c>
      <c r="O100" s="106">
        <v>169.99999999999983</v>
      </c>
      <c r="P100" s="106">
        <v>169.99999999999986</v>
      </c>
      <c r="Q100" s="106">
        <v>169.99999999999983</v>
      </c>
      <c r="R100" s="106">
        <v>12.335740301852786</v>
      </c>
      <c r="S100" s="106">
        <v>169.99999999999983</v>
      </c>
      <c r="T100" s="106">
        <v>12.335740301852786</v>
      </c>
      <c r="U100" s="106">
        <v>169.99999999999983</v>
      </c>
      <c r="V100" s="106">
        <v>12.335740301852786</v>
      </c>
      <c r="W100" s="106">
        <v>169.99999999999983</v>
      </c>
      <c r="X100" s="106">
        <v>12.335740301852786</v>
      </c>
      <c r="Y100" s="106">
        <v>169.99999999999983</v>
      </c>
      <c r="Z100" s="106">
        <v>12.335740301852786</v>
      </c>
      <c r="AA100" s="106">
        <v>169.99999999999983</v>
      </c>
      <c r="AB100" s="106">
        <v>12.335740301852786</v>
      </c>
      <c r="AC100" s="106">
        <v>169.99999999999983</v>
      </c>
      <c r="AD100" s="106">
        <v>169.99999999999986</v>
      </c>
      <c r="AE100" s="106">
        <v>169.99999999999983</v>
      </c>
      <c r="AF100" s="106">
        <v>12.335740301852786</v>
      </c>
      <c r="AG100" s="106">
        <v>169.99999999999983</v>
      </c>
      <c r="AH100" s="106">
        <v>12.335740301852786</v>
      </c>
      <c r="AI100" s="106">
        <v>169.99999999999983</v>
      </c>
      <c r="AJ100" s="106">
        <v>12.335740301852786</v>
      </c>
      <c r="AK100" s="106">
        <v>68.996370030716548</v>
      </c>
      <c r="AL100" s="106">
        <v>123.35740301852783</v>
      </c>
      <c r="AM100" s="106">
        <v>0</v>
      </c>
      <c r="AN100" s="106">
        <v>169.99999999999983</v>
      </c>
      <c r="AO100" s="106">
        <v>169.99999999999986</v>
      </c>
      <c r="AP100" s="106">
        <v>169.99999999999983</v>
      </c>
      <c r="AQ100" s="106">
        <v>12.335740301852786</v>
      </c>
      <c r="AR100" s="106">
        <v>169.99999999999983</v>
      </c>
      <c r="AS100" s="106">
        <v>12.335740301852786</v>
      </c>
      <c r="AT100" s="106">
        <v>169.99999999999983</v>
      </c>
      <c r="AU100" s="106">
        <v>169.99999999999986</v>
      </c>
      <c r="AV100" s="106">
        <v>169.99999999999983</v>
      </c>
      <c r="AW100" s="106">
        <v>169.99999999999986</v>
      </c>
      <c r="AX100" s="106">
        <v>169.99999999999983</v>
      </c>
      <c r="AY100" s="106">
        <v>169.99999999999986</v>
      </c>
    </row>
    <row r="101" spans="1:52">
      <c r="A101" s="109"/>
      <c r="B101" s="119">
        <v>2</v>
      </c>
      <c r="C101" s="106">
        <v>0</v>
      </c>
      <c r="D101" s="106">
        <v>169.99999999999901</v>
      </c>
      <c r="E101" s="106">
        <v>169.99999999999898</v>
      </c>
      <c r="F101" s="106">
        <v>169.99999999999986</v>
      </c>
      <c r="G101" s="106">
        <v>150.66687187480937</v>
      </c>
      <c r="H101" s="106">
        <v>147.66687187480923</v>
      </c>
      <c r="I101" s="106">
        <v>0</v>
      </c>
      <c r="J101" s="106">
        <v>0</v>
      </c>
      <c r="K101" s="106">
        <v>29.999999999999858</v>
      </c>
      <c r="L101" s="106">
        <v>0</v>
      </c>
      <c r="M101" s="106">
        <v>157.66425969814708</v>
      </c>
      <c r="N101" s="106">
        <v>169.99999999999983</v>
      </c>
      <c r="O101" s="106">
        <v>169.99999999999986</v>
      </c>
      <c r="P101" s="106">
        <v>143.66425969814659</v>
      </c>
      <c r="Q101" s="106">
        <v>166.66425969814645</v>
      </c>
      <c r="R101" s="106">
        <v>138.66425969814628</v>
      </c>
      <c r="S101" s="106">
        <v>157.66425969814708</v>
      </c>
      <c r="T101" s="106">
        <v>93.664259698146907</v>
      </c>
      <c r="U101" s="106">
        <v>5.3290705182007514E-15</v>
      </c>
      <c r="V101" s="106">
        <v>0</v>
      </c>
      <c r="W101" s="106">
        <v>161.66425969814694</v>
      </c>
      <c r="X101" s="106">
        <v>128.66425969814676</v>
      </c>
      <c r="Y101" s="106">
        <v>5.3290705182007514E-15</v>
      </c>
      <c r="Z101" s="106">
        <v>0</v>
      </c>
      <c r="AA101" s="106">
        <v>157.66425969814708</v>
      </c>
      <c r="AB101" s="106">
        <v>135.66425969814691</v>
      </c>
      <c r="AC101" s="106">
        <v>157.66425969814708</v>
      </c>
      <c r="AD101" s="106">
        <v>106.66425969814691</v>
      </c>
      <c r="AE101" s="106">
        <v>61.664259698146765</v>
      </c>
      <c r="AF101" s="106">
        <v>59.664259698146594</v>
      </c>
      <c r="AG101" s="106">
        <v>5.3290705182007514E-15</v>
      </c>
      <c r="AH101" s="106">
        <v>0</v>
      </c>
      <c r="AI101" s="106">
        <v>157.66425969814708</v>
      </c>
      <c r="AJ101" s="106">
        <v>119.66425969814691</v>
      </c>
      <c r="AK101" s="106">
        <v>157.66425969814708</v>
      </c>
      <c r="AL101" s="106">
        <v>68.996370030716548</v>
      </c>
      <c r="AM101" s="106">
        <v>46.642596981472025</v>
      </c>
      <c r="AN101" s="106">
        <v>0</v>
      </c>
      <c r="AO101" s="106">
        <v>0</v>
      </c>
      <c r="AP101" s="106">
        <v>0</v>
      </c>
      <c r="AQ101" s="106">
        <v>0</v>
      </c>
      <c r="AR101" s="106">
        <v>157.66425969814708</v>
      </c>
      <c r="AS101" s="106">
        <v>77.664259698146907</v>
      </c>
      <c r="AT101" s="106">
        <v>157.66425969814708</v>
      </c>
      <c r="AU101" s="106">
        <v>88.664259698146907</v>
      </c>
      <c r="AV101" s="106">
        <v>28.664259698146765</v>
      </c>
      <c r="AW101" s="106">
        <v>0</v>
      </c>
      <c r="AX101" s="106">
        <v>0</v>
      </c>
      <c r="AY101" s="106">
        <v>0</v>
      </c>
    </row>
    <row r="102" spans="1:52">
      <c r="A102" s="109"/>
      <c r="B102" s="120">
        <v>3</v>
      </c>
      <c r="C102" s="106">
        <v>157.6668718748117</v>
      </c>
      <c r="D102" s="106">
        <v>0</v>
      </c>
      <c r="E102" s="106">
        <v>6.6668718748107096</v>
      </c>
      <c r="F102" s="106">
        <v>9.6668718748096865</v>
      </c>
      <c r="G102" s="106">
        <v>0</v>
      </c>
      <c r="H102" s="106">
        <v>0</v>
      </c>
      <c r="I102" s="106">
        <v>0</v>
      </c>
      <c r="J102" s="106">
        <v>0</v>
      </c>
      <c r="K102" s="106">
        <v>0</v>
      </c>
      <c r="L102" s="106">
        <v>0</v>
      </c>
      <c r="M102" s="106">
        <v>0</v>
      </c>
      <c r="N102" s="106">
        <v>3.6642596981470774</v>
      </c>
      <c r="O102" s="106">
        <v>7.6642596981469069</v>
      </c>
      <c r="P102" s="106">
        <v>0</v>
      </c>
      <c r="Q102" s="106">
        <v>0</v>
      </c>
      <c r="R102" s="106">
        <v>0</v>
      </c>
      <c r="S102" s="106">
        <v>0</v>
      </c>
      <c r="T102" s="106">
        <v>0</v>
      </c>
      <c r="U102" s="106">
        <v>0</v>
      </c>
      <c r="V102" s="106">
        <v>157.66425969814708</v>
      </c>
      <c r="W102" s="106">
        <v>0</v>
      </c>
      <c r="X102" s="106">
        <v>0</v>
      </c>
      <c r="Y102" s="106">
        <v>0</v>
      </c>
      <c r="Z102" s="106">
        <v>157.66425969814708</v>
      </c>
      <c r="AA102" s="106">
        <v>0</v>
      </c>
      <c r="AB102" s="106">
        <v>0</v>
      </c>
      <c r="AC102" s="106">
        <v>0</v>
      </c>
      <c r="AD102" s="106">
        <v>0</v>
      </c>
      <c r="AE102" s="106">
        <v>0</v>
      </c>
      <c r="AF102" s="106">
        <v>0</v>
      </c>
      <c r="AG102" s="106">
        <v>0</v>
      </c>
      <c r="AH102" s="106">
        <v>157.66425969814708</v>
      </c>
      <c r="AI102" s="106">
        <v>0</v>
      </c>
      <c r="AJ102" s="106">
        <v>0</v>
      </c>
      <c r="AK102" s="106">
        <v>0</v>
      </c>
      <c r="AL102" s="106">
        <v>1.6642596981470774</v>
      </c>
      <c r="AM102" s="106">
        <v>0</v>
      </c>
      <c r="AN102" s="106">
        <v>0</v>
      </c>
      <c r="AO102" s="106">
        <v>0</v>
      </c>
      <c r="AP102" s="106">
        <v>0</v>
      </c>
      <c r="AQ102" s="106">
        <v>0</v>
      </c>
      <c r="AR102" s="106">
        <v>0</v>
      </c>
      <c r="AS102" s="106">
        <v>0</v>
      </c>
      <c r="AT102" s="106">
        <v>0</v>
      </c>
      <c r="AU102" s="106">
        <v>0</v>
      </c>
      <c r="AV102" s="106">
        <v>0</v>
      </c>
      <c r="AW102" s="106">
        <v>0</v>
      </c>
      <c r="AX102" s="106">
        <v>0</v>
      </c>
      <c r="AY102" s="106">
        <v>0</v>
      </c>
    </row>
    <row r="103" spans="1:52">
      <c r="A103" s="109"/>
      <c r="B103" s="120">
        <v>4</v>
      </c>
      <c r="C103" s="106">
        <v>0</v>
      </c>
      <c r="D103" s="106">
        <v>2.6668718748117044</v>
      </c>
      <c r="E103" s="106">
        <v>0</v>
      </c>
      <c r="F103" s="106">
        <v>0</v>
      </c>
      <c r="G103" s="106">
        <v>0</v>
      </c>
      <c r="H103" s="106">
        <v>0</v>
      </c>
      <c r="I103" s="106">
        <v>0</v>
      </c>
      <c r="J103" s="106">
        <v>0</v>
      </c>
      <c r="K103" s="106">
        <v>0</v>
      </c>
      <c r="L103" s="106">
        <v>0</v>
      </c>
      <c r="M103" s="106">
        <v>0</v>
      </c>
      <c r="N103" s="106">
        <v>0</v>
      </c>
      <c r="O103" s="106">
        <v>0</v>
      </c>
      <c r="P103" s="106">
        <v>0</v>
      </c>
      <c r="Q103" s="106">
        <v>0</v>
      </c>
      <c r="R103" s="106">
        <v>0</v>
      </c>
      <c r="S103" s="106">
        <v>0</v>
      </c>
      <c r="T103" s="106">
        <v>0</v>
      </c>
      <c r="U103" s="106">
        <v>0</v>
      </c>
      <c r="V103" s="106">
        <v>0</v>
      </c>
      <c r="W103" s="106">
        <v>0</v>
      </c>
      <c r="X103" s="106">
        <v>0</v>
      </c>
      <c r="Y103" s="106">
        <v>0</v>
      </c>
      <c r="Z103" s="106">
        <v>0</v>
      </c>
      <c r="AA103" s="106">
        <v>0</v>
      </c>
      <c r="AB103" s="106">
        <v>0</v>
      </c>
      <c r="AC103" s="106">
        <v>0</v>
      </c>
      <c r="AD103" s="106">
        <v>0</v>
      </c>
      <c r="AE103" s="106">
        <v>0</v>
      </c>
      <c r="AF103" s="106">
        <v>0</v>
      </c>
      <c r="AG103" s="106">
        <v>0</v>
      </c>
      <c r="AH103" s="106">
        <v>0</v>
      </c>
      <c r="AI103" s="106">
        <v>0</v>
      </c>
      <c r="AJ103" s="106">
        <v>0</v>
      </c>
      <c r="AK103" s="106">
        <v>0</v>
      </c>
      <c r="AL103" s="106">
        <v>0</v>
      </c>
      <c r="AM103" s="106">
        <v>0</v>
      </c>
      <c r="AN103" s="106">
        <v>0</v>
      </c>
      <c r="AO103" s="106">
        <v>0</v>
      </c>
      <c r="AP103" s="106">
        <v>0</v>
      </c>
      <c r="AQ103" s="106">
        <v>0</v>
      </c>
      <c r="AR103" s="106">
        <v>0</v>
      </c>
      <c r="AS103" s="106">
        <v>0</v>
      </c>
      <c r="AT103" s="106">
        <v>0</v>
      </c>
      <c r="AU103" s="106">
        <v>0</v>
      </c>
      <c r="AV103" s="106">
        <v>0</v>
      </c>
      <c r="AW103" s="106">
        <v>0</v>
      </c>
      <c r="AX103" s="106">
        <v>0</v>
      </c>
      <c r="AY103" s="106">
        <v>0</v>
      </c>
    </row>
    <row r="104" spans="1:52">
      <c r="A104" s="109"/>
      <c r="B104" s="127">
        <v>5</v>
      </c>
      <c r="C104" s="106">
        <v>0</v>
      </c>
      <c r="D104" s="106">
        <v>0</v>
      </c>
      <c r="E104" s="106">
        <v>0</v>
      </c>
      <c r="F104" s="106">
        <v>0</v>
      </c>
      <c r="G104" s="106">
        <v>0</v>
      </c>
      <c r="H104" s="106">
        <v>0</v>
      </c>
      <c r="I104" s="106">
        <v>0</v>
      </c>
      <c r="J104" s="106">
        <v>0</v>
      </c>
      <c r="K104" s="106">
        <v>0</v>
      </c>
      <c r="L104" s="106">
        <v>0</v>
      </c>
      <c r="M104" s="106">
        <v>0</v>
      </c>
      <c r="N104" s="106">
        <v>0</v>
      </c>
      <c r="O104" s="106">
        <v>0</v>
      </c>
      <c r="P104" s="106">
        <v>0</v>
      </c>
      <c r="Q104" s="106">
        <v>0</v>
      </c>
      <c r="R104" s="106">
        <v>0</v>
      </c>
      <c r="S104" s="106">
        <v>0</v>
      </c>
      <c r="T104" s="106">
        <v>0</v>
      </c>
      <c r="U104" s="106">
        <v>0</v>
      </c>
      <c r="V104" s="106">
        <v>0</v>
      </c>
      <c r="W104" s="106">
        <v>0</v>
      </c>
      <c r="X104" s="106">
        <v>0</v>
      </c>
      <c r="Y104" s="106">
        <v>0</v>
      </c>
      <c r="Z104" s="106">
        <v>0</v>
      </c>
      <c r="AA104" s="106">
        <v>0</v>
      </c>
      <c r="AB104" s="106">
        <v>0</v>
      </c>
      <c r="AC104" s="106">
        <v>0</v>
      </c>
      <c r="AD104" s="106">
        <v>0</v>
      </c>
      <c r="AE104" s="106">
        <v>0</v>
      </c>
      <c r="AF104" s="106">
        <v>0</v>
      </c>
      <c r="AG104" s="106">
        <v>0</v>
      </c>
      <c r="AH104" s="106">
        <v>0</v>
      </c>
      <c r="AI104" s="106">
        <v>0</v>
      </c>
      <c r="AJ104" s="106">
        <v>0</v>
      </c>
      <c r="AK104" s="106">
        <v>0</v>
      </c>
      <c r="AL104" s="106">
        <v>0</v>
      </c>
      <c r="AM104" s="106">
        <v>0</v>
      </c>
      <c r="AN104" s="106">
        <v>0</v>
      </c>
      <c r="AO104" s="106">
        <v>0</v>
      </c>
      <c r="AP104" s="106">
        <v>0</v>
      </c>
      <c r="AQ104" s="106">
        <v>0</v>
      </c>
      <c r="AR104" s="106">
        <v>0</v>
      </c>
      <c r="AS104" s="106">
        <v>0</v>
      </c>
      <c r="AT104" s="106">
        <v>0</v>
      </c>
      <c r="AU104" s="106">
        <v>0</v>
      </c>
      <c r="AV104" s="106">
        <v>0</v>
      </c>
      <c r="AW104" s="106">
        <v>0</v>
      </c>
      <c r="AX104" s="106">
        <v>0</v>
      </c>
      <c r="AY104" s="106">
        <v>0</v>
      </c>
    </row>
    <row r="105" spans="1:52">
      <c r="A105" s="109"/>
      <c r="B105" s="127">
        <v>6</v>
      </c>
      <c r="C105" s="106">
        <v>0</v>
      </c>
      <c r="D105" s="106">
        <v>0</v>
      </c>
      <c r="E105" s="106">
        <v>0</v>
      </c>
      <c r="F105" s="106">
        <v>0</v>
      </c>
      <c r="G105" s="106">
        <v>0</v>
      </c>
      <c r="H105" s="106">
        <v>0</v>
      </c>
      <c r="I105" s="106">
        <v>0</v>
      </c>
      <c r="J105" s="106">
        <v>0</v>
      </c>
      <c r="K105" s="106">
        <v>0</v>
      </c>
      <c r="L105" s="106">
        <v>0</v>
      </c>
      <c r="M105" s="106">
        <v>0</v>
      </c>
      <c r="N105" s="106">
        <v>0</v>
      </c>
      <c r="O105" s="106">
        <v>0</v>
      </c>
      <c r="P105" s="106">
        <v>0</v>
      </c>
      <c r="Q105" s="106">
        <v>0</v>
      </c>
      <c r="R105" s="106">
        <v>0</v>
      </c>
      <c r="S105" s="106">
        <v>0</v>
      </c>
      <c r="T105" s="106">
        <v>0</v>
      </c>
      <c r="U105" s="106">
        <v>0</v>
      </c>
      <c r="V105" s="106">
        <v>0</v>
      </c>
      <c r="W105" s="106">
        <v>0</v>
      </c>
      <c r="X105" s="106">
        <v>0</v>
      </c>
      <c r="Y105" s="106">
        <v>0</v>
      </c>
      <c r="Z105" s="106">
        <v>0</v>
      </c>
      <c r="AA105" s="106">
        <v>0</v>
      </c>
      <c r="AB105" s="106">
        <v>0</v>
      </c>
      <c r="AC105" s="106">
        <v>0</v>
      </c>
      <c r="AD105" s="106">
        <v>0</v>
      </c>
      <c r="AE105" s="106">
        <v>0</v>
      </c>
      <c r="AF105" s="106">
        <v>0</v>
      </c>
      <c r="AG105" s="106">
        <v>0</v>
      </c>
      <c r="AH105" s="106">
        <v>0</v>
      </c>
      <c r="AI105" s="106">
        <v>0</v>
      </c>
      <c r="AJ105" s="106">
        <v>0</v>
      </c>
      <c r="AK105" s="106">
        <v>0</v>
      </c>
      <c r="AL105" s="106">
        <v>0</v>
      </c>
      <c r="AM105" s="106">
        <v>0</v>
      </c>
      <c r="AN105" s="106">
        <v>0</v>
      </c>
      <c r="AO105" s="106">
        <v>0</v>
      </c>
      <c r="AP105" s="106">
        <v>0</v>
      </c>
      <c r="AQ105" s="106">
        <v>0</v>
      </c>
      <c r="AR105" s="106">
        <v>0</v>
      </c>
      <c r="AS105" s="106">
        <v>0</v>
      </c>
      <c r="AT105" s="106">
        <v>0</v>
      </c>
      <c r="AU105" s="106">
        <v>0</v>
      </c>
      <c r="AV105" s="106">
        <v>0</v>
      </c>
      <c r="AW105" s="106">
        <v>0</v>
      </c>
      <c r="AX105" s="106">
        <v>0</v>
      </c>
      <c r="AY105" s="106">
        <v>0</v>
      </c>
    </row>
    <row r="106" spans="1:52">
      <c r="A106" s="109"/>
      <c r="B106" s="130">
        <v>7</v>
      </c>
      <c r="C106" s="106">
        <v>0</v>
      </c>
      <c r="D106" s="106">
        <v>0</v>
      </c>
      <c r="E106" s="106">
        <v>0</v>
      </c>
      <c r="F106" s="106">
        <v>0</v>
      </c>
      <c r="G106" s="106">
        <v>0</v>
      </c>
      <c r="H106" s="106">
        <v>0</v>
      </c>
      <c r="I106" s="106">
        <v>0</v>
      </c>
      <c r="J106" s="106">
        <v>0</v>
      </c>
      <c r="K106" s="106">
        <v>0</v>
      </c>
      <c r="L106" s="106">
        <v>0</v>
      </c>
      <c r="M106" s="106">
        <v>0</v>
      </c>
      <c r="N106" s="106">
        <v>0</v>
      </c>
      <c r="O106" s="106">
        <v>0</v>
      </c>
      <c r="P106" s="106">
        <v>0</v>
      </c>
      <c r="Q106" s="106">
        <v>0</v>
      </c>
      <c r="R106" s="106">
        <v>0</v>
      </c>
      <c r="S106" s="106">
        <v>0</v>
      </c>
      <c r="T106" s="106">
        <v>0</v>
      </c>
      <c r="U106" s="106">
        <v>0</v>
      </c>
      <c r="V106" s="106">
        <v>0</v>
      </c>
      <c r="W106" s="106">
        <v>0</v>
      </c>
      <c r="X106" s="106">
        <v>0</v>
      </c>
      <c r="Y106" s="106">
        <v>0</v>
      </c>
      <c r="Z106" s="106">
        <v>0</v>
      </c>
      <c r="AA106" s="106">
        <v>0</v>
      </c>
      <c r="AB106" s="106">
        <v>0</v>
      </c>
      <c r="AC106" s="106">
        <v>0</v>
      </c>
      <c r="AD106" s="106">
        <v>0</v>
      </c>
      <c r="AE106" s="106">
        <v>0</v>
      </c>
      <c r="AF106" s="106">
        <v>0</v>
      </c>
      <c r="AG106" s="106">
        <v>0</v>
      </c>
      <c r="AH106" s="106">
        <v>0</v>
      </c>
      <c r="AI106" s="106">
        <v>0</v>
      </c>
      <c r="AJ106" s="106">
        <v>0</v>
      </c>
      <c r="AK106" s="106">
        <v>0</v>
      </c>
      <c r="AL106" s="106">
        <v>0</v>
      </c>
      <c r="AM106" s="106">
        <v>0</v>
      </c>
      <c r="AN106" s="106">
        <v>0</v>
      </c>
      <c r="AO106" s="106">
        <v>0</v>
      </c>
      <c r="AP106" s="106">
        <v>0</v>
      </c>
      <c r="AQ106" s="106">
        <v>0</v>
      </c>
      <c r="AR106" s="106">
        <v>0</v>
      </c>
      <c r="AS106" s="106">
        <v>0</v>
      </c>
      <c r="AT106" s="106">
        <v>0</v>
      </c>
      <c r="AU106" s="106">
        <v>0</v>
      </c>
      <c r="AV106" s="106">
        <v>0</v>
      </c>
      <c r="AW106" s="106">
        <v>0</v>
      </c>
      <c r="AX106" s="106">
        <v>0</v>
      </c>
      <c r="AY106" s="106">
        <v>0</v>
      </c>
    </row>
    <row r="107" spans="1:52">
      <c r="A107" s="109"/>
      <c r="B107" s="130">
        <v>8</v>
      </c>
      <c r="C107" s="106">
        <v>0</v>
      </c>
      <c r="D107" s="106">
        <v>0</v>
      </c>
      <c r="E107" s="106">
        <v>0</v>
      </c>
      <c r="F107" s="106">
        <v>0</v>
      </c>
      <c r="G107" s="106">
        <v>0</v>
      </c>
      <c r="H107" s="106">
        <v>0</v>
      </c>
      <c r="I107" s="106">
        <v>0</v>
      </c>
      <c r="J107" s="106">
        <v>0</v>
      </c>
      <c r="K107" s="106">
        <v>0</v>
      </c>
      <c r="L107" s="106">
        <v>0</v>
      </c>
      <c r="M107" s="106">
        <v>0</v>
      </c>
      <c r="N107" s="106">
        <v>0</v>
      </c>
      <c r="O107" s="106">
        <v>0</v>
      </c>
      <c r="P107" s="106">
        <v>0</v>
      </c>
      <c r="Q107" s="106">
        <v>0</v>
      </c>
      <c r="R107" s="106">
        <v>0</v>
      </c>
      <c r="S107" s="106">
        <v>0</v>
      </c>
      <c r="T107" s="106">
        <v>0</v>
      </c>
      <c r="U107" s="106">
        <v>0</v>
      </c>
      <c r="V107" s="106">
        <v>0</v>
      </c>
      <c r="W107" s="106">
        <v>0</v>
      </c>
      <c r="X107" s="106">
        <v>0</v>
      </c>
      <c r="Y107" s="106">
        <v>0</v>
      </c>
      <c r="Z107" s="106">
        <v>0</v>
      </c>
      <c r="AA107" s="106">
        <v>0</v>
      </c>
      <c r="AB107" s="106">
        <v>0</v>
      </c>
      <c r="AC107" s="106">
        <v>0</v>
      </c>
      <c r="AD107" s="106">
        <v>0</v>
      </c>
      <c r="AE107" s="106">
        <v>0</v>
      </c>
      <c r="AF107" s="106">
        <v>0</v>
      </c>
      <c r="AG107" s="106">
        <v>0</v>
      </c>
      <c r="AH107" s="106">
        <v>0</v>
      </c>
      <c r="AI107" s="106">
        <v>0</v>
      </c>
      <c r="AJ107" s="106">
        <v>0</v>
      </c>
      <c r="AK107" s="106">
        <v>0</v>
      </c>
      <c r="AL107" s="106">
        <v>0</v>
      </c>
      <c r="AM107" s="106">
        <v>0</v>
      </c>
      <c r="AN107" s="106">
        <v>0</v>
      </c>
      <c r="AO107" s="106">
        <v>0</v>
      </c>
      <c r="AP107" s="106">
        <v>0</v>
      </c>
      <c r="AQ107" s="106">
        <v>0</v>
      </c>
      <c r="AR107" s="106">
        <v>0</v>
      </c>
      <c r="AS107" s="106">
        <v>0</v>
      </c>
      <c r="AT107" s="106">
        <v>0</v>
      </c>
      <c r="AU107" s="106">
        <v>0</v>
      </c>
      <c r="AV107" s="106">
        <v>0</v>
      </c>
      <c r="AW107" s="106">
        <v>0</v>
      </c>
      <c r="AX107" s="106">
        <v>0</v>
      </c>
      <c r="AY107" s="106">
        <v>0</v>
      </c>
    </row>
    <row r="108" spans="1:52">
      <c r="A108" s="128"/>
      <c r="B108" s="132" t="s">
        <v>296</v>
      </c>
      <c r="C108" s="114">
        <v>0</v>
      </c>
      <c r="D108" s="125">
        <v>0</v>
      </c>
      <c r="E108" s="125">
        <v>0</v>
      </c>
      <c r="F108" s="125">
        <v>0</v>
      </c>
      <c r="G108" s="125">
        <v>0</v>
      </c>
      <c r="H108" s="125">
        <v>0</v>
      </c>
      <c r="I108" s="125">
        <v>0</v>
      </c>
      <c r="J108" s="125">
        <v>0</v>
      </c>
      <c r="K108" s="125">
        <v>0</v>
      </c>
      <c r="L108" s="125">
        <v>0</v>
      </c>
      <c r="M108" s="125">
        <v>0</v>
      </c>
      <c r="N108" s="125">
        <v>0</v>
      </c>
      <c r="O108" s="125">
        <v>0</v>
      </c>
      <c r="P108" s="125">
        <v>0</v>
      </c>
      <c r="Q108" s="125">
        <v>0</v>
      </c>
      <c r="R108" s="125">
        <v>0</v>
      </c>
      <c r="S108" s="125">
        <v>0</v>
      </c>
      <c r="T108" s="125">
        <v>0</v>
      </c>
      <c r="U108" s="125">
        <v>0</v>
      </c>
      <c r="V108" s="125">
        <v>0</v>
      </c>
      <c r="W108" s="125">
        <v>0</v>
      </c>
      <c r="X108" s="125">
        <v>0</v>
      </c>
      <c r="Y108" s="125">
        <v>0</v>
      </c>
      <c r="Z108" s="125">
        <v>0</v>
      </c>
      <c r="AA108" s="125">
        <v>0</v>
      </c>
      <c r="AB108" s="125">
        <v>0</v>
      </c>
      <c r="AC108" s="125">
        <v>0</v>
      </c>
      <c r="AD108" s="125">
        <v>0</v>
      </c>
      <c r="AE108" s="125">
        <v>0</v>
      </c>
      <c r="AF108" s="125">
        <v>0</v>
      </c>
      <c r="AG108" s="125">
        <v>0</v>
      </c>
      <c r="AH108" s="125">
        <v>0</v>
      </c>
      <c r="AI108" s="125">
        <v>0</v>
      </c>
      <c r="AJ108" s="125">
        <v>0</v>
      </c>
      <c r="AK108" s="125">
        <v>0</v>
      </c>
      <c r="AL108" s="125">
        <v>0</v>
      </c>
      <c r="AM108" s="125">
        <v>0</v>
      </c>
      <c r="AN108" s="125">
        <v>0</v>
      </c>
      <c r="AO108" s="125">
        <v>0</v>
      </c>
      <c r="AP108" s="125">
        <v>0</v>
      </c>
      <c r="AQ108" s="125">
        <v>0</v>
      </c>
      <c r="AR108" s="125">
        <v>0</v>
      </c>
      <c r="AS108" s="125">
        <v>0</v>
      </c>
      <c r="AT108" s="125">
        <v>0</v>
      </c>
      <c r="AU108" s="125">
        <v>0</v>
      </c>
      <c r="AV108" s="125">
        <v>0</v>
      </c>
      <c r="AW108" s="125">
        <v>0</v>
      </c>
      <c r="AX108" s="125">
        <v>0</v>
      </c>
      <c r="AY108" s="125">
        <v>0</v>
      </c>
      <c r="AZ108" s="107">
        <f>SUM($D108:$AY108)</f>
        <v>0</v>
      </c>
    </row>
    <row r="109" spans="1:52">
      <c r="A109" s="131" t="s">
        <v>134</v>
      </c>
      <c r="B109" s="119">
        <v>1</v>
      </c>
      <c r="C109" s="106">
        <v>119.99999999999935</v>
      </c>
      <c r="D109" s="106">
        <v>119.9999999999993</v>
      </c>
      <c r="E109" s="106">
        <v>231.36889754217427</v>
      </c>
      <c r="F109" s="106">
        <v>152.05093032730275</v>
      </c>
      <c r="G109" s="106">
        <v>119.99999999999994</v>
      </c>
      <c r="H109" s="106">
        <v>119.99999999999991</v>
      </c>
      <c r="I109" s="106">
        <v>9.227341696386648E-3</v>
      </c>
      <c r="J109" s="106">
        <v>119.99999999999993</v>
      </c>
      <c r="K109" s="106">
        <v>119.99999999999991</v>
      </c>
      <c r="L109" s="106">
        <v>119.99999999999993</v>
      </c>
      <c r="M109" s="106">
        <v>8.7161391659992766</v>
      </c>
      <c r="N109" s="106">
        <v>231.28386083400056</v>
      </c>
      <c r="O109" s="106">
        <v>144.28100218335567</v>
      </c>
      <c r="P109" s="106">
        <v>119.99999999999993</v>
      </c>
      <c r="Q109" s="106">
        <v>119.99999999999991</v>
      </c>
      <c r="R109" s="106">
        <v>119.99999999999993</v>
      </c>
      <c r="S109" s="106">
        <v>8.7161391659992766</v>
      </c>
      <c r="T109" s="106">
        <v>231.28386083400056</v>
      </c>
      <c r="U109" s="106">
        <v>29.986934295227243</v>
      </c>
      <c r="V109" s="106">
        <v>119.99999999999993</v>
      </c>
      <c r="W109" s="106">
        <v>119.99999999999991</v>
      </c>
      <c r="X109" s="106">
        <v>231.28386083400056</v>
      </c>
      <c r="Y109" s="106">
        <v>52.749676411776527</v>
      </c>
      <c r="Z109" s="106">
        <v>119.99999999999993</v>
      </c>
      <c r="AA109" s="106">
        <v>119.99999999999991</v>
      </c>
      <c r="AB109" s="106">
        <v>231.28386083400056</v>
      </c>
      <c r="AC109" s="106">
        <v>44.688669027314624</v>
      </c>
      <c r="AD109" s="106">
        <v>231.28386083400056</v>
      </c>
      <c r="AE109" s="106">
        <v>140.24539521961461</v>
      </c>
      <c r="AF109" s="106">
        <v>119.99999999999994</v>
      </c>
      <c r="AG109" s="106">
        <v>8.7161391659992766</v>
      </c>
      <c r="AH109" s="106">
        <v>119.99999999999993</v>
      </c>
      <c r="AI109" s="106">
        <v>119.99999999999991</v>
      </c>
      <c r="AJ109" s="106">
        <v>231.28386083400056</v>
      </c>
      <c r="AK109" s="106">
        <v>19.684421984511633</v>
      </c>
      <c r="AL109" s="106">
        <v>159.9926631792494</v>
      </c>
      <c r="AM109" s="106">
        <v>87.078345584725298</v>
      </c>
      <c r="AN109" s="106">
        <v>32.930881756971004</v>
      </c>
      <c r="AO109" s="106">
        <v>119.99999999999993</v>
      </c>
      <c r="AP109" s="106">
        <v>119.99999999999991</v>
      </c>
      <c r="AQ109" s="106">
        <v>119.99999999999993</v>
      </c>
      <c r="AR109" s="106">
        <v>8.7161391659992766</v>
      </c>
      <c r="AS109" s="106">
        <v>231.28386083400056</v>
      </c>
      <c r="AT109" s="106">
        <v>60.065586742181594</v>
      </c>
      <c r="AU109" s="106">
        <v>231.28386083400056</v>
      </c>
      <c r="AV109" s="106">
        <v>165.49116497749341</v>
      </c>
      <c r="AW109" s="106">
        <v>125.05291726842475</v>
      </c>
      <c r="AX109" s="106">
        <v>119.99999999999991</v>
      </c>
      <c r="AY109" s="106">
        <v>119.99999999999993</v>
      </c>
    </row>
    <row r="110" spans="1:52">
      <c r="A110" s="109"/>
      <c r="B110" s="119">
        <v>2</v>
      </c>
      <c r="C110" s="106">
        <v>0</v>
      </c>
      <c r="D110" s="106">
        <v>0</v>
      </c>
      <c r="E110" s="106">
        <v>9.9999999999993037</v>
      </c>
      <c r="F110" s="106">
        <v>101.36889754217358</v>
      </c>
      <c r="G110" s="106">
        <v>129.41982786947634</v>
      </c>
      <c r="H110" s="106">
        <v>107.41982786947628</v>
      </c>
      <c r="I110" s="106">
        <v>53.680021322977524</v>
      </c>
      <c r="J110" s="106">
        <v>0</v>
      </c>
      <c r="K110" s="106">
        <v>0</v>
      </c>
      <c r="L110" s="106">
        <v>0</v>
      </c>
      <c r="M110" s="106">
        <v>0</v>
      </c>
      <c r="N110" s="106">
        <v>0</v>
      </c>
      <c r="O110" s="106">
        <v>82.283860834000564</v>
      </c>
      <c r="P110" s="106">
        <v>87.564863017356231</v>
      </c>
      <c r="Q110" s="106">
        <v>47.56486301735616</v>
      </c>
      <c r="R110" s="106">
        <v>20.564863017356075</v>
      </c>
      <c r="S110" s="106">
        <v>0</v>
      </c>
      <c r="T110" s="106">
        <v>0</v>
      </c>
      <c r="U110" s="106">
        <v>77.984663617798361</v>
      </c>
      <c r="V110" s="106">
        <v>0</v>
      </c>
      <c r="W110" s="106">
        <v>5.9999999999999289</v>
      </c>
      <c r="X110" s="106">
        <v>0</v>
      </c>
      <c r="Y110" s="106">
        <v>64.094664381434001</v>
      </c>
      <c r="Z110" s="106">
        <v>0</v>
      </c>
      <c r="AA110" s="106">
        <v>0</v>
      </c>
      <c r="AB110" s="106">
        <v>0</v>
      </c>
      <c r="AC110" s="106">
        <v>51.900236768496825</v>
      </c>
      <c r="AD110" s="106">
        <v>0</v>
      </c>
      <c r="AE110" s="106">
        <v>116.28386083400056</v>
      </c>
      <c r="AF110" s="106">
        <v>99.529256053615171</v>
      </c>
      <c r="AG110" s="106">
        <v>23.16226576235303</v>
      </c>
      <c r="AH110" s="106">
        <v>0</v>
      </c>
      <c r="AI110" s="106">
        <v>0</v>
      </c>
      <c r="AJ110" s="106">
        <v>0</v>
      </c>
      <c r="AK110" s="106">
        <v>78.970195068722035</v>
      </c>
      <c r="AL110" s="106">
        <v>3.5527136788005009E-15</v>
      </c>
      <c r="AM110" s="106">
        <v>12.96260095367569</v>
      </c>
      <c r="AN110" s="106">
        <v>0</v>
      </c>
      <c r="AO110" s="106">
        <v>0</v>
      </c>
      <c r="AP110" s="106">
        <v>0</v>
      </c>
      <c r="AQ110" s="106">
        <v>0</v>
      </c>
      <c r="AR110" s="106">
        <v>0</v>
      </c>
      <c r="AS110" s="106">
        <v>0</v>
      </c>
      <c r="AT110" s="106">
        <v>79.647497197636937</v>
      </c>
      <c r="AU110" s="106">
        <v>0</v>
      </c>
      <c r="AV110" s="106">
        <v>85.283860834000564</v>
      </c>
      <c r="AW110" s="106">
        <v>138.89110233361058</v>
      </c>
      <c r="AX110" s="106">
        <v>82.333675554955192</v>
      </c>
      <c r="AY110" s="106">
        <v>15.055179183535017</v>
      </c>
    </row>
    <row r="111" spans="1:52">
      <c r="A111" s="109"/>
      <c r="B111" s="119">
        <v>3</v>
      </c>
      <c r="C111" s="106">
        <v>0</v>
      </c>
      <c r="D111" s="106">
        <v>0</v>
      </c>
      <c r="E111" s="106">
        <v>0</v>
      </c>
      <c r="F111" s="106">
        <v>0</v>
      </c>
      <c r="G111" s="106">
        <v>0</v>
      </c>
      <c r="H111" s="106">
        <v>0</v>
      </c>
      <c r="I111" s="106">
        <v>0</v>
      </c>
      <c r="J111" s="106">
        <v>0</v>
      </c>
      <c r="K111" s="106">
        <v>0</v>
      </c>
      <c r="L111" s="106">
        <v>0</v>
      </c>
      <c r="M111" s="106">
        <v>0</v>
      </c>
      <c r="N111" s="106">
        <v>0</v>
      </c>
      <c r="O111" s="106">
        <v>0</v>
      </c>
      <c r="P111" s="106">
        <v>0</v>
      </c>
      <c r="Q111" s="106">
        <v>0</v>
      </c>
      <c r="R111" s="106">
        <v>0</v>
      </c>
      <c r="S111" s="106">
        <v>0</v>
      </c>
      <c r="T111" s="106">
        <v>0</v>
      </c>
      <c r="U111" s="106">
        <v>0</v>
      </c>
      <c r="V111" s="106">
        <v>0</v>
      </c>
      <c r="W111" s="106">
        <v>0</v>
      </c>
      <c r="X111" s="106">
        <v>0</v>
      </c>
      <c r="Y111" s="106">
        <v>0</v>
      </c>
      <c r="Z111" s="106">
        <v>0</v>
      </c>
      <c r="AA111" s="106">
        <v>0</v>
      </c>
      <c r="AB111" s="106">
        <v>0</v>
      </c>
      <c r="AC111" s="106">
        <v>0</v>
      </c>
      <c r="AD111" s="106">
        <v>0</v>
      </c>
      <c r="AE111" s="106">
        <v>0</v>
      </c>
      <c r="AF111" s="106">
        <v>0</v>
      </c>
      <c r="AG111" s="106">
        <v>0</v>
      </c>
      <c r="AH111" s="106">
        <v>0</v>
      </c>
      <c r="AI111" s="106">
        <v>0</v>
      </c>
      <c r="AJ111" s="106">
        <v>0</v>
      </c>
      <c r="AK111" s="106">
        <v>0</v>
      </c>
      <c r="AL111" s="106">
        <v>0</v>
      </c>
      <c r="AM111" s="106">
        <v>0</v>
      </c>
      <c r="AN111" s="106">
        <v>0</v>
      </c>
      <c r="AO111" s="106">
        <v>0</v>
      </c>
      <c r="AP111" s="106">
        <v>0</v>
      </c>
      <c r="AQ111" s="106">
        <v>0</v>
      </c>
      <c r="AR111" s="106">
        <v>0</v>
      </c>
      <c r="AS111" s="106">
        <v>0</v>
      </c>
      <c r="AT111" s="106">
        <v>0</v>
      </c>
      <c r="AU111" s="106">
        <v>0</v>
      </c>
      <c r="AV111" s="106">
        <v>0</v>
      </c>
      <c r="AW111" s="106">
        <v>0</v>
      </c>
      <c r="AX111" s="106">
        <v>0</v>
      </c>
      <c r="AY111" s="106">
        <v>0</v>
      </c>
    </row>
    <row r="112" spans="1:52">
      <c r="A112" s="109"/>
      <c r="B112" s="120">
        <v>4</v>
      </c>
      <c r="C112" s="106">
        <v>0</v>
      </c>
      <c r="D112" s="106">
        <v>0</v>
      </c>
      <c r="E112" s="106">
        <v>0</v>
      </c>
      <c r="F112" s="106">
        <v>0</v>
      </c>
      <c r="G112" s="106">
        <v>0</v>
      </c>
      <c r="H112" s="106">
        <v>0</v>
      </c>
      <c r="I112" s="106">
        <v>0</v>
      </c>
      <c r="J112" s="106">
        <v>0</v>
      </c>
      <c r="K112" s="106">
        <v>0</v>
      </c>
      <c r="L112" s="106">
        <v>0</v>
      </c>
      <c r="M112" s="106">
        <v>0</v>
      </c>
      <c r="N112" s="106">
        <v>0</v>
      </c>
      <c r="O112" s="106">
        <v>0</v>
      </c>
      <c r="P112" s="106">
        <v>0</v>
      </c>
      <c r="Q112" s="106">
        <v>0</v>
      </c>
      <c r="R112" s="106">
        <v>0</v>
      </c>
      <c r="S112" s="106">
        <v>0</v>
      </c>
      <c r="T112" s="106">
        <v>0</v>
      </c>
      <c r="U112" s="106">
        <v>0</v>
      </c>
      <c r="V112" s="106">
        <v>0</v>
      </c>
      <c r="W112" s="106">
        <v>0</v>
      </c>
      <c r="X112" s="106">
        <v>0</v>
      </c>
      <c r="Y112" s="106">
        <v>0</v>
      </c>
      <c r="Z112" s="106">
        <v>0</v>
      </c>
      <c r="AA112" s="106">
        <v>0</v>
      </c>
      <c r="AB112" s="106">
        <v>0</v>
      </c>
      <c r="AC112" s="106">
        <v>0</v>
      </c>
      <c r="AD112" s="106">
        <v>0</v>
      </c>
      <c r="AE112" s="106">
        <v>0</v>
      </c>
      <c r="AF112" s="106">
        <v>0</v>
      </c>
      <c r="AG112" s="106">
        <v>0</v>
      </c>
      <c r="AH112" s="106">
        <v>0</v>
      </c>
      <c r="AI112" s="106">
        <v>0</v>
      </c>
      <c r="AJ112" s="106">
        <v>0</v>
      </c>
      <c r="AK112" s="106">
        <v>0</v>
      </c>
      <c r="AL112" s="106">
        <v>0</v>
      </c>
      <c r="AM112" s="106">
        <v>0</v>
      </c>
      <c r="AN112" s="106">
        <v>0</v>
      </c>
      <c r="AO112" s="106">
        <v>0</v>
      </c>
      <c r="AP112" s="106">
        <v>0</v>
      </c>
      <c r="AQ112" s="106">
        <v>0</v>
      </c>
      <c r="AR112" s="106">
        <v>0</v>
      </c>
      <c r="AS112" s="106">
        <v>0</v>
      </c>
      <c r="AT112" s="106">
        <v>0</v>
      </c>
      <c r="AU112" s="106">
        <v>0</v>
      </c>
      <c r="AV112" s="106">
        <v>0</v>
      </c>
      <c r="AW112" s="106">
        <v>0</v>
      </c>
      <c r="AX112" s="106">
        <v>0</v>
      </c>
      <c r="AY112" s="106">
        <v>0</v>
      </c>
    </row>
    <row r="113" spans="1:52">
      <c r="A113" s="109"/>
      <c r="B113" s="120">
        <v>5</v>
      </c>
      <c r="C113" s="106">
        <v>0</v>
      </c>
      <c r="D113" s="106">
        <v>0</v>
      </c>
      <c r="E113" s="106">
        <v>0</v>
      </c>
      <c r="F113" s="106">
        <v>0</v>
      </c>
      <c r="G113" s="106">
        <v>0</v>
      </c>
      <c r="H113" s="106">
        <v>0</v>
      </c>
      <c r="I113" s="106">
        <v>0</v>
      </c>
      <c r="J113" s="106">
        <v>0</v>
      </c>
      <c r="K113" s="106">
        <v>0</v>
      </c>
      <c r="L113" s="106">
        <v>0</v>
      </c>
      <c r="M113" s="106">
        <v>0</v>
      </c>
      <c r="N113" s="106">
        <v>0</v>
      </c>
      <c r="O113" s="106">
        <v>0</v>
      </c>
      <c r="P113" s="106">
        <v>0</v>
      </c>
      <c r="Q113" s="106">
        <v>0</v>
      </c>
      <c r="R113" s="106">
        <v>0</v>
      </c>
      <c r="S113" s="106">
        <v>0</v>
      </c>
      <c r="T113" s="106">
        <v>0</v>
      </c>
      <c r="U113" s="106">
        <v>0</v>
      </c>
      <c r="V113" s="106">
        <v>0</v>
      </c>
      <c r="W113" s="106">
        <v>0</v>
      </c>
      <c r="X113" s="106">
        <v>0</v>
      </c>
      <c r="Y113" s="106">
        <v>0</v>
      </c>
      <c r="Z113" s="106">
        <v>0</v>
      </c>
      <c r="AA113" s="106">
        <v>0</v>
      </c>
      <c r="AB113" s="106">
        <v>0</v>
      </c>
      <c r="AC113" s="106">
        <v>0</v>
      </c>
      <c r="AD113" s="106">
        <v>0</v>
      </c>
      <c r="AE113" s="106">
        <v>0</v>
      </c>
      <c r="AF113" s="106">
        <v>0</v>
      </c>
      <c r="AG113" s="106">
        <v>0</v>
      </c>
      <c r="AH113" s="106">
        <v>0</v>
      </c>
      <c r="AI113" s="106">
        <v>0</v>
      </c>
      <c r="AJ113" s="106">
        <v>0</v>
      </c>
      <c r="AK113" s="106">
        <v>0</v>
      </c>
      <c r="AL113" s="106">
        <v>0</v>
      </c>
      <c r="AM113" s="106">
        <v>0</v>
      </c>
      <c r="AN113" s="106">
        <v>0</v>
      </c>
      <c r="AO113" s="106">
        <v>0</v>
      </c>
      <c r="AP113" s="106">
        <v>0</v>
      </c>
      <c r="AQ113" s="106">
        <v>0</v>
      </c>
      <c r="AR113" s="106">
        <v>0</v>
      </c>
      <c r="AS113" s="106">
        <v>0</v>
      </c>
      <c r="AT113" s="106">
        <v>0</v>
      </c>
      <c r="AU113" s="106">
        <v>0</v>
      </c>
      <c r="AV113" s="106">
        <v>0</v>
      </c>
      <c r="AW113" s="106">
        <v>0</v>
      </c>
      <c r="AX113" s="106">
        <v>0</v>
      </c>
      <c r="AY113" s="106">
        <v>0</v>
      </c>
    </row>
    <row r="114" spans="1:52">
      <c r="A114" s="109"/>
      <c r="B114" s="120">
        <v>6</v>
      </c>
      <c r="C114" s="106">
        <v>0</v>
      </c>
      <c r="D114" s="106">
        <v>0</v>
      </c>
      <c r="E114" s="106">
        <v>0</v>
      </c>
      <c r="F114" s="106">
        <v>0</v>
      </c>
      <c r="G114" s="106">
        <v>0</v>
      </c>
      <c r="H114" s="106">
        <v>0</v>
      </c>
      <c r="I114" s="106">
        <v>0</v>
      </c>
      <c r="J114" s="106">
        <v>0</v>
      </c>
      <c r="K114" s="106">
        <v>0</v>
      </c>
      <c r="L114" s="106">
        <v>0</v>
      </c>
      <c r="M114" s="106">
        <v>0</v>
      </c>
      <c r="N114" s="106">
        <v>0</v>
      </c>
      <c r="O114" s="106">
        <v>0</v>
      </c>
      <c r="P114" s="106">
        <v>0</v>
      </c>
      <c r="Q114" s="106">
        <v>0</v>
      </c>
      <c r="R114" s="106">
        <v>0</v>
      </c>
      <c r="S114" s="106">
        <v>0</v>
      </c>
      <c r="T114" s="106">
        <v>0</v>
      </c>
      <c r="U114" s="106">
        <v>0</v>
      </c>
      <c r="V114" s="106">
        <v>0</v>
      </c>
      <c r="W114" s="106">
        <v>0</v>
      </c>
      <c r="X114" s="106">
        <v>0</v>
      </c>
      <c r="Y114" s="106">
        <v>0</v>
      </c>
      <c r="Z114" s="106">
        <v>0</v>
      </c>
      <c r="AA114" s="106">
        <v>0</v>
      </c>
      <c r="AB114" s="106">
        <v>0</v>
      </c>
      <c r="AC114" s="106">
        <v>0</v>
      </c>
      <c r="AD114" s="106">
        <v>0</v>
      </c>
      <c r="AE114" s="106">
        <v>0</v>
      </c>
      <c r="AF114" s="106">
        <v>0</v>
      </c>
      <c r="AG114" s="106">
        <v>0</v>
      </c>
      <c r="AH114" s="106">
        <v>0</v>
      </c>
      <c r="AI114" s="106">
        <v>0</v>
      </c>
      <c r="AJ114" s="106">
        <v>0</v>
      </c>
      <c r="AK114" s="106">
        <v>0</v>
      </c>
      <c r="AL114" s="106">
        <v>0</v>
      </c>
      <c r="AM114" s="106">
        <v>0</v>
      </c>
      <c r="AN114" s="106">
        <v>0</v>
      </c>
      <c r="AO114" s="106">
        <v>0</v>
      </c>
      <c r="AP114" s="106">
        <v>0</v>
      </c>
      <c r="AQ114" s="106">
        <v>0</v>
      </c>
      <c r="AR114" s="106">
        <v>0</v>
      </c>
      <c r="AS114" s="106">
        <v>0</v>
      </c>
      <c r="AT114" s="106">
        <v>0</v>
      </c>
      <c r="AU114" s="106">
        <v>0</v>
      </c>
      <c r="AV114" s="106">
        <v>0</v>
      </c>
      <c r="AW114" s="106">
        <v>0</v>
      </c>
      <c r="AX114" s="106">
        <v>0</v>
      </c>
      <c r="AY114" s="106">
        <v>0</v>
      </c>
    </row>
    <row r="115" spans="1:52">
      <c r="A115" s="109"/>
      <c r="B115" s="127">
        <v>7</v>
      </c>
      <c r="C115" s="106">
        <v>0</v>
      </c>
      <c r="D115" s="106">
        <v>0</v>
      </c>
      <c r="E115" s="106">
        <v>0</v>
      </c>
      <c r="F115" s="106">
        <v>0</v>
      </c>
      <c r="G115" s="106">
        <v>0</v>
      </c>
      <c r="H115" s="106">
        <v>0</v>
      </c>
      <c r="I115" s="106">
        <v>0</v>
      </c>
      <c r="J115" s="106">
        <v>0</v>
      </c>
      <c r="K115" s="106">
        <v>0</v>
      </c>
      <c r="L115" s="106">
        <v>0</v>
      </c>
      <c r="M115" s="106">
        <v>0</v>
      </c>
      <c r="N115" s="106">
        <v>0</v>
      </c>
      <c r="O115" s="106">
        <v>0</v>
      </c>
      <c r="P115" s="106">
        <v>0</v>
      </c>
      <c r="Q115" s="106">
        <v>0</v>
      </c>
      <c r="R115" s="106">
        <v>0</v>
      </c>
      <c r="S115" s="106">
        <v>0</v>
      </c>
      <c r="T115" s="106">
        <v>0</v>
      </c>
      <c r="U115" s="106">
        <v>0</v>
      </c>
      <c r="V115" s="106">
        <v>0</v>
      </c>
      <c r="W115" s="106">
        <v>0</v>
      </c>
      <c r="X115" s="106">
        <v>0</v>
      </c>
      <c r="Y115" s="106">
        <v>0</v>
      </c>
      <c r="Z115" s="106">
        <v>0</v>
      </c>
      <c r="AA115" s="106">
        <v>0</v>
      </c>
      <c r="AB115" s="106">
        <v>0</v>
      </c>
      <c r="AC115" s="106">
        <v>0</v>
      </c>
      <c r="AD115" s="106">
        <v>0</v>
      </c>
      <c r="AE115" s="106">
        <v>0</v>
      </c>
      <c r="AF115" s="106">
        <v>0</v>
      </c>
      <c r="AG115" s="106">
        <v>0</v>
      </c>
      <c r="AH115" s="106">
        <v>0</v>
      </c>
      <c r="AI115" s="106">
        <v>0</v>
      </c>
      <c r="AJ115" s="106">
        <v>0</v>
      </c>
      <c r="AK115" s="106">
        <v>0</v>
      </c>
      <c r="AL115" s="106">
        <v>0</v>
      </c>
      <c r="AM115" s="106">
        <v>0</v>
      </c>
      <c r="AN115" s="106">
        <v>0</v>
      </c>
      <c r="AO115" s="106">
        <v>0</v>
      </c>
      <c r="AP115" s="106">
        <v>0</v>
      </c>
      <c r="AQ115" s="106">
        <v>0</v>
      </c>
      <c r="AR115" s="106">
        <v>0</v>
      </c>
      <c r="AS115" s="106">
        <v>0</v>
      </c>
      <c r="AT115" s="106">
        <v>0</v>
      </c>
      <c r="AU115" s="106">
        <v>0</v>
      </c>
      <c r="AV115" s="106">
        <v>0</v>
      </c>
      <c r="AW115" s="106">
        <v>0</v>
      </c>
      <c r="AX115" s="106">
        <v>0</v>
      </c>
      <c r="AY115" s="106">
        <v>0</v>
      </c>
    </row>
    <row r="116" spans="1:52">
      <c r="A116" s="109"/>
      <c r="B116" s="127">
        <v>8</v>
      </c>
      <c r="C116" s="106">
        <v>0</v>
      </c>
      <c r="D116" s="106">
        <v>0</v>
      </c>
      <c r="E116" s="106">
        <v>0</v>
      </c>
      <c r="F116" s="106">
        <v>0</v>
      </c>
      <c r="G116" s="106">
        <v>0</v>
      </c>
      <c r="H116" s="106">
        <v>0</v>
      </c>
      <c r="I116" s="106">
        <v>0</v>
      </c>
      <c r="J116" s="106">
        <v>0</v>
      </c>
      <c r="K116" s="106">
        <v>0</v>
      </c>
      <c r="L116" s="106">
        <v>0</v>
      </c>
      <c r="M116" s="106">
        <v>0</v>
      </c>
      <c r="N116" s="106">
        <v>0</v>
      </c>
      <c r="O116" s="106">
        <v>0</v>
      </c>
      <c r="P116" s="106">
        <v>0</v>
      </c>
      <c r="Q116" s="106">
        <v>0</v>
      </c>
      <c r="R116" s="106">
        <v>0</v>
      </c>
      <c r="S116" s="106">
        <v>0</v>
      </c>
      <c r="T116" s="106">
        <v>0</v>
      </c>
      <c r="U116" s="106">
        <v>0</v>
      </c>
      <c r="V116" s="106">
        <v>0</v>
      </c>
      <c r="W116" s="106">
        <v>0</v>
      </c>
      <c r="X116" s="106">
        <v>0</v>
      </c>
      <c r="Y116" s="106">
        <v>0</v>
      </c>
      <c r="Z116" s="106">
        <v>0</v>
      </c>
      <c r="AA116" s="106">
        <v>0</v>
      </c>
      <c r="AB116" s="106">
        <v>0</v>
      </c>
      <c r="AC116" s="106">
        <v>0</v>
      </c>
      <c r="AD116" s="106">
        <v>0</v>
      </c>
      <c r="AE116" s="106">
        <v>0</v>
      </c>
      <c r="AF116" s="106">
        <v>0</v>
      </c>
      <c r="AG116" s="106">
        <v>0</v>
      </c>
      <c r="AH116" s="106">
        <v>0</v>
      </c>
      <c r="AI116" s="106">
        <v>0</v>
      </c>
      <c r="AJ116" s="106">
        <v>0</v>
      </c>
      <c r="AK116" s="106">
        <v>0</v>
      </c>
      <c r="AL116" s="106">
        <v>0</v>
      </c>
      <c r="AM116" s="106">
        <v>0</v>
      </c>
      <c r="AN116" s="106">
        <v>0</v>
      </c>
      <c r="AO116" s="106">
        <v>0</v>
      </c>
      <c r="AP116" s="106">
        <v>0</v>
      </c>
      <c r="AQ116" s="106">
        <v>0</v>
      </c>
      <c r="AR116" s="106">
        <v>0</v>
      </c>
      <c r="AS116" s="106">
        <v>0</v>
      </c>
      <c r="AT116" s="106">
        <v>0</v>
      </c>
      <c r="AU116" s="106">
        <v>0</v>
      </c>
      <c r="AV116" s="106">
        <v>0</v>
      </c>
      <c r="AW116" s="106">
        <v>0</v>
      </c>
      <c r="AX116" s="106">
        <v>0</v>
      </c>
      <c r="AY116" s="106">
        <v>0</v>
      </c>
    </row>
    <row r="117" spans="1:52">
      <c r="A117" s="109"/>
      <c r="B117" s="127">
        <v>9</v>
      </c>
      <c r="C117" s="106">
        <v>0</v>
      </c>
      <c r="D117" s="106">
        <v>0</v>
      </c>
      <c r="E117" s="106">
        <v>0</v>
      </c>
      <c r="F117" s="106">
        <v>0</v>
      </c>
      <c r="G117" s="106">
        <v>0</v>
      </c>
      <c r="H117" s="106">
        <v>0</v>
      </c>
      <c r="I117" s="106">
        <v>0</v>
      </c>
      <c r="J117" s="106">
        <v>0</v>
      </c>
      <c r="K117" s="106">
        <v>0</v>
      </c>
      <c r="L117" s="106">
        <v>0</v>
      </c>
      <c r="M117" s="106">
        <v>0</v>
      </c>
      <c r="N117" s="106">
        <v>0</v>
      </c>
      <c r="O117" s="106">
        <v>0</v>
      </c>
      <c r="P117" s="106">
        <v>0</v>
      </c>
      <c r="Q117" s="106">
        <v>0</v>
      </c>
      <c r="R117" s="106">
        <v>0</v>
      </c>
      <c r="S117" s="106">
        <v>0</v>
      </c>
      <c r="T117" s="106">
        <v>0</v>
      </c>
      <c r="U117" s="106">
        <v>0</v>
      </c>
      <c r="V117" s="106">
        <v>0</v>
      </c>
      <c r="W117" s="106">
        <v>0</v>
      </c>
      <c r="X117" s="106">
        <v>0</v>
      </c>
      <c r="Y117" s="106">
        <v>0</v>
      </c>
      <c r="Z117" s="106">
        <v>0</v>
      </c>
      <c r="AA117" s="106">
        <v>0</v>
      </c>
      <c r="AB117" s="106">
        <v>0</v>
      </c>
      <c r="AC117" s="106">
        <v>0</v>
      </c>
      <c r="AD117" s="106">
        <v>0</v>
      </c>
      <c r="AE117" s="106">
        <v>0</v>
      </c>
      <c r="AF117" s="106">
        <v>0</v>
      </c>
      <c r="AG117" s="106">
        <v>0</v>
      </c>
      <c r="AH117" s="106">
        <v>0</v>
      </c>
      <c r="AI117" s="106">
        <v>0</v>
      </c>
      <c r="AJ117" s="106">
        <v>0</v>
      </c>
      <c r="AK117" s="106">
        <v>0</v>
      </c>
      <c r="AL117" s="106">
        <v>0</v>
      </c>
      <c r="AM117" s="106">
        <v>0</v>
      </c>
      <c r="AN117" s="106">
        <v>0</v>
      </c>
      <c r="AO117" s="106">
        <v>0</v>
      </c>
      <c r="AP117" s="106">
        <v>0</v>
      </c>
      <c r="AQ117" s="106">
        <v>0</v>
      </c>
      <c r="AR117" s="106">
        <v>0</v>
      </c>
      <c r="AS117" s="106">
        <v>0</v>
      </c>
      <c r="AT117" s="106">
        <v>0</v>
      </c>
      <c r="AU117" s="106">
        <v>0</v>
      </c>
      <c r="AV117" s="106">
        <v>0</v>
      </c>
      <c r="AW117" s="106">
        <v>0</v>
      </c>
      <c r="AX117" s="106">
        <v>0</v>
      </c>
      <c r="AY117" s="106">
        <v>0</v>
      </c>
    </row>
    <row r="118" spans="1:52">
      <c r="A118" s="109"/>
      <c r="B118" s="130">
        <v>10</v>
      </c>
      <c r="C118" s="106">
        <v>0</v>
      </c>
      <c r="D118" s="106">
        <v>0</v>
      </c>
      <c r="E118" s="106">
        <v>0</v>
      </c>
      <c r="F118" s="106">
        <v>0</v>
      </c>
      <c r="G118" s="106">
        <v>0</v>
      </c>
      <c r="H118" s="106">
        <v>0</v>
      </c>
      <c r="I118" s="106">
        <v>0</v>
      </c>
      <c r="J118" s="106">
        <v>0</v>
      </c>
      <c r="K118" s="106">
        <v>0</v>
      </c>
      <c r="L118" s="106">
        <v>0</v>
      </c>
      <c r="M118" s="106">
        <v>0</v>
      </c>
      <c r="N118" s="106">
        <v>0</v>
      </c>
      <c r="O118" s="106">
        <v>0</v>
      </c>
      <c r="P118" s="106">
        <v>0</v>
      </c>
      <c r="Q118" s="106">
        <v>0</v>
      </c>
      <c r="R118" s="106">
        <v>0</v>
      </c>
      <c r="S118" s="106">
        <v>0</v>
      </c>
      <c r="T118" s="106">
        <v>0</v>
      </c>
      <c r="U118" s="106">
        <v>0</v>
      </c>
      <c r="V118" s="106">
        <v>0</v>
      </c>
      <c r="W118" s="106">
        <v>0</v>
      </c>
      <c r="X118" s="106">
        <v>0</v>
      </c>
      <c r="Y118" s="106">
        <v>0</v>
      </c>
      <c r="Z118" s="106">
        <v>0</v>
      </c>
      <c r="AA118" s="106">
        <v>0</v>
      </c>
      <c r="AB118" s="106">
        <v>0</v>
      </c>
      <c r="AC118" s="106">
        <v>0</v>
      </c>
      <c r="AD118" s="106">
        <v>0</v>
      </c>
      <c r="AE118" s="106">
        <v>0</v>
      </c>
      <c r="AF118" s="106">
        <v>0</v>
      </c>
      <c r="AG118" s="106">
        <v>0</v>
      </c>
      <c r="AH118" s="106">
        <v>0</v>
      </c>
      <c r="AI118" s="106">
        <v>0</v>
      </c>
      <c r="AJ118" s="106">
        <v>0</v>
      </c>
      <c r="AK118" s="106">
        <v>0</v>
      </c>
      <c r="AL118" s="106">
        <v>0</v>
      </c>
      <c r="AM118" s="106">
        <v>0</v>
      </c>
      <c r="AN118" s="106">
        <v>0</v>
      </c>
      <c r="AO118" s="106">
        <v>0</v>
      </c>
      <c r="AP118" s="106">
        <v>0</v>
      </c>
      <c r="AQ118" s="106">
        <v>0</v>
      </c>
      <c r="AR118" s="106">
        <v>0</v>
      </c>
      <c r="AS118" s="106">
        <v>0</v>
      </c>
      <c r="AT118" s="106">
        <v>0</v>
      </c>
      <c r="AU118" s="106">
        <v>0</v>
      </c>
      <c r="AV118" s="106">
        <v>0</v>
      </c>
      <c r="AW118" s="106">
        <v>0</v>
      </c>
      <c r="AX118" s="106">
        <v>0</v>
      </c>
      <c r="AY118" s="106">
        <v>0</v>
      </c>
    </row>
    <row r="119" spans="1:52">
      <c r="A119" s="109"/>
      <c r="B119" s="130">
        <v>11</v>
      </c>
      <c r="C119" s="106">
        <v>0</v>
      </c>
      <c r="D119" s="106">
        <v>0</v>
      </c>
      <c r="E119" s="106">
        <v>0</v>
      </c>
      <c r="F119" s="106">
        <v>0</v>
      </c>
      <c r="G119" s="106">
        <v>0</v>
      </c>
      <c r="H119" s="106">
        <v>0</v>
      </c>
      <c r="I119" s="106">
        <v>0</v>
      </c>
      <c r="J119" s="106">
        <v>0</v>
      </c>
      <c r="K119" s="106">
        <v>0</v>
      </c>
      <c r="L119" s="106">
        <v>0</v>
      </c>
      <c r="M119" s="106">
        <v>0</v>
      </c>
      <c r="N119" s="106">
        <v>0</v>
      </c>
      <c r="O119" s="106">
        <v>0</v>
      </c>
      <c r="P119" s="106">
        <v>0</v>
      </c>
      <c r="Q119" s="106">
        <v>0</v>
      </c>
      <c r="R119" s="106">
        <v>0</v>
      </c>
      <c r="S119" s="106">
        <v>0</v>
      </c>
      <c r="T119" s="106">
        <v>0</v>
      </c>
      <c r="U119" s="106">
        <v>0</v>
      </c>
      <c r="V119" s="106">
        <v>0</v>
      </c>
      <c r="W119" s="106">
        <v>0</v>
      </c>
      <c r="X119" s="106">
        <v>0</v>
      </c>
      <c r="Y119" s="106">
        <v>0</v>
      </c>
      <c r="Z119" s="106">
        <v>0</v>
      </c>
      <c r="AA119" s="106">
        <v>0</v>
      </c>
      <c r="AB119" s="106">
        <v>0</v>
      </c>
      <c r="AC119" s="106">
        <v>0</v>
      </c>
      <c r="AD119" s="106">
        <v>0</v>
      </c>
      <c r="AE119" s="106">
        <v>0</v>
      </c>
      <c r="AF119" s="106">
        <v>0</v>
      </c>
      <c r="AG119" s="106">
        <v>0</v>
      </c>
      <c r="AH119" s="106">
        <v>0</v>
      </c>
      <c r="AI119" s="106">
        <v>0</v>
      </c>
      <c r="AJ119" s="106">
        <v>0</v>
      </c>
      <c r="AK119" s="106">
        <v>0</v>
      </c>
      <c r="AL119" s="106">
        <v>0</v>
      </c>
      <c r="AM119" s="106">
        <v>0</v>
      </c>
      <c r="AN119" s="106">
        <v>0</v>
      </c>
      <c r="AO119" s="106">
        <v>0</v>
      </c>
      <c r="AP119" s="106">
        <v>0</v>
      </c>
      <c r="AQ119" s="106">
        <v>0</v>
      </c>
      <c r="AR119" s="106">
        <v>0</v>
      </c>
      <c r="AS119" s="106">
        <v>0</v>
      </c>
      <c r="AT119" s="106">
        <v>0</v>
      </c>
      <c r="AU119" s="106">
        <v>0</v>
      </c>
      <c r="AV119" s="106">
        <v>0</v>
      </c>
      <c r="AW119" s="106">
        <v>0</v>
      </c>
      <c r="AX119" s="106">
        <v>0</v>
      </c>
      <c r="AY119" s="106">
        <v>0</v>
      </c>
    </row>
    <row r="120" spans="1:52">
      <c r="A120" s="109"/>
      <c r="B120" s="130">
        <v>12</v>
      </c>
      <c r="C120" s="106">
        <v>0</v>
      </c>
      <c r="D120" s="106">
        <v>0</v>
      </c>
      <c r="E120" s="106">
        <v>0</v>
      </c>
      <c r="F120" s="106">
        <v>0</v>
      </c>
      <c r="G120" s="106">
        <v>0</v>
      </c>
      <c r="H120" s="106">
        <v>0</v>
      </c>
      <c r="I120" s="106">
        <v>0</v>
      </c>
      <c r="J120" s="106">
        <v>0</v>
      </c>
      <c r="K120" s="106">
        <v>0</v>
      </c>
      <c r="L120" s="106">
        <v>0</v>
      </c>
      <c r="M120" s="106">
        <v>0</v>
      </c>
      <c r="N120" s="106">
        <v>0</v>
      </c>
      <c r="O120" s="106">
        <v>0</v>
      </c>
      <c r="P120" s="106">
        <v>0</v>
      </c>
      <c r="Q120" s="106">
        <v>0</v>
      </c>
      <c r="R120" s="106">
        <v>0</v>
      </c>
      <c r="S120" s="106">
        <v>0</v>
      </c>
      <c r="T120" s="106">
        <v>0</v>
      </c>
      <c r="U120" s="106">
        <v>0</v>
      </c>
      <c r="V120" s="106">
        <v>0</v>
      </c>
      <c r="W120" s="106">
        <v>0</v>
      </c>
      <c r="X120" s="106">
        <v>0</v>
      </c>
      <c r="Y120" s="106">
        <v>0</v>
      </c>
      <c r="Z120" s="106">
        <v>0</v>
      </c>
      <c r="AA120" s="106">
        <v>0</v>
      </c>
      <c r="AB120" s="106">
        <v>0</v>
      </c>
      <c r="AC120" s="106">
        <v>0</v>
      </c>
      <c r="AD120" s="106">
        <v>0</v>
      </c>
      <c r="AE120" s="106">
        <v>0</v>
      </c>
      <c r="AF120" s="106">
        <v>0</v>
      </c>
      <c r="AG120" s="106">
        <v>0</v>
      </c>
      <c r="AH120" s="106">
        <v>0</v>
      </c>
      <c r="AI120" s="106">
        <v>0</v>
      </c>
      <c r="AJ120" s="106">
        <v>0</v>
      </c>
      <c r="AK120" s="106">
        <v>0</v>
      </c>
      <c r="AL120" s="106">
        <v>0</v>
      </c>
      <c r="AM120" s="106">
        <v>0</v>
      </c>
      <c r="AN120" s="106">
        <v>0</v>
      </c>
      <c r="AO120" s="106">
        <v>0</v>
      </c>
      <c r="AP120" s="106">
        <v>0</v>
      </c>
      <c r="AQ120" s="106">
        <v>0</v>
      </c>
      <c r="AR120" s="106">
        <v>0</v>
      </c>
      <c r="AS120" s="106">
        <v>0</v>
      </c>
      <c r="AT120" s="106">
        <v>0</v>
      </c>
      <c r="AU120" s="106">
        <v>0</v>
      </c>
      <c r="AV120" s="106">
        <v>0</v>
      </c>
      <c r="AW120" s="106">
        <v>0</v>
      </c>
      <c r="AX120" s="106">
        <v>0</v>
      </c>
      <c r="AY120" s="106">
        <v>0</v>
      </c>
    </row>
    <row r="121" spans="1:52">
      <c r="A121" s="128"/>
      <c r="B121" s="132" t="s">
        <v>296</v>
      </c>
      <c r="C121" s="114">
        <v>0</v>
      </c>
      <c r="D121" s="125">
        <v>0</v>
      </c>
      <c r="E121" s="125">
        <v>0</v>
      </c>
      <c r="F121" s="125">
        <v>0</v>
      </c>
      <c r="G121" s="125">
        <v>0</v>
      </c>
      <c r="H121" s="125">
        <v>0</v>
      </c>
      <c r="I121" s="125">
        <v>0</v>
      </c>
      <c r="J121" s="125">
        <v>0</v>
      </c>
      <c r="K121" s="125">
        <v>0</v>
      </c>
      <c r="L121" s="125">
        <v>0</v>
      </c>
      <c r="M121" s="125">
        <v>0</v>
      </c>
      <c r="N121" s="125">
        <v>0</v>
      </c>
      <c r="O121" s="125">
        <v>0</v>
      </c>
      <c r="P121" s="125">
        <v>0</v>
      </c>
      <c r="Q121" s="125">
        <v>0</v>
      </c>
      <c r="R121" s="125">
        <v>0</v>
      </c>
      <c r="S121" s="125">
        <v>0</v>
      </c>
      <c r="T121" s="125">
        <v>0</v>
      </c>
      <c r="U121" s="125">
        <v>0</v>
      </c>
      <c r="V121" s="125">
        <v>0</v>
      </c>
      <c r="W121" s="125">
        <v>0</v>
      </c>
      <c r="X121" s="125">
        <v>0</v>
      </c>
      <c r="Y121" s="125">
        <v>0</v>
      </c>
      <c r="Z121" s="125">
        <v>0</v>
      </c>
      <c r="AA121" s="125">
        <v>0</v>
      </c>
      <c r="AB121" s="125">
        <v>0</v>
      </c>
      <c r="AC121" s="125">
        <v>0</v>
      </c>
      <c r="AD121" s="125">
        <v>0</v>
      </c>
      <c r="AE121" s="125">
        <v>0</v>
      </c>
      <c r="AF121" s="125">
        <v>0</v>
      </c>
      <c r="AG121" s="125">
        <v>0</v>
      </c>
      <c r="AH121" s="125">
        <v>0</v>
      </c>
      <c r="AI121" s="125">
        <v>0</v>
      </c>
      <c r="AJ121" s="125">
        <v>0</v>
      </c>
      <c r="AK121" s="125">
        <v>0</v>
      </c>
      <c r="AL121" s="125">
        <v>0</v>
      </c>
      <c r="AM121" s="125">
        <v>0</v>
      </c>
      <c r="AN121" s="125">
        <v>0</v>
      </c>
      <c r="AO121" s="125">
        <v>0</v>
      </c>
      <c r="AP121" s="125">
        <v>0</v>
      </c>
      <c r="AQ121" s="125">
        <v>0</v>
      </c>
      <c r="AR121" s="125">
        <v>0</v>
      </c>
      <c r="AS121" s="125">
        <v>0</v>
      </c>
      <c r="AT121" s="125">
        <v>0</v>
      </c>
      <c r="AU121" s="125">
        <v>0</v>
      </c>
      <c r="AV121" s="125">
        <v>0</v>
      </c>
      <c r="AW121" s="125">
        <v>0</v>
      </c>
      <c r="AX121" s="125">
        <v>0</v>
      </c>
      <c r="AY121" s="125">
        <v>0</v>
      </c>
      <c r="AZ121" s="107">
        <f>SUM($D121:$AY121)</f>
        <v>0</v>
      </c>
    </row>
    <row r="122" spans="1:52">
      <c r="A122" s="131" t="s">
        <v>123</v>
      </c>
      <c r="B122" s="119">
        <v>1</v>
      </c>
      <c r="C122" s="106">
        <v>17.685681773938725</v>
      </c>
      <c r="D122" s="106">
        <v>243.53911396040971</v>
      </c>
      <c r="E122" s="106">
        <v>243.45154821266112</v>
      </c>
      <c r="F122" s="106">
        <v>243.45154821266115</v>
      </c>
      <c r="G122" s="106">
        <v>243.45154821266112</v>
      </c>
      <c r="H122" s="106">
        <v>1.872008851560478E-2</v>
      </c>
      <c r="I122" s="106">
        <v>243.45154821266115</v>
      </c>
      <c r="J122" s="106">
        <v>243.45154821266112</v>
      </c>
      <c r="K122" s="106">
        <v>243.45154821266115</v>
      </c>
      <c r="L122" s="106">
        <v>17.68297978666282</v>
      </c>
      <c r="M122" s="106">
        <v>243.45154821266115</v>
      </c>
      <c r="N122" s="106">
        <v>243.45154821266112</v>
      </c>
      <c r="O122" s="106">
        <v>243.45154821266115</v>
      </c>
      <c r="P122" s="106">
        <v>243.45154821266112</v>
      </c>
      <c r="Q122" s="106">
        <v>243.45154821266115</v>
      </c>
      <c r="R122" s="106">
        <v>17.68297978666282</v>
      </c>
      <c r="S122" s="106">
        <v>243.45154821266115</v>
      </c>
      <c r="T122" s="106">
        <v>17.68297978666282</v>
      </c>
      <c r="U122" s="106">
        <v>243.45154821266115</v>
      </c>
      <c r="V122" s="106">
        <v>17.68297978666282</v>
      </c>
      <c r="W122" s="106">
        <v>243.45154821266115</v>
      </c>
      <c r="X122" s="106">
        <v>17.68297978666282</v>
      </c>
      <c r="Y122" s="106">
        <v>243.45154821266115</v>
      </c>
      <c r="Z122" s="106">
        <v>17.68297978666282</v>
      </c>
      <c r="AA122" s="106">
        <v>243.45154821266115</v>
      </c>
      <c r="AB122" s="106">
        <v>17.68297978666282</v>
      </c>
      <c r="AC122" s="106">
        <v>243.45154821266115</v>
      </c>
      <c r="AD122" s="106">
        <v>243.45154821266112</v>
      </c>
      <c r="AE122" s="106">
        <v>243.45154821266115</v>
      </c>
      <c r="AF122" s="106">
        <v>17.68297978666282</v>
      </c>
      <c r="AG122" s="106">
        <v>243.45154821266115</v>
      </c>
      <c r="AH122" s="106">
        <v>17.68297978666282</v>
      </c>
      <c r="AI122" s="106">
        <v>243.45154821266115</v>
      </c>
      <c r="AJ122" s="106">
        <v>17.68297978666282</v>
      </c>
      <c r="AK122" s="106">
        <v>98.818611187794318</v>
      </c>
      <c r="AL122" s="106">
        <v>176.66131706998777</v>
      </c>
      <c r="AM122" s="106">
        <v>1.872008851560478E-2</v>
      </c>
      <c r="AN122" s="106">
        <v>243.45154821266115</v>
      </c>
      <c r="AO122" s="106">
        <v>243.45154821266112</v>
      </c>
      <c r="AP122" s="106">
        <v>243.45154821266115</v>
      </c>
      <c r="AQ122" s="106">
        <v>17.68297978666282</v>
      </c>
      <c r="AR122" s="106">
        <v>243.45154821266115</v>
      </c>
      <c r="AS122" s="106">
        <v>17.68297978666282</v>
      </c>
      <c r="AT122" s="106">
        <v>243.45154821266115</v>
      </c>
      <c r="AU122" s="106">
        <v>243.45154821266112</v>
      </c>
      <c r="AV122" s="106">
        <v>243.45154821266115</v>
      </c>
      <c r="AW122" s="106">
        <v>243.45154821266112</v>
      </c>
      <c r="AX122" s="106">
        <v>243.45154821266115</v>
      </c>
      <c r="AY122" s="106">
        <v>243.45154821266112</v>
      </c>
    </row>
    <row r="123" spans="1:52">
      <c r="A123" s="109"/>
      <c r="B123" s="119">
        <v>2</v>
      </c>
      <c r="C123" s="106">
        <v>0</v>
      </c>
      <c r="D123" s="106">
        <v>225.85352199708132</v>
      </c>
      <c r="E123" s="106">
        <v>65.023738415316771</v>
      </c>
      <c r="F123" s="106">
        <v>2.8421709430404007E-14</v>
      </c>
      <c r="G123" s="106">
        <v>0</v>
      </c>
      <c r="H123" s="106">
        <v>0</v>
      </c>
      <c r="I123" s="106">
        <v>0</v>
      </c>
      <c r="J123" s="106">
        <v>0</v>
      </c>
      <c r="K123" s="106">
        <v>0</v>
      </c>
      <c r="L123" s="106">
        <v>0</v>
      </c>
      <c r="M123" s="106">
        <v>225.7685684259983</v>
      </c>
      <c r="N123" s="106">
        <v>49.260396447441366</v>
      </c>
      <c r="O123" s="106">
        <v>0</v>
      </c>
      <c r="P123" s="106">
        <v>0</v>
      </c>
      <c r="Q123" s="106">
        <v>0</v>
      </c>
      <c r="R123" s="106">
        <v>0</v>
      </c>
      <c r="S123" s="106">
        <v>225.7685684259983</v>
      </c>
      <c r="T123" s="106">
        <v>43.153400049374028</v>
      </c>
      <c r="U123" s="106">
        <v>0</v>
      </c>
      <c r="V123" s="106">
        <v>0</v>
      </c>
      <c r="W123" s="106">
        <v>225.7685684259983</v>
      </c>
      <c r="X123" s="106">
        <v>89.3336067980363</v>
      </c>
      <c r="Y123" s="106">
        <v>0</v>
      </c>
      <c r="Z123" s="106">
        <v>0</v>
      </c>
      <c r="AA123" s="106">
        <v>225.7685684259983</v>
      </c>
      <c r="AB123" s="106">
        <v>72.979734065528419</v>
      </c>
      <c r="AC123" s="106">
        <v>225.7685684259983</v>
      </c>
      <c r="AD123" s="106">
        <v>41.073106753270054</v>
      </c>
      <c r="AE123" s="106">
        <v>1.4210854715202004E-14</v>
      </c>
      <c r="AF123" s="106">
        <v>0</v>
      </c>
      <c r="AG123" s="106">
        <v>0</v>
      </c>
      <c r="AH123" s="106">
        <v>0</v>
      </c>
      <c r="AI123" s="106">
        <v>225.7685684259983</v>
      </c>
      <c r="AJ123" s="106">
        <v>22.252045278343047</v>
      </c>
      <c r="AK123" s="106">
        <v>225.7685684259983</v>
      </c>
      <c r="AL123" s="106">
        <v>7.1054273576010019E-15</v>
      </c>
      <c r="AM123" s="106">
        <v>66.790231142673349</v>
      </c>
      <c r="AN123" s="106">
        <v>0</v>
      </c>
      <c r="AO123" s="106">
        <v>0</v>
      </c>
      <c r="AP123" s="106">
        <v>0</v>
      </c>
      <c r="AQ123" s="106">
        <v>0</v>
      </c>
      <c r="AR123" s="106">
        <v>225.7685684259983</v>
      </c>
      <c r="AS123" s="106">
        <v>104.17585426905393</v>
      </c>
      <c r="AT123" s="106">
        <v>225.7685684259983</v>
      </c>
      <c r="AU123" s="106">
        <v>92.290787864736529</v>
      </c>
      <c r="AV123" s="106">
        <v>10.251171099904255</v>
      </c>
      <c r="AW123" s="106">
        <v>0</v>
      </c>
      <c r="AX123" s="106">
        <v>0</v>
      </c>
      <c r="AY123" s="106">
        <v>0</v>
      </c>
    </row>
    <row r="124" spans="1:52">
      <c r="A124" s="109"/>
      <c r="B124" s="119">
        <v>3</v>
      </c>
      <c r="C124" s="106">
        <v>225.85352199708132</v>
      </c>
      <c r="D124" s="106">
        <v>0</v>
      </c>
      <c r="E124" s="106">
        <v>0</v>
      </c>
      <c r="F124" s="106">
        <v>0</v>
      </c>
      <c r="G124" s="106">
        <v>0</v>
      </c>
      <c r="H124" s="106">
        <v>0</v>
      </c>
      <c r="I124" s="106">
        <v>0</v>
      </c>
      <c r="J124" s="106">
        <v>0</v>
      </c>
      <c r="K124" s="106">
        <v>0</v>
      </c>
      <c r="L124" s="106">
        <v>0</v>
      </c>
      <c r="M124" s="106">
        <v>0</v>
      </c>
      <c r="N124" s="106">
        <v>0</v>
      </c>
      <c r="O124" s="106">
        <v>0</v>
      </c>
      <c r="P124" s="106">
        <v>0</v>
      </c>
      <c r="Q124" s="106">
        <v>0</v>
      </c>
      <c r="R124" s="106">
        <v>0</v>
      </c>
      <c r="S124" s="106">
        <v>0</v>
      </c>
      <c r="T124" s="106">
        <v>0</v>
      </c>
      <c r="U124" s="106">
        <v>0</v>
      </c>
      <c r="V124" s="106">
        <v>225.7685684259983</v>
      </c>
      <c r="W124" s="106">
        <v>0</v>
      </c>
      <c r="X124" s="106">
        <v>0</v>
      </c>
      <c r="Y124" s="106">
        <v>0</v>
      </c>
      <c r="Z124" s="106">
        <v>225.7685684259983</v>
      </c>
      <c r="AA124" s="106">
        <v>0</v>
      </c>
      <c r="AB124" s="106">
        <v>0</v>
      </c>
      <c r="AC124" s="106">
        <v>0</v>
      </c>
      <c r="AD124" s="106">
        <v>0</v>
      </c>
      <c r="AE124" s="106">
        <v>0</v>
      </c>
      <c r="AF124" s="106">
        <v>0</v>
      </c>
      <c r="AG124" s="106">
        <v>0</v>
      </c>
      <c r="AH124" s="106">
        <v>225.7685684259983</v>
      </c>
      <c r="AI124" s="106">
        <v>0</v>
      </c>
      <c r="AJ124" s="106">
        <v>0</v>
      </c>
      <c r="AK124" s="106">
        <v>0</v>
      </c>
      <c r="AL124" s="106">
        <v>0</v>
      </c>
      <c r="AM124" s="106">
        <v>0</v>
      </c>
      <c r="AN124" s="106">
        <v>0</v>
      </c>
      <c r="AO124" s="106">
        <v>0</v>
      </c>
      <c r="AP124" s="106">
        <v>0</v>
      </c>
      <c r="AQ124" s="106">
        <v>0</v>
      </c>
      <c r="AR124" s="106">
        <v>0</v>
      </c>
      <c r="AS124" s="106">
        <v>0</v>
      </c>
      <c r="AT124" s="106">
        <v>0</v>
      </c>
      <c r="AU124" s="106">
        <v>0</v>
      </c>
      <c r="AV124" s="106">
        <v>0</v>
      </c>
      <c r="AW124" s="106">
        <v>0</v>
      </c>
      <c r="AX124" s="106">
        <v>0</v>
      </c>
      <c r="AY124" s="106">
        <v>0</v>
      </c>
    </row>
    <row r="125" spans="1:52">
      <c r="A125" s="109"/>
      <c r="B125" s="119">
        <v>4</v>
      </c>
      <c r="C125" s="106">
        <v>0</v>
      </c>
      <c r="D125" s="106">
        <v>0</v>
      </c>
      <c r="E125" s="106">
        <v>0</v>
      </c>
      <c r="F125" s="106">
        <v>0</v>
      </c>
      <c r="G125" s="106">
        <v>0</v>
      </c>
      <c r="H125" s="106">
        <v>0</v>
      </c>
      <c r="I125" s="106">
        <v>0</v>
      </c>
      <c r="J125" s="106">
        <v>0</v>
      </c>
      <c r="K125" s="106">
        <v>0</v>
      </c>
      <c r="L125" s="106">
        <v>0</v>
      </c>
      <c r="M125" s="106">
        <v>0</v>
      </c>
      <c r="N125" s="106">
        <v>0</v>
      </c>
      <c r="O125" s="106">
        <v>0</v>
      </c>
      <c r="P125" s="106">
        <v>0</v>
      </c>
      <c r="Q125" s="106">
        <v>0</v>
      </c>
      <c r="R125" s="106">
        <v>0</v>
      </c>
      <c r="S125" s="106">
        <v>0</v>
      </c>
      <c r="T125" s="106">
        <v>0</v>
      </c>
      <c r="U125" s="106">
        <v>0</v>
      </c>
      <c r="V125" s="106">
        <v>0</v>
      </c>
      <c r="W125" s="106">
        <v>0</v>
      </c>
      <c r="X125" s="106">
        <v>0</v>
      </c>
      <c r="Y125" s="106">
        <v>0</v>
      </c>
      <c r="Z125" s="106">
        <v>0</v>
      </c>
      <c r="AA125" s="106">
        <v>0</v>
      </c>
      <c r="AB125" s="106">
        <v>0</v>
      </c>
      <c r="AC125" s="106">
        <v>0</v>
      </c>
      <c r="AD125" s="106">
        <v>0</v>
      </c>
      <c r="AE125" s="106">
        <v>0</v>
      </c>
      <c r="AF125" s="106">
        <v>0</v>
      </c>
      <c r="AG125" s="106">
        <v>0</v>
      </c>
      <c r="AH125" s="106">
        <v>0</v>
      </c>
      <c r="AI125" s="106">
        <v>0</v>
      </c>
      <c r="AJ125" s="106">
        <v>0</v>
      </c>
      <c r="AK125" s="106">
        <v>0</v>
      </c>
      <c r="AL125" s="106">
        <v>0</v>
      </c>
      <c r="AM125" s="106">
        <v>0</v>
      </c>
      <c r="AN125" s="106">
        <v>0</v>
      </c>
      <c r="AO125" s="106">
        <v>0</v>
      </c>
      <c r="AP125" s="106">
        <v>0</v>
      </c>
      <c r="AQ125" s="106">
        <v>0</v>
      </c>
      <c r="AR125" s="106">
        <v>0</v>
      </c>
      <c r="AS125" s="106">
        <v>0</v>
      </c>
      <c r="AT125" s="106">
        <v>0</v>
      </c>
      <c r="AU125" s="106">
        <v>0</v>
      </c>
      <c r="AV125" s="106">
        <v>0</v>
      </c>
      <c r="AW125" s="106">
        <v>0</v>
      </c>
      <c r="AX125" s="106">
        <v>0</v>
      </c>
      <c r="AY125" s="106">
        <v>0</v>
      </c>
    </row>
    <row r="126" spans="1:52">
      <c r="A126" s="109"/>
      <c r="B126" s="119">
        <v>5</v>
      </c>
      <c r="C126" s="106">
        <v>0</v>
      </c>
      <c r="D126" s="106">
        <v>0</v>
      </c>
      <c r="E126" s="106">
        <v>0</v>
      </c>
      <c r="F126" s="106">
        <v>0</v>
      </c>
      <c r="G126" s="106">
        <v>0</v>
      </c>
      <c r="H126" s="106">
        <v>0</v>
      </c>
      <c r="I126" s="106">
        <v>0</v>
      </c>
      <c r="J126" s="106">
        <v>0</v>
      </c>
      <c r="K126" s="106">
        <v>0</v>
      </c>
      <c r="L126" s="106">
        <v>0</v>
      </c>
      <c r="M126" s="106">
        <v>0</v>
      </c>
      <c r="N126" s="106">
        <v>0</v>
      </c>
      <c r="O126" s="106">
        <v>0</v>
      </c>
      <c r="P126" s="106">
        <v>0</v>
      </c>
      <c r="Q126" s="106">
        <v>0</v>
      </c>
      <c r="R126" s="106">
        <v>0</v>
      </c>
      <c r="S126" s="106">
        <v>0</v>
      </c>
      <c r="T126" s="106">
        <v>0</v>
      </c>
      <c r="U126" s="106">
        <v>0</v>
      </c>
      <c r="V126" s="106">
        <v>0</v>
      </c>
      <c r="W126" s="106">
        <v>0</v>
      </c>
      <c r="X126" s="106">
        <v>0</v>
      </c>
      <c r="Y126" s="106">
        <v>0</v>
      </c>
      <c r="Z126" s="106">
        <v>0</v>
      </c>
      <c r="AA126" s="106">
        <v>0</v>
      </c>
      <c r="AB126" s="106">
        <v>0</v>
      </c>
      <c r="AC126" s="106">
        <v>0</v>
      </c>
      <c r="AD126" s="106">
        <v>0</v>
      </c>
      <c r="AE126" s="106">
        <v>0</v>
      </c>
      <c r="AF126" s="106">
        <v>0</v>
      </c>
      <c r="AG126" s="106">
        <v>0</v>
      </c>
      <c r="AH126" s="106">
        <v>0</v>
      </c>
      <c r="AI126" s="106">
        <v>0</v>
      </c>
      <c r="AJ126" s="106">
        <v>0</v>
      </c>
      <c r="AK126" s="106">
        <v>0</v>
      </c>
      <c r="AL126" s="106">
        <v>0</v>
      </c>
      <c r="AM126" s="106">
        <v>0</v>
      </c>
      <c r="AN126" s="106">
        <v>0</v>
      </c>
      <c r="AO126" s="106">
        <v>0</v>
      </c>
      <c r="AP126" s="106">
        <v>0</v>
      </c>
      <c r="AQ126" s="106">
        <v>0</v>
      </c>
      <c r="AR126" s="106">
        <v>0</v>
      </c>
      <c r="AS126" s="106">
        <v>0</v>
      </c>
      <c r="AT126" s="106">
        <v>0</v>
      </c>
      <c r="AU126" s="106">
        <v>0</v>
      </c>
      <c r="AV126" s="106">
        <v>0</v>
      </c>
      <c r="AW126" s="106">
        <v>0</v>
      </c>
      <c r="AX126" s="106">
        <v>0</v>
      </c>
      <c r="AY126" s="106">
        <v>0</v>
      </c>
    </row>
    <row r="127" spans="1:52">
      <c r="A127" s="109"/>
      <c r="B127" s="119">
        <v>6</v>
      </c>
      <c r="C127" s="106">
        <v>0</v>
      </c>
      <c r="D127" s="106">
        <v>0</v>
      </c>
      <c r="E127" s="106">
        <v>0</v>
      </c>
      <c r="F127" s="106">
        <v>0</v>
      </c>
      <c r="G127" s="106">
        <v>0</v>
      </c>
      <c r="H127" s="106">
        <v>0</v>
      </c>
      <c r="I127" s="106">
        <v>0</v>
      </c>
      <c r="J127" s="106">
        <v>0</v>
      </c>
      <c r="K127" s="106">
        <v>0</v>
      </c>
      <c r="L127" s="106">
        <v>0</v>
      </c>
      <c r="M127" s="106">
        <v>0</v>
      </c>
      <c r="N127" s="106">
        <v>0</v>
      </c>
      <c r="O127" s="106">
        <v>0</v>
      </c>
      <c r="P127" s="106">
        <v>0</v>
      </c>
      <c r="Q127" s="106">
        <v>0</v>
      </c>
      <c r="R127" s="106">
        <v>0</v>
      </c>
      <c r="S127" s="106">
        <v>0</v>
      </c>
      <c r="T127" s="106">
        <v>0</v>
      </c>
      <c r="U127" s="106">
        <v>0</v>
      </c>
      <c r="V127" s="106">
        <v>0</v>
      </c>
      <c r="W127" s="106">
        <v>0</v>
      </c>
      <c r="X127" s="106">
        <v>0</v>
      </c>
      <c r="Y127" s="106">
        <v>0</v>
      </c>
      <c r="Z127" s="106">
        <v>0</v>
      </c>
      <c r="AA127" s="106">
        <v>0</v>
      </c>
      <c r="AB127" s="106">
        <v>0</v>
      </c>
      <c r="AC127" s="106">
        <v>0</v>
      </c>
      <c r="AD127" s="106">
        <v>0</v>
      </c>
      <c r="AE127" s="106">
        <v>0</v>
      </c>
      <c r="AF127" s="106">
        <v>0</v>
      </c>
      <c r="AG127" s="106">
        <v>0</v>
      </c>
      <c r="AH127" s="106">
        <v>0</v>
      </c>
      <c r="AI127" s="106">
        <v>0</v>
      </c>
      <c r="AJ127" s="106">
        <v>0</v>
      </c>
      <c r="AK127" s="106">
        <v>0</v>
      </c>
      <c r="AL127" s="106">
        <v>0</v>
      </c>
      <c r="AM127" s="106">
        <v>0</v>
      </c>
      <c r="AN127" s="106">
        <v>0</v>
      </c>
      <c r="AO127" s="106">
        <v>0</v>
      </c>
      <c r="AP127" s="106">
        <v>0</v>
      </c>
      <c r="AQ127" s="106">
        <v>0</v>
      </c>
      <c r="AR127" s="106">
        <v>0</v>
      </c>
      <c r="AS127" s="106">
        <v>0</v>
      </c>
      <c r="AT127" s="106">
        <v>0</v>
      </c>
      <c r="AU127" s="106">
        <v>0</v>
      </c>
      <c r="AV127" s="106">
        <v>0</v>
      </c>
      <c r="AW127" s="106">
        <v>0</v>
      </c>
      <c r="AX127" s="106">
        <v>0</v>
      </c>
      <c r="AY127" s="106">
        <v>0</v>
      </c>
    </row>
    <row r="128" spans="1:52">
      <c r="A128" s="109"/>
      <c r="B128" s="119">
        <v>7</v>
      </c>
      <c r="C128" s="106">
        <v>0</v>
      </c>
      <c r="D128" s="106">
        <v>0</v>
      </c>
      <c r="E128" s="106">
        <v>0</v>
      </c>
      <c r="F128" s="106">
        <v>0</v>
      </c>
      <c r="G128" s="106">
        <v>0</v>
      </c>
      <c r="H128" s="106">
        <v>0</v>
      </c>
      <c r="I128" s="106">
        <v>0</v>
      </c>
      <c r="J128" s="106">
        <v>0</v>
      </c>
      <c r="K128" s="106">
        <v>0</v>
      </c>
      <c r="L128" s="106">
        <v>0</v>
      </c>
      <c r="M128" s="106">
        <v>0</v>
      </c>
      <c r="N128" s="106">
        <v>0</v>
      </c>
      <c r="O128" s="106">
        <v>0</v>
      </c>
      <c r="P128" s="106">
        <v>0</v>
      </c>
      <c r="Q128" s="106">
        <v>0</v>
      </c>
      <c r="R128" s="106">
        <v>0</v>
      </c>
      <c r="S128" s="106">
        <v>0</v>
      </c>
      <c r="T128" s="106">
        <v>0</v>
      </c>
      <c r="U128" s="106">
        <v>0</v>
      </c>
      <c r="V128" s="106">
        <v>0</v>
      </c>
      <c r="W128" s="106">
        <v>0</v>
      </c>
      <c r="X128" s="106">
        <v>0</v>
      </c>
      <c r="Y128" s="106">
        <v>0</v>
      </c>
      <c r="Z128" s="106">
        <v>0</v>
      </c>
      <c r="AA128" s="106">
        <v>0</v>
      </c>
      <c r="AB128" s="106">
        <v>0</v>
      </c>
      <c r="AC128" s="106">
        <v>0</v>
      </c>
      <c r="AD128" s="106">
        <v>0</v>
      </c>
      <c r="AE128" s="106">
        <v>0</v>
      </c>
      <c r="AF128" s="106">
        <v>0</v>
      </c>
      <c r="AG128" s="106">
        <v>0</v>
      </c>
      <c r="AH128" s="106">
        <v>0</v>
      </c>
      <c r="AI128" s="106">
        <v>0</v>
      </c>
      <c r="AJ128" s="106">
        <v>0</v>
      </c>
      <c r="AK128" s="106">
        <v>0</v>
      </c>
      <c r="AL128" s="106">
        <v>0</v>
      </c>
      <c r="AM128" s="106">
        <v>0</v>
      </c>
      <c r="AN128" s="106">
        <v>0</v>
      </c>
      <c r="AO128" s="106">
        <v>0</v>
      </c>
      <c r="AP128" s="106">
        <v>0</v>
      </c>
      <c r="AQ128" s="106">
        <v>0</v>
      </c>
      <c r="AR128" s="106">
        <v>0</v>
      </c>
      <c r="AS128" s="106">
        <v>0</v>
      </c>
      <c r="AT128" s="106">
        <v>0</v>
      </c>
      <c r="AU128" s="106">
        <v>0</v>
      </c>
      <c r="AV128" s="106">
        <v>0</v>
      </c>
      <c r="AW128" s="106">
        <v>0</v>
      </c>
      <c r="AX128" s="106">
        <v>0</v>
      </c>
      <c r="AY128" s="106">
        <v>0</v>
      </c>
    </row>
    <row r="129" spans="1:51">
      <c r="A129" s="109"/>
      <c r="B129" s="119">
        <v>8</v>
      </c>
      <c r="C129" s="106">
        <v>0</v>
      </c>
      <c r="D129" s="106">
        <v>0</v>
      </c>
      <c r="E129" s="106">
        <v>0</v>
      </c>
      <c r="F129" s="106">
        <v>0</v>
      </c>
      <c r="G129" s="106">
        <v>0</v>
      </c>
      <c r="H129" s="106">
        <v>0</v>
      </c>
      <c r="I129" s="106">
        <v>0</v>
      </c>
      <c r="J129" s="106">
        <v>0</v>
      </c>
      <c r="K129" s="106">
        <v>0</v>
      </c>
      <c r="L129" s="106">
        <v>0</v>
      </c>
      <c r="M129" s="106">
        <v>0</v>
      </c>
      <c r="N129" s="106">
        <v>0</v>
      </c>
      <c r="O129" s="106">
        <v>0</v>
      </c>
      <c r="P129" s="106">
        <v>0</v>
      </c>
      <c r="Q129" s="106">
        <v>0</v>
      </c>
      <c r="R129" s="106">
        <v>0</v>
      </c>
      <c r="S129" s="106">
        <v>0</v>
      </c>
      <c r="T129" s="106">
        <v>0</v>
      </c>
      <c r="U129" s="106">
        <v>0</v>
      </c>
      <c r="V129" s="106">
        <v>0</v>
      </c>
      <c r="W129" s="106">
        <v>0</v>
      </c>
      <c r="X129" s="106">
        <v>0</v>
      </c>
      <c r="Y129" s="106">
        <v>0</v>
      </c>
      <c r="Z129" s="106">
        <v>0</v>
      </c>
      <c r="AA129" s="106">
        <v>0</v>
      </c>
      <c r="AB129" s="106">
        <v>0</v>
      </c>
      <c r="AC129" s="106">
        <v>0</v>
      </c>
      <c r="AD129" s="106">
        <v>0</v>
      </c>
      <c r="AE129" s="106">
        <v>0</v>
      </c>
      <c r="AF129" s="106">
        <v>0</v>
      </c>
      <c r="AG129" s="106">
        <v>0</v>
      </c>
      <c r="AH129" s="106">
        <v>0</v>
      </c>
      <c r="AI129" s="106">
        <v>0</v>
      </c>
      <c r="AJ129" s="106">
        <v>0</v>
      </c>
      <c r="AK129" s="106">
        <v>0</v>
      </c>
      <c r="AL129" s="106">
        <v>0</v>
      </c>
      <c r="AM129" s="106">
        <v>0</v>
      </c>
      <c r="AN129" s="106">
        <v>0</v>
      </c>
      <c r="AO129" s="106">
        <v>0</v>
      </c>
      <c r="AP129" s="106">
        <v>0</v>
      </c>
      <c r="AQ129" s="106">
        <v>0</v>
      </c>
      <c r="AR129" s="106">
        <v>0</v>
      </c>
      <c r="AS129" s="106">
        <v>0</v>
      </c>
      <c r="AT129" s="106">
        <v>0</v>
      </c>
      <c r="AU129" s="106">
        <v>0</v>
      </c>
      <c r="AV129" s="106">
        <v>0</v>
      </c>
      <c r="AW129" s="106">
        <v>0</v>
      </c>
      <c r="AX129" s="106">
        <v>0</v>
      </c>
      <c r="AY129" s="106">
        <v>0</v>
      </c>
    </row>
    <row r="130" spans="1:51">
      <c r="A130" s="109"/>
      <c r="B130" s="119">
        <v>9</v>
      </c>
      <c r="C130" s="106">
        <v>0</v>
      </c>
      <c r="D130" s="106">
        <v>0</v>
      </c>
      <c r="E130" s="106">
        <v>0</v>
      </c>
      <c r="F130" s="106">
        <v>0</v>
      </c>
      <c r="G130" s="106">
        <v>0</v>
      </c>
      <c r="H130" s="106">
        <v>0</v>
      </c>
      <c r="I130" s="106">
        <v>0</v>
      </c>
      <c r="J130" s="106">
        <v>0</v>
      </c>
      <c r="K130" s="106">
        <v>0</v>
      </c>
      <c r="L130" s="106">
        <v>0</v>
      </c>
      <c r="M130" s="106">
        <v>0</v>
      </c>
      <c r="N130" s="106">
        <v>0</v>
      </c>
      <c r="O130" s="106">
        <v>0</v>
      </c>
      <c r="P130" s="106">
        <v>0</v>
      </c>
      <c r="Q130" s="106">
        <v>0</v>
      </c>
      <c r="R130" s="106">
        <v>0</v>
      </c>
      <c r="S130" s="106">
        <v>0</v>
      </c>
      <c r="T130" s="106">
        <v>0</v>
      </c>
      <c r="U130" s="106">
        <v>0</v>
      </c>
      <c r="V130" s="106">
        <v>0</v>
      </c>
      <c r="W130" s="106">
        <v>0</v>
      </c>
      <c r="X130" s="106">
        <v>0</v>
      </c>
      <c r="Y130" s="106">
        <v>0</v>
      </c>
      <c r="Z130" s="106">
        <v>0</v>
      </c>
      <c r="AA130" s="106">
        <v>0</v>
      </c>
      <c r="AB130" s="106">
        <v>0</v>
      </c>
      <c r="AC130" s="106">
        <v>0</v>
      </c>
      <c r="AD130" s="106">
        <v>0</v>
      </c>
      <c r="AE130" s="106">
        <v>0</v>
      </c>
      <c r="AF130" s="106">
        <v>0</v>
      </c>
      <c r="AG130" s="106">
        <v>0</v>
      </c>
      <c r="AH130" s="106">
        <v>0</v>
      </c>
      <c r="AI130" s="106">
        <v>0</v>
      </c>
      <c r="AJ130" s="106">
        <v>0</v>
      </c>
      <c r="AK130" s="106">
        <v>0</v>
      </c>
      <c r="AL130" s="106">
        <v>0</v>
      </c>
      <c r="AM130" s="106">
        <v>0</v>
      </c>
      <c r="AN130" s="106">
        <v>0</v>
      </c>
      <c r="AO130" s="106">
        <v>0</v>
      </c>
      <c r="AP130" s="106">
        <v>0</v>
      </c>
      <c r="AQ130" s="106">
        <v>0</v>
      </c>
      <c r="AR130" s="106">
        <v>0</v>
      </c>
      <c r="AS130" s="106">
        <v>0</v>
      </c>
      <c r="AT130" s="106">
        <v>0</v>
      </c>
      <c r="AU130" s="106">
        <v>0</v>
      </c>
      <c r="AV130" s="106">
        <v>0</v>
      </c>
      <c r="AW130" s="106">
        <v>0</v>
      </c>
      <c r="AX130" s="106">
        <v>0</v>
      </c>
      <c r="AY130" s="106">
        <v>0</v>
      </c>
    </row>
    <row r="131" spans="1:51">
      <c r="A131" s="109"/>
      <c r="B131" s="119">
        <v>10</v>
      </c>
      <c r="C131" s="106">
        <v>0</v>
      </c>
      <c r="D131" s="106">
        <v>0</v>
      </c>
      <c r="E131" s="106">
        <v>0</v>
      </c>
      <c r="F131" s="106">
        <v>0</v>
      </c>
      <c r="G131" s="106">
        <v>0</v>
      </c>
      <c r="H131" s="106">
        <v>0</v>
      </c>
      <c r="I131" s="106">
        <v>0</v>
      </c>
      <c r="J131" s="106">
        <v>0</v>
      </c>
      <c r="K131" s="106">
        <v>0</v>
      </c>
      <c r="L131" s="106">
        <v>0</v>
      </c>
      <c r="M131" s="106">
        <v>0</v>
      </c>
      <c r="N131" s="106">
        <v>0</v>
      </c>
      <c r="O131" s="106">
        <v>0</v>
      </c>
      <c r="P131" s="106">
        <v>0</v>
      </c>
      <c r="Q131" s="106">
        <v>0</v>
      </c>
      <c r="R131" s="106">
        <v>0</v>
      </c>
      <c r="S131" s="106">
        <v>0</v>
      </c>
      <c r="T131" s="106">
        <v>0</v>
      </c>
      <c r="U131" s="106">
        <v>0</v>
      </c>
      <c r="V131" s="106">
        <v>0</v>
      </c>
      <c r="W131" s="106">
        <v>0</v>
      </c>
      <c r="X131" s="106">
        <v>0</v>
      </c>
      <c r="Y131" s="106">
        <v>0</v>
      </c>
      <c r="Z131" s="106">
        <v>0</v>
      </c>
      <c r="AA131" s="106">
        <v>0</v>
      </c>
      <c r="AB131" s="106">
        <v>0</v>
      </c>
      <c r="AC131" s="106">
        <v>0</v>
      </c>
      <c r="AD131" s="106">
        <v>0</v>
      </c>
      <c r="AE131" s="106">
        <v>0</v>
      </c>
      <c r="AF131" s="106">
        <v>0</v>
      </c>
      <c r="AG131" s="106">
        <v>0</v>
      </c>
      <c r="AH131" s="106">
        <v>0</v>
      </c>
      <c r="AI131" s="106">
        <v>0</v>
      </c>
      <c r="AJ131" s="106">
        <v>0</v>
      </c>
      <c r="AK131" s="106">
        <v>0</v>
      </c>
      <c r="AL131" s="106">
        <v>0</v>
      </c>
      <c r="AM131" s="106">
        <v>0</v>
      </c>
      <c r="AN131" s="106">
        <v>0</v>
      </c>
      <c r="AO131" s="106">
        <v>0</v>
      </c>
      <c r="AP131" s="106">
        <v>0</v>
      </c>
      <c r="AQ131" s="106">
        <v>0</v>
      </c>
      <c r="AR131" s="106">
        <v>0</v>
      </c>
      <c r="AS131" s="106">
        <v>0</v>
      </c>
      <c r="AT131" s="106">
        <v>0</v>
      </c>
      <c r="AU131" s="106">
        <v>0</v>
      </c>
      <c r="AV131" s="106">
        <v>0</v>
      </c>
      <c r="AW131" s="106">
        <v>0</v>
      </c>
      <c r="AX131" s="106">
        <v>0</v>
      </c>
      <c r="AY131" s="106">
        <v>0</v>
      </c>
    </row>
    <row r="132" spans="1:51">
      <c r="A132" s="109"/>
      <c r="B132" s="119">
        <v>11</v>
      </c>
      <c r="C132" s="106">
        <v>0</v>
      </c>
      <c r="D132" s="106">
        <v>0</v>
      </c>
      <c r="E132" s="106">
        <v>0</v>
      </c>
      <c r="F132" s="106">
        <v>0</v>
      </c>
      <c r="G132" s="106">
        <v>0</v>
      </c>
      <c r="H132" s="106">
        <v>0</v>
      </c>
      <c r="I132" s="106">
        <v>0</v>
      </c>
      <c r="J132" s="106">
        <v>0</v>
      </c>
      <c r="K132" s="106">
        <v>0</v>
      </c>
      <c r="L132" s="106">
        <v>0</v>
      </c>
      <c r="M132" s="106">
        <v>0</v>
      </c>
      <c r="N132" s="106">
        <v>0</v>
      </c>
      <c r="O132" s="106">
        <v>0</v>
      </c>
      <c r="P132" s="106">
        <v>0</v>
      </c>
      <c r="Q132" s="106">
        <v>0</v>
      </c>
      <c r="R132" s="106">
        <v>0</v>
      </c>
      <c r="S132" s="106">
        <v>0</v>
      </c>
      <c r="T132" s="106">
        <v>0</v>
      </c>
      <c r="U132" s="106">
        <v>0</v>
      </c>
      <c r="V132" s="106">
        <v>0</v>
      </c>
      <c r="W132" s="106">
        <v>0</v>
      </c>
      <c r="X132" s="106">
        <v>0</v>
      </c>
      <c r="Y132" s="106">
        <v>0</v>
      </c>
      <c r="Z132" s="106">
        <v>0</v>
      </c>
      <c r="AA132" s="106">
        <v>0</v>
      </c>
      <c r="AB132" s="106">
        <v>0</v>
      </c>
      <c r="AC132" s="106">
        <v>0</v>
      </c>
      <c r="AD132" s="106">
        <v>0</v>
      </c>
      <c r="AE132" s="106">
        <v>0</v>
      </c>
      <c r="AF132" s="106">
        <v>0</v>
      </c>
      <c r="AG132" s="106">
        <v>0</v>
      </c>
      <c r="AH132" s="106">
        <v>0</v>
      </c>
      <c r="AI132" s="106">
        <v>0</v>
      </c>
      <c r="AJ132" s="106">
        <v>0</v>
      </c>
      <c r="AK132" s="106">
        <v>0</v>
      </c>
      <c r="AL132" s="106">
        <v>0</v>
      </c>
      <c r="AM132" s="106">
        <v>0</v>
      </c>
      <c r="AN132" s="106">
        <v>0</v>
      </c>
      <c r="AO132" s="106">
        <v>0</v>
      </c>
      <c r="AP132" s="106">
        <v>0</v>
      </c>
      <c r="AQ132" s="106">
        <v>0</v>
      </c>
      <c r="AR132" s="106">
        <v>0</v>
      </c>
      <c r="AS132" s="106">
        <v>0</v>
      </c>
      <c r="AT132" s="106">
        <v>0</v>
      </c>
      <c r="AU132" s="106">
        <v>0</v>
      </c>
      <c r="AV132" s="106">
        <v>0</v>
      </c>
      <c r="AW132" s="106">
        <v>0</v>
      </c>
      <c r="AX132" s="106">
        <v>0</v>
      </c>
      <c r="AY132" s="106">
        <v>0</v>
      </c>
    </row>
    <row r="133" spans="1:51">
      <c r="A133" s="109"/>
      <c r="B133" s="119">
        <v>12</v>
      </c>
      <c r="C133" s="106">
        <v>0</v>
      </c>
      <c r="D133" s="106">
        <v>0</v>
      </c>
      <c r="E133" s="106">
        <v>0</v>
      </c>
      <c r="F133" s="106">
        <v>0</v>
      </c>
      <c r="G133" s="106">
        <v>0</v>
      </c>
      <c r="H133" s="106">
        <v>0</v>
      </c>
      <c r="I133" s="106">
        <v>0</v>
      </c>
      <c r="J133" s="106">
        <v>0</v>
      </c>
      <c r="K133" s="106">
        <v>0</v>
      </c>
      <c r="L133" s="106">
        <v>0</v>
      </c>
      <c r="M133" s="106">
        <v>0</v>
      </c>
      <c r="N133" s="106">
        <v>0</v>
      </c>
      <c r="O133" s="106">
        <v>0</v>
      </c>
      <c r="P133" s="106">
        <v>0</v>
      </c>
      <c r="Q133" s="106">
        <v>0</v>
      </c>
      <c r="R133" s="106">
        <v>0</v>
      </c>
      <c r="S133" s="106">
        <v>0</v>
      </c>
      <c r="T133" s="106">
        <v>0</v>
      </c>
      <c r="U133" s="106">
        <v>0</v>
      </c>
      <c r="V133" s="106">
        <v>0</v>
      </c>
      <c r="W133" s="106">
        <v>0</v>
      </c>
      <c r="X133" s="106">
        <v>0</v>
      </c>
      <c r="Y133" s="106">
        <v>0</v>
      </c>
      <c r="Z133" s="106">
        <v>0</v>
      </c>
      <c r="AA133" s="106">
        <v>0</v>
      </c>
      <c r="AB133" s="106">
        <v>0</v>
      </c>
      <c r="AC133" s="106">
        <v>0</v>
      </c>
      <c r="AD133" s="106">
        <v>0</v>
      </c>
      <c r="AE133" s="106">
        <v>0</v>
      </c>
      <c r="AF133" s="106">
        <v>0</v>
      </c>
      <c r="AG133" s="106">
        <v>0</v>
      </c>
      <c r="AH133" s="106">
        <v>0</v>
      </c>
      <c r="AI133" s="106">
        <v>0</v>
      </c>
      <c r="AJ133" s="106">
        <v>0</v>
      </c>
      <c r="AK133" s="106">
        <v>0</v>
      </c>
      <c r="AL133" s="106">
        <v>0</v>
      </c>
      <c r="AM133" s="106">
        <v>0</v>
      </c>
      <c r="AN133" s="106">
        <v>0</v>
      </c>
      <c r="AO133" s="106">
        <v>0</v>
      </c>
      <c r="AP133" s="106">
        <v>0</v>
      </c>
      <c r="AQ133" s="106">
        <v>0</v>
      </c>
      <c r="AR133" s="106">
        <v>0</v>
      </c>
      <c r="AS133" s="106">
        <v>0</v>
      </c>
      <c r="AT133" s="106">
        <v>0</v>
      </c>
      <c r="AU133" s="106">
        <v>0</v>
      </c>
      <c r="AV133" s="106">
        <v>0</v>
      </c>
      <c r="AW133" s="106">
        <v>0</v>
      </c>
      <c r="AX133" s="106">
        <v>0</v>
      </c>
      <c r="AY133" s="106">
        <v>0</v>
      </c>
    </row>
    <row r="134" spans="1:51">
      <c r="A134" s="109"/>
      <c r="B134" s="120">
        <v>13</v>
      </c>
      <c r="C134" s="106">
        <v>0</v>
      </c>
      <c r="D134" s="106">
        <v>0</v>
      </c>
      <c r="E134" s="106">
        <v>0</v>
      </c>
      <c r="F134" s="106">
        <v>0</v>
      </c>
      <c r="G134" s="106">
        <v>0</v>
      </c>
      <c r="H134" s="106">
        <v>0</v>
      </c>
      <c r="I134" s="106">
        <v>0</v>
      </c>
      <c r="J134" s="106">
        <v>0</v>
      </c>
      <c r="K134" s="106">
        <v>0</v>
      </c>
      <c r="L134" s="106">
        <v>0</v>
      </c>
      <c r="M134" s="106">
        <v>0</v>
      </c>
      <c r="N134" s="106">
        <v>0</v>
      </c>
      <c r="O134" s="106">
        <v>0</v>
      </c>
      <c r="P134" s="106">
        <v>0</v>
      </c>
      <c r="Q134" s="106">
        <v>0</v>
      </c>
      <c r="R134" s="106">
        <v>0</v>
      </c>
      <c r="S134" s="106">
        <v>0</v>
      </c>
      <c r="T134" s="106">
        <v>0</v>
      </c>
      <c r="U134" s="106">
        <v>0</v>
      </c>
      <c r="V134" s="106">
        <v>0</v>
      </c>
      <c r="W134" s="106">
        <v>0</v>
      </c>
      <c r="X134" s="106">
        <v>0</v>
      </c>
      <c r="Y134" s="106">
        <v>0</v>
      </c>
      <c r="Z134" s="106">
        <v>0</v>
      </c>
      <c r="AA134" s="106">
        <v>0</v>
      </c>
      <c r="AB134" s="106">
        <v>0</v>
      </c>
      <c r="AC134" s="106">
        <v>0</v>
      </c>
      <c r="AD134" s="106">
        <v>0</v>
      </c>
      <c r="AE134" s="106">
        <v>0</v>
      </c>
      <c r="AF134" s="106">
        <v>0</v>
      </c>
      <c r="AG134" s="106">
        <v>0</v>
      </c>
      <c r="AH134" s="106">
        <v>0</v>
      </c>
      <c r="AI134" s="106">
        <v>0</v>
      </c>
      <c r="AJ134" s="106">
        <v>0</v>
      </c>
      <c r="AK134" s="106">
        <v>0</v>
      </c>
      <c r="AL134" s="106">
        <v>0</v>
      </c>
      <c r="AM134" s="106">
        <v>0</v>
      </c>
      <c r="AN134" s="106">
        <v>0</v>
      </c>
      <c r="AO134" s="106">
        <v>0</v>
      </c>
      <c r="AP134" s="106">
        <v>0</v>
      </c>
      <c r="AQ134" s="106">
        <v>0</v>
      </c>
      <c r="AR134" s="106">
        <v>0</v>
      </c>
      <c r="AS134" s="106">
        <v>0</v>
      </c>
      <c r="AT134" s="106">
        <v>0</v>
      </c>
      <c r="AU134" s="106">
        <v>0</v>
      </c>
      <c r="AV134" s="106">
        <v>0</v>
      </c>
      <c r="AW134" s="106">
        <v>0</v>
      </c>
      <c r="AX134" s="106">
        <v>0</v>
      </c>
      <c r="AY134" s="106">
        <v>0</v>
      </c>
    </row>
    <row r="135" spans="1:51">
      <c r="A135" s="109"/>
      <c r="B135" s="120">
        <v>14</v>
      </c>
      <c r="C135" s="106">
        <v>0</v>
      </c>
      <c r="D135" s="106">
        <v>0</v>
      </c>
      <c r="E135" s="106">
        <v>0</v>
      </c>
      <c r="F135" s="106">
        <v>0</v>
      </c>
      <c r="G135" s="106">
        <v>0</v>
      </c>
      <c r="H135" s="106">
        <v>0</v>
      </c>
      <c r="I135" s="106">
        <v>0</v>
      </c>
      <c r="J135" s="106">
        <v>0</v>
      </c>
      <c r="K135" s="106">
        <v>0</v>
      </c>
      <c r="L135" s="106">
        <v>0</v>
      </c>
      <c r="M135" s="106">
        <v>0</v>
      </c>
      <c r="N135" s="106">
        <v>0</v>
      </c>
      <c r="O135" s="106">
        <v>0</v>
      </c>
      <c r="P135" s="106">
        <v>0</v>
      </c>
      <c r="Q135" s="106">
        <v>0</v>
      </c>
      <c r="R135" s="106">
        <v>0</v>
      </c>
      <c r="S135" s="106">
        <v>0</v>
      </c>
      <c r="T135" s="106">
        <v>0</v>
      </c>
      <c r="U135" s="106">
        <v>0</v>
      </c>
      <c r="V135" s="106">
        <v>0</v>
      </c>
      <c r="W135" s="106">
        <v>0</v>
      </c>
      <c r="X135" s="106">
        <v>0</v>
      </c>
      <c r="Y135" s="106">
        <v>0</v>
      </c>
      <c r="Z135" s="106">
        <v>0</v>
      </c>
      <c r="AA135" s="106">
        <v>0</v>
      </c>
      <c r="AB135" s="106">
        <v>0</v>
      </c>
      <c r="AC135" s="106">
        <v>0</v>
      </c>
      <c r="AD135" s="106">
        <v>0</v>
      </c>
      <c r="AE135" s="106">
        <v>0</v>
      </c>
      <c r="AF135" s="106">
        <v>0</v>
      </c>
      <c r="AG135" s="106">
        <v>0</v>
      </c>
      <c r="AH135" s="106">
        <v>0</v>
      </c>
      <c r="AI135" s="106">
        <v>0</v>
      </c>
      <c r="AJ135" s="106">
        <v>0</v>
      </c>
      <c r="AK135" s="106">
        <v>0</v>
      </c>
      <c r="AL135" s="106">
        <v>0</v>
      </c>
      <c r="AM135" s="106">
        <v>0</v>
      </c>
      <c r="AN135" s="106">
        <v>0</v>
      </c>
      <c r="AO135" s="106">
        <v>0</v>
      </c>
      <c r="AP135" s="106">
        <v>0</v>
      </c>
      <c r="AQ135" s="106">
        <v>0</v>
      </c>
      <c r="AR135" s="106">
        <v>0</v>
      </c>
      <c r="AS135" s="106">
        <v>0</v>
      </c>
      <c r="AT135" s="106">
        <v>0</v>
      </c>
      <c r="AU135" s="106">
        <v>0</v>
      </c>
      <c r="AV135" s="106">
        <v>0</v>
      </c>
      <c r="AW135" s="106">
        <v>0</v>
      </c>
      <c r="AX135" s="106">
        <v>0</v>
      </c>
      <c r="AY135" s="106">
        <v>0</v>
      </c>
    </row>
    <row r="136" spans="1:51">
      <c r="A136" s="109"/>
      <c r="B136" s="120">
        <v>15</v>
      </c>
      <c r="C136" s="106">
        <v>0</v>
      </c>
      <c r="D136" s="106">
        <v>0</v>
      </c>
      <c r="E136" s="106">
        <v>0</v>
      </c>
      <c r="F136" s="106">
        <v>0</v>
      </c>
      <c r="G136" s="106">
        <v>0</v>
      </c>
      <c r="H136" s="106">
        <v>0</v>
      </c>
      <c r="I136" s="106">
        <v>0</v>
      </c>
      <c r="J136" s="106">
        <v>0</v>
      </c>
      <c r="K136" s="106">
        <v>0</v>
      </c>
      <c r="L136" s="106">
        <v>0</v>
      </c>
      <c r="M136" s="106">
        <v>0</v>
      </c>
      <c r="N136" s="106">
        <v>0</v>
      </c>
      <c r="O136" s="106">
        <v>0</v>
      </c>
      <c r="P136" s="106">
        <v>0</v>
      </c>
      <c r="Q136" s="106">
        <v>0</v>
      </c>
      <c r="R136" s="106">
        <v>0</v>
      </c>
      <c r="S136" s="106">
        <v>0</v>
      </c>
      <c r="T136" s="106">
        <v>0</v>
      </c>
      <c r="U136" s="106">
        <v>0</v>
      </c>
      <c r="V136" s="106">
        <v>0</v>
      </c>
      <c r="W136" s="106">
        <v>0</v>
      </c>
      <c r="X136" s="106">
        <v>0</v>
      </c>
      <c r="Y136" s="106">
        <v>0</v>
      </c>
      <c r="Z136" s="106">
        <v>0</v>
      </c>
      <c r="AA136" s="106">
        <v>0</v>
      </c>
      <c r="AB136" s="106">
        <v>0</v>
      </c>
      <c r="AC136" s="106">
        <v>0</v>
      </c>
      <c r="AD136" s="106">
        <v>0</v>
      </c>
      <c r="AE136" s="106">
        <v>0</v>
      </c>
      <c r="AF136" s="106">
        <v>0</v>
      </c>
      <c r="AG136" s="106">
        <v>0</v>
      </c>
      <c r="AH136" s="106">
        <v>0</v>
      </c>
      <c r="AI136" s="106">
        <v>0</v>
      </c>
      <c r="AJ136" s="106">
        <v>0</v>
      </c>
      <c r="AK136" s="106">
        <v>0</v>
      </c>
      <c r="AL136" s="106">
        <v>0</v>
      </c>
      <c r="AM136" s="106">
        <v>0</v>
      </c>
      <c r="AN136" s="106">
        <v>0</v>
      </c>
      <c r="AO136" s="106">
        <v>0</v>
      </c>
      <c r="AP136" s="106">
        <v>0</v>
      </c>
      <c r="AQ136" s="106">
        <v>0</v>
      </c>
      <c r="AR136" s="106">
        <v>0</v>
      </c>
      <c r="AS136" s="106">
        <v>0</v>
      </c>
      <c r="AT136" s="106">
        <v>0</v>
      </c>
      <c r="AU136" s="106">
        <v>0</v>
      </c>
      <c r="AV136" s="106">
        <v>0</v>
      </c>
      <c r="AW136" s="106">
        <v>0</v>
      </c>
      <c r="AX136" s="106">
        <v>0</v>
      </c>
      <c r="AY136" s="106">
        <v>0</v>
      </c>
    </row>
    <row r="137" spans="1:51">
      <c r="A137" s="109"/>
      <c r="B137" s="120">
        <v>16</v>
      </c>
      <c r="C137" s="106">
        <v>0</v>
      </c>
      <c r="D137" s="106">
        <v>0</v>
      </c>
      <c r="E137" s="106">
        <v>0</v>
      </c>
      <c r="F137" s="106">
        <v>0</v>
      </c>
      <c r="G137" s="106">
        <v>0</v>
      </c>
      <c r="H137" s="106">
        <v>0</v>
      </c>
      <c r="I137" s="106">
        <v>0</v>
      </c>
      <c r="J137" s="106">
        <v>0</v>
      </c>
      <c r="K137" s="106">
        <v>0</v>
      </c>
      <c r="L137" s="106">
        <v>0</v>
      </c>
      <c r="M137" s="106">
        <v>0</v>
      </c>
      <c r="N137" s="106">
        <v>0</v>
      </c>
      <c r="O137" s="106">
        <v>0</v>
      </c>
      <c r="P137" s="106">
        <v>0</v>
      </c>
      <c r="Q137" s="106">
        <v>0</v>
      </c>
      <c r="R137" s="106">
        <v>0</v>
      </c>
      <c r="S137" s="106">
        <v>0</v>
      </c>
      <c r="T137" s="106">
        <v>0</v>
      </c>
      <c r="U137" s="106">
        <v>0</v>
      </c>
      <c r="V137" s="106">
        <v>0</v>
      </c>
      <c r="W137" s="106">
        <v>0</v>
      </c>
      <c r="X137" s="106">
        <v>0</v>
      </c>
      <c r="Y137" s="106">
        <v>0</v>
      </c>
      <c r="Z137" s="106">
        <v>0</v>
      </c>
      <c r="AA137" s="106">
        <v>0</v>
      </c>
      <c r="AB137" s="106">
        <v>0</v>
      </c>
      <c r="AC137" s="106">
        <v>0</v>
      </c>
      <c r="AD137" s="106">
        <v>0</v>
      </c>
      <c r="AE137" s="106">
        <v>0</v>
      </c>
      <c r="AF137" s="106">
        <v>0</v>
      </c>
      <c r="AG137" s="106">
        <v>0</v>
      </c>
      <c r="AH137" s="106">
        <v>0</v>
      </c>
      <c r="AI137" s="106">
        <v>0</v>
      </c>
      <c r="AJ137" s="106">
        <v>0</v>
      </c>
      <c r="AK137" s="106">
        <v>0</v>
      </c>
      <c r="AL137" s="106">
        <v>0</v>
      </c>
      <c r="AM137" s="106">
        <v>0</v>
      </c>
      <c r="AN137" s="106">
        <v>0</v>
      </c>
      <c r="AO137" s="106">
        <v>0</v>
      </c>
      <c r="AP137" s="106">
        <v>0</v>
      </c>
      <c r="AQ137" s="106">
        <v>0</v>
      </c>
      <c r="AR137" s="106">
        <v>0</v>
      </c>
      <c r="AS137" s="106">
        <v>0</v>
      </c>
      <c r="AT137" s="106">
        <v>0</v>
      </c>
      <c r="AU137" s="106">
        <v>0</v>
      </c>
      <c r="AV137" s="106">
        <v>0</v>
      </c>
      <c r="AW137" s="106">
        <v>0</v>
      </c>
      <c r="AX137" s="106">
        <v>0</v>
      </c>
      <c r="AY137" s="106">
        <v>0</v>
      </c>
    </row>
    <row r="138" spans="1:51">
      <c r="A138" s="109"/>
      <c r="B138" s="120">
        <v>17</v>
      </c>
      <c r="C138" s="106">
        <v>0</v>
      </c>
      <c r="D138" s="106">
        <v>0</v>
      </c>
      <c r="E138" s="106">
        <v>0</v>
      </c>
      <c r="F138" s="106">
        <v>0</v>
      </c>
      <c r="G138" s="106">
        <v>0</v>
      </c>
      <c r="H138" s="106">
        <v>0</v>
      </c>
      <c r="I138" s="106">
        <v>0</v>
      </c>
      <c r="J138" s="106">
        <v>0</v>
      </c>
      <c r="K138" s="106">
        <v>0</v>
      </c>
      <c r="L138" s="106">
        <v>0</v>
      </c>
      <c r="M138" s="106">
        <v>0</v>
      </c>
      <c r="N138" s="106">
        <v>0</v>
      </c>
      <c r="O138" s="106">
        <v>0</v>
      </c>
      <c r="P138" s="106">
        <v>0</v>
      </c>
      <c r="Q138" s="106">
        <v>0</v>
      </c>
      <c r="R138" s="106">
        <v>0</v>
      </c>
      <c r="S138" s="106">
        <v>0</v>
      </c>
      <c r="T138" s="106">
        <v>0</v>
      </c>
      <c r="U138" s="106">
        <v>0</v>
      </c>
      <c r="V138" s="106">
        <v>0</v>
      </c>
      <c r="W138" s="106">
        <v>0</v>
      </c>
      <c r="X138" s="106">
        <v>0</v>
      </c>
      <c r="Y138" s="106">
        <v>0</v>
      </c>
      <c r="Z138" s="106">
        <v>0</v>
      </c>
      <c r="AA138" s="106">
        <v>0</v>
      </c>
      <c r="AB138" s="106">
        <v>0</v>
      </c>
      <c r="AC138" s="106">
        <v>0</v>
      </c>
      <c r="AD138" s="106">
        <v>0</v>
      </c>
      <c r="AE138" s="106">
        <v>0</v>
      </c>
      <c r="AF138" s="106">
        <v>0</v>
      </c>
      <c r="AG138" s="106">
        <v>0</v>
      </c>
      <c r="AH138" s="106">
        <v>0</v>
      </c>
      <c r="AI138" s="106">
        <v>0</v>
      </c>
      <c r="AJ138" s="106">
        <v>0</v>
      </c>
      <c r="AK138" s="106">
        <v>0</v>
      </c>
      <c r="AL138" s="106">
        <v>0</v>
      </c>
      <c r="AM138" s="106">
        <v>0</v>
      </c>
      <c r="AN138" s="106">
        <v>0</v>
      </c>
      <c r="AO138" s="106">
        <v>0</v>
      </c>
      <c r="AP138" s="106">
        <v>0</v>
      </c>
      <c r="AQ138" s="106">
        <v>0</v>
      </c>
      <c r="AR138" s="106">
        <v>0</v>
      </c>
      <c r="AS138" s="106">
        <v>0</v>
      </c>
      <c r="AT138" s="106">
        <v>0</v>
      </c>
      <c r="AU138" s="106">
        <v>0</v>
      </c>
      <c r="AV138" s="106">
        <v>0</v>
      </c>
      <c r="AW138" s="106">
        <v>0</v>
      </c>
      <c r="AX138" s="106">
        <v>0</v>
      </c>
      <c r="AY138" s="106">
        <v>0</v>
      </c>
    </row>
    <row r="139" spans="1:51">
      <c r="A139" s="109"/>
      <c r="B139" s="120">
        <v>18</v>
      </c>
      <c r="C139" s="106">
        <v>0</v>
      </c>
      <c r="D139" s="106">
        <v>0</v>
      </c>
      <c r="E139" s="106">
        <v>0</v>
      </c>
      <c r="F139" s="106">
        <v>0</v>
      </c>
      <c r="G139" s="106">
        <v>0</v>
      </c>
      <c r="H139" s="106">
        <v>0</v>
      </c>
      <c r="I139" s="106">
        <v>0</v>
      </c>
      <c r="J139" s="106">
        <v>0</v>
      </c>
      <c r="K139" s="106">
        <v>0</v>
      </c>
      <c r="L139" s="106">
        <v>0</v>
      </c>
      <c r="M139" s="106">
        <v>0</v>
      </c>
      <c r="N139" s="106">
        <v>0</v>
      </c>
      <c r="O139" s="106">
        <v>0</v>
      </c>
      <c r="P139" s="106">
        <v>0</v>
      </c>
      <c r="Q139" s="106">
        <v>0</v>
      </c>
      <c r="R139" s="106">
        <v>0</v>
      </c>
      <c r="S139" s="106">
        <v>0</v>
      </c>
      <c r="T139" s="106">
        <v>0</v>
      </c>
      <c r="U139" s="106">
        <v>0</v>
      </c>
      <c r="V139" s="106">
        <v>0</v>
      </c>
      <c r="W139" s="106">
        <v>0</v>
      </c>
      <c r="X139" s="106">
        <v>0</v>
      </c>
      <c r="Y139" s="106">
        <v>0</v>
      </c>
      <c r="Z139" s="106">
        <v>0</v>
      </c>
      <c r="AA139" s="106">
        <v>0</v>
      </c>
      <c r="AB139" s="106">
        <v>0</v>
      </c>
      <c r="AC139" s="106">
        <v>0</v>
      </c>
      <c r="AD139" s="106">
        <v>0</v>
      </c>
      <c r="AE139" s="106">
        <v>0</v>
      </c>
      <c r="AF139" s="106">
        <v>0</v>
      </c>
      <c r="AG139" s="106">
        <v>0</v>
      </c>
      <c r="AH139" s="106">
        <v>0</v>
      </c>
      <c r="AI139" s="106">
        <v>0</v>
      </c>
      <c r="AJ139" s="106">
        <v>0</v>
      </c>
      <c r="AK139" s="106">
        <v>0</v>
      </c>
      <c r="AL139" s="106">
        <v>0</v>
      </c>
      <c r="AM139" s="106">
        <v>0</v>
      </c>
      <c r="AN139" s="106">
        <v>0</v>
      </c>
      <c r="AO139" s="106">
        <v>0</v>
      </c>
      <c r="AP139" s="106">
        <v>0</v>
      </c>
      <c r="AQ139" s="106">
        <v>0</v>
      </c>
      <c r="AR139" s="106">
        <v>0</v>
      </c>
      <c r="AS139" s="106">
        <v>0</v>
      </c>
      <c r="AT139" s="106">
        <v>0</v>
      </c>
      <c r="AU139" s="106">
        <v>0</v>
      </c>
      <c r="AV139" s="106">
        <v>0</v>
      </c>
      <c r="AW139" s="106">
        <v>0</v>
      </c>
      <c r="AX139" s="106">
        <v>0</v>
      </c>
      <c r="AY139" s="106">
        <v>0</v>
      </c>
    </row>
    <row r="140" spans="1:51">
      <c r="A140" s="109"/>
      <c r="B140" s="120">
        <v>19</v>
      </c>
      <c r="C140" s="106">
        <v>0</v>
      </c>
      <c r="D140" s="106">
        <v>0</v>
      </c>
      <c r="E140" s="106">
        <v>0</v>
      </c>
      <c r="F140" s="106">
        <v>0</v>
      </c>
      <c r="G140" s="106">
        <v>0</v>
      </c>
      <c r="H140" s="106">
        <v>0</v>
      </c>
      <c r="I140" s="106">
        <v>0</v>
      </c>
      <c r="J140" s="106">
        <v>0</v>
      </c>
      <c r="K140" s="106">
        <v>0</v>
      </c>
      <c r="L140" s="106">
        <v>0</v>
      </c>
      <c r="M140" s="106">
        <v>0</v>
      </c>
      <c r="N140" s="106">
        <v>0</v>
      </c>
      <c r="O140" s="106">
        <v>0</v>
      </c>
      <c r="P140" s="106">
        <v>0</v>
      </c>
      <c r="Q140" s="106">
        <v>0</v>
      </c>
      <c r="R140" s="106">
        <v>0</v>
      </c>
      <c r="S140" s="106">
        <v>0</v>
      </c>
      <c r="T140" s="106">
        <v>0</v>
      </c>
      <c r="U140" s="106">
        <v>0</v>
      </c>
      <c r="V140" s="106">
        <v>0</v>
      </c>
      <c r="W140" s="106">
        <v>0</v>
      </c>
      <c r="X140" s="106">
        <v>0</v>
      </c>
      <c r="Y140" s="106">
        <v>0</v>
      </c>
      <c r="Z140" s="106">
        <v>0</v>
      </c>
      <c r="AA140" s="106">
        <v>0</v>
      </c>
      <c r="AB140" s="106">
        <v>0</v>
      </c>
      <c r="AC140" s="106">
        <v>0</v>
      </c>
      <c r="AD140" s="106">
        <v>0</v>
      </c>
      <c r="AE140" s="106">
        <v>0</v>
      </c>
      <c r="AF140" s="106">
        <v>0</v>
      </c>
      <c r="AG140" s="106">
        <v>0</v>
      </c>
      <c r="AH140" s="106">
        <v>0</v>
      </c>
      <c r="AI140" s="106">
        <v>0</v>
      </c>
      <c r="AJ140" s="106">
        <v>0</v>
      </c>
      <c r="AK140" s="106">
        <v>0</v>
      </c>
      <c r="AL140" s="106">
        <v>0</v>
      </c>
      <c r="AM140" s="106">
        <v>0</v>
      </c>
      <c r="AN140" s="106">
        <v>0</v>
      </c>
      <c r="AO140" s="106">
        <v>0</v>
      </c>
      <c r="AP140" s="106">
        <v>0</v>
      </c>
      <c r="AQ140" s="106">
        <v>0</v>
      </c>
      <c r="AR140" s="106">
        <v>0</v>
      </c>
      <c r="AS140" s="106">
        <v>0</v>
      </c>
      <c r="AT140" s="106">
        <v>0</v>
      </c>
      <c r="AU140" s="106">
        <v>0</v>
      </c>
      <c r="AV140" s="106">
        <v>0</v>
      </c>
      <c r="AW140" s="106">
        <v>0</v>
      </c>
      <c r="AX140" s="106">
        <v>0</v>
      </c>
      <c r="AY140" s="106">
        <v>0</v>
      </c>
    </row>
    <row r="141" spans="1:51">
      <c r="A141" s="109"/>
      <c r="B141" s="120">
        <v>20</v>
      </c>
      <c r="C141" s="106">
        <v>0</v>
      </c>
      <c r="D141" s="106">
        <v>0</v>
      </c>
      <c r="E141" s="106">
        <v>0</v>
      </c>
      <c r="F141" s="106">
        <v>0</v>
      </c>
      <c r="G141" s="106">
        <v>0</v>
      </c>
      <c r="H141" s="106">
        <v>0</v>
      </c>
      <c r="I141" s="106">
        <v>0</v>
      </c>
      <c r="J141" s="106">
        <v>0</v>
      </c>
      <c r="K141" s="106">
        <v>0</v>
      </c>
      <c r="L141" s="106">
        <v>0</v>
      </c>
      <c r="M141" s="106">
        <v>0</v>
      </c>
      <c r="N141" s="106">
        <v>0</v>
      </c>
      <c r="O141" s="106">
        <v>0</v>
      </c>
      <c r="P141" s="106">
        <v>0</v>
      </c>
      <c r="Q141" s="106">
        <v>0</v>
      </c>
      <c r="R141" s="106">
        <v>0</v>
      </c>
      <c r="S141" s="106">
        <v>0</v>
      </c>
      <c r="T141" s="106">
        <v>0</v>
      </c>
      <c r="U141" s="106">
        <v>0</v>
      </c>
      <c r="V141" s="106">
        <v>0</v>
      </c>
      <c r="W141" s="106">
        <v>0</v>
      </c>
      <c r="X141" s="106">
        <v>0</v>
      </c>
      <c r="Y141" s="106">
        <v>0</v>
      </c>
      <c r="Z141" s="106">
        <v>0</v>
      </c>
      <c r="AA141" s="106">
        <v>0</v>
      </c>
      <c r="AB141" s="106">
        <v>0</v>
      </c>
      <c r="AC141" s="106">
        <v>0</v>
      </c>
      <c r="AD141" s="106">
        <v>0</v>
      </c>
      <c r="AE141" s="106">
        <v>0</v>
      </c>
      <c r="AF141" s="106">
        <v>0</v>
      </c>
      <c r="AG141" s="106">
        <v>0</v>
      </c>
      <c r="AH141" s="106">
        <v>0</v>
      </c>
      <c r="AI141" s="106">
        <v>0</v>
      </c>
      <c r="AJ141" s="106">
        <v>0</v>
      </c>
      <c r="AK141" s="106">
        <v>0</v>
      </c>
      <c r="AL141" s="106">
        <v>0</v>
      </c>
      <c r="AM141" s="106">
        <v>0</v>
      </c>
      <c r="AN141" s="106">
        <v>0</v>
      </c>
      <c r="AO141" s="106">
        <v>0</v>
      </c>
      <c r="AP141" s="106">
        <v>0</v>
      </c>
      <c r="AQ141" s="106">
        <v>0</v>
      </c>
      <c r="AR141" s="106">
        <v>0</v>
      </c>
      <c r="AS141" s="106">
        <v>0</v>
      </c>
      <c r="AT141" s="106">
        <v>0</v>
      </c>
      <c r="AU141" s="106">
        <v>0</v>
      </c>
      <c r="AV141" s="106">
        <v>0</v>
      </c>
      <c r="AW141" s="106">
        <v>0</v>
      </c>
      <c r="AX141" s="106">
        <v>0</v>
      </c>
      <c r="AY141" s="106">
        <v>0</v>
      </c>
    </row>
    <row r="142" spans="1:51">
      <c r="A142" s="109"/>
      <c r="B142" s="120">
        <v>21</v>
      </c>
      <c r="C142" s="106">
        <v>0</v>
      </c>
      <c r="D142" s="106">
        <v>0</v>
      </c>
      <c r="E142" s="106">
        <v>0</v>
      </c>
      <c r="F142" s="106">
        <v>0</v>
      </c>
      <c r="G142" s="106">
        <v>0</v>
      </c>
      <c r="H142" s="106">
        <v>0</v>
      </c>
      <c r="I142" s="106">
        <v>0</v>
      </c>
      <c r="J142" s="106">
        <v>0</v>
      </c>
      <c r="K142" s="106">
        <v>0</v>
      </c>
      <c r="L142" s="106">
        <v>0</v>
      </c>
      <c r="M142" s="106">
        <v>0</v>
      </c>
      <c r="N142" s="106">
        <v>0</v>
      </c>
      <c r="O142" s="106">
        <v>0</v>
      </c>
      <c r="P142" s="106">
        <v>0</v>
      </c>
      <c r="Q142" s="106">
        <v>0</v>
      </c>
      <c r="R142" s="106">
        <v>0</v>
      </c>
      <c r="S142" s="106">
        <v>0</v>
      </c>
      <c r="T142" s="106">
        <v>0</v>
      </c>
      <c r="U142" s="106">
        <v>0</v>
      </c>
      <c r="V142" s="106">
        <v>0</v>
      </c>
      <c r="W142" s="106">
        <v>0</v>
      </c>
      <c r="X142" s="106">
        <v>0</v>
      </c>
      <c r="Y142" s="106">
        <v>0</v>
      </c>
      <c r="Z142" s="106">
        <v>0</v>
      </c>
      <c r="AA142" s="106">
        <v>0</v>
      </c>
      <c r="AB142" s="106">
        <v>0</v>
      </c>
      <c r="AC142" s="106">
        <v>0</v>
      </c>
      <c r="AD142" s="106">
        <v>0</v>
      </c>
      <c r="AE142" s="106">
        <v>0</v>
      </c>
      <c r="AF142" s="106">
        <v>0</v>
      </c>
      <c r="AG142" s="106">
        <v>0</v>
      </c>
      <c r="AH142" s="106">
        <v>0</v>
      </c>
      <c r="AI142" s="106">
        <v>0</v>
      </c>
      <c r="AJ142" s="106">
        <v>0</v>
      </c>
      <c r="AK142" s="106">
        <v>0</v>
      </c>
      <c r="AL142" s="106">
        <v>0</v>
      </c>
      <c r="AM142" s="106">
        <v>0</v>
      </c>
      <c r="AN142" s="106">
        <v>0</v>
      </c>
      <c r="AO142" s="106">
        <v>0</v>
      </c>
      <c r="AP142" s="106">
        <v>0</v>
      </c>
      <c r="AQ142" s="106">
        <v>0</v>
      </c>
      <c r="AR142" s="106">
        <v>0</v>
      </c>
      <c r="AS142" s="106">
        <v>0</v>
      </c>
      <c r="AT142" s="106">
        <v>0</v>
      </c>
      <c r="AU142" s="106">
        <v>0</v>
      </c>
      <c r="AV142" s="106">
        <v>0</v>
      </c>
      <c r="AW142" s="106">
        <v>0</v>
      </c>
      <c r="AX142" s="106">
        <v>0</v>
      </c>
      <c r="AY142" s="106">
        <v>0</v>
      </c>
    </row>
    <row r="143" spans="1:51">
      <c r="A143" s="109"/>
      <c r="B143" s="120">
        <v>22</v>
      </c>
      <c r="C143" s="106">
        <v>0</v>
      </c>
      <c r="D143" s="106">
        <v>0</v>
      </c>
      <c r="E143" s="106">
        <v>0</v>
      </c>
      <c r="F143" s="106">
        <v>0</v>
      </c>
      <c r="G143" s="106">
        <v>0</v>
      </c>
      <c r="H143" s="106">
        <v>0</v>
      </c>
      <c r="I143" s="106">
        <v>0</v>
      </c>
      <c r="J143" s="106">
        <v>0</v>
      </c>
      <c r="K143" s="106">
        <v>0</v>
      </c>
      <c r="L143" s="106">
        <v>0</v>
      </c>
      <c r="M143" s="106">
        <v>0</v>
      </c>
      <c r="N143" s="106">
        <v>0</v>
      </c>
      <c r="O143" s="106">
        <v>0</v>
      </c>
      <c r="P143" s="106">
        <v>0</v>
      </c>
      <c r="Q143" s="106">
        <v>0</v>
      </c>
      <c r="R143" s="106">
        <v>0</v>
      </c>
      <c r="S143" s="106">
        <v>0</v>
      </c>
      <c r="T143" s="106">
        <v>0</v>
      </c>
      <c r="U143" s="106">
        <v>0</v>
      </c>
      <c r="V143" s="106">
        <v>0</v>
      </c>
      <c r="W143" s="106">
        <v>0</v>
      </c>
      <c r="X143" s="106">
        <v>0</v>
      </c>
      <c r="Y143" s="106">
        <v>0</v>
      </c>
      <c r="Z143" s="106">
        <v>0</v>
      </c>
      <c r="AA143" s="106">
        <v>0</v>
      </c>
      <c r="AB143" s="106">
        <v>0</v>
      </c>
      <c r="AC143" s="106">
        <v>0</v>
      </c>
      <c r="AD143" s="106">
        <v>0</v>
      </c>
      <c r="AE143" s="106">
        <v>0</v>
      </c>
      <c r="AF143" s="106">
        <v>0</v>
      </c>
      <c r="AG143" s="106">
        <v>0</v>
      </c>
      <c r="AH143" s="106">
        <v>0</v>
      </c>
      <c r="AI143" s="106">
        <v>0</v>
      </c>
      <c r="AJ143" s="106">
        <v>0</v>
      </c>
      <c r="AK143" s="106">
        <v>0</v>
      </c>
      <c r="AL143" s="106">
        <v>0</v>
      </c>
      <c r="AM143" s="106">
        <v>0</v>
      </c>
      <c r="AN143" s="106">
        <v>0</v>
      </c>
      <c r="AO143" s="106">
        <v>0</v>
      </c>
      <c r="AP143" s="106">
        <v>0</v>
      </c>
      <c r="AQ143" s="106">
        <v>0</v>
      </c>
      <c r="AR143" s="106">
        <v>0</v>
      </c>
      <c r="AS143" s="106">
        <v>0</v>
      </c>
      <c r="AT143" s="106">
        <v>0</v>
      </c>
      <c r="AU143" s="106">
        <v>0</v>
      </c>
      <c r="AV143" s="106">
        <v>0</v>
      </c>
      <c r="AW143" s="106">
        <v>0</v>
      </c>
      <c r="AX143" s="106">
        <v>0</v>
      </c>
      <c r="AY143" s="106">
        <v>0</v>
      </c>
    </row>
    <row r="144" spans="1:51">
      <c r="A144" s="109"/>
      <c r="B144" s="120">
        <v>23</v>
      </c>
      <c r="C144" s="106">
        <v>0</v>
      </c>
      <c r="D144" s="106">
        <v>0</v>
      </c>
      <c r="E144" s="106">
        <v>0</v>
      </c>
      <c r="F144" s="106">
        <v>0</v>
      </c>
      <c r="G144" s="106">
        <v>0</v>
      </c>
      <c r="H144" s="106">
        <v>0</v>
      </c>
      <c r="I144" s="106">
        <v>0</v>
      </c>
      <c r="J144" s="106">
        <v>0</v>
      </c>
      <c r="K144" s="106">
        <v>0</v>
      </c>
      <c r="L144" s="106">
        <v>0</v>
      </c>
      <c r="M144" s="106">
        <v>0</v>
      </c>
      <c r="N144" s="106">
        <v>0</v>
      </c>
      <c r="O144" s="106">
        <v>0</v>
      </c>
      <c r="P144" s="106">
        <v>0</v>
      </c>
      <c r="Q144" s="106">
        <v>0</v>
      </c>
      <c r="R144" s="106">
        <v>0</v>
      </c>
      <c r="S144" s="106">
        <v>0</v>
      </c>
      <c r="T144" s="106">
        <v>0</v>
      </c>
      <c r="U144" s="106">
        <v>0</v>
      </c>
      <c r="V144" s="106">
        <v>0</v>
      </c>
      <c r="W144" s="106">
        <v>0</v>
      </c>
      <c r="X144" s="106">
        <v>0</v>
      </c>
      <c r="Y144" s="106">
        <v>0</v>
      </c>
      <c r="Z144" s="106">
        <v>0</v>
      </c>
      <c r="AA144" s="106">
        <v>0</v>
      </c>
      <c r="AB144" s="106">
        <v>0</v>
      </c>
      <c r="AC144" s="106">
        <v>0</v>
      </c>
      <c r="AD144" s="106">
        <v>0</v>
      </c>
      <c r="AE144" s="106">
        <v>0</v>
      </c>
      <c r="AF144" s="106">
        <v>0</v>
      </c>
      <c r="AG144" s="106">
        <v>0</v>
      </c>
      <c r="AH144" s="106">
        <v>0</v>
      </c>
      <c r="AI144" s="106">
        <v>0</v>
      </c>
      <c r="AJ144" s="106">
        <v>0</v>
      </c>
      <c r="AK144" s="106">
        <v>0</v>
      </c>
      <c r="AL144" s="106">
        <v>0</v>
      </c>
      <c r="AM144" s="106">
        <v>0</v>
      </c>
      <c r="AN144" s="106">
        <v>0</v>
      </c>
      <c r="AO144" s="106">
        <v>0</v>
      </c>
      <c r="AP144" s="106">
        <v>0</v>
      </c>
      <c r="AQ144" s="106">
        <v>0</v>
      </c>
      <c r="AR144" s="106">
        <v>0</v>
      </c>
      <c r="AS144" s="106">
        <v>0</v>
      </c>
      <c r="AT144" s="106">
        <v>0</v>
      </c>
      <c r="AU144" s="106">
        <v>0</v>
      </c>
      <c r="AV144" s="106">
        <v>0</v>
      </c>
      <c r="AW144" s="106">
        <v>0</v>
      </c>
      <c r="AX144" s="106">
        <v>0</v>
      </c>
      <c r="AY144" s="106">
        <v>0</v>
      </c>
    </row>
    <row r="145" spans="1:51">
      <c r="A145" s="109"/>
      <c r="B145" s="120">
        <v>24</v>
      </c>
      <c r="C145" s="106">
        <v>0</v>
      </c>
      <c r="D145" s="106">
        <v>0</v>
      </c>
      <c r="E145" s="106">
        <v>0</v>
      </c>
      <c r="F145" s="106">
        <v>0</v>
      </c>
      <c r="G145" s="106">
        <v>0</v>
      </c>
      <c r="H145" s="106">
        <v>0</v>
      </c>
      <c r="I145" s="106">
        <v>0</v>
      </c>
      <c r="J145" s="106">
        <v>0</v>
      </c>
      <c r="K145" s="106">
        <v>0</v>
      </c>
      <c r="L145" s="106">
        <v>0</v>
      </c>
      <c r="M145" s="106">
        <v>0</v>
      </c>
      <c r="N145" s="106">
        <v>0</v>
      </c>
      <c r="O145" s="106">
        <v>0</v>
      </c>
      <c r="P145" s="106">
        <v>0</v>
      </c>
      <c r="Q145" s="106">
        <v>0</v>
      </c>
      <c r="R145" s="106">
        <v>0</v>
      </c>
      <c r="S145" s="106">
        <v>0</v>
      </c>
      <c r="T145" s="106">
        <v>0</v>
      </c>
      <c r="U145" s="106">
        <v>0</v>
      </c>
      <c r="V145" s="106">
        <v>0</v>
      </c>
      <c r="W145" s="106">
        <v>0</v>
      </c>
      <c r="X145" s="106">
        <v>0</v>
      </c>
      <c r="Y145" s="106">
        <v>0</v>
      </c>
      <c r="Z145" s="106">
        <v>0</v>
      </c>
      <c r="AA145" s="106">
        <v>0</v>
      </c>
      <c r="AB145" s="106">
        <v>0</v>
      </c>
      <c r="AC145" s="106">
        <v>0</v>
      </c>
      <c r="AD145" s="106">
        <v>0</v>
      </c>
      <c r="AE145" s="106">
        <v>0</v>
      </c>
      <c r="AF145" s="106">
        <v>0</v>
      </c>
      <c r="AG145" s="106">
        <v>0</v>
      </c>
      <c r="AH145" s="106">
        <v>0</v>
      </c>
      <c r="AI145" s="106">
        <v>0</v>
      </c>
      <c r="AJ145" s="106">
        <v>0</v>
      </c>
      <c r="AK145" s="106">
        <v>0</v>
      </c>
      <c r="AL145" s="106">
        <v>0</v>
      </c>
      <c r="AM145" s="106">
        <v>0</v>
      </c>
      <c r="AN145" s="106">
        <v>0</v>
      </c>
      <c r="AO145" s="106">
        <v>0</v>
      </c>
      <c r="AP145" s="106">
        <v>0</v>
      </c>
      <c r="AQ145" s="106">
        <v>0</v>
      </c>
      <c r="AR145" s="106">
        <v>0</v>
      </c>
      <c r="AS145" s="106">
        <v>0</v>
      </c>
      <c r="AT145" s="106">
        <v>0</v>
      </c>
      <c r="AU145" s="106">
        <v>0</v>
      </c>
      <c r="AV145" s="106">
        <v>0</v>
      </c>
      <c r="AW145" s="106">
        <v>0</v>
      </c>
      <c r="AX145" s="106">
        <v>0</v>
      </c>
      <c r="AY145" s="106">
        <v>0</v>
      </c>
    </row>
    <row r="146" spans="1:51">
      <c r="A146" s="109"/>
      <c r="B146" s="127">
        <v>25</v>
      </c>
      <c r="C146" s="106">
        <v>0</v>
      </c>
      <c r="D146" s="106">
        <v>0</v>
      </c>
      <c r="E146" s="106">
        <v>0</v>
      </c>
      <c r="F146" s="106">
        <v>0</v>
      </c>
      <c r="G146" s="106">
        <v>0</v>
      </c>
      <c r="H146" s="106">
        <v>0</v>
      </c>
      <c r="I146" s="106">
        <v>0</v>
      </c>
      <c r="J146" s="106">
        <v>0</v>
      </c>
      <c r="K146" s="106">
        <v>0</v>
      </c>
      <c r="L146" s="106">
        <v>0</v>
      </c>
      <c r="M146" s="106">
        <v>0</v>
      </c>
      <c r="N146" s="106">
        <v>0</v>
      </c>
      <c r="O146" s="106">
        <v>0</v>
      </c>
      <c r="P146" s="106">
        <v>0</v>
      </c>
      <c r="Q146" s="106">
        <v>0</v>
      </c>
      <c r="R146" s="106">
        <v>0</v>
      </c>
      <c r="S146" s="106">
        <v>0</v>
      </c>
      <c r="T146" s="106">
        <v>0</v>
      </c>
      <c r="U146" s="106">
        <v>0</v>
      </c>
      <c r="V146" s="106">
        <v>0</v>
      </c>
      <c r="W146" s="106">
        <v>0</v>
      </c>
      <c r="X146" s="106">
        <v>0</v>
      </c>
      <c r="Y146" s="106">
        <v>0</v>
      </c>
      <c r="Z146" s="106">
        <v>0</v>
      </c>
      <c r="AA146" s="106">
        <v>0</v>
      </c>
      <c r="AB146" s="106">
        <v>0</v>
      </c>
      <c r="AC146" s="106">
        <v>0</v>
      </c>
      <c r="AD146" s="106">
        <v>0</v>
      </c>
      <c r="AE146" s="106">
        <v>0</v>
      </c>
      <c r="AF146" s="106">
        <v>0</v>
      </c>
      <c r="AG146" s="106">
        <v>0</v>
      </c>
      <c r="AH146" s="106">
        <v>0</v>
      </c>
      <c r="AI146" s="106">
        <v>0</v>
      </c>
      <c r="AJ146" s="106">
        <v>0</v>
      </c>
      <c r="AK146" s="106">
        <v>0</v>
      </c>
      <c r="AL146" s="106">
        <v>0</v>
      </c>
      <c r="AM146" s="106">
        <v>0</v>
      </c>
      <c r="AN146" s="106">
        <v>0</v>
      </c>
      <c r="AO146" s="106">
        <v>0</v>
      </c>
      <c r="AP146" s="106">
        <v>0</v>
      </c>
      <c r="AQ146" s="106">
        <v>0</v>
      </c>
      <c r="AR146" s="106">
        <v>0</v>
      </c>
      <c r="AS146" s="106">
        <v>0</v>
      </c>
      <c r="AT146" s="106">
        <v>0</v>
      </c>
      <c r="AU146" s="106">
        <v>0</v>
      </c>
      <c r="AV146" s="106">
        <v>0</v>
      </c>
      <c r="AW146" s="106">
        <v>0</v>
      </c>
      <c r="AX146" s="106">
        <v>0</v>
      </c>
      <c r="AY146" s="106">
        <v>0</v>
      </c>
    </row>
    <row r="147" spans="1:51">
      <c r="A147" s="109"/>
      <c r="B147" s="127">
        <v>26</v>
      </c>
      <c r="C147" s="106">
        <v>0</v>
      </c>
      <c r="D147" s="106">
        <v>0</v>
      </c>
      <c r="E147" s="106">
        <v>0</v>
      </c>
      <c r="F147" s="106">
        <v>0</v>
      </c>
      <c r="G147" s="106">
        <v>0</v>
      </c>
      <c r="H147" s="106">
        <v>0</v>
      </c>
      <c r="I147" s="106">
        <v>0</v>
      </c>
      <c r="J147" s="106">
        <v>0</v>
      </c>
      <c r="K147" s="106">
        <v>0</v>
      </c>
      <c r="L147" s="106">
        <v>0</v>
      </c>
      <c r="M147" s="106">
        <v>0</v>
      </c>
      <c r="N147" s="106">
        <v>0</v>
      </c>
      <c r="O147" s="106">
        <v>0</v>
      </c>
      <c r="P147" s="106">
        <v>0</v>
      </c>
      <c r="Q147" s="106">
        <v>0</v>
      </c>
      <c r="R147" s="106">
        <v>0</v>
      </c>
      <c r="S147" s="106">
        <v>0</v>
      </c>
      <c r="T147" s="106">
        <v>0</v>
      </c>
      <c r="U147" s="106">
        <v>0</v>
      </c>
      <c r="V147" s="106">
        <v>0</v>
      </c>
      <c r="W147" s="106">
        <v>0</v>
      </c>
      <c r="X147" s="106">
        <v>0</v>
      </c>
      <c r="Y147" s="106">
        <v>0</v>
      </c>
      <c r="Z147" s="106">
        <v>0</v>
      </c>
      <c r="AA147" s="106">
        <v>0</v>
      </c>
      <c r="AB147" s="106">
        <v>0</v>
      </c>
      <c r="AC147" s="106">
        <v>0</v>
      </c>
      <c r="AD147" s="106">
        <v>0</v>
      </c>
      <c r="AE147" s="106">
        <v>0</v>
      </c>
      <c r="AF147" s="106">
        <v>0</v>
      </c>
      <c r="AG147" s="106">
        <v>0</v>
      </c>
      <c r="AH147" s="106">
        <v>0</v>
      </c>
      <c r="AI147" s="106">
        <v>0</v>
      </c>
      <c r="AJ147" s="106">
        <v>0</v>
      </c>
      <c r="AK147" s="106">
        <v>0</v>
      </c>
      <c r="AL147" s="106">
        <v>0</v>
      </c>
      <c r="AM147" s="106">
        <v>0</v>
      </c>
      <c r="AN147" s="106">
        <v>0</v>
      </c>
      <c r="AO147" s="106">
        <v>0</v>
      </c>
      <c r="AP147" s="106">
        <v>0</v>
      </c>
      <c r="AQ147" s="106">
        <v>0</v>
      </c>
      <c r="AR147" s="106">
        <v>0</v>
      </c>
      <c r="AS147" s="106">
        <v>0</v>
      </c>
      <c r="AT147" s="106">
        <v>0</v>
      </c>
      <c r="AU147" s="106">
        <v>0</v>
      </c>
      <c r="AV147" s="106">
        <v>0</v>
      </c>
      <c r="AW147" s="106">
        <v>0</v>
      </c>
      <c r="AX147" s="106">
        <v>0</v>
      </c>
      <c r="AY147" s="106">
        <v>0</v>
      </c>
    </row>
    <row r="148" spans="1:51">
      <c r="A148" s="109"/>
      <c r="B148" s="127">
        <v>27</v>
      </c>
      <c r="C148" s="106">
        <v>0</v>
      </c>
      <c r="D148" s="106">
        <v>0</v>
      </c>
      <c r="E148" s="106">
        <v>0</v>
      </c>
      <c r="F148" s="106">
        <v>0</v>
      </c>
      <c r="G148" s="106">
        <v>0</v>
      </c>
      <c r="H148" s="106">
        <v>0</v>
      </c>
      <c r="I148" s="106">
        <v>0</v>
      </c>
      <c r="J148" s="106">
        <v>0</v>
      </c>
      <c r="K148" s="106">
        <v>0</v>
      </c>
      <c r="L148" s="106">
        <v>0</v>
      </c>
      <c r="M148" s="106">
        <v>0</v>
      </c>
      <c r="N148" s="106">
        <v>0</v>
      </c>
      <c r="O148" s="106">
        <v>0</v>
      </c>
      <c r="P148" s="106">
        <v>0</v>
      </c>
      <c r="Q148" s="106">
        <v>0</v>
      </c>
      <c r="R148" s="106">
        <v>0</v>
      </c>
      <c r="S148" s="106">
        <v>0</v>
      </c>
      <c r="T148" s="106">
        <v>0</v>
      </c>
      <c r="U148" s="106">
        <v>0</v>
      </c>
      <c r="V148" s="106">
        <v>0</v>
      </c>
      <c r="W148" s="106">
        <v>0</v>
      </c>
      <c r="X148" s="106">
        <v>0</v>
      </c>
      <c r="Y148" s="106">
        <v>0</v>
      </c>
      <c r="Z148" s="106">
        <v>0</v>
      </c>
      <c r="AA148" s="106">
        <v>0</v>
      </c>
      <c r="AB148" s="106">
        <v>0</v>
      </c>
      <c r="AC148" s="106">
        <v>0</v>
      </c>
      <c r="AD148" s="106">
        <v>0</v>
      </c>
      <c r="AE148" s="106">
        <v>0</v>
      </c>
      <c r="AF148" s="106">
        <v>0</v>
      </c>
      <c r="AG148" s="106">
        <v>0</v>
      </c>
      <c r="AH148" s="106">
        <v>0</v>
      </c>
      <c r="AI148" s="106">
        <v>0</v>
      </c>
      <c r="AJ148" s="106">
        <v>0</v>
      </c>
      <c r="AK148" s="106">
        <v>0</v>
      </c>
      <c r="AL148" s="106">
        <v>0</v>
      </c>
      <c r="AM148" s="106">
        <v>0</v>
      </c>
      <c r="AN148" s="106">
        <v>0</v>
      </c>
      <c r="AO148" s="106">
        <v>0</v>
      </c>
      <c r="AP148" s="106">
        <v>0</v>
      </c>
      <c r="AQ148" s="106">
        <v>0</v>
      </c>
      <c r="AR148" s="106">
        <v>0</v>
      </c>
      <c r="AS148" s="106">
        <v>0</v>
      </c>
      <c r="AT148" s="106">
        <v>0</v>
      </c>
      <c r="AU148" s="106">
        <v>0</v>
      </c>
      <c r="AV148" s="106">
        <v>0</v>
      </c>
      <c r="AW148" s="106">
        <v>0</v>
      </c>
      <c r="AX148" s="106">
        <v>0</v>
      </c>
      <c r="AY148" s="106">
        <v>0</v>
      </c>
    </row>
    <row r="149" spans="1:51">
      <c r="A149" s="109"/>
      <c r="B149" s="127">
        <v>28</v>
      </c>
      <c r="C149" s="106">
        <v>0</v>
      </c>
      <c r="D149" s="106">
        <v>0</v>
      </c>
      <c r="E149" s="106">
        <v>0</v>
      </c>
      <c r="F149" s="106">
        <v>0</v>
      </c>
      <c r="G149" s="106">
        <v>0</v>
      </c>
      <c r="H149" s="106">
        <v>0</v>
      </c>
      <c r="I149" s="106">
        <v>0</v>
      </c>
      <c r="J149" s="106">
        <v>0</v>
      </c>
      <c r="K149" s="106">
        <v>0</v>
      </c>
      <c r="L149" s="106">
        <v>0</v>
      </c>
      <c r="M149" s="106">
        <v>0</v>
      </c>
      <c r="N149" s="106">
        <v>0</v>
      </c>
      <c r="O149" s="106">
        <v>0</v>
      </c>
      <c r="P149" s="106">
        <v>0</v>
      </c>
      <c r="Q149" s="106">
        <v>0</v>
      </c>
      <c r="R149" s="106">
        <v>0</v>
      </c>
      <c r="S149" s="106">
        <v>0</v>
      </c>
      <c r="T149" s="106">
        <v>0</v>
      </c>
      <c r="U149" s="106">
        <v>0</v>
      </c>
      <c r="V149" s="106">
        <v>0</v>
      </c>
      <c r="W149" s="106">
        <v>0</v>
      </c>
      <c r="X149" s="106">
        <v>0</v>
      </c>
      <c r="Y149" s="106">
        <v>0</v>
      </c>
      <c r="Z149" s="106">
        <v>0</v>
      </c>
      <c r="AA149" s="106">
        <v>0</v>
      </c>
      <c r="AB149" s="106">
        <v>0</v>
      </c>
      <c r="AC149" s="106">
        <v>0</v>
      </c>
      <c r="AD149" s="106">
        <v>0</v>
      </c>
      <c r="AE149" s="106">
        <v>0</v>
      </c>
      <c r="AF149" s="106">
        <v>0</v>
      </c>
      <c r="AG149" s="106">
        <v>0</v>
      </c>
      <c r="AH149" s="106">
        <v>0</v>
      </c>
      <c r="AI149" s="106">
        <v>0</v>
      </c>
      <c r="AJ149" s="106">
        <v>0</v>
      </c>
      <c r="AK149" s="106">
        <v>0</v>
      </c>
      <c r="AL149" s="106">
        <v>0</v>
      </c>
      <c r="AM149" s="106">
        <v>0</v>
      </c>
      <c r="AN149" s="106">
        <v>0</v>
      </c>
      <c r="AO149" s="106">
        <v>0</v>
      </c>
      <c r="AP149" s="106">
        <v>0</v>
      </c>
      <c r="AQ149" s="106">
        <v>0</v>
      </c>
      <c r="AR149" s="106">
        <v>0</v>
      </c>
      <c r="AS149" s="106">
        <v>0</v>
      </c>
      <c r="AT149" s="106">
        <v>0</v>
      </c>
      <c r="AU149" s="106">
        <v>0</v>
      </c>
      <c r="AV149" s="106">
        <v>0</v>
      </c>
      <c r="AW149" s="106">
        <v>0</v>
      </c>
      <c r="AX149" s="106">
        <v>0</v>
      </c>
      <c r="AY149" s="106">
        <v>0</v>
      </c>
    </row>
    <row r="150" spans="1:51">
      <c r="A150" s="109"/>
      <c r="B150" s="127">
        <v>29</v>
      </c>
      <c r="C150" s="106">
        <v>0</v>
      </c>
      <c r="D150" s="106">
        <v>0</v>
      </c>
      <c r="E150" s="106">
        <v>0</v>
      </c>
      <c r="F150" s="106">
        <v>0</v>
      </c>
      <c r="G150" s="106">
        <v>0</v>
      </c>
      <c r="H150" s="106">
        <v>0</v>
      </c>
      <c r="I150" s="106">
        <v>0</v>
      </c>
      <c r="J150" s="106">
        <v>0</v>
      </c>
      <c r="K150" s="106">
        <v>0</v>
      </c>
      <c r="L150" s="106">
        <v>0</v>
      </c>
      <c r="M150" s="106">
        <v>0</v>
      </c>
      <c r="N150" s="106">
        <v>0</v>
      </c>
      <c r="O150" s="106">
        <v>0</v>
      </c>
      <c r="P150" s="106">
        <v>0</v>
      </c>
      <c r="Q150" s="106">
        <v>0</v>
      </c>
      <c r="R150" s="106">
        <v>0</v>
      </c>
      <c r="S150" s="106">
        <v>0</v>
      </c>
      <c r="T150" s="106">
        <v>0</v>
      </c>
      <c r="U150" s="106">
        <v>0</v>
      </c>
      <c r="V150" s="106">
        <v>0</v>
      </c>
      <c r="W150" s="106">
        <v>0</v>
      </c>
      <c r="X150" s="106">
        <v>0</v>
      </c>
      <c r="Y150" s="106">
        <v>0</v>
      </c>
      <c r="Z150" s="106">
        <v>0</v>
      </c>
      <c r="AA150" s="106">
        <v>0</v>
      </c>
      <c r="AB150" s="106">
        <v>0</v>
      </c>
      <c r="AC150" s="106">
        <v>0</v>
      </c>
      <c r="AD150" s="106">
        <v>0</v>
      </c>
      <c r="AE150" s="106">
        <v>0</v>
      </c>
      <c r="AF150" s="106">
        <v>0</v>
      </c>
      <c r="AG150" s="106">
        <v>0</v>
      </c>
      <c r="AH150" s="106">
        <v>0</v>
      </c>
      <c r="AI150" s="106">
        <v>0</v>
      </c>
      <c r="AJ150" s="106">
        <v>0</v>
      </c>
      <c r="AK150" s="106">
        <v>0</v>
      </c>
      <c r="AL150" s="106">
        <v>0</v>
      </c>
      <c r="AM150" s="106">
        <v>0</v>
      </c>
      <c r="AN150" s="106">
        <v>0</v>
      </c>
      <c r="AO150" s="106">
        <v>0</v>
      </c>
      <c r="AP150" s="106">
        <v>0</v>
      </c>
      <c r="AQ150" s="106">
        <v>0</v>
      </c>
      <c r="AR150" s="106">
        <v>0</v>
      </c>
      <c r="AS150" s="106">
        <v>0</v>
      </c>
      <c r="AT150" s="106">
        <v>0</v>
      </c>
      <c r="AU150" s="106">
        <v>0</v>
      </c>
      <c r="AV150" s="106">
        <v>0</v>
      </c>
      <c r="AW150" s="106">
        <v>0</v>
      </c>
      <c r="AX150" s="106">
        <v>0</v>
      </c>
      <c r="AY150" s="106">
        <v>0</v>
      </c>
    </row>
    <row r="151" spans="1:51">
      <c r="A151" s="109"/>
      <c r="B151" s="127">
        <v>30</v>
      </c>
      <c r="C151" s="106">
        <v>0</v>
      </c>
      <c r="D151" s="106">
        <v>0</v>
      </c>
      <c r="E151" s="106">
        <v>0</v>
      </c>
      <c r="F151" s="106">
        <v>0</v>
      </c>
      <c r="G151" s="106">
        <v>0</v>
      </c>
      <c r="H151" s="106">
        <v>0</v>
      </c>
      <c r="I151" s="106">
        <v>0</v>
      </c>
      <c r="J151" s="106">
        <v>0</v>
      </c>
      <c r="K151" s="106">
        <v>0</v>
      </c>
      <c r="L151" s="106">
        <v>0</v>
      </c>
      <c r="M151" s="106">
        <v>0</v>
      </c>
      <c r="N151" s="106">
        <v>0</v>
      </c>
      <c r="O151" s="106">
        <v>0</v>
      </c>
      <c r="P151" s="106">
        <v>0</v>
      </c>
      <c r="Q151" s="106">
        <v>0</v>
      </c>
      <c r="R151" s="106">
        <v>0</v>
      </c>
      <c r="S151" s="106">
        <v>0</v>
      </c>
      <c r="T151" s="106">
        <v>0</v>
      </c>
      <c r="U151" s="106">
        <v>0</v>
      </c>
      <c r="V151" s="106">
        <v>0</v>
      </c>
      <c r="W151" s="106">
        <v>0</v>
      </c>
      <c r="X151" s="106">
        <v>0</v>
      </c>
      <c r="Y151" s="106">
        <v>0</v>
      </c>
      <c r="Z151" s="106">
        <v>0</v>
      </c>
      <c r="AA151" s="106">
        <v>0</v>
      </c>
      <c r="AB151" s="106">
        <v>0</v>
      </c>
      <c r="AC151" s="106">
        <v>0</v>
      </c>
      <c r="AD151" s="106">
        <v>0</v>
      </c>
      <c r="AE151" s="106">
        <v>0</v>
      </c>
      <c r="AF151" s="106">
        <v>0</v>
      </c>
      <c r="AG151" s="106">
        <v>0</v>
      </c>
      <c r="AH151" s="106">
        <v>0</v>
      </c>
      <c r="AI151" s="106">
        <v>0</v>
      </c>
      <c r="AJ151" s="106">
        <v>0</v>
      </c>
      <c r="AK151" s="106">
        <v>0</v>
      </c>
      <c r="AL151" s="106">
        <v>0</v>
      </c>
      <c r="AM151" s="106">
        <v>0</v>
      </c>
      <c r="AN151" s="106">
        <v>0</v>
      </c>
      <c r="AO151" s="106">
        <v>0</v>
      </c>
      <c r="AP151" s="106">
        <v>0</v>
      </c>
      <c r="AQ151" s="106">
        <v>0</v>
      </c>
      <c r="AR151" s="106">
        <v>0</v>
      </c>
      <c r="AS151" s="106">
        <v>0</v>
      </c>
      <c r="AT151" s="106">
        <v>0</v>
      </c>
      <c r="AU151" s="106">
        <v>0</v>
      </c>
      <c r="AV151" s="106">
        <v>0</v>
      </c>
      <c r="AW151" s="106">
        <v>0</v>
      </c>
      <c r="AX151" s="106">
        <v>0</v>
      </c>
      <c r="AY151" s="106">
        <v>0</v>
      </c>
    </row>
    <row r="152" spans="1:51">
      <c r="A152" s="109"/>
      <c r="B152" s="127">
        <v>31</v>
      </c>
      <c r="C152" s="106">
        <v>0</v>
      </c>
      <c r="D152" s="106">
        <v>0</v>
      </c>
      <c r="E152" s="106">
        <v>0</v>
      </c>
      <c r="F152" s="106">
        <v>0</v>
      </c>
      <c r="G152" s="106">
        <v>0</v>
      </c>
      <c r="H152" s="106">
        <v>0</v>
      </c>
      <c r="I152" s="106">
        <v>0</v>
      </c>
      <c r="J152" s="106">
        <v>0</v>
      </c>
      <c r="K152" s="106">
        <v>0</v>
      </c>
      <c r="L152" s="106">
        <v>0</v>
      </c>
      <c r="M152" s="106">
        <v>0</v>
      </c>
      <c r="N152" s="106">
        <v>0</v>
      </c>
      <c r="O152" s="106">
        <v>0</v>
      </c>
      <c r="P152" s="106">
        <v>0</v>
      </c>
      <c r="Q152" s="106">
        <v>0</v>
      </c>
      <c r="R152" s="106">
        <v>0</v>
      </c>
      <c r="S152" s="106">
        <v>0</v>
      </c>
      <c r="T152" s="106">
        <v>0</v>
      </c>
      <c r="U152" s="106">
        <v>0</v>
      </c>
      <c r="V152" s="106">
        <v>0</v>
      </c>
      <c r="W152" s="106">
        <v>0</v>
      </c>
      <c r="X152" s="106">
        <v>0</v>
      </c>
      <c r="Y152" s="106">
        <v>0</v>
      </c>
      <c r="Z152" s="106">
        <v>0</v>
      </c>
      <c r="AA152" s="106">
        <v>0</v>
      </c>
      <c r="AB152" s="106">
        <v>0</v>
      </c>
      <c r="AC152" s="106">
        <v>0</v>
      </c>
      <c r="AD152" s="106">
        <v>0</v>
      </c>
      <c r="AE152" s="106">
        <v>0</v>
      </c>
      <c r="AF152" s="106">
        <v>0</v>
      </c>
      <c r="AG152" s="106">
        <v>0</v>
      </c>
      <c r="AH152" s="106">
        <v>0</v>
      </c>
      <c r="AI152" s="106">
        <v>0</v>
      </c>
      <c r="AJ152" s="106">
        <v>0</v>
      </c>
      <c r="AK152" s="106">
        <v>0</v>
      </c>
      <c r="AL152" s="106">
        <v>0</v>
      </c>
      <c r="AM152" s="106">
        <v>0</v>
      </c>
      <c r="AN152" s="106">
        <v>0</v>
      </c>
      <c r="AO152" s="106">
        <v>0</v>
      </c>
      <c r="AP152" s="106">
        <v>0</v>
      </c>
      <c r="AQ152" s="106">
        <v>0</v>
      </c>
      <c r="AR152" s="106">
        <v>0</v>
      </c>
      <c r="AS152" s="106">
        <v>0</v>
      </c>
      <c r="AT152" s="106">
        <v>0</v>
      </c>
      <c r="AU152" s="106">
        <v>0</v>
      </c>
      <c r="AV152" s="106">
        <v>0</v>
      </c>
      <c r="AW152" s="106">
        <v>0</v>
      </c>
      <c r="AX152" s="106">
        <v>0</v>
      </c>
      <c r="AY152" s="106">
        <v>0</v>
      </c>
    </row>
    <row r="153" spans="1:51">
      <c r="A153" s="109"/>
      <c r="B153" s="127">
        <v>32</v>
      </c>
      <c r="C153" s="106">
        <v>0</v>
      </c>
      <c r="D153" s="106">
        <v>0</v>
      </c>
      <c r="E153" s="106">
        <v>0</v>
      </c>
      <c r="F153" s="106">
        <v>0</v>
      </c>
      <c r="G153" s="106">
        <v>0</v>
      </c>
      <c r="H153" s="106">
        <v>0</v>
      </c>
      <c r="I153" s="106">
        <v>0</v>
      </c>
      <c r="J153" s="106">
        <v>0</v>
      </c>
      <c r="K153" s="106">
        <v>0</v>
      </c>
      <c r="L153" s="106">
        <v>0</v>
      </c>
      <c r="M153" s="106">
        <v>0</v>
      </c>
      <c r="N153" s="106">
        <v>0</v>
      </c>
      <c r="O153" s="106">
        <v>0</v>
      </c>
      <c r="P153" s="106">
        <v>0</v>
      </c>
      <c r="Q153" s="106">
        <v>0</v>
      </c>
      <c r="R153" s="106">
        <v>0</v>
      </c>
      <c r="S153" s="106">
        <v>0</v>
      </c>
      <c r="T153" s="106">
        <v>0</v>
      </c>
      <c r="U153" s="106">
        <v>0</v>
      </c>
      <c r="V153" s="106">
        <v>0</v>
      </c>
      <c r="W153" s="106">
        <v>0</v>
      </c>
      <c r="X153" s="106">
        <v>0</v>
      </c>
      <c r="Y153" s="106">
        <v>0</v>
      </c>
      <c r="Z153" s="106">
        <v>0</v>
      </c>
      <c r="AA153" s="106">
        <v>0</v>
      </c>
      <c r="AB153" s="106">
        <v>0</v>
      </c>
      <c r="AC153" s="106">
        <v>0</v>
      </c>
      <c r="AD153" s="106">
        <v>0</v>
      </c>
      <c r="AE153" s="106">
        <v>0</v>
      </c>
      <c r="AF153" s="106">
        <v>0</v>
      </c>
      <c r="AG153" s="106">
        <v>0</v>
      </c>
      <c r="AH153" s="106">
        <v>0</v>
      </c>
      <c r="AI153" s="106">
        <v>0</v>
      </c>
      <c r="AJ153" s="106">
        <v>0</v>
      </c>
      <c r="AK153" s="106">
        <v>0</v>
      </c>
      <c r="AL153" s="106">
        <v>0</v>
      </c>
      <c r="AM153" s="106">
        <v>0</v>
      </c>
      <c r="AN153" s="106">
        <v>0</v>
      </c>
      <c r="AO153" s="106">
        <v>0</v>
      </c>
      <c r="AP153" s="106">
        <v>0</v>
      </c>
      <c r="AQ153" s="106">
        <v>0</v>
      </c>
      <c r="AR153" s="106">
        <v>0</v>
      </c>
      <c r="AS153" s="106">
        <v>0</v>
      </c>
      <c r="AT153" s="106">
        <v>0</v>
      </c>
      <c r="AU153" s="106">
        <v>0</v>
      </c>
      <c r="AV153" s="106">
        <v>0</v>
      </c>
      <c r="AW153" s="106">
        <v>0</v>
      </c>
      <c r="AX153" s="106">
        <v>0</v>
      </c>
      <c r="AY153" s="106">
        <v>0</v>
      </c>
    </row>
    <row r="154" spans="1:51">
      <c r="A154" s="109"/>
      <c r="B154" s="127">
        <v>33</v>
      </c>
      <c r="C154" s="106">
        <v>0</v>
      </c>
      <c r="D154" s="106">
        <v>0</v>
      </c>
      <c r="E154" s="106">
        <v>0</v>
      </c>
      <c r="F154" s="106">
        <v>0</v>
      </c>
      <c r="G154" s="106">
        <v>0</v>
      </c>
      <c r="H154" s="106">
        <v>0</v>
      </c>
      <c r="I154" s="106">
        <v>0</v>
      </c>
      <c r="J154" s="106">
        <v>0</v>
      </c>
      <c r="K154" s="106">
        <v>0</v>
      </c>
      <c r="L154" s="106">
        <v>0</v>
      </c>
      <c r="M154" s="106">
        <v>0</v>
      </c>
      <c r="N154" s="106">
        <v>0</v>
      </c>
      <c r="O154" s="106">
        <v>0</v>
      </c>
      <c r="P154" s="106">
        <v>0</v>
      </c>
      <c r="Q154" s="106">
        <v>0</v>
      </c>
      <c r="R154" s="106">
        <v>0</v>
      </c>
      <c r="S154" s="106">
        <v>0</v>
      </c>
      <c r="T154" s="106">
        <v>0</v>
      </c>
      <c r="U154" s="106">
        <v>0</v>
      </c>
      <c r="V154" s="106">
        <v>0</v>
      </c>
      <c r="W154" s="106">
        <v>0</v>
      </c>
      <c r="X154" s="106">
        <v>0</v>
      </c>
      <c r="Y154" s="106">
        <v>0</v>
      </c>
      <c r="Z154" s="106">
        <v>0</v>
      </c>
      <c r="AA154" s="106">
        <v>0</v>
      </c>
      <c r="AB154" s="106">
        <v>0</v>
      </c>
      <c r="AC154" s="106">
        <v>0</v>
      </c>
      <c r="AD154" s="106">
        <v>0</v>
      </c>
      <c r="AE154" s="106">
        <v>0</v>
      </c>
      <c r="AF154" s="106">
        <v>0</v>
      </c>
      <c r="AG154" s="106">
        <v>0</v>
      </c>
      <c r="AH154" s="106">
        <v>0</v>
      </c>
      <c r="AI154" s="106">
        <v>0</v>
      </c>
      <c r="AJ154" s="106">
        <v>0</v>
      </c>
      <c r="AK154" s="106">
        <v>0</v>
      </c>
      <c r="AL154" s="106">
        <v>0</v>
      </c>
      <c r="AM154" s="106">
        <v>0</v>
      </c>
      <c r="AN154" s="106">
        <v>0</v>
      </c>
      <c r="AO154" s="106">
        <v>0</v>
      </c>
      <c r="AP154" s="106">
        <v>0</v>
      </c>
      <c r="AQ154" s="106">
        <v>0</v>
      </c>
      <c r="AR154" s="106">
        <v>0</v>
      </c>
      <c r="AS154" s="106">
        <v>0</v>
      </c>
      <c r="AT154" s="106">
        <v>0</v>
      </c>
      <c r="AU154" s="106">
        <v>0</v>
      </c>
      <c r="AV154" s="106">
        <v>0</v>
      </c>
      <c r="AW154" s="106">
        <v>0</v>
      </c>
      <c r="AX154" s="106">
        <v>0</v>
      </c>
      <c r="AY154" s="106">
        <v>0</v>
      </c>
    </row>
    <row r="155" spans="1:51">
      <c r="A155" s="109"/>
      <c r="B155" s="127">
        <v>34</v>
      </c>
      <c r="C155" s="106">
        <v>0</v>
      </c>
      <c r="D155" s="106">
        <v>0</v>
      </c>
      <c r="E155" s="106">
        <v>0</v>
      </c>
      <c r="F155" s="106">
        <v>0</v>
      </c>
      <c r="G155" s="106">
        <v>0</v>
      </c>
      <c r="H155" s="106">
        <v>0</v>
      </c>
      <c r="I155" s="106">
        <v>0</v>
      </c>
      <c r="J155" s="106">
        <v>0</v>
      </c>
      <c r="K155" s="106">
        <v>0</v>
      </c>
      <c r="L155" s="106">
        <v>0</v>
      </c>
      <c r="M155" s="106">
        <v>0</v>
      </c>
      <c r="N155" s="106">
        <v>0</v>
      </c>
      <c r="O155" s="106">
        <v>0</v>
      </c>
      <c r="P155" s="106">
        <v>0</v>
      </c>
      <c r="Q155" s="106">
        <v>0</v>
      </c>
      <c r="R155" s="106">
        <v>0</v>
      </c>
      <c r="S155" s="106">
        <v>0</v>
      </c>
      <c r="T155" s="106">
        <v>0</v>
      </c>
      <c r="U155" s="106">
        <v>0</v>
      </c>
      <c r="V155" s="106">
        <v>0</v>
      </c>
      <c r="W155" s="106">
        <v>0</v>
      </c>
      <c r="X155" s="106">
        <v>0</v>
      </c>
      <c r="Y155" s="106">
        <v>0</v>
      </c>
      <c r="Z155" s="106">
        <v>0</v>
      </c>
      <c r="AA155" s="106">
        <v>0</v>
      </c>
      <c r="AB155" s="106">
        <v>0</v>
      </c>
      <c r="AC155" s="106">
        <v>0</v>
      </c>
      <c r="AD155" s="106">
        <v>0</v>
      </c>
      <c r="AE155" s="106">
        <v>0</v>
      </c>
      <c r="AF155" s="106">
        <v>0</v>
      </c>
      <c r="AG155" s="106">
        <v>0</v>
      </c>
      <c r="AH155" s="106">
        <v>0</v>
      </c>
      <c r="AI155" s="106">
        <v>0</v>
      </c>
      <c r="AJ155" s="106">
        <v>0</v>
      </c>
      <c r="AK155" s="106">
        <v>0</v>
      </c>
      <c r="AL155" s="106">
        <v>0</v>
      </c>
      <c r="AM155" s="106">
        <v>0</v>
      </c>
      <c r="AN155" s="106">
        <v>0</v>
      </c>
      <c r="AO155" s="106">
        <v>0</v>
      </c>
      <c r="AP155" s="106">
        <v>0</v>
      </c>
      <c r="AQ155" s="106">
        <v>0</v>
      </c>
      <c r="AR155" s="106">
        <v>0</v>
      </c>
      <c r="AS155" s="106">
        <v>0</v>
      </c>
      <c r="AT155" s="106">
        <v>0</v>
      </c>
      <c r="AU155" s="106">
        <v>0</v>
      </c>
      <c r="AV155" s="106">
        <v>0</v>
      </c>
      <c r="AW155" s="106">
        <v>0</v>
      </c>
      <c r="AX155" s="106">
        <v>0</v>
      </c>
      <c r="AY155" s="106">
        <v>0</v>
      </c>
    </row>
    <row r="156" spans="1:51">
      <c r="A156" s="109"/>
      <c r="B156" s="127">
        <v>35</v>
      </c>
      <c r="C156" s="106">
        <v>0</v>
      </c>
      <c r="D156" s="106">
        <v>0</v>
      </c>
      <c r="E156" s="106">
        <v>0</v>
      </c>
      <c r="F156" s="106">
        <v>0</v>
      </c>
      <c r="G156" s="106">
        <v>0</v>
      </c>
      <c r="H156" s="106">
        <v>0</v>
      </c>
      <c r="I156" s="106">
        <v>0</v>
      </c>
      <c r="J156" s="106">
        <v>0</v>
      </c>
      <c r="K156" s="106">
        <v>0</v>
      </c>
      <c r="L156" s="106">
        <v>0</v>
      </c>
      <c r="M156" s="106">
        <v>0</v>
      </c>
      <c r="N156" s="106">
        <v>0</v>
      </c>
      <c r="O156" s="106">
        <v>0</v>
      </c>
      <c r="P156" s="106">
        <v>0</v>
      </c>
      <c r="Q156" s="106">
        <v>0</v>
      </c>
      <c r="R156" s="106">
        <v>0</v>
      </c>
      <c r="S156" s="106">
        <v>0</v>
      </c>
      <c r="T156" s="106">
        <v>0</v>
      </c>
      <c r="U156" s="106">
        <v>0</v>
      </c>
      <c r="V156" s="106">
        <v>0</v>
      </c>
      <c r="W156" s="106">
        <v>0</v>
      </c>
      <c r="X156" s="106">
        <v>0</v>
      </c>
      <c r="Y156" s="106">
        <v>0</v>
      </c>
      <c r="Z156" s="106">
        <v>0</v>
      </c>
      <c r="AA156" s="106">
        <v>0</v>
      </c>
      <c r="AB156" s="106">
        <v>0</v>
      </c>
      <c r="AC156" s="106">
        <v>0</v>
      </c>
      <c r="AD156" s="106">
        <v>0</v>
      </c>
      <c r="AE156" s="106">
        <v>0</v>
      </c>
      <c r="AF156" s="106">
        <v>0</v>
      </c>
      <c r="AG156" s="106">
        <v>0</v>
      </c>
      <c r="AH156" s="106">
        <v>0</v>
      </c>
      <c r="AI156" s="106">
        <v>0</v>
      </c>
      <c r="AJ156" s="106">
        <v>0</v>
      </c>
      <c r="AK156" s="106">
        <v>0</v>
      </c>
      <c r="AL156" s="106">
        <v>0</v>
      </c>
      <c r="AM156" s="106">
        <v>0</v>
      </c>
      <c r="AN156" s="106">
        <v>0</v>
      </c>
      <c r="AO156" s="106">
        <v>0</v>
      </c>
      <c r="AP156" s="106">
        <v>0</v>
      </c>
      <c r="AQ156" s="106">
        <v>0</v>
      </c>
      <c r="AR156" s="106">
        <v>0</v>
      </c>
      <c r="AS156" s="106">
        <v>0</v>
      </c>
      <c r="AT156" s="106">
        <v>0</v>
      </c>
      <c r="AU156" s="106">
        <v>0</v>
      </c>
      <c r="AV156" s="106">
        <v>0</v>
      </c>
      <c r="AW156" s="106">
        <v>0</v>
      </c>
      <c r="AX156" s="106">
        <v>0</v>
      </c>
      <c r="AY156" s="106">
        <v>0</v>
      </c>
    </row>
    <row r="157" spans="1:51">
      <c r="A157" s="109"/>
      <c r="B157" s="127">
        <v>36</v>
      </c>
      <c r="C157" s="106">
        <v>0</v>
      </c>
      <c r="D157" s="106">
        <v>0</v>
      </c>
      <c r="E157" s="106">
        <v>0</v>
      </c>
      <c r="F157" s="106">
        <v>0</v>
      </c>
      <c r="G157" s="106">
        <v>0</v>
      </c>
      <c r="H157" s="106">
        <v>0</v>
      </c>
      <c r="I157" s="106">
        <v>0</v>
      </c>
      <c r="J157" s="106">
        <v>0</v>
      </c>
      <c r="K157" s="106">
        <v>0</v>
      </c>
      <c r="L157" s="106">
        <v>0</v>
      </c>
      <c r="M157" s="106">
        <v>0</v>
      </c>
      <c r="N157" s="106">
        <v>0</v>
      </c>
      <c r="O157" s="106">
        <v>0</v>
      </c>
      <c r="P157" s="106">
        <v>0</v>
      </c>
      <c r="Q157" s="106">
        <v>0</v>
      </c>
      <c r="R157" s="106">
        <v>0</v>
      </c>
      <c r="S157" s="106">
        <v>0</v>
      </c>
      <c r="T157" s="106">
        <v>0</v>
      </c>
      <c r="U157" s="106">
        <v>0</v>
      </c>
      <c r="V157" s="106">
        <v>0</v>
      </c>
      <c r="W157" s="106">
        <v>0</v>
      </c>
      <c r="X157" s="106">
        <v>0</v>
      </c>
      <c r="Y157" s="106">
        <v>0</v>
      </c>
      <c r="Z157" s="106">
        <v>0</v>
      </c>
      <c r="AA157" s="106">
        <v>0</v>
      </c>
      <c r="AB157" s="106">
        <v>0</v>
      </c>
      <c r="AC157" s="106">
        <v>0</v>
      </c>
      <c r="AD157" s="106">
        <v>0</v>
      </c>
      <c r="AE157" s="106">
        <v>0</v>
      </c>
      <c r="AF157" s="106">
        <v>0</v>
      </c>
      <c r="AG157" s="106">
        <v>0</v>
      </c>
      <c r="AH157" s="106">
        <v>0</v>
      </c>
      <c r="AI157" s="106">
        <v>0</v>
      </c>
      <c r="AJ157" s="106">
        <v>0</v>
      </c>
      <c r="AK157" s="106">
        <v>0</v>
      </c>
      <c r="AL157" s="106">
        <v>0</v>
      </c>
      <c r="AM157" s="106">
        <v>0</v>
      </c>
      <c r="AN157" s="106">
        <v>0</v>
      </c>
      <c r="AO157" s="106">
        <v>0</v>
      </c>
      <c r="AP157" s="106">
        <v>0</v>
      </c>
      <c r="AQ157" s="106">
        <v>0</v>
      </c>
      <c r="AR157" s="106">
        <v>0</v>
      </c>
      <c r="AS157" s="106">
        <v>0</v>
      </c>
      <c r="AT157" s="106">
        <v>0</v>
      </c>
      <c r="AU157" s="106">
        <v>0</v>
      </c>
      <c r="AV157" s="106">
        <v>0</v>
      </c>
      <c r="AW157" s="106">
        <v>0</v>
      </c>
      <c r="AX157" s="106">
        <v>0</v>
      </c>
      <c r="AY157" s="106">
        <v>0</v>
      </c>
    </row>
    <row r="158" spans="1:51">
      <c r="A158" s="109"/>
      <c r="B158" s="130">
        <v>37</v>
      </c>
      <c r="C158" s="106">
        <v>0</v>
      </c>
      <c r="D158" s="106">
        <v>0</v>
      </c>
      <c r="E158" s="106">
        <v>0</v>
      </c>
      <c r="F158" s="106">
        <v>0</v>
      </c>
      <c r="G158" s="106">
        <v>0</v>
      </c>
      <c r="H158" s="106">
        <v>0</v>
      </c>
      <c r="I158" s="106">
        <v>0</v>
      </c>
      <c r="J158" s="106">
        <v>0</v>
      </c>
      <c r="K158" s="106">
        <v>0</v>
      </c>
      <c r="L158" s="106">
        <v>0</v>
      </c>
      <c r="M158" s="106">
        <v>0</v>
      </c>
      <c r="N158" s="106">
        <v>0</v>
      </c>
      <c r="O158" s="106">
        <v>0</v>
      </c>
      <c r="P158" s="106">
        <v>0</v>
      </c>
      <c r="Q158" s="106">
        <v>0</v>
      </c>
      <c r="R158" s="106">
        <v>0</v>
      </c>
      <c r="S158" s="106">
        <v>0</v>
      </c>
      <c r="T158" s="106">
        <v>0</v>
      </c>
      <c r="U158" s="106">
        <v>0</v>
      </c>
      <c r="V158" s="106">
        <v>0</v>
      </c>
      <c r="W158" s="106">
        <v>0</v>
      </c>
      <c r="X158" s="106">
        <v>0</v>
      </c>
      <c r="Y158" s="106">
        <v>0</v>
      </c>
      <c r="Z158" s="106">
        <v>0</v>
      </c>
      <c r="AA158" s="106">
        <v>0</v>
      </c>
      <c r="AB158" s="106">
        <v>0</v>
      </c>
      <c r="AC158" s="106">
        <v>0</v>
      </c>
      <c r="AD158" s="106">
        <v>0</v>
      </c>
      <c r="AE158" s="106">
        <v>0</v>
      </c>
      <c r="AF158" s="106">
        <v>0</v>
      </c>
      <c r="AG158" s="106">
        <v>0</v>
      </c>
      <c r="AH158" s="106">
        <v>0</v>
      </c>
      <c r="AI158" s="106">
        <v>0</v>
      </c>
      <c r="AJ158" s="106">
        <v>0</v>
      </c>
      <c r="AK158" s="106">
        <v>0</v>
      </c>
      <c r="AL158" s="106">
        <v>0</v>
      </c>
      <c r="AM158" s="106">
        <v>0</v>
      </c>
      <c r="AN158" s="106">
        <v>0</v>
      </c>
      <c r="AO158" s="106">
        <v>0</v>
      </c>
      <c r="AP158" s="106">
        <v>0</v>
      </c>
      <c r="AQ158" s="106">
        <v>0</v>
      </c>
      <c r="AR158" s="106">
        <v>0</v>
      </c>
      <c r="AS158" s="106">
        <v>0</v>
      </c>
      <c r="AT158" s="106">
        <v>0</v>
      </c>
      <c r="AU158" s="106">
        <v>0</v>
      </c>
      <c r="AV158" s="106">
        <v>0</v>
      </c>
      <c r="AW158" s="106">
        <v>0</v>
      </c>
      <c r="AX158" s="106">
        <v>0</v>
      </c>
      <c r="AY158" s="106">
        <v>0</v>
      </c>
    </row>
    <row r="159" spans="1:51">
      <c r="A159" s="109"/>
      <c r="B159" s="130">
        <v>38</v>
      </c>
      <c r="C159" s="106">
        <v>0</v>
      </c>
      <c r="D159" s="106">
        <v>0</v>
      </c>
      <c r="E159" s="106">
        <v>0</v>
      </c>
      <c r="F159" s="106">
        <v>0</v>
      </c>
      <c r="G159" s="106">
        <v>0</v>
      </c>
      <c r="H159" s="106">
        <v>0</v>
      </c>
      <c r="I159" s="106">
        <v>0</v>
      </c>
      <c r="J159" s="106">
        <v>0</v>
      </c>
      <c r="K159" s="106">
        <v>0</v>
      </c>
      <c r="L159" s="106">
        <v>0</v>
      </c>
      <c r="M159" s="106">
        <v>0</v>
      </c>
      <c r="N159" s="106">
        <v>0</v>
      </c>
      <c r="O159" s="106">
        <v>0</v>
      </c>
      <c r="P159" s="106">
        <v>0</v>
      </c>
      <c r="Q159" s="106">
        <v>0</v>
      </c>
      <c r="R159" s="106">
        <v>0</v>
      </c>
      <c r="S159" s="106">
        <v>0</v>
      </c>
      <c r="T159" s="106">
        <v>0</v>
      </c>
      <c r="U159" s="106">
        <v>0</v>
      </c>
      <c r="V159" s="106">
        <v>0</v>
      </c>
      <c r="W159" s="106">
        <v>0</v>
      </c>
      <c r="X159" s="106">
        <v>0</v>
      </c>
      <c r="Y159" s="106">
        <v>0</v>
      </c>
      <c r="Z159" s="106">
        <v>0</v>
      </c>
      <c r="AA159" s="106">
        <v>0</v>
      </c>
      <c r="AB159" s="106">
        <v>0</v>
      </c>
      <c r="AC159" s="106">
        <v>0</v>
      </c>
      <c r="AD159" s="106">
        <v>0</v>
      </c>
      <c r="AE159" s="106">
        <v>0</v>
      </c>
      <c r="AF159" s="106">
        <v>0</v>
      </c>
      <c r="AG159" s="106">
        <v>0</v>
      </c>
      <c r="AH159" s="106">
        <v>0</v>
      </c>
      <c r="AI159" s="106">
        <v>0</v>
      </c>
      <c r="AJ159" s="106">
        <v>0</v>
      </c>
      <c r="AK159" s="106">
        <v>0</v>
      </c>
      <c r="AL159" s="106">
        <v>0</v>
      </c>
      <c r="AM159" s="106">
        <v>0</v>
      </c>
      <c r="AN159" s="106">
        <v>0</v>
      </c>
      <c r="AO159" s="106">
        <v>0</v>
      </c>
      <c r="AP159" s="106">
        <v>0</v>
      </c>
      <c r="AQ159" s="106">
        <v>0</v>
      </c>
      <c r="AR159" s="106">
        <v>0</v>
      </c>
      <c r="AS159" s="106">
        <v>0</v>
      </c>
      <c r="AT159" s="106">
        <v>0</v>
      </c>
      <c r="AU159" s="106">
        <v>0</v>
      </c>
      <c r="AV159" s="106">
        <v>0</v>
      </c>
      <c r="AW159" s="106">
        <v>0</v>
      </c>
      <c r="AX159" s="106">
        <v>0</v>
      </c>
      <c r="AY159" s="106">
        <v>0</v>
      </c>
    </row>
    <row r="160" spans="1:51">
      <c r="A160" s="109"/>
      <c r="B160" s="130">
        <v>39</v>
      </c>
      <c r="C160" s="106">
        <v>0</v>
      </c>
      <c r="D160" s="106">
        <v>0</v>
      </c>
      <c r="E160" s="106">
        <v>0</v>
      </c>
      <c r="F160" s="106">
        <v>0</v>
      </c>
      <c r="G160" s="106">
        <v>0</v>
      </c>
      <c r="H160" s="106">
        <v>0</v>
      </c>
      <c r="I160" s="106">
        <v>0</v>
      </c>
      <c r="J160" s="106">
        <v>0</v>
      </c>
      <c r="K160" s="106">
        <v>0</v>
      </c>
      <c r="L160" s="106">
        <v>0</v>
      </c>
      <c r="M160" s="106">
        <v>0</v>
      </c>
      <c r="N160" s="106">
        <v>0</v>
      </c>
      <c r="O160" s="106">
        <v>0</v>
      </c>
      <c r="P160" s="106">
        <v>0</v>
      </c>
      <c r="Q160" s="106">
        <v>0</v>
      </c>
      <c r="R160" s="106">
        <v>0</v>
      </c>
      <c r="S160" s="106">
        <v>0</v>
      </c>
      <c r="T160" s="106">
        <v>0</v>
      </c>
      <c r="U160" s="106">
        <v>0</v>
      </c>
      <c r="V160" s="106">
        <v>0</v>
      </c>
      <c r="W160" s="106">
        <v>0</v>
      </c>
      <c r="X160" s="106">
        <v>0</v>
      </c>
      <c r="Y160" s="106">
        <v>0</v>
      </c>
      <c r="Z160" s="106">
        <v>0</v>
      </c>
      <c r="AA160" s="106">
        <v>0</v>
      </c>
      <c r="AB160" s="106">
        <v>0</v>
      </c>
      <c r="AC160" s="106">
        <v>0</v>
      </c>
      <c r="AD160" s="106">
        <v>0</v>
      </c>
      <c r="AE160" s="106">
        <v>0</v>
      </c>
      <c r="AF160" s="106">
        <v>0</v>
      </c>
      <c r="AG160" s="106">
        <v>0</v>
      </c>
      <c r="AH160" s="106">
        <v>0</v>
      </c>
      <c r="AI160" s="106">
        <v>0</v>
      </c>
      <c r="AJ160" s="106">
        <v>0</v>
      </c>
      <c r="AK160" s="106">
        <v>0</v>
      </c>
      <c r="AL160" s="106">
        <v>0</v>
      </c>
      <c r="AM160" s="106">
        <v>0</v>
      </c>
      <c r="AN160" s="106">
        <v>0</v>
      </c>
      <c r="AO160" s="106">
        <v>0</v>
      </c>
      <c r="AP160" s="106">
        <v>0</v>
      </c>
      <c r="AQ160" s="106">
        <v>0</v>
      </c>
      <c r="AR160" s="106">
        <v>0</v>
      </c>
      <c r="AS160" s="106">
        <v>0</v>
      </c>
      <c r="AT160" s="106">
        <v>0</v>
      </c>
      <c r="AU160" s="106">
        <v>0</v>
      </c>
      <c r="AV160" s="106">
        <v>0</v>
      </c>
      <c r="AW160" s="106">
        <v>0</v>
      </c>
      <c r="AX160" s="106">
        <v>0</v>
      </c>
      <c r="AY160" s="106">
        <v>0</v>
      </c>
    </row>
    <row r="161" spans="1:52">
      <c r="A161" s="109"/>
      <c r="B161" s="130">
        <v>40</v>
      </c>
      <c r="C161" s="106">
        <v>0</v>
      </c>
      <c r="D161" s="106">
        <v>0</v>
      </c>
      <c r="E161" s="106">
        <v>0</v>
      </c>
      <c r="F161" s="106">
        <v>0</v>
      </c>
      <c r="G161" s="106">
        <v>0</v>
      </c>
      <c r="H161" s="106">
        <v>0</v>
      </c>
      <c r="I161" s="106">
        <v>0</v>
      </c>
      <c r="J161" s="106">
        <v>0</v>
      </c>
      <c r="K161" s="106">
        <v>0</v>
      </c>
      <c r="L161" s="106">
        <v>0</v>
      </c>
      <c r="M161" s="106">
        <v>0</v>
      </c>
      <c r="N161" s="106">
        <v>0</v>
      </c>
      <c r="O161" s="106">
        <v>0</v>
      </c>
      <c r="P161" s="106">
        <v>0</v>
      </c>
      <c r="Q161" s="106">
        <v>0</v>
      </c>
      <c r="R161" s="106">
        <v>0</v>
      </c>
      <c r="S161" s="106">
        <v>0</v>
      </c>
      <c r="T161" s="106">
        <v>0</v>
      </c>
      <c r="U161" s="106">
        <v>0</v>
      </c>
      <c r="V161" s="106">
        <v>0</v>
      </c>
      <c r="W161" s="106">
        <v>0</v>
      </c>
      <c r="X161" s="106">
        <v>0</v>
      </c>
      <c r="Y161" s="106">
        <v>0</v>
      </c>
      <c r="Z161" s="106">
        <v>0</v>
      </c>
      <c r="AA161" s="106">
        <v>0</v>
      </c>
      <c r="AB161" s="106">
        <v>0</v>
      </c>
      <c r="AC161" s="106">
        <v>0</v>
      </c>
      <c r="AD161" s="106">
        <v>0</v>
      </c>
      <c r="AE161" s="106">
        <v>0</v>
      </c>
      <c r="AF161" s="106">
        <v>0</v>
      </c>
      <c r="AG161" s="106">
        <v>0</v>
      </c>
      <c r="AH161" s="106">
        <v>0</v>
      </c>
      <c r="AI161" s="106">
        <v>0</v>
      </c>
      <c r="AJ161" s="106">
        <v>0</v>
      </c>
      <c r="AK161" s="106">
        <v>0</v>
      </c>
      <c r="AL161" s="106">
        <v>0</v>
      </c>
      <c r="AM161" s="106">
        <v>0</v>
      </c>
      <c r="AN161" s="106">
        <v>0</v>
      </c>
      <c r="AO161" s="106">
        <v>0</v>
      </c>
      <c r="AP161" s="106">
        <v>0</v>
      </c>
      <c r="AQ161" s="106">
        <v>0</v>
      </c>
      <c r="AR161" s="106">
        <v>0</v>
      </c>
      <c r="AS161" s="106">
        <v>0</v>
      </c>
      <c r="AT161" s="106">
        <v>0</v>
      </c>
      <c r="AU161" s="106">
        <v>0</v>
      </c>
      <c r="AV161" s="106">
        <v>0</v>
      </c>
      <c r="AW161" s="106">
        <v>0</v>
      </c>
      <c r="AX161" s="106">
        <v>0</v>
      </c>
      <c r="AY161" s="106">
        <v>0</v>
      </c>
    </row>
    <row r="162" spans="1:52">
      <c r="A162" s="109"/>
      <c r="B162" s="130">
        <v>41</v>
      </c>
      <c r="C162" s="106">
        <v>0</v>
      </c>
      <c r="D162" s="106">
        <v>0</v>
      </c>
      <c r="E162" s="106">
        <v>0</v>
      </c>
      <c r="F162" s="106">
        <v>0</v>
      </c>
      <c r="G162" s="106">
        <v>0</v>
      </c>
      <c r="H162" s="106">
        <v>0</v>
      </c>
      <c r="I162" s="106">
        <v>0</v>
      </c>
      <c r="J162" s="106">
        <v>0</v>
      </c>
      <c r="K162" s="106">
        <v>0</v>
      </c>
      <c r="L162" s="106">
        <v>0</v>
      </c>
      <c r="M162" s="106">
        <v>0</v>
      </c>
      <c r="N162" s="106">
        <v>0</v>
      </c>
      <c r="O162" s="106">
        <v>0</v>
      </c>
      <c r="P162" s="106">
        <v>0</v>
      </c>
      <c r="Q162" s="106">
        <v>0</v>
      </c>
      <c r="R162" s="106">
        <v>0</v>
      </c>
      <c r="S162" s="106">
        <v>0</v>
      </c>
      <c r="T162" s="106">
        <v>0</v>
      </c>
      <c r="U162" s="106">
        <v>0</v>
      </c>
      <c r="V162" s="106">
        <v>0</v>
      </c>
      <c r="W162" s="106">
        <v>0</v>
      </c>
      <c r="X162" s="106">
        <v>0</v>
      </c>
      <c r="Y162" s="106">
        <v>0</v>
      </c>
      <c r="Z162" s="106">
        <v>0</v>
      </c>
      <c r="AA162" s="106">
        <v>0</v>
      </c>
      <c r="AB162" s="106">
        <v>0</v>
      </c>
      <c r="AC162" s="106">
        <v>0</v>
      </c>
      <c r="AD162" s="106">
        <v>0</v>
      </c>
      <c r="AE162" s="106">
        <v>0</v>
      </c>
      <c r="AF162" s="106">
        <v>0</v>
      </c>
      <c r="AG162" s="106">
        <v>0</v>
      </c>
      <c r="AH162" s="106">
        <v>0</v>
      </c>
      <c r="AI162" s="106">
        <v>0</v>
      </c>
      <c r="AJ162" s="106">
        <v>0</v>
      </c>
      <c r="AK162" s="106">
        <v>0</v>
      </c>
      <c r="AL162" s="106">
        <v>0</v>
      </c>
      <c r="AM162" s="106">
        <v>0</v>
      </c>
      <c r="AN162" s="106">
        <v>0</v>
      </c>
      <c r="AO162" s="106">
        <v>0</v>
      </c>
      <c r="AP162" s="106">
        <v>0</v>
      </c>
      <c r="AQ162" s="106">
        <v>0</v>
      </c>
      <c r="AR162" s="106">
        <v>0</v>
      </c>
      <c r="AS162" s="106">
        <v>0</v>
      </c>
      <c r="AT162" s="106">
        <v>0</v>
      </c>
      <c r="AU162" s="106">
        <v>0</v>
      </c>
      <c r="AV162" s="106">
        <v>0</v>
      </c>
      <c r="AW162" s="106">
        <v>0</v>
      </c>
      <c r="AX162" s="106">
        <v>0</v>
      </c>
      <c r="AY162" s="106">
        <v>0</v>
      </c>
    </row>
    <row r="163" spans="1:52">
      <c r="A163" s="109"/>
      <c r="B163" s="130">
        <v>42</v>
      </c>
      <c r="C163" s="106">
        <v>0</v>
      </c>
      <c r="D163" s="106">
        <v>0</v>
      </c>
      <c r="E163" s="106">
        <v>0</v>
      </c>
      <c r="F163" s="106">
        <v>0</v>
      </c>
      <c r="G163" s="106">
        <v>0</v>
      </c>
      <c r="H163" s="106">
        <v>0</v>
      </c>
      <c r="I163" s="106">
        <v>0</v>
      </c>
      <c r="J163" s="106">
        <v>0</v>
      </c>
      <c r="K163" s="106">
        <v>0</v>
      </c>
      <c r="L163" s="106">
        <v>0</v>
      </c>
      <c r="M163" s="106">
        <v>0</v>
      </c>
      <c r="N163" s="106">
        <v>0</v>
      </c>
      <c r="O163" s="106">
        <v>0</v>
      </c>
      <c r="P163" s="106">
        <v>0</v>
      </c>
      <c r="Q163" s="106">
        <v>0</v>
      </c>
      <c r="R163" s="106">
        <v>0</v>
      </c>
      <c r="S163" s="106">
        <v>0</v>
      </c>
      <c r="T163" s="106">
        <v>0</v>
      </c>
      <c r="U163" s="106">
        <v>0</v>
      </c>
      <c r="V163" s="106">
        <v>0</v>
      </c>
      <c r="W163" s="106">
        <v>0</v>
      </c>
      <c r="X163" s="106">
        <v>0</v>
      </c>
      <c r="Y163" s="106">
        <v>0</v>
      </c>
      <c r="Z163" s="106">
        <v>0</v>
      </c>
      <c r="AA163" s="106">
        <v>0</v>
      </c>
      <c r="AB163" s="106">
        <v>0</v>
      </c>
      <c r="AC163" s="106">
        <v>0</v>
      </c>
      <c r="AD163" s="106">
        <v>0</v>
      </c>
      <c r="AE163" s="106">
        <v>0</v>
      </c>
      <c r="AF163" s="106">
        <v>0</v>
      </c>
      <c r="AG163" s="106">
        <v>0</v>
      </c>
      <c r="AH163" s="106">
        <v>0</v>
      </c>
      <c r="AI163" s="106">
        <v>0</v>
      </c>
      <c r="AJ163" s="106">
        <v>0</v>
      </c>
      <c r="AK163" s="106">
        <v>0</v>
      </c>
      <c r="AL163" s="106">
        <v>0</v>
      </c>
      <c r="AM163" s="106">
        <v>0</v>
      </c>
      <c r="AN163" s="106">
        <v>0</v>
      </c>
      <c r="AO163" s="106">
        <v>0</v>
      </c>
      <c r="AP163" s="106">
        <v>0</v>
      </c>
      <c r="AQ163" s="106">
        <v>0</v>
      </c>
      <c r="AR163" s="106">
        <v>0</v>
      </c>
      <c r="AS163" s="106">
        <v>0</v>
      </c>
      <c r="AT163" s="106">
        <v>0</v>
      </c>
      <c r="AU163" s="106">
        <v>0</v>
      </c>
      <c r="AV163" s="106">
        <v>0</v>
      </c>
      <c r="AW163" s="106">
        <v>0</v>
      </c>
      <c r="AX163" s="106">
        <v>0</v>
      </c>
      <c r="AY163" s="106">
        <v>0</v>
      </c>
    </row>
    <row r="164" spans="1:52">
      <c r="A164" s="109"/>
      <c r="B164" s="130">
        <v>43</v>
      </c>
      <c r="C164" s="106">
        <v>0</v>
      </c>
      <c r="D164" s="106">
        <v>0</v>
      </c>
      <c r="E164" s="106">
        <v>0</v>
      </c>
      <c r="F164" s="106">
        <v>0</v>
      </c>
      <c r="G164" s="106">
        <v>0</v>
      </c>
      <c r="H164" s="106">
        <v>0</v>
      </c>
      <c r="I164" s="106">
        <v>0</v>
      </c>
      <c r="J164" s="106">
        <v>0</v>
      </c>
      <c r="K164" s="106">
        <v>0</v>
      </c>
      <c r="L164" s="106">
        <v>0</v>
      </c>
      <c r="M164" s="106">
        <v>0</v>
      </c>
      <c r="N164" s="106">
        <v>0</v>
      </c>
      <c r="O164" s="106">
        <v>0</v>
      </c>
      <c r="P164" s="106">
        <v>0</v>
      </c>
      <c r="Q164" s="106">
        <v>0</v>
      </c>
      <c r="R164" s="106">
        <v>0</v>
      </c>
      <c r="S164" s="106">
        <v>0</v>
      </c>
      <c r="T164" s="106">
        <v>0</v>
      </c>
      <c r="U164" s="106">
        <v>0</v>
      </c>
      <c r="V164" s="106">
        <v>0</v>
      </c>
      <c r="W164" s="106">
        <v>0</v>
      </c>
      <c r="X164" s="106">
        <v>0</v>
      </c>
      <c r="Y164" s="106">
        <v>0</v>
      </c>
      <c r="Z164" s="106">
        <v>0</v>
      </c>
      <c r="AA164" s="106">
        <v>0</v>
      </c>
      <c r="AB164" s="106">
        <v>0</v>
      </c>
      <c r="AC164" s="106">
        <v>0</v>
      </c>
      <c r="AD164" s="106">
        <v>0</v>
      </c>
      <c r="AE164" s="106">
        <v>0</v>
      </c>
      <c r="AF164" s="106">
        <v>0</v>
      </c>
      <c r="AG164" s="106">
        <v>0</v>
      </c>
      <c r="AH164" s="106">
        <v>0</v>
      </c>
      <c r="AI164" s="106">
        <v>0</v>
      </c>
      <c r="AJ164" s="106">
        <v>0</v>
      </c>
      <c r="AK164" s="106">
        <v>0</v>
      </c>
      <c r="AL164" s="106">
        <v>0</v>
      </c>
      <c r="AM164" s="106">
        <v>0</v>
      </c>
      <c r="AN164" s="106">
        <v>0</v>
      </c>
      <c r="AO164" s="106">
        <v>0</v>
      </c>
      <c r="AP164" s="106">
        <v>0</v>
      </c>
      <c r="AQ164" s="106">
        <v>0</v>
      </c>
      <c r="AR164" s="106">
        <v>0</v>
      </c>
      <c r="AS164" s="106">
        <v>0</v>
      </c>
      <c r="AT164" s="106">
        <v>0</v>
      </c>
      <c r="AU164" s="106">
        <v>0</v>
      </c>
      <c r="AV164" s="106">
        <v>0</v>
      </c>
      <c r="AW164" s="106">
        <v>0</v>
      </c>
      <c r="AX164" s="106">
        <v>0</v>
      </c>
      <c r="AY164" s="106">
        <v>0</v>
      </c>
    </row>
    <row r="165" spans="1:52">
      <c r="A165" s="109"/>
      <c r="B165" s="130">
        <v>44</v>
      </c>
      <c r="C165" s="106">
        <v>0</v>
      </c>
      <c r="D165" s="106">
        <v>0</v>
      </c>
      <c r="E165" s="106">
        <v>0</v>
      </c>
      <c r="F165" s="106">
        <v>0</v>
      </c>
      <c r="G165" s="106">
        <v>0</v>
      </c>
      <c r="H165" s="106">
        <v>0</v>
      </c>
      <c r="I165" s="106">
        <v>0</v>
      </c>
      <c r="J165" s="106">
        <v>0</v>
      </c>
      <c r="K165" s="106">
        <v>0</v>
      </c>
      <c r="L165" s="106">
        <v>0</v>
      </c>
      <c r="M165" s="106">
        <v>0</v>
      </c>
      <c r="N165" s="106">
        <v>0</v>
      </c>
      <c r="O165" s="106">
        <v>0</v>
      </c>
      <c r="P165" s="106">
        <v>0</v>
      </c>
      <c r="Q165" s="106">
        <v>0</v>
      </c>
      <c r="R165" s="106">
        <v>0</v>
      </c>
      <c r="S165" s="106">
        <v>0</v>
      </c>
      <c r="T165" s="106">
        <v>0</v>
      </c>
      <c r="U165" s="106">
        <v>0</v>
      </c>
      <c r="V165" s="106">
        <v>0</v>
      </c>
      <c r="W165" s="106">
        <v>0</v>
      </c>
      <c r="X165" s="106">
        <v>0</v>
      </c>
      <c r="Y165" s="106">
        <v>0</v>
      </c>
      <c r="Z165" s="106">
        <v>0</v>
      </c>
      <c r="AA165" s="106">
        <v>0</v>
      </c>
      <c r="AB165" s="106">
        <v>0</v>
      </c>
      <c r="AC165" s="106">
        <v>0</v>
      </c>
      <c r="AD165" s="106">
        <v>0</v>
      </c>
      <c r="AE165" s="106">
        <v>0</v>
      </c>
      <c r="AF165" s="106">
        <v>0</v>
      </c>
      <c r="AG165" s="106">
        <v>0</v>
      </c>
      <c r="AH165" s="106">
        <v>0</v>
      </c>
      <c r="AI165" s="106">
        <v>0</v>
      </c>
      <c r="AJ165" s="106">
        <v>0</v>
      </c>
      <c r="AK165" s="106">
        <v>0</v>
      </c>
      <c r="AL165" s="106">
        <v>0</v>
      </c>
      <c r="AM165" s="106">
        <v>0</v>
      </c>
      <c r="AN165" s="106">
        <v>0</v>
      </c>
      <c r="AO165" s="106">
        <v>0</v>
      </c>
      <c r="AP165" s="106">
        <v>0</v>
      </c>
      <c r="AQ165" s="106">
        <v>0</v>
      </c>
      <c r="AR165" s="106">
        <v>0</v>
      </c>
      <c r="AS165" s="106">
        <v>0</v>
      </c>
      <c r="AT165" s="106">
        <v>0</v>
      </c>
      <c r="AU165" s="106">
        <v>0</v>
      </c>
      <c r="AV165" s="106">
        <v>0</v>
      </c>
      <c r="AW165" s="106">
        <v>0</v>
      </c>
      <c r="AX165" s="106">
        <v>0</v>
      </c>
      <c r="AY165" s="106">
        <v>0</v>
      </c>
    </row>
    <row r="166" spans="1:52">
      <c r="A166" s="109"/>
      <c r="B166" s="130">
        <v>45</v>
      </c>
      <c r="C166" s="106">
        <v>0</v>
      </c>
      <c r="D166" s="106">
        <v>0</v>
      </c>
      <c r="E166" s="106">
        <v>0</v>
      </c>
      <c r="F166" s="106">
        <v>0</v>
      </c>
      <c r="G166" s="106">
        <v>0</v>
      </c>
      <c r="H166" s="106">
        <v>0</v>
      </c>
      <c r="I166" s="106">
        <v>0</v>
      </c>
      <c r="J166" s="106">
        <v>0</v>
      </c>
      <c r="K166" s="106">
        <v>0</v>
      </c>
      <c r="L166" s="106">
        <v>0</v>
      </c>
      <c r="M166" s="106">
        <v>0</v>
      </c>
      <c r="N166" s="106">
        <v>0</v>
      </c>
      <c r="O166" s="106">
        <v>0</v>
      </c>
      <c r="P166" s="106">
        <v>0</v>
      </c>
      <c r="Q166" s="106">
        <v>0</v>
      </c>
      <c r="R166" s="106">
        <v>0</v>
      </c>
      <c r="S166" s="106">
        <v>0</v>
      </c>
      <c r="T166" s="106">
        <v>0</v>
      </c>
      <c r="U166" s="106">
        <v>0</v>
      </c>
      <c r="V166" s="106">
        <v>0</v>
      </c>
      <c r="W166" s="106">
        <v>0</v>
      </c>
      <c r="X166" s="106">
        <v>0</v>
      </c>
      <c r="Y166" s="106">
        <v>0</v>
      </c>
      <c r="Z166" s="106">
        <v>0</v>
      </c>
      <c r="AA166" s="106">
        <v>0</v>
      </c>
      <c r="AB166" s="106">
        <v>0</v>
      </c>
      <c r="AC166" s="106">
        <v>0</v>
      </c>
      <c r="AD166" s="106">
        <v>0</v>
      </c>
      <c r="AE166" s="106">
        <v>0</v>
      </c>
      <c r="AF166" s="106">
        <v>0</v>
      </c>
      <c r="AG166" s="106">
        <v>0</v>
      </c>
      <c r="AH166" s="106">
        <v>0</v>
      </c>
      <c r="AI166" s="106">
        <v>0</v>
      </c>
      <c r="AJ166" s="106">
        <v>0</v>
      </c>
      <c r="AK166" s="106">
        <v>0</v>
      </c>
      <c r="AL166" s="106">
        <v>0</v>
      </c>
      <c r="AM166" s="106">
        <v>0</v>
      </c>
      <c r="AN166" s="106">
        <v>0</v>
      </c>
      <c r="AO166" s="106">
        <v>0</v>
      </c>
      <c r="AP166" s="106">
        <v>0</v>
      </c>
      <c r="AQ166" s="106">
        <v>0</v>
      </c>
      <c r="AR166" s="106">
        <v>0</v>
      </c>
      <c r="AS166" s="106">
        <v>0</v>
      </c>
      <c r="AT166" s="106">
        <v>0</v>
      </c>
      <c r="AU166" s="106">
        <v>0</v>
      </c>
      <c r="AV166" s="106">
        <v>0</v>
      </c>
      <c r="AW166" s="106">
        <v>0</v>
      </c>
      <c r="AX166" s="106">
        <v>0</v>
      </c>
      <c r="AY166" s="106">
        <v>0</v>
      </c>
    </row>
    <row r="167" spans="1:52">
      <c r="A167" s="109"/>
      <c r="B167" s="130">
        <v>46</v>
      </c>
      <c r="C167" s="106">
        <v>0</v>
      </c>
      <c r="D167" s="106">
        <v>0</v>
      </c>
      <c r="E167" s="106">
        <v>0</v>
      </c>
      <c r="F167" s="106">
        <v>0</v>
      </c>
      <c r="G167" s="106">
        <v>0</v>
      </c>
      <c r="H167" s="106">
        <v>0</v>
      </c>
      <c r="I167" s="106">
        <v>0</v>
      </c>
      <c r="J167" s="106">
        <v>0</v>
      </c>
      <c r="K167" s="106">
        <v>0</v>
      </c>
      <c r="L167" s="106">
        <v>0</v>
      </c>
      <c r="M167" s="106">
        <v>0</v>
      </c>
      <c r="N167" s="106">
        <v>0</v>
      </c>
      <c r="O167" s="106">
        <v>0</v>
      </c>
      <c r="P167" s="106">
        <v>0</v>
      </c>
      <c r="Q167" s="106">
        <v>0</v>
      </c>
      <c r="R167" s="106">
        <v>0</v>
      </c>
      <c r="S167" s="106">
        <v>0</v>
      </c>
      <c r="T167" s="106">
        <v>0</v>
      </c>
      <c r="U167" s="106">
        <v>0</v>
      </c>
      <c r="V167" s="106">
        <v>0</v>
      </c>
      <c r="W167" s="106">
        <v>0</v>
      </c>
      <c r="X167" s="106">
        <v>0</v>
      </c>
      <c r="Y167" s="106">
        <v>0</v>
      </c>
      <c r="Z167" s="106">
        <v>0</v>
      </c>
      <c r="AA167" s="106">
        <v>0</v>
      </c>
      <c r="AB167" s="106">
        <v>0</v>
      </c>
      <c r="AC167" s="106">
        <v>0</v>
      </c>
      <c r="AD167" s="106">
        <v>0</v>
      </c>
      <c r="AE167" s="106">
        <v>0</v>
      </c>
      <c r="AF167" s="106">
        <v>0</v>
      </c>
      <c r="AG167" s="106">
        <v>0</v>
      </c>
      <c r="AH167" s="106">
        <v>0</v>
      </c>
      <c r="AI167" s="106">
        <v>0</v>
      </c>
      <c r="AJ167" s="106">
        <v>0</v>
      </c>
      <c r="AK167" s="106">
        <v>0</v>
      </c>
      <c r="AL167" s="106">
        <v>0</v>
      </c>
      <c r="AM167" s="106">
        <v>0</v>
      </c>
      <c r="AN167" s="106">
        <v>0</v>
      </c>
      <c r="AO167" s="106">
        <v>0</v>
      </c>
      <c r="AP167" s="106">
        <v>0</v>
      </c>
      <c r="AQ167" s="106">
        <v>0</v>
      </c>
      <c r="AR167" s="106">
        <v>0</v>
      </c>
      <c r="AS167" s="106">
        <v>0</v>
      </c>
      <c r="AT167" s="106">
        <v>0</v>
      </c>
      <c r="AU167" s="106">
        <v>0</v>
      </c>
      <c r="AV167" s="106">
        <v>0</v>
      </c>
      <c r="AW167" s="106">
        <v>0</v>
      </c>
      <c r="AX167" s="106">
        <v>0</v>
      </c>
      <c r="AY167" s="106">
        <v>0</v>
      </c>
    </row>
    <row r="168" spans="1:52">
      <c r="A168" s="109"/>
      <c r="B168" s="130">
        <v>47</v>
      </c>
      <c r="C168" s="106">
        <v>0</v>
      </c>
      <c r="D168" s="106">
        <v>0</v>
      </c>
      <c r="E168" s="106">
        <v>0</v>
      </c>
      <c r="F168" s="106">
        <v>0</v>
      </c>
      <c r="G168" s="106">
        <v>0</v>
      </c>
      <c r="H168" s="106">
        <v>0</v>
      </c>
      <c r="I168" s="106">
        <v>0</v>
      </c>
      <c r="J168" s="106">
        <v>0</v>
      </c>
      <c r="K168" s="106">
        <v>0</v>
      </c>
      <c r="L168" s="106">
        <v>0</v>
      </c>
      <c r="M168" s="106">
        <v>0</v>
      </c>
      <c r="N168" s="106">
        <v>0</v>
      </c>
      <c r="O168" s="106">
        <v>0</v>
      </c>
      <c r="P168" s="106">
        <v>0</v>
      </c>
      <c r="Q168" s="106">
        <v>0</v>
      </c>
      <c r="R168" s="106">
        <v>0</v>
      </c>
      <c r="S168" s="106">
        <v>0</v>
      </c>
      <c r="T168" s="106">
        <v>0</v>
      </c>
      <c r="U168" s="106">
        <v>0</v>
      </c>
      <c r="V168" s="106">
        <v>0</v>
      </c>
      <c r="W168" s="106">
        <v>0</v>
      </c>
      <c r="X168" s="106">
        <v>0</v>
      </c>
      <c r="Y168" s="106">
        <v>0</v>
      </c>
      <c r="Z168" s="106">
        <v>0</v>
      </c>
      <c r="AA168" s="106">
        <v>0</v>
      </c>
      <c r="AB168" s="106">
        <v>0</v>
      </c>
      <c r="AC168" s="106">
        <v>0</v>
      </c>
      <c r="AD168" s="106">
        <v>0</v>
      </c>
      <c r="AE168" s="106">
        <v>0</v>
      </c>
      <c r="AF168" s="106">
        <v>0</v>
      </c>
      <c r="AG168" s="106">
        <v>0</v>
      </c>
      <c r="AH168" s="106">
        <v>0</v>
      </c>
      <c r="AI168" s="106">
        <v>0</v>
      </c>
      <c r="AJ168" s="106">
        <v>0</v>
      </c>
      <c r="AK168" s="106">
        <v>0</v>
      </c>
      <c r="AL168" s="106">
        <v>0</v>
      </c>
      <c r="AM168" s="106">
        <v>0</v>
      </c>
      <c r="AN168" s="106">
        <v>0</v>
      </c>
      <c r="AO168" s="106">
        <v>0</v>
      </c>
      <c r="AP168" s="106">
        <v>0</v>
      </c>
      <c r="AQ168" s="106">
        <v>0</v>
      </c>
      <c r="AR168" s="106">
        <v>0</v>
      </c>
      <c r="AS168" s="106">
        <v>0</v>
      </c>
      <c r="AT168" s="106">
        <v>0</v>
      </c>
      <c r="AU168" s="106">
        <v>0</v>
      </c>
      <c r="AV168" s="106">
        <v>0</v>
      </c>
      <c r="AW168" s="106">
        <v>0</v>
      </c>
      <c r="AX168" s="106">
        <v>0</v>
      </c>
      <c r="AY168" s="106">
        <v>0</v>
      </c>
    </row>
    <row r="169" spans="1:52">
      <c r="A169" s="109"/>
      <c r="B169" s="130">
        <v>48</v>
      </c>
      <c r="C169" s="106">
        <v>0</v>
      </c>
      <c r="D169" s="106">
        <v>0</v>
      </c>
      <c r="E169" s="106">
        <v>0</v>
      </c>
      <c r="F169" s="106">
        <v>0</v>
      </c>
      <c r="G169" s="106">
        <v>0</v>
      </c>
      <c r="H169" s="106">
        <v>0</v>
      </c>
      <c r="I169" s="106">
        <v>0</v>
      </c>
      <c r="J169" s="106">
        <v>0</v>
      </c>
      <c r="K169" s="106">
        <v>0</v>
      </c>
      <c r="L169" s="106">
        <v>0</v>
      </c>
      <c r="M169" s="106">
        <v>0</v>
      </c>
      <c r="N169" s="106">
        <v>0</v>
      </c>
      <c r="O169" s="106">
        <v>0</v>
      </c>
      <c r="P169" s="106">
        <v>0</v>
      </c>
      <c r="Q169" s="106">
        <v>0</v>
      </c>
      <c r="R169" s="106">
        <v>0</v>
      </c>
      <c r="S169" s="106">
        <v>0</v>
      </c>
      <c r="T169" s="106">
        <v>0</v>
      </c>
      <c r="U169" s="106">
        <v>0</v>
      </c>
      <c r="V169" s="106">
        <v>0</v>
      </c>
      <c r="W169" s="106">
        <v>0</v>
      </c>
      <c r="X169" s="106">
        <v>0</v>
      </c>
      <c r="Y169" s="106">
        <v>0</v>
      </c>
      <c r="Z169" s="106">
        <v>0</v>
      </c>
      <c r="AA169" s="106">
        <v>0</v>
      </c>
      <c r="AB169" s="106">
        <v>0</v>
      </c>
      <c r="AC169" s="106">
        <v>0</v>
      </c>
      <c r="AD169" s="106">
        <v>0</v>
      </c>
      <c r="AE169" s="106">
        <v>0</v>
      </c>
      <c r="AF169" s="106">
        <v>0</v>
      </c>
      <c r="AG169" s="106">
        <v>0</v>
      </c>
      <c r="AH169" s="106">
        <v>0</v>
      </c>
      <c r="AI169" s="106">
        <v>0</v>
      </c>
      <c r="AJ169" s="106">
        <v>0</v>
      </c>
      <c r="AK169" s="106">
        <v>0</v>
      </c>
      <c r="AL169" s="106">
        <v>0</v>
      </c>
      <c r="AM169" s="106">
        <v>0</v>
      </c>
      <c r="AN169" s="106">
        <v>0</v>
      </c>
      <c r="AO169" s="106">
        <v>0</v>
      </c>
      <c r="AP169" s="106">
        <v>0</v>
      </c>
      <c r="AQ169" s="106">
        <v>0</v>
      </c>
      <c r="AR169" s="106">
        <v>0</v>
      </c>
      <c r="AS169" s="106">
        <v>0</v>
      </c>
      <c r="AT169" s="106">
        <v>0</v>
      </c>
      <c r="AU169" s="106">
        <v>0</v>
      </c>
      <c r="AV169" s="106">
        <v>0</v>
      </c>
      <c r="AW169" s="106">
        <v>0</v>
      </c>
      <c r="AX169" s="106">
        <v>0</v>
      </c>
      <c r="AY169" s="106">
        <v>0</v>
      </c>
    </row>
    <row r="170" spans="1:52">
      <c r="A170" s="128"/>
      <c r="B170" s="132" t="s">
        <v>296</v>
      </c>
      <c r="C170" s="114">
        <v>0</v>
      </c>
      <c r="D170" s="125">
        <v>0</v>
      </c>
      <c r="E170" s="125">
        <v>0</v>
      </c>
      <c r="F170" s="125">
        <v>0</v>
      </c>
      <c r="G170" s="125">
        <v>0</v>
      </c>
      <c r="H170" s="125">
        <v>0</v>
      </c>
      <c r="I170" s="125">
        <v>0</v>
      </c>
      <c r="J170" s="125">
        <v>0</v>
      </c>
      <c r="K170" s="125">
        <v>0</v>
      </c>
      <c r="L170" s="125">
        <v>0</v>
      </c>
      <c r="M170" s="125">
        <v>0</v>
      </c>
      <c r="N170" s="125">
        <v>0</v>
      </c>
      <c r="O170" s="125">
        <v>0</v>
      </c>
      <c r="P170" s="125">
        <v>0</v>
      </c>
      <c r="Q170" s="125">
        <v>0</v>
      </c>
      <c r="R170" s="125">
        <v>0</v>
      </c>
      <c r="S170" s="125">
        <v>0</v>
      </c>
      <c r="T170" s="125">
        <v>0</v>
      </c>
      <c r="U170" s="125">
        <v>0</v>
      </c>
      <c r="V170" s="125">
        <v>0</v>
      </c>
      <c r="W170" s="125">
        <v>0</v>
      </c>
      <c r="X170" s="125">
        <v>0</v>
      </c>
      <c r="Y170" s="125">
        <v>0</v>
      </c>
      <c r="Z170" s="125">
        <v>0</v>
      </c>
      <c r="AA170" s="125">
        <v>0</v>
      </c>
      <c r="AB170" s="125">
        <v>0</v>
      </c>
      <c r="AC170" s="125">
        <v>0</v>
      </c>
      <c r="AD170" s="125">
        <v>0</v>
      </c>
      <c r="AE170" s="125">
        <v>0</v>
      </c>
      <c r="AF170" s="125">
        <v>0</v>
      </c>
      <c r="AG170" s="125">
        <v>0</v>
      </c>
      <c r="AH170" s="125">
        <v>0</v>
      </c>
      <c r="AI170" s="125">
        <v>0</v>
      </c>
      <c r="AJ170" s="125">
        <v>0</v>
      </c>
      <c r="AK170" s="125">
        <v>0</v>
      </c>
      <c r="AL170" s="125">
        <v>0</v>
      </c>
      <c r="AM170" s="125">
        <v>0</v>
      </c>
      <c r="AN170" s="125">
        <v>0</v>
      </c>
      <c r="AO170" s="125">
        <v>0</v>
      </c>
      <c r="AP170" s="125">
        <v>0</v>
      </c>
      <c r="AQ170" s="125">
        <v>0</v>
      </c>
      <c r="AR170" s="125">
        <v>0</v>
      </c>
      <c r="AS170" s="125">
        <v>0</v>
      </c>
      <c r="AT170" s="125">
        <v>0</v>
      </c>
      <c r="AU170" s="125">
        <v>0</v>
      </c>
      <c r="AV170" s="125">
        <v>0</v>
      </c>
      <c r="AW170" s="125">
        <v>0</v>
      </c>
      <c r="AX170" s="125">
        <v>0</v>
      </c>
      <c r="AY170" s="125">
        <v>0</v>
      </c>
      <c r="AZ170" s="107">
        <f>SUM($D170:$AY170)</f>
        <v>0</v>
      </c>
    </row>
    <row r="172" spans="1:52">
      <c r="A172" s="102" t="s">
        <v>124</v>
      </c>
      <c r="B172" s="133" t="s">
        <v>297</v>
      </c>
      <c r="C172" s="134">
        <v>0.49273381099178382</v>
      </c>
      <c r="D172" s="134">
        <v>0.49291122147712474</v>
      </c>
      <c r="E172" s="134">
        <v>0.49291122147712474</v>
      </c>
      <c r="F172" s="134">
        <v>0.49291122147712474</v>
      </c>
      <c r="G172" s="134">
        <v>0.49291122147712474</v>
      </c>
      <c r="H172" s="134">
        <v>0.49291122147712474</v>
      </c>
      <c r="I172" s="134">
        <v>0.49291122147712474</v>
      </c>
      <c r="J172" s="134">
        <v>0.49291122147712474</v>
      </c>
      <c r="K172" s="134">
        <v>0.49291122147712474</v>
      </c>
      <c r="L172" s="134">
        <v>0.49291122147712474</v>
      </c>
      <c r="M172" s="134">
        <v>0.49291122147712474</v>
      </c>
      <c r="N172" s="134">
        <v>0.49291122147712474</v>
      </c>
      <c r="O172" s="134">
        <v>0.49291122147712474</v>
      </c>
      <c r="P172" s="134">
        <v>0.49291122147712474</v>
      </c>
      <c r="Q172" s="134">
        <v>0.49291122147712474</v>
      </c>
      <c r="R172" s="134">
        <v>0.49291122147712474</v>
      </c>
      <c r="S172" s="134">
        <v>0.49291122147712474</v>
      </c>
      <c r="T172" s="134">
        <v>0.49291122147712474</v>
      </c>
      <c r="U172" s="134">
        <v>0.49291122147712474</v>
      </c>
      <c r="V172" s="134">
        <v>0.49291122147712474</v>
      </c>
      <c r="W172" s="134">
        <v>0.49291122147712474</v>
      </c>
      <c r="X172" s="134">
        <v>0.49291122147712474</v>
      </c>
      <c r="Y172" s="134">
        <v>0.49291122147712474</v>
      </c>
      <c r="Z172" s="134">
        <v>0.49291122147712474</v>
      </c>
      <c r="AA172" s="134">
        <v>0.49291122147712474</v>
      </c>
      <c r="AB172" s="134">
        <v>0.49291122147712474</v>
      </c>
      <c r="AC172" s="134">
        <v>0.49291122147712474</v>
      </c>
      <c r="AD172" s="134">
        <v>0.49291122147712474</v>
      </c>
      <c r="AE172" s="134">
        <v>0.49291122147712474</v>
      </c>
      <c r="AF172" s="134">
        <v>0.49291122147712474</v>
      </c>
      <c r="AG172" s="134">
        <v>0.49291122147712474</v>
      </c>
      <c r="AH172" s="134">
        <v>0.49291122147712474</v>
      </c>
      <c r="AI172" s="134">
        <v>0.49291122147712474</v>
      </c>
      <c r="AJ172" s="134">
        <v>0.49291122147712474</v>
      </c>
      <c r="AK172" s="134">
        <v>0.49291122147712474</v>
      </c>
      <c r="AL172" s="134">
        <v>0.49291122147712474</v>
      </c>
      <c r="AM172" s="134">
        <v>0.49291122147712474</v>
      </c>
      <c r="AN172" s="134">
        <v>0.49291122147712474</v>
      </c>
      <c r="AO172" s="134">
        <v>0.49291122147712474</v>
      </c>
      <c r="AP172" s="134">
        <v>0.49291122147712474</v>
      </c>
      <c r="AQ172" s="134">
        <v>0.49291122147712474</v>
      </c>
      <c r="AR172" s="134">
        <v>0.49291122147712474</v>
      </c>
      <c r="AS172" s="134">
        <v>0.49291122147712474</v>
      </c>
      <c r="AT172" s="134">
        <v>0.49291122147712474</v>
      </c>
      <c r="AU172" s="134">
        <v>0.49291122147712474</v>
      </c>
      <c r="AV172" s="134">
        <v>0.49291122147712474</v>
      </c>
      <c r="AW172" s="134">
        <v>0.49291122147712474</v>
      </c>
      <c r="AX172" s="134">
        <v>0.49291122147712474</v>
      </c>
      <c r="AY172" s="134">
        <v>0.49291122147712474</v>
      </c>
    </row>
    <row r="174" spans="1:52">
      <c r="A174" s="102" t="s">
        <v>272</v>
      </c>
    </row>
    <row r="175" spans="1:52">
      <c r="A175" s="135" t="s">
        <v>125</v>
      </c>
      <c r="B175" s="135" t="s">
        <v>298</v>
      </c>
      <c r="C175" s="124" t="s">
        <v>293</v>
      </c>
      <c r="D175" s="124">
        <f t="shared" ref="D175:AY175" si="1">SUM(D95:D98)</f>
        <v>277</v>
      </c>
      <c r="E175" s="124">
        <f t="shared" si="1"/>
        <v>313</v>
      </c>
      <c r="F175" s="124">
        <f t="shared" si="1"/>
        <v>357</v>
      </c>
      <c r="G175" s="124">
        <f t="shared" si="1"/>
        <v>350</v>
      </c>
      <c r="H175" s="124">
        <f t="shared" si="1"/>
        <v>381</v>
      </c>
      <c r="I175" s="124">
        <f t="shared" si="1"/>
        <v>409</v>
      </c>
      <c r="J175" s="124">
        <f t="shared" si="1"/>
        <v>434</v>
      </c>
      <c r="K175" s="124">
        <f t="shared" si="1"/>
        <v>421</v>
      </c>
      <c r="L175" s="124">
        <f t="shared" si="1"/>
        <v>449</v>
      </c>
      <c r="M175" s="124">
        <f t="shared" si="1"/>
        <v>444.39948449719441</v>
      </c>
      <c r="N175" s="124">
        <f t="shared" si="1"/>
        <v>382.33993480775007</v>
      </c>
      <c r="O175" s="124">
        <f t="shared" si="1"/>
        <v>380.33993480775007</v>
      </c>
      <c r="P175" s="124">
        <f t="shared" si="1"/>
        <v>412.33993480775007</v>
      </c>
      <c r="Q175" s="124">
        <f t="shared" si="1"/>
        <v>373.33993480775007</v>
      </c>
      <c r="R175" s="124">
        <f t="shared" si="1"/>
        <v>350.33993480775007</v>
      </c>
      <c r="S175" s="124">
        <f t="shared" si="1"/>
        <v>351.33993480775007</v>
      </c>
      <c r="T175" s="124">
        <f t="shared" si="1"/>
        <v>318.33993480775007</v>
      </c>
      <c r="U175" s="124">
        <f t="shared" si="1"/>
        <v>321.33993480775007</v>
      </c>
      <c r="V175" s="124">
        <f t="shared" si="1"/>
        <v>312.33993480775007</v>
      </c>
      <c r="W175" s="124">
        <f t="shared" si="1"/>
        <v>323.1156236631939</v>
      </c>
      <c r="X175" s="124">
        <f t="shared" si="1"/>
        <v>272.1156236631939</v>
      </c>
      <c r="Y175" s="124">
        <f t="shared" si="1"/>
        <v>260.1156236631939</v>
      </c>
      <c r="Z175" s="124">
        <f t="shared" si="1"/>
        <v>277.1156236631939</v>
      </c>
      <c r="AA175" s="124">
        <f t="shared" si="1"/>
        <v>247.1156236631939</v>
      </c>
      <c r="AB175" s="124">
        <f t="shared" si="1"/>
        <v>253.1156236631939</v>
      </c>
      <c r="AC175" s="124">
        <f t="shared" si="1"/>
        <v>268.1156236631939</v>
      </c>
      <c r="AD175" s="124">
        <f t="shared" si="1"/>
        <v>249.1156236631939</v>
      </c>
      <c r="AE175" s="124">
        <f t="shared" si="1"/>
        <v>231.1156236631939</v>
      </c>
      <c r="AF175" s="124">
        <f t="shared" si="1"/>
        <v>209.1156236631939</v>
      </c>
      <c r="AG175" s="124">
        <f t="shared" si="1"/>
        <v>198.1156236631939</v>
      </c>
      <c r="AH175" s="124">
        <f t="shared" si="1"/>
        <v>236.1156236631939</v>
      </c>
      <c r="AI175" s="124">
        <f t="shared" si="1"/>
        <v>124.22921369752417</v>
      </c>
      <c r="AJ175" s="124">
        <f t="shared" si="1"/>
        <v>190</v>
      </c>
      <c r="AK175" s="124">
        <f t="shared" si="1"/>
        <v>228</v>
      </c>
      <c r="AL175" s="124">
        <f t="shared" si="1"/>
        <v>211</v>
      </c>
      <c r="AM175" s="124">
        <f t="shared" si="1"/>
        <v>199</v>
      </c>
      <c r="AN175" s="124">
        <f t="shared" si="1"/>
        <v>214</v>
      </c>
      <c r="AO175" s="124">
        <f t="shared" si="1"/>
        <v>217</v>
      </c>
      <c r="AP175" s="124">
        <f t="shared" si="1"/>
        <v>227</v>
      </c>
      <c r="AQ175" s="124">
        <f t="shared" si="1"/>
        <v>249</v>
      </c>
      <c r="AR175" s="124">
        <f t="shared" si="1"/>
        <v>277</v>
      </c>
      <c r="AS175" s="124">
        <f t="shared" si="1"/>
        <v>245</v>
      </c>
      <c r="AT175" s="124">
        <f t="shared" si="1"/>
        <v>247</v>
      </c>
      <c r="AU175" s="124">
        <f t="shared" si="1"/>
        <v>190</v>
      </c>
      <c r="AV175" s="124">
        <f t="shared" si="1"/>
        <v>190</v>
      </c>
      <c r="AW175" s="124">
        <f t="shared" si="1"/>
        <v>190</v>
      </c>
      <c r="AX175" s="124">
        <f t="shared" si="1"/>
        <v>190</v>
      </c>
      <c r="AY175" s="124">
        <f t="shared" si="1"/>
        <v>190</v>
      </c>
    </row>
    <row r="176" spans="1:52">
      <c r="A176" s="125"/>
      <c r="B176" s="136" t="s">
        <v>299</v>
      </c>
      <c r="C176" s="125" t="s">
        <v>293</v>
      </c>
      <c r="D176" s="125">
        <v>154</v>
      </c>
      <c r="E176" s="125">
        <v>146</v>
      </c>
      <c r="F176" s="125">
        <v>197</v>
      </c>
      <c r="G176" s="125">
        <v>159</v>
      </c>
      <c r="H176" s="125">
        <v>162</v>
      </c>
      <c r="I176" s="125">
        <v>165</v>
      </c>
      <c r="J176" s="125">
        <v>203</v>
      </c>
      <c r="K176" s="125">
        <v>162</v>
      </c>
      <c r="L176" s="125">
        <v>192</v>
      </c>
      <c r="M176" s="125">
        <v>179</v>
      </c>
      <c r="N176" s="125">
        <v>192</v>
      </c>
      <c r="O176" s="125">
        <v>158</v>
      </c>
      <c r="P176" s="125">
        <v>229</v>
      </c>
      <c r="Q176" s="125">
        <v>213</v>
      </c>
      <c r="R176" s="125">
        <v>189</v>
      </c>
      <c r="S176" s="125">
        <v>223</v>
      </c>
      <c r="T176" s="125">
        <v>187</v>
      </c>
      <c r="U176" s="125">
        <v>199</v>
      </c>
      <c r="V176" s="125">
        <v>170</v>
      </c>
      <c r="W176" s="125">
        <v>241</v>
      </c>
      <c r="X176" s="125">
        <v>202</v>
      </c>
      <c r="Y176" s="125">
        <v>173</v>
      </c>
      <c r="Z176" s="125">
        <v>220</v>
      </c>
      <c r="AA176" s="125">
        <v>184</v>
      </c>
      <c r="AB176" s="125">
        <v>175</v>
      </c>
      <c r="AC176" s="125">
        <v>209</v>
      </c>
      <c r="AD176" s="125">
        <v>208</v>
      </c>
      <c r="AE176" s="125">
        <v>212</v>
      </c>
      <c r="AF176" s="125">
        <v>201</v>
      </c>
      <c r="AG176" s="125">
        <v>152</v>
      </c>
      <c r="AH176" s="125">
        <v>189</v>
      </c>
      <c r="AI176" s="125">
        <v>124.22921369752417</v>
      </c>
      <c r="AJ176" s="125">
        <v>152</v>
      </c>
      <c r="AK176" s="125">
        <v>207</v>
      </c>
      <c r="AL176" s="125">
        <v>202</v>
      </c>
      <c r="AM176" s="125">
        <v>175</v>
      </c>
      <c r="AN176" s="125">
        <v>187</v>
      </c>
      <c r="AO176" s="125">
        <v>180</v>
      </c>
      <c r="AP176" s="125">
        <v>168</v>
      </c>
      <c r="AQ176" s="125">
        <v>162</v>
      </c>
      <c r="AR176" s="125">
        <v>222</v>
      </c>
      <c r="AS176" s="125">
        <v>188</v>
      </c>
      <c r="AT176" s="125">
        <v>247</v>
      </c>
      <c r="AU176" s="125">
        <v>190</v>
      </c>
      <c r="AV176" s="125">
        <v>190</v>
      </c>
      <c r="AW176" s="125">
        <v>190</v>
      </c>
      <c r="AX176" s="125">
        <v>190</v>
      </c>
      <c r="AY176" s="125">
        <v>190</v>
      </c>
    </row>
    <row r="177" spans="1:51">
      <c r="A177" s="135" t="s">
        <v>133</v>
      </c>
      <c r="B177" s="135" t="s">
        <v>298</v>
      </c>
      <c r="C177" s="124" t="s">
        <v>293</v>
      </c>
      <c r="D177" s="124">
        <f t="shared" ref="D177:AY177" si="2">SUM(D100:D107)</f>
        <v>342.66687187480966</v>
      </c>
      <c r="E177" s="124">
        <f t="shared" si="2"/>
        <v>346.66687187480954</v>
      </c>
      <c r="F177" s="124">
        <f t="shared" si="2"/>
        <v>349.66687187480932</v>
      </c>
      <c r="G177" s="124">
        <f t="shared" si="2"/>
        <v>320.6668718748092</v>
      </c>
      <c r="H177" s="124">
        <f t="shared" si="2"/>
        <v>147.66687187480923</v>
      </c>
      <c r="I177" s="124">
        <f t="shared" si="2"/>
        <v>169.99999999999983</v>
      </c>
      <c r="J177" s="124">
        <f t="shared" si="2"/>
        <v>169.99999999999986</v>
      </c>
      <c r="K177" s="124">
        <f t="shared" si="2"/>
        <v>199.99999999999969</v>
      </c>
      <c r="L177" s="124">
        <f t="shared" si="2"/>
        <v>12.335740301852786</v>
      </c>
      <c r="M177" s="124">
        <f t="shared" si="2"/>
        <v>327.66425969814691</v>
      </c>
      <c r="N177" s="124">
        <f t="shared" si="2"/>
        <v>343.66425969814674</v>
      </c>
      <c r="O177" s="124">
        <f t="shared" si="2"/>
        <v>347.66425969814657</v>
      </c>
      <c r="P177" s="124">
        <f t="shared" si="2"/>
        <v>313.66425969814645</v>
      </c>
      <c r="Q177" s="124">
        <f t="shared" si="2"/>
        <v>336.66425969814628</v>
      </c>
      <c r="R177" s="124">
        <f t="shared" si="2"/>
        <v>150.99999999999906</v>
      </c>
      <c r="S177" s="124">
        <f t="shared" si="2"/>
        <v>327.66425969814691</v>
      </c>
      <c r="T177" s="124">
        <f t="shared" si="2"/>
        <v>105.99999999999969</v>
      </c>
      <c r="U177" s="124">
        <f t="shared" si="2"/>
        <v>169.99999999999983</v>
      </c>
      <c r="V177" s="124">
        <f t="shared" si="2"/>
        <v>169.99999999999986</v>
      </c>
      <c r="W177" s="124">
        <f t="shared" si="2"/>
        <v>331.66425969814679</v>
      </c>
      <c r="X177" s="124">
        <f t="shared" si="2"/>
        <v>140.99999999999955</v>
      </c>
      <c r="Y177" s="124">
        <f t="shared" si="2"/>
        <v>169.99999999999983</v>
      </c>
      <c r="Z177" s="124">
        <f t="shared" si="2"/>
        <v>169.99999999999986</v>
      </c>
      <c r="AA177" s="124">
        <f t="shared" si="2"/>
        <v>327.66425969814691</v>
      </c>
      <c r="AB177" s="124">
        <f t="shared" si="2"/>
        <v>147.99999999999969</v>
      </c>
      <c r="AC177" s="124">
        <f t="shared" si="2"/>
        <v>327.66425969814691</v>
      </c>
      <c r="AD177" s="124">
        <f t="shared" si="2"/>
        <v>276.66425969814679</v>
      </c>
      <c r="AE177" s="124">
        <f t="shared" si="2"/>
        <v>231.66425969814659</v>
      </c>
      <c r="AF177" s="124">
        <f t="shared" si="2"/>
        <v>71.999999999999375</v>
      </c>
      <c r="AG177" s="124">
        <f t="shared" si="2"/>
        <v>169.99999999999983</v>
      </c>
      <c r="AH177" s="124">
        <f t="shared" si="2"/>
        <v>169.99999999999986</v>
      </c>
      <c r="AI177" s="124">
        <f t="shared" si="2"/>
        <v>327.66425969814691</v>
      </c>
      <c r="AJ177" s="124">
        <f t="shared" si="2"/>
        <v>131.99999999999969</v>
      </c>
      <c r="AK177" s="124">
        <f t="shared" si="2"/>
        <v>226.66062972886363</v>
      </c>
      <c r="AL177" s="124">
        <f t="shared" si="2"/>
        <v>194.01803274739146</v>
      </c>
      <c r="AM177" s="124">
        <f t="shared" si="2"/>
        <v>46.642596981472025</v>
      </c>
      <c r="AN177" s="124">
        <f t="shared" si="2"/>
        <v>169.99999999999983</v>
      </c>
      <c r="AO177" s="124">
        <f t="shared" si="2"/>
        <v>169.99999999999986</v>
      </c>
      <c r="AP177" s="124">
        <f t="shared" si="2"/>
        <v>169.99999999999983</v>
      </c>
      <c r="AQ177" s="124">
        <f t="shared" si="2"/>
        <v>12.335740301852786</v>
      </c>
      <c r="AR177" s="124">
        <f t="shared" si="2"/>
        <v>327.66425969814691</v>
      </c>
      <c r="AS177" s="124">
        <f t="shared" si="2"/>
        <v>89.999999999999687</v>
      </c>
      <c r="AT177" s="124">
        <f t="shared" si="2"/>
        <v>327.66425969814691</v>
      </c>
      <c r="AU177" s="124">
        <f t="shared" si="2"/>
        <v>258.66425969814679</v>
      </c>
      <c r="AV177" s="124">
        <f t="shared" si="2"/>
        <v>198.66425969814659</v>
      </c>
      <c r="AW177" s="124">
        <f t="shared" si="2"/>
        <v>169.99999999999986</v>
      </c>
      <c r="AX177" s="124">
        <f t="shared" si="2"/>
        <v>169.99999999999983</v>
      </c>
      <c r="AY177" s="124">
        <f t="shared" si="2"/>
        <v>169.99999999999986</v>
      </c>
    </row>
    <row r="178" spans="1:51">
      <c r="A178" s="125"/>
      <c r="B178" s="136" t="s">
        <v>299</v>
      </c>
      <c r="C178" s="125" t="s">
        <v>293</v>
      </c>
      <c r="D178" s="125">
        <v>166</v>
      </c>
      <c r="E178" s="125">
        <v>167</v>
      </c>
      <c r="F178" s="125">
        <v>199</v>
      </c>
      <c r="G178" s="125">
        <v>173</v>
      </c>
      <c r="H178" s="125">
        <v>147.66687187480923</v>
      </c>
      <c r="I178" s="125">
        <v>169.99999999999983</v>
      </c>
      <c r="J178" s="125">
        <v>140</v>
      </c>
      <c r="K178" s="125">
        <v>199.99999999999969</v>
      </c>
      <c r="L178" s="125">
        <v>12.335740301852786</v>
      </c>
      <c r="M178" s="125">
        <v>154</v>
      </c>
      <c r="N178" s="125">
        <v>166</v>
      </c>
      <c r="O178" s="125">
        <v>204</v>
      </c>
      <c r="P178" s="125">
        <v>147</v>
      </c>
      <c r="Q178" s="125">
        <v>198</v>
      </c>
      <c r="R178" s="125">
        <v>150.99999999999906</v>
      </c>
      <c r="S178" s="125">
        <v>234</v>
      </c>
      <c r="T178" s="125">
        <v>105.99999999999969</v>
      </c>
      <c r="U178" s="125">
        <v>169.99999999999983</v>
      </c>
      <c r="V178" s="125">
        <v>166</v>
      </c>
      <c r="W178" s="125">
        <v>203</v>
      </c>
      <c r="X178" s="125">
        <v>140.99999999999955</v>
      </c>
      <c r="Y178" s="125">
        <v>169.99999999999983</v>
      </c>
      <c r="Z178" s="125">
        <v>169.99999999999986</v>
      </c>
      <c r="AA178" s="125">
        <v>192</v>
      </c>
      <c r="AB178" s="125">
        <v>147.99999999999969</v>
      </c>
      <c r="AC178" s="125">
        <v>221</v>
      </c>
      <c r="AD178" s="125">
        <v>215</v>
      </c>
      <c r="AE178" s="125">
        <v>172</v>
      </c>
      <c r="AF178" s="125">
        <v>71.999999999999375</v>
      </c>
      <c r="AG178" s="125">
        <v>169.99999999999983</v>
      </c>
      <c r="AH178" s="125">
        <v>169.99999999999986</v>
      </c>
      <c r="AI178" s="125">
        <v>208</v>
      </c>
      <c r="AJ178" s="125">
        <v>131.99999999999969</v>
      </c>
      <c r="AK178" s="125">
        <v>156</v>
      </c>
      <c r="AL178" s="125">
        <v>194.01803274739146</v>
      </c>
      <c r="AM178" s="125">
        <v>46.642596981472025</v>
      </c>
      <c r="AN178" s="125">
        <v>169.99999999999983</v>
      </c>
      <c r="AO178" s="125">
        <v>169.99999999999986</v>
      </c>
      <c r="AP178" s="125">
        <v>169.99999999999983</v>
      </c>
      <c r="AQ178" s="125">
        <v>12.335740301852786</v>
      </c>
      <c r="AR178" s="125">
        <v>250</v>
      </c>
      <c r="AS178" s="125">
        <v>89.999999999999687</v>
      </c>
      <c r="AT178" s="125">
        <v>239</v>
      </c>
      <c r="AU178" s="125">
        <v>230</v>
      </c>
      <c r="AV178" s="125">
        <v>198.66425969814659</v>
      </c>
      <c r="AW178" s="125">
        <v>169.99999999999986</v>
      </c>
      <c r="AX178" s="125">
        <v>169.99999999999983</v>
      </c>
      <c r="AY178" s="125">
        <v>169.99999999999986</v>
      </c>
    </row>
    <row r="179" spans="1:51">
      <c r="A179" s="135" t="s">
        <v>134</v>
      </c>
      <c r="B179" s="135" t="s">
        <v>298</v>
      </c>
      <c r="C179" s="124" t="s">
        <v>293</v>
      </c>
      <c r="D179" s="124">
        <f t="shared" ref="D179:AY179" si="3">SUM(D109:D120)</f>
        <v>119.9999999999993</v>
      </c>
      <c r="E179" s="124">
        <f t="shared" si="3"/>
        <v>241.36889754217356</v>
      </c>
      <c r="F179" s="124">
        <f t="shared" si="3"/>
        <v>253.41982786947634</v>
      </c>
      <c r="G179" s="124">
        <f t="shared" si="3"/>
        <v>249.41982786947628</v>
      </c>
      <c r="H179" s="124">
        <f t="shared" si="3"/>
        <v>227.41982786947619</v>
      </c>
      <c r="I179" s="124">
        <f t="shared" si="3"/>
        <v>53.689248664673912</v>
      </c>
      <c r="J179" s="124">
        <f t="shared" si="3"/>
        <v>119.99999999999993</v>
      </c>
      <c r="K179" s="124">
        <f t="shared" si="3"/>
        <v>119.99999999999991</v>
      </c>
      <c r="L179" s="124">
        <f t="shared" si="3"/>
        <v>119.99999999999993</v>
      </c>
      <c r="M179" s="124">
        <f t="shared" si="3"/>
        <v>8.7161391659992766</v>
      </c>
      <c r="N179" s="124">
        <f t="shared" si="3"/>
        <v>231.28386083400056</v>
      </c>
      <c r="O179" s="124">
        <f t="shared" si="3"/>
        <v>226.56486301735623</v>
      </c>
      <c r="P179" s="124">
        <f t="shared" si="3"/>
        <v>207.56486301735617</v>
      </c>
      <c r="Q179" s="124">
        <f t="shared" si="3"/>
        <v>167.56486301735606</v>
      </c>
      <c r="R179" s="124">
        <f t="shared" si="3"/>
        <v>140.564863017356</v>
      </c>
      <c r="S179" s="124">
        <f t="shared" si="3"/>
        <v>8.7161391659992766</v>
      </c>
      <c r="T179" s="124">
        <f t="shared" si="3"/>
        <v>231.28386083400056</v>
      </c>
      <c r="U179" s="124">
        <f t="shared" si="3"/>
        <v>107.9715979130256</v>
      </c>
      <c r="V179" s="124">
        <f t="shared" si="3"/>
        <v>119.99999999999993</v>
      </c>
      <c r="W179" s="124">
        <f t="shared" si="3"/>
        <v>125.99999999999984</v>
      </c>
      <c r="X179" s="124">
        <f t="shared" si="3"/>
        <v>231.28386083400056</v>
      </c>
      <c r="Y179" s="124">
        <f t="shared" si="3"/>
        <v>116.84434079321053</v>
      </c>
      <c r="Z179" s="124">
        <f t="shared" si="3"/>
        <v>119.99999999999993</v>
      </c>
      <c r="AA179" s="124">
        <f t="shared" si="3"/>
        <v>119.99999999999991</v>
      </c>
      <c r="AB179" s="124">
        <f t="shared" si="3"/>
        <v>231.28386083400056</v>
      </c>
      <c r="AC179" s="124">
        <f t="shared" si="3"/>
        <v>96.588905795811456</v>
      </c>
      <c r="AD179" s="124">
        <f t="shared" si="3"/>
        <v>231.28386083400056</v>
      </c>
      <c r="AE179" s="124">
        <f t="shared" si="3"/>
        <v>256.5292560536152</v>
      </c>
      <c r="AF179" s="124">
        <f t="shared" si="3"/>
        <v>219.52925605361511</v>
      </c>
      <c r="AG179" s="124">
        <f t="shared" si="3"/>
        <v>31.878404928352307</v>
      </c>
      <c r="AH179" s="124">
        <f t="shared" si="3"/>
        <v>119.99999999999993</v>
      </c>
      <c r="AI179" s="124">
        <f t="shared" si="3"/>
        <v>119.99999999999991</v>
      </c>
      <c r="AJ179" s="124">
        <f t="shared" si="3"/>
        <v>231.28386083400056</v>
      </c>
      <c r="AK179" s="124">
        <f t="shared" si="3"/>
        <v>98.654617053233665</v>
      </c>
      <c r="AL179" s="124">
        <f t="shared" si="3"/>
        <v>159.9926631792494</v>
      </c>
      <c r="AM179" s="124">
        <f t="shared" si="3"/>
        <v>100.04094653840099</v>
      </c>
      <c r="AN179" s="124">
        <f t="shared" si="3"/>
        <v>32.930881756971004</v>
      </c>
      <c r="AO179" s="124">
        <f t="shared" si="3"/>
        <v>119.99999999999993</v>
      </c>
      <c r="AP179" s="124">
        <f t="shared" si="3"/>
        <v>119.99999999999991</v>
      </c>
      <c r="AQ179" s="124">
        <f t="shared" si="3"/>
        <v>119.99999999999993</v>
      </c>
      <c r="AR179" s="124">
        <f t="shared" si="3"/>
        <v>8.7161391659992766</v>
      </c>
      <c r="AS179" s="124">
        <f t="shared" si="3"/>
        <v>231.28386083400056</v>
      </c>
      <c r="AT179" s="124">
        <f t="shared" si="3"/>
        <v>139.71308393981855</v>
      </c>
      <c r="AU179" s="124">
        <f t="shared" si="3"/>
        <v>231.28386083400056</v>
      </c>
      <c r="AV179" s="124">
        <f t="shared" si="3"/>
        <v>250.77502581149398</v>
      </c>
      <c r="AW179" s="124">
        <f t="shared" si="3"/>
        <v>263.94401960203533</v>
      </c>
      <c r="AX179" s="124">
        <f t="shared" si="3"/>
        <v>202.33367555495511</v>
      </c>
      <c r="AY179" s="124">
        <f t="shared" si="3"/>
        <v>135.05517918353496</v>
      </c>
    </row>
    <row r="180" spans="1:51">
      <c r="A180" s="125"/>
      <c r="B180" s="136" t="s">
        <v>299</v>
      </c>
      <c r="C180" s="125" t="s">
        <v>293</v>
      </c>
      <c r="D180" s="125">
        <v>110</v>
      </c>
      <c r="E180" s="125">
        <v>140</v>
      </c>
      <c r="F180" s="125">
        <v>124</v>
      </c>
      <c r="G180" s="125">
        <v>142</v>
      </c>
      <c r="H180" s="125">
        <v>173.73980654649867</v>
      </c>
      <c r="I180" s="125">
        <v>53.689248664673912</v>
      </c>
      <c r="J180" s="125">
        <v>119.99999999999993</v>
      </c>
      <c r="K180" s="125">
        <v>119.99999999999991</v>
      </c>
      <c r="L180" s="125">
        <v>119.99999999999993</v>
      </c>
      <c r="M180" s="125">
        <v>8.7161391659992766</v>
      </c>
      <c r="N180" s="125">
        <v>149</v>
      </c>
      <c r="O180" s="125">
        <v>139</v>
      </c>
      <c r="P180" s="125">
        <v>160</v>
      </c>
      <c r="Q180" s="125">
        <v>147</v>
      </c>
      <c r="R180" s="125">
        <v>140.564863017356</v>
      </c>
      <c r="S180" s="125">
        <v>8.7161391659992766</v>
      </c>
      <c r="T180" s="125">
        <v>153.2991972162022</v>
      </c>
      <c r="U180" s="125">
        <v>107.9715979130256</v>
      </c>
      <c r="V180" s="125">
        <v>114</v>
      </c>
      <c r="W180" s="125">
        <v>125.99999999999984</v>
      </c>
      <c r="X180" s="125">
        <v>167.18919645256656</v>
      </c>
      <c r="Y180" s="125">
        <v>116.84434079321053</v>
      </c>
      <c r="Z180" s="125">
        <v>119.99999999999993</v>
      </c>
      <c r="AA180" s="125">
        <v>119.99999999999991</v>
      </c>
      <c r="AB180" s="125">
        <v>179.38362406550374</v>
      </c>
      <c r="AC180" s="125">
        <v>96.588905795811456</v>
      </c>
      <c r="AD180" s="125">
        <v>115</v>
      </c>
      <c r="AE180" s="125">
        <v>157</v>
      </c>
      <c r="AF180" s="125">
        <v>196.36699029126208</v>
      </c>
      <c r="AG180" s="125">
        <v>31.878404928352307</v>
      </c>
      <c r="AH180" s="125">
        <v>119.99999999999993</v>
      </c>
      <c r="AI180" s="125">
        <v>119.99999999999991</v>
      </c>
      <c r="AJ180" s="125">
        <v>152.31366576527853</v>
      </c>
      <c r="AK180" s="125">
        <v>98.654617053233665</v>
      </c>
      <c r="AL180" s="125">
        <v>147.03006222557372</v>
      </c>
      <c r="AM180" s="125">
        <v>100.04094653840099</v>
      </c>
      <c r="AN180" s="125">
        <v>32.930881756971004</v>
      </c>
      <c r="AO180" s="125">
        <v>119.99999999999993</v>
      </c>
      <c r="AP180" s="125">
        <v>119.99999999999991</v>
      </c>
      <c r="AQ180" s="125">
        <v>119.99999999999993</v>
      </c>
      <c r="AR180" s="125">
        <v>8.7161391659992766</v>
      </c>
      <c r="AS180" s="125">
        <v>151.63636363636363</v>
      </c>
      <c r="AT180" s="125">
        <v>139.71308393981855</v>
      </c>
      <c r="AU180" s="125">
        <v>146</v>
      </c>
      <c r="AV180" s="125">
        <v>111.8839234778834</v>
      </c>
      <c r="AW180" s="125">
        <v>181.61034404708013</v>
      </c>
      <c r="AX180" s="125">
        <v>187.27849637142009</v>
      </c>
      <c r="AY180" s="125">
        <v>135.05517918353496</v>
      </c>
    </row>
    <row r="181" spans="1:51">
      <c r="A181" s="135" t="s">
        <v>123</v>
      </c>
      <c r="B181" s="135" t="s">
        <v>298</v>
      </c>
      <c r="C181" s="124" t="s">
        <v>293</v>
      </c>
      <c r="D181" s="124">
        <f t="shared" ref="D181:AY181" si="4">(1-D172)*SUM(D122:D169)</f>
        <v>238.02373841531679</v>
      </c>
      <c r="E181" s="124">
        <f t="shared" si="4"/>
        <v>156.42435630067513</v>
      </c>
      <c r="F181" s="124">
        <f t="shared" si="4"/>
        <v>123.45154821266124</v>
      </c>
      <c r="G181" s="124">
        <f t="shared" si="4"/>
        <v>123.45154821266121</v>
      </c>
      <c r="H181" s="124">
        <f t="shared" si="4"/>
        <v>9.4927468192181324E-3</v>
      </c>
      <c r="I181" s="124">
        <f t="shared" si="4"/>
        <v>123.45154821266122</v>
      </c>
      <c r="J181" s="124">
        <f t="shared" si="4"/>
        <v>123.45154821266121</v>
      </c>
      <c r="K181" s="124">
        <f t="shared" si="4"/>
        <v>123.45154821266122</v>
      </c>
      <c r="L181" s="124">
        <f t="shared" si="4"/>
        <v>8.9668406206635431</v>
      </c>
      <c r="M181" s="124">
        <f t="shared" si="4"/>
        <v>237.93625580465886</v>
      </c>
      <c r="N181" s="124">
        <f t="shared" si="4"/>
        <v>148.43094247674685</v>
      </c>
      <c r="O181" s="124">
        <f t="shared" si="4"/>
        <v>123.45154821266122</v>
      </c>
      <c r="P181" s="124">
        <f t="shared" si="4"/>
        <v>123.45154821266121</v>
      </c>
      <c r="Q181" s="124">
        <f t="shared" si="4"/>
        <v>123.45154821266122</v>
      </c>
      <c r="R181" s="124">
        <f t="shared" si="4"/>
        <v>8.9668406206635431</v>
      </c>
      <c r="S181" s="124">
        <f t="shared" si="4"/>
        <v>237.93625580465886</v>
      </c>
      <c r="T181" s="124">
        <f t="shared" si="4"/>
        <v>30.849445540809604</v>
      </c>
      <c r="U181" s="124">
        <f t="shared" si="4"/>
        <v>123.45154821266122</v>
      </c>
      <c r="V181" s="124">
        <f t="shared" si="4"/>
        <v>123.45154821266121</v>
      </c>
      <c r="W181" s="124">
        <f t="shared" si="4"/>
        <v>237.93625580465886</v>
      </c>
      <c r="X181" s="124">
        <f t="shared" si="4"/>
        <v>54.2669101729226</v>
      </c>
      <c r="Y181" s="124">
        <f t="shared" si="4"/>
        <v>123.45154821266122</v>
      </c>
      <c r="Z181" s="124">
        <f t="shared" si="4"/>
        <v>123.45154821266121</v>
      </c>
      <c r="AA181" s="124">
        <f t="shared" si="4"/>
        <v>237.93625580465886</v>
      </c>
      <c r="AB181" s="124">
        <f t="shared" si="4"/>
        <v>45.974044824876621</v>
      </c>
      <c r="AC181" s="124">
        <f t="shared" si="4"/>
        <v>237.93625580465886</v>
      </c>
      <c r="AD181" s="124">
        <f t="shared" si="4"/>
        <v>144.27925974631657</v>
      </c>
      <c r="AE181" s="124">
        <f t="shared" si="4"/>
        <v>123.45154821266124</v>
      </c>
      <c r="AF181" s="124">
        <f t="shared" si="4"/>
        <v>8.9668406206635431</v>
      </c>
      <c r="AG181" s="124">
        <f t="shared" si="4"/>
        <v>123.45154821266122</v>
      </c>
      <c r="AH181" s="124">
        <f t="shared" si="4"/>
        <v>123.45154821266121</v>
      </c>
      <c r="AI181" s="124">
        <f t="shared" si="4"/>
        <v>237.93625580465886</v>
      </c>
      <c r="AJ181" s="124">
        <f t="shared" si="4"/>
        <v>20.250603080494233</v>
      </c>
      <c r="AK181" s="124">
        <f t="shared" si="4"/>
        <v>164.59451643454321</v>
      </c>
      <c r="AL181" s="124">
        <f t="shared" si="4"/>
        <v>89.582971485262476</v>
      </c>
      <c r="AM181" s="124">
        <f t="shared" si="4"/>
        <v>33.878069474217952</v>
      </c>
      <c r="AN181" s="124">
        <f t="shared" si="4"/>
        <v>123.45154821266122</v>
      </c>
      <c r="AO181" s="124">
        <f t="shared" si="4"/>
        <v>123.45154821266121</v>
      </c>
      <c r="AP181" s="124">
        <f t="shared" si="4"/>
        <v>123.45154821266122</v>
      </c>
      <c r="AQ181" s="124">
        <f t="shared" si="4"/>
        <v>8.9668406206635431</v>
      </c>
      <c r="AR181" s="124">
        <f t="shared" si="4"/>
        <v>237.93625580465886</v>
      </c>
      <c r="AS181" s="124">
        <f t="shared" si="4"/>
        <v>61.793247313535161</v>
      </c>
      <c r="AT181" s="124">
        <f t="shared" si="4"/>
        <v>237.93625580465886</v>
      </c>
      <c r="AU181" s="124">
        <f t="shared" si="4"/>
        <v>170.25117109990427</v>
      </c>
      <c r="AV181" s="124">
        <f t="shared" si="4"/>
        <v>128.64980204414067</v>
      </c>
      <c r="AW181" s="124">
        <f t="shared" si="4"/>
        <v>123.45154821266121</v>
      </c>
      <c r="AX181" s="124">
        <f t="shared" si="4"/>
        <v>123.45154821266122</v>
      </c>
      <c r="AY181" s="124">
        <f t="shared" si="4"/>
        <v>123.45154821266121</v>
      </c>
    </row>
    <row r="182" spans="1:51">
      <c r="A182" s="125"/>
      <c r="B182" s="136" t="s">
        <v>299</v>
      </c>
      <c r="C182" s="125" t="s">
        <v>293</v>
      </c>
      <c r="D182" s="125">
        <v>173</v>
      </c>
      <c r="E182" s="125">
        <v>156.42435630067513</v>
      </c>
      <c r="F182" s="125">
        <v>123.45154821266124</v>
      </c>
      <c r="G182" s="125">
        <v>123.45154821266121</v>
      </c>
      <c r="H182" s="125">
        <v>9.4927468192181324E-3</v>
      </c>
      <c r="I182" s="125">
        <v>123.45154821266122</v>
      </c>
      <c r="J182" s="125">
        <v>123.45154821266121</v>
      </c>
      <c r="K182" s="125">
        <v>123.45154821266122</v>
      </c>
      <c r="L182" s="125">
        <v>8.9668406206635431</v>
      </c>
      <c r="M182" s="125">
        <v>188.67585935721752</v>
      </c>
      <c r="N182" s="125">
        <v>148.43094247674685</v>
      </c>
      <c r="O182" s="125">
        <v>123.45154821266122</v>
      </c>
      <c r="P182" s="125">
        <v>123.45154821266121</v>
      </c>
      <c r="Q182" s="125">
        <v>123.45154821266122</v>
      </c>
      <c r="R182" s="125">
        <v>8.9668406206635431</v>
      </c>
      <c r="S182" s="125">
        <v>194.78285575528486</v>
      </c>
      <c r="T182" s="125">
        <v>30.849445540809604</v>
      </c>
      <c r="U182" s="125">
        <v>123.45154821266122</v>
      </c>
      <c r="V182" s="125">
        <v>123.45154821266121</v>
      </c>
      <c r="W182" s="125">
        <v>148.60264900662258</v>
      </c>
      <c r="X182" s="125">
        <v>54.2669101729226</v>
      </c>
      <c r="Y182" s="125">
        <v>123.45154821266122</v>
      </c>
      <c r="Z182" s="125">
        <v>123.45154821266121</v>
      </c>
      <c r="AA182" s="125">
        <v>164.95652173913047</v>
      </c>
      <c r="AB182" s="125">
        <v>45.974044824876621</v>
      </c>
      <c r="AC182" s="125">
        <v>196.86314905138883</v>
      </c>
      <c r="AD182" s="125">
        <v>144.27925974631657</v>
      </c>
      <c r="AE182" s="125">
        <v>123.45154821266124</v>
      </c>
      <c r="AF182" s="125">
        <v>8.9668406206635431</v>
      </c>
      <c r="AG182" s="125">
        <v>123.45154821266122</v>
      </c>
      <c r="AH182" s="125">
        <v>123.45154821266121</v>
      </c>
      <c r="AI182" s="125">
        <v>215.68421052631584</v>
      </c>
      <c r="AJ182" s="125">
        <v>20.250603080494233</v>
      </c>
      <c r="AK182" s="125">
        <v>164.59451643454321</v>
      </c>
      <c r="AL182" s="125">
        <v>89.582971485262476</v>
      </c>
      <c r="AM182" s="125">
        <v>33.878069474217952</v>
      </c>
      <c r="AN182" s="125">
        <v>123.45154821266122</v>
      </c>
      <c r="AO182" s="125">
        <v>123.45154821266121</v>
      </c>
      <c r="AP182" s="125">
        <v>123.45154821266122</v>
      </c>
      <c r="AQ182" s="125">
        <v>8.9668406206635431</v>
      </c>
      <c r="AR182" s="125">
        <v>133.76040153560496</v>
      </c>
      <c r="AS182" s="125">
        <v>61.793247313535161</v>
      </c>
      <c r="AT182" s="125">
        <v>145.64546793992236</v>
      </c>
      <c r="AU182" s="125">
        <v>160</v>
      </c>
      <c r="AV182" s="125">
        <v>128.64980204414067</v>
      </c>
      <c r="AW182" s="125">
        <v>123.45154821266121</v>
      </c>
      <c r="AX182" s="125">
        <v>123.45154821266122</v>
      </c>
      <c r="AY182" s="125">
        <v>123.45154821266121</v>
      </c>
    </row>
    <row r="184" spans="1:51">
      <c r="A184" s="102" t="s">
        <v>300</v>
      </c>
    </row>
    <row r="185" spans="1:51">
      <c r="A185" s="126" t="s">
        <v>125</v>
      </c>
      <c r="B185" s="123">
        <v>1</v>
      </c>
      <c r="C185" s="124">
        <v>103</v>
      </c>
      <c r="D185" s="124">
        <v>67</v>
      </c>
      <c r="E185" s="124">
        <v>23</v>
      </c>
      <c r="F185" s="124">
        <v>30</v>
      </c>
      <c r="G185" s="124">
        <v>0</v>
      </c>
      <c r="H185" s="124">
        <v>0</v>
      </c>
      <c r="I185" s="124">
        <v>0</v>
      </c>
      <c r="J185" s="124">
        <v>0</v>
      </c>
      <c r="K185" s="124">
        <v>0</v>
      </c>
      <c r="L185" s="124">
        <v>0</v>
      </c>
      <c r="M185" s="124">
        <v>0</v>
      </c>
      <c r="N185" s="124">
        <v>0</v>
      </c>
      <c r="O185" s="124">
        <v>0</v>
      </c>
      <c r="P185" s="124">
        <v>6.660065192249931</v>
      </c>
      <c r="Q185" s="124">
        <v>29.660065192249931</v>
      </c>
      <c r="R185" s="124">
        <v>28.660065192249931</v>
      </c>
      <c r="S185" s="124">
        <v>61.660065192249931</v>
      </c>
      <c r="T185" s="124">
        <v>58.660065192249931</v>
      </c>
      <c r="U185" s="124">
        <v>67.660065192249931</v>
      </c>
      <c r="V185" s="124">
        <v>47.660065192249931</v>
      </c>
      <c r="W185" s="124">
        <v>107.8843763368061</v>
      </c>
      <c r="X185" s="124">
        <v>119.8843763368061</v>
      </c>
      <c r="Y185" s="124">
        <v>102.8843763368061</v>
      </c>
      <c r="Z185" s="124">
        <v>132.8843763368061</v>
      </c>
      <c r="AA185" s="124">
        <v>126.8843763368061</v>
      </c>
      <c r="AB185" s="124">
        <v>111.8843763368061</v>
      </c>
      <c r="AC185" s="124">
        <v>130.8843763368061</v>
      </c>
      <c r="AD185" s="124">
        <v>148.8843763368061</v>
      </c>
      <c r="AE185" s="124">
        <v>170.8843763368061</v>
      </c>
      <c r="AF185" s="124">
        <v>181.8843763368061</v>
      </c>
      <c r="AG185" s="124">
        <v>143.8843763368061</v>
      </c>
      <c r="AH185" s="124">
        <v>142.8843763368061</v>
      </c>
      <c r="AI185" s="124">
        <v>77.113590034330272</v>
      </c>
      <c r="AJ185" s="124">
        <v>152</v>
      </c>
      <c r="AK185" s="124">
        <v>169</v>
      </c>
      <c r="AL185" s="124">
        <v>181</v>
      </c>
      <c r="AM185" s="124">
        <v>166</v>
      </c>
      <c r="AN185" s="124">
        <v>163</v>
      </c>
      <c r="AO185" s="124">
        <v>153</v>
      </c>
      <c r="AP185" s="124">
        <v>131</v>
      </c>
      <c r="AQ185" s="124">
        <v>103</v>
      </c>
      <c r="AR185" s="124">
        <v>135</v>
      </c>
      <c r="AS185" s="124">
        <v>133</v>
      </c>
      <c r="AT185" s="124">
        <v>190</v>
      </c>
      <c r="AU185" s="124">
        <v>190</v>
      </c>
      <c r="AV185" s="124">
        <v>190</v>
      </c>
      <c r="AW185" s="124">
        <v>190</v>
      </c>
      <c r="AX185" s="124">
        <v>190</v>
      </c>
      <c r="AY185" s="124">
        <v>190</v>
      </c>
    </row>
    <row r="186" spans="1:51">
      <c r="A186" s="109"/>
      <c r="B186" s="120">
        <v>2</v>
      </c>
      <c r="C186" s="106">
        <v>100</v>
      </c>
      <c r="D186" s="106">
        <v>87</v>
      </c>
      <c r="E186" s="106">
        <v>123</v>
      </c>
      <c r="F186" s="106">
        <v>167</v>
      </c>
      <c r="G186" s="106">
        <v>159</v>
      </c>
      <c r="H186" s="106">
        <v>161</v>
      </c>
      <c r="I186" s="106">
        <v>136</v>
      </c>
      <c r="J186" s="106">
        <v>149</v>
      </c>
      <c r="K186" s="106">
        <v>121</v>
      </c>
      <c r="L186" s="106">
        <v>123</v>
      </c>
      <c r="M186" s="106">
        <v>114.60051550280559</v>
      </c>
      <c r="N186" s="106">
        <v>189.66006519224993</v>
      </c>
      <c r="O186" s="106">
        <v>157.66006519224993</v>
      </c>
      <c r="P186" s="106">
        <v>190</v>
      </c>
      <c r="Q186" s="106">
        <v>183.33993480775007</v>
      </c>
      <c r="R186" s="106">
        <v>160.33993480775007</v>
      </c>
      <c r="S186" s="106">
        <v>161.33993480775007</v>
      </c>
      <c r="T186" s="106">
        <v>128.33993480775007</v>
      </c>
      <c r="U186" s="106">
        <v>131.33993480775007</v>
      </c>
      <c r="V186" s="106">
        <v>122.33993480775007</v>
      </c>
      <c r="W186" s="106">
        <v>133.1156236631939</v>
      </c>
      <c r="X186" s="106">
        <v>82.115623663193901</v>
      </c>
      <c r="Y186" s="106">
        <v>70.115623663193901</v>
      </c>
      <c r="Z186" s="106">
        <v>87.115623663193901</v>
      </c>
      <c r="AA186" s="106">
        <v>57.115623663193901</v>
      </c>
      <c r="AB186" s="106">
        <v>63.115623663193901</v>
      </c>
      <c r="AC186" s="106">
        <v>78.115623663193901</v>
      </c>
      <c r="AD186" s="106">
        <v>59.115623663193901</v>
      </c>
      <c r="AE186" s="106">
        <v>41.115623663193901</v>
      </c>
      <c r="AF186" s="106">
        <v>19.115623663193901</v>
      </c>
      <c r="AG186" s="106">
        <v>8.1156236631939009</v>
      </c>
      <c r="AH186" s="106">
        <v>46.115623663193901</v>
      </c>
      <c r="AI186" s="106">
        <v>47.115623663193901</v>
      </c>
      <c r="AJ186" s="106">
        <v>0</v>
      </c>
      <c r="AK186" s="106">
        <v>38</v>
      </c>
      <c r="AL186" s="106">
        <v>21</v>
      </c>
      <c r="AM186" s="106">
        <v>9</v>
      </c>
      <c r="AN186" s="106">
        <v>24</v>
      </c>
      <c r="AO186" s="106">
        <v>27</v>
      </c>
      <c r="AP186" s="106">
        <v>37</v>
      </c>
      <c r="AQ186" s="106">
        <v>59</v>
      </c>
      <c r="AR186" s="106">
        <v>87</v>
      </c>
      <c r="AS186" s="106">
        <v>55</v>
      </c>
      <c r="AT186" s="106">
        <v>57</v>
      </c>
      <c r="AU186" s="106">
        <v>0</v>
      </c>
      <c r="AV186" s="106">
        <v>0</v>
      </c>
      <c r="AW186" s="106">
        <v>0</v>
      </c>
      <c r="AX186" s="106">
        <v>0</v>
      </c>
      <c r="AY186" s="106">
        <v>0</v>
      </c>
    </row>
    <row r="187" spans="1:51">
      <c r="A187" s="109"/>
      <c r="B187" s="127">
        <v>3</v>
      </c>
      <c r="C187" s="106">
        <v>0</v>
      </c>
      <c r="D187" s="106">
        <v>0</v>
      </c>
      <c r="E187" s="106">
        <v>0</v>
      </c>
      <c r="F187" s="106">
        <v>0</v>
      </c>
      <c r="G187" s="106">
        <v>0</v>
      </c>
      <c r="H187" s="106">
        <v>1</v>
      </c>
      <c r="I187" s="106">
        <v>29</v>
      </c>
      <c r="J187" s="106">
        <v>54</v>
      </c>
      <c r="K187" s="106">
        <v>41</v>
      </c>
      <c r="L187" s="106">
        <v>69</v>
      </c>
      <c r="M187" s="106">
        <v>64.399484497194408</v>
      </c>
      <c r="N187" s="106">
        <v>2.339934807750069</v>
      </c>
      <c r="O187" s="106">
        <v>0.33993480775006901</v>
      </c>
      <c r="P187" s="106">
        <v>32.339934807750069</v>
      </c>
      <c r="Q187" s="106">
        <v>0</v>
      </c>
      <c r="R187" s="106">
        <v>0</v>
      </c>
      <c r="S187" s="106">
        <v>0</v>
      </c>
      <c r="T187" s="106">
        <v>0</v>
      </c>
      <c r="U187" s="106">
        <v>0</v>
      </c>
      <c r="V187" s="106">
        <v>0</v>
      </c>
      <c r="W187" s="106">
        <v>0</v>
      </c>
      <c r="X187" s="106">
        <v>0</v>
      </c>
      <c r="Y187" s="106">
        <v>0</v>
      </c>
      <c r="Z187" s="106">
        <v>0</v>
      </c>
      <c r="AA187" s="106">
        <v>0</v>
      </c>
      <c r="AB187" s="106">
        <v>0</v>
      </c>
      <c r="AC187" s="106">
        <v>0</v>
      </c>
      <c r="AD187" s="106">
        <v>0</v>
      </c>
      <c r="AE187" s="106">
        <v>0</v>
      </c>
      <c r="AF187" s="106">
        <v>0</v>
      </c>
      <c r="AG187" s="106">
        <v>0</v>
      </c>
      <c r="AH187" s="106">
        <v>0</v>
      </c>
      <c r="AI187" s="106">
        <v>0</v>
      </c>
      <c r="AJ187" s="106">
        <v>0</v>
      </c>
      <c r="AK187" s="106">
        <v>0</v>
      </c>
      <c r="AL187" s="106">
        <v>0</v>
      </c>
      <c r="AM187" s="106">
        <v>0</v>
      </c>
      <c r="AN187" s="106">
        <v>0</v>
      </c>
      <c r="AO187" s="106">
        <v>0</v>
      </c>
      <c r="AP187" s="106">
        <v>0</v>
      </c>
      <c r="AQ187" s="106">
        <v>0</v>
      </c>
      <c r="AR187" s="106">
        <v>0</v>
      </c>
      <c r="AS187" s="106">
        <v>0</v>
      </c>
      <c r="AT187" s="106">
        <v>0</v>
      </c>
      <c r="AU187" s="106">
        <v>0</v>
      </c>
      <c r="AV187" s="106">
        <v>0</v>
      </c>
      <c r="AW187" s="106">
        <v>0</v>
      </c>
      <c r="AX187" s="106">
        <v>0</v>
      </c>
      <c r="AY187" s="106">
        <v>0</v>
      </c>
    </row>
    <row r="188" spans="1:51">
      <c r="A188" s="128"/>
      <c r="B188" s="129">
        <v>4</v>
      </c>
      <c r="C188" s="106">
        <v>0</v>
      </c>
      <c r="D188" s="106">
        <v>0</v>
      </c>
      <c r="E188" s="106">
        <v>0</v>
      </c>
      <c r="F188" s="106">
        <v>0</v>
      </c>
      <c r="G188" s="106">
        <v>0</v>
      </c>
      <c r="H188" s="106">
        <v>0</v>
      </c>
      <c r="I188" s="106">
        <v>0</v>
      </c>
      <c r="J188" s="106">
        <v>0</v>
      </c>
      <c r="K188" s="106">
        <v>0</v>
      </c>
      <c r="L188" s="106">
        <v>0</v>
      </c>
      <c r="M188" s="106">
        <v>0</v>
      </c>
      <c r="N188" s="106">
        <v>0</v>
      </c>
      <c r="O188" s="106">
        <v>0</v>
      </c>
      <c r="P188" s="106">
        <v>0</v>
      </c>
      <c r="Q188" s="106">
        <v>0</v>
      </c>
      <c r="R188" s="106">
        <v>0</v>
      </c>
      <c r="S188" s="106">
        <v>0</v>
      </c>
      <c r="T188" s="106">
        <v>0</v>
      </c>
      <c r="U188" s="106">
        <v>0</v>
      </c>
      <c r="V188" s="106">
        <v>0</v>
      </c>
      <c r="W188" s="106">
        <v>0</v>
      </c>
      <c r="X188" s="106">
        <v>0</v>
      </c>
      <c r="Y188" s="106">
        <v>0</v>
      </c>
      <c r="Z188" s="106">
        <v>0</v>
      </c>
      <c r="AA188" s="106">
        <v>0</v>
      </c>
      <c r="AB188" s="106">
        <v>0</v>
      </c>
      <c r="AC188" s="106">
        <v>0</v>
      </c>
      <c r="AD188" s="106">
        <v>0</v>
      </c>
      <c r="AE188" s="106">
        <v>0</v>
      </c>
      <c r="AF188" s="106">
        <v>0</v>
      </c>
      <c r="AG188" s="106">
        <v>0</v>
      </c>
      <c r="AH188" s="106">
        <v>0</v>
      </c>
      <c r="AI188" s="106">
        <v>0</v>
      </c>
      <c r="AJ188" s="106">
        <v>0</v>
      </c>
      <c r="AK188" s="106">
        <v>0</v>
      </c>
      <c r="AL188" s="106">
        <v>0</v>
      </c>
      <c r="AM188" s="106">
        <v>0</v>
      </c>
      <c r="AN188" s="106">
        <v>0</v>
      </c>
      <c r="AO188" s="106">
        <v>0</v>
      </c>
      <c r="AP188" s="106">
        <v>0</v>
      </c>
      <c r="AQ188" s="106">
        <v>0</v>
      </c>
      <c r="AR188" s="106">
        <v>0</v>
      </c>
      <c r="AS188" s="106">
        <v>0</v>
      </c>
      <c r="AT188" s="106">
        <v>0</v>
      </c>
      <c r="AU188" s="106">
        <v>0</v>
      </c>
      <c r="AV188" s="106">
        <v>0</v>
      </c>
      <c r="AW188" s="106">
        <v>0</v>
      </c>
      <c r="AX188" s="106">
        <v>0</v>
      </c>
      <c r="AY188" s="106">
        <v>0</v>
      </c>
    </row>
    <row r="189" spans="1:51">
      <c r="A189" s="126" t="s">
        <v>133</v>
      </c>
      <c r="B189" s="123">
        <v>1</v>
      </c>
      <c r="C189" s="124">
        <v>0</v>
      </c>
      <c r="D189" s="124">
        <v>0</v>
      </c>
      <c r="E189" s="124">
        <v>0</v>
      </c>
      <c r="F189" s="124">
        <v>19.333128125190456</v>
      </c>
      <c r="G189" s="124">
        <v>22.333128125190626</v>
      </c>
      <c r="H189" s="124">
        <v>0</v>
      </c>
      <c r="I189" s="124">
        <v>169.99999999999983</v>
      </c>
      <c r="J189" s="124">
        <v>140</v>
      </c>
      <c r="K189" s="124">
        <v>169.99999999999983</v>
      </c>
      <c r="L189" s="124">
        <v>12.335740301852786</v>
      </c>
      <c r="M189" s="124">
        <v>0</v>
      </c>
      <c r="N189" s="124">
        <v>0</v>
      </c>
      <c r="O189" s="124">
        <v>26.335740301853235</v>
      </c>
      <c r="P189" s="124">
        <v>3.3357403018534058</v>
      </c>
      <c r="Q189" s="124">
        <v>31.335740301853548</v>
      </c>
      <c r="R189" s="124">
        <v>12.33574030185278</v>
      </c>
      <c r="S189" s="124">
        <v>76.335740301852923</v>
      </c>
      <c r="T189" s="124">
        <v>12.33574030185278</v>
      </c>
      <c r="U189" s="124">
        <v>169.99999999999983</v>
      </c>
      <c r="V189" s="124">
        <v>8.3357403018529226</v>
      </c>
      <c r="W189" s="124">
        <v>41.335740301853065</v>
      </c>
      <c r="X189" s="124">
        <v>12.33574030185278</v>
      </c>
      <c r="Y189" s="124">
        <v>169.99999999999983</v>
      </c>
      <c r="Z189" s="124">
        <v>12.33574030185278</v>
      </c>
      <c r="AA189" s="124">
        <v>34.335740301852923</v>
      </c>
      <c r="AB189" s="124">
        <v>12.33574030185278</v>
      </c>
      <c r="AC189" s="124">
        <v>63.335740301852923</v>
      </c>
      <c r="AD189" s="124">
        <v>108.33574030185309</v>
      </c>
      <c r="AE189" s="124">
        <v>110.33574030185324</v>
      </c>
      <c r="AF189" s="124">
        <v>12.33574030185278</v>
      </c>
      <c r="AG189" s="124">
        <v>169.99999999999983</v>
      </c>
      <c r="AH189" s="124">
        <v>12.33574030185278</v>
      </c>
      <c r="AI189" s="124">
        <v>50.335740301852923</v>
      </c>
      <c r="AJ189" s="124">
        <v>12.33574030185278</v>
      </c>
      <c r="AK189" s="124">
        <v>0</v>
      </c>
      <c r="AL189" s="124">
        <v>123.35740301852783</v>
      </c>
      <c r="AM189" s="124">
        <v>0</v>
      </c>
      <c r="AN189" s="124">
        <v>169.99999999999983</v>
      </c>
      <c r="AO189" s="124">
        <v>169.99999999999986</v>
      </c>
      <c r="AP189" s="124">
        <v>169.99999999999983</v>
      </c>
      <c r="AQ189" s="124">
        <v>12.335740301852786</v>
      </c>
      <c r="AR189" s="124">
        <v>92.335740301852923</v>
      </c>
      <c r="AS189" s="124">
        <v>12.33574030185278</v>
      </c>
      <c r="AT189" s="124">
        <v>81.335740301852923</v>
      </c>
      <c r="AU189" s="124">
        <v>141.33574030185309</v>
      </c>
      <c r="AV189" s="124">
        <v>169.99999999999983</v>
      </c>
      <c r="AW189" s="124">
        <v>169.99999999999986</v>
      </c>
      <c r="AX189" s="124">
        <v>169.99999999999983</v>
      </c>
      <c r="AY189" s="124">
        <v>169.99999999999986</v>
      </c>
    </row>
    <row r="190" spans="1:51">
      <c r="A190" s="109"/>
      <c r="B190" s="119">
        <v>2</v>
      </c>
      <c r="C190" s="106">
        <v>0</v>
      </c>
      <c r="D190" s="106">
        <v>163.3331281251883</v>
      </c>
      <c r="E190" s="106">
        <v>160.33312812518929</v>
      </c>
      <c r="F190" s="106">
        <v>169.99999999999986</v>
      </c>
      <c r="G190" s="106">
        <v>150.66687187480937</v>
      </c>
      <c r="H190" s="106">
        <v>147.66687187480923</v>
      </c>
      <c r="I190" s="106">
        <v>0</v>
      </c>
      <c r="J190" s="106">
        <v>0</v>
      </c>
      <c r="K190" s="106">
        <v>29.999999999999858</v>
      </c>
      <c r="L190" s="106">
        <v>0</v>
      </c>
      <c r="M190" s="106">
        <v>154</v>
      </c>
      <c r="N190" s="106">
        <v>162.33574030185292</v>
      </c>
      <c r="O190" s="106">
        <v>169.99999999999986</v>
      </c>
      <c r="P190" s="106">
        <v>143.66425969814659</v>
      </c>
      <c r="Q190" s="106">
        <v>166.66425969814645</v>
      </c>
      <c r="R190" s="106">
        <v>138.66425969814628</v>
      </c>
      <c r="S190" s="106">
        <v>157.66425969814708</v>
      </c>
      <c r="T190" s="106">
        <v>93.664259698146907</v>
      </c>
      <c r="U190" s="106">
        <v>5.3290705182007514E-15</v>
      </c>
      <c r="V190" s="106">
        <v>0</v>
      </c>
      <c r="W190" s="106">
        <v>161.66425969814694</v>
      </c>
      <c r="X190" s="106">
        <v>128.66425969814676</v>
      </c>
      <c r="Y190" s="106">
        <v>5.3290705182007514E-15</v>
      </c>
      <c r="Z190" s="106">
        <v>0</v>
      </c>
      <c r="AA190" s="106">
        <v>157.66425969814708</v>
      </c>
      <c r="AB190" s="106">
        <v>135.66425969814691</v>
      </c>
      <c r="AC190" s="106">
        <v>157.66425969814708</v>
      </c>
      <c r="AD190" s="106">
        <v>106.66425969814691</v>
      </c>
      <c r="AE190" s="106">
        <v>61.664259698146765</v>
      </c>
      <c r="AF190" s="106">
        <v>59.664259698146594</v>
      </c>
      <c r="AG190" s="106">
        <v>5.3290705182007514E-15</v>
      </c>
      <c r="AH190" s="106">
        <v>0</v>
      </c>
      <c r="AI190" s="106">
        <v>157.66425969814708</v>
      </c>
      <c r="AJ190" s="106">
        <v>119.66425969814691</v>
      </c>
      <c r="AK190" s="106">
        <v>156</v>
      </c>
      <c r="AL190" s="106">
        <v>68.996370030716548</v>
      </c>
      <c r="AM190" s="106">
        <v>46.642596981472025</v>
      </c>
      <c r="AN190" s="106">
        <v>0</v>
      </c>
      <c r="AO190" s="106">
        <v>0</v>
      </c>
      <c r="AP190" s="106">
        <v>0</v>
      </c>
      <c r="AQ190" s="106">
        <v>0</v>
      </c>
      <c r="AR190" s="106">
        <v>157.66425969814708</v>
      </c>
      <c r="AS190" s="106">
        <v>77.664259698146907</v>
      </c>
      <c r="AT190" s="106">
        <v>157.66425969814708</v>
      </c>
      <c r="AU190" s="106">
        <v>88.664259698146907</v>
      </c>
      <c r="AV190" s="106">
        <v>28.664259698146765</v>
      </c>
      <c r="AW190" s="106">
        <v>0</v>
      </c>
      <c r="AX190" s="106">
        <v>0</v>
      </c>
      <c r="AY190" s="106">
        <v>0</v>
      </c>
    </row>
    <row r="191" spans="1:51">
      <c r="A191" s="109"/>
      <c r="B191" s="120">
        <v>3</v>
      </c>
      <c r="C191" s="106">
        <v>155</v>
      </c>
      <c r="D191" s="106">
        <v>0</v>
      </c>
      <c r="E191" s="106">
        <v>6.6668718748107096</v>
      </c>
      <c r="F191" s="106">
        <v>9.6668718748096865</v>
      </c>
      <c r="G191" s="106">
        <v>0</v>
      </c>
      <c r="H191" s="106">
        <v>0</v>
      </c>
      <c r="I191" s="106">
        <v>0</v>
      </c>
      <c r="J191" s="106">
        <v>0</v>
      </c>
      <c r="K191" s="106">
        <v>0</v>
      </c>
      <c r="L191" s="106">
        <v>0</v>
      </c>
      <c r="M191" s="106">
        <v>0</v>
      </c>
      <c r="N191" s="106">
        <v>3.6642596981470774</v>
      </c>
      <c r="O191" s="106">
        <v>7.6642596981469069</v>
      </c>
      <c r="P191" s="106">
        <v>0</v>
      </c>
      <c r="Q191" s="106">
        <v>0</v>
      </c>
      <c r="R191" s="106">
        <v>0</v>
      </c>
      <c r="S191" s="106">
        <v>0</v>
      </c>
      <c r="T191" s="106">
        <v>0</v>
      </c>
      <c r="U191" s="106">
        <v>0</v>
      </c>
      <c r="V191" s="106">
        <v>157.66425969814708</v>
      </c>
      <c r="W191" s="106">
        <v>0</v>
      </c>
      <c r="X191" s="106">
        <v>0</v>
      </c>
      <c r="Y191" s="106">
        <v>0</v>
      </c>
      <c r="Z191" s="106">
        <v>157.66425969814708</v>
      </c>
      <c r="AA191" s="106">
        <v>0</v>
      </c>
      <c r="AB191" s="106">
        <v>0</v>
      </c>
      <c r="AC191" s="106">
        <v>0</v>
      </c>
      <c r="AD191" s="106">
        <v>0</v>
      </c>
      <c r="AE191" s="106">
        <v>0</v>
      </c>
      <c r="AF191" s="106">
        <v>0</v>
      </c>
      <c r="AG191" s="106">
        <v>0</v>
      </c>
      <c r="AH191" s="106">
        <v>157.66425969814708</v>
      </c>
      <c r="AI191" s="106">
        <v>0</v>
      </c>
      <c r="AJ191" s="106">
        <v>0</v>
      </c>
      <c r="AK191" s="106">
        <v>0</v>
      </c>
      <c r="AL191" s="106">
        <v>1.6642596981470774</v>
      </c>
      <c r="AM191" s="106">
        <v>0</v>
      </c>
      <c r="AN191" s="106">
        <v>0</v>
      </c>
      <c r="AO191" s="106">
        <v>0</v>
      </c>
      <c r="AP191" s="106">
        <v>0</v>
      </c>
      <c r="AQ191" s="106">
        <v>0</v>
      </c>
      <c r="AR191" s="106">
        <v>0</v>
      </c>
      <c r="AS191" s="106">
        <v>0</v>
      </c>
      <c r="AT191" s="106">
        <v>0</v>
      </c>
      <c r="AU191" s="106">
        <v>0</v>
      </c>
      <c r="AV191" s="106">
        <v>0</v>
      </c>
      <c r="AW191" s="106">
        <v>0</v>
      </c>
      <c r="AX191" s="106">
        <v>0</v>
      </c>
      <c r="AY191" s="106">
        <v>0</v>
      </c>
    </row>
    <row r="192" spans="1:51">
      <c r="A192" s="109"/>
      <c r="B192" s="120">
        <v>4</v>
      </c>
      <c r="C192" s="106">
        <v>0</v>
      </c>
      <c r="D192" s="106">
        <v>2.6668718748117044</v>
      </c>
      <c r="E192" s="106">
        <v>0</v>
      </c>
      <c r="F192" s="106">
        <v>0</v>
      </c>
      <c r="G192" s="106">
        <v>0</v>
      </c>
      <c r="H192" s="106">
        <v>0</v>
      </c>
      <c r="I192" s="106">
        <v>0</v>
      </c>
      <c r="J192" s="106">
        <v>0</v>
      </c>
      <c r="K192" s="106">
        <v>0</v>
      </c>
      <c r="L192" s="106">
        <v>0</v>
      </c>
      <c r="M192" s="106">
        <v>0</v>
      </c>
      <c r="N192" s="106">
        <v>0</v>
      </c>
      <c r="O192" s="106">
        <v>0</v>
      </c>
      <c r="P192" s="106">
        <v>0</v>
      </c>
      <c r="Q192" s="106">
        <v>0</v>
      </c>
      <c r="R192" s="106">
        <v>0</v>
      </c>
      <c r="S192" s="106">
        <v>0</v>
      </c>
      <c r="T192" s="106">
        <v>0</v>
      </c>
      <c r="U192" s="106">
        <v>0</v>
      </c>
      <c r="V192" s="106">
        <v>0</v>
      </c>
      <c r="W192" s="106">
        <v>0</v>
      </c>
      <c r="X192" s="106">
        <v>0</v>
      </c>
      <c r="Y192" s="106">
        <v>0</v>
      </c>
      <c r="Z192" s="106">
        <v>0</v>
      </c>
      <c r="AA192" s="106">
        <v>0</v>
      </c>
      <c r="AB192" s="106">
        <v>0</v>
      </c>
      <c r="AC192" s="106">
        <v>0</v>
      </c>
      <c r="AD192" s="106">
        <v>0</v>
      </c>
      <c r="AE192" s="106">
        <v>0</v>
      </c>
      <c r="AF192" s="106">
        <v>0</v>
      </c>
      <c r="AG192" s="106">
        <v>0</v>
      </c>
      <c r="AH192" s="106">
        <v>0</v>
      </c>
      <c r="AI192" s="106">
        <v>0</v>
      </c>
      <c r="AJ192" s="106">
        <v>0</v>
      </c>
      <c r="AK192" s="106">
        <v>0</v>
      </c>
      <c r="AL192" s="106">
        <v>0</v>
      </c>
      <c r="AM192" s="106">
        <v>0</v>
      </c>
      <c r="AN192" s="106">
        <v>0</v>
      </c>
      <c r="AO192" s="106">
        <v>0</v>
      </c>
      <c r="AP192" s="106">
        <v>0</v>
      </c>
      <c r="AQ192" s="106">
        <v>0</v>
      </c>
      <c r="AR192" s="106">
        <v>0</v>
      </c>
      <c r="AS192" s="106">
        <v>0</v>
      </c>
      <c r="AT192" s="106">
        <v>0</v>
      </c>
      <c r="AU192" s="106">
        <v>0</v>
      </c>
      <c r="AV192" s="106">
        <v>0</v>
      </c>
      <c r="AW192" s="106">
        <v>0</v>
      </c>
      <c r="AX192" s="106">
        <v>0</v>
      </c>
      <c r="AY192" s="106">
        <v>0</v>
      </c>
    </row>
    <row r="193" spans="1:51">
      <c r="A193" s="109"/>
      <c r="B193" s="127">
        <v>5</v>
      </c>
      <c r="C193" s="106">
        <v>0</v>
      </c>
      <c r="D193" s="106">
        <v>0</v>
      </c>
      <c r="E193" s="106">
        <v>0</v>
      </c>
      <c r="F193" s="106">
        <v>0</v>
      </c>
      <c r="G193" s="106">
        <v>0</v>
      </c>
      <c r="H193" s="106">
        <v>0</v>
      </c>
      <c r="I193" s="106">
        <v>0</v>
      </c>
      <c r="J193" s="106">
        <v>0</v>
      </c>
      <c r="K193" s="106">
        <v>0</v>
      </c>
      <c r="L193" s="106">
        <v>0</v>
      </c>
      <c r="M193" s="106">
        <v>0</v>
      </c>
      <c r="N193" s="106">
        <v>0</v>
      </c>
      <c r="O193" s="106">
        <v>0</v>
      </c>
      <c r="P193" s="106">
        <v>0</v>
      </c>
      <c r="Q193" s="106">
        <v>0</v>
      </c>
      <c r="R193" s="106">
        <v>0</v>
      </c>
      <c r="S193" s="106">
        <v>0</v>
      </c>
      <c r="T193" s="106">
        <v>0</v>
      </c>
      <c r="U193" s="106">
        <v>0</v>
      </c>
      <c r="V193" s="106">
        <v>0</v>
      </c>
      <c r="W193" s="106">
        <v>0</v>
      </c>
      <c r="X193" s="106">
        <v>0</v>
      </c>
      <c r="Y193" s="106">
        <v>0</v>
      </c>
      <c r="Z193" s="106">
        <v>0</v>
      </c>
      <c r="AA193" s="106">
        <v>0</v>
      </c>
      <c r="AB193" s="106">
        <v>0</v>
      </c>
      <c r="AC193" s="106">
        <v>0</v>
      </c>
      <c r="AD193" s="106">
        <v>0</v>
      </c>
      <c r="AE193" s="106">
        <v>0</v>
      </c>
      <c r="AF193" s="106">
        <v>0</v>
      </c>
      <c r="AG193" s="106">
        <v>0</v>
      </c>
      <c r="AH193" s="106">
        <v>0</v>
      </c>
      <c r="AI193" s="106">
        <v>0</v>
      </c>
      <c r="AJ193" s="106">
        <v>0</v>
      </c>
      <c r="AK193" s="106">
        <v>0</v>
      </c>
      <c r="AL193" s="106">
        <v>0</v>
      </c>
      <c r="AM193" s="106">
        <v>0</v>
      </c>
      <c r="AN193" s="106">
        <v>0</v>
      </c>
      <c r="AO193" s="106">
        <v>0</v>
      </c>
      <c r="AP193" s="106">
        <v>0</v>
      </c>
      <c r="AQ193" s="106">
        <v>0</v>
      </c>
      <c r="AR193" s="106">
        <v>0</v>
      </c>
      <c r="AS193" s="106">
        <v>0</v>
      </c>
      <c r="AT193" s="106">
        <v>0</v>
      </c>
      <c r="AU193" s="106">
        <v>0</v>
      </c>
      <c r="AV193" s="106">
        <v>0</v>
      </c>
      <c r="AW193" s="106">
        <v>0</v>
      </c>
      <c r="AX193" s="106">
        <v>0</v>
      </c>
      <c r="AY193" s="106">
        <v>0</v>
      </c>
    </row>
    <row r="194" spans="1:51">
      <c r="A194" s="109"/>
      <c r="B194" s="127">
        <v>6</v>
      </c>
      <c r="C194" s="106">
        <v>0</v>
      </c>
      <c r="D194" s="106">
        <v>0</v>
      </c>
      <c r="E194" s="106">
        <v>0</v>
      </c>
      <c r="F194" s="106">
        <v>0</v>
      </c>
      <c r="G194" s="106">
        <v>0</v>
      </c>
      <c r="H194" s="106">
        <v>0</v>
      </c>
      <c r="I194" s="106">
        <v>0</v>
      </c>
      <c r="J194" s="106">
        <v>0</v>
      </c>
      <c r="K194" s="106">
        <v>0</v>
      </c>
      <c r="L194" s="106">
        <v>0</v>
      </c>
      <c r="M194" s="106">
        <v>0</v>
      </c>
      <c r="N194" s="106">
        <v>0</v>
      </c>
      <c r="O194" s="106">
        <v>0</v>
      </c>
      <c r="P194" s="106">
        <v>0</v>
      </c>
      <c r="Q194" s="106">
        <v>0</v>
      </c>
      <c r="R194" s="106">
        <v>0</v>
      </c>
      <c r="S194" s="106">
        <v>0</v>
      </c>
      <c r="T194" s="106">
        <v>0</v>
      </c>
      <c r="U194" s="106">
        <v>0</v>
      </c>
      <c r="V194" s="106">
        <v>0</v>
      </c>
      <c r="W194" s="106">
        <v>0</v>
      </c>
      <c r="X194" s="106">
        <v>0</v>
      </c>
      <c r="Y194" s="106">
        <v>0</v>
      </c>
      <c r="Z194" s="106">
        <v>0</v>
      </c>
      <c r="AA194" s="106">
        <v>0</v>
      </c>
      <c r="AB194" s="106">
        <v>0</v>
      </c>
      <c r="AC194" s="106">
        <v>0</v>
      </c>
      <c r="AD194" s="106">
        <v>0</v>
      </c>
      <c r="AE194" s="106">
        <v>0</v>
      </c>
      <c r="AF194" s="106">
        <v>0</v>
      </c>
      <c r="AG194" s="106">
        <v>0</v>
      </c>
      <c r="AH194" s="106">
        <v>0</v>
      </c>
      <c r="AI194" s="106">
        <v>0</v>
      </c>
      <c r="AJ194" s="106">
        <v>0</v>
      </c>
      <c r="AK194" s="106">
        <v>0</v>
      </c>
      <c r="AL194" s="106">
        <v>0</v>
      </c>
      <c r="AM194" s="106">
        <v>0</v>
      </c>
      <c r="AN194" s="106">
        <v>0</v>
      </c>
      <c r="AO194" s="106">
        <v>0</v>
      </c>
      <c r="AP194" s="106">
        <v>0</v>
      </c>
      <c r="AQ194" s="106">
        <v>0</v>
      </c>
      <c r="AR194" s="106">
        <v>0</v>
      </c>
      <c r="AS194" s="106">
        <v>0</v>
      </c>
      <c r="AT194" s="106">
        <v>0</v>
      </c>
      <c r="AU194" s="106">
        <v>0</v>
      </c>
      <c r="AV194" s="106">
        <v>0</v>
      </c>
      <c r="AW194" s="106">
        <v>0</v>
      </c>
      <c r="AX194" s="106">
        <v>0</v>
      </c>
      <c r="AY194" s="106">
        <v>0</v>
      </c>
    </row>
    <row r="195" spans="1:51">
      <c r="A195" s="109"/>
      <c r="B195" s="130">
        <v>7</v>
      </c>
      <c r="C195" s="106">
        <v>0</v>
      </c>
      <c r="D195" s="106">
        <v>0</v>
      </c>
      <c r="E195" s="106">
        <v>0</v>
      </c>
      <c r="F195" s="106">
        <v>0</v>
      </c>
      <c r="G195" s="106">
        <v>0</v>
      </c>
      <c r="H195" s="106">
        <v>0</v>
      </c>
      <c r="I195" s="106">
        <v>0</v>
      </c>
      <c r="J195" s="106">
        <v>0</v>
      </c>
      <c r="K195" s="106">
        <v>0</v>
      </c>
      <c r="L195" s="106">
        <v>0</v>
      </c>
      <c r="M195" s="106">
        <v>0</v>
      </c>
      <c r="N195" s="106">
        <v>0</v>
      </c>
      <c r="O195" s="106">
        <v>0</v>
      </c>
      <c r="P195" s="106">
        <v>0</v>
      </c>
      <c r="Q195" s="106">
        <v>0</v>
      </c>
      <c r="R195" s="106">
        <v>0</v>
      </c>
      <c r="S195" s="106">
        <v>0</v>
      </c>
      <c r="T195" s="106">
        <v>0</v>
      </c>
      <c r="U195" s="106">
        <v>0</v>
      </c>
      <c r="V195" s="106">
        <v>0</v>
      </c>
      <c r="W195" s="106">
        <v>0</v>
      </c>
      <c r="X195" s="106">
        <v>0</v>
      </c>
      <c r="Y195" s="106">
        <v>0</v>
      </c>
      <c r="Z195" s="106">
        <v>0</v>
      </c>
      <c r="AA195" s="106">
        <v>0</v>
      </c>
      <c r="AB195" s="106">
        <v>0</v>
      </c>
      <c r="AC195" s="106">
        <v>0</v>
      </c>
      <c r="AD195" s="106">
        <v>0</v>
      </c>
      <c r="AE195" s="106">
        <v>0</v>
      </c>
      <c r="AF195" s="106">
        <v>0</v>
      </c>
      <c r="AG195" s="106">
        <v>0</v>
      </c>
      <c r="AH195" s="106">
        <v>0</v>
      </c>
      <c r="AI195" s="106">
        <v>0</v>
      </c>
      <c r="AJ195" s="106">
        <v>0</v>
      </c>
      <c r="AK195" s="106">
        <v>0</v>
      </c>
      <c r="AL195" s="106">
        <v>0</v>
      </c>
      <c r="AM195" s="106">
        <v>0</v>
      </c>
      <c r="AN195" s="106">
        <v>0</v>
      </c>
      <c r="AO195" s="106">
        <v>0</v>
      </c>
      <c r="AP195" s="106">
        <v>0</v>
      </c>
      <c r="AQ195" s="106">
        <v>0</v>
      </c>
      <c r="AR195" s="106">
        <v>0</v>
      </c>
      <c r="AS195" s="106">
        <v>0</v>
      </c>
      <c r="AT195" s="106">
        <v>0</v>
      </c>
      <c r="AU195" s="106">
        <v>0</v>
      </c>
      <c r="AV195" s="106">
        <v>0</v>
      </c>
      <c r="AW195" s="106">
        <v>0</v>
      </c>
      <c r="AX195" s="106">
        <v>0</v>
      </c>
      <c r="AY195" s="106">
        <v>0</v>
      </c>
    </row>
    <row r="196" spans="1:51">
      <c r="A196" s="128"/>
      <c r="B196" s="129">
        <v>8</v>
      </c>
      <c r="C196" s="114">
        <v>0</v>
      </c>
      <c r="D196" s="114">
        <v>0</v>
      </c>
      <c r="E196" s="114">
        <v>0</v>
      </c>
      <c r="F196" s="114">
        <v>0</v>
      </c>
      <c r="G196" s="114">
        <v>0</v>
      </c>
      <c r="H196" s="114">
        <v>0</v>
      </c>
      <c r="I196" s="114">
        <v>0</v>
      </c>
      <c r="J196" s="114">
        <v>0</v>
      </c>
      <c r="K196" s="114">
        <v>0</v>
      </c>
      <c r="L196" s="114">
        <v>0</v>
      </c>
      <c r="M196" s="114">
        <v>0</v>
      </c>
      <c r="N196" s="114">
        <v>0</v>
      </c>
      <c r="O196" s="114">
        <v>0</v>
      </c>
      <c r="P196" s="114">
        <v>0</v>
      </c>
      <c r="Q196" s="114">
        <v>0</v>
      </c>
      <c r="R196" s="114">
        <v>0</v>
      </c>
      <c r="S196" s="114">
        <v>0</v>
      </c>
      <c r="T196" s="114">
        <v>0</v>
      </c>
      <c r="U196" s="114">
        <v>0</v>
      </c>
      <c r="V196" s="114">
        <v>0</v>
      </c>
      <c r="W196" s="114">
        <v>0</v>
      </c>
      <c r="X196" s="114">
        <v>0</v>
      </c>
      <c r="Y196" s="114">
        <v>0</v>
      </c>
      <c r="Z196" s="114">
        <v>0</v>
      </c>
      <c r="AA196" s="114">
        <v>0</v>
      </c>
      <c r="AB196" s="114">
        <v>0</v>
      </c>
      <c r="AC196" s="114">
        <v>0</v>
      </c>
      <c r="AD196" s="114">
        <v>0</v>
      </c>
      <c r="AE196" s="114">
        <v>0</v>
      </c>
      <c r="AF196" s="114">
        <v>0</v>
      </c>
      <c r="AG196" s="114">
        <v>0</v>
      </c>
      <c r="AH196" s="114">
        <v>0</v>
      </c>
      <c r="AI196" s="114">
        <v>0</v>
      </c>
      <c r="AJ196" s="114">
        <v>0</v>
      </c>
      <c r="AK196" s="114">
        <v>0</v>
      </c>
      <c r="AL196" s="114">
        <v>0</v>
      </c>
      <c r="AM196" s="114">
        <v>0</v>
      </c>
      <c r="AN196" s="114">
        <v>0</v>
      </c>
      <c r="AO196" s="114">
        <v>0</v>
      </c>
      <c r="AP196" s="114">
        <v>0</v>
      </c>
      <c r="AQ196" s="114">
        <v>0</v>
      </c>
      <c r="AR196" s="114">
        <v>0</v>
      </c>
      <c r="AS196" s="114">
        <v>0</v>
      </c>
      <c r="AT196" s="114">
        <v>0</v>
      </c>
      <c r="AU196" s="114">
        <v>0</v>
      </c>
      <c r="AV196" s="114">
        <v>0</v>
      </c>
      <c r="AW196" s="114">
        <v>0</v>
      </c>
      <c r="AX196" s="114">
        <v>0</v>
      </c>
      <c r="AY196" s="114">
        <v>0</v>
      </c>
    </row>
    <row r="197" spans="1:51">
      <c r="A197" s="131" t="s">
        <v>134</v>
      </c>
      <c r="B197" s="119">
        <v>1</v>
      </c>
      <c r="C197" s="106">
        <v>119.99999999999935</v>
      </c>
      <c r="D197" s="106">
        <v>110</v>
      </c>
      <c r="E197" s="106">
        <v>130.00000000000068</v>
      </c>
      <c r="F197" s="106">
        <v>22.631102457826415</v>
      </c>
      <c r="G197" s="106">
        <v>12.580172130523664</v>
      </c>
      <c r="H197" s="106">
        <v>66.319978677022391</v>
      </c>
      <c r="I197" s="106">
        <v>9.227341696386648E-3</v>
      </c>
      <c r="J197" s="106">
        <v>119.99999999999993</v>
      </c>
      <c r="K197" s="106">
        <v>119.99999999999991</v>
      </c>
      <c r="L197" s="106">
        <v>119.99999999999993</v>
      </c>
      <c r="M197" s="106">
        <v>8.7161391659992766</v>
      </c>
      <c r="N197" s="106">
        <v>149</v>
      </c>
      <c r="O197" s="106">
        <v>56.716139165999436</v>
      </c>
      <c r="P197" s="106">
        <v>72.435136982643769</v>
      </c>
      <c r="Q197" s="106">
        <v>99.43513698264384</v>
      </c>
      <c r="R197" s="106">
        <v>119.99999999999993</v>
      </c>
      <c r="S197" s="106">
        <v>8.7161391659992766</v>
      </c>
      <c r="T197" s="106">
        <v>153.2991972162022</v>
      </c>
      <c r="U197" s="106">
        <v>29.986934295227243</v>
      </c>
      <c r="V197" s="106">
        <v>114</v>
      </c>
      <c r="W197" s="106">
        <v>119.99999999999991</v>
      </c>
      <c r="X197" s="106">
        <v>167.18919645256656</v>
      </c>
      <c r="Y197" s="106">
        <v>52.749676411776527</v>
      </c>
      <c r="Z197" s="106">
        <v>119.99999999999993</v>
      </c>
      <c r="AA197" s="106">
        <v>119.99999999999991</v>
      </c>
      <c r="AB197" s="106">
        <v>179.38362406550374</v>
      </c>
      <c r="AC197" s="106">
        <v>44.688669027314624</v>
      </c>
      <c r="AD197" s="106">
        <v>115</v>
      </c>
      <c r="AE197" s="106">
        <v>40.716139165999436</v>
      </c>
      <c r="AF197" s="106">
        <v>96.837734237646913</v>
      </c>
      <c r="AG197" s="106">
        <v>8.7161391659992766</v>
      </c>
      <c r="AH197" s="106">
        <v>119.99999999999993</v>
      </c>
      <c r="AI197" s="106">
        <v>119.99999999999991</v>
      </c>
      <c r="AJ197" s="106">
        <v>152.31366576527853</v>
      </c>
      <c r="AK197" s="106">
        <v>19.68442198451163</v>
      </c>
      <c r="AL197" s="106">
        <v>147.03006222557372</v>
      </c>
      <c r="AM197" s="106">
        <v>87.078345584725298</v>
      </c>
      <c r="AN197" s="106">
        <v>32.930881756971004</v>
      </c>
      <c r="AO197" s="106">
        <v>119.99999999999993</v>
      </c>
      <c r="AP197" s="106">
        <v>119.99999999999991</v>
      </c>
      <c r="AQ197" s="106">
        <v>119.99999999999993</v>
      </c>
      <c r="AR197" s="106">
        <v>8.7161391659992766</v>
      </c>
      <c r="AS197" s="106">
        <v>151.63636363636363</v>
      </c>
      <c r="AT197" s="106">
        <v>60.065586742181594</v>
      </c>
      <c r="AU197" s="106">
        <v>146</v>
      </c>
      <c r="AV197" s="106">
        <v>26.600062643882836</v>
      </c>
      <c r="AW197" s="106">
        <v>42.719241713469557</v>
      </c>
      <c r="AX197" s="106">
        <v>104.9448208164649</v>
      </c>
      <c r="AY197" s="106">
        <v>119.99999999999993</v>
      </c>
    </row>
    <row r="198" spans="1:51">
      <c r="A198" s="109"/>
      <c r="B198" s="119">
        <v>2</v>
      </c>
      <c r="C198" s="106">
        <v>0</v>
      </c>
      <c r="D198" s="106">
        <v>0</v>
      </c>
      <c r="E198" s="106">
        <v>9.9999999999993037</v>
      </c>
      <c r="F198" s="106">
        <v>101.36889754217358</v>
      </c>
      <c r="G198" s="106">
        <v>129.41982786947634</v>
      </c>
      <c r="H198" s="106">
        <v>107.41982786947628</v>
      </c>
      <c r="I198" s="106">
        <v>53.680021322977524</v>
      </c>
      <c r="J198" s="106">
        <v>0</v>
      </c>
      <c r="K198" s="106">
        <v>0</v>
      </c>
      <c r="L198" s="106">
        <v>0</v>
      </c>
      <c r="M198" s="106">
        <v>0</v>
      </c>
      <c r="N198" s="106">
        <v>0</v>
      </c>
      <c r="O198" s="106">
        <v>82.283860834000564</v>
      </c>
      <c r="P198" s="106">
        <v>87.564863017356231</v>
      </c>
      <c r="Q198" s="106">
        <v>47.56486301735616</v>
      </c>
      <c r="R198" s="106">
        <v>20.564863017356075</v>
      </c>
      <c r="S198" s="106">
        <v>0</v>
      </c>
      <c r="T198" s="106">
        <v>0</v>
      </c>
      <c r="U198" s="106">
        <v>77.984663617798361</v>
      </c>
      <c r="V198" s="106">
        <v>0</v>
      </c>
      <c r="W198" s="106">
        <v>5.9999999999999289</v>
      </c>
      <c r="X198" s="106">
        <v>0</v>
      </c>
      <c r="Y198" s="106">
        <v>64.094664381434001</v>
      </c>
      <c r="Z198" s="106">
        <v>0</v>
      </c>
      <c r="AA198" s="106">
        <v>0</v>
      </c>
      <c r="AB198" s="106">
        <v>0</v>
      </c>
      <c r="AC198" s="106">
        <v>51.900236768496825</v>
      </c>
      <c r="AD198" s="106">
        <v>0</v>
      </c>
      <c r="AE198" s="106">
        <v>116.28386083400056</v>
      </c>
      <c r="AF198" s="106">
        <v>99.529256053615171</v>
      </c>
      <c r="AG198" s="106">
        <v>23.16226576235303</v>
      </c>
      <c r="AH198" s="106">
        <v>0</v>
      </c>
      <c r="AI198" s="106">
        <v>0</v>
      </c>
      <c r="AJ198" s="106">
        <v>0</v>
      </c>
      <c r="AK198" s="106">
        <v>78.970195068722035</v>
      </c>
      <c r="AL198" s="106">
        <v>3.5527136788005009E-15</v>
      </c>
      <c r="AM198" s="106">
        <v>12.96260095367569</v>
      </c>
      <c r="AN198" s="106">
        <v>0</v>
      </c>
      <c r="AO198" s="106">
        <v>0</v>
      </c>
      <c r="AP198" s="106">
        <v>0</v>
      </c>
      <c r="AQ198" s="106">
        <v>0</v>
      </c>
      <c r="AR198" s="106">
        <v>0</v>
      </c>
      <c r="AS198" s="106">
        <v>0</v>
      </c>
      <c r="AT198" s="106">
        <v>79.647497197636937</v>
      </c>
      <c r="AU198" s="106">
        <v>0</v>
      </c>
      <c r="AV198" s="106">
        <v>85.283860834000564</v>
      </c>
      <c r="AW198" s="106">
        <v>138.89110233361058</v>
      </c>
      <c r="AX198" s="106">
        <v>82.333675554955192</v>
      </c>
      <c r="AY198" s="106">
        <v>15.055179183535017</v>
      </c>
    </row>
    <row r="199" spans="1:51">
      <c r="A199" s="109"/>
      <c r="B199" s="119">
        <v>3</v>
      </c>
      <c r="C199" s="106">
        <v>0</v>
      </c>
      <c r="D199" s="106">
        <v>0</v>
      </c>
      <c r="E199" s="106">
        <v>0</v>
      </c>
      <c r="F199" s="106">
        <v>0</v>
      </c>
      <c r="G199" s="106">
        <v>0</v>
      </c>
      <c r="H199" s="106">
        <v>0</v>
      </c>
      <c r="I199" s="106">
        <v>0</v>
      </c>
      <c r="J199" s="106">
        <v>0</v>
      </c>
      <c r="K199" s="106">
        <v>0</v>
      </c>
      <c r="L199" s="106">
        <v>0</v>
      </c>
      <c r="M199" s="106">
        <v>0</v>
      </c>
      <c r="N199" s="106">
        <v>0</v>
      </c>
      <c r="O199" s="106">
        <v>0</v>
      </c>
      <c r="P199" s="106">
        <v>0</v>
      </c>
      <c r="Q199" s="106">
        <v>0</v>
      </c>
      <c r="R199" s="106">
        <v>0</v>
      </c>
      <c r="S199" s="106">
        <v>0</v>
      </c>
      <c r="T199" s="106">
        <v>0</v>
      </c>
      <c r="U199" s="106">
        <v>0</v>
      </c>
      <c r="V199" s="106">
        <v>0</v>
      </c>
      <c r="W199" s="106">
        <v>0</v>
      </c>
      <c r="X199" s="106">
        <v>0</v>
      </c>
      <c r="Y199" s="106">
        <v>0</v>
      </c>
      <c r="Z199" s="106">
        <v>0</v>
      </c>
      <c r="AA199" s="106">
        <v>0</v>
      </c>
      <c r="AB199" s="106">
        <v>0</v>
      </c>
      <c r="AC199" s="106">
        <v>0</v>
      </c>
      <c r="AD199" s="106">
        <v>0</v>
      </c>
      <c r="AE199" s="106">
        <v>0</v>
      </c>
      <c r="AF199" s="106">
        <v>0</v>
      </c>
      <c r="AG199" s="106">
        <v>0</v>
      </c>
      <c r="AH199" s="106">
        <v>0</v>
      </c>
      <c r="AI199" s="106">
        <v>0</v>
      </c>
      <c r="AJ199" s="106">
        <v>0</v>
      </c>
      <c r="AK199" s="106">
        <v>0</v>
      </c>
      <c r="AL199" s="106">
        <v>0</v>
      </c>
      <c r="AM199" s="106">
        <v>0</v>
      </c>
      <c r="AN199" s="106">
        <v>0</v>
      </c>
      <c r="AO199" s="106">
        <v>0</v>
      </c>
      <c r="AP199" s="106">
        <v>0</v>
      </c>
      <c r="AQ199" s="106">
        <v>0</v>
      </c>
      <c r="AR199" s="106">
        <v>0</v>
      </c>
      <c r="AS199" s="106">
        <v>0</v>
      </c>
      <c r="AT199" s="106">
        <v>0</v>
      </c>
      <c r="AU199" s="106">
        <v>0</v>
      </c>
      <c r="AV199" s="106">
        <v>0</v>
      </c>
      <c r="AW199" s="106">
        <v>0</v>
      </c>
      <c r="AX199" s="106">
        <v>0</v>
      </c>
      <c r="AY199" s="106">
        <v>0</v>
      </c>
    </row>
    <row r="200" spans="1:51">
      <c r="A200" s="109"/>
      <c r="B200" s="120">
        <v>4</v>
      </c>
      <c r="C200" s="106">
        <v>0</v>
      </c>
      <c r="D200" s="106">
        <v>0</v>
      </c>
      <c r="E200" s="106">
        <v>0</v>
      </c>
      <c r="F200" s="106">
        <v>0</v>
      </c>
      <c r="G200" s="106">
        <v>0</v>
      </c>
      <c r="H200" s="106">
        <v>0</v>
      </c>
      <c r="I200" s="106">
        <v>0</v>
      </c>
      <c r="J200" s="106">
        <v>0</v>
      </c>
      <c r="K200" s="106">
        <v>0</v>
      </c>
      <c r="L200" s="106">
        <v>0</v>
      </c>
      <c r="M200" s="106">
        <v>0</v>
      </c>
      <c r="N200" s="106">
        <v>0</v>
      </c>
      <c r="O200" s="106">
        <v>0</v>
      </c>
      <c r="P200" s="106">
        <v>0</v>
      </c>
      <c r="Q200" s="106">
        <v>0</v>
      </c>
      <c r="R200" s="106">
        <v>0</v>
      </c>
      <c r="S200" s="106">
        <v>0</v>
      </c>
      <c r="T200" s="106">
        <v>0</v>
      </c>
      <c r="U200" s="106">
        <v>0</v>
      </c>
      <c r="V200" s="106">
        <v>0</v>
      </c>
      <c r="W200" s="106">
        <v>0</v>
      </c>
      <c r="X200" s="106">
        <v>0</v>
      </c>
      <c r="Y200" s="106">
        <v>0</v>
      </c>
      <c r="Z200" s="106">
        <v>0</v>
      </c>
      <c r="AA200" s="106">
        <v>0</v>
      </c>
      <c r="AB200" s="106">
        <v>0</v>
      </c>
      <c r="AC200" s="106">
        <v>0</v>
      </c>
      <c r="AD200" s="106">
        <v>0</v>
      </c>
      <c r="AE200" s="106">
        <v>0</v>
      </c>
      <c r="AF200" s="106">
        <v>0</v>
      </c>
      <c r="AG200" s="106">
        <v>0</v>
      </c>
      <c r="AH200" s="106">
        <v>0</v>
      </c>
      <c r="AI200" s="106">
        <v>0</v>
      </c>
      <c r="AJ200" s="106">
        <v>0</v>
      </c>
      <c r="AK200" s="106">
        <v>0</v>
      </c>
      <c r="AL200" s="106">
        <v>0</v>
      </c>
      <c r="AM200" s="106">
        <v>0</v>
      </c>
      <c r="AN200" s="106">
        <v>0</v>
      </c>
      <c r="AO200" s="106">
        <v>0</v>
      </c>
      <c r="AP200" s="106">
        <v>0</v>
      </c>
      <c r="AQ200" s="106">
        <v>0</v>
      </c>
      <c r="AR200" s="106">
        <v>0</v>
      </c>
      <c r="AS200" s="106">
        <v>0</v>
      </c>
      <c r="AT200" s="106">
        <v>0</v>
      </c>
      <c r="AU200" s="106">
        <v>0</v>
      </c>
      <c r="AV200" s="106">
        <v>0</v>
      </c>
      <c r="AW200" s="106">
        <v>0</v>
      </c>
      <c r="AX200" s="106">
        <v>0</v>
      </c>
      <c r="AY200" s="106">
        <v>0</v>
      </c>
    </row>
    <row r="201" spans="1:51">
      <c r="A201" s="109"/>
      <c r="B201" s="120">
        <v>5</v>
      </c>
      <c r="C201" s="106">
        <v>0</v>
      </c>
      <c r="D201" s="106">
        <v>0</v>
      </c>
      <c r="E201" s="106">
        <v>0</v>
      </c>
      <c r="F201" s="106">
        <v>0</v>
      </c>
      <c r="G201" s="106">
        <v>0</v>
      </c>
      <c r="H201" s="106">
        <v>0</v>
      </c>
      <c r="I201" s="106">
        <v>0</v>
      </c>
      <c r="J201" s="106">
        <v>0</v>
      </c>
      <c r="K201" s="106">
        <v>0</v>
      </c>
      <c r="L201" s="106">
        <v>0</v>
      </c>
      <c r="M201" s="106">
        <v>0</v>
      </c>
      <c r="N201" s="106">
        <v>0</v>
      </c>
      <c r="O201" s="106">
        <v>0</v>
      </c>
      <c r="P201" s="106">
        <v>0</v>
      </c>
      <c r="Q201" s="106">
        <v>0</v>
      </c>
      <c r="R201" s="106">
        <v>0</v>
      </c>
      <c r="S201" s="106">
        <v>0</v>
      </c>
      <c r="T201" s="106">
        <v>0</v>
      </c>
      <c r="U201" s="106">
        <v>0</v>
      </c>
      <c r="V201" s="106">
        <v>0</v>
      </c>
      <c r="W201" s="106">
        <v>0</v>
      </c>
      <c r="X201" s="106">
        <v>0</v>
      </c>
      <c r="Y201" s="106">
        <v>0</v>
      </c>
      <c r="Z201" s="106">
        <v>0</v>
      </c>
      <c r="AA201" s="106">
        <v>0</v>
      </c>
      <c r="AB201" s="106">
        <v>0</v>
      </c>
      <c r="AC201" s="106">
        <v>0</v>
      </c>
      <c r="AD201" s="106">
        <v>0</v>
      </c>
      <c r="AE201" s="106">
        <v>0</v>
      </c>
      <c r="AF201" s="106">
        <v>0</v>
      </c>
      <c r="AG201" s="106">
        <v>0</v>
      </c>
      <c r="AH201" s="106">
        <v>0</v>
      </c>
      <c r="AI201" s="106">
        <v>0</v>
      </c>
      <c r="AJ201" s="106">
        <v>0</v>
      </c>
      <c r="AK201" s="106">
        <v>0</v>
      </c>
      <c r="AL201" s="106">
        <v>0</v>
      </c>
      <c r="AM201" s="106">
        <v>0</v>
      </c>
      <c r="AN201" s="106">
        <v>0</v>
      </c>
      <c r="AO201" s="106">
        <v>0</v>
      </c>
      <c r="AP201" s="106">
        <v>0</v>
      </c>
      <c r="AQ201" s="106">
        <v>0</v>
      </c>
      <c r="AR201" s="106">
        <v>0</v>
      </c>
      <c r="AS201" s="106">
        <v>0</v>
      </c>
      <c r="AT201" s="106">
        <v>0</v>
      </c>
      <c r="AU201" s="106">
        <v>0</v>
      </c>
      <c r="AV201" s="106">
        <v>0</v>
      </c>
      <c r="AW201" s="106">
        <v>0</v>
      </c>
      <c r="AX201" s="106">
        <v>0</v>
      </c>
      <c r="AY201" s="106">
        <v>0</v>
      </c>
    </row>
    <row r="202" spans="1:51">
      <c r="A202" s="109"/>
      <c r="B202" s="120">
        <v>6</v>
      </c>
      <c r="C202" s="106">
        <v>0</v>
      </c>
      <c r="D202" s="106">
        <v>0</v>
      </c>
      <c r="E202" s="106">
        <v>0</v>
      </c>
      <c r="F202" s="106">
        <v>0</v>
      </c>
      <c r="G202" s="106">
        <v>0</v>
      </c>
      <c r="H202" s="106">
        <v>0</v>
      </c>
      <c r="I202" s="106">
        <v>0</v>
      </c>
      <c r="J202" s="106">
        <v>0</v>
      </c>
      <c r="K202" s="106">
        <v>0</v>
      </c>
      <c r="L202" s="106">
        <v>0</v>
      </c>
      <c r="M202" s="106">
        <v>0</v>
      </c>
      <c r="N202" s="106">
        <v>0</v>
      </c>
      <c r="O202" s="106">
        <v>0</v>
      </c>
      <c r="P202" s="106">
        <v>0</v>
      </c>
      <c r="Q202" s="106">
        <v>0</v>
      </c>
      <c r="R202" s="106">
        <v>0</v>
      </c>
      <c r="S202" s="106">
        <v>0</v>
      </c>
      <c r="T202" s="106">
        <v>0</v>
      </c>
      <c r="U202" s="106">
        <v>0</v>
      </c>
      <c r="V202" s="106">
        <v>0</v>
      </c>
      <c r="W202" s="106">
        <v>0</v>
      </c>
      <c r="X202" s="106">
        <v>0</v>
      </c>
      <c r="Y202" s="106">
        <v>0</v>
      </c>
      <c r="Z202" s="106">
        <v>0</v>
      </c>
      <c r="AA202" s="106">
        <v>0</v>
      </c>
      <c r="AB202" s="106">
        <v>0</v>
      </c>
      <c r="AC202" s="106">
        <v>0</v>
      </c>
      <c r="AD202" s="106">
        <v>0</v>
      </c>
      <c r="AE202" s="106">
        <v>0</v>
      </c>
      <c r="AF202" s="106">
        <v>0</v>
      </c>
      <c r="AG202" s="106">
        <v>0</v>
      </c>
      <c r="AH202" s="106">
        <v>0</v>
      </c>
      <c r="AI202" s="106">
        <v>0</v>
      </c>
      <c r="AJ202" s="106">
        <v>0</v>
      </c>
      <c r="AK202" s="106">
        <v>0</v>
      </c>
      <c r="AL202" s="106">
        <v>0</v>
      </c>
      <c r="AM202" s="106">
        <v>0</v>
      </c>
      <c r="AN202" s="106">
        <v>0</v>
      </c>
      <c r="AO202" s="106">
        <v>0</v>
      </c>
      <c r="AP202" s="106">
        <v>0</v>
      </c>
      <c r="AQ202" s="106">
        <v>0</v>
      </c>
      <c r="AR202" s="106">
        <v>0</v>
      </c>
      <c r="AS202" s="106">
        <v>0</v>
      </c>
      <c r="AT202" s="106">
        <v>0</v>
      </c>
      <c r="AU202" s="106">
        <v>0</v>
      </c>
      <c r="AV202" s="106">
        <v>0</v>
      </c>
      <c r="AW202" s="106">
        <v>0</v>
      </c>
      <c r="AX202" s="106">
        <v>0</v>
      </c>
      <c r="AY202" s="106">
        <v>0</v>
      </c>
    </row>
    <row r="203" spans="1:51">
      <c r="A203" s="109"/>
      <c r="B203" s="127">
        <v>7</v>
      </c>
      <c r="C203" s="106">
        <v>0</v>
      </c>
      <c r="D203" s="106">
        <v>0</v>
      </c>
      <c r="E203" s="106">
        <v>0</v>
      </c>
      <c r="F203" s="106">
        <v>0</v>
      </c>
      <c r="G203" s="106">
        <v>0</v>
      </c>
      <c r="H203" s="106">
        <v>0</v>
      </c>
      <c r="I203" s="106">
        <v>0</v>
      </c>
      <c r="J203" s="106">
        <v>0</v>
      </c>
      <c r="K203" s="106">
        <v>0</v>
      </c>
      <c r="L203" s="106">
        <v>0</v>
      </c>
      <c r="M203" s="106">
        <v>0</v>
      </c>
      <c r="N203" s="106">
        <v>0</v>
      </c>
      <c r="O203" s="106">
        <v>0</v>
      </c>
      <c r="P203" s="106">
        <v>0</v>
      </c>
      <c r="Q203" s="106">
        <v>0</v>
      </c>
      <c r="R203" s="106">
        <v>0</v>
      </c>
      <c r="S203" s="106">
        <v>0</v>
      </c>
      <c r="T203" s="106">
        <v>0</v>
      </c>
      <c r="U203" s="106">
        <v>0</v>
      </c>
      <c r="V203" s="106">
        <v>0</v>
      </c>
      <c r="W203" s="106">
        <v>0</v>
      </c>
      <c r="X203" s="106">
        <v>0</v>
      </c>
      <c r="Y203" s="106">
        <v>0</v>
      </c>
      <c r="Z203" s="106">
        <v>0</v>
      </c>
      <c r="AA203" s="106">
        <v>0</v>
      </c>
      <c r="AB203" s="106">
        <v>0</v>
      </c>
      <c r="AC203" s="106">
        <v>0</v>
      </c>
      <c r="AD203" s="106">
        <v>0</v>
      </c>
      <c r="AE203" s="106">
        <v>0</v>
      </c>
      <c r="AF203" s="106">
        <v>0</v>
      </c>
      <c r="AG203" s="106">
        <v>0</v>
      </c>
      <c r="AH203" s="106">
        <v>0</v>
      </c>
      <c r="AI203" s="106">
        <v>0</v>
      </c>
      <c r="AJ203" s="106">
        <v>0</v>
      </c>
      <c r="AK203" s="106">
        <v>0</v>
      </c>
      <c r="AL203" s="106">
        <v>0</v>
      </c>
      <c r="AM203" s="106">
        <v>0</v>
      </c>
      <c r="AN203" s="106">
        <v>0</v>
      </c>
      <c r="AO203" s="106">
        <v>0</v>
      </c>
      <c r="AP203" s="106">
        <v>0</v>
      </c>
      <c r="AQ203" s="106">
        <v>0</v>
      </c>
      <c r="AR203" s="106">
        <v>0</v>
      </c>
      <c r="AS203" s="106">
        <v>0</v>
      </c>
      <c r="AT203" s="106">
        <v>0</v>
      </c>
      <c r="AU203" s="106">
        <v>0</v>
      </c>
      <c r="AV203" s="106">
        <v>0</v>
      </c>
      <c r="AW203" s="106">
        <v>0</v>
      </c>
      <c r="AX203" s="106">
        <v>0</v>
      </c>
      <c r="AY203" s="106">
        <v>0</v>
      </c>
    </row>
    <row r="204" spans="1:51">
      <c r="A204" s="109"/>
      <c r="B204" s="127">
        <v>8</v>
      </c>
      <c r="C204" s="106">
        <v>0</v>
      </c>
      <c r="D204" s="106">
        <v>0</v>
      </c>
      <c r="E204" s="106">
        <v>0</v>
      </c>
      <c r="F204" s="106">
        <v>0</v>
      </c>
      <c r="G204" s="106">
        <v>0</v>
      </c>
      <c r="H204" s="106">
        <v>0</v>
      </c>
      <c r="I204" s="106">
        <v>0</v>
      </c>
      <c r="J204" s="106">
        <v>0</v>
      </c>
      <c r="K204" s="106">
        <v>0</v>
      </c>
      <c r="L204" s="106">
        <v>0</v>
      </c>
      <c r="M204" s="106">
        <v>0</v>
      </c>
      <c r="N204" s="106">
        <v>0</v>
      </c>
      <c r="O204" s="106">
        <v>0</v>
      </c>
      <c r="P204" s="106">
        <v>0</v>
      </c>
      <c r="Q204" s="106">
        <v>0</v>
      </c>
      <c r="R204" s="106">
        <v>0</v>
      </c>
      <c r="S204" s="106">
        <v>0</v>
      </c>
      <c r="T204" s="106">
        <v>0</v>
      </c>
      <c r="U204" s="106">
        <v>0</v>
      </c>
      <c r="V204" s="106">
        <v>0</v>
      </c>
      <c r="W204" s="106">
        <v>0</v>
      </c>
      <c r="X204" s="106">
        <v>0</v>
      </c>
      <c r="Y204" s="106">
        <v>0</v>
      </c>
      <c r="Z204" s="106">
        <v>0</v>
      </c>
      <c r="AA204" s="106">
        <v>0</v>
      </c>
      <c r="AB204" s="106">
        <v>0</v>
      </c>
      <c r="AC204" s="106">
        <v>0</v>
      </c>
      <c r="AD204" s="106">
        <v>0</v>
      </c>
      <c r="AE204" s="106">
        <v>0</v>
      </c>
      <c r="AF204" s="106">
        <v>0</v>
      </c>
      <c r="AG204" s="106">
        <v>0</v>
      </c>
      <c r="AH204" s="106">
        <v>0</v>
      </c>
      <c r="AI204" s="106">
        <v>0</v>
      </c>
      <c r="AJ204" s="106">
        <v>0</v>
      </c>
      <c r="AK204" s="106">
        <v>0</v>
      </c>
      <c r="AL204" s="106">
        <v>0</v>
      </c>
      <c r="AM204" s="106">
        <v>0</v>
      </c>
      <c r="AN204" s="106">
        <v>0</v>
      </c>
      <c r="AO204" s="106">
        <v>0</v>
      </c>
      <c r="AP204" s="106">
        <v>0</v>
      </c>
      <c r="AQ204" s="106">
        <v>0</v>
      </c>
      <c r="AR204" s="106">
        <v>0</v>
      </c>
      <c r="AS204" s="106">
        <v>0</v>
      </c>
      <c r="AT204" s="106">
        <v>0</v>
      </c>
      <c r="AU204" s="106">
        <v>0</v>
      </c>
      <c r="AV204" s="106">
        <v>0</v>
      </c>
      <c r="AW204" s="106">
        <v>0</v>
      </c>
      <c r="AX204" s="106">
        <v>0</v>
      </c>
      <c r="AY204" s="106">
        <v>0</v>
      </c>
    </row>
    <row r="205" spans="1:51">
      <c r="A205" s="109"/>
      <c r="B205" s="127">
        <v>9</v>
      </c>
      <c r="C205" s="106">
        <v>0</v>
      </c>
      <c r="D205" s="106">
        <v>0</v>
      </c>
      <c r="E205" s="106">
        <v>0</v>
      </c>
      <c r="F205" s="106">
        <v>0</v>
      </c>
      <c r="G205" s="106">
        <v>0</v>
      </c>
      <c r="H205" s="106">
        <v>0</v>
      </c>
      <c r="I205" s="106">
        <v>0</v>
      </c>
      <c r="J205" s="106">
        <v>0</v>
      </c>
      <c r="K205" s="106">
        <v>0</v>
      </c>
      <c r="L205" s="106">
        <v>0</v>
      </c>
      <c r="M205" s="106">
        <v>0</v>
      </c>
      <c r="N205" s="106">
        <v>0</v>
      </c>
      <c r="O205" s="106">
        <v>0</v>
      </c>
      <c r="P205" s="106">
        <v>0</v>
      </c>
      <c r="Q205" s="106">
        <v>0</v>
      </c>
      <c r="R205" s="106">
        <v>0</v>
      </c>
      <c r="S205" s="106">
        <v>0</v>
      </c>
      <c r="T205" s="106">
        <v>0</v>
      </c>
      <c r="U205" s="106">
        <v>0</v>
      </c>
      <c r="V205" s="106">
        <v>0</v>
      </c>
      <c r="W205" s="106">
        <v>0</v>
      </c>
      <c r="X205" s="106">
        <v>0</v>
      </c>
      <c r="Y205" s="106">
        <v>0</v>
      </c>
      <c r="Z205" s="106">
        <v>0</v>
      </c>
      <c r="AA205" s="106">
        <v>0</v>
      </c>
      <c r="AB205" s="106">
        <v>0</v>
      </c>
      <c r="AC205" s="106">
        <v>0</v>
      </c>
      <c r="AD205" s="106">
        <v>0</v>
      </c>
      <c r="AE205" s="106">
        <v>0</v>
      </c>
      <c r="AF205" s="106">
        <v>0</v>
      </c>
      <c r="AG205" s="106">
        <v>0</v>
      </c>
      <c r="AH205" s="106">
        <v>0</v>
      </c>
      <c r="AI205" s="106">
        <v>0</v>
      </c>
      <c r="AJ205" s="106">
        <v>0</v>
      </c>
      <c r="AK205" s="106">
        <v>0</v>
      </c>
      <c r="AL205" s="106">
        <v>0</v>
      </c>
      <c r="AM205" s="106">
        <v>0</v>
      </c>
      <c r="AN205" s="106">
        <v>0</v>
      </c>
      <c r="AO205" s="106">
        <v>0</v>
      </c>
      <c r="AP205" s="106">
        <v>0</v>
      </c>
      <c r="AQ205" s="106">
        <v>0</v>
      </c>
      <c r="AR205" s="106">
        <v>0</v>
      </c>
      <c r="AS205" s="106">
        <v>0</v>
      </c>
      <c r="AT205" s="106">
        <v>0</v>
      </c>
      <c r="AU205" s="106">
        <v>0</v>
      </c>
      <c r="AV205" s="106">
        <v>0</v>
      </c>
      <c r="AW205" s="106">
        <v>0</v>
      </c>
      <c r="AX205" s="106">
        <v>0</v>
      </c>
      <c r="AY205" s="106">
        <v>0</v>
      </c>
    </row>
    <row r="206" spans="1:51">
      <c r="A206" s="109"/>
      <c r="B206" s="130">
        <v>10</v>
      </c>
      <c r="C206" s="106">
        <v>0</v>
      </c>
      <c r="D206" s="106">
        <v>0</v>
      </c>
      <c r="E206" s="106">
        <v>0</v>
      </c>
      <c r="F206" s="106">
        <v>0</v>
      </c>
      <c r="G206" s="106">
        <v>0</v>
      </c>
      <c r="H206" s="106">
        <v>0</v>
      </c>
      <c r="I206" s="106">
        <v>0</v>
      </c>
      <c r="J206" s="106">
        <v>0</v>
      </c>
      <c r="K206" s="106">
        <v>0</v>
      </c>
      <c r="L206" s="106">
        <v>0</v>
      </c>
      <c r="M206" s="106">
        <v>0</v>
      </c>
      <c r="N206" s="106">
        <v>0</v>
      </c>
      <c r="O206" s="106">
        <v>0</v>
      </c>
      <c r="P206" s="106">
        <v>0</v>
      </c>
      <c r="Q206" s="106">
        <v>0</v>
      </c>
      <c r="R206" s="106">
        <v>0</v>
      </c>
      <c r="S206" s="106">
        <v>0</v>
      </c>
      <c r="T206" s="106">
        <v>0</v>
      </c>
      <c r="U206" s="106">
        <v>0</v>
      </c>
      <c r="V206" s="106">
        <v>0</v>
      </c>
      <c r="W206" s="106">
        <v>0</v>
      </c>
      <c r="X206" s="106">
        <v>0</v>
      </c>
      <c r="Y206" s="106">
        <v>0</v>
      </c>
      <c r="Z206" s="106">
        <v>0</v>
      </c>
      <c r="AA206" s="106">
        <v>0</v>
      </c>
      <c r="AB206" s="106">
        <v>0</v>
      </c>
      <c r="AC206" s="106">
        <v>0</v>
      </c>
      <c r="AD206" s="106">
        <v>0</v>
      </c>
      <c r="AE206" s="106">
        <v>0</v>
      </c>
      <c r="AF206" s="106">
        <v>0</v>
      </c>
      <c r="AG206" s="106">
        <v>0</v>
      </c>
      <c r="AH206" s="106">
        <v>0</v>
      </c>
      <c r="AI206" s="106">
        <v>0</v>
      </c>
      <c r="AJ206" s="106">
        <v>0</v>
      </c>
      <c r="AK206" s="106">
        <v>0</v>
      </c>
      <c r="AL206" s="106">
        <v>0</v>
      </c>
      <c r="AM206" s="106">
        <v>0</v>
      </c>
      <c r="AN206" s="106">
        <v>0</v>
      </c>
      <c r="AO206" s="106">
        <v>0</v>
      </c>
      <c r="AP206" s="106">
        <v>0</v>
      </c>
      <c r="AQ206" s="106">
        <v>0</v>
      </c>
      <c r="AR206" s="106">
        <v>0</v>
      </c>
      <c r="AS206" s="106">
        <v>0</v>
      </c>
      <c r="AT206" s="106">
        <v>0</v>
      </c>
      <c r="AU206" s="106">
        <v>0</v>
      </c>
      <c r="AV206" s="106">
        <v>0</v>
      </c>
      <c r="AW206" s="106">
        <v>0</v>
      </c>
      <c r="AX206" s="106">
        <v>0</v>
      </c>
      <c r="AY206" s="106">
        <v>0</v>
      </c>
    </row>
    <row r="207" spans="1:51">
      <c r="A207" s="109"/>
      <c r="B207" s="130">
        <v>11</v>
      </c>
      <c r="C207" s="106">
        <v>0</v>
      </c>
      <c r="D207" s="106">
        <v>0</v>
      </c>
      <c r="E207" s="106">
        <v>0</v>
      </c>
      <c r="F207" s="106">
        <v>0</v>
      </c>
      <c r="G207" s="106">
        <v>0</v>
      </c>
      <c r="H207" s="106">
        <v>0</v>
      </c>
      <c r="I207" s="106">
        <v>0</v>
      </c>
      <c r="J207" s="106">
        <v>0</v>
      </c>
      <c r="K207" s="106">
        <v>0</v>
      </c>
      <c r="L207" s="106">
        <v>0</v>
      </c>
      <c r="M207" s="106">
        <v>0</v>
      </c>
      <c r="N207" s="106">
        <v>0</v>
      </c>
      <c r="O207" s="106">
        <v>0</v>
      </c>
      <c r="P207" s="106">
        <v>0</v>
      </c>
      <c r="Q207" s="106">
        <v>0</v>
      </c>
      <c r="R207" s="106">
        <v>0</v>
      </c>
      <c r="S207" s="106">
        <v>0</v>
      </c>
      <c r="T207" s="106">
        <v>0</v>
      </c>
      <c r="U207" s="106">
        <v>0</v>
      </c>
      <c r="V207" s="106">
        <v>0</v>
      </c>
      <c r="W207" s="106">
        <v>0</v>
      </c>
      <c r="X207" s="106">
        <v>0</v>
      </c>
      <c r="Y207" s="106">
        <v>0</v>
      </c>
      <c r="Z207" s="106">
        <v>0</v>
      </c>
      <c r="AA207" s="106">
        <v>0</v>
      </c>
      <c r="AB207" s="106">
        <v>0</v>
      </c>
      <c r="AC207" s="106">
        <v>0</v>
      </c>
      <c r="AD207" s="106">
        <v>0</v>
      </c>
      <c r="AE207" s="106">
        <v>0</v>
      </c>
      <c r="AF207" s="106">
        <v>0</v>
      </c>
      <c r="AG207" s="106">
        <v>0</v>
      </c>
      <c r="AH207" s="106">
        <v>0</v>
      </c>
      <c r="AI207" s="106">
        <v>0</v>
      </c>
      <c r="AJ207" s="106">
        <v>0</v>
      </c>
      <c r="AK207" s="106">
        <v>0</v>
      </c>
      <c r="AL207" s="106">
        <v>0</v>
      </c>
      <c r="AM207" s="106">
        <v>0</v>
      </c>
      <c r="AN207" s="106">
        <v>0</v>
      </c>
      <c r="AO207" s="106">
        <v>0</v>
      </c>
      <c r="AP207" s="106">
        <v>0</v>
      </c>
      <c r="AQ207" s="106">
        <v>0</v>
      </c>
      <c r="AR207" s="106">
        <v>0</v>
      </c>
      <c r="AS207" s="106">
        <v>0</v>
      </c>
      <c r="AT207" s="106">
        <v>0</v>
      </c>
      <c r="AU207" s="106">
        <v>0</v>
      </c>
      <c r="AV207" s="106">
        <v>0</v>
      </c>
      <c r="AW207" s="106">
        <v>0</v>
      </c>
      <c r="AX207" s="106">
        <v>0</v>
      </c>
      <c r="AY207" s="106">
        <v>0</v>
      </c>
    </row>
    <row r="208" spans="1:51">
      <c r="A208" s="109"/>
      <c r="B208" s="130">
        <v>12</v>
      </c>
      <c r="C208" s="106">
        <v>0</v>
      </c>
      <c r="D208" s="106">
        <v>0</v>
      </c>
      <c r="E208" s="106">
        <v>0</v>
      </c>
      <c r="F208" s="106">
        <v>0</v>
      </c>
      <c r="G208" s="106">
        <v>0</v>
      </c>
      <c r="H208" s="106">
        <v>0</v>
      </c>
      <c r="I208" s="106">
        <v>0</v>
      </c>
      <c r="J208" s="106">
        <v>0</v>
      </c>
      <c r="K208" s="106">
        <v>0</v>
      </c>
      <c r="L208" s="106">
        <v>0</v>
      </c>
      <c r="M208" s="106">
        <v>0</v>
      </c>
      <c r="N208" s="106">
        <v>0</v>
      </c>
      <c r="O208" s="106">
        <v>0</v>
      </c>
      <c r="P208" s="106">
        <v>0</v>
      </c>
      <c r="Q208" s="106">
        <v>0</v>
      </c>
      <c r="R208" s="106">
        <v>0</v>
      </c>
      <c r="S208" s="106">
        <v>0</v>
      </c>
      <c r="T208" s="106">
        <v>0</v>
      </c>
      <c r="U208" s="106">
        <v>0</v>
      </c>
      <c r="V208" s="106">
        <v>0</v>
      </c>
      <c r="W208" s="106">
        <v>0</v>
      </c>
      <c r="X208" s="106">
        <v>0</v>
      </c>
      <c r="Y208" s="106">
        <v>0</v>
      </c>
      <c r="Z208" s="106">
        <v>0</v>
      </c>
      <c r="AA208" s="106">
        <v>0</v>
      </c>
      <c r="AB208" s="106">
        <v>0</v>
      </c>
      <c r="AC208" s="106">
        <v>0</v>
      </c>
      <c r="AD208" s="106">
        <v>0</v>
      </c>
      <c r="AE208" s="106">
        <v>0</v>
      </c>
      <c r="AF208" s="106">
        <v>0</v>
      </c>
      <c r="AG208" s="106">
        <v>0</v>
      </c>
      <c r="AH208" s="106">
        <v>0</v>
      </c>
      <c r="AI208" s="106">
        <v>0</v>
      </c>
      <c r="AJ208" s="106">
        <v>0</v>
      </c>
      <c r="AK208" s="106">
        <v>0</v>
      </c>
      <c r="AL208" s="106">
        <v>0</v>
      </c>
      <c r="AM208" s="106">
        <v>0</v>
      </c>
      <c r="AN208" s="106">
        <v>0</v>
      </c>
      <c r="AO208" s="106">
        <v>0</v>
      </c>
      <c r="AP208" s="106">
        <v>0</v>
      </c>
      <c r="AQ208" s="106">
        <v>0</v>
      </c>
      <c r="AR208" s="106">
        <v>0</v>
      </c>
      <c r="AS208" s="106">
        <v>0</v>
      </c>
      <c r="AT208" s="106">
        <v>0</v>
      </c>
      <c r="AU208" s="106">
        <v>0</v>
      </c>
      <c r="AV208" s="106">
        <v>0</v>
      </c>
      <c r="AW208" s="106">
        <v>0</v>
      </c>
      <c r="AX208" s="106">
        <v>0</v>
      </c>
      <c r="AY208" s="106">
        <v>0</v>
      </c>
    </row>
    <row r="209" spans="1:51">
      <c r="A209" s="126" t="s">
        <v>123</v>
      </c>
      <c r="B209" s="123">
        <v>1</v>
      </c>
      <c r="C209" s="124">
        <v>8.9713483934779656</v>
      </c>
      <c r="D209" s="124">
        <v>58.472213405410699</v>
      </c>
      <c r="E209" s="124">
        <v>123.45154821266118</v>
      </c>
      <c r="F209" s="124">
        <v>123.45154821266122</v>
      </c>
      <c r="G209" s="124">
        <v>123.45154821266121</v>
      </c>
      <c r="H209" s="124">
        <v>9.4927468192181324E-3</v>
      </c>
      <c r="I209" s="124">
        <v>123.45154821266122</v>
      </c>
      <c r="J209" s="124">
        <v>123.45154821266121</v>
      </c>
      <c r="K209" s="124">
        <v>123.45154821266122</v>
      </c>
      <c r="L209" s="124">
        <v>8.9668406206635431</v>
      </c>
      <c r="M209" s="124">
        <v>74.191151765219857</v>
      </c>
      <c r="N209" s="124">
        <v>123.45154821266121</v>
      </c>
      <c r="O209" s="124">
        <v>123.45154821266122</v>
      </c>
      <c r="P209" s="124">
        <v>123.45154821266121</v>
      </c>
      <c r="Q209" s="124">
        <v>123.45154821266122</v>
      </c>
      <c r="R209" s="124">
        <v>8.9668406206635431</v>
      </c>
      <c r="S209" s="124">
        <v>80.298148163287195</v>
      </c>
      <c r="T209" s="124">
        <v>8.9668406206635431</v>
      </c>
      <c r="U209" s="124">
        <v>123.45154821266122</v>
      </c>
      <c r="V209" s="124">
        <v>8.9668406206635431</v>
      </c>
      <c r="W209" s="124">
        <v>34.117941414624923</v>
      </c>
      <c r="X209" s="124">
        <v>8.9668406206635431</v>
      </c>
      <c r="Y209" s="124">
        <v>123.45154821266122</v>
      </c>
      <c r="Z209" s="124">
        <v>8.9668406206635431</v>
      </c>
      <c r="AA209" s="124">
        <v>50.471814147132804</v>
      </c>
      <c r="AB209" s="124">
        <v>8.9668406206635431</v>
      </c>
      <c r="AC209" s="124">
        <v>82.378441459391169</v>
      </c>
      <c r="AD209" s="124">
        <v>123.45154821266119</v>
      </c>
      <c r="AE209" s="124">
        <v>123.45154821266122</v>
      </c>
      <c r="AF209" s="124">
        <v>8.9668406206635431</v>
      </c>
      <c r="AG209" s="124">
        <v>123.45154821266122</v>
      </c>
      <c r="AH209" s="124">
        <v>8.9668406206635431</v>
      </c>
      <c r="AI209" s="124">
        <v>101.19950293431818</v>
      </c>
      <c r="AJ209" s="124">
        <v>8.9668406206635431</v>
      </c>
      <c r="AK209" s="124">
        <v>50.109808842545547</v>
      </c>
      <c r="AL209" s="124">
        <v>89.582971485262476</v>
      </c>
      <c r="AM209" s="124">
        <v>9.4927468192181324E-3</v>
      </c>
      <c r="AN209" s="124">
        <v>123.45154821266122</v>
      </c>
      <c r="AO209" s="124">
        <v>123.45154821266121</v>
      </c>
      <c r="AP209" s="124">
        <v>123.45154821266122</v>
      </c>
      <c r="AQ209" s="124">
        <v>8.9668406206635431</v>
      </c>
      <c r="AR209" s="124">
        <v>19.275693943607294</v>
      </c>
      <c r="AS209" s="124">
        <v>8.9668406206635431</v>
      </c>
      <c r="AT209" s="124">
        <v>31.160760347924693</v>
      </c>
      <c r="AU209" s="124">
        <v>113.20037711275695</v>
      </c>
      <c r="AV209" s="124">
        <v>123.45154821266122</v>
      </c>
      <c r="AW209" s="124">
        <v>123.45154821266121</v>
      </c>
      <c r="AX209" s="124">
        <v>123.45154821266122</v>
      </c>
      <c r="AY209" s="124">
        <v>123.45154821266121</v>
      </c>
    </row>
    <row r="210" spans="1:51">
      <c r="A210" s="109"/>
      <c r="B210" s="119">
        <v>2</v>
      </c>
      <c r="C210" s="106">
        <v>0</v>
      </c>
      <c r="D210" s="110">
        <v>114.5277865945893</v>
      </c>
      <c r="E210" s="110">
        <v>32.972808088013942</v>
      </c>
      <c r="F210" s="110">
        <v>1.4412329918595653E-14</v>
      </c>
      <c r="G210" s="110">
        <v>0</v>
      </c>
      <c r="H210" s="110">
        <v>0</v>
      </c>
      <c r="I210" s="110">
        <v>0</v>
      </c>
      <c r="J210" s="110">
        <v>0</v>
      </c>
      <c r="K210" s="110">
        <v>0</v>
      </c>
      <c r="L210" s="110">
        <v>0</v>
      </c>
      <c r="M210" s="110">
        <v>114.48470759199766</v>
      </c>
      <c r="N210" s="110">
        <v>24.979394264085627</v>
      </c>
      <c r="O210" s="110">
        <v>0</v>
      </c>
      <c r="P210" s="110">
        <v>0</v>
      </c>
      <c r="Q210" s="110">
        <v>0</v>
      </c>
      <c r="R210" s="110">
        <v>0</v>
      </c>
      <c r="S210" s="110">
        <v>114.48470759199766</v>
      </c>
      <c r="T210" s="110">
        <v>21.882604920146061</v>
      </c>
      <c r="U210" s="110">
        <v>0</v>
      </c>
      <c r="V210" s="110">
        <v>0</v>
      </c>
      <c r="W210" s="110">
        <v>114.48470759199766</v>
      </c>
      <c r="X210" s="110">
        <v>45.300069552259053</v>
      </c>
      <c r="Y210" s="110">
        <v>0</v>
      </c>
      <c r="Z210" s="110">
        <v>0</v>
      </c>
      <c r="AA210" s="110">
        <v>114.48470759199766</v>
      </c>
      <c r="AB210" s="110">
        <v>37.007204204213075</v>
      </c>
      <c r="AC210" s="110">
        <v>114.48470759199766</v>
      </c>
      <c r="AD210" s="110">
        <v>20.827711533655371</v>
      </c>
      <c r="AE210" s="110">
        <v>7.2061649592978265E-15</v>
      </c>
      <c r="AF210" s="110">
        <v>0</v>
      </c>
      <c r="AG210" s="110">
        <v>0</v>
      </c>
      <c r="AH210" s="110">
        <v>0</v>
      </c>
      <c r="AI210" s="110">
        <v>114.48470759199766</v>
      </c>
      <c r="AJ210" s="110">
        <v>11.28376245983069</v>
      </c>
      <c r="AK210" s="110">
        <v>114.48470759199766</v>
      </c>
      <c r="AL210" s="110">
        <v>3.6030824796489132E-15</v>
      </c>
      <c r="AM210" s="110">
        <v>33.868576727398732</v>
      </c>
      <c r="AN210" s="110">
        <v>0</v>
      </c>
      <c r="AO210" s="110">
        <v>0</v>
      </c>
      <c r="AP210" s="110">
        <v>0</v>
      </c>
      <c r="AQ210" s="110">
        <v>0</v>
      </c>
      <c r="AR210" s="110">
        <v>114.48470759199766</v>
      </c>
      <c r="AS210" s="110">
        <v>52.826406692871615</v>
      </c>
      <c r="AT210" s="110">
        <v>114.48470759199766</v>
      </c>
      <c r="AU210" s="110">
        <v>46.799622887243046</v>
      </c>
      <c r="AV210" s="110">
        <v>5.1982538314794482</v>
      </c>
      <c r="AW210" s="110">
        <v>0</v>
      </c>
      <c r="AX210" s="110">
        <v>0</v>
      </c>
      <c r="AY210" s="110">
        <v>0</v>
      </c>
    </row>
    <row r="211" spans="1:51">
      <c r="A211" s="109"/>
      <c r="B211" s="119">
        <v>3</v>
      </c>
      <c r="C211" s="106">
        <v>114.56785537754276</v>
      </c>
      <c r="D211" s="110">
        <v>0</v>
      </c>
      <c r="E211" s="110">
        <v>0</v>
      </c>
      <c r="F211" s="110">
        <v>0</v>
      </c>
      <c r="G211" s="110">
        <v>0</v>
      </c>
      <c r="H211" s="110">
        <v>0</v>
      </c>
      <c r="I211" s="110">
        <v>0</v>
      </c>
      <c r="J211" s="110">
        <v>0</v>
      </c>
      <c r="K211" s="110">
        <v>0</v>
      </c>
      <c r="L211" s="110">
        <v>0</v>
      </c>
      <c r="M211" s="110">
        <v>0</v>
      </c>
      <c r="N211" s="110">
        <v>0</v>
      </c>
      <c r="O211" s="110">
        <v>0</v>
      </c>
      <c r="P211" s="110">
        <v>0</v>
      </c>
      <c r="Q211" s="110">
        <v>0</v>
      </c>
      <c r="R211" s="110">
        <v>0</v>
      </c>
      <c r="S211" s="110">
        <v>0</v>
      </c>
      <c r="T211" s="110">
        <v>0</v>
      </c>
      <c r="U211" s="110">
        <v>0</v>
      </c>
      <c r="V211" s="110">
        <v>114.48470759199766</v>
      </c>
      <c r="W211" s="110">
        <v>0</v>
      </c>
      <c r="X211" s="110">
        <v>0</v>
      </c>
      <c r="Y211" s="110">
        <v>0</v>
      </c>
      <c r="Z211" s="110">
        <v>114.48470759199766</v>
      </c>
      <c r="AA211" s="110">
        <v>0</v>
      </c>
      <c r="AB211" s="110">
        <v>0</v>
      </c>
      <c r="AC211" s="110">
        <v>0</v>
      </c>
      <c r="AD211" s="110">
        <v>0</v>
      </c>
      <c r="AE211" s="110">
        <v>0</v>
      </c>
      <c r="AF211" s="110">
        <v>0</v>
      </c>
      <c r="AG211" s="110">
        <v>0</v>
      </c>
      <c r="AH211" s="110">
        <v>114.48470759199766</v>
      </c>
      <c r="AI211" s="110">
        <v>0</v>
      </c>
      <c r="AJ211" s="110">
        <v>0</v>
      </c>
      <c r="AK211" s="110">
        <v>0</v>
      </c>
      <c r="AL211" s="110">
        <v>0</v>
      </c>
      <c r="AM211" s="110">
        <v>0</v>
      </c>
      <c r="AN211" s="110">
        <v>0</v>
      </c>
      <c r="AO211" s="110">
        <v>0</v>
      </c>
      <c r="AP211" s="110">
        <v>0</v>
      </c>
      <c r="AQ211" s="110">
        <v>0</v>
      </c>
      <c r="AR211" s="110">
        <v>0</v>
      </c>
      <c r="AS211" s="110">
        <v>0</v>
      </c>
      <c r="AT211" s="110">
        <v>0</v>
      </c>
      <c r="AU211" s="110">
        <v>0</v>
      </c>
      <c r="AV211" s="110">
        <v>0</v>
      </c>
      <c r="AW211" s="110">
        <v>0</v>
      </c>
      <c r="AX211" s="110">
        <v>0</v>
      </c>
      <c r="AY211" s="110">
        <v>0</v>
      </c>
    </row>
    <row r="212" spans="1:51">
      <c r="A212" s="109"/>
      <c r="B212" s="119">
        <v>4</v>
      </c>
      <c r="C212" s="106">
        <v>0</v>
      </c>
      <c r="D212" s="110">
        <v>0</v>
      </c>
      <c r="E212" s="110">
        <v>0</v>
      </c>
      <c r="F212" s="110">
        <v>0</v>
      </c>
      <c r="G212" s="110">
        <v>0</v>
      </c>
      <c r="H212" s="110">
        <v>0</v>
      </c>
      <c r="I212" s="110">
        <v>0</v>
      </c>
      <c r="J212" s="110">
        <v>0</v>
      </c>
      <c r="K212" s="110">
        <v>0</v>
      </c>
      <c r="L212" s="110">
        <v>0</v>
      </c>
      <c r="M212" s="110">
        <v>0</v>
      </c>
      <c r="N212" s="110">
        <v>0</v>
      </c>
      <c r="O212" s="110">
        <v>0</v>
      </c>
      <c r="P212" s="110">
        <v>0</v>
      </c>
      <c r="Q212" s="110">
        <v>0</v>
      </c>
      <c r="R212" s="110">
        <v>0</v>
      </c>
      <c r="S212" s="110">
        <v>0</v>
      </c>
      <c r="T212" s="110">
        <v>0</v>
      </c>
      <c r="U212" s="110">
        <v>0</v>
      </c>
      <c r="V212" s="110">
        <v>0</v>
      </c>
      <c r="W212" s="110">
        <v>0</v>
      </c>
      <c r="X212" s="110">
        <v>0</v>
      </c>
      <c r="Y212" s="110">
        <v>0</v>
      </c>
      <c r="Z212" s="110">
        <v>0</v>
      </c>
      <c r="AA212" s="110">
        <v>0</v>
      </c>
      <c r="AB212" s="110">
        <v>0</v>
      </c>
      <c r="AC212" s="110">
        <v>0</v>
      </c>
      <c r="AD212" s="110">
        <v>0</v>
      </c>
      <c r="AE212" s="110">
        <v>0</v>
      </c>
      <c r="AF212" s="110">
        <v>0</v>
      </c>
      <c r="AG212" s="110">
        <v>0</v>
      </c>
      <c r="AH212" s="110">
        <v>0</v>
      </c>
      <c r="AI212" s="110">
        <v>0</v>
      </c>
      <c r="AJ212" s="110">
        <v>0</v>
      </c>
      <c r="AK212" s="110">
        <v>0</v>
      </c>
      <c r="AL212" s="110">
        <v>0</v>
      </c>
      <c r="AM212" s="110">
        <v>0</v>
      </c>
      <c r="AN212" s="110">
        <v>0</v>
      </c>
      <c r="AO212" s="110">
        <v>0</v>
      </c>
      <c r="AP212" s="110">
        <v>0</v>
      </c>
      <c r="AQ212" s="110">
        <v>0</v>
      </c>
      <c r="AR212" s="110">
        <v>0</v>
      </c>
      <c r="AS212" s="110">
        <v>0</v>
      </c>
      <c r="AT212" s="110">
        <v>0</v>
      </c>
      <c r="AU212" s="110">
        <v>0</v>
      </c>
      <c r="AV212" s="110">
        <v>0</v>
      </c>
      <c r="AW212" s="110">
        <v>0</v>
      </c>
      <c r="AX212" s="110">
        <v>0</v>
      </c>
      <c r="AY212" s="110">
        <v>0</v>
      </c>
    </row>
    <row r="213" spans="1:51">
      <c r="A213" s="109"/>
      <c r="B213" s="119">
        <v>5</v>
      </c>
      <c r="C213" s="106">
        <v>0</v>
      </c>
      <c r="D213" s="110">
        <v>0</v>
      </c>
      <c r="E213" s="110">
        <v>0</v>
      </c>
      <c r="F213" s="110">
        <v>0</v>
      </c>
      <c r="G213" s="110">
        <v>0</v>
      </c>
      <c r="H213" s="110">
        <v>0</v>
      </c>
      <c r="I213" s="110">
        <v>0</v>
      </c>
      <c r="J213" s="110">
        <v>0</v>
      </c>
      <c r="K213" s="110">
        <v>0</v>
      </c>
      <c r="L213" s="110">
        <v>0</v>
      </c>
      <c r="M213" s="110">
        <v>0</v>
      </c>
      <c r="N213" s="110">
        <v>0</v>
      </c>
      <c r="O213" s="110">
        <v>0</v>
      </c>
      <c r="P213" s="110">
        <v>0</v>
      </c>
      <c r="Q213" s="110">
        <v>0</v>
      </c>
      <c r="R213" s="110">
        <v>0</v>
      </c>
      <c r="S213" s="110">
        <v>0</v>
      </c>
      <c r="T213" s="110">
        <v>0</v>
      </c>
      <c r="U213" s="110">
        <v>0</v>
      </c>
      <c r="V213" s="110">
        <v>0</v>
      </c>
      <c r="W213" s="110">
        <v>0</v>
      </c>
      <c r="X213" s="110">
        <v>0</v>
      </c>
      <c r="Y213" s="110">
        <v>0</v>
      </c>
      <c r="Z213" s="110">
        <v>0</v>
      </c>
      <c r="AA213" s="110">
        <v>0</v>
      </c>
      <c r="AB213" s="110">
        <v>0</v>
      </c>
      <c r="AC213" s="110">
        <v>0</v>
      </c>
      <c r="AD213" s="110">
        <v>0</v>
      </c>
      <c r="AE213" s="110">
        <v>0</v>
      </c>
      <c r="AF213" s="110">
        <v>0</v>
      </c>
      <c r="AG213" s="110">
        <v>0</v>
      </c>
      <c r="AH213" s="110">
        <v>0</v>
      </c>
      <c r="AI213" s="110">
        <v>0</v>
      </c>
      <c r="AJ213" s="110">
        <v>0</v>
      </c>
      <c r="AK213" s="110">
        <v>0</v>
      </c>
      <c r="AL213" s="110">
        <v>0</v>
      </c>
      <c r="AM213" s="110">
        <v>0</v>
      </c>
      <c r="AN213" s="110">
        <v>0</v>
      </c>
      <c r="AO213" s="110">
        <v>0</v>
      </c>
      <c r="AP213" s="110">
        <v>0</v>
      </c>
      <c r="AQ213" s="110">
        <v>0</v>
      </c>
      <c r="AR213" s="110">
        <v>0</v>
      </c>
      <c r="AS213" s="110">
        <v>0</v>
      </c>
      <c r="AT213" s="110">
        <v>0</v>
      </c>
      <c r="AU213" s="110">
        <v>0</v>
      </c>
      <c r="AV213" s="110">
        <v>0</v>
      </c>
      <c r="AW213" s="110">
        <v>0</v>
      </c>
      <c r="AX213" s="110">
        <v>0</v>
      </c>
      <c r="AY213" s="110">
        <v>0</v>
      </c>
    </row>
    <row r="214" spans="1:51">
      <c r="A214" s="109"/>
      <c r="B214" s="119">
        <v>6</v>
      </c>
      <c r="C214" s="106">
        <v>0</v>
      </c>
      <c r="D214" s="110">
        <v>0</v>
      </c>
      <c r="E214" s="110">
        <v>0</v>
      </c>
      <c r="F214" s="110">
        <v>0</v>
      </c>
      <c r="G214" s="110">
        <v>0</v>
      </c>
      <c r="H214" s="110">
        <v>0</v>
      </c>
      <c r="I214" s="110">
        <v>0</v>
      </c>
      <c r="J214" s="110">
        <v>0</v>
      </c>
      <c r="K214" s="110">
        <v>0</v>
      </c>
      <c r="L214" s="110">
        <v>0</v>
      </c>
      <c r="M214" s="110">
        <v>0</v>
      </c>
      <c r="N214" s="110">
        <v>0</v>
      </c>
      <c r="O214" s="110">
        <v>0</v>
      </c>
      <c r="P214" s="110">
        <v>0</v>
      </c>
      <c r="Q214" s="110">
        <v>0</v>
      </c>
      <c r="R214" s="110">
        <v>0</v>
      </c>
      <c r="S214" s="110">
        <v>0</v>
      </c>
      <c r="T214" s="110">
        <v>0</v>
      </c>
      <c r="U214" s="110">
        <v>0</v>
      </c>
      <c r="V214" s="110">
        <v>0</v>
      </c>
      <c r="W214" s="110">
        <v>0</v>
      </c>
      <c r="X214" s="110">
        <v>0</v>
      </c>
      <c r="Y214" s="110">
        <v>0</v>
      </c>
      <c r="Z214" s="110">
        <v>0</v>
      </c>
      <c r="AA214" s="110">
        <v>0</v>
      </c>
      <c r="AB214" s="110">
        <v>0</v>
      </c>
      <c r="AC214" s="110">
        <v>0</v>
      </c>
      <c r="AD214" s="110">
        <v>0</v>
      </c>
      <c r="AE214" s="110">
        <v>0</v>
      </c>
      <c r="AF214" s="110">
        <v>0</v>
      </c>
      <c r="AG214" s="110">
        <v>0</v>
      </c>
      <c r="AH214" s="110">
        <v>0</v>
      </c>
      <c r="AI214" s="110">
        <v>0</v>
      </c>
      <c r="AJ214" s="110">
        <v>0</v>
      </c>
      <c r="AK214" s="110">
        <v>0</v>
      </c>
      <c r="AL214" s="110">
        <v>0</v>
      </c>
      <c r="AM214" s="110">
        <v>0</v>
      </c>
      <c r="AN214" s="110">
        <v>0</v>
      </c>
      <c r="AO214" s="110">
        <v>0</v>
      </c>
      <c r="AP214" s="110">
        <v>0</v>
      </c>
      <c r="AQ214" s="110">
        <v>0</v>
      </c>
      <c r="AR214" s="110">
        <v>0</v>
      </c>
      <c r="AS214" s="110">
        <v>0</v>
      </c>
      <c r="AT214" s="110">
        <v>0</v>
      </c>
      <c r="AU214" s="110">
        <v>0</v>
      </c>
      <c r="AV214" s="110">
        <v>0</v>
      </c>
      <c r="AW214" s="110">
        <v>0</v>
      </c>
      <c r="AX214" s="110">
        <v>0</v>
      </c>
      <c r="AY214" s="110">
        <v>0</v>
      </c>
    </row>
    <row r="215" spans="1:51">
      <c r="A215" s="109"/>
      <c r="B215" s="119">
        <v>7</v>
      </c>
      <c r="C215" s="106">
        <v>0</v>
      </c>
      <c r="D215" s="110">
        <v>0</v>
      </c>
      <c r="E215" s="110">
        <v>0</v>
      </c>
      <c r="F215" s="110">
        <v>0</v>
      </c>
      <c r="G215" s="110">
        <v>0</v>
      </c>
      <c r="H215" s="110">
        <v>0</v>
      </c>
      <c r="I215" s="110">
        <v>0</v>
      </c>
      <c r="J215" s="110">
        <v>0</v>
      </c>
      <c r="K215" s="110">
        <v>0</v>
      </c>
      <c r="L215" s="110">
        <v>0</v>
      </c>
      <c r="M215" s="110">
        <v>0</v>
      </c>
      <c r="N215" s="110">
        <v>0</v>
      </c>
      <c r="O215" s="110">
        <v>0</v>
      </c>
      <c r="P215" s="110">
        <v>0</v>
      </c>
      <c r="Q215" s="110">
        <v>0</v>
      </c>
      <c r="R215" s="110">
        <v>0</v>
      </c>
      <c r="S215" s="110">
        <v>0</v>
      </c>
      <c r="T215" s="110">
        <v>0</v>
      </c>
      <c r="U215" s="110">
        <v>0</v>
      </c>
      <c r="V215" s="110">
        <v>0</v>
      </c>
      <c r="W215" s="110">
        <v>0</v>
      </c>
      <c r="X215" s="110">
        <v>0</v>
      </c>
      <c r="Y215" s="110">
        <v>0</v>
      </c>
      <c r="Z215" s="110">
        <v>0</v>
      </c>
      <c r="AA215" s="110">
        <v>0</v>
      </c>
      <c r="AB215" s="110">
        <v>0</v>
      </c>
      <c r="AC215" s="110">
        <v>0</v>
      </c>
      <c r="AD215" s="110">
        <v>0</v>
      </c>
      <c r="AE215" s="110">
        <v>0</v>
      </c>
      <c r="AF215" s="110">
        <v>0</v>
      </c>
      <c r="AG215" s="110">
        <v>0</v>
      </c>
      <c r="AH215" s="110">
        <v>0</v>
      </c>
      <c r="AI215" s="110">
        <v>0</v>
      </c>
      <c r="AJ215" s="110">
        <v>0</v>
      </c>
      <c r="AK215" s="110">
        <v>0</v>
      </c>
      <c r="AL215" s="110">
        <v>0</v>
      </c>
      <c r="AM215" s="110">
        <v>0</v>
      </c>
      <c r="AN215" s="110">
        <v>0</v>
      </c>
      <c r="AO215" s="110">
        <v>0</v>
      </c>
      <c r="AP215" s="110">
        <v>0</v>
      </c>
      <c r="AQ215" s="110">
        <v>0</v>
      </c>
      <c r="AR215" s="110">
        <v>0</v>
      </c>
      <c r="AS215" s="110">
        <v>0</v>
      </c>
      <c r="AT215" s="110">
        <v>0</v>
      </c>
      <c r="AU215" s="110">
        <v>0</v>
      </c>
      <c r="AV215" s="110">
        <v>0</v>
      </c>
      <c r="AW215" s="110">
        <v>0</v>
      </c>
      <c r="AX215" s="110">
        <v>0</v>
      </c>
      <c r="AY215" s="110">
        <v>0</v>
      </c>
    </row>
    <row r="216" spans="1:51">
      <c r="A216" s="109"/>
      <c r="B216" s="119">
        <v>8</v>
      </c>
      <c r="C216" s="106">
        <v>0</v>
      </c>
      <c r="D216" s="110">
        <v>0</v>
      </c>
      <c r="E216" s="110">
        <v>0</v>
      </c>
      <c r="F216" s="110">
        <v>0</v>
      </c>
      <c r="G216" s="110">
        <v>0</v>
      </c>
      <c r="H216" s="110">
        <v>0</v>
      </c>
      <c r="I216" s="110">
        <v>0</v>
      </c>
      <c r="J216" s="110">
        <v>0</v>
      </c>
      <c r="K216" s="110">
        <v>0</v>
      </c>
      <c r="L216" s="110">
        <v>0</v>
      </c>
      <c r="M216" s="110">
        <v>0</v>
      </c>
      <c r="N216" s="110">
        <v>0</v>
      </c>
      <c r="O216" s="110">
        <v>0</v>
      </c>
      <c r="P216" s="110">
        <v>0</v>
      </c>
      <c r="Q216" s="110">
        <v>0</v>
      </c>
      <c r="R216" s="110">
        <v>0</v>
      </c>
      <c r="S216" s="110">
        <v>0</v>
      </c>
      <c r="T216" s="110">
        <v>0</v>
      </c>
      <c r="U216" s="110">
        <v>0</v>
      </c>
      <c r="V216" s="110">
        <v>0</v>
      </c>
      <c r="W216" s="110">
        <v>0</v>
      </c>
      <c r="X216" s="110">
        <v>0</v>
      </c>
      <c r="Y216" s="110">
        <v>0</v>
      </c>
      <c r="Z216" s="110">
        <v>0</v>
      </c>
      <c r="AA216" s="110">
        <v>0</v>
      </c>
      <c r="AB216" s="110">
        <v>0</v>
      </c>
      <c r="AC216" s="110">
        <v>0</v>
      </c>
      <c r="AD216" s="110">
        <v>0</v>
      </c>
      <c r="AE216" s="110">
        <v>0</v>
      </c>
      <c r="AF216" s="110">
        <v>0</v>
      </c>
      <c r="AG216" s="110">
        <v>0</v>
      </c>
      <c r="AH216" s="110">
        <v>0</v>
      </c>
      <c r="AI216" s="110">
        <v>0</v>
      </c>
      <c r="AJ216" s="110">
        <v>0</v>
      </c>
      <c r="AK216" s="110">
        <v>0</v>
      </c>
      <c r="AL216" s="110">
        <v>0</v>
      </c>
      <c r="AM216" s="110">
        <v>0</v>
      </c>
      <c r="AN216" s="110">
        <v>0</v>
      </c>
      <c r="AO216" s="110">
        <v>0</v>
      </c>
      <c r="AP216" s="110">
        <v>0</v>
      </c>
      <c r="AQ216" s="110">
        <v>0</v>
      </c>
      <c r="AR216" s="110">
        <v>0</v>
      </c>
      <c r="AS216" s="110">
        <v>0</v>
      </c>
      <c r="AT216" s="110">
        <v>0</v>
      </c>
      <c r="AU216" s="110">
        <v>0</v>
      </c>
      <c r="AV216" s="110">
        <v>0</v>
      </c>
      <c r="AW216" s="110">
        <v>0</v>
      </c>
      <c r="AX216" s="110">
        <v>0</v>
      </c>
      <c r="AY216" s="110">
        <v>0</v>
      </c>
    </row>
    <row r="217" spans="1:51">
      <c r="A217" s="109"/>
      <c r="B217" s="119">
        <v>9</v>
      </c>
      <c r="C217" s="106">
        <v>0</v>
      </c>
      <c r="D217" s="110">
        <v>0</v>
      </c>
      <c r="E217" s="110">
        <v>0</v>
      </c>
      <c r="F217" s="110">
        <v>0</v>
      </c>
      <c r="G217" s="110">
        <v>0</v>
      </c>
      <c r="H217" s="110">
        <v>0</v>
      </c>
      <c r="I217" s="110">
        <v>0</v>
      </c>
      <c r="J217" s="110">
        <v>0</v>
      </c>
      <c r="K217" s="110">
        <v>0</v>
      </c>
      <c r="L217" s="110">
        <v>0</v>
      </c>
      <c r="M217" s="110">
        <v>0</v>
      </c>
      <c r="N217" s="110">
        <v>0</v>
      </c>
      <c r="O217" s="110">
        <v>0</v>
      </c>
      <c r="P217" s="110">
        <v>0</v>
      </c>
      <c r="Q217" s="110">
        <v>0</v>
      </c>
      <c r="R217" s="110">
        <v>0</v>
      </c>
      <c r="S217" s="110">
        <v>0</v>
      </c>
      <c r="T217" s="110">
        <v>0</v>
      </c>
      <c r="U217" s="110">
        <v>0</v>
      </c>
      <c r="V217" s="110">
        <v>0</v>
      </c>
      <c r="W217" s="110">
        <v>0</v>
      </c>
      <c r="X217" s="110">
        <v>0</v>
      </c>
      <c r="Y217" s="110">
        <v>0</v>
      </c>
      <c r="Z217" s="110">
        <v>0</v>
      </c>
      <c r="AA217" s="110">
        <v>0</v>
      </c>
      <c r="AB217" s="110">
        <v>0</v>
      </c>
      <c r="AC217" s="110">
        <v>0</v>
      </c>
      <c r="AD217" s="110">
        <v>0</v>
      </c>
      <c r="AE217" s="110">
        <v>0</v>
      </c>
      <c r="AF217" s="110">
        <v>0</v>
      </c>
      <c r="AG217" s="110">
        <v>0</v>
      </c>
      <c r="AH217" s="110">
        <v>0</v>
      </c>
      <c r="AI217" s="110">
        <v>0</v>
      </c>
      <c r="AJ217" s="110">
        <v>0</v>
      </c>
      <c r="AK217" s="110">
        <v>0</v>
      </c>
      <c r="AL217" s="110">
        <v>0</v>
      </c>
      <c r="AM217" s="110">
        <v>0</v>
      </c>
      <c r="AN217" s="110">
        <v>0</v>
      </c>
      <c r="AO217" s="110">
        <v>0</v>
      </c>
      <c r="AP217" s="110">
        <v>0</v>
      </c>
      <c r="AQ217" s="110">
        <v>0</v>
      </c>
      <c r="AR217" s="110">
        <v>0</v>
      </c>
      <c r="AS217" s="110">
        <v>0</v>
      </c>
      <c r="AT217" s="110">
        <v>0</v>
      </c>
      <c r="AU217" s="110">
        <v>0</v>
      </c>
      <c r="AV217" s="110">
        <v>0</v>
      </c>
      <c r="AW217" s="110">
        <v>0</v>
      </c>
      <c r="AX217" s="110">
        <v>0</v>
      </c>
      <c r="AY217" s="110">
        <v>0</v>
      </c>
    </row>
    <row r="218" spans="1:51">
      <c r="A218" s="109"/>
      <c r="B218" s="119">
        <v>10</v>
      </c>
      <c r="C218" s="106">
        <v>0</v>
      </c>
      <c r="D218" s="110">
        <v>0</v>
      </c>
      <c r="E218" s="110">
        <v>0</v>
      </c>
      <c r="F218" s="110">
        <v>0</v>
      </c>
      <c r="G218" s="110">
        <v>0</v>
      </c>
      <c r="H218" s="110">
        <v>0</v>
      </c>
      <c r="I218" s="110">
        <v>0</v>
      </c>
      <c r="J218" s="110">
        <v>0</v>
      </c>
      <c r="K218" s="110">
        <v>0</v>
      </c>
      <c r="L218" s="110">
        <v>0</v>
      </c>
      <c r="M218" s="110">
        <v>0</v>
      </c>
      <c r="N218" s="110">
        <v>0</v>
      </c>
      <c r="O218" s="110">
        <v>0</v>
      </c>
      <c r="P218" s="110">
        <v>0</v>
      </c>
      <c r="Q218" s="110">
        <v>0</v>
      </c>
      <c r="R218" s="110">
        <v>0</v>
      </c>
      <c r="S218" s="110">
        <v>0</v>
      </c>
      <c r="T218" s="110">
        <v>0</v>
      </c>
      <c r="U218" s="110">
        <v>0</v>
      </c>
      <c r="V218" s="110">
        <v>0</v>
      </c>
      <c r="W218" s="110">
        <v>0</v>
      </c>
      <c r="X218" s="110">
        <v>0</v>
      </c>
      <c r="Y218" s="110">
        <v>0</v>
      </c>
      <c r="Z218" s="110">
        <v>0</v>
      </c>
      <c r="AA218" s="110">
        <v>0</v>
      </c>
      <c r="AB218" s="110">
        <v>0</v>
      </c>
      <c r="AC218" s="110">
        <v>0</v>
      </c>
      <c r="AD218" s="110">
        <v>0</v>
      </c>
      <c r="AE218" s="110">
        <v>0</v>
      </c>
      <c r="AF218" s="110">
        <v>0</v>
      </c>
      <c r="AG218" s="110">
        <v>0</v>
      </c>
      <c r="AH218" s="110">
        <v>0</v>
      </c>
      <c r="AI218" s="110">
        <v>0</v>
      </c>
      <c r="AJ218" s="110">
        <v>0</v>
      </c>
      <c r="AK218" s="110">
        <v>0</v>
      </c>
      <c r="AL218" s="110">
        <v>0</v>
      </c>
      <c r="AM218" s="110">
        <v>0</v>
      </c>
      <c r="AN218" s="110">
        <v>0</v>
      </c>
      <c r="AO218" s="110">
        <v>0</v>
      </c>
      <c r="AP218" s="110">
        <v>0</v>
      </c>
      <c r="AQ218" s="110">
        <v>0</v>
      </c>
      <c r="AR218" s="110">
        <v>0</v>
      </c>
      <c r="AS218" s="110">
        <v>0</v>
      </c>
      <c r="AT218" s="110">
        <v>0</v>
      </c>
      <c r="AU218" s="110">
        <v>0</v>
      </c>
      <c r="AV218" s="110">
        <v>0</v>
      </c>
      <c r="AW218" s="110">
        <v>0</v>
      </c>
      <c r="AX218" s="110">
        <v>0</v>
      </c>
      <c r="AY218" s="110">
        <v>0</v>
      </c>
    </row>
    <row r="219" spans="1:51">
      <c r="A219" s="109"/>
      <c r="B219" s="119">
        <v>11</v>
      </c>
      <c r="C219" s="106">
        <v>0</v>
      </c>
      <c r="D219" s="110">
        <v>0</v>
      </c>
      <c r="E219" s="110">
        <v>0</v>
      </c>
      <c r="F219" s="110">
        <v>0</v>
      </c>
      <c r="G219" s="110">
        <v>0</v>
      </c>
      <c r="H219" s="110">
        <v>0</v>
      </c>
      <c r="I219" s="110">
        <v>0</v>
      </c>
      <c r="J219" s="110">
        <v>0</v>
      </c>
      <c r="K219" s="110">
        <v>0</v>
      </c>
      <c r="L219" s="110">
        <v>0</v>
      </c>
      <c r="M219" s="110">
        <v>0</v>
      </c>
      <c r="N219" s="110">
        <v>0</v>
      </c>
      <c r="O219" s="110">
        <v>0</v>
      </c>
      <c r="P219" s="110">
        <v>0</v>
      </c>
      <c r="Q219" s="110">
        <v>0</v>
      </c>
      <c r="R219" s="110">
        <v>0</v>
      </c>
      <c r="S219" s="110">
        <v>0</v>
      </c>
      <c r="T219" s="110">
        <v>0</v>
      </c>
      <c r="U219" s="110">
        <v>0</v>
      </c>
      <c r="V219" s="110">
        <v>0</v>
      </c>
      <c r="W219" s="110">
        <v>0</v>
      </c>
      <c r="X219" s="110">
        <v>0</v>
      </c>
      <c r="Y219" s="110">
        <v>0</v>
      </c>
      <c r="Z219" s="110">
        <v>0</v>
      </c>
      <c r="AA219" s="110">
        <v>0</v>
      </c>
      <c r="AB219" s="110">
        <v>0</v>
      </c>
      <c r="AC219" s="110">
        <v>0</v>
      </c>
      <c r="AD219" s="110">
        <v>0</v>
      </c>
      <c r="AE219" s="110">
        <v>0</v>
      </c>
      <c r="AF219" s="110">
        <v>0</v>
      </c>
      <c r="AG219" s="110">
        <v>0</v>
      </c>
      <c r="AH219" s="110">
        <v>0</v>
      </c>
      <c r="AI219" s="110">
        <v>0</v>
      </c>
      <c r="AJ219" s="110">
        <v>0</v>
      </c>
      <c r="AK219" s="110">
        <v>0</v>
      </c>
      <c r="AL219" s="110">
        <v>0</v>
      </c>
      <c r="AM219" s="110">
        <v>0</v>
      </c>
      <c r="AN219" s="110">
        <v>0</v>
      </c>
      <c r="AO219" s="110">
        <v>0</v>
      </c>
      <c r="AP219" s="110">
        <v>0</v>
      </c>
      <c r="AQ219" s="110">
        <v>0</v>
      </c>
      <c r="AR219" s="110">
        <v>0</v>
      </c>
      <c r="AS219" s="110">
        <v>0</v>
      </c>
      <c r="AT219" s="110">
        <v>0</v>
      </c>
      <c r="AU219" s="110">
        <v>0</v>
      </c>
      <c r="AV219" s="110">
        <v>0</v>
      </c>
      <c r="AW219" s="110">
        <v>0</v>
      </c>
      <c r="AX219" s="110">
        <v>0</v>
      </c>
      <c r="AY219" s="110">
        <v>0</v>
      </c>
    </row>
    <row r="220" spans="1:51">
      <c r="A220" s="109"/>
      <c r="B220" s="119">
        <v>12</v>
      </c>
      <c r="C220" s="106">
        <v>0</v>
      </c>
      <c r="D220" s="110">
        <v>0</v>
      </c>
      <c r="E220" s="110">
        <v>0</v>
      </c>
      <c r="F220" s="110">
        <v>0</v>
      </c>
      <c r="G220" s="110">
        <v>0</v>
      </c>
      <c r="H220" s="110">
        <v>0</v>
      </c>
      <c r="I220" s="110">
        <v>0</v>
      </c>
      <c r="J220" s="110">
        <v>0</v>
      </c>
      <c r="K220" s="110">
        <v>0</v>
      </c>
      <c r="L220" s="110">
        <v>0</v>
      </c>
      <c r="M220" s="110">
        <v>0</v>
      </c>
      <c r="N220" s="110">
        <v>0</v>
      </c>
      <c r="O220" s="110">
        <v>0</v>
      </c>
      <c r="P220" s="110">
        <v>0</v>
      </c>
      <c r="Q220" s="110">
        <v>0</v>
      </c>
      <c r="R220" s="110">
        <v>0</v>
      </c>
      <c r="S220" s="110">
        <v>0</v>
      </c>
      <c r="T220" s="110">
        <v>0</v>
      </c>
      <c r="U220" s="110">
        <v>0</v>
      </c>
      <c r="V220" s="110">
        <v>0</v>
      </c>
      <c r="W220" s="110">
        <v>0</v>
      </c>
      <c r="X220" s="110">
        <v>0</v>
      </c>
      <c r="Y220" s="110">
        <v>0</v>
      </c>
      <c r="Z220" s="110">
        <v>0</v>
      </c>
      <c r="AA220" s="110">
        <v>0</v>
      </c>
      <c r="AB220" s="110">
        <v>0</v>
      </c>
      <c r="AC220" s="110">
        <v>0</v>
      </c>
      <c r="AD220" s="110">
        <v>0</v>
      </c>
      <c r="AE220" s="110">
        <v>0</v>
      </c>
      <c r="AF220" s="110">
        <v>0</v>
      </c>
      <c r="AG220" s="110">
        <v>0</v>
      </c>
      <c r="AH220" s="110">
        <v>0</v>
      </c>
      <c r="AI220" s="110">
        <v>0</v>
      </c>
      <c r="AJ220" s="110">
        <v>0</v>
      </c>
      <c r="AK220" s="110">
        <v>0</v>
      </c>
      <c r="AL220" s="110">
        <v>0</v>
      </c>
      <c r="AM220" s="110">
        <v>0</v>
      </c>
      <c r="AN220" s="110">
        <v>0</v>
      </c>
      <c r="AO220" s="110">
        <v>0</v>
      </c>
      <c r="AP220" s="110">
        <v>0</v>
      </c>
      <c r="AQ220" s="110">
        <v>0</v>
      </c>
      <c r="AR220" s="110">
        <v>0</v>
      </c>
      <c r="AS220" s="110">
        <v>0</v>
      </c>
      <c r="AT220" s="110">
        <v>0</v>
      </c>
      <c r="AU220" s="110">
        <v>0</v>
      </c>
      <c r="AV220" s="110">
        <v>0</v>
      </c>
      <c r="AW220" s="110">
        <v>0</v>
      </c>
      <c r="AX220" s="110">
        <v>0</v>
      </c>
      <c r="AY220" s="110">
        <v>0</v>
      </c>
    </row>
    <row r="221" spans="1:51">
      <c r="A221" s="109"/>
      <c r="B221" s="120">
        <v>13</v>
      </c>
      <c r="C221" s="106">
        <v>0</v>
      </c>
      <c r="D221" s="110">
        <v>0</v>
      </c>
      <c r="E221" s="110">
        <v>0</v>
      </c>
      <c r="F221" s="110">
        <v>0</v>
      </c>
      <c r="G221" s="110">
        <v>0</v>
      </c>
      <c r="H221" s="110">
        <v>0</v>
      </c>
      <c r="I221" s="110">
        <v>0</v>
      </c>
      <c r="J221" s="110">
        <v>0</v>
      </c>
      <c r="K221" s="110">
        <v>0</v>
      </c>
      <c r="L221" s="110">
        <v>0</v>
      </c>
      <c r="M221" s="110">
        <v>0</v>
      </c>
      <c r="N221" s="110">
        <v>0</v>
      </c>
      <c r="O221" s="110">
        <v>0</v>
      </c>
      <c r="P221" s="110">
        <v>0</v>
      </c>
      <c r="Q221" s="110">
        <v>0</v>
      </c>
      <c r="R221" s="110">
        <v>0</v>
      </c>
      <c r="S221" s="110">
        <v>0</v>
      </c>
      <c r="T221" s="110">
        <v>0</v>
      </c>
      <c r="U221" s="110">
        <v>0</v>
      </c>
      <c r="V221" s="110">
        <v>0</v>
      </c>
      <c r="W221" s="110">
        <v>0</v>
      </c>
      <c r="X221" s="110">
        <v>0</v>
      </c>
      <c r="Y221" s="110">
        <v>0</v>
      </c>
      <c r="Z221" s="110">
        <v>0</v>
      </c>
      <c r="AA221" s="110">
        <v>0</v>
      </c>
      <c r="AB221" s="110">
        <v>0</v>
      </c>
      <c r="AC221" s="110">
        <v>0</v>
      </c>
      <c r="AD221" s="110">
        <v>0</v>
      </c>
      <c r="AE221" s="110">
        <v>0</v>
      </c>
      <c r="AF221" s="110">
        <v>0</v>
      </c>
      <c r="AG221" s="110">
        <v>0</v>
      </c>
      <c r="AH221" s="110">
        <v>0</v>
      </c>
      <c r="AI221" s="110">
        <v>0</v>
      </c>
      <c r="AJ221" s="110">
        <v>0</v>
      </c>
      <c r="AK221" s="110">
        <v>0</v>
      </c>
      <c r="AL221" s="110">
        <v>0</v>
      </c>
      <c r="AM221" s="110">
        <v>0</v>
      </c>
      <c r="AN221" s="110">
        <v>0</v>
      </c>
      <c r="AO221" s="110">
        <v>0</v>
      </c>
      <c r="AP221" s="110">
        <v>0</v>
      </c>
      <c r="AQ221" s="110">
        <v>0</v>
      </c>
      <c r="AR221" s="110">
        <v>0</v>
      </c>
      <c r="AS221" s="110">
        <v>0</v>
      </c>
      <c r="AT221" s="110">
        <v>0</v>
      </c>
      <c r="AU221" s="110">
        <v>0</v>
      </c>
      <c r="AV221" s="110">
        <v>0</v>
      </c>
      <c r="AW221" s="110">
        <v>0</v>
      </c>
      <c r="AX221" s="110">
        <v>0</v>
      </c>
      <c r="AY221" s="110">
        <v>0</v>
      </c>
    </row>
    <row r="222" spans="1:51">
      <c r="A222" s="109"/>
      <c r="B222" s="120">
        <v>14</v>
      </c>
      <c r="C222" s="106">
        <v>0</v>
      </c>
      <c r="D222" s="110">
        <v>0</v>
      </c>
      <c r="E222" s="110">
        <v>0</v>
      </c>
      <c r="F222" s="110">
        <v>0</v>
      </c>
      <c r="G222" s="110">
        <v>0</v>
      </c>
      <c r="H222" s="110">
        <v>0</v>
      </c>
      <c r="I222" s="110">
        <v>0</v>
      </c>
      <c r="J222" s="110">
        <v>0</v>
      </c>
      <c r="K222" s="110">
        <v>0</v>
      </c>
      <c r="L222" s="110">
        <v>0</v>
      </c>
      <c r="M222" s="110">
        <v>0</v>
      </c>
      <c r="N222" s="110">
        <v>0</v>
      </c>
      <c r="O222" s="110">
        <v>0</v>
      </c>
      <c r="P222" s="110">
        <v>0</v>
      </c>
      <c r="Q222" s="110">
        <v>0</v>
      </c>
      <c r="R222" s="110">
        <v>0</v>
      </c>
      <c r="S222" s="110">
        <v>0</v>
      </c>
      <c r="T222" s="110">
        <v>0</v>
      </c>
      <c r="U222" s="110">
        <v>0</v>
      </c>
      <c r="V222" s="110">
        <v>0</v>
      </c>
      <c r="W222" s="110">
        <v>0</v>
      </c>
      <c r="X222" s="110">
        <v>0</v>
      </c>
      <c r="Y222" s="110">
        <v>0</v>
      </c>
      <c r="Z222" s="110">
        <v>0</v>
      </c>
      <c r="AA222" s="110">
        <v>0</v>
      </c>
      <c r="AB222" s="110">
        <v>0</v>
      </c>
      <c r="AC222" s="110">
        <v>0</v>
      </c>
      <c r="AD222" s="110">
        <v>0</v>
      </c>
      <c r="AE222" s="110">
        <v>0</v>
      </c>
      <c r="AF222" s="110">
        <v>0</v>
      </c>
      <c r="AG222" s="110">
        <v>0</v>
      </c>
      <c r="AH222" s="110">
        <v>0</v>
      </c>
      <c r="AI222" s="110">
        <v>0</v>
      </c>
      <c r="AJ222" s="110">
        <v>0</v>
      </c>
      <c r="AK222" s="110">
        <v>0</v>
      </c>
      <c r="AL222" s="110">
        <v>0</v>
      </c>
      <c r="AM222" s="110">
        <v>0</v>
      </c>
      <c r="AN222" s="110">
        <v>0</v>
      </c>
      <c r="AO222" s="110">
        <v>0</v>
      </c>
      <c r="AP222" s="110">
        <v>0</v>
      </c>
      <c r="AQ222" s="110">
        <v>0</v>
      </c>
      <c r="AR222" s="110">
        <v>0</v>
      </c>
      <c r="AS222" s="110">
        <v>0</v>
      </c>
      <c r="AT222" s="110">
        <v>0</v>
      </c>
      <c r="AU222" s="110">
        <v>0</v>
      </c>
      <c r="AV222" s="110">
        <v>0</v>
      </c>
      <c r="AW222" s="110">
        <v>0</v>
      </c>
      <c r="AX222" s="110">
        <v>0</v>
      </c>
      <c r="AY222" s="110">
        <v>0</v>
      </c>
    </row>
    <row r="223" spans="1:51">
      <c r="A223" s="109"/>
      <c r="B223" s="120">
        <v>15</v>
      </c>
      <c r="C223" s="106">
        <v>0</v>
      </c>
      <c r="D223" s="110">
        <v>0</v>
      </c>
      <c r="E223" s="110">
        <v>0</v>
      </c>
      <c r="F223" s="110">
        <v>0</v>
      </c>
      <c r="G223" s="110">
        <v>0</v>
      </c>
      <c r="H223" s="110">
        <v>0</v>
      </c>
      <c r="I223" s="110">
        <v>0</v>
      </c>
      <c r="J223" s="110">
        <v>0</v>
      </c>
      <c r="K223" s="110">
        <v>0</v>
      </c>
      <c r="L223" s="110">
        <v>0</v>
      </c>
      <c r="M223" s="110">
        <v>0</v>
      </c>
      <c r="N223" s="110">
        <v>0</v>
      </c>
      <c r="O223" s="110">
        <v>0</v>
      </c>
      <c r="P223" s="110">
        <v>0</v>
      </c>
      <c r="Q223" s="110">
        <v>0</v>
      </c>
      <c r="R223" s="110">
        <v>0</v>
      </c>
      <c r="S223" s="110">
        <v>0</v>
      </c>
      <c r="T223" s="110">
        <v>0</v>
      </c>
      <c r="U223" s="110">
        <v>0</v>
      </c>
      <c r="V223" s="110">
        <v>0</v>
      </c>
      <c r="W223" s="110">
        <v>0</v>
      </c>
      <c r="X223" s="110">
        <v>0</v>
      </c>
      <c r="Y223" s="110">
        <v>0</v>
      </c>
      <c r="Z223" s="110">
        <v>0</v>
      </c>
      <c r="AA223" s="110">
        <v>0</v>
      </c>
      <c r="AB223" s="110">
        <v>0</v>
      </c>
      <c r="AC223" s="110">
        <v>0</v>
      </c>
      <c r="AD223" s="110">
        <v>0</v>
      </c>
      <c r="AE223" s="110">
        <v>0</v>
      </c>
      <c r="AF223" s="110">
        <v>0</v>
      </c>
      <c r="AG223" s="110">
        <v>0</v>
      </c>
      <c r="AH223" s="110">
        <v>0</v>
      </c>
      <c r="AI223" s="110">
        <v>0</v>
      </c>
      <c r="AJ223" s="110">
        <v>0</v>
      </c>
      <c r="AK223" s="110">
        <v>0</v>
      </c>
      <c r="AL223" s="110">
        <v>0</v>
      </c>
      <c r="AM223" s="110">
        <v>0</v>
      </c>
      <c r="AN223" s="110">
        <v>0</v>
      </c>
      <c r="AO223" s="110">
        <v>0</v>
      </c>
      <c r="AP223" s="110">
        <v>0</v>
      </c>
      <c r="AQ223" s="110">
        <v>0</v>
      </c>
      <c r="AR223" s="110">
        <v>0</v>
      </c>
      <c r="AS223" s="110">
        <v>0</v>
      </c>
      <c r="AT223" s="110">
        <v>0</v>
      </c>
      <c r="AU223" s="110">
        <v>0</v>
      </c>
      <c r="AV223" s="110">
        <v>0</v>
      </c>
      <c r="AW223" s="110">
        <v>0</v>
      </c>
      <c r="AX223" s="110">
        <v>0</v>
      </c>
      <c r="AY223" s="110">
        <v>0</v>
      </c>
    </row>
    <row r="224" spans="1:51">
      <c r="A224" s="109"/>
      <c r="B224" s="120">
        <v>16</v>
      </c>
      <c r="C224" s="106">
        <v>0</v>
      </c>
      <c r="D224" s="110">
        <v>0</v>
      </c>
      <c r="E224" s="110">
        <v>0</v>
      </c>
      <c r="F224" s="110">
        <v>0</v>
      </c>
      <c r="G224" s="110">
        <v>0</v>
      </c>
      <c r="H224" s="110">
        <v>0</v>
      </c>
      <c r="I224" s="110">
        <v>0</v>
      </c>
      <c r="J224" s="110">
        <v>0</v>
      </c>
      <c r="K224" s="110">
        <v>0</v>
      </c>
      <c r="L224" s="110">
        <v>0</v>
      </c>
      <c r="M224" s="110">
        <v>0</v>
      </c>
      <c r="N224" s="110">
        <v>0</v>
      </c>
      <c r="O224" s="110">
        <v>0</v>
      </c>
      <c r="P224" s="110">
        <v>0</v>
      </c>
      <c r="Q224" s="110">
        <v>0</v>
      </c>
      <c r="R224" s="110">
        <v>0</v>
      </c>
      <c r="S224" s="110">
        <v>0</v>
      </c>
      <c r="T224" s="110">
        <v>0</v>
      </c>
      <c r="U224" s="110">
        <v>0</v>
      </c>
      <c r="V224" s="110">
        <v>0</v>
      </c>
      <c r="W224" s="110">
        <v>0</v>
      </c>
      <c r="X224" s="110">
        <v>0</v>
      </c>
      <c r="Y224" s="110">
        <v>0</v>
      </c>
      <c r="Z224" s="110">
        <v>0</v>
      </c>
      <c r="AA224" s="110">
        <v>0</v>
      </c>
      <c r="AB224" s="110">
        <v>0</v>
      </c>
      <c r="AC224" s="110">
        <v>0</v>
      </c>
      <c r="AD224" s="110">
        <v>0</v>
      </c>
      <c r="AE224" s="110">
        <v>0</v>
      </c>
      <c r="AF224" s="110">
        <v>0</v>
      </c>
      <c r="AG224" s="110">
        <v>0</v>
      </c>
      <c r="AH224" s="110">
        <v>0</v>
      </c>
      <c r="AI224" s="110">
        <v>0</v>
      </c>
      <c r="AJ224" s="110">
        <v>0</v>
      </c>
      <c r="AK224" s="110">
        <v>0</v>
      </c>
      <c r="AL224" s="110">
        <v>0</v>
      </c>
      <c r="AM224" s="110">
        <v>0</v>
      </c>
      <c r="AN224" s="110">
        <v>0</v>
      </c>
      <c r="AO224" s="110">
        <v>0</v>
      </c>
      <c r="AP224" s="110">
        <v>0</v>
      </c>
      <c r="AQ224" s="110">
        <v>0</v>
      </c>
      <c r="AR224" s="110">
        <v>0</v>
      </c>
      <c r="AS224" s="110">
        <v>0</v>
      </c>
      <c r="AT224" s="110">
        <v>0</v>
      </c>
      <c r="AU224" s="110">
        <v>0</v>
      </c>
      <c r="AV224" s="110">
        <v>0</v>
      </c>
      <c r="AW224" s="110">
        <v>0</v>
      </c>
      <c r="AX224" s="110">
        <v>0</v>
      </c>
      <c r="AY224" s="110">
        <v>0</v>
      </c>
    </row>
    <row r="225" spans="1:51">
      <c r="A225" s="109"/>
      <c r="B225" s="120">
        <v>17</v>
      </c>
      <c r="C225" s="106">
        <v>0</v>
      </c>
      <c r="D225" s="110">
        <v>0</v>
      </c>
      <c r="E225" s="110">
        <v>0</v>
      </c>
      <c r="F225" s="110">
        <v>0</v>
      </c>
      <c r="G225" s="110">
        <v>0</v>
      </c>
      <c r="H225" s="110">
        <v>0</v>
      </c>
      <c r="I225" s="110">
        <v>0</v>
      </c>
      <c r="J225" s="110">
        <v>0</v>
      </c>
      <c r="K225" s="110">
        <v>0</v>
      </c>
      <c r="L225" s="110">
        <v>0</v>
      </c>
      <c r="M225" s="110">
        <v>0</v>
      </c>
      <c r="N225" s="110">
        <v>0</v>
      </c>
      <c r="O225" s="110">
        <v>0</v>
      </c>
      <c r="P225" s="110">
        <v>0</v>
      </c>
      <c r="Q225" s="110">
        <v>0</v>
      </c>
      <c r="R225" s="110">
        <v>0</v>
      </c>
      <c r="S225" s="110">
        <v>0</v>
      </c>
      <c r="T225" s="110">
        <v>0</v>
      </c>
      <c r="U225" s="110">
        <v>0</v>
      </c>
      <c r="V225" s="110">
        <v>0</v>
      </c>
      <c r="W225" s="110">
        <v>0</v>
      </c>
      <c r="X225" s="110">
        <v>0</v>
      </c>
      <c r="Y225" s="110">
        <v>0</v>
      </c>
      <c r="Z225" s="110">
        <v>0</v>
      </c>
      <c r="AA225" s="110">
        <v>0</v>
      </c>
      <c r="AB225" s="110">
        <v>0</v>
      </c>
      <c r="AC225" s="110">
        <v>0</v>
      </c>
      <c r="AD225" s="110">
        <v>0</v>
      </c>
      <c r="AE225" s="110">
        <v>0</v>
      </c>
      <c r="AF225" s="110">
        <v>0</v>
      </c>
      <c r="AG225" s="110">
        <v>0</v>
      </c>
      <c r="AH225" s="110">
        <v>0</v>
      </c>
      <c r="AI225" s="110">
        <v>0</v>
      </c>
      <c r="AJ225" s="110">
        <v>0</v>
      </c>
      <c r="AK225" s="110">
        <v>0</v>
      </c>
      <c r="AL225" s="110">
        <v>0</v>
      </c>
      <c r="AM225" s="110">
        <v>0</v>
      </c>
      <c r="AN225" s="110">
        <v>0</v>
      </c>
      <c r="AO225" s="110">
        <v>0</v>
      </c>
      <c r="AP225" s="110">
        <v>0</v>
      </c>
      <c r="AQ225" s="110">
        <v>0</v>
      </c>
      <c r="AR225" s="110">
        <v>0</v>
      </c>
      <c r="AS225" s="110">
        <v>0</v>
      </c>
      <c r="AT225" s="110">
        <v>0</v>
      </c>
      <c r="AU225" s="110">
        <v>0</v>
      </c>
      <c r="AV225" s="110">
        <v>0</v>
      </c>
      <c r="AW225" s="110">
        <v>0</v>
      </c>
      <c r="AX225" s="110">
        <v>0</v>
      </c>
      <c r="AY225" s="110">
        <v>0</v>
      </c>
    </row>
    <row r="226" spans="1:51">
      <c r="A226" s="109"/>
      <c r="B226" s="120">
        <v>18</v>
      </c>
      <c r="C226" s="106">
        <v>0</v>
      </c>
      <c r="D226" s="110">
        <v>0</v>
      </c>
      <c r="E226" s="110">
        <v>0</v>
      </c>
      <c r="F226" s="110">
        <v>0</v>
      </c>
      <c r="G226" s="110">
        <v>0</v>
      </c>
      <c r="H226" s="110">
        <v>0</v>
      </c>
      <c r="I226" s="110">
        <v>0</v>
      </c>
      <c r="J226" s="110">
        <v>0</v>
      </c>
      <c r="K226" s="110">
        <v>0</v>
      </c>
      <c r="L226" s="110">
        <v>0</v>
      </c>
      <c r="M226" s="110">
        <v>0</v>
      </c>
      <c r="N226" s="110">
        <v>0</v>
      </c>
      <c r="O226" s="110">
        <v>0</v>
      </c>
      <c r="P226" s="110">
        <v>0</v>
      </c>
      <c r="Q226" s="110">
        <v>0</v>
      </c>
      <c r="R226" s="110">
        <v>0</v>
      </c>
      <c r="S226" s="110">
        <v>0</v>
      </c>
      <c r="T226" s="110">
        <v>0</v>
      </c>
      <c r="U226" s="110">
        <v>0</v>
      </c>
      <c r="V226" s="110">
        <v>0</v>
      </c>
      <c r="W226" s="110">
        <v>0</v>
      </c>
      <c r="X226" s="110">
        <v>0</v>
      </c>
      <c r="Y226" s="110">
        <v>0</v>
      </c>
      <c r="Z226" s="110">
        <v>0</v>
      </c>
      <c r="AA226" s="110">
        <v>0</v>
      </c>
      <c r="AB226" s="110">
        <v>0</v>
      </c>
      <c r="AC226" s="110">
        <v>0</v>
      </c>
      <c r="AD226" s="110">
        <v>0</v>
      </c>
      <c r="AE226" s="110">
        <v>0</v>
      </c>
      <c r="AF226" s="110">
        <v>0</v>
      </c>
      <c r="AG226" s="110">
        <v>0</v>
      </c>
      <c r="AH226" s="110">
        <v>0</v>
      </c>
      <c r="AI226" s="110">
        <v>0</v>
      </c>
      <c r="AJ226" s="110">
        <v>0</v>
      </c>
      <c r="AK226" s="110">
        <v>0</v>
      </c>
      <c r="AL226" s="110">
        <v>0</v>
      </c>
      <c r="AM226" s="110">
        <v>0</v>
      </c>
      <c r="AN226" s="110">
        <v>0</v>
      </c>
      <c r="AO226" s="110">
        <v>0</v>
      </c>
      <c r="AP226" s="110">
        <v>0</v>
      </c>
      <c r="AQ226" s="110">
        <v>0</v>
      </c>
      <c r="AR226" s="110">
        <v>0</v>
      </c>
      <c r="AS226" s="110">
        <v>0</v>
      </c>
      <c r="AT226" s="110">
        <v>0</v>
      </c>
      <c r="AU226" s="110">
        <v>0</v>
      </c>
      <c r="AV226" s="110">
        <v>0</v>
      </c>
      <c r="AW226" s="110">
        <v>0</v>
      </c>
      <c r="AX226" s="110">
        <v>0</v>
      </c>
      <c r="AY226" s="110">
        <v>0</v>
      </c>
    </row>
    <row r="227" spans="1:51">
      <c r="A227" s="109"/>
      <c r="B227" s="120">
        <v>19</v>
      </c>
      <c r="C227" s="106">
        <v>0</v>
      </c>
      <c r="D227" s="110">
        <v>0</v>
      </c>
      <c r="E227" s="110">
        <v>0</v>
      </c>
      <c r="F227" s="110">
        <v>0</v>
      </c>
      <c r="G227" s="110">
        <v>0</v>
      </c>
      <c r="H227" s="110">
        <v>0</v>
      </c>
      <c r="I227" s="110">
        <v>0</v>
      </c>
      <c r="J227" s="110">
        <v>0</v>
      </c>
      <c r="K227" s="110">
        <v>0</v>
      </c>
      <c r="L227" s="110">
        <v>0</v>
      </c>
      <c r="M227" s="110">
        <v>0</v>
      </c>
      <c r="N227" s="110">
        <v>0</v>
      </c>
      <c r="O227" s="110">
        <v>0</v>
      </c>
      <c r="P227" s="110">
        <v>0</v>
      </c>
      <c r="Q227" s="110">
        <v>0</v>
      </c>
      <c r="R227" s="110">
        <v>0</v>
      </c>
      <c r="S227" s="110">
        <v>0</v>
      </c>
      <c r="T227" s="110">
        <v>0</v>
      </c>
      <c r="U227" s="110">
        <v>0</v>
      </c>
      <c r="V227" s="110">
        <v>0</v>
      </c>
      <c r="W227" s="110">
        <v>0</v>
      </c>
      <c r="X227" s="110">
        <v>0</v>
      </c>
      <c r="Y227" s="110">
        <v>0</v>
      </c>
      <c r="Z227" s="110">
        <v>0</v>
      </c>
      <c r="AA227" s="110">
        <v>0</v>
      </c>
      <c r="AB227" s="110">
        <v>0</v>
      </c>
      <c r="AC227" s="110">
        <v>0</v>
      </c>
      <c r="AD227" s="110">
        <v>0</v>
      </c>
      <c r="AE227" s="110">
        <v>0</v>
      </c>
      <c r="AF227" s="110">
        <v>0</v>
      </c>
      <c r="AG227" s="110">
        <v>0</v>
      </c>
      <c r="AH227" s="110">
        <v>0</v>
      </c>
      <c r="AI227" s="110">
        <v>0</v>
      </c>
      <c r="AJ227" s="110">
        <v>0</v>
      </c>
      <c r="AK227" s="110">
        <v>0</v>
      </c>
      <c r="AL227" s="110">
        <v>0</v>
      </c>
      <c r="AM227" s="110">
        <v>0</v>
      </c>
      <c r="AN227" s="110">
        <v>0</v>
      </c>
      <c r="AO227" s="110">
        <v>0</v>
      </c>
      <c r="AP227" s="110">
        <v>0</v>
      </c>
      <c r="AQ227" s="110">
        <v>0</v>
      </c>
      <c r="AR227" s="110">
        <v>0</v>
      </c>
      <c r="AS227" s="110">
        <v>0</v>
      </c>
      <c r="AT227" s="110">
        <v>0</v>
      </c>
      <c r="AU227" s="110">
        <v>0</v>
      </c>
      <c r="AV227" s="110">
        <v>0</v>
      </c>
      <c r="AW227" s="110">
        <v>0</v>
      </c>
      <c r="AX227" s="110">
        <v>0</v>
      </c>
      <c r="AY227" s="110">
        <v>0</v>
      </c>
    </row>
    <row r="228" spans="1:51">
      <c r="A228" s="109"/>
      <c r="B228" s="120">
        <v>20</v>
      </c>
      <c r="C228" s="106">
        <v>0</v>
      </c>
      <c r="D228" s="110">
        <v>0</v>
      </c>
      <c r="E228" s="110">
        <v>0</v>
      </c>
      <c r="F228" s="110">
        <v>0</v>
      </c>
      <c r="G228" s="110">
        <v>0</v>
      </c>
      <c r="H228" s="110">
        <v>0</v>
      </c>
      <c r="I228" s="110">
        <v>0</v>
      </c>
      <c r="J228" s="110">
        <v>0</v>
      </c>
      <c r="K228" s="110">
        <v>0</v>
      </c>
      <c r="L228" s="110">
        <v>0</v>
      </c>
      <c r="M228" s="110">
        <v>0</v>
      </c>
      <c r="N228" s="110">
        <v>0</v>
      </c>
      <c r="O228" s="110">
        <v>0</v>
      </c>
      <c r="P228" s="110">
        <v>0</v>
      </c>
      <c r="Q228" s="110">
        <v>0</v>
      </c>
      <c r="R228" s="110">
        <v>0</v>
      </c>
      <c r="S228" s="110">
        <v>0</v>
      </c>
      <c r="T228" s="110">
        <v>0</v>
      </c>
      <c r="U228" s="110">
        <v>0</v>
      </c>
      <c r="V228" s="110">
        <v>0</v>
      </c>
      <c r="W228" s="110">
        <v>0</v>
      </c>
      <c r="X228" s="110">
        <v>0</v>
      </c>
      <c r="Y228" s="110">
        <v>0</v>
      </c>
      <c r="Z228" s="110">
        <v>0</v>
      </c>
      <c r="AA228" s="110">
        <v>0</v>
      </c>
      <c r="AB228" s="110">
        <v>0</v>
      </c>
      <c r="AC228" s="110">
        <v>0</v>
      </c>
      <c r="AD228" s="110">
        <v>0</v>
      </c>
      <c r="AE228" s="110">
        <v>0</v>
      </c>
      <c r="AF228" s="110">
        <v>0</v>
      </c>
      <c r="AG228" s="110">
        <v>0</v>
      </c>
      <c r="AH228" s="110">
        <v>0</v>
      </c>
      <c r="AI228" s="110">
        <v>0</v>
      </c>
      <c r="AJ228" s="110">
        <v>0</v>
      </c>
      <c r="AK228" s="110">
        <v>0</v>
      </c>
      <c r="AL228" s="110">
        <v>0</v>
      </c>
      <c r="AM228" s="110">
        <v>0</v>
      </c>
      <c r="AN228" s="110">
        <v>0</v>
      </c>
      <c r="AO228" s="110">
        <v>0</v>
      </c>
      <c r="AP228" s="110">
        <v>0</v>
      </c>
      <c r="AQ228" s="110">
        <v>0</v>
      </c>
      <c r="AR228" s="110">
        <v>0</v>
      </c>
      <c r="AS228" s="110">
        <v>0</v>
      </c>
      <c r="AT228" s="110">
        <v>0</v>
      </c>
      <c r="AU228" s="110">
        <v>0</v>
      </c>
      <c r="AV228" s="110">
        <v>0</v>
      </c>
      <c r="AW228" s="110">
        <v>0</v>
      </c>
      <c r="AX228" s="110">
        <v>0</v>
      </c>
      <c r="AY228" s="110">
        <v>0</v>
      </c>
    </row>
    <row r="229" spans="1:51">
      <c r="A229" s="109"/>
      <c r="B229" s="120">
        <v>21</v>
      </c>
      <c r="C229" s="106">
        <v>0</v>
      </c>
      <c r="D229" s="110">
        <v>0</v>
      </c>
      <c r="E229" s="110">
        <v>0</v>
      </c>
      <c r="F229" s="110">
        <v>0</v>
      </c>
      <c r="G229" s="110">
        <v>0</v>
      </c>
      <c r="H229" s="110">
        <v>0</v>
      </c>
      <c r="I229" s="110">
        <v>0</v>
      </c>
      <c r="J229" s="110">
        <v>0</v>
      </c>
      <c r="K229" s="110">
        <v>0</v>
      </c>
      <c r="L229" s="110">
        <v>0</v>
      </c>
      <c r="M229" s="110">
        <v>0</v>
      </c>
      <c r="N229" s="110">
        <v>0</v>
      </c>
      <c r="O229" s="110">
        <v>0</v>
      </c>
      <c r="P229" s="110">
        <v>0</v>
      </c>
      <c r="Q229" s="110">
        <v>0</v>
      </c>
      <c r="R229" s="110">
        <v>0</v>
      </c>
      <c r="S229" s="110">
        <v>0</v>
      </c>
      <c r="T229" s="110">
        <v>0</v>
      </c>
      <c r="U229" s="110">
        <v>0</v>
      </c>
      <c r="V229" s="110">
        <v>0</v>
      </c>
      <c r="W229" s="110">
        <v>0</v>
      </c>
      <c r="X229" s="110">
        <v>0</v>
      </c>
      <c r="Y229" s="110">
        <v>0</v>
      </c>
      <c r="Z229" s="110">
        <v>0</v>
      </c>
      <c r="AA229" s="110">
        <v>0</v>
      </c>
      <c r="AB229" s="110">
        <v>0</v>
      </c>
      <c r="AC229" s="110">
        <v>0</v>
      </c>
      <c r="AD229" s="110">
        <v>0</v>
      </c>
      <c r="AE229" s="110">
        <v>0</v>
      </c>
      <c r="AF229" s="110">
        <v>0</v>
      </c>
      <c r="AG229" s="110">
        <v>0</v>
      </c>
      <c r="AH229" s="110">
        <v>0</v>
      </c>
      <c r="AI229" s="110">
        <v>0</v>
      </c>
      <c r="AJ229" s="110">
        <v>0</v>
      </c>
      <c r="AK229" s="110">
        <v>0</v>
      </c>
      <c r="AL229" s="110">
        <v>0</v>
      </c>
      <c r="AM229" s="110">
        <v>0</v>
      </c>
      <c r="AN229" s="110">
        <v>0</v>
      </c>
      <c r="AO229" s="110">
        <v>0</v>
      </c>
      <c r="AP229" s="110">
        <v>0</v>
      </c>
      <c r="AQ229" s="110">
        <v>0</v>
      </c>
      <c r="AR229" s="110">
        <v>0</v>
      </c>
      <c r="AS229" s="110">
        <v>0</v>
      </c>
      <c r="AT229" s="110">
        <v>0</v>
      </c>
      <c r="AU229" s="110">
        <v>0</v>
      </c>
      <c r="AV229" s="110">
        <v>0</v>
      </c>
      <c r="AW229" s="110">
        <v>0</v>
      </c>
      <c r="AX229" s="110">
        <v>0</v>
      </c>
      <c r="AY229" s="110">
        <v>0</v>
      </c>
    </row>
    <row r="230" spans="1:51">
      <c r="A230" s="109"/>
      <c r="B230" s="120">
        <v>22</v>
      </c>
      <c r="C230" s="106">
        <v>0</v>
      </c>
      <c r="D230" s="110">
        <v>0</v>
      </c>
      <c r="E230" s="110">
        <v>0</v>
      </c>
      <c r="F230" s="110">
        <v>0</v>
      </c>
      <c r="G230" s="110">
        <v>0</v>
      </c>
      <c r="H230" s="110">
        <v>0</v>
      </c>
      <c r="I230" s="110">
        <v>0</v>
      </c>
      <c r="J230" s="110">
        <v>0</v>
      </c>
      <c r="K230" s="110">
        <v>0</v>
      </c>
      <c r="L230" s="110">
        <v>0</v>
      </c>
      <c r="M230" s="110">
        <v>0</v>
      </c>
      <c r="N230" s="110">
        <v>0</v>
      </c>
      <c r="O230" s="110">
        <v>0</v>
      </c>
      <c r="P230" s="110">
        <v>0</v>
      </c>
      <c r="Q230" s="110">
        <v>0</v>
      </c>
      <c r="R230" s="110">
        <v>0</v>
      </c>
      <c r="S230" s="110">
        <v>0</v>
      </c>
      <c r="T230" s="110">
        <v>0</v>
      </c>
      <c r="U230" s="110">
        <v>0</v>
      </c>
      <c r="V230" s="110">
        <v>0</v>
      </c>
      <c r="W230" s="110">
        <v>0</v>
      </c>
      <c r="X230" s="110">
        <v>0</v>
      </c>
      <c r="Y230" s="110">
        <v>0</v>
      </c>
      <c r="Z230" s="110">
        <v>0</v>
      </c>
      <c r="AA230" s="110">
        <v>0</v>
      </c>
      <c r="AB230" s="110">
        <v>0</v>
      </c>
      <c r="AC230" s="110">
        <v>0</v>
      </c>
      <c r="AD230" s="110">
        <v>0</v>
      </c>
      <c r="AE230" s="110">
        <v>0</v>
      </c>
      <c r="AF230" s="110">
        <v>0</v>
      </c>
      <c r="AG230" s="110">
        <v>0</v>
      </c>
      <c r="AH230" s="110">
        <v>0</v>
      </c>
      <c r="AI230" s="110">
        <v>0</v>
      </c>
      <c r="AJ230" s="110">
        <v>0</v>
      </c>
      <c r="AK230" s="110">
        <v>0</v>
      </c>
      <c r="AL230" s="110">
        <v>0</v>
      </c>
      <c r="AM230" s="110">
        <v>0</v>
      </c>
      <c r="AN230" s="110">
        <v>0</v>
      </c>
      <c r="AO230" s="110">
        <v>0</v>
      </c>
      <c r="AP230" s="110">
        <v>0</v>
      </c>
      <c r="AQ230" s="110">
        <v>0</v>
      </c>
      <c r="AR230" s="110">
        <v>0</v>
      </c>
      <c r="AS230" s="110">
        <v>0</v>
      </c>
      <c r="AT230" s="110">
        <v>0</v>
      </c>
      <c r="AU230" s="110">
        <v>0</v>
      </c>
      <c r="AV230" s="110">
        <v>0</v>
      </c>
      <c r="AW230" s="110">
        <v>0</v>
      </c>
      <c r="AX230" s="110">
        <v>0</v>
      </c>
      <c r="AY230" s="110">
        <v>0</v>
      </c>
    </row>
    <row r="231" spans="1:51">
      <c r="A231" s="109"/>
      <c r="B231" s="120">
        <v>23</v>
      </c>
      <c r="C231" s="106">
        <v>0</v>
      </c>
      <c r="D231" s="110">
        <v>0</v>
      </c>
      <c r="E231" s="110">
        <v>0</v>
      </c>
      <c r="F231" s="110">
        <v>0</v>
      </c>
      <c r="G231" s="110">
        <v>0</v>
      </c>
      <c r="H231" s="110">
        <v>0</v>
      </c>
      <c r="I231" s="110">
        <v>0</v>
      </c>
      <c r="J231" s="110">
        <v>0</v>
      </c>
      <c r="K231" s="110">
        <v>0</v>
      </c>
      <c r="L231" s="110">
        <v>0</v>
      </c>
      <c r="M231" s="110">
        <v>0</v>
      </c>
      <c r="N231" s="110">
        <v>0</v>
      </c>
      <c r="O231" s="110">
        <v>0</v>
      </c>
      <c r="P231" s="110">
        <v>0</v>
      </c>
      <c r="Q231" s="110">
        <v>0</v>
      </c>
      <c r="R231" s="110">
        <v>0</v>
      </c>
      <c r="S231" s="110">
        <v>0</v>
      </c>
      <c r="T231" s="110">
        <v>0</v>
      </c>
      <c r="U231" s="110">
        <v>0</v>
      </c>
      <c r="V231" s="110">
        <v>0</v>
      </c>
      <c r="W231" s="110">
        <v>0</v>
      </c>
      <c r="X231" s="110">
        <v>0</v>
      </c>
      <c r="Y231" s="110">
        <v>0</v>
      </c>
      <c r="Z231" s="110">
        <v>0</v>
      </c>
      <c r="AA231" s="110">
        <v>0</v>
      </c>
      <c r="AB231" s="110">
        <v>0</v>
      </c>
      <c r="AC231" s="110">
        <v>0</v>
      </c>
      <c r="AD231" s="110">
        <v>0</v>
      </c>
      <c r="AE231" s="110">
        <v>0</v>
      </c>
      <c r="AF231" s="110">
        <v>0</v>
      </c>
      <c r="AG231" s="110">
        <v>0</v>
      </c>
      <c r="AH231" s="110">
        <v>0</v>
      </c>
      <c r="AI231" s="110">
        <v>0</v>
      </c>
      <c r="AJ231" s="110">
        <v>0</v>
      </c>
      <c r="AK231" s="110">
        <v>0</v>
      </c>
      <c r="AL231" s="110">
        <v>0</v>
      </c>
      <c r="AM231" s="110">
        <v>0</v>
      </c>
      <c r="AN231" s="110">
        <v>0</v>
      </c>
      <c r="AO231" s="110">
        <v>0</v>
      </c>
      <c r="AP231" s="110">
        <v>0</v>
      </c>
      <c r="AQ231" s="110">
        <v>0</v>
      </c>
      <c r="AR231" s="110">
        <v>0</v>
      </c>
      <c r="AS231" s="110">
        <v>0</v>
      </c>
      <c r="AT231" s="110">
        <v>0</v>
      </c>
      <c r="AU231" s="110">
        <v>0</v>
      </c>
      <c r="AV231" s="110">
        <v>0</v>
      </c>
      <c r="AW231" s="110">
        <v>0</v>
      </c>
      <c r="AX231" s="110">
        <v>0</v>
      </c>
      <c r="AY231" s="110">
        <v>0</v>
      </c>
    </row>
    <row r="232" spans="1:51">
      <c r="A232" s="109"/>
      <c r="B232" s="120">
        <v>24</v>
      </c>
      <c r="C232" s="106">
        <v>0</v>
      </c>
      <c r="D232" s="110">
        <v>0</v>
      </c>
      <c r="E232" s="110">
        <v>0</v>
      </c>
      <c r="F232" s="110">
        <v>0</v>
      </c>
      <c r="G232" s="110">
        <v>0</v>
      </c>
      <c r="H232" s="110">
        <v>0</v>
      </c>
      <c r="I232" s="110">
        <v>0</v>
      </c>
      <c r="J232" s="110">
        <v>0</v>
      </c>
      <c r="K232" s="110">
        <v>0</v>
      </c>
      <c r="L232" s="110">
        <v>0</v>
      </c>
      <c r="M232" s="110">
        <v>0</v>
      </c>
      <c r="N232" s="110">
        <v>0</v>
      </c>
      <c r="O232" s="110">
        <v>0</v>
      </c>
      <c r="P232" s="110">
        <v>0</v>
      </c>
      <c r="Q232" s="110">
        <v>0</v>
      </c>
      <c r="R232" s="110">
        <v>0</v>
      </c>
      <c r="S232" s="110">
        <v>0</v>
      </c>
      <c r="T232" s="110">
        <v>0</v>
      </c>
      <c r="U232" s="110">
        <v>0</v>
      </c>
      <c r="V232" s="110">
        <v>0</v>
      </c>
      <c r="W232" s="110">
        <v>0</v>
      </c>
      <c r="X232" s="110">
        <v>0</v>
      </c>
      <c r="Y232" s="110">
        <v>0</v>
      </c>
      <c r="Z232" s="110">
        <v>0</v>
      </c>
      <c r="AA232" s="110">
        <v>0</v>
      </c>
      <c r="AB232" s="110">
        <v>0</v>
      </c>
      <c r="AC232" s="110">
        <v>0</v>
      </c>
      <c r="AD232" s="110">
        <v>0</v>
      </c>
      <c r="AE232" s="110">
        <v>0</v>
      </c>
      <c r="AF232" s="110">
        <v>0</v>
      </c>
      <c r="AG232" s="110">
        <v>0</v>
      </c>
      <c r="AH232" s="110">
        <v>0</v>
      </c>
      <c r="AI232" s="110">
        <v>0</v>
      </c>
      <c r="AJ232" s="110">
        <v>0</v>
      </c>
      <c r="AK232" s="110">
        <v>0</v>
      </c>
      <c r="AL232" s="110">
        <v>0</v>
      </c>
      <c r="AM232" s="110">
        <v>0</v>
      </c>
      <c r="AN232" s="110">
        <v>0</v>
      </c>
      <c r="AO232" s="110">
        <v>0</v>
      </c>
      <c r="AP232" s="110">
        <v>0</v>
      </c>
      <c r="AQ232" s="110">
        <v>0</v>
      </c>
      <c r="AR232" s="110">
        <v>0</v>
      </c>
      <c r="AS232" s="110">
        <v>0</v>
      </c>
      <c r="AT232" s="110">
        <v>0</v>
      </c>
      <c r="AU232" s="110">
        <v>0</v>
      </c>
      <c r="AV232" s="110">
        <v>0</v>
      </c>
      <c r="AW232" s="110">
        <v>0</v>
      </c>
      <c r="AX232" s="110">
        <v>0</v>
      </c>
      <c r="AY232" s="110">
        <v>0</v>
      </c>
    </row>
    <row r="233" spans="1:51">
      <c r="A233" s="109"/>
      <c r="B233" s="127">
        <v>25</v>
      </c>
      <c r="C233" s="106">
        <v>0</v>
      </c>
      <c r="D233" s="110">
        <v>0</v>
      </c>
      <c r="E233" s="110">
        <v>0</v>
      </c>
      <c r="F233" s="110">
        <v>0</v>
      </c>
      <c r="G233" s="110">
        <v>0</v>
      </c>
      <c r="H233" s="110">
        <v>0</v>
      </c>
      <c r="I233" s="110">
        <v>0</v>
      </c>
      <c r="J233" s="110">
        <v>0</v>
      </c>
      <c r="K233" s="110">
        <v>0</v>
      </c>
      <c r="L233" s="110">
        <v>0</v>
      </c>
      <c r="M233" s="110">
        <v>0</v>
      </c>
      <c r="N233" s="110">
        <v>0</v>
      </c>
      <c r="O233" s="110">
        <v>0</v>
      </c>
      <c r="P233" s="110">
        <v>0</v>
      </c>
      <c r="Q233" s="110">
        <v>0</v>
      </c>
      <c r="R233" s="110">
        <v>0</v>
      </c>
      <c r="S233" s="110">
        <v>0</v>
      </c>
      <c r="T233" s="110">
        <v>0</v>
      </c>
      <c r="U233" s="110">
        <v>0</v>
      </c>
      <c r="V233" s="110">
        <v>0</v>
      </c>
      <c r="W233" s="110">
        <v>0</v>
      </c>
      <c r="X233" s="110">
        <v>0</v>
      </c>
      <c r="Y233" s="110">
        <v>0</v>
      </c>
      <c r="Z233" s="110">
        <v>0</v>
      </c>
      <c r="AA233" s="110">
        <v>0</v>
      </c>
      <c r="AB233" s="110">
        <v>0</v>
      </c>
      <c r="AC233" s="110">
        <v>0</v>
      </c>
      <c r="AD233" s="110">
        <v>0</v>
      </c>
      <c r="AE233" s="110">
        <v>0</v>
      </c>
      <c r="AF233" s="110">
        <v>0</v>
      </c>
      <c r="AG233" s="110">
        <v>0</v>
      </c>
      <c r="AH233" s="110">
        <v>0</v>
      </c>
      <c r="AI233" s="110">
        <v>0</v>
      </c>
      <c r="AJ233" s="110">
        <v>0</v>
      </c>
      <c r="AK233" s="110">
        <v>0</v>
      </c>
      <c r="AL233" s="110">
        <v>0</v>
      </c>
      <c r="AM233" s="110">
        <v>0</v>
      </c>
      <c r="AN233" s="110">
        <v>0</v>
      </c>
      <c r="AO233" s="110">
        <v>0</v>
      </c>
      <c r="AP233" s="110">
        <v>0</v>
      </c>
      <c r="AQ233" s="110">
        <v>0</v>
      </c>
      <c r="AR233" s="110">
        <v>0</v>
      </c>
      <c r="AS233" s="110">
        <v>0</v>
      </c>
      <c r="AT233" s="110">
        <v>0</v>
      </c>
      <c r="AU233" s="110">
        <v>0</v>
      </c>
      <c r="AV233" s="110">
        <v>0</v>
      </c>
      <c r="AW233" s="110">
        <v>0</v>
      </c>
      <c r="AX233" s="110">
        <v>0</v>
      </c>
      <c r="AY233" s="110">
        <v>0</v>
      </c>
    </row>
    <row r="234" spans="1:51">
      <c r="A234" s="109"/>
      <c r="B234" s="127">
        <v>26</v>
      </c>
      <c r="C234" s="106">
        <v>0</v>
      </c>
      <c r="D234" s="110">
        <v>0</v>
      </c>
      <c r="E234" s="110">
        <v>0</v>
      </c>
      <c r="F234" s="110">
        <v>0</v>
      </c>
      <c r="G234" s="110">
        <v>0</v>
      </c>
      <c r="H234" s="110">
        <v>0</v>
      </c>
      <c r="I234" s="110">
        <v>0</v>
      </c>
      <c r="J234" s="110">
        <v>0</v>
      </c>
      <c r="K234" s="110">
        <v>0</v>
      </c>
      <c r="L234" s="110">
        <v>0</v>
      </c>
      <c r="M234" s="110">
        <v>0</v>
      </c>
      <c r="N234" s="110">
        <v>0</v>
      </c>
      <c r="O234" s="110">
        <v>0</v>
      </c>
      <c r="P234" s="110">
        <v>0</v>
      </c>
      <c r="Q234" s="110">
        <v>0</v>
      </c>
      <c r="R234" s="110">
        <v>0</v>
      </c>
      <c r="S234" s="110">
        <v>0</v>
      </c>
      <c r="T234" s="110">
        <v>0</v>
      </c>
      <c r="U234" s="110">
        <v>0</v>
      </c>
      <c r="V234" s="110">
        <v>0</v>
      </c>
      <c r="W234" s="110">
        <v>0</v>
      </c>
      <c r="X234" s="110">
        <v>0</v>
      </c>
      <c r="Y234" s="110">
        <v>0</v>
      </c>
      <c r="Z234" s="110">
        <v>0</v>
      </c>
      <c r="AA234" s="110">
        <v>0</v>
      </c>
      <c r="AB234" s="110">
        <v>0</v>
      </c>
      <c r="AC234" s="110">
        <v>0</v>
      </c>
      <c r="AD234" s="110">
        <v>0</v>
      </c>
      <c r="AE234" s="110">
        <v>0</v>
      </c>
      <c r="AF234" s="110">
        <v>0</v>
      </c>
      <c r="AG234" s="110">
        <v>0</v>
      </c>
      <c r="AH234" s="110">
        <v>0</v>
      </c>
      <c r="AI234" s="110">
        <v>0</v>
      </c>
      <c r="AJ234" s="110">
        <v>0</v>
      </c>
      <c r="AK234" s="110">
        <v>0</v>
      </c>
      <c r="AL234" s="110">
        <v>0</v>
      </c>
      <c r="AM234" s="110">
        <v>0</v>
      </c>
      <c r="AN234" s="110">
        <v>0</v>
      </c>
      <c r="AO234" s="110">
        <v>0</v>
      </c>
      <c r="AP234" s="110">
        <v>0</v>
      </c>
      <c r="AQ234" s="110">
        <v>0</v>
      </c>
      <c r="AR234" s="110">
        <v>0</v>
      </c>
      <c r="AS234" s="110">
        <v>0</v>
      </c>
      <c r="AT234" s="110">
        <v>0</v>
      </c>
      <c r="AU234" s="110">
        <v>0</v>
      </c>
      <c r="AV234" s="110">
        <v>0</v>
      </c>
      <c r="AW234" s="110">
        <v>0</v>
      </c>
      <c r="AX234" s="110">
        <v>0</v>
      </c>
      <c r="AY234" s="110">
        <v>0</v>
      </c>
    </row>
    <row r="235" spans="1:51">
      <c r="A235" s="109"/>
      <c r="B235" s="127">
        <v>27</v>
      </c>
      <c r="C235" s="106">
        <v>0</v>
      </c>
      <c r="D235" s="110">
        <v>0</v>
      </c>
      <c r="E235" s="110">
        <v>0</v>
      </c>
      <c r="F235" s="110">
        <v>0</v>
      </c>
      <c r="G235" s="110">
        <v>0</v>
      </c>
      <c r="H235" s="110">
        <v>0</v>
      </c>
      <c r="I235" s="110">
        <v>0</v>
      </c>
      <c r="J235" s="110">
        <v>0</v>
      </c>
      <c r="K235" s="110">
        <v>0</v>
      </c>
      <c r="L235" s="110">
        <v>0</v>
      </c>
      <c r="M235" s="110">
        <v>0</v>
      </c>
      <c r="N235" s="110">
        <v>0</v>
      </c>
      <c r="O235" s="110">
        <v>0</v>
      </c>
      <c r="P235" s="110">
        <v>0</v>
      </c>
      <c r="Q235" s="110">
        <v>0</v>
      </c>
      <c r="R235" s="110">
        <v>0</v>
      </c>
      <c r="S235" s="110">
        <v>0</v>
      </c>
      <c r="T235" s="110">
        <v>0</v>
      </c>
      <c r="U235" s="110">
        <v>0</v>
      </c>
      <c r="V235" s="110">
        <v>0</v>
      </c>
      <c r="W235" s="110">
        <v>0</v>
      </c>
      <c r="X235" s="110">
        <v>0</v>
      </c>
      <c r="Y235" s="110">
        <v>0</v>
      </c>
      <c r="Z235" s="110">
        <v>0</v>
      </c>
      <c r="AA235" s="110">
        <v>0</v>
      </c>
      <c r="AB235" s="110">
        <v>0</v>
      </c>
      <c r="AC235" s="110">
        <v>0</v>
      </c>
      <c r="AD235" s="110">
        <v>0</v>
      </c>
      <c r="AE235" s="110">
        <v>0</v>
      </c>
      <c r="AF235" s="110">
        <v>0</v>
      </c>
      <c r="AG235" s="110">
        <v>0</v>
      </c>
      <c r="AH235" s="110">
        <v>0</v>
      </c>
      <c r="AI235" s="110">
        <v>0</v>
      </c>
      <c r="AJ235" s="110">
        <v>0</v>
      </c>
      <c r="AK235" s="110">
        <v>0</v>
      </c>
      <c r="AL235" s="110">
        <v>0</v>
      </c>
      <c r="AM235" s="110">
        <v>0</v>
      </c>
      <c r="AN235" s="110">
        <v>0</v>
      </c>
      <c r="AO235" s="110">
        <v>0</v>
      </c>
      <c r="AP235" s="110">
        <v>0</v>
      </c>
      <c r="AQ235" s="110">
        <v>0</v>
      </c>
      <c r="AR235" s="110">
        <v>0</v>
      </c>
      <c r="AS235" s="110">
        <v>0</v>
      </c>
      <c r="AT235" s="110">
        <v>0</v>
      </c>
      <c r="AU235" s="110">
        <v>0</v>
      </c>
      <c r="AV235" s="110">
        <v>0</v>
      </c>
      <c r="AW235" s="110">
        <v>0</v>
      </c>
      <c r="AX235" s="110">
        <v>0</v>
      </c>
      <c r="AY235" s="110">
        <v>0</v>
      </c>
    </row>
    <row r="236" spans="1:51">
      <c r="A236" s="109"/>
      <c r="B236" s="127">
        <v>28</v>
      </c>
      <c r="C236" s="106">
        <v>0</v>
      </c>
      <c r="D236" s="110">
        <v>0</v>
      </c>
      <c r="E236" s="110">
        <v>0</v>
      </c>
      <c r="F236" s="110">
        <v>0</v>
      </c>
      <c r="G236" s="110">
        <v>0</v>
      </c>
      <c r="H236" s="110">
        <v>0</v>
      </c>
      <c r="I236" s="110">
        <v>0</v>
      </c>
      <c r="J236" s="110">
        <v>0</v>
      </c>
      <c r="K236" s="110">
        <v>0</v>
      </c>
      <c r="L236" s="110">
        <v>0</v>
      </c>
      <c r="M236" s="110">
        <v>0</v>
      </c>
      <c r="N236" s="110">
        <v>0</v>
      </c>
      <c r="O236" s="110">
        <v>0</v>
      </c>
      <c r="P236" s="110">
        <v>0</v>
      </c>
      <c r="Q236" s="110">
        <v>0</v>
      </c>
      <c r="R236" s="110">
        <v>0</v>
      </c>
      <c r="S236" s="110">
        <v>0</v>
      </c>
      <c r="T236" s="110">
        <v>0</v>
      </c>
      <c r="U236" s="110">
        <v>0</v>
      </c>
      <c r="V236" s="110">
        <v>0</v>
      </c>
      <c r="W236" s="110">
        <v>0</v>
      </c>
      <c r="X236" s="110">
        <v>0</v>
      </c>
      <c r="Y236" s="110">
        <v>0</v>
      </c>
      <c r="Z236" s="110">
        <v>0</v>
      </c>
      <c r="AA236" s="110">
        <v>0</v>
      </c>
      <c r="AB236" s="110">
        <v>0</v>
      </c>
      <c r="AC236" s="110">
        <v>0</v>
      </c>
      <c r="AD236" s="110">
        <v>0</v>
      </c>
      <c r="AE236" s="110">
        <v>0</v>
      </c>
      <c r="AF236" s="110">
        <v>0</v>
      </c>
      <c r="AG236" s="110">
        <v>0</v>
      </c>
      <c r="AH236" s="110">
        <v>0</v>
      </c>
      <c r="AI236" s="110">
        <v>0</v>
      </c>
      <c r="AJ236" s="110">
        <v>0</v>
      </c>
      <c r="AK236" s="110">
        <v>0</v>
      </c>
      <c r="AL236" s="110">
        <v>0</v>
      </c>
      <c r="AM236" s="110">
        <v>0</v>
      </c>
      <c r="AN236" s="110">
        <v>0</v>
      </c>
      <c r="AO236" s="110">
        <v>0</v>
      </c>
      <c r="AP236" s="110">
        <v>0</v>
      </c>
      <c r="AQ236" s="110">
        <v>0</v>
      </c>
      <c r="AR236" s="110">
        <v>0</v>
      </c>
      <c r="AS236" s="110">
        <v>0</v>
      </c>
      <c r="AT236" s="110">
        <v>0</v>
      </c>
      <c r="AU236" s="110">
        <v>0</v>
      </c>
      <c r="AV236" s="110">
        <v>0</v>
      </c>
      <c r="AW236" s="110">
        <v>0</v>
      </c>
      <c r="AX236" s="110">
        <v>0</v>
      </c>
      <c r="AY236" s="110">
        <v>0</v>
      </c>
    </row>
    <row r="237" spans="1:51">
      <c r="A237" s="109"/>
      <c r="B237" s="127">
        <v>29</v>
      </c>
      <c r="C237" s="106">
        <v>0</v>
      </c>
      <c r="D237" s="110">
        <v>0</v>
      </c>
      <c r="E237" s="110">
        <v>0</v>
      </c>
      <c r="F237" s="110">
        <v>0</v>
      </c>
      <c r="G237" s="110">
        <v>0</v>
      </c>
      <c r="H237" s="110">
        <v>0</v>
      </c>
      <c r="I237" s="110">
        <v>0</v>
      </c>
      <c r="J237" s="110">
        <v>0</v>
      </c>
      <c r="K237" s="110">
        <v>0</v>
      </c>
      <c r="L237" s="110">
        <v>0</v>
      </c>
      <c r="M237" s="110">
        <v>0</v>
      </c>
      <c r="N237" s="110">
        <v>0</v>
      </c>
      <c r="O237" s="110">
        <v>0</v>
      </c>
      <c r="P237" s="110">
        <v>0</v>
      </c>
      <c r="Q237" s="110">
        <v>0</v>
      </c>
      <c r="R237" s="110">
        <v>0</v>
      </c>
      <c r="S237" s="110">
        <v>0</v>
      </c>
      <c r="T237" s="110">
        <v>0</v>
      </c>
      <c r="U237" s="110">
        <v>0</v>
      </c>
      <c r="V237" s="110">
        <v>0</v>
      </c>
      <c r="W237" s="110">
        <v>0</v>
      </c>
      <c r="X237" s="110">
        <v>0</v>
      </c>
      <c r="Y237" s="110">
        <v>0</v>
      </c>
      <c r="Z237" s="110">
        <v>0</v>
      </c>
      <c r="AA237" s="110">
        <v>0</v>
      </c>
      <c r="AB237" s="110">
        <v>0</v>
      </c>
      <c r="AC237" s="110">
        <v>0</v>
      </c>
      <c r="AD237" s="110">
        <v>0</v>
      </c>
      <c r="AE237" s="110">
        <v>0</v>
      </c>
      <c r="AF237" s="110">
        <v>0</v>
      </c>
      <c r="AG237" s="110">
        <v>0</v>
      </c>
      <c r="AH237" s="110">
        <v>0</v>
      </c>
      <c r="AI237" s="110">
        <v>0</v>
      </c>
      <c r="AJ237" s="110">
        <v>0</v>
      </c>
      <c r="AK237" s="110">
        <v>0</v>
      </c>
      <c r="AL237" s="110">
        <v>0</v>
      </c>
      <c r="AM237" s="110">
        <v>0</v>
      </c>
      <c r="AN237" s="110">
        <v>0</v>
      </c>
      <c r="AO237" s="110">
        <v>0</v>
      </c>
      <c r="AP237" s="110">
        <v>0</v>
      </c>
      <c r="AQ237" s="110">
        <v>0</v>
      </c>
      <c r="AR237" s="110">
        <v>0</v>
      </c>
      <c r="AS237" s="110">
        <v>0</v>
      </c>
      <c r="AT237" s="110">
        <v>0</v>
      </c>
      <c r="AU237" s="110">
        <v>0</v>
      </c>
      <c r="AV237" s="110">
        <v>0</v>
      </c>
      <c r="AW237" s="110">
        <v>0</v>
      </c>
      <c r="AX237" s="110">
        <v>0</v>
      </c>
      <c r="AY237" s="110">
        <v>0</v>
      </c>
    </row>
    <row r="238" spans="1:51">
      <c r="A238" s="109"/>
      <c r="B238" s="127">
        <v>30</v>
      </c>
      <c r="C238" s="106">
        <v>0</v>
      </c>
      <c r="D238" s="110">
        <v>0</v>
      </c>
      <c r="E238" s="110">
        <v>0</v>
      </c>
      <c r="F238" s="110">
        <v>0</v>
      </c>
      <c r="G238" s="110">
        <v>0</v>
      </c>
      <c r="H238" s="110">
        <v>0</v>
      </c>
      <c r="I238" s="110">
        <v>0</v>
      </c>
      <c r="J238" s="110">
        <v>0</v>
      </c>
      <c r="K238" s="110">
        <v>0</v>
      </c>
      <c r="L238" s="110">
        <v>0</v>
      </c>
      <c r="M238" s="110">
        <v>0</v>
      </c>
      <c r="N238" s="110">
        <v>0</v>
      </c>
      <c r="O238" s="110">
        <v>0</v>
      </c>
      <c r="P238" s="110">
        <v>0</v>
      </c>
      <c r="Q238" s="110">
        <v>0</v>
      </c>
      <c r="R238" s="110">
        <v>0</v>
      </c>
      <c r="S238" s="110">
        <v>0</v>
      </c>
      <c r="T238" s="110">
        <v>0</v>
      </c>
      <c r="U238" s="110">
        <v>0</v>
      </c>
      <c r="V238" s="110">
        <v>0</v>
      </c>
      <c r="W238" s="110">
        <v>0</v>
      </c>
      <c r="X238" s="110">
        <v>0</v>
      </c>
      <c r="Y238" s="110">
        <v>0</v>
      </c>
      <c r="Z238" s="110">
        <v>0</v>
      </c>
      <c r="AA238" s="110">
        <v>0</v>
      </c>
      <c r="AB238" s="110">
        <v>0</v>
      </c>
      <c r="AC238" s="110">
        <v>0</v>
      </c>
      <c r="AD238" s="110">
        <v>0</v>
      </c>
      <c r="AE238" s="110">
        <v>0</v>
      </c>
      <c r="AF238" s="110">
        <v>0</v>
      </c>
      <c r="AG238" s="110">
        <v>0</v>
      </c>
      <c r="AH238" s="110">
        <v>0</v>
      </c>
      <c r="AI238" s="110">
        <v>0</v>
      </c>
      <c r="AJ238" s="110">
        <v>0</v>
      </c>
      <c r="AK238" s="110">
        <v>0</v>
      </c>
      <c r="AL238" s="110">
        <v>0</v>
      </c>
      <c r="AM238" s="110">
        <v>0</v>
      </c>
      <c r="AN238" s="110">
        <v>0</v>
      </c>
      <c r="AO238" s="110">
        <v>0</v>
      </c>
      <c r="AP238" s="110">
        <v>0</v>
      </c>
      <c r="AQ238" s="110">
        <v>0</v>
      </c>
      <c r="AR238" s="110">
        <v>0</v>
      </c>
      <c r="AS238" s="110">
        <v>0</v>
      </c>
      <c r="AT238" s="110">
        <v>0</v>
      </c>
      <c r="AU238" s="110">
        <v>0</v>
      </c>
      <c r="AV238" s="110">
        <v>0</v>
      </c>
      <c r="AW238" s="110">
        <v>0</v>
      </c>
      <c r="AX238" s="110">
        <v>0</v>
      </c>
      <c r="AY238" s="110">
        <v>0</v>
      </c>
    </row>
    <row r="239" spans="1:51">
      <c r="A239" s="109"/>
      <c r="B239" s="127">
        <v>31</v>
      </c>
      <c r="C239" s="106">
        <v>0</v>
      </c>
      <c r="D239" s="110">
        <v>0</v>
      </c>
      <c r="E239" s="110">
        <v>0</v>
      </c>
      <c r="F239" s="110">
        <v>0</v>
      </c>
      <c r="G239" s="110">
        <v>0</v>
      </c>
      <c r="H239" s="110">
        <v>0</v>
      </c>
      <c r="I239" s="110">
        <v>0</v>
      </c>
      <c r="J239" s="110">
        <v>0</v>
      </c>
      <c r="K239" s="110">
        <v>0</v>
      </c>
      <c r="L239" s="110">
        <v>0</v>
      </c>
      <c r="M239" s="110">
        <v>0</v>
      </c>
      <c r="N239" s="110">
        <v>0</v>
      </c>
      <c r="O239" s="110">
        <v>0</v>
      </c>
      <c r="P239" s="110">
        <v>0</v>
      </c>
      <c r="Q239" s="110">
        <v>0</v>
      </c>
      <c r="R239" s="110">
        <v>0</v>
      </c>
      <c r="S239" s="110">
        <v>0</v>
      </c>
      <c r="T239" s="110">
        <v>0</v>
      </c>
      <c r="U239" s="110">
        <v>0</v>
      </c>
      <c r="V239" s="110">
        <v>0</v>
      </c>
      <c r="W239" s="110">
        <v>0</v>
      </c>
      <c r="X239" s="110">
        <v>0</v>
      </c>
      <c r="Y239" s="110">
        <v>0</v>
      </c>
      <c r="Z239" s="110">
        <v>0</v>
      </c>
      <c r="AA239" s="110">
        <v>0</v>
      </c>
      <c r="AB239" s="110">
        <v>0</v>
      </c>
      <c r="AC239" s="110">
        <v>0</v>
      </c>
      <c r="AD239" s="110">
        <v>0</v>
      </c>
      <c r="AE239" s="110">
        <v>0</v>
      </c>
      <c r="AF239" s="110">
        <v>0</v>
      </c>
      <c r="AG239" s="110">
        <v>0</v>
      </c>
      <c r="AH239" s="110">
        <v>0</v>
      </c>
      <c r="AI239" s="110">
        <v>0</v>
      </c>
      <c r="AJ239" s="110">
        <v>0</v>
      </c>
      <c r="AK239" s="110">
        <v>0</v>
      </c>
      <c r="AL239" s="110">
        <v>0</v>
      </c>
      <c r="AM239" s="110">
        <v>0</v>
      </c>
      <c r="AN239" s="110">
        <v>0</v>
      </c>
      <c r="AO239" s="110">
        <v>0</v>
      </c>
      <c r="AP239" s="110">
        <v>0</v>
      </c>
      <c r="AQ239" s="110">
        <v>0</v>
      </c>
      <c r="AR239" s="110">
        <v>0</v>
      </c>
      <c r="AS239" s="110">
        <v>0</v>
      </c>
      <c r="AT239" s="110">
        <v>0</v>
      </c>
      <c r="AU239" s="110">
        <v>0</v>
      </c>
      <c r="AV239" s="110">
        <v>0</v>
      </c>
      <c r="AW239" s="110">
        <v>0</v>
      </c>
      <c r="AX239" s="110">
        <v>0</v>
      </c>
      <c r="AY239" s="110">
        <v>0</v>
      </c>
    </row>
    <row r="240" spans="1:51">
      <c r="A240" s="109"/>
      <c r="B240" s="127">
        <v>32</v>
      </c>
      <c r="C240" s="106">
        <v>0</v>
      </c>
      <c r="D240" s="110">
        <v>0</v>
      </c>
      <c r="E240" s="110">
        <v>0</v>
      </c>
      <c r="F240" s="110">
        <v>0</v>
      </c>
      <c r="G240" s="110">
        <v>0</v>
      </c>
      <c r="H240" s="110">
        <v>0</v>
      </c>
      <c r="I240" s="110">
        <v>0</v>
      </c>
      <c r="J240" s="110">
        <v>0</v>
      </c>
      <c r="K240" s="110">
        <v>0</v>
      </c>
      <c r="L240" s="110">
        <v>0</v>
      </c>
      <c r="M240" s="110">
        <v>0</v>
      </c>
      <c r="N240" s="110">
        <v>0</v>
      </c>
      <c r="O240" s="110">
        <v>0</v>
      </c>
      <c r="P240" s="110">
        <v>0</v>
      </c>
      <c r="Q240" s="110">
        <v>0</v>
      </c>
      <c r="R240" s="110">
        <v>0</v>
      </c>
      <c r="S240" s="110">
        <v>0</v>
      </c>
      <c r="T240" s="110">
        <v>0</v>
      </c>
      <c r="U240" s="110">
        <v>0</v>
      </c>
      <c r="V240" s="110">
        <v>0</v>
      </c>
      <c r="W240" s="110">
        <v>0</v>
      </c>
      <c r="X240" s="110">
        <v>0</v>
      </c>
      <c r="Y240" s="110">
        <v>0</v>
      </c>
      <c r="Z240" s="110">
        <v>0</v>
      </c>
      <c r="AA240" s="110">
        <v>0</v>
      </c>
      <c r="AB240" s="110">
        <v>0</v>
      </c>
      <c r="AC240" s="110">
        <v>0</v>
      </c>
      <c r="AD240" s="110">
        <v>0</v>
      </c>
      <c r="AE240" s="110">
        <v>0</v>
      </c>
      <c r="AF240" s="110">
        <v>0</v>
      </c>
      <c r="AG240" s="110">
        <v>0</v>
      </c>
      <c r="AH240" s="110">
        <v>0</v>
      </c>
      <c r="AI240" s="110">
        <v>0</v>
      </c>
      <c r="AJ240" s="110">
        <v>0</v>
      </c>
      <c r="AK240" s="110">
        <v>0</v>
      </c>
      <c r="AL240" s="110">
        <v>0</v>
      </c>
      <c r="AM240" s="110">
        <v>0</v>
      </c>
      <c r="AN240" s="110">
        <v>0</v>
      </c>
      <c r="AO240" s="110">
        <v>0</v>
      </c>
      <c r="AP240" s="110">
        <v>0</v>
      </c>
      <c r="AQ240" s="110">
        <v>0</v>
      </c>
      <c r="AR240" s="110">
        <v>0</v>
      </c>
      <c r="AS240" s="110">
        <v>0</v>
      </c>
      <c r="AT240" s="110">
        <v>0</v>
      </c>
      <c r="AU240" s="110">
        <v>0</v>
      </c>
      <c r="AV240" s="110">
        <v>0</v>
      </c>
      <c r="AW240" s="110">
        <v>0</v>
      </c>
      <c r="AX240" s="110">
        <v>0</v>
      </c>
      <c r="AY240" s="110">
        <v>0</v>
      </c>
    </row>
    <row r="241" spans="1:51">
      <c r="A241" s="109"/>
      <c r="B241" s="127">
        <v>33</v>
      </c>
      <c r="C241" s="106">
        <v>0</v>
      </c>
      <c r="D241" s="110">
        <v>0</v>
      </c>
      <c r="E241" s="110">
        <v>0</v>
      </c>
      <c r="F241" s="110">
        <v>0</v>
      </c>
      <c r="G241" s="110">
        <v>0</v>
      </c>
      <c r="H241" s="110">
        <v>0</v>
      </c>
      <c r="I241" s="110">
        <v>0</v>
      </c>
      <c r="J241" s="110">
        <v>0</v>
      </c>
      <c r="K241" s="110">
        <v>0</v>
      </c>
      <c r="L241" s="110">
        <v>0</v>
      </c>
      <c r="M241" s="110">
        <v>0</v>
      </c>
      <c r="N241" s="110">
        <v>0</v>
      </c>
      <c r="O241" s="110">
        <v>0</v>
      </c>
      <c r="P241" s="110">
        <v>0</v>
      </c>
      <c r="Q241" s="110">
        <v>0</v>
      </c>
      <c r="R241" s="110">
        <v>0</v>
      </c>
      <c r="S241" s="110">
        <v>0</v>
      </c>
      <c r="T241" s="110">
        <v>0</v>
      </c>
      <c r="U241" s="110">
        <v>0</v>
      </c>
      <c r="V241" s="110">
        <v>0</v>
      </c>
      <c r="W241" s="110">
        <v>0</v>
      </c>
      <c r="X241" s="110">
        <v>0</v>
      </c>
      <c r="Y241" s="110">
        <v>0</v>
      </c>
      <c r="Z241" s="110">
        <v>0</v>
      </c>
      <c r="AA241" s="110">
        <v>0</v>
      </c>
      <c r="AB241" s="110">
        <v>0</v>
      </c>
      <c r="AC241" s="110">
        <v>0</v>
      </c>
      <c r="AD241" s="110">
        <v>0</v>
      </c>
      <c r="AE241" s="110">
        <v>0</v>
      </c>
      <c r="AF241" s="110">
        <v>0</v>
      </c>
      <c r="AG241" s="110">
        <v>0</v>
      </c>
      <c r="AH241" s="110">
        <v>0</v>
      </c>
      <c r="AI241" s="110">
        <v>0</v>
      </c>
      <c r="AJ241" s="110">
        <v>0</v>
      </c>
      <c r="AK241" s="110">
        <v>0</v>
      </c>
      <c r="AL241" s="110">
        <v>0</v>
      </c>
      <c r="AM241" s="110">
        <v>0</v>
      </c>
      <c r="AN241" s="110">
        <v>0</v>
      </c>
      <c r="AO241" s="110">
        <v>0</v>
      </c>
      <c r="AP241" s="110">
        <v>0</v>
      </c>
      <c r="AQ241" s="110">
        <v>0</v>
      </c>
      <c r="AR241" s="110">
        <v>0</v>
      </c>
      <c r="AS241" s="110">
        <v>0</v>
      </c>
      <c r="AT241" s="110">
        <v>0</v>
      </c>
      <c r="AU241" s="110">
        <v>0</v>
      </c>
      <c r="AV241" s="110">
        <v>0</v>
      </c>
      <c r="AW241" s="110">
        <v>0</v>
      </c>
      <c r="AX241" s="110">
        <v>0</v>
      </c>
      <c r="AY241" s="110">
        <v>0</v>
      </c>
    </row>
    <row r="242" spans="1:51">
      <c r="A242" s="109"/>
      <c r="B242" s="127">
        <v>34</v>
      </c>
      <c r="C242" s="106">
        <v>0</v>
      </c>
      <c r="D242" s="110">
        <v>0</v>
      </c>
      <c r="E242" s="110">
        <v>0</v>
      </c>
      <c r="F242" s="110">
        <v>0</v>
      </c>
      <c r="G242" s="110">
        <v>0</v>
      </c>
      <c r="H242" s="110">
        <v>0</v>
      </c>
      <c r="I242" s="110">
        <v>0</v>
      </c>
      <c r="J242" s="110">
        <v>0</v>
      </c>
      <c r="K242" s="110">
        <v>0</v>
      </c>
      <c r="L242" s="110">
        <v>0</v>
      </c>
      <c r="M242" s="110">
        <v>0</v>
      </c>
      <c r="N242" s="110">
        <v>0</v>
      </c>
      <c r="O242" s="110">
        <v>0</v>
      </c>
      <c r="P242" s="110">
        <v>0</v>
      </c>
      <c r="Q242" s="110">
        <v>0</v>
      </c>
      <c r="R242" s="110">
        <v>0</v>
      </c>
      <c r="S242" s="110">
        <v>0</v>
      </c>
      <c r="T242" s="110">
        <v>0</v>
      </c>
      <c r="U242" s="110">
        <v>0</v>
      </c>
      <c r="V242" s="110">
        <v>0</v>
      </c>
      <c r="W242" s="110">
        <v>0</v>
      </c>
      <c r="X242" s="110">
        <v>0</v>
      </c>
      <c r="Y242" s="110">
        <v>0</v>
      </c>
      <c r="Z242" s="110">
        <v>0</v>
      </c>
      <c r="AA242" s="110">
        <v>0</v>
      </c>
      <c r="AB242" s="110">
        <v>0</v>
      </c>
      <c r="AC242" s="110">
        <v>0</v>
      </c>
      <c r="AD242" s="110">
        <v>0</v>
      </c>
      <c r="AE242" s="110">
        <v>0</v>
      </c>
      <c r="AF242" s="110">
        <v>0</v>
      </c>
      <c r="AG242" s="110">
        <v>0</v>
      </c>
      <c r="AH242" s="110">
        <v>0</v>
      </c>
      <c r="AI242" s="110">
        <v>0</v>
      </c>
      <c r="AJ242" s="110">
        <v>0</v>
      </c>
      <c r="AK242" s="110">
        <v>0</v>
      </c>
      <c r="AL242" s="110">
        <v>0</v>
      </c>
      <c r="AM242" s="110">
        <v>0</v>
      </c>
      <c r="AN242" s="110">
        <v>0</v>
      </c>
      <c r="AO242" s="110">
        <v>0</v>
      </c>
      <c r="AP242" s="110">
        <v>0</v>
      </c>
      <c r="AQ242" s="110">
        <v>0</v>
      </c>
      <c r="AR242" s="110">
        <v>0</v>
      </c>
      <c r="AS242" s="110">
        <v>0</v>
      </c>
      <c r="AT242" s="110">
        <v>0</v>
      </c>
      <c r="AU242" s="110">
        <v>0</v>
      </c>
      <c r="AV242" s="110">
        <v>0</v>
      </c>
      <c r="AW242" s="110">
        <v>0</v>
      </c>
      <c r="AX242" s="110">
        <v>0</v>
      </c>
      <c r="AY242" s="110">
        <v>0</v>
      </c>
    </row>
    <row r="243" spans="1:51">
      <c r="A243" s="109"/>
      <c r="B243" s="127">
        <v>35</v>
      </c>
      <c r="C243" s="106">
        <v>0</v>
      </c>
      <c r="D243" s="110">
        <v>0</v>
      </c>
      <c r="E243" s="110">
        <v>0</v>
      </c>
      <c r="F243" s="110">
        <v>0</v>
      </c>
      <c r="G243" s="110">
        <v>0</v>
      </c>
      <c r="H243" s="110">
        <v>0</v>
      </c>
      <c r="I243" s="110">
        <v>0</v>
      </c>
      <c r="J243" s="110">
        <v>0</v>
      </c>
      <c r="K243" s="110">
        <v>0</v>
      </c>
      <c r="L243" s="110">
        <v>0</v>
      </c>
      <c r="M243" s="110">
        <v>0</v>
      </c>
      <c r="N243" s="110">
        <v>0</v>
      </c>
      <c r="O243" s="110">
        <v>0</v>
      </c>
      <c r="P243" s="110">
        <v>0</v>
      </c>
      <c r="Q243" s="110">
        <v>0</v>
      </c>
      <c r="R243" s="110">
        <v>0</v>
      </c>
      <c r="S243" s="110">
        <v>0</v>
      </c>
      <c r="T243" s="110">
        <v>0</v>
      </c>
      <c r="U243" s="110">
        <v>0</v>
      </c>
      <c r="V243" s="110">
        <v>0</v>
      </c>
      <c r="W243" s="110">
        <v>0</v>
      </c>
      <c r="X243" s="110">
        <v>0</v>
      </c>
      <c r="Y243" s="110">
        <v>0</v>
      </c>
      <c r="Z243" s="110">
        <v>0</v>
      </c>
      <c r="AA243" s="110">
        <v>0</v>
      </c>
      <c r="AB243" s="110">
        <v>0</v>
      </c>
      <c r="AC243" s="110">
        <v>0</v>
      </c>
      <c r="AD243" s="110">
        <v>0</v>
      </c>
      <c r="AE243" s="110">
        <v>0</v>
      </c>
      <c r="AF243" s="110">
        <v>0</v>
      </c>
      <c r="AG243" s="110">
        <v>0</v>
      </c>
      <c r="AH243" s="110">
        <v>0</v>
      </c>
      <c r="AI243" s="110">
        <v>0</v>
      </c>
      <c r="AJ243" s="110">
        <v>0</v>
      </c>
      <c r="AK243" s="110">
        <v>0</v>
      </c>
      <c r="AL243" s="110">
        <v>0</v>
      </c>
      <c r="AM243" s="110">
        <v>0</v>
      </c>
      <c r="AN243" s="110">
        <v>0</v>
      </c>
      <c r="AO243" s="110">
        <v>0</v>
      </c>
      <c r="AP243" s="110">
        <v>0</v>
      </c>
      <c r="AQ243" s="110">
        <v>0</v>
      </c>
      <c r="AR243" s="110">
        <v>0</v>
      </c>
      <c r="AS243" s="110">
        <v>0</v>
      </c>
      <c r="AT243" s="110">
        <v>0</v>
      </c>
      <c r="AU243" s="110">
        <v>0</v>
      </c>
      <c r="AV243" s="110">
        <v>0</v>
      </c>
      <c r="AW243" s="110">
        <v>0</v>
      </c>
      <c r="AX243" s="110">
        <v>0</v>
      </c>
      <c r="AY243" s="110">
        <v>0</v>
      </c>
    </row>
    <row r="244" spans="1:51">
      <c r="A244" s="109"/>
      <c r="B244" s="127">
        <v>36</v>
      </c>
      <c r="C244" s="106">
        <v>0</v>
      </c>
      <c r="D244" s="110">
        <v>0</v>
      </c>
      <c r="E244" s="110">
        <v>0</v>
      </c>
      <c r="F244" s="110">
        <v>0</v>
      </c>
      <c r="G244" s="110">
        <v>0</v>
      </c>
      <c r="H244" s="110">
        <v>0</v>
      </c>
      <c r="I244" s="110">
        <v>0</v>
      </c>
      <c r="J244" s="110">
        <v>0</v>
      </c>
      <c r="K244" s="110">
        <v>0</v>
      </c>
      <c r="L244" s="110">
        <v>0</v>
      </c>
      <c r="M244" s="110">
        <v>0</v>
      </c>
      <c r="N244" s="110">
        <v>0</v>
      </c>
      <c r="O244" s="110">
        <v>0</v>
      </c>
      <c r="P244" s="110">
        <v>0</v>
      </c>
      <c r="Q244" s="110">
        <v>0</v>
      </c>
      <c r="R244" s="110">
        <v>0</v>
      </c>
      <c r="S244" s="110">
        <v>0</v>
      </c>
      <c r="T244" s="110">
        <v>0</v>
      </c>
      <c r="U244" s="110">
        <v>0</v>
      </c>
      <c r="V244" s="110">
        <v>0</v>
      </c>
      <c r="W244" s="110">
        <v>0</v>
      </c>
      <c r="X244" s="110">
        <v>0</v>
      </c>
      <c r="Y244" s="110">
        <v>0</v>
      </c>
      <c r="Z244" s="110">
        <v>0</v>
      </c>
      <c r="AA244" s="110">
        <v>0</v>
      </c>
      <c r="AB244" s="110">
        <v>0</v>
      </c>
      <c r="AC244" s="110">
        <v>0</v>
      </c>
      <c r="AD244" s="110">
        <v>0</v>
      </c>
      <c r="AE244" s="110">
        <v>0</v>
      </c>
      <c r="AF244" s="110">
        <v>0</v>
      </c>
      <c r="AG244" s="110">
        <v>0</v>
      </c>
      <c r="AH244" s="110">
        <v>0</v>
      </c>
      <c r="AI244" s="110">
        <v>0</v>
      </c>
      <c r="AJ244" s="110">
        <v>0</v>
      </c>
      <c r="AK244" s="110">
        <v>0</v>
      </c>
      <c r="AL244" s="110">
        <v>0</v>
      </c>
      <c r="AM244" s="110">
        <v>0</v>
      </c>
      <c r="AN244" s="110">
        <v>0</v>
      </c>
      <c r="AO244" s="110">
        <v>0</v>
      </c>
      <c r="AP244" s="110">
        <v>0</v>
      </c>
      <c r="AQ244" s="110">
        <v>0</v>
      </c>
      <c r="AR244" s="110">
        <v>0</v>
      </c>
      <c r="AS244" s="110">
        <v>0</v>
      </c>
      <c r="AT244" s="110">
        <v>0</v>
      </c>
      <c r="AU244" s="110">
        <v>0</v>
      </c>
      <c r="AV244" s="110">
        <v>0</v>
      </c>
      <c r="AW244" s="110">
        <v>0</v>
      </c>
      <c r="AX244" s="110">
        <v>0</v>
      </c>
      <c r="AY244" s="110">
        <v>0</v>
      </c>
    </row>
    <row r="245" spans="1:51">
      <c r="A245" s="109"/>
      <c r="B245" s="130">
        <v>37</v>
      </c>
      <c r="C245" s="106">
        <v>0</v>
      </c>
      <c r="D245" s="110">
        <v>0</v>
      </c>
      <c r="E245" s="110">
        <v>0</v>
      </c>
      <c r="F245" s="110">
        <v>0</v>
      </c>
      <c r="G245" s="110">
        <v>0</v>
      </c>
      <c r="H245" s="110">
        <v>0</v>
      </c>
      <c r="I245" s="110">
        <v>0</v>
      </c>
      <c r="J245" s="110">
        <v>0</v>
      </c>
      <c r="K245" s="110">
        <v>0</v>
      </c>
      <c r="L245" s="110">
        <v>0</v>
      </c>
      <c r="M245" s="110">
        <v>0</v>
      </c>
      <c r="N245" s="110">
        <v>0</v>
      </c>
      <c r="O245" s="110">
        <v>0</v>
      </c>
      <c r="P245" s="110">
        <v>0</v>
      </c>
      <c r="Q245" s="110">
        <v>0</v>
      </c>
      <c r="R245" s="110">
        <v>0</v>
      </c>
      <c r="S245" s="110">
        <v>0</v>
      </c>
      <c r="T245" s="110">
        <v>0</v>
      </c>
      <c r="U245" s="110">
        <v>0</v>
      </c>
      <c r="V245" s="110">
        <v>0</v>
      </c>
      <c r="W245" s="110">
        <v>0</v>
      </c>
      <c r="X245" s="110">
        <v>0</v>
      </c>
      <c r="Y245" s="110">
        <v>0</v>
      </c>
      <c r="Z245" s="110">
        <v>0</v>
      </c>
      <c r="AA245" s="110">
        <v>0</v>
      </c>
      <c r="AB245" s="110">
        <v>0</v>
      </c>
      <c r="AC245" s="110">
        <v>0</v>
      </c>
      <c r="AD245" s="110">
        <v>0</v>
      </c>
      <c r="AE245" s="110">
        <v>0</v>
      </c>
      <c r="AF245" s="110">
        <v>0</v>
      </c>
      <c r="AG245" s="110">
        <v>0</v>
      </c>
      <c r="AH245" s="110">
        <v>0</v>
      </c>
      <c r="AI245" s="110">
        <v>0</v>
      </c>
      <c r="AJ245" s="110">
        <v>0</v>
      </c>
      <c r="AK245" s="110">
        <v>0</v>
      </c>
      <c r="AL245" s="110">
        <v>0</v>
      </c>
      <c r="AM245" s="110">
        <v>0</v>
      </c>
      <c r="AN245" s="110">
        <v>0</v>
      </c>
      <c r="AO245" s="110">
        <v>0</v>
      </c>
      <c r="AP245" s="110">
        <v>0</v>
      </c>
      <c r="AQ245" s="110">
        <v>0</v>
      </c>
      <c r="AR245" s="110">
        <v>0</v>
      </c>
      <c r="AS245" s="110">
        <v>0</v>
      </c>
      <c r="AT245" s="110">
        <v>0</v>
      </c>
      <c r="AU245" s="110">
        <v>0</v>
      </c>
      <c r="AV245" s="110">
        <v>0</v>
      </c>
      <c r="AW245" s="110">
        <v>0</v>
      </c>
      <c r="AX245" s="110">
        <v>0</v>
      </c>
      <c r="AY245" s="110">
        <v>0</v>
      </c>
    </row>
    <row r="246" spans="1:51">
      <c r="A246" s="109"/>
      <c r="B246" s="130">
        <v>38</v>
      </c>
      <c r="C246" s="106">
        <v>0</v>
      </c>
      <c r="D246" s="110">
        <v>0</v>
      </c>
      <c r="E246" s="110">
        <v>0</v>
      </c>
      <c r="F246" s="110">
        <v>0</v>
      </c>
      <c r="G246" s="110">
        <v>0</v>
      </c>
      <c r="H246" s="110">
        <v>0</v>
      </c>
      <c r="I246" s="110">
        <v>0</v>
      </c>
      <c r="J246" s="110">
        <v>0</v>
      </c>
      <c r="K246" s="110">
        <v>0</v>
      </c>
      <c r="L246" s="110">
        <v>0</v>
      </c>
      <c r="M246" s="110">
        <v>0</v>
      </c>
      <c r="N246" s="110">
        <v>0</v>
      </c>
      <c r="O246" s="110">
        <v>0</v>
      </c>
      <c r="P246" s="110">
        <v>0</v>
      </c>
      <c r="Q246" s="110">
        <v>0</v>
      </c>
      <c r="R246" s="110">
        <v>0</v>
      </c>
      <c r="S246" s="110">
        <v>0</v>
      </c>
      <c r="T246" s="110">
        <v>0</v>
      </c>
      <c r="U246" s="110">
        <v>0</v>
      </c>
      <c r="V246" s="110">
        <v>0</v>
      </c>
      <c r="W246" s="110">
        <v>0</v>
      </c>
      <c r="X246" s="110">
        <v>0</v>
      </c>
      <c r="Y246" s="110">
        <v>0</v>
      </c>
      <c r="Z246" s="110">
        <v>0</v>
      </c>
      <c r="AA246" s="110">
        <v>0</v>
      </c>
      <c r="AB246" s="110">
        <v>0</v>
      </c>
      <c r="AC246" s="110">
        <v>0</v>
      </c>
      <c r="AD246" s="110">
        <v>0</v>
      </c>
      <c r="AE246" s="110">
        <v>0</v>
      </c>
      <c r="AF246" s="110">
        <v>0</v>
      </c>
      <c r="AG246" s="110">
        <v>0</v>
      </c>
      <c r="AH246" s="110">
        <v>0</v>
      </c>
      <c r="AI246" s="110">
        <v>0</v>
      </c>
      <c r="AJ246" s="110">
        <v>0</v>
      </c>
      <c r="AK246" s="110">
        <v>0</v>
      </c>
      <c r="AL246" s="110">
        <v>0</v>
      </c>
      <c r="AM246" s="110">
        <v>0</v>
      </c>
      <c r="AN246" s="110">
        <v>0</v>
      </c>
      <c r="AO246" s="110">
        <v>0</v>
      </c>
      <c r="AP246" s="110">
        <v>0</v>
      </c>
      <c r="AQ246" s="110">
        <v>0</v>
      </c>
      <c r="AR246" s="110">
        <v>0</v>
      </c>
      <c r="AS246" s="110">
        <v>0</v>
      </c>
      <c r="AT246" s="110">
        <v>0</v>
      </c>
      <c r="AU246" s="110">
        <v>0</v>
      </c>
      <c r="AV246" s="110">
        <v>0</v>
      </c>
      <c r="AW246" s="110">
        <v>0</v>
      </c>
      <c r="AX246" s="110">
        <v>0</v>
      </c>
      <c r="AY246" s="110">
        <v>0</v>
      </c>
    </row>
    <row r="247" spans="1:51">
      <c r="A247" s="109"/>
      <c r="B247" s="130">
        <v>39</v>
      </c>
      <c r="C247" s="106">
        <v>0</v>
      </c>
      <c r="D247" s="110">
        <v>0</v>
      </c>
      <c r="E247" s="110">
        <v>0</v>
      </c>
      <c r="F247" s="110">
        <v>0</v>
      </c>
      <c r="G247" s="110">
        <v>0</v>
      </c>
      <c r="H247" s="110">
        <v>0</v>
      </c>
      <c r="I247" s="110">
        <v>0</v>
      </c>
      <c r="J247" s="110">
        <v>0</v>
      </c>
      <c r="K247" s="110">
        <v>0</v>
      </c>
      <c r="L247" s="110">
        <v>0</v>
      </c>
      <c r="M247" s="110">
        <v>0</v>
      </c>
      <c r="N247" s="110">
        <v>0</v>
      </c>
      <c r="O247" s="110">
        <v>0</v>
      </c>
      <c r="P247" s="110">
        <v>0</v>
      </c>
      <c r="Q247" s="110">
        <v>0</v>
      </c>
      <c r="R247" s="110">
        <v>0</v>
      </c>
      <c r="S247" s="110">
        <v>0</v>
      </c>
      <c r="T247" s="110">
        <v>0</v>
      </c>
      <c r="U247" s="110">
        <v>0</v>
      </c>
      <c r="V247" s="110">
        <v>0</v>
      </c>
      <c r="W247" s="110">
        <v>0</v>
      </c>
      <c r="X247" s="110">
        <v>0</v>
      </c>
      <c r="Y247" s="110">
        <v>0</v>
      </c>
      <c r="Z247" s="110">
        <v>0</v>
      </c>
      <c r="AA247" s="110">
        <v>0</v>
      </c>
      <c r="AB247" s="110">
        <v>0</v>
      </c>
      <c r="AC247" s="110">
        <v>0</v>
      </c>
      <c r="AD247" s="110">
        <v>0</v>
      </c>
      <c r="AE247" s="110">
        <v>0</v>
      </c>
      <c r="AF247" s="110">
        <v>0</v>
      </c>
      <c r="AG247" s="110">
        <v>0</v>
      </c>
      <c r="AH247" s="110">
        <v>0</v>
      </c>
      <c r="AI247" s="110">
        <v>0</v>
      </c>
      <c r="AJ247" s="110">
        <v>0</v>
      </c>
      <c r="AK247" s="110">
        <v>0</v>
      </c>
      <c r="AL247" s="110">
        <v>0</v>
      </c>
      <c r="AM247" s="110">
        <v>0</v>
      </c>
      <c r="AN247" s="110">
        <v>0</v>
      </c>
      <c r="AO247" s="110">
        <v>0</v>
      </c>
      <c r="AP247" s="110">
        <v>0</v>
      </c>
      <c r="AQ247" s="110">
        <v>0</v>
      </c>
      <c r="AR247" s="110">
        <v>0</v>
      </c>
      <c r="AS247" s="110">
        <v>0</v>
      </c>
      <c r="AT247" s="110">
        <v>0</v>
      </c>
      <c r="AU247" s="110">
        <v>0</v>
      </c>
      <c r="AV247" s="110">
        <v>0</v>
      </c>
      <c r="AW247" s="110">
        <v>0</v>
      </c>
      <c r="AX247" s="110">
        <v>0</v>
      </c>
      <c r="AY247" s="110">
        <v>0</v>
      </c>
    </row>
    <row r="248" spans="1:51">
      <c r="A248" s="109"/>
      <c r="B248" s="130">
        <v>40</v>
      </c>
      <c r="C248" s="106">
        <v>0</v>
      </c>
      <c r="D248" s="110">
        <v>0</v>
      </c>
      <c r="E248" s="110">
        <v>0</v>
      </c>
      <c r="F248" s="110">
        <v>0</v>
      </c>
      <c r="G248" s="110">
        <v>0</v>
      </c>
      <c r="H248" s="110">
        <v>0</v>
      </c>
      <c r="I248" s="110">
        <v>0</v>
      </c>
      <c r="J248" s="110">
        <v>0</v>
      </c>
      <c r="K248" s="110">
        <v>0</v>
      </c>
      <c r="L248" s="110">
        <v>0</v>
      </c>
      <c r="M248" s="110">
        <v>0</v>
      </c>
      <c r="N248" s="110">
        <v>0</v>
      </c>
      <c r="O248" s="110">
        <v>0</v>
      </c>
      <c r="P248" s="110">
        <v>0</v>
      </c>
      <c r="Q248" s="110">
        <v>0</v>
      </c>
      <c r="R248" s="110">
        <v>0</v>
      </c>
      <c r="S248" s="110">
        <v>0</v>
      </c>
      <c r="T248" s="110">
        <v>0</v>
      </c>
      <c r="U248" s="110">
        <v>0</v>
      </c>
      <c r="V248" s="110">
        <v>0</v>
      </c>
      <c r="W248" s="110">
        <v>0</v>
      </c>
      <c r="X248" s="110">
        <v>0</v>
      </c>
      <c r="Y248" s="110">
        <v>0</v>
      </c>
      <c r="Z248" s="110">
        <v>0</v>
      </c>
      <c r="AA248" s="110">
        <v>0</v>
      </c>
      <c r="AB248" s="110">
        <v>0</v>
      </c>
      <c r="AC248" s="110">
        <v>0</v>
      </c>
      <c r="AD248" s="110">
        <v>0</v>
      </c>
      <c r="AE248" s="110">
        <v>0</v>
      </c>
      <c r="AF248" s="110">
        <v>0</v>
      </c>
      <c r="AG248" s="110">
        <v>0</v>
      </c>
      <c r="AH248" s="110">
        <v>0</v>
      </c>
      <c r="AI248" s="110">
        <v>0</v>
      </c>
      <c r="AJ248" s="110">
        <v>0</v>
      </c>
      <c r="AK248" s="110">
        <v>0</v>
      </c>
      <c r="AL248" s="110">
        <v>0</v>
      </c>
      <c r="AM248" s="110">
        <v>0</v>
      </c>
      <c r="AN248" s="110">
        <v>0</v>
      </c>
      <c r="AO248" s="110">
        <v>0</v>
      </c>
      <c r="AP248" s="110">
        <v>0</v>
      </c>
      <c r="AQ248" s="110">
        <v>0</v>
      </c>
      <c r="AR248" s="110">
        <v>0</v>
      </c>
      <c r="AS248" s="110">
        <v>0</v>
      </c>
      <c r="AT248" s="110">
        <v>0</v>
      </c>
      <c r="AU248" s="110">
        <v>0</v>
      </c>
      <c r="AV248" s="110">
        <v>0</v>
      </c>
      <c r="AW248" s="110">
        <v>0</v>
      </c>
      <c r="AX248" s="110">
        <v>0</v>
      </c>
      <c r="AY248" s="110">
        <v>0</v>
      </c>
    </row>
    <row r="249" spans="1:51">
      <c r="A249" s="109"/>
      <c r="B249" s="130">
        <v>41</v>
      </c>
      <c r="C249" s="106">
        <v>0</v>
      </c>
      <c r="D249" s="110">
        <v>0</v>
      </c>
      <c r="E249" s="110">
        <v>0</v>
      </c>
      <c r="F249" s="110">
        <v>0</v>
      </c>
      <c r="G249" s="110">
        <v>0</v>
      </c>
      <c r="H249" s="110">
        <v>0</v>
      </c>
      <c r="I249" s="110">
        <v>0</v>
      </c>
      <c r="J249" s="110">
        <v>0</v>
      </c>
      <c r="K249" s="110">
        <v>0</v>
      </c>
      <c r="L249" s="110">
        <v>0</v>
      </c>
      <c r="M249" s="110">
        <v>0</v>
      </c>
      <c r="N249" s="110">
        <v>0</v>
      </c>
      <c r="O249" s="110">
        <v>0</v>
      </c>
      <c r="P249" s="110">
        <v>0</v>
      </c>
      <c r="Q249" s="110">
        <v>0</v>
      </c>
      <c r="R249" s="110">
        <v>0</v>
      </c>
      <c r="S249" s="110">
        <v>0</v>
      </c>
      <c r="T249" s="110">
        <v>0</v>
      </c>
      <c r="U249" s="110">
        <v>0</v>
      </c>
      <c r="V249" s="110">
        <v>0</v>
      </c>
      <c r="W249" s="110">
        <v>0</v>
      </c>
      <c r="X249" s="110">
        <v>0</v>
      </c>
      <c r="Y249" s="110">
        <v>0</v>
      </c>
      <c r="Z249" s="110">
        <v>0</v>
      </c>
      <c r="AA249" s="110">
        <v>0</v>
      </c>
      <c r="AB249" s="110">
        <v>0</v>
      </c>
      <c r="AC249" s="110">
        <v>0</v>
      </c>
      <c r="AD249" s="110">
        <v>0</v>
      </c>
      <c r="AE249" s="110">
        <v>0</v>
      </c>
      <c r="AF249" s="110">
        <v>0</v>
      </c>
      <c r="AG249" s="110">
        <v>0</v>
      </c>
      <c r="AH249" s="110">
        <v>0</v>
      </c>
      <c r="AI249" s="110">
        <v>0</v>
      </c>
      <c r="AJ249" s="110">
        <v>0</v>
      </c>
      <c r="AK249" s="110">
        <v>0</v>
      </c>
      <c r="AL249" s="110">
        <v>0</v>
      </c>
      <c r="AM249" s="110">
        <v>0</v>
      </c>
      <c r="AN249" s="110">
        <v>0</v>
      </c>
      <c r="AO249" s="110">
        <v>0</v>
      </c>
      <c r="AP249" s="110">
        <v>0</v>
      </c>
      <c r="AQ249" s="110">
        <v>0</v>
      </c>
      <c r="AR249" s="110">
        <v>0</v>
      </c>
      <c r="AS249" s="110">
        <v>0</v>
      </c>
      <c r="AT249" s="110">
        <v>0</v>
      </c>
      <c r="AU249" s="110">
        <v>0</v>
      </c>
      <c r="AV249" s="110">
        <v>0</v>
      </c>
      <c r="AW249" s="110">
        <v>0</v>
      </c>
      <c r="AX249" s="110">
        <v>0</v>
      </c>
      <c r="AY249" s="110">
        <v>0</v>
      </c>
    </row>
    <row r="250" spans="1:51">
      <c r="A250" s="109"/>
      <c r="B250" s="130">
        <v>42</v>
      </c>
      <c r="C250" s="106">
        <v>0</v>
      </c>
      <c r="D250" s="110">
        <v>0</v>
      </c>
      <c r="E250" s="110">
        <v>0</v>
      </c>
      <c r="F250" s="110">
        <v>0</v>
      </c>
      <c r="G250" s="110">
        <v>0</v>
      </c>
      <c r="H250" s="110">
        <v>0</v>
      </c>
      <c r="I250" s="110">
        <v>0</v>
      </c>
      <c r="J250" s="110">
        <v>0</v>
      </c>
      <c r="K250" s="110">
        <v>0</v>
      </c>
      <c r="L250" s="110">
        <v>0</v>
      </c>
      <c r="M250" s="110">
        <v>0</v>
      </c>
      <c r="N250" s="110">
        <v>0</v>
      </c>
      <c r="O250" s="110">
        <v>0</v>
      </c>
      <c r="P250" s="110">
        <v>0</v>
      </c>
      <c r="Q250" s="110">
        <v>0</v>
      </c>
      <c r="R250" s="110">
        <v>0</v>
      </c>
      <c r="S250" s="110">
        <v>0</v>
      </c>
      <c r="T250" s="110">
        <v>0</v>
      </c>
      <c r="U250" s="110">
        <v>0</v>
      </c>
      <c r="V250" s="110">
        <v>0</v>
      </c>
      <c r="W250" s="110">
        <v>0</v>
      </c>
      <c r="X250" s="110">
        <v>0</v>
      </c>
      <c r="Y250" s="110">
        <v>0</v>
      </c>
      <c r="Z250" s="110">
        <v>0</v>
      </c>
      <c r="AA250" s="110">
        <v>0</v>
      </c>
      <c r="AB250" s="110">
        <v>0</v>
      </c>
      <c r="AC250" s="110">
        <v>0</v>
      </c>
      <c r="AD250" s="110">
        <v>0</v>
      </c>
      <c r="AE250" s="110">
        <v>0</v>
      </c>
      <c r="AF250" s="110">
        <v>0</v>
      </c>
      <c r="AG250" s="110">
        <v>0</v>
      </c>
      <c r="AH250" s="110">
        <v>0</v>
      </c>
      <c r="AI250" s="110">
        <v>0</v>
      </c>
      <c r="AJ250" s="110">
        <v>0</v>
      </c>
      <c r="AK250" s="110">
        <v>0</v>
      </c>
      <c r="AL250" s="110">
        <v>0</v>
      </c>
      <c r="AM250" s="110">
        <v>0</v>
      </c>
      <c r="AN250" s="110">
        <v>0</v>
      </c>
      <c r="AO250" s="110">
        <v>0</v>
      </c>
      <c r="AP250" s="110">
        <v>0</v>
      </c>
      <c r="AQ250" s="110">
        <v>0</v>
      </c>
      <c r="AR250" s="110">
        <v>0</v>
      </c>
      <c r="AS250" s="110">
        <v>0</v>
      </c>
      <c r="AT250" s="110">
        <v>0</v>
      </c>
      <c r="AU250" s="110">
        <v>0</v>
      </c>
      <c r="AV250" s="110">
        <v>0</v>
      </c>
      <c r="AW250" s="110">
        <v>0</v>
      </c>
      <c r="AX250" s="110">
        <v>0</v>
      </c>
      <c r="AY250" s="110">
        <v>0</v>
      </c>
    </row>
    <row r="251" spans="1:51">
      <c r="A251" s="109"/>
      <c r="B251" s="130">
        <v>43</v>
      </c>
      <c r="C251" s="106">
        <v>0</v>
      </c>
      <c r="D251" s="110">
        <v>0</v>
      </c>
      <c r="E251" s="110">
        <v>0</v>
      </c>
      <c r="F251" s="110">
        <v>0</v>
      </c>
      <c r="G251" s="110">
        <v>0</v>
      </c>
      <c r="H251" s="110">
        <v>0</v>
      </c>
      <c r="I251" s="110">
        <v>0</v>
      </c>
      <c r="J251" s="110">
        <v>0</v>
      </c>
      <c r="K251" s="110">
        <v>0</v>
      </c>
      <c r="L251" s="110">
        <v>0</v>
      </c>
      <c r="M251" s="110">
        <v>0</v>
      </c>
      <c r="N251" s="110">
        <v>0</v>
      </c>
      <c r="O251" s="110">
        <v>0</v>
      </c>
      <c r="P251" s="110">
        <v>0</v>
      </c>
      <c r="Q251" s="110">
        <v>0</v>
      </c>
      <c r="R251" s="110">
        <v>0</v>
      </c>
      <c r="S251" s="110">
        <v>0</v>
      </c>
      <c r="T251" s="110">
        <v>0</v>
      </c>
      <c r="U251" s="110">
        <v>0</v>
      </c>
      <c r="V251" s="110">
        <v>0</v>
      </c>
      <c r="W251" s="110">
        <v>0</v>
      </c>
      <c r="X251" s="110">
        <v>0</v>
      </c>
      <c r="Y251" s="110">
        <v>0</v>
      </c>
      <c r="Z251" s="110">
        <v>0</v>
      </c>
      <c r="AA251" s="110">
        <v>0</v>
      </c>
      <c r="AB251" s="110">
        <v>0</v>
      </c>
      <c r="AC251" s="110">
        <v>0</v>
      </c>
      <c r="AD251" s="110">
        <v>0</v>
      </c>
      <c r="AE251" s="110">
        <v>0</v>
      </c>
      <c r="AF251" s="110">
        <v>0</v>
      </c>
      <c r="AG251" s="110">
        <v>0</v>
      </c>
      <c r="AH251" s="110">
        <v>0</v>
      </c>
      <c r="AI251" s="110">
        <v>0</v>
      </c>
      <c r="AJ251" s="110">
        <v>0</v>
      </c>
      <c r="AK251" s="110">
        <v>0</v>
      </c>
      <c r="AL251" s="110">
        <v>0</v>
      </c>
      <c r="AM251" s="110">
        <v>0</v>
      </c>
      <c r="AN251" s="110">
        <v>0</v>
      </c>
      <c r="AO251" s="110">
        <v>0</v>
      </c>
      <c r="AP251" s="110">
        <v>0</v>
      </c>
      <c r="AQ251" s="110">
        <v>0</v>
      </c>
      <c r="AR251" s="110">
        <v>0</v>
      </c>
      <c r="AS251" s="110">
        <v>0</v>
      </c>
      <c r="AT251" s="110">
        <v>0</v>
      </c>
      <c r="AU251" s="110">
        <v>0</v>
      </c>
      <c r="AV251" s="110">
        <v>0</v>
      </c>
      <c r="AW251" s="110">
        <v>0</v>
      </c>
      <c r="AX251" s="110">
        <v>0</v>
      </c>
      <c r="AY251" s="110">
        <v>0</v>
      </c>
    </row>
    <row r="252" spans="1:51">
      <c r="A252" s="109"/>
      <c r="B252" s="130">
        <v>44</v>
      </c>
      <c r="C252" s="106">
        <v>0</v>
      </c>
      <c r="D252" s="110">
        <v>0</v>
      </c>
      <c r="E252" s="110">
        <v>0</v>
      </c>
      <c r="F252" s="110">
        <v>0</v>
      </c>
      <c r="G252" s="110">
        <v>0</v>
      </c>
      <c r="H252" s="110">
        <v>0</v>
      </c>
      <c r="I252" s="110">
        <v>0</v>
      </c>
      <c r="J252" s="110">
        <v>0</v>
      </c>
      <c r="K252" s="110">
        <v>0</v>
      </c>
      <c r="L252" s="110">
        <v>0</v>
      </c>
      <c r="M252" s="110">
        <v>0</v>
      </c>
      <c r="N252" s="110">
        <v>0</v>
      </c>
      <c r="O252" s="110">
        <v>0</v>
      </c>
      <c r="P252" s="110">
        <v>0</v>
      </c>
      <c r="Q252" s="110">
        <v>0</v>
      </c>
      <c r="R252" s="110">
        <v>0</v>
      </c>
      <c r="S252" s="110">
        <v>0</v>
      </c>
      <c r="T252" s="110">
        <v>0</v>
      </c>
      <c r="U252" s="110">
        <v>0</v>
      </c>
      <c r="V252" s="110">
        <v>0</v>
      </c>
      <c r="W252" s="110">
        <v>0</v>
      </c>
      <c r="X252" s="110">
        <v>0</v>
      </c>
      <c r="Y252" s="110">
        <v>0</v>
      </c>
      <c r="Z252" s="110">
        <v>0</v>
      </c>
      <c r="AA252" s="110">
        <v>0</v>
      </c>
      <c r="AB252" s="110">
        <v>0</v>
      </c>
      <c r="AC252" s="110">
        <v>0</v>
      </c>
      <c r="AD252" s="110">
        <v>0</v>
      </c>
      <c r="AE252" s="110">
        <v>0</v>
      </c>
      <c r="AF252" s="110">
        <v>0</v>
      </c>
      <c r="AG252" s="110">
        <v>0</v>
      </c>
      <c r="AH252" s="110">
        <v>0</v>
      </c>
      <c r="AI252" s="110">
        <v>0</v>
      </c>
      <c r="AJ252" s="110">
        <v>0</v>
      </c>
      <c r="AK252" s="110">
        <v>0</v>
      </c>
      <c r="AL252" s="110">
        <v>0</v>
      </c>
      <c r="AM252" s="110">
        <v>0</v>
      </c>
      <c r="AN252" s="110">
        <v>0</v>
      </c>
      <c r="AO252" s="110">
        <v>0</v>
      </c>
      <c r="AP252" s="110">
        <v>0</v>
      </c>
      <c r="AQ252" s="110">
        <v>0</v>
      </c>
      <c r="AR252" s="110">
        <v>0</v>
      </c>
      <c r="AS252" s="110">
        <v>0</v>
      </c>
      <c r="AT252" s="110">
        <v>0</v>
      </c>
      <c r="AU252" s="110">
        <v>0</v>
      </c>
      <c r="AV252" s="110">
        <v>0</v>
      </c>
      <c r="AW252" s="110">
        <v>0</v>
      </c>
      <c r="AX252" s="110">
        <v>0</v>
      </c>
      <c r="AY252" s="110">
        <v>0</v>
      </c>
    </row>
    <row r="253" spans="1:51">
      <c r="A253" s="109"/>
      <c r="B253" s="130">
        <v>45</v>
      </c>
      <c r="C253" s="106">
        <v>0</v>
      </c>
      <c r="D253" s="110">
        <v>0</v>
      </c>
      <c r="E253" s="110">
        <v>0</v>
      </c>
      <c r="F253" s="110">
        <v>0</v>
      </c>
      <c r="G253" s="110">
        <v>0</v>
      </c>
      <c r="H253" s="110">
        <v>0</v>
      </c>
      <c r="I253" s="110">
        <v>0</v>
      </c>
      <c r="J253" s="110">
        <v>0</v>
      </c>
      <c r="K253" s="110">
        <v>0</v>
      </c>
      <c r="L253" s="110">
        <v>0</v>
      </c>
      <c r="M253" s="110">
        <v>0</v>
      </c>
      <c r="N253" s="110">
        <v>0</v>
      </c>
      <c r="O253" s="110">
        <v>0</v>
      </c>
      <c r="P253" s="110">
        <v>0</v>
      </c>
      <c r="Q253" s="110">
        <v>0</v>
      </c>
      <c r="R253" s="110">
        <v>0</v>
      </c>
      <c r="S253" s="110">
        <v>0</v>
      </c>
      <c r="T253" s="110">
        <v>0</v>
      </c>
      <c r="U253" s="110">
        <v>0</v>
      </c>
      <c r="V253" s="110">
        <v>0</v>
      </c>
      <c r="W253" s="110">
        <v>0</v>
      </c>
      <c r="X253" s="110">
        <v>0</v>
      </c>
      <c r="Y253" s="110">
        <v>0</v>
      </c>
      <c r="Z253" s="110">
        <v>0</v>
      </c>
      <c r="AA253" s="110">
        <v>0</v>
      </c>
      <c r="AB253" s="110">
        <v>0</v>
      </c>
      <c r="AC253" s="110">
        <v>0</v>
      </c>
      <c r="AD253" s="110">
        <v>0</v>
      </c>
      <c r="AE253" s="110">
        <v>0</v>
      </c>
      <c r="AF253" s="110">
        <v>0</v>
      </c>
      <c r="AG253" s="110">
        <v>0</v>
      </c>
      <c r="AH253" s="110">
        <v>0</v>
      </c>
      <c r="AI253" s="110">
        <v>0</v>
      </c>
      <c r="AJ253" s="110">
        <v>0</v>
      </c>
      <c r="AK253" s="110">
        <v>0</v>
      </c>
      <c r="AL253" s="110">
        <v>0</v>
      </c>
      <c r="AM253" s="110">
        <v>0</v>
      </c>
      <c r="AN253" s="110">
        <v>0</v>
      </c>
      <c r="AO253" s="110">
        <v>0</v>
      </c>
      <c r="AP253" s="110">
        <v>0</v>
      </c>
      <c r="AQ253" s="110">
        <v>0</v>
      </c>
      <c r="AR253" s="110">
        <v>0</v>
      </c>
      <c r="AS253" s="110">
        <v>0</v>
      </c>
      <c r="AT253" s="110">
        <v>0</v>
      </c>
      <c r="AU253" s="110">
        <v>0</v>
      </c>
      <c r="AV253" s="110">
        <v>0</v>
      </c>
      <c r="AW253" s="110">
        <v>0</v>
      </c>
      <c r="AX253" s="110">
        <v>0</v>
      </c>
      <c r="AY253" s="110">
        <v>0</v>
      </c>
    </row>
    <row r="254" spans="1:51">
      <c r="A254" s="109"/>
      <c r="B254" s="130">
        <v>46</v>
      </c>
      <c r="C254" s="106">
        <v>0</v>
      </c>
      <c r="D254" s="110">
        <v>0</v>
      </c>
      <c r="E254" s="110">
        <v>0</v>
      </c>
      <c r="F254" s="110">
        <v>0</v>
      </c>
      <c r="G254" s="110">
        <v>0</v>
      </c>
      <c r="H254" s="110">
        <v>0</v>
      </c>
      <c r="I254" s="110">
        <v>0</v>
      </c>
      <c r="J254" s="110">
        <v>0</v>
      </c>
      <c r="K254" s="110">
        <v>0</v>
      </c>
      <c r="L254" s="110">
        <v>0</v>
      </c>
      <c r="M254" s="110">
        <v>0</v>
      </c>
      <c r="N254" s="110">
        <v>0</v>
      </c>
      <c r="O254" s="110">
        <v>0</v>
      </c>
      <c r="P254" s="110">
        <v>0</v>
      </c>
      <c r="Q254" s="110">
        <v>0</v>
      </c>
      <c r="R254" s="110">
        <v>0</v>
      </c>
      <c r="S254" s="110">
        <v>0</v>
      </c>
      <c r="T254" s="110">
        <v>0</v>
      </c>
      <c r="U254" s="110">
        <v>0</v>
      </c>
      <c r="V254" s="110">
        <v>0</v>
      </c>
      <c r="W254" s="110">
        <v>0</v>
      </c>
      <c r="X254" s="110">
        <v>0</v>
      </c>
      <c r="Y254" s="110">
        <v>0</v>
      </c>
      <c r="Z254" s="110">
        <v>0</v>
      </c>
      <c r="AA254" s="110">
        <v>0</v>
      </c>
      <c r="AB254" s="110">
        <v>0</v>
      </c>
      <c r="AC254" s="110">
        <v>0</v>
      </c>
      <c r="AD254" s="110">
        <v>0</v>
      </c>
      <c r="AE254" s="110">
        <v>0</v>
      </c>
      <c r="AF254" s="110">
        <v>0</v>
      </c>
      <c r="AG254" s="110">
        <v>0</v>
      </c>
      <c r="AH254" s="110">
        <v>0</v>
      </c>
      <c r="AI254" s="110">
        <v>0</v>
      </c>
      <c r="AJ254" s="110">
        <v>0</v>
      </c>
      <c r="AK254" s="110">
        <v>0</v>
      </c>
      <c r="AL254" s="110">
        <v>0</v>
      </c>
      <c r="AM254" s="110">
        <v>0</v>
      </c>
      <c r="AN254" s="110">
        <v>0</v>
      </c>
      <c r="AO254" s="110">
        <v>0</v>
      </c>
      <c r="AP254" s="110">
        <v>0</v>
      </c>
      <c r="AQ254" s="110">
        <v>0</v>
      </c>
      <c r="AR254" s="110">
        <v>0</v>
      </c>
      <c r="AS254" s="110">
        <v>0</v>
      </c>
      <c r="AT254" s="110">
        <v>0</v>
      </c>
      <c r="AU254" s="110">
        <v>0</v>
      </c>
      <c r="AV254" s="110">
        <v>0</v>
      </c>
      <c r="AW254" s="110">
        <v>0</v>
      </c>
      <c r="AX254" s="110">
        <v>0</v>
      </c>
      <c r="AY254" s="110">
        <v>0</v>
      </c>
    </row>
    <row r="255" spans="1:51">
      <c r="A255" s="109"/>
      <c r="B255" s="130">
        <v>47</v>
      </c>
      <c r="C255" s="106">
        <v>0</v>
      </c>
      <c r="D255" s="110">
        <v>0</v>
      </c>
      <c r="E255" s="110">
        <v>0</v>
      </c>
      <c r="F255" s="110">
        <v>0</v>
      </c>
      <c r="G255" s="110">
        <v>0</v>
      </c>
      <c r="H255" s="110">
        <v>0</v>
      </c>
      <c r="I255" s="110">
        <v>0</v>
      </c>
      <c r="J255" s="110">
        <v>0</v>
      </c>
      <c r="K255" s="110">
        <v>0</v>
      </c>
      <c r="L255" s="110">
        <v>0</v>
      </c>
      <c r="M255" s="110">
        <v>0</v>
      </c>
      <c r="N255" s="110">
        <v>0</v>
      </c>
      <c r="O255" s="110">
        <v>0</v>
      </c>
      <c r="P255" s="110">
        <v>0</v>
      </c>
      <c r="Q255" s="110">
        <v>0</v>
      </c>
      <c r="R255" s="110">
        <v>0</v>
      </c>
      <c r="S255" s="110">
        <v>0</v>
      </c>
      <c r="T255" s="110">
        <v>0</v>
      </c>
      <c r="U255" s="110">
        <v>0</v>
      </c>
      <c r="V255" s="110">
        <v>0</v>
      </c>
      <c r="W255" s="110">
        <v>0</v>
      </c>
      <c r="X255" s="110">
        <v>0</v>
      </c>
      <c r="Y255" s="110">
        <v>0</v>
      </c>
      <c r="Z255" s="110">
        <v>0</v>
      </c>
      <c r="AA255" s="110">
        <v>0</v>
      </c>
      <c r="AB255" s="110">
        <v>0</v>
      </c>
      <c r="AC255" s="110">
        <v>0</v>
      </c>
      <c r="AD255" s="110">
        <v>0</v>
      </c>
      <c r="AE255" s="110">
        <v>0</v>
      </c>
      <c r="AF255" s="110">
        <v>0</v>
      </c>
      <c r="AG255" s="110">
        <v>0</v>
      </c>
      <c r="AH255" s="110">
        <v>0</v>
      </c>
      <c r="AI255" s="110">
        <v>0</v>
      </c>
      <c r="AJ255" s="110">
        <v>0</v>
      </c>
      <c r="AK255" s="110">
        <v>0</v>
      </c>
      <c r="AL255" s="110">
        <v>0</v>
      </c>
      <c r="AM255" s="110">
        <v>0</v>
      </c>
      <c r="AN255" s="110">
        <v>0</v>
      </c>
      <c r="AO255" s="110">
        <v>0</v>
      </c>
      <c r="AP255" s="110">
        <v>0</v>
      </c>
      <c r="AQ255" s="110">
        <v>0</v>
      </c>
      <c r="AR255" s="110">
        <v>0</v>
      </c>
      <c r="AS255" s="110">
        <v>0</v>
      </c>
      <c r="AT255" s="110">
        <v>0</v>
      </c>
      <c r="AU255" s="110">
        <v>0</v>
      </c>
      <c r="AV255" s="110">
        <v>0</v>
      </c>
      <c r="AW255" s="110">
        <v>0</v>
      </c>
      <c r="AX255" s="110">
        <v>0</v>
      </c>
      <c r="AY255" s="110">
        <v>0</v>
      </c>
    </row>
    <row r="256" spans="1:51">
      <c r="A256" s="128"/>
      <c r="B256" s="129">
        <v>48</v>
      </c>
      <c r="C256" s="114">
        <v>0</v>
      </c>
      <c r="D256" s="125">
        <v>0</v>
      </c>
      <c r="E256" s="125">
        <v>0</v>
      </c>
      <c r="F256" s="125">
        <v>0</v>
      </c>
      <c r="G256" s="125">
        <v>0</v>
      </c>
      <c r="H256" s="125">
        <v>0</v>
      </c>
      <c r="I256" s="125">
        <v>0</v>
      </c>
      <c r="J256" s="125">
        <v>0</v>
      </c>
      <c r="K256" s="125">
        <v>0</v>
      </c>
      <c r="L256" s="125">
        <v>0</v>
      </c>
      <c r="M256" s="125">
        <v>0</v>
      </c>
      <c r="N256" s="125">
        <v>0</v>
      </c>
      <c r="O256" s="125">
        <v>0</v>
      </c>
      <c r="P256" s="125">
        <v>0</v>
      </c>
      <c r="Q256" s="125">
        <v>0</v>
      </c>
      <c r="R256" s="125">
        <v>0</v>
      </c>
      <c r="S256" s="125">
        <v>0</v>
      </c>
      <c r="T256" s="125">
        <v>0</v>
      </c>
      <c r="U256" s="125">
        <v>0</v>
      </c>
      <c r="V256" s="125">
        <v>0</v>
      </c>
      <c r="W256" s="125">
        <v>0</v>
      </c>
      <c r="X256" s="125">
        <v>0</v>
      </c>
      <c r="Y256" s="125">
        <v>0</v>
      </c>
      <c r="Z256" s="125">
        <v>0</v>
      </c>
      <c r="AA256" s="125">
        <v>0</v>
      </c>
      <c r="AB256" s="125">
        <v>0</v>
      </c>
      <c r="AC256" s="125">
        <v>0</v>
      </c>
      <c r="AD256" s="125">
        <v>0</v>
      </c>
      <c r="AE256" s="125">
        <v>0</v>
      </c>
      <c r="AF256" s="125">
        <v>0</v>
      </c>
      <c r="AG256" s="125">
        <v>0</v>
      </c>
      <c r="AH256" s="125">
        <v>0</v>
      </c>
      <c r="AI256" s="125">
        <v>0</v>
      </c>
      <c r="AJ256" s="125">
        <v>0</v>
      </c>
      <c r="AK256" s="125">
        <v>0</v>
      </c>
      <c r="AL256" s="125">
        <v>0</v>
      </c>
      <c r="AM256" s="125">
        <v>0</v>
      </c>
      <c r="AN256" s="125">
        <v>0</v>
      </c>
      <c r="AO256" s="125">
        <v>0</v>
      </c>
      <c r="AP256" s="125">
        <v>0</v>
      </c>
      <c r="AQ256" s="125">
        <v>0</v>
      </c>
      <c r="AR256" s="125">
        <v>0</v>
      </c>
      <c r="AS256" s="125">
        <v>0</v>
      </c>
      <c r="AT256" s="125">
        <v>0</v>
      </c>
      <c r="AU256" s="125">
        <v>0</v>
      </c>
      <c r="AV256" s="125">
        <v>0</v>
      </c>
      <c r="AW256" s="125">
        <v>0</v>
      </c>
      <c r="AX256" s="125">
        <v>0</v>
      </c>
      <c r="AY256" s="125">
        <v>0</v>
      </c>
    </row>
    <row r="258" spans="1:52">
      <c r="A258" s="102" t="s">
        <v>301</v>
      </c>
    </row>
    <row r="259" spans="1:52">
      <c r="A259" s="137" t="s">
        <v>124</v>
      </c>
      <c r="B259" s="138">
        <v>650</v>
      </c>
      <c r="C259" s="124" t="s">
        <v>293</v>
      </c>
      <c r="D259" s="124">
        <f>E$14*$B$259</f>
        <v>150389.78340241328</v>
      </c>
      <c r="E259" s="124">
        <f t="shared" ref="E259:AX259" si="5">F$14*$B$259</f>
        <v>98833.10471274679</v>
      </c>
      <c r="F259" s="124">
        <f t="shared" si="5"/>
        <v>77999.999999999956</v>
      </c>
      <c r="G259" s="124">
        <f t="shared" si="5"/>
        <v>77999.999999999942</v>
      </c>
      <c r="H259" s="124">
        <f t="shared" si="5"/>
        <v>5.9977721026513215</v>
      </c>
      <c r="I259" s="124">
        <f t="shared" si="5"/>
        <v>77999.999999999956</v>
      </c>
      <c r="J259" s="124">
        <f t="shared" si="5"/>
        <v>77999.999999999942</v>
      </c>
      <c r="K259" s="124">
        <f t="shared" si="5"/>
        <v>77999.999999999956</v>
      </c>
      <c r="L259" s="124">
        <f t="shared" si="5"/>
        <v>5665.4904578995302</v>
      </c>
      <c r="M259" s="124">
        <f t="shared" si="5"/>
        <v>150334.50954210036</v>
      </c>
      <c r="N259" s="124">
        <f t="shared" si="5"/>
        <v>93782.651419181188</v>
      </c>
      <c r="O259" s="124">
        <f t="shared" si="5"/>
        <v>77999.999999999956</v>
      </c>
      <c r="P259" s="124">
        <f t="shared" si="5"/>
        <v>77999.999999999942</v>
      </c>
      <c r="Q259" s="124">
        <f t="shared" si="5"/>
        <v>77999.999999999956</v>
      </c>
      <c r="R259" s="124">
        <f t="shared" si="5"/>
        <v>5665.4904578995302</v>
      </c>
      <c r="S259" s="124">
        <f t="shared" si="5"/>
        <v>150334.50954210036</v>
      </c>
      <c r="T259" s="124">
        <f t="shared" si="5"/>
        <v>19491.507291897709</v>
      </c>
      <c r="U259" s="124">
        <f t="shared" si="5"/>
        <v>77999.999999999956</v>
      </c>
      <c r="V259" s="124">
        <f t="shared" si="5"/>
        <v>77999.999999999942</v>
      </c>
      <c r="W259" s="124">
        <f t="shared" si="5"/>
        <v>150334.50954210036</v>
      </c>
      <c r="X259" s="124">
        <f t="shared" si="5"/>
        <v>34287.289667654739</v>
      </c>
      <c r="Y259" s="124">
        <f t="shared" si="5"/>
        <v>77999.999999999956</v>
      </c>
      <c r="Z259" s="124">
        <f t="shared" si="5"/>
        <v>77999.999999999942</v>
      </c>
      <c r="AA259" s="124">
        <f t="shared" si="5"/>
        <v>150334.50954210036</v>
      </c>
      <c r="AB259" s="124">
        <f t="shared" si="5"/>
        <v>29047.634867754507</v>
      </c>
      <c r="AC259" s="124">
        <f t="shared" si="5"/>
        <v>150334.50954210036</v>
      </c>
      <c r="AD259" s="124">
        <f t="shared" si="5"/>
        <v>91159.506892749501</v>
      </c>
      <c r="AE259" s="124">
        <f t="shared" si="5"/>
        <v>77999.999999999956</v>
      </c>
      <c r="AF259" s="124">
        <f t="shared" si="5"/>
        <v>5665.4904578995302</v>
      </c>
      <c r="AG259" s="124">
        <f t="shared" si="5"/>
        <v>77999.999999999956</v>
      </c>
      <c r="AH259" s="124">
        <f t="shared" si="5"/>
        <v>77999.999999999942</v>
      </c>
      <c r="AI259" s="124">
        <f t="shared" si="5"/>
        <v>150334.50954210036</v>
      </c>
      <c r="AJ259" s="124">
        <f t="shared" si="5"/>
        <v>12794.874289932563</v>
      </c>
      <c r="AK259" s="124">
        <f t="shared" si="5"/>
        <v>103995.23106651212</v>
      </c>
      <c r="AL259" s="124">
        <f t="shared" si="5"/>
        <v>56600.924630071444</v>
      </c>
      <c r="AM259" s="124">
        <f t="shared" si="5"/>
        <v>21405.073142031153</v>
      </c>
      <c r="AN259" s="124">
        <f t="shared" si="5"/>
        <v>77999.999999999956</v>
      </c>
      <c r="AO259" s="124">
        <f t="shared" si="5"/>
        <v>77999.999999999942</v>
      </c>
      <c r="AP259" s="124">
        <f t="shared" si="5"/>
        <v>77999.999999999956</v>
      </c>
      <c r="AQ259" s="124">
        <f t="shared" si="5"/>
        <v>5665.4904578995302</v>
      </c>
      <c r="AR259" s="124">
        <f t="shared" si="5"/>
        <v>150334.50954210036</v>
      </c>
      <c r="AS259" s="124">
        <f t="shared" si="5"/>
        <v>39042.63138241804</v>
      </c>
      <c r="AT259" s="124">
        <f t="shared" si="5"/>
        <v>150334.50954210036</v>
      </c>
      <c r="AU259" s="124">
        <f t="shared" si="5"/>
        <v>107569.25723537072</v>
      </c>
      <c r="AV259" s="124">
        <f t="shared" si="5"/>
        <v>81284.396224476091</v>
      </c>
      <c r="AW259" s="124">
        <f t="shared" si="5"/>
        <v>77999.999999999942</v>
      </c>
      <c r="AX259" s="124">
        <f t="shared" si="5"/>
        <v>77999.999999999956</v>
      </c>
      <c r="AY259" s="124">
        <f>AZ$14*$B$259</f>
        <v>77999.999999999942</v>
      </c>
      <c r="AZ259" s="139">
        <f>SUM($D259:$AY259)</f>
        <v>3803027.9021657123</v>
      </c>
    </row>
    <row r="260" spans="1:52">
      <c r="A260" s="140" t="s">
        <v>302</v>
      </c>
      <c r="B260" s="114">
        <v>60</v>
      </c>
      <c r="C260" s="125" t="s">
        <v>293</v>
      </c>
      <c r="D260" s="125">
        <f>(D$175-D$176+D$177-D$178+D$179-D$180+D$181-D$182)*$B$260</f>
        <v>22481.436617407544</v>
      </c>
      <c r="E260" s="125">
        <f t="shared" ref="E260:AY260" si="6">(E$175-E$176+E$177-E$178+E$179-E$180+E$181-E$182)*$B$260</f>
        <v>26882.146165018985</v>
      </c>
      <c r="F260" s="125">
        <f t="shared" si="6"/>
        <v>26405.201984657138</v>
      </c>
      <c r="G260" s="125">
        <f t="shared" si="6"/>
        <v>26765.201984657131</v>
      </c>
      <c r="H260" s="125">
        <f t="shared" si="6"/>
        <v>16360.801279378649</v>
      </c>
      <c r="I260" s="125">
        <f t="shared" si="6"/>
        <v>14640</v>
      </c>
      <c r="J260" s="125">
        <f t="shared" si="6"/>
        <v>15659.999999999993</v>
      </c>
      <c r="K260" s="125">
        <f t="shared" si="6"/>
        <v>15540</v>
      </c>
      <c r="L260" s="125">
        <f t="shared" si="6"/>
        <v>15420</v>
      </c>
      <c r="M260" s="125">
        <f t="shared" si="6"/>
        <v>29299.448438566964</v>
      </c>
      <c r="N260" s="125">
        <f t="shared" si="6"/>
        <v>27017.283320393835</v>
      </c>
      <c r="O260" s="125">
        <f t="shared" si="6"/>
        <v>27214.143451395175</v>
      </c>
      <c r="P260" s="125">
        <f t="shared" si="6"/>
        <v>23854.143451395161</v>
      </c>
      <c r="Q260" s="125">
        <f t="shared" si="6"/>
        <v>19174.143451395146</v>
      </c>
      <c r="R260" s="125">
        <f t="shared" si="6"/>
        <v>9680.3960884650078</v>
      </c>
      <c r="S260" s="125">
        <f t="shared" si="6"/>
        <v>15909.455673316259</v>
      </c>
      <c r="T260" s="125">
        <f t="shared" si="6"/>
        <v>12559.475905532905</v>
      </c>
      <c r="U260" s="125">
        <f t="shared" si="6"/>
        <v>7340.3960884650051</v>
      </c>
      <c r="V260" s="125">
        <f t="shared" si="6"/>
        <v>9140.3960884649914</v>
      </c>
      <c r="W260" s="125">
        <f t="shared" si="6"/>
        <v>18006.809409562618</v>
      </c>
      <c r="X260" s="125">
        <f t="shared" si="6"/>
        <v>8052.6172826776738</v>
      </c>
      <c r="Y260" s="125">
        <f t="shared" si="6"/>
        <v>5226.937419791635</v>
      </c>
      <c r="Z260" s="125">
        <f t="shared" si="6"/>
        <v>3426.9374197916359</v>
      </c>
      <c r="AA260" s="125">
        <f t="shared" si="6"/>
        <v>16305.577045612146</v>
      </c>
      <c r="AB260" s="125">
        <f t="shared" si="6"/>
        <v>7800.9516259014435</v>
      </c>
      <c r="AC260" s="125">
        <f t="shared" si="6"/>
        <v>12411.17940687665</v>
      </c>
      <c r="AD260" s="125">
        <f t="shared" si="6"/>
        <v>13143.824651720473</v>
      </c>
      <c r="AE260" s="125">
        <f t="shared" si="6"/>
        <v>10698.54836489734</v>
      </c>
      <c r="AF260" s="125">
        <f t="shared" si="6"/>
        <v>1876.673365532816</v>
      </c>
      <c r="AG260" s="125">
        <f t="shared" si="6"/>
        <v>2766.937419791635</v>
      </c>
      <c r="AH260" s="125">
        <f t="shared" si="6"/>
        <v>2826.9374197916359</v>
      </c>
      <c r="AI260" s="125">
        <f t="shared" si="6"/>
        <v>8514.9782985893962</v>
      </c>
      <c r="AJ260" s="125">
        <f t="shared" si="6"/>
        <v>7018.2117041233232</v>
      </c>
      <c r="AK260" s="125">
        <f t="shared" si="6"/>
        <v>5499.6377837318178</v>
      </c>
      <c r="AL260" s="125">
        <f t="shared" si="6"/>
        <v>1317.7560572205414</v>
      </c>
      <c r="AM260" s="125">
        <f t="shared" si="6"/>
        <v>1440</v>
      </c>
      <c r="AN260" s="125">
        <f t="shared" si="6"/>
        <v>1620.0000000000009</v>
      </c>
      <c r="AO260" s="125">
        <f t="shared" si="6"/>
        <v>2220.0000000000018</v>
      </c>
      <c r="AP260" s="125">
        <f t="shared" si="6"/>
        <v>3540.0000000000009</v>
      </c>
      <c r="AQ260" s="125">
        <f t="shared" si="6"/>
        <v>5220.0000000000009</v>
      </c>
      <c r="AR260" s="125">
        <f t="shared" si="6"/>
        <v>14210.406838032048</v>
      </c>
      <c r="AS260" s="125">
        <f t="shared" si="6"/>
        <v>8198.8498318582169</v>
      </c>
      <c r="AT260" s="125">
        <f t="shared" si="6"/>
        <v>10857.302853773004</v>
      </c>
      <c r="AU260" s="125">
        <f t="shared" si="6"/>
        <v>7451.9574979230993</v>
      </c>
      <c r="AV260" s="125">
        <f t="shared" si="6"/>
        <v>8333.4661400166351</v>
      </c>
      <c r="AW260" s="125">
        <f t="shared" si="6"/>
        <v>4940.0205332973119</v>
      </c>
      <c r="AX260" s="125">
        <f t="shared" si="6"/>
        <v>903.31075101210195</v>
      </c>
      <c r="AY260" s="125">
        <f t="shared" si="6"/>
        <v>0</v>
      </c>
      <c r="AZ260" s="141">
        <f>SUM($D260:$AY260)</f>
        <v>555173.89911003516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B260"/>
  <sheetViews>
    <sheetView workbookViewId="0">
      <pane xSplit="2" ySplit="7" topLeftCell="C166" activePane="bottomRight" state="frozen"/>
      <selection pane="topRight"/>
      <selection pane="bottomLeft"/>
      <selection pane="bottomRight" activeCell="C185" sqref="C185:C256"/>
    </sheetView>
  </sheetViews>
  <sheetFormatPr baseColWidth="10" defaultColWidth="8.83203125" defaultRowHeight="12" x14ac:dyDescent="0"/>
  <cols>
    <col min="1" max="1" width="14.6640625" style="100" customWidth="1"/>
    <col min="2" max="2" width="12.6640625" style="100" customWidth="1"/>
    <col min="3" max="16384" width="8.83203125" style="100"/>
  </cols>
  <sheetData>
    <row r="1" spans="1:54">
      <c r="A1" s="102" t="s">
        <v>284</v>
      </c>
    </row>
    <row r="2" spans="1:54">
      <c r="A2" s="100" t="s">
        <v>285</v>
      </c>
      <c r="B2" s="107" t="s">
        <v>59</v>
      </c>
    </row>
    <row r="3" spans="1:54">
      <c r="A3" s="100" t="s">
        <v>286</v>
      </c>
      <c r="B3" s="108">
        <v>5000</v>
      </c>
      <c r="C3" s="109"/>
    </row>
    <row r="4" spans="1:54">
      <c r="B4" s="110"/>
      <c r="C4" s="110"/>
    </row>
    <row r="5" spans="1:54">
      <c r="C5" s="111" t="s">
        <v>287</v>
      </c>
    </row>
    <row r="6" spans="1:54">
      <c r="C6" s="112">
        <v>0</v>
      </c>
      <c r="D6" s="112">
        <v>1</v>
      </c>
      <c r="E6" s="112">
        <v>2</v>
      </c>
      <c r="F6" s="112">
        <v>3</v>
      </c>
      <c r="G6" s="112">
        <v>4</v>
      </c>
      <c r="H6" s="112">
        <v>5</v>
      </c>
      <c r="I6" s="112">
        <v>6</v>
      </c>
      <c r="J6" s="112">
        <v>7</v>
      </c>
      <c r="K6" s="112">
        <v>8</v>
      </c>
      <c r="L6" s="112">
        <v>9</v>
      </c>
      <c r="M6" s="112">
        <v>10</v>
      </c>
      <c r="N6" s="112">
        <v>11</v>
      </c>
      <c r="O6" s="112">
        <v>12</v>
      </c>
      <c r="P6" s="112">
        <v>13</v>
      </c>
      <c r="Q6" s="112">
        <v>14</v>
      </c>
      <c r="R6" s="112">
        <v>15</v>
      </c>
      <c r="S6" s="112">
        <v>16</v>
      </c>
      <c r="T6" s="112">
        <v>17</v>
      </c>
      <c r="U6" s="112">
        <v>18</v>
      </c>
      <c r="V6" s="112">
        <v>19</v>
      </c>
      <c r="W6" s="112">
        <v>20</v>
      </c>
      <c r="X6" s="112">
        <v>21</v>
      </c>
      <c r="Y6" s="112">
        <v>22</v>
      </c>
      <c r="Z6" s="112">
        <v>23</v>
      </c>
      <c r="AA6" s="112">
        <v>24</v>
      </c>
      <c r="AB6" s="112">
        <v>25</v>
      </c>
      <c r="AC6" s="112">
        <v>26</v>
      </c>
      <c r="AD6" s="112">
        <v>27</v>
      </c>
      <c r="AE6" s="112">
        <v>28</v>
      </c>
      <c r="AF6" s="112">
        <v>29</v>
      </c>
      <c r="AG6" s="112">
        <v>30</v>
      </c>
      <c r="AH6" s="112">
        <v>31</v>
      </c>
      <c r="AI6" s="112">
        <v>32</v>
      </c>
      <c r="AJ6" s="112">
        <v>33</v>
      </c>
      <c r="AK6" s="112">
        <v>34</v>
      </c>
      <c r="AL6" s="112">
        <v>35</v>
      </c>
      <c r="AM6" s="112">
        <v>36</v>
      </c>
      <c r="AN6" s="112">
        <v>37</v>
      </c>
      <c r="AO6" s="112">
        <v>38</v>
      </c>
      <c r="AP6" s="112">
        <v>39</v>
      </c>
      <c r="AQ6" s="112">
        <v>40</v>
      </c>
      <c r="AR6" s="112">
        <v>41</v>
      </c>
      <c r="AS6" s="112">
        <v>42</v>
      </c>
      <c r="AT6" s="112">
        <v>43</v>
      </c>
      <c r="AU6" s="112">
        <v>44</v>
      </c>
      <c r="AV6" s="112">
        <v>45</v>
      </c>
      <c r="AW6" s="112">
        <v>46</v>
      </c>
      <c r="AX6" s="112">
        <v>47</v>
      </c>
      <c r="AY6" s="112">
        <v>48</v>
      </c>
    </row>
    <row r="7" spans="1:54">
      <c r="B7" s="110"/>
      <c r="C7" s="113" t="s">
        <v>288</v>
      </c>
      <c r="D7" s="112" t="s">
        <v>289</v>
      </c>
      <c r="E7" s="112" t="s">
        <v>289</v>
      </c>
      <c r="F7" s="112" t="s">
        <v>289</v>
      </c>
      <c r="G7" s="112" t="s">
        <v>289</v>
      </c>
      <c r="H7" s="112" t="s">
        <v>289</v>
      </c>
      <c r="I7" s="112" t="s">
        <v>289</v>
      </c>
      <c r="J7" s="112" t="s">
        <v>289</v>
      </c>
      <c r="K7" s="112" t="s">
        <v>289</v>
      </c>
      <c r="L7" s="112" t="s">
        <v>289</v>
      </c>
      <c r="M7" s="112" t="s">
        <v>289</v>
      </c>
      <c r="N7" s="112" t="s">
        <v>289</v>
      </c>
      <c r="O7" s="112" t="s">
        <v>289</v>
      </c>
      <c r="P7" s="112" t="s">
        <v>289</v>
      </c>
      <c r="Q7" s="112" t="s">
        <v>289</v>
      </c>
      <c r="R7" s="112" t="s">
        <v>289</v>
      </c>
      <c r="S7" s="112" t="s">
        <v>289</v>
      </c>
      <c r="T7" s="112" t="s">
        <v>289</v>
      </c>
      <c r="U7" s="112" t="s">
        <v>289</v>
      </c>
      <c r="V7" s="112" t="s">
        <v>289</v>
      </c>
      <c r="W7" s="112" t="s">
        <v>289</v>
      </c>
      <c r="X7" s="112" t="s">
        <v>289</v>
      </c>
      <c r="Y7" s="112" t="s">
        <v>289</v>
      </c>
      <c r="Z7" s="112" t="s">
        <v>289</v>
      </c>
      <c r="AA7" s="112" t="s">
        <v>289</v>
      </c>
      <c r="AB7" s="112" t="s">
        <v>289</v>
      </c>
      <c r="AC7" s="112" t="s">
        <v>289</v>
      </c>
      <c r="AD7" s="112" t="s">
        <v>289</v>
      </c>
      <c r="AE7" s="112" t="s">
        <v>289</v>
      </c>
      <c r="AF7" s="112" t="s">
        <v>289</v>
      </c>
      <c r="AG7" s="112" t="s">
        <v>289</v>
      </c>
      <c r="AH7" s="112" t="s">
        <v>289</v>
      </c>
      <c r="AI7" s="112" t="s">
        <v>289</v>
      </c>
      <c r="AJ7" s="112" t="s">
        <v>289</v>
      </c>
      <c r="AK7" s="112" t="s">
        <v>289</v>
      </c>
      <c r="AL7" s="112" t="s">
        <v>289</v>
      </c>
      <c r="AM7" s="112" t="s">
        <v>289</v>
      </c>
      <c r="AN7" s="112" t="s">
        <v>289</v>
      </c>
      <c r="AO7" s="112" t="s">
        <v>289</v>
      </c>
      <c r="AP7" s="112" t="s">
        <v>289</v>
      </c>
      <c r="AQ7" s="112" t="s">
        <v>289</v>
      </c>
      <c r="AR7" s="112" t="s">
        <v>289</v>
      </c>
      <c r="AS7" s="112" t="s">
        <v>289</v>
      </c>
      <c r="AT7" s="112" t="s">
        <v>289</v>
      </c>
      <c r="AU7" s="112" t="s">
        <v>289</v>
      </c>
      <c r="AV7" s="112" t="s">
        <v>289</v>
      </c>
      <c r="AW7" s="112" t="s">
        <v>289</v>
      </c>
      <c r="AX7" s="112" t="s">
        <v>289</v>
      </c>
      <c r="AY7" s="111" t="s">
        <v>290</v>
      </c>
      <c r="AZ7" s="111" t="s">
        <v>291</v>
      </c>
    </row>
    <row r="8" spans="1:54">
      <c r="A8" s="102" t="s">
        <v>292</v>
      </c>
      <c r="B8" s="114"/>
      <c r="AY8" s="110"/>
    </row>
    <row r="9" spans="1:54">
      <c r="A9" s="115" t="s">
        <v>125</v>
      </c>
      <c r="B9" s="116">
        <v>1</v>
      </c>
      <c r="C9" s="117" t="s">
        <v>293</v>
      </c>
      <c r="D9" s="117">
        <v>1054.0937641335613</v>
      </c>
      <c r="E9" s="117">
        <v>1054.0937641335613</v>
      </c>
      <c r="F9" s="117">
        <v>1054.0937641335613</v>
      </c>
      <c r="G9" s="117">
        <v>1054.0937641335613</v>
      </c>
      <c r="H9" s="117">
        <v>1054.0937641335613</v>
      </c>
      <c r="I9" s="117">
        <v>1054.0937641335613</v>
      </c>
      <c r="J9" s="117">
        <v>1054.0937641335613</v>
      </c>
      <c r="K9" s="117">
        <v>1054.0937641335613</v>
      </c>
      <c r="L9" s="117">
        <v>1054.0937641335613</v>
      </c>
      <c r="M9" s="117">
        <v>1054.0937641335613</v>
      </c>
      <c r="N9" s="117">
        <v>1054.0937641335613</v>
      </c>
      <c r="O9" s="117">
        <v>1054.0937641335613</v>
      </c>
      <c r="P9" s="117">
        <v>1054.0937641335613</v>
      </c>
      <c r="Q9" s="117">
        <v>1054.0937641335613</v>
      </c>
      <c r="R9" s="117">
        <v>1054.0937641335613</v>
      </c>
      <c r="S9" s="117">
        <v>1054.0937641335613</v>
      </c>
      <c r="T9" s="117">
        <v>1054.0937641335613</v>
      </c>
      <c r="U9" s="117">
        <v>1054.0937641335613</v>
      </c>
      <c r="V9" s="117">
        <v>1054.0937641335613</v>
      </c>
      <c r="W9" s="117">
        <v>1054.0937641335613</v>
      </c>
      <c r="X9" s="117">
        <v>1054.0937641335613</v>
      </c>
      <c r="Y9" s="117">
        <v>1054.0937641335613</v>
      </c>
      <c r="Z9" s="117">
        <v>1054.0937641335613</v>
      </c>
      <c r="AA9" s="117">
        <v>1054.0937641335613</v>
      </c>
      <c r="AB9" s="117">
        <v>1054.0937641335613</v>
      </c>
      <c r="AC9" s="117">
        <v>1054.0937641335613</v>
      </c>
      <c r="AD9" s="117">
        <v>1054.0937641335613</v>
      </c>
      <c r="AE9" s="117">
        <v>1054.0937641335613</v>
      </c>
      <c r="AF9" s="117">
        <v>1264.9064440101608</v>
      </c>
      <c r="AG9" s="117">
        <v>1264.9064440101608</v>
      </c>
      <c r="AH9" s="117">
        <v>1264.9064440101608</v>
      </c>
      <c r="AI9" s="117">
        <v>1264.9064440101608</v>
      </c>
      <c r="AJ9" s="117">
        <v>1054.0937641335613</v>
      </c>
      <c r="AK9" s="117">
        <v>1054.0937641335613</v>
      </c>
      <c r="AL9" s="117">
        <v>1054.0937641335613</v>
      </c>
      <c r="AM9" s="117">
        <v>1054.0937641335613</v>
      </c>
      <c r="AN9" s="117">
        <v>1054.0937641335613</v>
      </c>
      <c r="AO9" s="117">
        <v>1054.0937641335613</v>
      </c>
      <c r="AP9" s="117">
        <v>1054.0937641335613</v>
      </c>
      <c r="AQ9" s="117">
        <v>1054.0937641335613</v>
      </c>
      <c r="AR9" s="117">
        <v>1054.0937641335613</v>
      </c>
      <c r="AS9" s="117">
        <v>1054.0937641335613</v>
      </c>
      <c r="AT9" s="117">
        <v>1054.0937641335613</v>
      </c>
      <c r="AU9" s="117">
        <v>1054.0937641335613</v>
      </c>
      <c r="AV9" s="117">
        <v>1054.0937641335613</v>
      </c>
      <c r="AW9" s="117">
        <v>1054.0937641335613</v>
      </c>
      <c r="AX9" s="117">
        <v>1054.0937641335613</v>
      </c>
      <c r="AY9" s="117">
        <v>1054.0937641335613</v>
      </c>
    </row>
    <row r="10" spans="1:54">
      <c r="A10" s="118" t="s">
        <v>133</v>
      </c>
      <c r="B10" s="119">
        <v>1</v>
      </c>
      <c r="C10" s="106" t="s">
        <v>293</v>
      </c>
      <c r="D10" s="100">
        <v>0</v>
      </c>
      <c r="E10" s="100">
        <v>190.68762469147782</v>
      </c>
      <c r="F10" s="100">
        <v>606.14658213676955</v>
      </c>
      <c r="G10" s="100">
        <v>190.68762469147808</v>
      </c>
      <c r="H10" s="100">
        <v>0</v>
      </c>
      <c r="I10" s="100">
        <v>1212.2931642735391</v>
      </c>
      <c r="J10" s="100">
        <v>606.14658213676955</v>
      </c>
      <c r="K10" s="100">
        <v>606.14658213676955</v>
      </c>
      <c r="L10" s="100">
        <v>0</v>
      </c>
      <c r="M10" s="100">
        <v>0</v>
      </c>
      <c r="N10" s="100">
        <v>1212.2931642735391</v>
      </c>
      <c r="O10" s="100">
        <v>606.14658213676955</v>
      </c>
      <c r="P10" s="100">
        <v>190.68762469147808</v>
      </c>
      <c r="Q10" s="100">
        <v>0</v>
      </c>
      <c r="R10" s="100">
        <v>190.68762469147808</v>
      </c>
      <c r="S10" s="100">
        <v>606.14658213676955</v>
      </c>
      <c r="T10" s="100">
        <v>606.14658213676955</v>
      </c>
      <c r="U10" s="100">
        <v>0</v>
      </c>
      <c r="V10" s="100">
        <v>190.68762469147808</v>
      </c>
      <c r="W10" s="100">
        <v>606.14658213676955</v>
      </c>
      <c r="X10" s="100">
        <v>606.14658213676955</v>
      </c>
      <c r="Y10" s="100">
        <v>606.14658213676955</v>
      </c>
      <c r="Z10" s="100">
        <v>606.14658213676955</v>
      </c>
      <c r="AA10" s="100">
        <v>606.14658213676955</v>
      </c>
      <c r="AB10" s="100">
        <v>606.14658213676955</v>
      </c>
      <c r="AC10" s="100">
        <v>0</v>
      </c>
      <c r="AD10" s="100">
        <v>606.14658213676955</v>
      </c>
      <c r="AE10" s="100">
        <v>606.14658213676955</v>
      </c>
      <c r="AF10" s="100">
        <v>0</v>
      </c>
      <c r="AG10" s="100">
        <v>1212.2931642735391</v>
      </c>
      <c r="AH10" s="100">
        <v>0</v>
      </c>
      <c r="AI10" s="100">
        <v>190.68762469147808</v>
      </c>
      <c r="AJ10" s="100">
        <v>727.37240637198704</v>
      </c>
      <c r="AK10" s="100">
        <v>190.68762469147808</v>
      </c>
      <c r="AL10" s="100">
        <v>0</v>
      </c>
      <c r="AM10" s="100">
        <v>190.68762469147785</v>
      </c>
      <c r="AN10" s="100">
        <v>0</v>
      </c>
      <c r="AO10" s="100">
        <v>606.14658213676955</v>
      </c>
      <c r="AP10" s="100">
        <v>606.14658213676955</v>
      </c>
      <c r="AQ10" s="100">
        <v>606.14658213676955</v>
      </c>
      <c r="AR10" s="100">
        <v>0</v>
      </c>
      <c r="AS10" s="100">
        <v>190.68762469147808</v>
      </c>
      <c r="AT10" s="100">
        <v>0</v>
      </c>
      <c r="AU10" s="100">
        <v>606.14658213676955</v>
      </c>
      <c r="AV10" s="100">
        <v>606.14658213676955</v>
      </c>
      <c r="AW10" s="100">
        <v>606.14658213676955</v>
      </c>
      <c r="AX10" s="100">
        <v>0</v>
      </c>
      <c r="AY10" s="100">
        <v>606.14658213676955</v>
      </c>
      <c r="AZ10" s="100">
        <v>606.14658213676955</v>
      </c>
    </row>
    <row r="11" spans="1:54">
      <c r="B11" s="119">
        <v>2</v>
      </c>
      <c r="C11" s="106" t="s">
        <v>293</v>
      </c>
      <c r="D11" s="100">
        <v>607.34936250024873</v>
      </c>
      <c r="E11" s="100">
        <v>0</v>
      </c>
      <c r="F11" s="100">
        <v>1023.3048308134526</v>
      </c>
      <c r="H11" s="100">
        <v>415.4589574452915</v>
      </c>
      <c r="I11" s="100">
        <v>0</v>
      </c>
      <c r="J11" s="100">
        <v>0</v>
      </c>
      <c r="K11" s="100">
        <v>0</v>
      </c>
      <c r="M11" s="100">
        <v>606.14658213676955</v>
      </c>
      <c r="O11" s="100">
        <v>0</v>
      </c>
      <c r="Q11" s="100">
        <v>415.4589574452915</v>
      </c>
      <c r="R11" s="100">
        <v>0</v>
      </c>
      <c r="S11" s="100">
        <v>415.4589574452915</v>
      </c>
      <c r="T11" s="100">
        <v>0</v>
      </c>
      <c r="U11" s="100">
        <v>0</v>
      </c>
      <c r="V11" s="100">
        <v>606.14658213676955</v>
      </c>
      <c r="W11" s="100">
        <v>415.4589574452915</v>
      </c>
      <c r="Y11" s="100">
        <v>0</v>
      </c>
      <c r="Z11" s="100">
        <v>0</v>
      </c>
      <c r="AA11" s="100">
        <v>0</v>
      </c>
      <c r="AB11" s="100">
        <v>0</v>
      </c>
      <c r="AC11" s="100">
        <v>0</v>
      </c>
      <c r="AD11" s="100">
        <v>606.14658213676955</v>
      </c>
      <c r="AG11" s="100">
        <v>0</v>
      </c>
      <c r="AH11" s="100">
        <v>0</v>
      </c>
      <c r="AI11" s="100">
        <v>727.37240637198704</v>
      </c>
      <c r="AJ11" s="100">
        <v>536.68478168050899</v>
      </c>
      <c r="AK11" s="100">
        <v>0</v>
      </c>
      <c r="AL11" s="100">
        <v>536.68478168050899</v>
      </c>
      <c r="AM11" s="100">
        <v>0</v>
      </c>
      <c r="AN11" s="100">
        <v>1021.6055395820613</v>
      </c>
      <c r="AO11" s="100">
        <v>0</v>
      </c>
      <c r="AQ11" s="100">
        <v>0</v>
      </c>
      <c r="AR11" s="100">
        <v>0</v>
      </c>
      <c r="AS11" s="100">
        <v>606.14658213676955</v>
      </c>
      <c r="AT11" s="100">
        <v>0</v>
      </c>
      <c r="AV11" s="100">
        <v>0</v>
      </c>
      <c r="AX11" s="100">
        <v>0</v>
      </c>
      <c r="AY11" s="100">
        <v>606.14658213676955</v>
      </c>
      <c r="AZ11" s="100">
        <v>0</v>
      </c>
    </row>
    <row r="12" spans="1:54">
      <c r="B12" s="120">
        <v>3</v>
      </c>
      <c r="C12" s="106" t="s">
        <v>293</v>
      </c>
      <c r="E12" s="100">
        <v>0</v>
      </c>
      <c r="H12" s="100">
        <v>0</v>
      </c>
      <c r="M12" s="100">
        <v>0</v>
      </c>
      <c r="O12" s="100">
        <v>0</v>
      </c>
      <c r="Q12" s="100">
        <v>0</v>
      </c>
      <c r="S12" s="100">
        <v>606.14658213676955</v>
      </c>
      <c r="Y12" s="100">
        <v>0</v>
      </c>
      <c r="AE12" s="100">
        <v>0</v>
      </c>
      <c r="AF12" s="100">
        <v>0</v>
      </c>
      <c r="AG12" s="100">
        <v>0</v>
      </c>
      <c r="AN12" s="100">
        <v>0</v>
      </c>
      <c r="AO12" s="100">
        <v>0</v>
      </c>
      <c r="AP12" s="100">
        <v>606.14658213676955</v>
      </c>
      <c r="AQ12" s="100">
        <v>0</v>
      </c>
      <c r="AU12" s="100">
        <v>415.4589574452915</v>
      </c>
      <c r="AV12" s="100">
        <v>606.14658213676955</v>
      </c>
      <c r="AX12" s="100">
        <v>0</v>
      </c>
      <c r="BB12" s="100">
        <v>0</v>
      </c>
    </row>
    <row r="13" spans="1:54">
      <c r="B13" s="120">
        <v>4</v>
      </c>
      <c r="C13" s="106" t="s">
        <v>293</v>
      </c>
      <c r="H13" s="100">
        <v>0</v>
      </c>
      <c r="AW13" s="100">
        <v>0</v>
      </c>
      <c r="BA13" s="100">
        <v>0</v>
      </c>
    </row>
    <row r="14" spans="1:54">
      <c r="A14" s="115" t="s">
        <v>134</v>
      </c>
      <c r="B14" s="121">
        <v>1</v>
      </c>
      <c r="C14" s="117" t="s">
        <v>293</v>
      </c>
      <c r="D14" s="117">
        <v>253.67495878295958</v>
      </c>
      <c r="E14" s="117">
        <f t="shared" ref="E14:AZ14" si="0">D$172*SUM(D$122:D$169)</f>
        <v>369.79076894938061</v>
      </c>
      <c r="F14" s="117">
        <f t="shared" si="0"/>
        <v>116.16034851881356</v>
      </c>
      <c r="G14" s="117">
        <f t="shared" si="0"/>
        <v>992.35993571172412</v>
      </c>
      <c r="H14" s="117">
        <f t="shared" si="0"/>
        <v>402.39347713975837</v>
      </c>
      <c r="I14" s="117">
        <f t="shared" si="0"/>
        <v>258.48513567841241</v>
      </c>
      <c r="J14" s="117">
        <f t="shared" si="0"/>
        <v>738.31275418862754</v>
      </c>
      <c r="K14" s="117">
        <f t="shared" si="0"/>
        <v>513.97112287094478</v>
      </c>
      <c r="L14" s="117">
        <f t="shared" si="0"/>
        <v>379.34840739627509</v>
      </c>
      <c r="M14" s="117">
        <f t="shared" si="0"/>
        <v>3.2587032907749551E-2</v>
      </c>
      <c r="N14" s="117">
        <f t="shared" si="0"/>
        <v>369.17267061076763</v>
      </c>
      <c r="O14" s="117">
        <f t="shared" si="0"/>
        <v>738.31275418862754</v>
      </c>
      <c r="P14" s="117">
        <f t="shared" si="0"/>
        <v>530.98864828296621</v>
      </c>
      <c r="Q14" s="117">
        <f t="shared" si="0"/>
        <v>168.42422081973112</v>
      </c>
      <c r="R14" s="117">
        <f t="shared" si="0"/>
        <v>253.0449091248619</v>
      </c>
      <c r="S14" s="117">
        <f t="shared" si="0"/>
        <v>116.16034851881345</v>
      </c>
      <c r="T14" s="117">
        <f t="shared" si="0"/>
        <v>991.3250762805817</v>
      </c>
      <c r="U14" s="117">
        <f t="shared" si="0"/>
        <v>622.36592352297703</v>
      </c>
      <c r="V14" s="117">
        <f t="shared" si="0"/>
        <v>40.056138227489633</v>
      </c>
      <c r="W14" s="117">
        <f t="shared" si="0"/>
        <v>485.30043209667332</v>
      </c>
      <c r="X14" s="117">
        <f t="shared" si="0"/>
        <v>648.77335551650845</v>
      </c>
      <c r="Y14" s="117">
        <f t="shared" si="0"/>
        <v>513.34354688804262</v>
      </c>
      <c r="Z14" s="117">
        <f t="shared" si="0"/>
        <v>383.48017468593156</v>
      </c>
      <c r="AA14" s="117">
        <f t="shared" si="0"/>
        <v>369.17267061076757</v>
      </c>
      <c r="AB14" s="117">
        <f t="shared" si="0"/>
        <v>369.17267061076768</v>
      </c>
      <c r="AC14" s="117">
        <f t="shared" si="0"/>
        <v>369.17267061076757</v>
      </c>
      <c r="AD14" s="117">
        <f t="shared" si="0"/>
        <v>3.2587032907724099E-2</v>
      </c>
      <c r="AE14" s="117">
        <f t="shared" si="0"/>
        <v>738.31275418862754</v>
      </c>
      <c r="AF14" s="117">
        <f t="shared" si="0"/>
        <v>476.28939565237914</v>
      </c>
      <c r="AG14" s="117">
        <f t="shared" si="0"/>
        <v>3.258703290777501E-2</v>
      </c>
      <c r="AH14" s="117">
        <f t="shared" si="0"/>
        <v>738.31275418862754</v>
      </c>
      <c r="AI14" s="117">
        <f t="shared" si="0"/>
        <v>86.605682280521734</v>
      </c>
      <c r="AJ14" s="117">
        <f t="shared" si="0"/>
        <v>559.12632208558364</v>
      </c>
      <c r="AK14" s="117">
        <f t="shared" si="0"/>
        <v>778.22587382090717</v>
      </c>
      <c r="AL14" s="117">
        <f t="shared" si="0"/>
        <v>246.72344446418828</v>
      </c>
      <c r="AM14" s="117">
        <f t="shared" si="0"/>
        <v>326.87079911377214</v>
      </c>
      <c r="AN14" s="117">
        <f t="shared" si="0"/>
        <v>116.16034851881356</v>
      </c>
      <c r="AO14" s="117">
        <f t="shared" si="0"/>
        <v>622.18499270272173</v>
      </c>
      <c r="AP14" s="117">
        <f t="shared" si="0"/>
        <v>390.40644436624194</v>
      </c>
      <c r="AQ14" s="117">
        <f t="shared" si="0"/>
        <v>738.31275418862754</v>
      </c>
      <c r="AR14" s="117">
        <f t="shared" si="0"/>
        <v>497.40142707502901</v>
      </c>
      <c r="AS14" s="117">
        <f t="shared" si="0"/>
        <v>3.258703290777501E-2</v>
      </c>
      <c r="AT14" s="117">
        <f t="shared" si="0"/>
        <v>485.30043209667332</v>
      </c>
      <c r="AU14" s="117">
        <f t="shared" si="0"/>
        <v>3.2587032907749551E-2</v>
      </c>
      <c r="AV14" s="117">
        <f t="shared" si="0"/>
        <v>622.18499270272184</v>
      </c>
      <c r="AW14" s="117">
        <f t="shared" si="0"/>
        <v>838.23535463212067</v>
      </c>
      <c r="AX14" s="117">
        <f t="shared" si="0"/>
        <v>558.84534234709815</v>
      </c>
      <c r="AY14" s="117">
        <f t="shared" si="0"/>
        <v>3.258703290777501E-2</v>
      </c>
      <c r="AZ14" s="110">
        <f t="shared" si="0"/>
        <v>738.31275418862754</v>
      </c>
      <c r="BA14" s="107">
        <f>SUM($E14:$AZ14)</f>
        <v>20297.095551860937</v>
      </c>
    </row>
    <row r="15" spans="1:54">
      <c r="A15" s="122" t="s">
        <v>123</v>
      </c>
      <c r="B15" s="123">
        <v>1</v>
      </c>
      <c r="C15" s="124" t="s">
        <v>293</v>
      </c>
      <c r="D15" s="124">
        <v>7.2766587415744668E-2</v>
      </c>
      <c r="E15" s="124">
        <v>259.38514189593792</v>
      </c>
      <c r="F15" s="124">
        <v>824.35966120545152</v>
      </c>
      <c r="G15" s="124">
        <v>259.38514189593769</v>
      </c>
      <c r="H15" s="124">
        <v>7.2766587415744668E-2</v>
      </c>
      <c r="I15" s="124">
        <v>1648.6465558234872</v>
      </c>
      <c r="J15" s="124">
        <v>824.35966120545152</v>
      </c>
      <c r="K15" s="124">
        <v>824.3596612054514</v>
      </c>
      <c r="L15" s="124">
        <v>7.2766587415744668E-2</v>
      </c>
      <c r="M15" s="124">
        <v>7.2766587415744668E-2</v>
      </c>
      <c r="N15" s="124">
        <v>1648.6465558234872</v>
      </c>
      <c r="O15" s="124">
        <v>824.35966120545152</v>
      </c>
      <c r="P15" s="124">
        <v>259.38514189593769</v>
      </c>
      <c r="Q15" s="124">
        <v>7.2766587415744668E-2</v>
      </c>
      <c r="R15" s="124">
        <v>259.38514189593769</v>
      </c>
      <c r="S15" s="124">
        <v>824.35966120545152</v>
      </c>
      <c r="T15" s="124">
        <v>824.3596612054514</v>
      </c>
      <c r="U15" s="124">
        <v>7.2766587415744668E-2</v>
      </c>
      <c r="V15" s="124">
        <v>259.38514189593769</v>
      </c>
      <c r="W15" s="124">
        <v>824.35966120545152</v>
      </c>
      <c r="X15" s="124">
        <v>824.3596612054514</v>
      </c>
      <c r="Y15" s="124">
        <v>824.35966120545152</v>
      </c>
      <c r="Z15" s="124">
        <v>824.3596612054514</v>
      </c>
      <c r="AA15" s="124">
        <v>824.35966120545152</v>
      </c>
      <c r="AB15" s="124">
        <v>824.3596612054514</v>
      </c>
      <c r="AC15" s="124">
        <v>7.2766587415744668E-2</v>
      </c>
      <c r="AD15" s="124">
        <v>824.3596612054514</v>
      </c>
      <c r="AE15" s="124">
        <v>824.35966120545152</v>
      </c>
      <c r="AF15" s="124">
        <v>7.2766587415744668E-2</v>
      </c>
      <c r="AG15" s="124">
        <v>1648.6465558234872</v>
      </c>
      <c r="AH15" s="124">
        <v>7.2766587415744668E-2</v>
      </c>
      <c r="AI15" s="124">
        <v>259.38514189593764</v>
      </c>
      <c r="AJ15" s="124">
        <v>989.21229116519999</v>
      </c>
      <c r="AK15" s="124">
        <v>259.38514189593764</v>
      </c>
      <c r="AL15" s="124">
        <v>7.2766587415744668E-2</v>
      </c>
      <c r="AM15" s="124">
        <v>259.38514189593792</v>
      </c>
      <c r="AN15" s="124">
        <v>7.2766587415744668E-2</v>
      </c>
      <c r="AO15" s="124">
        <v>824.3596612054514</v>
      </c>
      <c r="AP15" s="124">
        <v>824.35966120545152</v>
      </c>
      <c r="AQ15" s="124">
        <v>824.3596612054514</v>
      </c>
      <c r="AR15" s="124">
        <v>7.2766587415744668E-2</v>
      </c>
      <c r="AS15" s="124">
        <v>259.38514189593769</v>
      </c>
      <c r="AT15" s="124">
        <v>7.2766587415744668E-2</v>
      </c>
      <c r="AU15" s="124">
        <v>824.3596612054514</v>
      </c>
      <c r="AV15" s="124">
        <v>824.35966120545152</v>
      </c>
      <c r="AW15" s="124">
        <v>824.3596612054514</v>
      </c>
      <c r="AX15" s="124">
        <v>7.2766587415744668E-2</v>
      </c>
      <c r="AY15" s="124">
        <v>824.3596612054514</v>
      </c>
      <c r="AZ15" s="100">
        <v>824.28689461803572</v>
      </c>
    </row>
    <row r="16" spans="1:54">
      <c r="A16" s="110"/>
      <c r="B16" s="119">
        <v>2</v>
      </c>
      <c r="C16" s="109" t="s">
        <v>293</v>
      </c>
      <c r="D16" s="106">
        <v>825.66710333220635</v>
      </c>
      <c r="E16" s="110">
        <v>0</v>
      </c>
      <c r="F16" s="110">
        <v>1391.5722468736622</v>
      </c>
      <c r="G16" s="110"/>
      <c r="H16" s="110">
        <v>564.97451930951377</v>
      </c>
      <c r="I16" s="110">
        <v>0</v>
      </c>
      <c r="J16" s="110">
        <v>0</v>
      </c>
      <c r="K16" s="110">
        <v>0</v>
      </c>
      <c r="L16" s="110"/>
      <c r="M16" s="110">
        <v>824.28689461803572</v>
      </c>
      <c r="N16" s="110"/>
      <c r="O16" s="110">
        <v>0</v>
      </c>
      <c r="P16" s="110"/>
      <c r="Q16" s="110">
        <v>564.97451930951377</v>
      </c>
      <c r="R16" s="110">
        <v>0</v>
      </c>
      <c r="S16" s="110">
        <v>564.97451930951377</v>
      </c>
      <c r="T16" s="110">
        <v>0</v>
      </c>
      <c r="U16" s="110">
        <v>0</v>
      </c>
      <c r="V16" s="110">
        <v>824.28689461803572</v>
      </c>
      <c r="W16" s="110">
        <v>564.97451930951377</v>
      </c>
      <c r="X16" s="110"/>
      <c r="Y16" s="110">
        <v>0</v>
      </c>
      <c r="Z16" s="110">
        <v>0</v>
      </c>
      <c r="AA16" s="110">
        <v>0</v>
      </c>
      <c r="AB16" s="110">
        <v>0</v>
      </c>
      <c r="AC16" s="110">
        <v>0</v>
      </c>
      <c r="AD16" s="110">
        <v>824.28689461803572</v>
      </c>
      <c r="AE16" s="110"/>
      <c r="AF16" s="110"/>
      <c r="AG16" s="110">
        <v>0</v>
      </c>
      <c r="AH16" s="110">
        <v>0</v>
      </c>
      <c r="AI16" s="110">
        <v>989.13952457778419</v>
      </c>
      <c r="AJ16" s="110">
        <v>729.82714926926224</v>
      </c>
      <c r="AK16" s="110">
        <v>0</v>
      </c>
      <c r="AL16" s="110">
        <v>729.82714926926224</v>
      </c>
      <c r="AM16" s="110">
        <v>0</v>
      </c>
      <c r="AN16" s="110">
        <v>1389.2614139275493</v>
      </c>
      <c r="AO16" s="110">
        <v>0</v>
      </c>
      <c r="AP16" s="110"/>
      <c r="AQ16" s="110">
        <v>0</v>
      </c>
      <c r="AR16" s="110">
        <v>0</v>
      </c>
      <c r="AS16" s="110">
        <v>824.28689461803572</v>
      </c>
      <c r="AT16" s="110">
        <v>0</v>
      </c>
      <c r="AU16" s="110"/>
      <c r="AV16" s="110">
        <v>0</v>
      </c>
      <c r="AW16" s="110"/>
      <c r="AX16" s="110">
        <v>0</v>
      </c>
      <c r="AY16" s="110">
        <v>824.28689461803572</v>
      </c>
      <c r="AZ16" s="100">
        <v>0</v>
      </c>
    </row>
    <row r="17" spans="1:54">
      <c r="A17" s="110"/>
      <c r="B17" s="119">
        <v>3</v>
      </c>
      <c r="C17" s="109" t="s">
        <v>293</v>
      </c>
      <c r="D17" s="106"/>
      <c r="E17" s="110">
        <v>0</v>
      </c>
      <c r="F17" s="110"/>
      <c r="G17" s="110"/>
      <c r="H17" s="110">
        <v>0</v>
      </c>
      <c r="I17" s="110"/>
      <c r="J17" s="110"/>
      <c r="K17" s="110"/>
      <c r="L17" s="110"/>
      <c r="M17" s="110">
        <v>0</v>
      </c>
      <c r="N17" s="110"/>
      <c r="O17" s="110">
        <v>0</v>
      </c>
      <c r="P17" s="110"/>
      <c r="Q17" s="110">
        <v>0</v>
      </c>
      <c r="R17" s="110"/>
      <c r="S17" s="110">
        <v>824.28689461803572</v>
      </c>
      <c r="T17" s="110"/>
      <c r="U17" s="110"/>
      <c r="V17" s="110"/>
      <c r="W17" s="110"/>
      <c r="X17" s="110"/>
      <c r="Y17" s="110">
        <v>0</v>
      </c>
      <c r="Z17" s="110"/>
      <c r="AA17" s="110"/>
      <c r="AB17" s="110"/>
      <c r="AC17" s="110"/>
      <c r="AD17" s="110"/>
      <c r="AE17" s="110">
        <v>0</v>
      </c>
      <c r="AF17" s="110">
        <v>0</v>
      </c>
      <c r="AG17" s="110">
        <v>0</v>
      </c>
      <c r="AH17" s="110"/>
      <c r="AI17" s="110"/>
      <c r="AJ17" s="110"/>
      <c r="AK17" s="110"/>
      <c r="AL17" s="110"/>
      <c r="AM17" s="110"/>
      <c r="AN17" s="110">
        <v>0</v>
      </c>
      <c r="AO17" s="110">
        <v>0</v>
      </c>
      <c r="AP17" s="110">
        <v>824.28689461803572</v>
      </c>
      <c r="AQ17" s="110">
        <v>0</v>
      </c>
      <c r="AR17" s="110"/>
      <c r="AS17" s="110"/>
      <c r="AT17" s="110"/>
      <c r="AU17" s="110">
        <v>564.97451930951377</v>
      </c>
      <c r="AV17" s="110">
        <v>824.28689461803572</v>
      </c>
      <c r="AW17" s="110"/>
      <c r="AX17" s="110">
        <v>0</v>
      </c>
      <c r="AY17" s="110"/>
      <c r="BB17" s="100">
        <v>0</v>
      </c>
    </row>
    <row r="18" spans="1:54">
      <c r="A18" s="125"/>
      <c r="B18" s="116">
        <v>4</v>
      </c>
      <c r="C18" s="125" t="s">
        <v>293</v>
      </c>
      <c r="D18" s="125"/>
      <c r="E18" s="125"/>
      <c r="F18" s="125"/>
      <c r="G18" s="125"/>
      <c r="H18" s="125">
        <v>0</v>
      </c>
      <c r="I18" s="125"/>
      <c r="J18" s="125"/>
      <c r="K18" s="125"/>
      <c r="L18" s="125"/>
      <c r="M18" s="125"/>
      <c r="N18" s="125"/>
      <c r="O18" s="125"/>
      <c r="P18" s="125"/>
      <c r="Q18" s="125"/>
      <c r="R18" s="125"/>
      <c r="S18" s="125"/>
      <c r="T18" s="125"/>
      <c r="U18" s="125"/>
      <c r="V18" s="125"/>
      <c r="W18" s="125"/>
      <c r="X18" s="125"/>
      <c r="Y18" s="125"/>
      <c r="Z18" s="125"/>
      <c r="AA18" s="125"/>
      <c r="AB18" s="125"/>
      <c r="AC18" s="125"/>
      <c r="AD18" s="125"/>
      <c r="AE18" s="125"/>
      <c r="AF18" s="125"/>
      <c r="AG18" s="125"/>
      <c r="AH18" s="125"/>
      <c r="AI18" s="125"/>
      <c r="AJ18" s="125"/>
      <c r="AK18" s="125"/>
      <c r="AL18" s="125"/>
      <c r="AM18" s="125"/>
      <c r="AN18" s="125"/>
      <c r="AO18" s="125"/>
      <c r="AP18" s="125"/>
      <c r="AQ18" s="125"/>
      <c r="AR18" s="125"/>
      <c r="AS18" s="125"/>
      <c r="AT18" s="125"/>
      <c r="AU18" s="125"/>
      <c r="AV18" s="125"/>
      <c r="AW18" s="125">
        <v>0</v>
      </c>
      <c r="AX18" s="125"/>
      <c r="AY18" s="125"/>
      <c r="BA18" s="100">
        <v>0</v>
      </c>
    </row>
    <row r="20" spans="1:54">
      <c r="A20" s="102" t="s">
        <v>294</v>
      </c>
    </row>
    <row r="21" spans="1:54">
      <c r="A21" s="126" t="s">
        <v>125</v>
      </c>
      <c r="B21" s="123">
        <v>1</v>
      </c>
      <c r="C21" s="124" t="s">
        <v>293</v>
      </c>
      <c r="D21" s="124"/>
      <c r="E21" s="124"/>
      <c r="F21" s="124">
        <v>15.637433681710718</v>
      </c>
      <c r="G21" s="124"/>
      <c r="H21" s="124"/>
      <c r="I21" s="124"/>
      <c r="J21" s="124"/>
      <c r="K21" s="124"/>
      <c r="L21" s="124"/>
      <c r="M21" s="124"/>
      <c r="N21" s="124"/>
      <c r="O21" s="124"/>
      <c r="P21" s="124"/>
      <c r="Q21" s="124"/>
      <c r="R21" s="124"/>
      <c r="S21" s="124">
        <v>11.627309504206096</v>
      </c>
      <c r="T21" s="124"/>
      <c r="U21" s="124"/>
      <c r="V21" s="124"/>
      <c r="W21" s="124"/>
      <c r="X21" s="124"/>
      <c r="Y21" s="124"/>
      <c r="Z21" s="124"/>
      <c r="AA21" s="124"/>
      <c r="AB21" s="124"/>
      <c r="AC21" s="124"/>
      <c r="AD21" s="124"/>
      <c r="AE21" s="124"/>
      <c r="AF21" s="124"/>
      <c r="AG21" s="124"/>
      <c r="AH21" s="124"/>
      <c r="AI21" s="124"/>
      <c r="AJ21" s="124"/>
      <c r="AK21" s="124"/>
      <c r="AL21" s="124"/>
      <c r="AM21" s="124"/>
      <c r="AN21" s="124"/>
      <c r="AO21" s="124"/>
      <c r="AP21" s="124"/>
      <c r="AQ21" s="124"/>
      <c r="AR21" s="124"/>
      <c r="AS21" s="124"/>
      <c r="AT21" s="124"/>
      <c r="AU21" s="124"/>
      <c r="AV21" s="124">
        <v>122.95039505278328</v>
      </c>
      <c r="AW21" s="124"/>
      <c r="AX21" s="124"/>
      <c r="AY21" s="124"/>
    </row>
    <row r="22" spans="1:54">
      <c r="A22" s="109"/>
      <c r="B22" s="120">
        <v>2</v>
      </c>
      <c r="C22" s="110" t="s">
        <v>293</v>
      </c>
      <c r="D22" s="110"/>
      <c r="E22" s="110"/>
      <c r="F22" s="110">
        <v>185.7954964868195</v>
      </c>
      <c r="G22" s="110"/>
      <c r="H22" s="110"/>
      <c r="I22" s="110"/>
      <c r="J22" s="110"/>
      <c r="K22" s="110"/>
      <c r="L22" s="110"/>
      <c r="M22" s="110"/>
      <c r="N22" s="110"/>
      <c r="O22" s="110"/>
      <c r="P22" s="110"/>
      <c r="Q22" s="110"/>
      <c r="R22" s="110"/>
      <c r="S22" s="110">
        <v>464.03140546917439</v>
      </c>
      <c r="T22" s="110"/>
      <c r="U22" s="110"/>
      <c r="V22" s="110"/>
      <c r="W22" s="110"/>
      <c r="X22" s="110"/>
      <c r="Y22" s="110"/>
      <c r="Z22" s="110"/>
      <c r="AA22" s="110"/>
      <c r="AB22" s="110"/>
      <c r="AC22" s="110"/>
      <c r="AD22" s="110"/>
      <c r="AE22" s="110"/>
      <c r="AF22" s="110"/>
      <c r="AG22" s="110"/>
      <c r="AH22" s="110"/>
      <c r="AI22" s="110"/>
      <c r="AJ22" s="110">
        <v>366.29790327945921</v>
      </c>
      <c r="AK22" s="110"/>
      <c r="AL22" s="110"/>
      <c r="AM22" s="110"/>
      <c r="AN22" s="110"/>
      <c r="AO22" s="110"/>
      <c r="AP22" s="110"/>
      <c r="AQ22" s="110"/>
      <c r="AR22" s="110"/>
      <c r="AS22" s="110"/>
      <c r="AT22" s="110"/>
      <c r="AU22" s="110"/>
      <c r="AV22" s="110">
        <v>0</v>
      </c>
      <c r="AW22" s="110"/>
      <c r="AX22" s="110"/>
      <c r="AY22" s="110"/>
    </row>
    <row r="23" spans="1:54">
      <c r="A23" s="109"/>
      <c r="B23" s="127">
        <v>3</v>
      </c>
      <c r="C23" s="110" t="s">
        <v>293</v>
      </c>
      <c r="D23" s="110"/>
      <c r="E23" s="110"/>
      <c r="F23" s="110">
        <v>0</v>
      </c>
      <c r="G23" s="110"/>
      <c r="H23" s="110"/>
      <c r="I23" s="110"/>
      <c r="J23" s="110"/>
      <c r="K23" s="110"/>
      <c r="L23" s="110"/>
      <c r="M23" s="110"/>
      <c r="N23" s="110"/>
      <c r="O23" s="110"/>
      <c r="P23" s="110"/>
      <c r="Q23" s="110"/>
      <c r="R23" s="110"/>
      <c r="S23" s="110">
        <v>0</v>
      </c>
      <c r="T23" s="110"/>
      <c r="U23" s="110"/>
      <c r="V23" s="110"/>
      <c r="W23" s="110"/>
      <c r="X23" s="110"/>
      <c r="Y23" s="110"/>
      <c r="Z23" s="110"/>
      <c r="AA23" s="110"/>
      <c r="AB23" s="110"/>
      <c r="AC23" s="110"/>
      <c r="AD23" s="110"/>
      <c r="AE23" s="110"/>
      <c r="AF23" s="110"/>
      <c r="AG23" s="110"/>
      <c r="AH23" s="110"/>
      <c r="AI23" s="110"/>
      <c r="AJ23" s="110">
        <v>0</v>
      </c>
      <c r="AK23" s="110"/>
      <c r="AL23" s="110"/>
      <c r="AM23" s="110"/>
      <c r="AN23" s="110"/>
      <c r="AO23" s="110"/>
      <c r="AP23" s="110"/>
      <c r="AQ23" s="110"/>
      <c r="AR23" s="110"/>
      <c r="AS23" s="110"/>
      <c r="AT23" s="110"/>
      <c r="AU23" s="110"/>
      <c r="AV23" s="110">
        <v>0</v>
      </c>
      <c r="AW23" s="110"/>
      <c r="AX23" s="110"/>
      <c r="AY23" s="110"/>
    </row>
    <row r="24" spans="1:54">
      <c r="A24" s="128"/>
      <c r="B24" s="129">
        <v>4</v>
      </c>
      <c r="C24" s="128" t="s">
        <v>293</v>
      </c>
      <c r="D24" s="125">
        <v>0</v>
      </c>
      <c r="E24" s="125">
        <v>0</v>
      </c>
      <c r="F24" s="125">
        <v>0</v>
      </c>
      <c r="G24" s="125">
        <v>0</v>
      </c>
      <c r="H24" s="125">
        <v>0</v>
      </c>
      <c r="I24" s="125">
        <v>0</v>
      </c>
      <c r="J24" s="125">
        <v>0</v>
      </c>
      <c r="K24" s="125">
        <v>0</v>
      </c>
      <c r="L24" s="125">
        <v>0</v>
      </c>
      <c r="M24" s="125">
        <v>0</v>
      </c>
      <c r="N24" s="125">
        <v>0</v>
      </c>
      <c r="O24" s="125">
        <v>0</v>
      </c>
      <c r="P24" s="125">
        <v>0</v>
      </c>
      <c r="Q24" s="125">
        <v>0</v>
      </c>
      <c r="R24" s="125">
        <v>0</v>
      </c>
      <c r="S24" s="125">
        <v>0</v>
      </c>
      <c r="T24" s="125">
        <v>0</v>
      </c>
      <c r="U24" s="125">
        <v>0</v>
      </c>
      <c r="V24" s="125">
        <v>0</v>
      </c>
      <c r="W24" s="125">
        <v>0</v>
      </c>
      <c r="X24" s="125">
        <v>0</v>
      </c>
      <c r="Y24" s="125">
        <v>0</v>
      </c>
      <c r="Z24" s="125">
        <v>0</v>
      </c>
      <c r="AA24" s="125">
        <v>0</v>
      </c>
      <c r="AB24" s="125">
        <v>0</v>
      </c>
      <c r="AC24" s="125">
        <v>0</v>
      </c>
      <c r="AD24" s="125">
        <v>0</v>
      </c>
      <c r="AE24" s="125">
        <v>0</v>
      </c>
      <c r="AF24" s="125">
        <v>0</v>
      </c>
      <c r="AG24" s="125">
        <v>0</v>
      </c>
      <c r="AH24" s="125">
        <v>0</v>
      </c>
      <c r="AI24" s="125">
        <v>0</v>
      </c>
      <c r="AJ24" s="125">
        <v>0</v>
      </c>
      <c r="AK24" s="125">
        <v>0</v>
      </c>
      <c r="AL24" s="125">
        <v>0</v>
      </c>
      <c r="AM24" s="125">
        <v>0</v>
      </c>
      <c r="AN24" s="125">
        <v>0</v>
      </c>
      <c r="AO24" s="125">
        <v>0</v>
      </c>
      <c r="AP24" s="125">
        <v>0</v>
      </c>
      <c r="AQ24" s="125">
        <v>0</v>
      </c>
      <c r="AR24" s="125">
        <v>0</v>
      </c>
      <c r="AS24" s="125">
        <v>0</v>
      </c>
      <c r="AT24" s="125">
        <v>0</v>
      </c>
      <c r="AU24" s="125">
        <v>0</v>
      </c>
      <c r="AV24" s="125">
        <v>0</v>
      </c>
      <c r="AW24" s="125">
        <v>0</v>
      </c>
      <c r="AX24" s="125">
        <v>0</v>
      </c>
      <c r="AY24" s="125">
        <v>0</v>
      </c>
    </row>
    <row r="25" spans="1:54">
      <c r="A25" s="126" t="s">
        <v>133</v>
      </c>
      <c r="B25" s="123">
        <v>1</v>
      </c>
      <c r="C25" s="109" t="s">
        <v>293</v>
      </c>
      <c r="D25" s="110"/>
      <c r="E25" s="110"/>
      <c r="F25" s="110"/>
      <c r="G25" s="110"/>
      <c r="H25" s="110"/>
      <c r="I25" s="110"/>
      <c r="J25" s="110"/>
      <c r="K25" s="110"/>
      <c r="L25" s="110"/>
      <c r="M25" s="110"/>
      <c r="N25" s="110"/>
      <c r="O25" s="110"/>
      <c r="P25" s="110"/>
      <c r="Q25" s="110"/>
      <c r="R25" s="110"/>
      <c r="S25" s="110"/>
      <c r="T25" s="110"/>
      <c r="U25" s="110"/>
      <c r="V25" s="110"/>
      <c r="W25" s="110"/>
      <c r="X25" s="110"/>
      <c r="Y25" s="110"/>
      <c r="Z25" s="110"/>
      <c r="AA25" s="110"/>
      <c r="AB25" s="110"/>
      <c r="AC25" s="110"/>
      <c r="AD25" s="110"/>
      <c r="AE25" s="110"/>
      <c r="AF25" s="110"/>
      <c r="AG25" s="110"/>
      <c r="AH25" s="110"/>
      <c r="AI25" s="110"/>
      <c r="AJ25" s="110"/>
      <c r="AK25" s="110"/>
      <c r="AL25" s="110"/>
      <c r="AM25" s="110"/>
      <c r="AN25" s="110"/>
      <c r="AO25" s="110"/>
      <c r="AP25" s="110"/>
      <c r="AQ25" s="110"/>
      <c r="AR25" s="110"/>
      <c r="AS25" s="110"/>
      <c r="AT25" s="110"/>
      <c r="AU25" s="110"/>
      <c r="AV25" s="110"/>
      <c r="AW25" s="110"/>
      <c r="AX25" s="110"/>
      <c r="AY25" s="110"/>
    </row>
    <row r="26" spans="1:54">
      <c r="A26" s="109"/>
      <c r="B26" s="119">
        <v>2</v>
      </c>
      <c r="C26" s="109" t="s">
        <v>293</v>
      </c>
      <c r="D26" s="110"/>
      <c r="E26" s="110"/>
      <c r="F26" s="110"/>
      <c r="G26" s="110"/>
      <c r="H26" s="110"/>
      <c r="I26" s="110"/>
      <c r="J26" s="110"/>
      <c r="K26" s="110"/>
      <c r="L26" s="110"/>
      <c r="M26" s="110"/>
      <c r="N26" s="110"/>
      <c r="O26" s="110"/>
      <c r="P26" s="110"/>
      <c r="Q26" s="110"/>
      <c r="R26" s="110"/>
      <c r="S26" s="110"/>
      <c r="T26" s="110"/>
      <c r="U26" s="110"/>
      <c r="V26" s="110"/>
      <c r="W26" s="110"/>
      <c r="X26" s="110"/>
      <c r="Y26" s="110"/>
      <c r="Z26" s="110"/>
      <c r="AA26" s="110"/>
      <c r="AB26" s="110"/>
      <c r="AC26" s="110"/>
      <c r="AD26" s="110"/>
      <c r="AE26" s="110"/>
      <c r="AF26" s="110"/>
      <c r="AG26" s="110"/>
      <c r="AH26" s="110"/>
      <c r="AI26" s="110"/>
      <c r="AJ26" s="110"/>
      <c r="AK26" s="110"/>
      <c r="AL26" s="110"/>
      <c r="AM26" s="110"/>
      <c r="AN26" s="110"/>
      <c r="AO26" s="110"/>
      <c r="AP26" s="110"/>
      <c r="AQ26" s="110"/>
      <c r="AR26" s="110"/>
      <c r="AS26" s="110"/>
      <c r="AT26" s="110"/>
      <c r="AU26" s="110"/>
      <c r="AV26" s="110"/>
      <c r="AW26" s="110"/>
      <c r="AX26" s="110"/>
      <c r="AY26" s="110"/>
    </row>
    <row r="27" spans="1:54">
      <c r="A27" s="109"/>
      <c r="B27" s="120">
        <v>3</v>
      </c>
      <c r="C27" s="109" t="s">
        <v>293</v>
      </c>
      <c r="D27" s="110"/>
      <c r="E27" s="110"/>
      <c r="F27" s="110"/>
      <c r="G27" s="110"/>
      <c r="H27" s="110"/>
      <c r="I27" s="110"/>
      <c r="J27" s="110"/>
      <c r="K27" s="110"/>
      <c r="L27" s="110"/>
      <c r="M27" s="110"/>
      <c r="N27" s="110"/>
      <c r="O27" s="110"/>
      <c r="P27" s="110"/>
      <c r="Q27" s="110"/>
      <c r="R27" s="110"/>
      <c r="S27" s="110"/>
      <c r="T27" s="110"/>
      <c r="U27" s="110"/>
      <c r="V27" s="110"/>
      <c r="W27" s="110"/>
      <c r="X27" s="110"/>
      <c r="Y27" s="110"/>
      <c r="Z27" s="110"/>
      <c r="AA27" s="110"/>
      <c r="AB27" s="110"/>
      <c r="AC27" s="110"/>
      <c r="AD27" s="110"/>
      <c r="AE27" s="110"/>
      <c r="AF27" s="110"/>
      <c r="AG27" s="110"/>
      <c r="AH27" s="110"/>
      <c r="AI27" s="110"/>
      <c r="AJ27" s="110"/>
      <c r="AK27" s="110"/>
      <c r="AL27" s="110"/>
      <c r="AM27" s="110"/>
      <c r="AN27" s="110"/>
      <c r="AO27" s="110"/>
      <c r="AP27" s="110"/>
      <c r="AQ27" s="110"/>
      <c r="AR27" s="110"/>
      <c r="AS27" s="110"/>
      <c r="AT27" s="110"/>
      <c r="AU27" s="110"/>
      <c r="AV27" s="110"/>
      <c r="AW27" s="110"/>
      <c r="AX27" s="110"/>
      <c r="AY27" s="110"/>
    </row>
    <row r="28" spans="1:54">
      <c r="A28" s="109"/>
      <c r="B28" s="120">
        <v>4</v>
      </c>
      <c r="C28" s="109" t="s">
        <v>293</v>
      </c>
      <c r="D28" s="110"/>
      <c r="E28" s="110"/>
      <c r="F28" s="110"/>
      <c r="G28" s="110"/>
      <c r="H28" s="110"/>
      <c r="I28" s="110"/>
      <c r="J28" s="110"/>
      <c r="K28" s="110"/>
      <c r="L28" s="110"/>
      <c r="M28" s="110"/>
      <c r="N28" s="110"/>
      <c r="O28" s="110"/>
      <c r="P28" s="110"/>
      <c r="Q28" s="110"/>
      <c r="R28" s="110"/>
      <c r="S28" s="110"/>
      <c r="T28" s="110"/>
      <c r="U28" s="110"/>
      <c r="V28" s="110"/>
      <c r="W28" s="110"/>
      <c r="X28" s="110"/>
      <c r="Y28" s="110"/>
      <c r="Z28" s="110"/>
      <c r="AA28" s="110"/>
      <c r="AB28" s="110"/>
      <c r="AC28" s="110"/>
      <c r="AD28" s="110"/>
      <c r="AE28" s="110"/>
      <c r="AF28" s="110"/>
      <c r="AG28" s="110"/>
      <c r="AH28" s="110"/>
      <c r="AI28" s="110"/>
      <c r="AJ28" s="110"/>
      <c r="AK28" s="110"/>
      <c r="AL28" s="110"/>
      <c r="AM28" s="110"/>
      <c r="AN28" s="110"/>
      <c r="AO28" s="110"/>
      <c r="AP28" s="110"/>
      <c r="AQ28" s="110"/>
      <c r="AR28" s="110"/>
      <c r="AS28" s="110"/>
      <c r="AT28" s="110"/>
      <c r="AU28" s="110"/>
      <c r="AV28" s="110"/>
      <c r="AW28" s="110"/>
      <c r="AX28" s="110"/>
      <c r="AY28" s="110"/>
    </row>
    <row r="29" spans="1:54">
      <c r="A29" s="109"/>
      <c r="B29" s="127">
        <v>5</v>
      </c>
      <c r="C29" s="109" t="s">
        <v>293</v>
      </c>
      <c r="D29" s="110"/>
      <c r="E29" s="110"/>
      <c r="F29" s="110">
        <v>0</v>
      </c>
      <c r="G29" s="110"/>
      <c r="H29" s="110"/>
      <c r="I29" s="110"/>
      <c r="J29" s="110"/>
      <c r="K29" s="110"/>
      <c r="L29" s="110"/>
      <c r="M29" s="110"/>
      <c r="N29" s="110"/>
      <c r="O29" s="110"/>
      <c r="P29" s="110"/>
      <c r="Q29" s="110"/>
      <c r="R29" s="110"/>
      <c r="S29" s="110">
        <v>0</v>
      </c>
      <c r="T29" s="110"/>
      <c r="U29" s="110"/>
      <c r="V29" s="110"/>
      <c r="W29" s="110"/>
      <c r="X29" s="110"/>
      <c r="Y29" s="110"/>
      <c r="Z29" s="110"/>
      <c r="AA29" s="110"/>
      <c r="AB29" s="110"/>
      <c r="AC29" s="110"/>
      <c r="AD29" s="110"/>
      <c r="AE29" s="110"/>
      <c r="AF29" s="110"/>
      <c r="AG29" s="110"/>
      <c r="AH29" s="110"/>
      <c r="AI29" s="110"/>
      <c r="AJ29" s="110"/>
      <c r="AK29" s="110"/>
      <c r="AL29" s="110"/>
      <c r="AM29" s="110"/>
      <c r="AN29" s="110"/>
      <c r="AO29" s="110"/>
      <c r="AP29" s="110"/>
      <c r="AQ29" s="110"/>
      <c r="AR29" s="110"/>
      <c r="AS29" s="110"/>
      <c r="AT29" s="110"/>
      <c r="AU29" s="110"/>
      <c r="AV29" s="110">
        <v>0</v>
      </c>
      <c r="AW29" s="110"/>
      <c r="AX29" s="110"/>
      <c r="AY29" s="110"/>
    </row>
    <row r="30" spans="1:54">
      <c r="A30" s="109"/>
      <c r="B30" s="127">
        <v>6</v>
      </c>
      <c r="C30" s="109" t="s">
        <v>293</v>
      </c>
      <c r="D30" s="110"/>
      <c r="E30" s="110"/>
      <c r="F30" s="110">
        <v>0</v>
      </c>
      <c r="G30" s="110"/>
      <c r="H30" s="110"/>
      <c r="I30" s="110"/>
      <c r="J30" s="110"/>
      <c r="K30" s="110"/>
      <c r="L30" s="110"/>
      <c r="M30" s="110"/>
      <c r="N30" s="110"/>
      <c r="O30" s="110"/>
      <c r="P30" s="110"/>
      <c r="Q30" s="110"/>
      <c r="R30" s="110"/>
      <c r="S30" s="110">
        <v>0</v>
      </c>
      <c r="T30" s="110"/>
      <c r="U30" s="110"/>
      <c r="V30" s="110"/>
      <c r="W30" s="110"/>
      <c r="X30" s="110"/>
      <c r="Y30" s="110"/>
      <c r="Z30" s="110"/>
      <c r="AA30" s="110"/>
      <c r="AB30" s="110"/>
      <c r="AC30" s="110"/>
      <c r="AD30" s="110"/>
      <c r="AE30" s="110"/>
      <c r="AF30" s="110"/>
      <c r="AG30" s="110"/>
      <c r="AH30" s="110"/>
      <c r="AI30" s="110"/>
      <c r="AJ30" s="110">
        <v>0</v>
      </c>
      <c r="AK30" s="110"/>
      <c r="AL30" s="110"/>
      <c r="AM30" s="110"/>
      <c r="AN30" s="110"/>
      <c r="AO30" s="110"/>
      <c r="AP30" s="110"/>
      <c r="AQ30" s="110"/>
      <c r="AR30" s="110"/>
      <c r="AS30" s="110"/>
      <c r="AT30" s="110"/>
      <c r="AU30" s="110"/>
      <c r="AV30" s="110">
        <v>0</v>
      </c>
      <c r="AW30" s="110"/>
      <c r="AX30" s="110"/>
      <c r="AY30" s="110"/>
    </row>
    <row r="31" spans="1:54">
      <c r="A31" s="109"/>
      <c r="B31" s="130">
        <v>7</v>
      </c>
      <c r="C31" s="109" t="s">
        <v>293</v>
      </c>
      <c r="D31" s="110"/>
      <c r="E31" s="110"/>
      <c r="F31" s="110">
        <v>0</v>
      </c>
      <c r="G31" s="110"/>
      <c r="H31" s="110"/>
      <c r="I31" s="110"/>
      <c r="J31" s="110"/>
      <c r="K31" s="110"/>
      <c r="L31" s="110"/>
      <c r="M31" s="110"/>
      <c r="N31" s="110"/>
      <c r="O31" s="110"/>
      <c r="P31" s="110"/>
      <c r="Q31" s="110"/>
      <c r="R31" s="110"/>
      <c r="S31" s="110">
        <v>0</v>
      </c>
      <c r="T31" s="110"/>
      <c r="U31" s="110"/>
      <c r="V31" s="110"/>
      <c r="W31" s="110"/>
      <c r="X31" s="110"/>
      <c r="Y31" s="110"/>
      <c r="Z31" s="110"/>
      <c r="AA31" s="110"/>
      <c r="AB31" s="110"/>
      <c r="AC31" s="110"/>
      <c r="AD31" s="110"/>
      <c r="AE31" s="110"/>
      <c r="AF31" s="110"/>
      <c r="AG31" s="110"/>
      <c r="AH31" s="110"/>
      <c r="AI31" s="110"/>
      <c r="AJ31" s="110">
        <v>0</v>
      </c>
      <c r="AK31" s="110"/>
      <c r="AL31" s="110"/>
      <c r="AM31" s="110"/>
      <c r="AN31" s="110"/>
      <c r="AO31" s="110"/>
      <c r="AP31" s="110"/>
      <c r="AQ31" s="110"/>
      <c r="AR31" s="110"/>
      <c r="AS31" s="110"/>
      <c r="AT31" s="110"/>
      <c r="AU31" s="110"/>
      <c r="AV31" s="110">
        <v>0</v>
      </c>
      <c r="AW31" s="110"/>
      <c r="AX31" s="110"/>
      <c r="AY31" s="110"/>
    </row>
    <row r="32" spans="1:54">
      <c r="A32" s="128"/>
      <c r="B32" s="129">
        <v>8</v>
      </c>
      <c r="C32" s="128" t="s">
        <v>293</v>
      </c>
      <c r="D32" s="125">
        <v>0</v>
      </c>
      <c r="E32" s="125">
        <v>0</v>
      </c>
      <c r="F32" s="125">
        <v>0</v>
      </c>
      <c r="G32" s="125">
        <v>0</v>
      </c>
      <c r="H32" s="125">
        <v>0</v>
      </c>
      <c r="I32" s="125">
        <v>0</v>
      </c>
      <c r="J32" s="125">
        <v>0</v>
      </c>
      <c r="K32" s="125">
        <v>0</v>
      </c>
      <c r="L32" s="125">
        <v>0</v>
      </c>
      <c r="M32" s="125">
        <v>0</v>
      </c>
      <c r="N32" s="125">
        <v>0</v>
      </c>
      <c r="O32" s="125">
        <v>0</v>
      </c>
      <c r="P32" s="125">
        <v>0</v>
      </c>
      <c r="Q32" s="125">
        <v>0</v>
      </c>
      <c r="R32" s="125">
        <v>0</v>
      </c>
      <c r="S32" s="125">
        <v>0</v>
      </c>
      <c r="T32" s="125">
        <v>0</v>
      </c>
      <c r="U32" s="125">
        <v>0</v>
      </c>
      <c r="V32" s="125">
        <v>0</v>
      </c>
      <c r="W32" s="125">
        <v>0</v>
      </c>
      <c r="X32" s="125">
        <v>0</v>
      </c>
      <c r="Y32" s="125">
        <v>0</v>
      </c>
      <c r="Z32" s="125">
        <v>0</v>
      </c>
      <c r="AA32" s="125">
        <v>0</v>
      </c>
      <c r="AB32" s="125">
        <v>0</v>
      </c>
      <c r="AC32" s="125">
        <v>0</v>
      </c>
      <c r="AD32" s="125">
        <v>0</v>
      </c>
      <c r="AE32" s="125">
        <v>0</v>
      </c>
      <c r="AF32" s="125">
        <v>0</v>
      </c>
      <c r="AG32" s="125">
        <v>0</v>
      </c>
      <c r="AH32" s="125">
        <v>0</v>
      </c>
      <c r="AI32" s="125">
        <v>0</v>
      </c>
      <c r="AJ32" s="125">
        <v>0</v>
      </c>
      <c r="AK32" s="125">
        <v>0</v>
      </c>
      <c r="AL32" s="125">
        <v>0</v>
      </c>
      <c r="AM32" s="125">
        <v>0</v>
      </c>
      <c r="AN32" s="125">
        <v>0</v>
      </c>
      <c r="AO32" s="125">
        <v>0</v>
      </c>
      <c r="AP32" s="125">
        <v>0</v>
      </c>
      <c r="AQ32" s="125">
        <v>0</v>
      </c>
      <c r="AR32" s="125">
        <v>0</v>
      </c>
      <c r="AS32" s="125">
        <v>0</v>
      </c>
      <c r="AT32" s="125">
        <v>0</v>
      </c>
      <c r="AU32" s="125">
        <v>0</v>
      </c>
      <c r="AV32" s="125">
        <v>0</v>
      </c>
      <c r="AW32" s="125">
        <v>0</v>
      </c>
      <c r="AX32" s="125">
        <v>0</v>
      </c>
      <c r="AY32" s="125">
        <v>0</v>
      </c>
    </row>
    <row r="33" spans="1:51">
      <c r="A33" s="131" t="s">
        <v>134</v>
      </c>
      <c r="B33" s="119">
        <v>1</v>
      </c>
      <c r="C33" s="109" t="s">
        <v>293</v>
      </c>
      <c r="D33" s="106"/>
      <c r="E33" s="106"/>
      <c r="F33" s="106"/>
      <c r="G33" s="106"/>
      <c r="H33" s="106"/>
      <c r="I33" s="106"/>
      <c r="J33" s="106"/>
      <c r="K33" s="106"/>
      <c r="L33" s="106"/>
      <c r="M33" s="106"/>
      <c r="N33" s="106"/>
      <c r="O33" s="106"/>
      <c r="P33" s="106"/>
      <c r="Q33" s="106"/>
      <c r="R33" s="106"/>
      <c r="S33" s="106"/>
      <c r="T33" s="106"/>
      <c r="U33" s="106"/>
      <c r="V33" s="106"/>
      <c r="W33" s="106"/>
      <c r="X33" s="106"/>
      <c r="Y33" s="106"/>
      <c r="Z33" s="106"/>
      <c r="AA33" s="106"/>
      <c r="AB33" s="106"/>
      <c r="AC33" s="106"/>
      <c r="AD33" s="106"/>
      <c r="AE33" s="106"/>
      <c r="AF33" s="106"/>
      <c r="AG33" s="106"/>
      <c r="AH33" s="106"/>
      <c r="AI33" s="106"/>
      <c r="AJ33" s="106"/>
      <c r="AK33" s="106"/>
      <c r="AL33" s="106"/>
      <c r="AM33" s="106"/>
      <c r="AN33" s="106"/>
      <c r="AO33" s="106"/>
      <c r="AP33" s="106"/>
      <c r="AQ33" s="106"/>
      <c r="AR33" s="106"/>
      <c r="AS33" s="106"/>
      <c r="AT33" s="106"/>
      <c r="AU33" s="106"/>
      <c r="AV33" s="106"/>
      <c r="AW33" s="106"/>
      <c r="AX33" s="106"/>
      <c r="AY33" s="106"/>
    </row>
    <row r="34" spans="1:51">
      <c r="A34" s="109"/>
      <c r="B34" s="119">
        <v>2</v>
      </c>
      <c r="C34" s="109" t="s">
        <v>293</v>
      </c>
      <c r="D34" s="106"/>
      <c r="E34" s="106"/>
      <c r="F34" s="106"/>
      <c r="G34" s="106"/>
      <c r="H34" s="106"/>
      <c r="I34" s="106"/>
      <c r="J34" s="106"/>
      <c r="K34" s="106"/>
      <c r="L34" s="106"/>
      <c r="M34" s="106"/>
      <c r="N34" s="106"/>
      <c r="O34" s="106"/>
      <c r="P34" s="106"/>
      <c r="Q34" s="106"/>
      <c r="R34" s="106"/>
      <c r="S34" s="106"/>
      <c r="T34" s="106"/>
      <c r="U34" s="106"/>
      <c r="V34" s="106"/>
      <c r="W34" s="106"/>
      <c r="X34" s="106"/>
      <c r="Y34" s="106"/>
      <c r="Z34" s="106"/>
      <c r="AA34" s="106"/>
      <c r="AB34" s="106"/>
      <c r="AC34" s="106"/>
      <c r="AD34" s="106"/>
      <c r="AE34" s="106"/>
      <c r="AF34" s="106"/>
      <c r="AG34" s="106"/>
      <c r="AH34" s="106"/>
      <c r="AI34" s="106"/>
      <c r="AJ34" s="106"/>
      <c r="AK34" s="106"/>
      <c r="AL34" s="106"/>
      <c r="AM34" s="106"/>
      <c r="AN34" s="106"/>
      <c r="AO34" s="106"/>
      <c r="AP34" s="106"/>
      <c r="AQ34" s="106"/>
      <c r="AR34" s="106"/>
      <c r="AS34" s="106"/>
      <c r="AT34" s="106"/>
      <c r="AU34" s="106"/>
      <c r="AV34" s="106"/>
      <c r="AW34" s="106"/>
      <c r="AX34" s="106"/>
      <c r="AY34" s="106"/>
    </row>
    <row r="35" spans="1:51">
      <c r="A35" s="109"/>
      <c r="B35" s="119">
        <v>3</v>
      </c>
      <c r="C35" s="109" t="s">
        <v>293</v>
      </c>
      <c r="D35" s="106"/>
      <c r="E35" s="106"/>
      <c r="F35" s="106"/>
      <c r="G35" s="106"/>
      <c r="H35" s="106"/>
      <c r="I35" s="106"/>
      <c r="J35" s="106"/>
      <c r="K35" s="106"/>
      <c r="L35" s="106"/>
      <c r="M35" s="106"/>
      <c r="N35" s="106"/>
      <c r="O35" s="106"/>
      <c r="P35" s="106"/>
      <c r="Q35" s="106"/>
      <c r="R35" s="106"/>
      <c r="S35" s="106"/>
      <c r="T35" s="106"/>
      <c r="U35" s="106"/>
      <c r="V35" s="106"/>
      <c r="W35" s="106"/>
      <c r="X35" s="106"/>
      <c r="Y35" s="106"/>
      <c r="Z35" s="106"/>
      <c r="AA35" s="106"/>
      <c r="AB35" s="106"/>
      <c r="AC35" s="106"/>
      <c r="AD35" s="106"/>
      <c r="AE35" s="106"/>
      <c r="AF35" s="106"/>
      <c r="AG35" s="106"/>
      <c r="AH35" s="106"/>
      <c r="AI35" s="106"/>
      <c r="AJ35" s="106"/>
      <c r="AK35" s="106"/>
      <c r="AL35" s="106"/>
      <c r="AM35" s="106"/>
      <c r="AN35" s="106"/>
      <c r="AO35" s="106"/>
      <c r="AP35" s="106"/>
      <c r="AQ35" s="106"/>
      <c r="AR35" s="106"/>
      <c r="AS35" s="106"/>
      <c r="AT35" s="106"/>
      <c r="AU35" s="106"/>
      <c r="AV35" s="106"/>
      <c r="AW35" s="106"/>
      <c r="AX35" s="106"/>
      <c r="AY35" s="106"/>
    </row>
    <row r="36" spans="1:51">
      <c r="A36" s="109"/>
      <c r="B36" s="120">
        <v>4</v>
      </c>
      <c r="C36" s="109" t="s">
        <v>293</v>
      </c>
      <c r="D36" s="106"/>
      <c r="E36" s="106"/>
      <c r="F36" s="106"/>
      <c r="G36" s="106"/>
      <c r="H36" s="106"/>
      <c r="I36" s="106"/>
      <c r="J36" s="106"/>
      <c r="K36" s="106"/>
      <c r="L36" s="106"/>
      <c r="M36" s="106"/>
      <c r="N36" s="106"/>
      <c r="O36" s="106"/>
      <c r="P36" s="106"/>
      <c r="Q36" s="106"/>
      <c r="R36" s="106"/>
      <c r="S36" s="106"/>
      <c r="T36" s="106"/>
      <c r="U36" s="106"/>
      <c r="V36" s="106"/>
      <c r="W36" s="106"/>
      <c r="X36" s="106"/>
      <c r="Y36" s="106"/>
      <c r="Z36" s="106"/>
      <c r="AA36" s="106"/>
      <c r="AB36" s="106"/>
      <c r="AC36" s="106"/>
      <c r="AD36" s="106"/>
      <c r="AE36" s="106"/>
      <c r="AF36" s="106"/>
      <c r="AG36" s="106"/>
      <c r="AH36" s="106"/>
      <c r="AI36" s="106"/>
      <c r="AJ36" s="106"/>
      <c r="AK36" s="106"/>
      <c r="AL36" s="106"/>
      <c r="AM36" s="106"/>
      <c r="AN36" s="106"/>
      <c r="AO36" s="106"/>
      <c r="AP36" s="106"/>
      <c r="AQ36" s="106"/>
      <c r="AR36" s="106"/>
      <c r="AS36" s="106"/>
      <c r="AT36" s="106"/>
      <c r="AU36" s="106"/>
      <c r="AV36" s="106"/>
      <c r="AW36" s="106"/>
      <c r="AX36" s="106"/>
      <c r="AY36" s="106"/>
    </row>
    <row r="37" spans="1:51">
      <c r="A37" s="109"/>
      <c r="B37" s="120">
        <v>5</v>
      </c>
      <c r="C37" s="109" t="s">
        <v>293</v>
      </c>
      <c r="D37" s="106"/>
      <c r="E37" s="106"/>
      <c r="F37" s="106"/>
      <c r="G37" s="106"/>
      <c r="H37" s="106"/>
      <c r="I37" s="106"/>
      <c r="J37" s="106"/>
      <c r="K37" s="106"/>
      <c r="L37" s="106"/>
      <c r="M37" s="106"/>
      <c r="N37" s="106"/>
      <c r="O37" s="106"/>
      <c r="P37" s="106"/>
      <c r="Q37" s="106"/>
      <c r="R37" s="106"/>
      <c r="S37" s="106"/>
      <c r="T37" s="106"/>
      <c r="U37" s="106"/>
      <c r="V37" s="106"/>
      <c r="W37" s="106"/>
      <c r="X37" s="106"/>
      <c r="Y37" s="106"/>
      <c r="Z37" s="106"/>
      <c r="AA37" s="106"/>
      <c r="AB37" s="106"/>
      <c r="AC37" s="106"/>
      <c r="AD37" s="106"/>
      <c r="AE37" s="106"/>
      <c r="AF37" s="106"/>
      <c r="AG37" s="106"/>
      <c r="AH37" s="106"/>
      <c r="AI37" s="106"/>
      <c r="AJ37" s="106"/>
      <c r="AK37" s="106"/>
      <c r="AL37" s="106"/>
      <c r="AM37" s="106"/>
      <c r="AN37" s="106"/>
      <c r="AO37" s="106"/>
      <c r="AP37" s="106"/>
      <c r="AQ37" s="106"/>
      <c r="AR37" s="106"/>
      <c r="AS37" s="106"/>
      <c r="AT37" s="106"/>
      <c r="AU37" s="106"/>
      <c r="AV37" s="106"/>
      <c r="AW37" s="106"/>
      <c r="AX37" s="106"/>
      <c r="AY37" s="106"/>
    </row>
    <row r="38" spans="1:51">
      <c r="A38" s="109"/>
      <c r="B38" s="120">
        <v>6</v>
      </c>
      <c r="C38" s="109" t="s">
        <v>293</v>
      </c>
      <c r="D38" s="106"/>
      <c r="E38" s="106"/>
      <c r="F38" s="106"/>
      <c r="G38" s="106"/>
      <c r="H38" s="106"/>
      <c r="I38" s="106"/>
      <c r="J38" s="106"/>
      <c r="K38" s="106"/>
      <c r="L38" s="106"/>
      <c r="M38" s="106"/>
      <c r="N38" s="106"/>
      <c r="O38" s="106"/>
      <c r="P38" s="106"/>
      <c r="Q38" s="106"/>
      <c r="R38" s="106"/>
      <c r="S38" s="106"/>
      <c r="T38" s="106"/>
      <c r="U38" s="106"/>
      <c r="V38" s="106"/>
      <c r="W38" s="106"/>
      <c r="X38" s="106"/>
      <c r="Y38" s="106"/>
      <c r="Z38" s="106"/>
      <c r="AA38" s="106"/>
      <c r="AB38" s="106"/>
      <c r="AC38" s="106"/>
      <c r="AD38" s="106"/>
      <c r="AE38" s="106"/>
      <c r="AF38" s="106"/>
      <c r="AG38" s="106"/>
      <c r="AH38" s="106"/>
      <c r="AI38" s="106"/>
      <c r="AJ38" s="106"/>
      <c r="AK38" s="106"/>
      <c r="AL38" s="106"/>
      <c r="AM38" s="106"/>
      <c r="AN38" s="106"/>
      <c r="AO38" s="106"/>
      <c r="AP38" s="106"/>
      <c r="AQ38" s="106"/>
      <c r="AR38" s="106"/>
      <c r="AS38" s="106"/>
      <c r="AT38" s="106"/>
      <c r="AU38" s="106"/>
      <c r="AV38" s="106"/>
      <c r="AW38" s="106"/>
      <c r="AX38" s="106"/>
      <c r="AY38" s="106"/>
    </row>
    <row r="39" spans="1:51">
      <c r="A39" s="109"/>
      <c r="B39" s="127">
        <v>7</v>
      </c>
      <c r="C39" s="109" t="s">
        <v>293</v>
      </c>
      <c r="D39" s="106"/>
      <c r="E39" s="106"/>
      <c r="F39" s="106"/>
      <c r="G39" s="106"/>
      <c r="H39" s="106"/>
      <c r="I39" s="106"/>
      <c r="J39" s="106"/>
      <c r="K39" s="106"/>
      <c r="L39" s="106"/>
      <c r="M39" s="106"/>
      <c r="N39" s="106"/>
      <c r="O39" s="106"/>
      <c r="P39" s="106"/>
      <c r="Q39" s="106"/>
      <c r="R39" s="106"/>
      <c r="S39" s="106"/>
      <c r="T39" s="106"/>
      <c r="U39" s="106"/>
      <c r="V39" s="106"/>
      <c r="W39" s="106"/>
      <c r="X39" s="106"/>
      <c r="Y39" s="106"/>
      <c r="Z39" s="106"/>
      <c r="AA39" s="106"/>
      <c r="AB39" s="106"/>
      <c r="AC39" s="106"/>
      <c r="AD39" s="106"/>
      <c r="AE39" s="106"/>
      <c r="AF39" s="106"/>
      <c r="AG39" s="106"/>
      <c r="AH39" s="106"/>
      <c r="AI39" s="106"/>
      <c r="AJ39" s="106"/>
      <c r="AK39" s="106"/>
      <c r="AL39" s="106"/>
      <c r="AM39" s="106"/>
      <c r="AN39" s="106"/>
      <c r="AO39" s="106"/>
      <c r="AP39" s="106"/>
      <c r="AQ39" s="106"/>
      <c r="AR39" s="106"/>
      <c r="AS39" s="106"/>
      <c r="AT39" s="106"/>
      <c r="AU39" s="106"/>
      <c r="AV39" s="106"/>
      <c r="AW39" s="106"/>
      <c r="AX39" s="106"/>
      <c r="AY39" s="106"/>
    </row>
    <row r="40" spans="1:51">
      <c r="A40" s="109"/>
      <c r="B40" s="127">
        <v>8</v>
      </c>
      <c r="C40" s="109" t="s">
        <v>293</v>
      </c>
      <c r="D40" s="106"/>
      <c r="E40" s="106"/>
      <c r="F40" s="106"/>
      <c r="G40" s="106"/>
      <c r="H40" s="106"/>
      <c r="I40" s="106"/>
      <c r="J40" s="106"/>
      <c r="K40" s="106"/>
      <c r="L40" s="106"/>
      <c r="M40" s="106"/>
      <c r="N40" s="106"/>
      <c r="O40" s="106"/>
      <c r="P40" s="106"/>
      <c r="Q40" s="106"/>
      <c r="R40" s="106"/>
      <c r="S40" s="106"/>
      <c r="T40" s="106"/>
      <c r="U40" s="106"/>
      <c r="V40" s="106"/>
      <c r="W40" s="106"/>
      <c r="X40" s="106"/>
      <c r="Y40" s="106"/>
      <c r="Z40" s="106"/>
      <c r="AA40" s="106"/>
      <c r="AB40" s="106"/>
      <c r="AC40" s="106"/>
      <c r="AD40" s="106"/>
      <c r="AE40" s="106"/>
      <c r="AF40" s="106"/>
      <c r="AG40" s="106"/>
      <c r="AH40" s="106"/>
      <c r="AI40" s="106"/>
      <c r="AJ40" s="106"/>
      <c r="AK40" s="106"/>
      <c r="AL40" s="106"/>
      <c r="AM40" s="106"/>
      <c r="AN40" s="106"/>
      <c r="AO40" s="106"/>
      <c r="AP40" s="106"/>
      <c r="AQ40" s="106"/>
      <c r="AR40" s="106"/>
      <c r="AS40" s="106"/>
      <c r="AT40" s="106"/>
      <c r="AU40" s="106"/>
      <c r="AV40" s="106"/>
      <c r="AW40" s="106"/>
      <c r="AX40" s="106"/>
      <c r="AY40" s="106"/>
    </row>
    <row r="41" spans="1:51">
      <c r="A41" s="109"/>
      <c r="B41" s="127">
        <v>9</v>
      </c>
      <c r="C41" s="109" t="s">
        <v>293</v>
      </c>
      <c r="D41" s="106"/>
      <c r="E41" s="106"/>
      <c r="F41" s="106">
        <v>0</v>
      </c>
      <c r="G41" s="106"/>
      <c r="H41" s="106"/>
      <c r="I41" s="106"/>
      <c r="J41" s="106"/>
      <c r="K41" s="106"/>
      <c r="L41" s="106"/>
      <c r="M41" s="106"/>
      <c r="N41" s="106"/>
      <c r="O41" s="106"/>
      <c r="P41" s="106"/>
      <c r="Q41" s="106"/>
      <c r="R41" s="106"/>
      <c r="S41" s="106">
        <v>0</v>
      </c>
      <c r="T41" s="106"/>
      <c r="U41" s="106"/>
      <c r="V41" s="106"/>
      <c r="W41" s="106"/>
      <c r="X41" s="106"/>
      <c r="Y41" s="106"/>
      <c r="Z41" s="106"/>
      <c r="AA41" s="106"/>
      <c r="AB41" s="106"/>
      <c r="AC41" s="106"/>
      <c r="AD41" s="106"/>
      <c r="AE41" s="106"/>
      <c r="AF41" s="106"/>
      <c r="AG41" s="106"/>
      <c r="AH41" s="106"/>
      <c r="AI41" s="106"/>
      <c r="AJ41" s="106"/>
      <c r="AK41" s="106"/>
      <c r="AL41" s="106"/>
      <c r="AM41" s="106"/>
      <c r="AN41" s="106"/>
      <c r="AO41" s="106"/>
      <c r="AP41" s="106"/>
      <c r="AQ41" s="106"/>
      <c r="AR41" s="106"/>
      <c r="AS41" s="106"/>
      <c r="AT41" s="106"/>
      <c r="AU41" s="106"/>
      <c r="AV41" s="106">
        <v>0</v>
      </c>
      <c r="AW41" s="106"/>
      <c r="AX41" s="106"/>
      <c r="AY41" s="106"/>
    </row>
    <row r="42" spans="1:51">
      <c r="A42" s="109"/>
      <c r="B42" s="130">
        <v>10</v>
      </c>
      <c r="C42" s="109" t="s">
        <v>293</v>
      </c>
      <c r="D42" s="106"/>
      <c r="E42" s="106"/>
      <c r="F42" s="106">
        <v>0</v>
      </c>
      <c r="G42" s="106"/>
      <c r="H42" s="106"/>
      <c r="I42" s="106"/>
      <c r="J42" s="106"/>
      <c r="K42" s="106"/>
      <c r="L42" s="106"/>
      <c r="M42" s="106"/>
      <c r="N42" s="106"/>
      <c r="O42" s="106"/>
      <c r="P42" s="106"/>
      <c r="Q42" s="106"/>
      <c r="R42" s="106"/>
      <c r="S42" s="106">
        <v>0</v>
      </c>
      <c r="T42" s="106"/>
      <c r="U42" s="106"/>
      <c r="V42" s="106"/>
      <c r="W42" s="106"/>
      <c r="X42" s="106"/>
      <c r="Y42" s="106"/>
      <c r="Z42" s="106"/>
      <c r="AA42" s="106"/>
      <c r="AB42" s="106"/>
      <c r="AC42" s="106"/>
      <c r="AD42" s="106"/>
      <c r="AE42" s="106"/>
      <c r="AF42" s="106"/>
      <c r="AG42" s="106"/>
      <c r="AH42" s="106"/>
      <c r="AI42" s="106"/>
      <c r="AJ42" s="106">
        <v>0</v>
      </c>
      <c r="AK42" s="106"/>
      <c r="AL42" s="106"/>
      <c r="AM42" s="106"/>
      <c r="AN42" s="106"/>
      <c r="AO42" s="106"/>
      <c r="AP42" s="106"/>
      <c r="AQ42" s="106"/>
      <c r="AR42" s="106"/>
      <c r="AS42" s="106"/>
      <c r="AT42" s="106"/>
      <c r="AU42" s="106"/>
      <c r="AV42" s="106">
        <v>0</v>
      </c>
      <c r="AW42" s="106"/>
      <c r="AX42" s="106"/>
      <c r="AY42" s="106"/>
    </row>
    <row r="43" spans="1:51">
      <c r="A43" s="109"/>
      <c r="B43" s="130">
        <v>11</v>
      </c>
      <c r="C43" s="109" t="s">
        <v>293</v>
      </c>
      <c r="D43" s="106"/>
      <c r="E43" s="106"/>
      <c r="F43" s="106">
        <v>0</v>
      </c>
      <c r="G43" s="106"/>
      <c r="H43" s="106"/>
      <c r="I43" s="106"/>
      <c r="J43" s="106"/>
      <c r="K43" s="106"/>
      <c r="L43" s="106"/>
      <c r="M43" s="106"/>
      <c r="N43" s="106"/>
      <c r="O43" s="106"/>
      <c r="P43" s="106"/>
      <c r="Q43" s="106"/>
      <c r="R43" s="106"/>
      <c r="S43" s="106">
        <v>0</v>
      </c>
      <c r="T43" s="106"/>
      <c r="U43" s="106"/>
      <c r="V43" s="106"/>
      <c r="W43" s="106"/>
      <c r="X43" s="106"/>
      <c r="Y43" s="106"/>
      <c r="Z43" s="106"/>
      <c r="AA43" s="106"/>
      <c r="AB43" s="106"/>
      <c r="AC43" s="106"/>
      <c r="AD43" s="106"/>
      <c r="AE43" s="106"/>
      <c r="AF43" s="106"/>
      <c r="AG43" s="106"/>
      <c r="AH43" s="106"/>
      <c r="AI43" s="106"/>
      <c r="AJ43" s="106">
        <v>0</v>
      </c>
      <c r="AK43" s="106"/>
      <c r="AL43" s="106"/>
      <c r="AM43" s="106"/>
      <c r="AN43" s="106"/>
      <c r="AO43" s="106"/>
      <c r="AP43" s="106"/>
      <c r="AQ43" s="106"/>
      <c r="AR43" s="106"/>
      <c r="AS43" s="106"/>
      <c r="AT43" s="106"/>
      <c r="AU43" s="106"/>
      <c r="AV43" s="106">
        <v>0</v>
      </c>
      <c r="AW43" s="106"/>
      <c r="AX43" s="106"/>
      <c r="AY43" s="106"/>
    </row>
    <row r="44" spans="1:51">
      <c r="A44" s="109"/>
      <c r="B44" s="130">
        <v>12</v>
      </c>
      <c r="C44" s="128" t="s">
        <v>293</v>
      </c>
      <c r="D44" s="106">
        <v>0</v>
      </c>
      <c r="E44" s="106">
        <v>0</v>
      </c>
      <c r="F44" s="106">
        <v>0</v>
      </c>
      <c r="G44" s="106">
        <v>0</v>
      </c>
      <c r="H44" s="106">
        <v>0</v>
      </c>
      <c r="I44" s="106">
        <v>0</v>
      </c>
      <c r="J44" s="106">
        <v>0</v>
      </c>
      <c r="K44" s="106">
        <v>0</v>
      </c>
      <c r="L44" s="106">
        <v>0</v>
      </c>
      <c r="M44" s="106">
        <v>0</v>
      </c>
      <c r="N44" s="106">
        <v>0</v>
      </c>
      <c r="O44" s="106">
        <v>0</v>
      </c>
      <c r="P44" s="106">
        <v>0</v>
      </c>
      <c r="Q44" s="106">
        <v>0</v>
      </c>
      <c r="R44" s="106">
        <v>0</v>
      </c>
      <c r="S44" s="106">
        <v>0</v>
      </c>
      <c r="T44" s="106">
        <v>0</v>
      </c>
      <c r="U44" s="106">
        <v>0</v>
      </c>
      <c r="V44" s="106">
        <v>0</v>
      </c>
      <c r="W44" s="106">
        <v>0</v>
      </c>
      <c r="X44" s="106">
        <v>0</v>
      </c>
      <c r="Y44" s="106">
        <v>0</v>
      </c>
      <c r="Z44" s="106">
        <v>0</v>
      </c>
      <c r="AA44" s="106">
        <v>0</v>
      </c>
      <c r="AB44" s="106">
        <v>0</v>
      </c>
      <c r="AC44" s="106">
        <v>0</v>
      </c>
      <c r="AD44" s="106">
        <v>0</v>
      </c>
      <c r="AE44" s="106">
        <v>0</v>
      </c>
      <c r="AF44" s="106">
        <v>0</v>
      </c>
      <c r="AG44" s="106">
        <v>0</v>
      </c>
      <c r="AH44" s="106">
        <v>0</v>
      </c>
      <c r="AI44" s="106">
        <v>0</v>
      </c>
      <c r="AJ44" s="106">
        <v>0</v>
      </c>
      <c r="AK44" s="106">
        <v>0</v>
      </c>
      <c r="AL44" s="106">
        <v>0</v>
      </c>
      <c r="AM44" s="106">
        <v>0</v>
      </c>
      <c r="AN44" s="106">
        <v>0</v>
      </c>
      <c r="AO44" s="106">
        <v>0</v>
      </c>
      <c r="AP44" s="106">
        <v>0</v>
      </c>
      <c r="AQ44" s="106">
        <v>0</v>
      </c>
      <c r="AR44" s="106">
        <v>0</v>
      </c>
      <c r="AS44" s="106">
        <v>0</v>
      </c>
      <c r="AT44" s="106">
        <v>0</v>
      </c>
      <c r="AU44" s="106">
        <v>0</v>
      </c>
      <c r="AV44" s="106">
        <v>0</v>
      </c>
      <c r="AW44" s="106">
        <v>0</v>
      </c>
      <c r="AX44" s="106">
        <v>0</v>
      </c>
      <c r="AY44" s="106">
        <v>0</v>
      </c>
    </row>
    <row r="45" spans="1:51">
      <c r="A45" s="126" t="s">
        <v>123</v>
      </c>
      <c r="B45" s="123">
        <v>1</v>
      </c>
      <c r="C45" s="109" t="s">
        <v>293</v>
      </c>
      <c r="D45" s="124"/>
      <c r="E45" s="124"/>
      <c r="F45" s="124"/>
      <c r="G45" s="124"/>
      <c r="H45" s="124"/>
      <c r="I45" s="124"/>
      <c r="J45" s="124"/>
      <c r="K45" s="124"/>
      <c r="L45" s="124"/>
      <c r="M45" s="124"/>
      <c r="N45" s="124"/>
      <c r="O45" s="124"/>
      <c r="P45" s="124"/>
      <c r="Q45" s="124"/>
      <c r="R45" s="124"/>
      <c r="S45" s="124"/>
      <c r="T45" s="124"/>
      <c r="U45" s="124"/>
      <c r="V45" s="124"/>
      <c r="W45" s="124"/>
      <c r="X45" s="124"/>
      <c r="Y45" s="124"/>
      <c r="Z45" s="124"/>
      <c r="AA45" s="124"/>
      <c r="AB45" s="124"/>
      <c r="AC45" s="124"/>
      <c r="AD45" s="124"/>
      <c r="AE45" s="124"/>
      <c r="AF45" s="124"/>
      <c r="AG45" s="124"/>
      <c r="AH45" s="124"/>
      <c r="AI45" s="124"/>
      <c r="AJ45" s="124"/>
      <c r="AK45" s="124"/>
      <c r="AL45" s="124"/>
      <c r="AM45" s="124"/>
      <c r="AN45" s="124"/>
      <c r="AO45" s="124"/>
      <c r="AP45" s="124"/>
      <c r="AQ45" s="124"/>
      <c r="AR45" s="124"/>
      <c r="AS45" s="124"/>
      <c r="AT45" s="124"/>
      <c r="AU45" s="124"/>
      <c r="AV45" s="124"/>
      <c r="AW45" s="124"/>
      <c r="AX45" s="124"/>
      <c r="AY45" s="124"/>
    </row>
    <row r="46" spans="1:51">
      <c r="A46" s="109"/>
      <c r="B46" s="119">
        <v>2</v>
      </c>
      <c r="C46" s="109" t="s">
        <v>293</v>
      </c>
      <c r="D46" s="110"/>
      <c r="E46" s="110"/>
      <c r="F46" s="110"/>
      <c r="G46" s="110"/>
      <c r="H46" s="110"/>
      <c r="I46" s="110"/>
      <c r="J46" s="110"/>
      <c r="K46" s="110"/>
      <c r="L46" s="110"/>
      <c r="M46" s="110"/>
      <c r="N46" s="110"/>
      <c r="O46" s="110"/>
      <c r="P46" s="110"/>
      <c r="Q46" s="110"/>
      <c r="R46" s="110"/>
      <c r="S46" s="110"/>
      <c r="T46" s="110"/>
      <c r="U46" s="110"/>
      <c r="V46" s="110"/>
      <c r="W46" s="110"/>
      <c r="X46" s="110"/>
      <c r="Y46" s="110"/>
      <c r="Z46" s="110"/>
      <c r="AA46" s="110"/>
      <c r="AB46" s="110"/>
      <c r="AC46" s="110"/>
      <c r="AD46" s="110"/>
      <c r="AE46" s="110"/>
      <c r="AF46" s="110"/>
      <c r="AG46" s="110"/>
      <c r="AH46" s="110"/>
      <c r="AI46" s="110"/>
      <c r="AJ46" s="110"/>
      <c r="AK46" s="110"/>
      <c r="AL46" s="110"/>
      <c r="AM46" s="110"/>
      <c r="AN46" s="110"/>
      <c r="AO46" s="110"/>
      <c r="AP46" s="110"/>
      <c r="AQ46" s="110"/>
      <c r="AR46" s="110"/>
      <c r="AS46" s="110"/>
      <c r="AT46" s="110"/>
      <c r="AU46" s="110"/>
      <c r="AV46" s="110"/>
      <c r="AW46" s="110"/>
      <c r="AX46" s="110"/>
      <c r="AY46" s="110"/>
    </row>
    <row r="47" spans="1:51">
      <c r="A47" s="109"/>
      <c r="B47" s="119">
        <v>3</v>
      </c>
      <c r="C47" s="109" t="s">
        <v>293</v>
      </c>
      <c r="D47" s="110"/>
      <c r="E47" s="110"/>
      <c r="F47" s="110"/>
      <c r="G47" s="110"/>
      <c r="H47" s="110"/>
      <c r="I47" s="110"/>
      <c r="J47" s="110"/>
      <c r="K47" s="110"/>
      <c r="L47" s="110"/>
      <c r="M47" s="110"/>
      <c r="N47" s="110"/>
      <c r="O47" s="110"/>
      <c r="P47" s="110"/>
      <c r="Q47" s="110"/>
      <c r="R47" s="110"/>
      <c r="S47" s="110"/>
      <c r="T47" s="110"/>
      <c r="U47" s="110"/>
      <c r="V47" s="110"/>
      <c r="W47" s="110"/>
      <c r="X47" s="110"/>
      <c r="Y47" s="110"/>
      <c r="Z47" s="110"/>
      <c r="AA47" s="110"/>
      <c r="AB47" s="110"/>
      <c r="AC47" s="110"/>
      <c r="AD47" s="110"/>
      <c r="AE47" s="110"/>
      <c r="AF47" s="110"/>
      <c r="AG47" s="110"/>
      <c r="AH47" s="110"/>
      <c r="AI47" s="110"/>
      <c r="AJ47" s="110"/>
      <c r="AK47" s="110"/>
      <c r="AL47" s="110"/>
      <c r="AM47" s="110"/>
      <c r="AN47" s="110"/>
      <c r="AO47" s="110"/>
      <c r="AP47" s="110"/>
      <c r="AQ47" s="110"/>
      <c r="AR47" s="110"/>
      <c r="AS47" s="110"/>
      <c r="AT47" s="110"/>
      <c r="AU47" s="110"/>
      <c r="AV47" s="110"/>
      <c r="AW47" s="110"/>
      <c r="AX47" s="110"/>
      <c r="AY47" s="110"/>
    </row>
    <row r="48" spans="1:51">
      <c r="A48" s="109"/>
      <c r="B48" s="119">
        <v>4</v>
      </c>
      <c r="C48" s="109" t="s">
        <v>293</v>
      </c>
      <c r="D48" s="110"/>
      <c r="E48" s="110"/>
      <c r="F48" s="110"/>
      <c r="G48" s="110"/>
      <c r="H48" s="110"/>
      <c r="I48" s="110"/>
      <c r="J48" s="110"/>
      <c r="K48" s="110"/>
      <c r="L48" s="110"/>
      <c r="M48" s="110"/>
      <c r="N48" s="110"/>
      <c r="O48" s="110"/>
      <c r="P48" s="110"/>
      <c r="Q48" s="110"/>
      <c r="R48" s="110"/>
      <c r="S48" s="110"/>
      <c r="T48" s="110"/>
      <c r="U48" s="110"/>
      <c r="V48" s="110"/>
      <c r="W48" s="110"/>
      <c r="X48" s="110"/>
      <c r="Y48" s="110"/>
      <c r="Z48" s="110"/>
      <c r="AA48" s="110"/>
      <c r="AB48" s="110"/>
      <c r="AC48" s="110"/>
      <c r="AD48" s="110"/>
      <c r="AE48" s="110"/>
      <c r="AF48" s="110"/>
      <c r="AG48" s="110"/>
      <c r="AH48" s="110"/>
      <c r="AI48" s="110"/>
      <c r="AJ48" s="110"/>
      <c r="AK48" s="110"/>
      <c r="AL48" s="110"/>
      <c r="AM48" s="110"/>
      <c r="AN48" s="110"/>
      <c r="AO48" s="110"/>
      <c r="AP48" s="110"/>
      <c r="AQ48" s="110"/>
      <c r="AR48" s="110"/>
      <c r="AS48" s="110"/>
      <c r="AT48" s="110"/>
      <c r="AU48" s="110"/>
      <c r="AV48" s="110"/>
      <c r="AW48" s="110"/>
      <c r="AX48" s="110"/>
      <c r="AY48" s="110"/>
    </row>
    <row r="49" spans="1:51">
      <c r="A49" s="109"/>
      <c r="B49" s="119">
        <v>5</v>
      </c>
      <c r="C49" s="109" t="s">
        <v>293</v>
      </c>
      <c r="D49" s="110"/>
      <c r="E49" s="110"/>
      <c r="F49" s="110"/>
      <c r="G49" s="110"/>
      <c r="H49" s="110"/>
      <c r="I49" s="110"/>
      <c r="J49" s="110"/>
      <c r="K49" s="110"/>
      <c r="L49" s="110"/>
      <c r="M49" s="110"/>
      <c r="N49" s="110"/>
      <c r="O49" s="110"/>
      <c r="P49" s="110"/>
      <c r="Q49" s="110"/>
      <c r="R49" s="110"/>
      <c r="S49" s="110"/>
      <c r="T49" s="110"/>
      <c r="U49" s="110"/>
      <c r="V49" s="110"/>
      <c r="W49" s="110"/>
      <c r="X49" s="110"/>
      <c r="Y49" s="110"/>
      <c r="Z49" s="110"/>
      <c r="AA49" s="110"/>
      <c r="AB49" s="110"/>
      <c r="AC49" s="110"/>
      <c r="AD49" s="110"/>
      <c r="AE49" s="110"/>
      <c r="AF49" s="110"/>
      <c r="AG49" s="110"/>
      <c r="AH49" s="110"/>
      <c r="AI49" s="110"/>
      <c r="AJ49" s="110"/>
      <c r="AK49" s="110"/>
      <c r="AL49" s="110"/>
      <c r="AM49" s="110"/>
      <c r="AN49" s="110"/>
      <c r="AO49" s="110"/>
      <c r="AP49" s="110"/>
      <c r="AQ49" s="110"/>
      <c r="AR49" s="110"/>
      <c r="AS49" s="110"/>
      <c r="AT49" s="110"/>
      <c r="AU49" s="110"/>
      <c r="AV49" s="110"/>
      <c r="AW49" s="110"/>
      <c r="AX49" s="110"/>
      <c r="AY49" s="110"/>
    </row>
    <row r="50" spans="1:51">
      <c r="A50" s="109"/>
      <c r="B50" s="119">
        <v>6</v>
      </c>
      <c r="C50" s="109" t="s">
        <v>293</v>
      </c>
      <c r="D50" s="110"/>
      <c r="E50" s="110"/>
      <c r="F50" s="110"/>
      <c r="G50" s="110"/>
      <c r="H50" s="110"/>
      <c r="I50" s="110"/>
      <c r="J50" s="110"/>
      <c r="K50" s="110"/>
      <c r="L50" s="110"/>
      <c r="M50" s="110"/>
      <c r="N50" s="110"/>
      <c r="O50" s="110"/>
      <c r="P50" s="110"/>
      <c r="Q50" s="110"/>
      <c r="R50" s="110"/>
      <c r="S50" s="110"/>
      <c r="T50" s="110"/>
      <c r="U50" s="110"/>
      <c r="V50" s="110"/>
      <c r="W50" s="110"/>
      <c r="X50" s="110"/>
      <c r="Y50" s="110"/>
      <c r="Z50" s="110"/>
      <c r="AA50" s="110"/>
      <c r="AB50" s="110"/>
      <c r="AC50" s="110"/>
      <c r="AD50" s="110"/>
      <c r="AE50" s="110"/>
      <c r="AF50" s="110"/>
      <c r="AG50" s="110"/>
      <c r="AH50" s="110"/>
      <c r="AI50" s="110"/>
      <c r="AJ50" s="110"/>
      <c r="AK50" s="110"/>
      <c r="AL50" s="110"/>
      <c r="AM50" s="110"/>
      <c r="AN50" s="110"/>
      <c r="AO50" s="110"/>
      <c r="AP50" s="110"/>
      <c r="AQ50" s="110"/>
      <c r="AR50" s="110"/>
      <c r="AS50" s="110"/>
      <c r="AT50" s="110"/>
      <c r="AU50" s="110"/>
      <c r="AV50" s="110"/>
      <c r="AW50" s="110"/>
      <c r="AX50" s="110"/>
      <c r="AY50" s="110"/>
    </row>
    <row r="51" spans="1:51">
      <c r="A51" s="109"/>
      <c r="B51" s="119">
        <v>7</v>
      </c>
      <c r="C51" s="109" t="s">
        <v>293</v>
      </c>
      <c r="D51" s="110"/>
      <c r="E51" s="110"/>
      <c r="F51" s="110"/>
      <c r="G51" s="110"/>
      <c r="H51" s="110"/>
      <c r="I51" s="110"/>
      <c r="J51" s="110"/>
      <c r="K51" s="110"/>
      <c r="L51" s="110"/>
      <c r="M51" s="110"/>
      <c r="N51" s="110"/>
      <c r="O51" s="110"/>
      <c r="P51" s="110"/>
      <c r="Q51" s="110"/>
      <c r="R51" s="110"/>
      <c r="S51" s="110"/>
      <c r="T51" s="110"/>
      <c r="U51" s="110"/>
      <c r="V51" s="110"/>
      <c r="W51" s="110"/>
      <c r="X51" s="110"/>
      <c r="Y51" s="110"/>
      <c r="Z51" s="110"/>
      <c r="AA51" s="110"/>
      <c r="AB51" s="110"/>
      <c r="AC51" s="110"/>
      <c r="AD51" s="110"/>
      <c r="AE51" s="110"/>
      <c r="AF51" s="110"/>
      <c r="AG51" s="110"/>
      <c r="AH51" s="110"/>
      <c r="AI51" s="110"/>
      <c r="AJ51" s="110"/>
      <c r="AK51" s="110"/>
      <c r="AL51" s="110"/>
      <c r="AM51" s="110"/>
      <c r="AN51" s="110"/>
      <c r="AO51" s="110"/>
      <c r="AP51" s="110"/>
      <c r="AQ51" s="110"/>
      <c r="AR51" s="110"/>
      <c r="AS51" s="110"/>
      <c r="AT51" s="110"/>
      <c r="AU51" s="110"/>
      <c r="AV51" s="110"/>
      <c r="AW51" s="110"/>
      <c r="AX51" s="110"/>
      <c r="AY51" s="110"/>
    </row>
    <row r="52" spans="1:51">
      <c r="A52" s="109"/>
      <c r="B52" s="119">
        <v>8</v>
      </c>
      <c r="C52" s="109" t="s">
        <v>293</v>
      </c>
      <c r="D52" s="110"/>
      <c r="E52" s="110"/>
      <c r="F52" s="110"/>
      <c r="G52" s="110"/>
      <c r="H52" s="110"/>
      <c r="I52" s="110"/>
      <c r="J52" s="110"/>
      <c r="K52" s="110"/>
      <c r="L52" s="110"/>
      <c r="M52" s="110"/>
      <c r="N52" s="110"/>
      <c r="O52" s="110"/>
      <c r="P52" s="110"/>
      <c r="Q52" s="110"/>
      <c r="R52" s="110"/>
      <c r="S52" s="110"/>
      <c r="T52" s="110"/>
      <c r="U52" s="110"/>
      <c r="V52" s="110"/>
      <c r="W52" s="110"/>
      <c r="X52" s="110"/>
      <c r="Y52" s="110"/>
      <c r="Z52" s="110"/>
      <c r="AA52" s="110"/>
      <c r="AB52" s="110"/>
      <c r="AC52" s="110"/>
      <c r="AD52" s="110"/>
      <c r="AE52" s="110"/>
      <c r="AF52" s="110"/>
      <c r="AG52" s="110"/>
      <c r="AH52" s="110"/>
      <c r="AI52" s="110"/>
      <c r="AJ52" s="110"/>
      <c r="AK52" s="110"/>
      <c r="AL52" s="110"/>
      <c r="AM52" s="110"/>
      <c r="AN52" s="110"/>
      <c r="AO52" s="110"/>
      <c r="AP52" s="110"/>
      <c r="AQ52" s="110"/>
      <c r="AR52" s="110"/>
      <c r="AS52" s="110"/>
      <c r="AT52" s="110"/>
      <c r="AU52" s="110"/>
      <c r="AV52" s="110"/>
      <c r="AW52" s="110"/>
      <c r="AX52" s="110"/>
      <c r="AY52" s="110"/>
    </row>
    <row r="53" spans="1:51">
      <c r="A53" s="109"/>
      <c r="B53" s="119">
        <v>9</v>
      </c>
      <c r="C53" s="109" t="s">
        <v>293</v>
      </c>
      <c r="D53" s="110"/>
      <c r="E53" s="110"/>
      <c r="F53" s="110"/>
      <c r="G53" s="110"/>
      <c r="H53" s="110"/>
      <c r="I53" s="110"/>
      <c r="J53" s="110"/>
      <c r="K53" s="110"/>
      <c r="L53" s="110"/>
      <c r="M53" s="110"/>
      <c r="N53" s="110"/>
      <c r="O53" s="110"/>
      <c r="P53" s="110"/>
      <c r="Q53" s="110"/>
      <c r="R53" s="110"/>
      <c r="S53" s="110"/>
      <c r="T53" s="110"/>
      <c r="U53" s="110"/>
      <c r="V53" s="110"/>
      <c r="W53" s="110"/>
      <c r="X53" s="110"/>
      <c r="Y53" s="110"/>
      <c r="Z53" s="110"/>
      <c r="AA53" s="110"/>
      <c r="AB53" s="110"/>
      <c r="AC53" s="110"/>
      <c r="AD53" s="110"/>
      <c r="AE53" s="110"/>
      <c r="AF53" s="110"/>
      <c r="AG53" s="110"/>
      <c r="AH53" s="110"/>
      <c r="AI53" s="110"/>
      <c r="AJ53" s="110"/>
      <c r="AK53" s="110"/>
      <c r="AL53" s="110"/>
      <c r="AM53" s="110"/>
      <c r="AN53" s="110"/>
      <c r="AO53" s="110"/>
      <c r="AP53" s="110"/>
      <c r="AQ53" s="110"/>
      <c r="AR53" s="110"/>
      <c r="AS53" s="110"/>
      <c r="AT53" s="110"/>
      <c r="AU53" s="110"/>
      <c r="AV53" s="110"/>
      <c r="AW53" s="110"/>
      <c r="AX53" s="110"/>
      <c r="AY53" s="110"/>
    </row>
    <row r="54" spans="1:51">
      <c r="A54" s="109"/>
      <c r="B54" s="119">
        <v>10</v>
      </c>
      <c r="C54" s="109" t="s">
        <v>293</v>
      </c>
      <c r="D54" s="110"/>
      <c r="E54" s="110"/>
      <c r="F54" s="110"/>
      <c r="G54" s="110"/>
      <c r="H54" s="110"/>
      <c r="I54" s="110"/>
      <c r="J54" s="110"/>
      <c r="K54" s="110"/>
      <c r="L54" s="110"/>
      <c r="M54" s="110"/>
      <c r="N54" s="110"/>
      <c r="O54" s="110"/>
      <c r="P54" s="110"/>
      <c r="Q54" s="110"/>
      <c r="R54" s="110"/>
      <c r="S54" s="110"/>
      <c r="T54" s="110"/>
      <c r="U54" s="110"/>
      <c r="V54" s="110"/>
      <c r="W54" s="110"/>
      <c r="X54" s="110"/>
      <c r="Y54" s="110"/>
      <c r="Z54" s="110"/>
      <c r="AA54" s="110"/>
      <c r="AB54" s="110"/>
      <c r="AC54" s="110"/>
      <c r="AD54" s="110"/>
      <c r="AE54" s="110"/>
      <c r="AF54" s="110"/>
      <c r="AG54" s="110"/>
      <c r="AH54" s="110"/>
      <c r="AI54" s="110"/>
      <c r="AJ54" s="110"/>
      <c r="AK54" s="110"/>
      <c r="AL54" s="110"/>
      <c r="AM54" s="110"/>
      <c r="AN54" s="110"/>
      <c r="AO54" s="110"/>
      <c r="AP54" s="110"/>
      <c r="AQ54" s="110"/>
      <c r="AR54" s="110"/>
      <c r="AS54" s="110"/>
      <c r="AT54" s="110"/>
      <c r="AU54" s="110"/>
      <c r="AV54" s="110"/>
      <c r="AW54" s="110"/>
      <c r="AX54" s="110"/>
      <c r="AY54" s="110"/>
    </row>
    <row r="55" spans="1:51">
      <c r="A55" s="109"/>
      <c r="B55" s="119">
        <v>11</v>
      </c>
      <c r="C55" s="109" t="s">
        <v>293</v>
      </c>
      <c r="D55" s="110"/>
      <c r="E55" s="110"/>
      <c r="F55" s="110"/>
      <c r="G55" s="110"/>
      <c r="H55" s="110"/>
      <c r="I55" s="110"/>
      <c r="J55" s="110"/>
      <c r="K55" s="110"/>
      <c r="L55" s="110"/>
      <c r="M55" s="110"/>
      <c r="N55" s="110"/>
      <c r="O55" s="110"/>
      <c r="P55" s="110"/>
      <c r="Q55" s="110"/>
      <c r="R55" s="110"/>
      <c r="S55" s="110"/>
      <c r="T55" s="110"/>
      <c r="U55" s="110"/>
      <c r="V55" s="110"/>
      <c r="W55" s="110"/>
      <c r="X55" s="110"/>
      <c r="Y55" s="110"/>
      <c r="Z55" s="110"/>
      <c r="AA55" s="110"/>
      <c r="AB55" s="110"/>
      <c r="AC55" s="110"/>
      <c r="AD55" s="110"/>
      <c r="AE55" s="110"/>
      <c r="AF55" s="110"/>
      <c r="AG55" s="110"/>
      <c r="AH55" s="110"/>
      <c r="AI55" s="110"/>
      <c r="AJ55" s="110"/>
      <c r="AK55" s="110"/>
      <c r="AL55" s="110"/>
      <c r="AM55" s="110"/>
      <c r="AN55" s="110"/>
      <c r="AO55" s="110"/>
      <c r="AP55" s="110"/>
      <c r="AQ55" s="110"/>
      <c r="AR55" s="110"/>
      <c r="AS55" s="110"/>
      <c r="AT55" s="110"/>
      <c r="AU55" s="110"/>
      <c r="AV55" s="110"/>
      <c r="AW55" s="110"/>
      <c r="AX55" s="110"/>
      <c r="AY55" s="110"/>
    </row>
    <row r="56" spans="1:51">
      <c r="A56" s="109"/>
      <c r="B56" s="119">
        <v>12</v>
      </c>
      <c r="C56" s="109" t="s">
        <v>293</v>
      </c>
      <c r="D56" s="110"/>
      <c r="E56" s="110"/>
      <c r="F56" s="110"/>
      <c r="G56" s="110"/>
      <c r="H56" s="110"/>
      <c r="I56" s="110"/>
      <c r="J56" s="110"/>
      <c r="K56" s="110"/>
      <c r="L56" s="110"/>
      <c r="M56" s="110"/>
      <c r="N56" s="110"/>
      <c r="O56" s="110"/>
      <c r="P56" s="110"/>
      <c r="Q56" s="110"/>
      <c r="R56" s="110"/>
      <c r="S56" s="110"/>
      <c r="T56" s="110"/>
      <c r="U56" s="110"/>
      <c r="V56" s="110"/>
      <c r="W56" s="110"/>
      <c r="X56" s="110"/>
      <c r="Y56" s="110"/>
      <c r="Z56" s="110"/>
      <c r="AA56" s="110"/>
      <c r="AB56" s="110"/>
      <c r="AC56" s="110"/>
      <c r="AD56" s="110"/>
      <c r="AE56" s="110"/>
      <c r="AF56" s="110"/>
      <c r="AG56" s="110"/>
      <c r="AH56" s="110"/>
      <c r="AI56" s="110"/>
      <c r="AJ56" s="110"/>
      <c r="AK56" s="110"/>
      <c r="AL56" s="110"/>
      <c r="AM56" s="110"/>
      <c r="AN56" s="110"/>
      <c r="AO56" s="110"/>
      <c r="AP56" s="110"/>
      <c r="AQ56" s="110"/>
      <c r="AR56" s="110"/>
      <c r="AS56" s="110"/>
      <c r="AT56" s="110"/>
      <c r="AU56" s="110"/>
      <c r="AV56" s="110"/>
      <c r="AW56" s="110"/>
      <c r="AX56" s="110"/>
      <c r="AY56" s="110"/>
    </row>
    <row r="57" spans="1:51">
      <c r="A57" s="109"/>
      <c r="B57" s="120">
        <v>13</v>
      </c>
      <c r="C57" s="109" t="s">
        <v>293</v>
      </c>
      <c r="D57" s="110"/>
      <c r="E57" s="110"/>
      <c r="F57" s="110"/>
      <c r="G57" s="110"/>
      <c r="H57" s="110"/>
      <c r="I57" s="110"/>
      <c r="J57" s="110"/>
      <c r="K57" s="110"/>
      <c r="L57" s="110"/>
      <c r="M57" s="110"/>
      <c r="N57" s="110"/>
      <c r="O57" s="110"/>
      <c r="P57" s="110"/>
      <c r="Q57" s="110"/>
      <c r="R57" s="110"/>
      <c r="S57" s="110"/>
      <c r="T57" s="110"/>
      <c r="U57" s="110"/>
      <c r="V57" s="110"/>
      <c r="W57" s="110"/>
      <c r="X57" s="110"/>
      <c r="Y57" s="110"/>
      <c r="Z57" s="110"/>
      <c r="AA57" s="110"/>
      <c r="AB57" s="110"/>
      <c r="AC57" s="110"/>
      <c r="AD57" s="110"/>
      <c r="AE57" s="110"/>
      <c r="AF57" s="110"/>
      <c r="AG57" s="110"/>
      <c r="AH57" s="110"/>
      <c r="AI57" s="110"/>
      <c r="AJ57" s="110"/>
      <c r="AK57" s="110"/>
      <c r="AL57" s="110"/>
      <c r="AM57" s="110"/>
      <c r="AN57" s="110"/>
      <c r="AO57" s="110"/>
      <c r="AP57" s="110"/>
      <c r="AQ57" s="110"/>
      <c r="AR57" s="110"/>
      <c r="AS57" s="110"/>
      <c r="AT57" s="110"/>
      <c r="AU57" s="110"/>
      <c r="AV57" s="110"/>
      <c r="AW57" s="110"/>
      <c r="AX57" s="110"/>
      <c r="AY57" s="110"/>
    </row>
    <row r="58" spans="1:51">
      <c r="A58" s="109"/>
      <c r="B58" s="120">
        <v>14</v>
      </c>
      <c r="C58" s="109" t="s">
        <v>293</v>
      </c>
      <c r="D58" s="110"/>
      <c r="E58" s="110"/>
      <c r="F58" s="110"/>
      <c r="G58" s="110"/>
      <c r="H58" s="110"/>
      <c r="I58" s="110"/>
      <c r="J58" s="110"/>
      <c r="K58" s="110"/>
      <c r="L58" s="110"/>
      <c r="M58" s="110"/>
      <c r="N58" s="110"/>
      <c r="O58" s="110"/>
      <c r="P58" s="110"/>
      <c r="Q58" s="110"/>
      <c r="R58" s="110"/>
      <c r="S58" s="110"/>
      <c r="T58" s="110"/>
      <c r="U58" s="110"/>
      <c r="V58" s="110"/>
      <c r="W58" s="110"/>
      <c r="X58" s="110"/>
      <c r="Y58" s="110"/>
      <c r="Z58" s="110"/>
      <c r="AA58" s="110"/>
      <c r="AB58" s="110"/>
      <c r="AC58" s="110"/>
      <c r="AD58" s="110"/>
      <c r="AE58" s="110"/>
      <c r="AF58" s="110"/>
      <c r="AG58" s="110"/>
      <c r="AH58" s="110"/>
      <c r="AI58" s="110"/>
      <c r="AJ58" s="110"/>
      <c r="AK58" s="110"/>
      <c r="AL58" s="110"/>
      <c r="AM58" s="110"/>
      <c r="AN58" s="110"/>
      <c r="AO58" s="110"/>
      <c r="AP58" s="110"/>
      <c r="AQ58" s="110"/>
      <c r="AR58" s="110"/>
      <c r="AS58" s="110"/>
      <c r="AT58" s="110"/>
      <c r="AU58" s="110"/>
      <c r="AV58" s="110"/>
      <c r="AW58" s="110"/>
      <c r="AX58" s="110"/>
      <c r="AY58" s="110"/>
    </row>
    <row r="59" spans="1:51">
      <c r="A59" s="109"/>
      <c r="B59" s="120">
        <v>15</v>
      </c>
      <c r="C59" s="109" t="s">
        <v>293</v>
      </c>
      <c r="D59" s="110"/>
      <c r="E59" s="110"/>
      <c r="F59" s="110"/>
      <c r="G59" s="110"/>
      <c r="H59" s="110"/>
      <c r="I59" s="110"/>
      <c r="J59" s="110"/>
      <c r="K59" s="110"/>
      <c r="L59" s="110"/>
      <c r="M59" s="110"/>
      <c r="N59" s="110"/>
      <c r="O59" s="110"/>
      <c r="P59" s="110"/>
      <c r="Q59" s="110"/>
      <c r="R59" s="110"/>
      <c r="S59" s="110"/>
      <c r="T59" s="110"/>
      <c r="U59" s="110"/>
      <c r="V59" s="110"/>
      <c r="W59" s="110"/>
      <c r="X59" s="110"/>
      <c r="Y59" s="110"/>
      <c r="Z59" s="110"/>
      <c r="AA59" s="110"/>
      <c r="AB59" s="110"/>
      <c r="AC59" s="110"/>
      <c r="AD59" s="110"/>
      <c r="AE59" s="110"/>
      <c r="AF59" s="110"/>
      <c r="AG59" s="110"/>
      <c r="AH59" s="110"/>
      <c r="AI59" s="110"/>
      <c r="AJ59" s="110"/>
      <c r="AK59" s="110"/>
      <c r="AL59" s="110"/>
      <c r="AM59" s="110"/>
      <c r="AN59" s="110"/>
      <c r="AO59" s="110"/>
      <c r="AP59" s="110"/>
      <c r="AQ59" s="110"/>
      <c r="AR59" s="110"/>
      <c r="AS59" s="110"/>
      <c r="AT59" s="110"/>
      <c r="AU59" s="110"/>
      <c r="AV59" s="110"/>
      <c r="AW59" s="110"/>
      <c r="AX59" s="110"/>
      <c r="AY59" s="110"/>
    </row>
    <row r="60" spans="1:51">
      <c r="A60" s="109"/>
      <c r="B60" s="120">
        <v>16</v>
      </c>
      <c r="C60" s="109" t="s">
        <v>293</v>
      </c>
      <c r="D60" s="110"/>
      <c r="E60" s="110"/>
      <c r="F60" s="110"/>
      <c r="G60" s="110"/>
      <c r="H60" s="110"/>
      <c r="I60" s="110"/>
      <c r="J60" s="110"/>
      <c r="K60" s="110"/>
      <c r="L60" s="110"/>
      <c r="M60" s="110"/>
      <c r="N60" s="110"/>
      <c r="O60" s="110"/>
      <c r="P60" s="110"/>
      <c r="Q60" s="110"/>
      <c r="R60" s="110"/>
      <c r="S60" s="110"/>
      <c r="T60" s="110"/>
      <c r="U60" s="110"/>
      <c r="V60" s="110"/>
      <c r="W60" s="110"/>
      <c r="X60" s="110"/>
      <c r="Y60" s="110"/>
      <c r="Z60" s="110"/>
      <c r="AA60" s="110"/>
      <c r="AB60" s="110"/>
      <c r="AC60" s="110"/>
      <c r="AD60" s="110"/>
      <c r="AE60" s="110"/>
      <c r="AF60" s="110"/>
      <c r="AG60" s="110"/>
      <c r="AH60" s="110"/>
      <c r="AI60" s="110"/>
      <c r="AJ60" s="110"/>
      <c r="AK60" s="110"/>
      <c r="AL60" s="110"/>
      <c r="AM60" s="110"/>
      <c r="AN60" s="110"/>
      <c r="AO60" s="110"/>
      <c r="AP60" s="110"/>
      <c r="AQ60" s="110"/>
      <c r="AR60" s="110"/>
      <c r="AS60" s="110"/>
      <c r="AT60" s="110"/>
      <c r="AU60" s="110"/>
      <c r="AV60" s="110"/>
      <c r="AW60" s="110"/>
      <c r="AX60" s="110"/>
      <c r="AY60" s="110"/>
    </row>
    <row r="61" spans="1:51">
      <c r="A61" s="109"/>
      <c r="B61" s="120">
        <v>17</v>
      </c>
      <c r="C61" s="109" t="s">
        <v>293</v>
      </c>
      <c r="D61" s="110"/>
      <c r="E61" s="110"/>
      <c r="F61" s="110"/>
      <c r="G61" s="110"/>
      <c r="H61" s="110"/>
      <c r="I61" s="110"/>
      <c r="J61" s="110"/>
      <c r="K61" s="110"/>
      <c r="L61" s="110"/>
      <c r="M61" s="110"/>
      <c r="N61" s="110"/>
      <c r="O61" s="110"/>
      <c r="P61" s="110"/>
      <c r="Q61" s="110"/>
      <c r="R61" s="110"/>
      <c r="S61" s="110"/>
      <c r="T61" s="110"/>
      <c r="U61" s="110"/>
      <c r="V61" s="110"/>
      <c r="W61" s="110"/>
      <c r="X61" s="110"/>
      <c r="Y61" s="110"/>
      <c r="Z61" s="110"/>
      <c r="AA61" s="110"/>
      <c r="AB61" s="110"/>
      <c r="AC61" s="110"/>
      <c r="AD61" s="110"/>
      <c r="AE61" s="110"/>
      <c r="AF61" s="110"/>
      <c r="AG61" s="110"/>
      <c r="AH61" s="110"/>
      <c r="AI61" s="110"/>
      <c r="AJ61" s="110"/>
      <c r="AK61" s="110"/>
      <c r="AL61" s="110"/>
      <c r="AM61" s="110"/>
      <c r="AN61" s="110"/>
      <c r="AO61" s="110"/>
      <c r="AP61" s="110"/>
      <c r="AQ61" s="110"/>
      <c r="AR61" s="110"/>
      <c r="AS61" s="110"/>
      <c r="AT61" s="110"/>
      <c r="AU61" s="110"/>
      <c r="AV61" s="110"/>
      <c r="AW61" s="110"/>
      <c r="AX61" s="110"/>
      <c r="AY61" s="110"/>
    </row>
    <row r="62" spans="1:51">
      <c r="A62" s="109"/>
      <c r="B62" s="120">
        <v>18</v>
      </c>
      <c r="C62" s="109" t="s">
        <v>293</v>
      </c>
      <c r="D62" s="110"/>
      <c r="E62" s="110"/>
      <c r="F62" s="110"/>
      <c r="G62" s="110"/>
      <c r="H62" s="110"/>
      <c r="I62" s="110"/>
      <c r="J62" s="110"/>
      <c r="K62" s="110"/>
      <c r="L62" s="110"/>
      <c r="M62" s="110"/>
      <c r="N62" s="110"/>
      <c r="O62" s="110"/>
      <c r="P62" s="110"/>
      <c r="Q62" s="110"/>
      <c r="R62" s="110"/>
      <c r="S62" s="110"/>
      <c r="T62" s="110"/>
      <c r="U62" s="110"/>
      <c r="V62" s="110"/>
      <c r="W62" s="110"/>
      <c r="X62" s="110"/>
      <c r="Y62" s="110"/>
      <c r="Z62" s="110"/>
      <c r="AA62" s="110"/>
      <c r="AB62" s="110"/>
      <c r="AC62" s="110"/>
      <c r="AD62" s="110"/>
      <c r="AE62" s="110"/>
      <c r="AF62" s="110"/>
      <c r="AG62" s="110"/>
      <c r="AH62" s="110"/>
      <c r="AI62" s="110"/>
      <c r="AJ62" s="110"/>
      <c r="AK62" s="110"/>
      <c r="AL62" s="110"/>
      <c r="AM62" s="110"/>
      <c r="AN62" s="110"/>
      <c r="AO62" s="110"/>
      <c r="AP62" s="110"/>
      <c r="AQ62" s="110"/>
      <c r="AR62" s="110"/>
      <c r="AS62" s="110"/>
      <c r="AT62" s="110"/>
      <c r="AU62" s="110"/>
      <c r="AV62" s="110"/>
      <c r="AW62" s="110"/>
      <c r="AX62" s="110"/>
      <c r="AY62" s="110"/>
    </row>
    <row r="63" spans="1:51">
      <c r="A63" s="109"/>
      <c r="B63" s="120">
        <v>19</v>
      </c>
      <c r="C63" s="109" t="s">
        <v>293</v>
      </c>
      <c r="D63" s="110"/>
      <c r="E63" s="110"/>
      <c r="F63" s="110"/>
      <c r="G63" s="110"/>
      <c r="H63" s="110"/>
      <c r="I63" s="110"/>
      <c r="J63" s="110"/>
      <c r="K63" s="110"/>
      <c r="L63" s="110"/>
      <c r="M63" s="110"/>
      <c r="N63" s="110"/>
      <c r="O63" s="110"/>
      <c r="P63" s="110"/>
      <c r="Q63" s="110"/>
      <c r="R63" s="110"/>
      <c r="S63" s="110"/>
      <c r="T63" s="110"/>
      <c r="U63" s="110"/>
      <c r="V63" s="110"/>
      <c r="W63" s="110"/>
      <c r="X63" s="110"/>
      <c r="Y63" s="110"/>
      <c r="Z63" s="110"/>
      <c r="AA63" s="110"/>
      <c r="AB63" s="110"/>
      <c r="AC63" s="110"/>
      <c r="AD63" s="110"/>
      <c r="AE63" s="110"/>
      <c r="AF63" s="110"/>
      <c r="AG63" s="110"/>
      <c r="AH63" s="110"/>
      <c r="AI63" s="110"/>
      <c r="AJ63" s="110"/>
      <c r="AK63" s="110"/>
      <c r="AL63" s="110"/>
      <c r="AM63" s="110"/>
      <c r="AN63" s="110"/>
      <c r="AO63" s="110"/>
      <c r="AP63" s="110"/>
      <c r="AQ63" s="110"/>
      <c r="AR63" s="110"/>
      <c r="AS63" s="110"/>
      <c r="AT63" s="110"/>
      <c r="AU63" s="110"/>
      <c r="AV63" s="110"/>
      <c r="AW63" s="110"/>
      <c r="AX63" s="110"/>
      <c r="AY63" s="110"/>
    </row>
    <row r="64" spans="1:51">
      <c r="A64" s="109"/>
      <c r="B64" s="120">
        <v>20</v>
      </c>
      <c r="C64" s="109" t="s">
        <v>293</v>
      </c>
      <c r="D64" s="110"/>
      <c r="E64" s="110"/>
      <c r="F64" s="110"/>
      <c r="G64" s="110"/>
      <c r="H64" s="110"/>
      <c r="I64" s="110"/>
      <c r="J64" s="110"/>
      <c r="K64" s="110"/>
      <c r="L64" s="110"/>
      <c r="M64" s="110"/>
      <c r="N64" s="110"/>
      <c r="O64" s="110"/>
      <c r="P64" s="110"/>
      <c r="Q64" s="110"/>
      <c r="R64" s="110"/>
      <c r="S64" s="110"/>
      <c r="T64" s="110"/>
      <c r="U64" s="110"/>
      <c r="V64" s="110"/>
      <c r="W64" s="110"/>
      <c r="X64" s="110"/>
      <c r="Y64" s="110"/>
      <c r="Z64" s="110"/>
      <c r="AA64" s="110"/>
      <c r="AB64" s="110"/>
      <c r="AC64" s="110"/>
      <c r="AD64" s="110"/>
      <c r="AE64" s="110"/>
      <c r="AF64" s="110"/>
      <c r="AG64" s="110"/>
      <c r="AH64" s="110"/>
      <c r="AI64" s="110"/>
      <c r="AJ64" s="110"/>
      <c r="AK64" s="110"/>
      <c r="AL64" s="110"/>
      <c r="AM64" s="110"/>
      <c r="AN64" s="110"/>
      <c r="AO64" s="110"/>
      <c r="AP64" s="110"/>
      <c r="AQ64" s="110"/>
      <c r="AR64" s="110"/>
      <c r="AS64" s="110"/>
      <c r="AT64" s="110"/>
      <c r="AU64" s="110"/>
      <c r="AV64" s="110"/>
      <c r="AW64" s="110"/>
      <c r="AX64" s="110"/>
      <c r="AY64" s="110"/>
    </row>
    <row r="65" spans="1:51">
      <c r="A65" s="109"/>
      <c r="B65" s="120">
        <v>21</v>
      </c>
      <c r="C65" s="109" t="s">
        <v>293</v>
      </c>
      <c r="D65" s="110"/>
      <c r="E65" s="110"/>
      <c r="F65" s="110"/>
      <c r="G65" s="110"/>
      <c r="H65" s="110"/>
      <c r="I65" s="110"/>
      <c r="J65" s="110"/>
      <c r="K65" s="110"/>
      <c r="L65" s="110"/>
      <c r="M65" s="110"/>
      <c r="N65" s="110"/>
      <c r="O65" s="110"/>
      <c r="P65" s="110"/>
      <c r="Q65" s="110"/>
      <c r="R65" s="110"/>
      <c r="S65" s="110"/>
      <c r="T65" s="110"/>
      <c r="U65" s="110"/>
      <c r="V65" s="110"/>
      <c r="W65" s="110"/>
      <c r="X65" s="110"/>
      <c r="Y65" s="110"/>
      <c r="Z65" s="110"/>
      <c r="AA65" s="110"/>
      <c r="AB65" s="110"/>
      <c r="AC65" s="110"/>
      <c r="AD65" s="110"/>
      <c r="AE65" s="110"/>
      <c r="AF65" s="110"/>
      <c r="AG65" s="110"/>
      <c r="AH65" s="110"/>
      <c r="AI65" s="110"/>
      <c r="AJ65" s="110"/>
      <c r="AK65" s="110"/>
      <c r="AL65" s="110"/>
      <c r="AM65" s="110"/>
      <c r="AN65" s="110"/>
      <c r="AO65" s="110"/>
      <c r="AP65" s="110"/>
      <c r="AQ65" s="110"/>
      <c r="AR65" s="110"/>
      <c r="AS65" s="110"/>
      <c r="AT65" s="110"/>
      <c r="AU65" s="110"/>
      <c r="AV65" s="110"/>
      <c r="AW65" s="110"/>
      <c r="AX65" s="110"/>
      <c r="AY65" s="110"/>
    </row>
    <row r="66" spans="1:51">
      <c r="A66" s="109"/>
      <c r="B66" s="120">
        <v>22</v>
      </c>
      <c r="C66" s="109" t="s">
        <v>293</v>
      </c>
      <c r="D66" s="110"/>
      <c r="E66" s="110"/>
      <c r="F66" s="110"/>
      <c r="G66" s="110"/>
      <c r="H66" s="110"/>
      <c r="I66" s="110"/>
      <c r="J66" s="110"/>
      <c r="K66" s="110"/>
      <c r="L66" s="110"/>
      <c r="M66" s="110"/>
      <c r="N66" s="110"/>
      <c r="O66" s="110"/>
      <c r="P66" s="110"/>
      <c r="Q66" s="110"/>
      <c r="R66" s="110"/>
      <c r="S66" s="110"/>
      <c r="T66" s="110"/>
      <c r="U66" s="110"/>
      <c r="V66" s="110"/>
      <c r="W66" s="110"/>
      <c r="X66" s="110"/>
      <c r="Y66" s="110"/>
      <c r="Z66" s="110"/>
      <c r="AA66" s="110"/>
      <c r="AB66" s="110"/>
      <c r="AC66" s="110"/>
      <c r="AD66" s="110"/>
      <c r="AE66" s="110"/>
      <c r="AF66" s="110"/>
      <c r="AG66" s="110"/>
      <c r="AH66" s="110"/>
      <c r="AI66" s="110"/>
      <c r="AJ66" s="110"/>
      <c r="AK66" s="110"/>
      <c r="AL66" s="110"/>
      <c r="AM66" s="110"/>
      <c r="AN66" s="110"/>
      <c r="AO66" s="110"/>
      <c r="AP66" s="110"/>
      <c r="AQ66" s="110"/>
      <c r="AR66" s="110"/>
      <c r="AS66" s="110"/>
      <c r="AT66" s="110"/>
      <c r="AU66" s="110"/>
      <c r="AV66" s="110"/>
      <c r="AW66" s="110"/>
      <c r="AX66" s="110"/>
      <c r="AY66" s="110"/>
    </row>
    <row r="67" spans="1:51">
      <c r="A67" s="109"/>
      <c r="B67" s="120">
        <v>23</v>
      </c>
      <c r="C67" s="109" t="s">
        <v>293</v>
      </c>
      <c r="D67" s="110"/>
      <c r="E67" s="110"/>
      <c r="F67" s="110"/>
      <c r="G67" s="110"/>
      <c r="H67" s="110"/>
      <c r="I67" s="110"/>
      <c r="J67" s="110"/>
      <c r="K67" s="110"/>
      <c r="L67" s="110"/>
      <c r="M67" s="110"/>
      <c r="N67" s="110"/>
      <c r="O67" s="110"/>
      <c r="P67" s="110"/>
      <c r="Q67" s="110"/>
      <c r="R67" s="110"/>
      <c r="S67" s="110"/>
      <c r="T67" s="110"/>
      <c r="U67" s="110"/>
      <c r="V67" s="110"/>
      <c r="W67" s="110"/>
      <c r="X67" s="110"/>
      <c r="Y67" s="110"/>
      <c r="Z67" s="110"/>
      <c r="AA67" s="110"/>
      <c r="AB67" s="110"/>
      <c r="AC67" s="110"/>
      <c r="AD67" s="110"/>
      <c r="AE67" s="110"/>
      <c r="AF67" s="110"/>
      <c r="AG67" s="110"/>
      <c r="AH67" s="110"/>
      <c r="AI67" s="110"/>
      <c r="AJ67" s="110"/>
      <c r="AK67" s="110"/>
      <c r="AL67" s="110"/>
      <c r="AM67" s="110"/>
      <c r="AN67" s="110"/>
      <c r="AO67" s="110"/>
      <c r="AP67" s="110"/>
      <c r="AQ67" s="110"/>
      <c r="AR67" s="110"/>
      <c r="AS67" s="110"/>
      <c r="AT67" s="110"/>
      <c r="AU67" s="110"/>
      <c r="AV67" s="110"/>
      <c r="AW67" s="110"/>
      <c r="AX67" s="110"/>
      <c r="AY67" s="110"/>
    </row>
    <row r="68" spans="1:51">
      <c r="A68" s="109"/>
      <c r="B68" s="120">
        <v>24</v>
      </c>
      <c r="C68" s="109" t="s">
        <v>293</v>
      </c>
      <c r="D68" s="110"/>
      <c r="E68" s="110"/>
      <c r="F68" s="110"/>
      <c r="G68" s="110"/>
      <c r="H68" s="110"/>
      <c r="I68" s="110"/>
      <c r="J68" s="110"/>
      <c r="K68" s="110"/>
      <c r="L68" s="110"/>
      <c r="M68" s="110"/>
      <c r="N68" s="110"/>
      <c r="O68" s="110"/>
      <c r="P68" s="110"/>
      <c r="Q68" s="110"/>
      <c r="R68" s="110"/>
      <c r="S68" s="110"/>
      <c r="T68" s="110"/>
      <c r="U68" s="110"/>
      <c r="V68" s="110"/>
      <c r="W68" s="110"/>
      <c r="X68" s="110"/>
      <c r="Y68" s="110"/>
      <c r="Z68" s="110"/>
      <c r="AA68" s="110"/>
      <c r="AB68" s="110"/>
      <c r="AC68" s="110"/>
      <c r="AD68" s="110"/>
      <c r="AE68" s="110"/>
      <c r="AF68" s="110"/>
      <c r="AG68" s="110"/>
      <c r="AH68" s="110"/>
      <c r="AI68" s="110"/>
      <c r="AJ68" s="110"/>
      <c r="AK68" s="110"/>
      <c r="AL68" s="110"/>
      <c r="AM68" s="110"/>
      <c r="AN68" s="110"/>
      <c r="AO68" s="110"/>
      <c r="AP68" s="110"/>
      <c r="AQ68" s="110"/>
      <c r="AR68" s="110"/>
      <c r="AS68" s="110"/>
      <c r="AT68" s="110"/>
      <c r="AU68" s="110"/>
      <c r="AV68" s="110"/>
      <c r="AW68" s="110"/>
      <c r="AX68" s="110"/>
      <c r="AY68" s="110"/>
    </row>
    <row r="69" spans="1:51">
      <c r="A69" s="109"/>
      <c r="B69" s="127">
        <v>25</v>
      </c>
      <c r="C69" s="109" t="s">
        <v>293</v>
      </c>
      <c r="D69" s="110"/>
      <c r="E69" s="110"/>
      <c r="F69" s="110"/>
      <c r="G69" s="110"/>
      <c r="H69" s="110"/>
      <c r="I69" s="110"/>
      <c r="J69" s="110"/>
      <c r="K69" s="110"/>
      <c r="L69" s="110"/>
      <c r="M69" s="110"/>
      <c r="N69" s="110"/>
      <c r="O69" s="110"/>
      <c r="P69" s="110"/>
      <c r="Q69" s="110"/>
      <c r="R69" s="110"/>
      <c r="S69" s="110"/>
      <c r="T69" s="110"/>
      <c r="U69" s="110"/>
      <c r="V69" s="110"/>
      <c r="W69" s="110"/>
      <c r="X69" s="110"/>
      <c r="Y69" s="110"/>
      <c r="Z69" s="110"/>
      <c r="AA69" s="110"/>
      <c r="AB69" s="110"/>
      <c r="AC69" s="110"/>
      <c r="AD69" s="110"/>
      <c r="AE69" s="110"/>
      <c r="AF69" s="110"/>
      <c r="AG69" s="110"/>
      <c r="AH69" s="110"/>
      <c r="AI69" s="110"/>
      <c r="AJ69" s="110"/>
      <c r="AK69" s="110"/>
      <c r="AL69" s="110"/>
      <c r="AM69" s="110"/>
      <c r="AN69" s="110"/>
      <c r="AO69" s="110"/>
      <c r="AP69" s="110"/>
      <c r="AQ69" s="110"/>
      <c r="AR69" s="110"/>
      <c r="AS69" s="110"/>
      <c r="AT69" s="110"/>
      <c r="AU69" s="110"/>
      <c r="AV69" s="110"/>
      <c r="AW69" s="110"/>
      <c r="AX69" s="110"/>
      <c r="AY69" s="110"/>
    </row>
    <row r="70" spans="1:51">
      <c r="A70" s="109"/>
      <c r="B70" s="127">
        <v>26</v>
      </c>
      <c r="C70" s="109" t="s">
        <v>293</v>
      </c>
      <c r="D70" s="110"/>
      <c r="E70" s="110"/>
      <c r="F70" s="110"/>
      <c r="G70" s="110"/>
      <c r="H70" s="110"/>
      <c r="I70" s="110"/>
      <c r="J70" s="110"/>
      <c r="K70" s="110"/>
      <c r="L70" s="110"/>
      <c r="M70" s="110"/>
      <c r="N70" s="110"/>
      <c r="O70" s="110"/>
      <c r="P70" s="110"/>
      <c r="Q70" s="110"/>
      <c r="R70" s="110"/>
      <c r="S70" s="110"/>
      <c r="T70" s="110"/>
      <c r="U70" s="110"/>
      <c r="V70" s="110"/>
      <c r="W70" s="110"/>
      <c r="X70" s="110"/>
      <c r="Y70" s="110"/>
      <c r="Z70" s="110"/>
      <c r="AA70" s="110"/>
      <c r="AB70" s="110"/>
      <c r="AC70" s="110"/>
      <c r="AD70" s="110"/>
      <c r="AE70" s="110"/>
      <c r="AF70" s="110"/>
      <c r="AG70" s="110"/>
      <c r="AH70" s="110"/>
      <c r="AI70" s="110"/>
      <c r="AJ70" s="110"/>
      <c r="AK70" s="110"/>
      <c r="AL70" s="110"/>
      <c r="AM70" s="110"/>
      <c r="AN70" s="110"/>
      <c r="AO70" s="110"/>
      <c r="AP70" s="110"/>
      <c r="AQ70" s="110"/>
      <c r="AR70" s="110"/>
      <c r="AS70" s="110"/>
      <c r="AT70" s="110"/>
      <c r="AU70" s="110"/>
      <c r="AV70" s="110"/>
      <c r="AW70" s="110"/>
      <c r="AX70" s="110"/>
      <c r="AY70" s="110"/>
    </row>
    <row r="71" spans="1:51">
      <c r="A71" s="109"/>
      <c r="B71" s="127">
        <v>27</v>
      </c>
      <c r="C71" s="109" t="s">
        <v>293</v>
      </c>
      <c r="D71" s="110"/>
      <c r="E71" s="110"/>
      <c r="F71" s="110"/>
      <c r="G71" s="110"/>
      <c r="H71" s="110"/>
      <c r="I71" s="110"/>
      <c r="J71" s="110"/>
      <c r="K71" s="110"/>
      <c r="L71" s="110"/>
      <c r="M71" s="110"/>
      <c r="N71" s="110"/>
      <c r="O71" s="110"/>
      <c r="P71" s="110"/>
      <c r="Q71" s="110"/>
      <c r="R71" s="110"/>
      <c r="S71" s="110"/>
      <c r="T71" s="110"/>
      <c r="U71" s="110"/>
      <c r="V71" s="110"/>
      <c r="W71" s="110"/>
      <c r="X71" s="110"/>
      <c r="Y71" s="110"/>
      <c r="Z71" s="110"/>
      <c r="AA71" s="110"/>
      <c r="AB71" s="110"/>
      <c r="AC71" s="110"/>
      <c r="AD71" s="110"/>
      <c r="AE71" s="110"/>
      <c r="AF71" s="110"/>
      <c r="AG71" s="110"/>
      <c r="AH71" s="110"/>
      <c r="AI71" s="110"/>
      <c r="AJ71" s="110"/>
      <c r="AK71" s="110"/>
      <c r="AL71" s="110"/>
      <c r="AM71" s="110"/>
      <c r="AN71" s="110"/>
      <c r="AO71" s="110"/>
      <c r="AP71" s="110"/>
      <c r="AQ71" s="110"/>
      <c r="AR71" s="110"/>
      <c r="AS71" s="110"/>
      <c r="AT71" s="110"/>
      <c r="AU71" s="110"/>
      <c r="AV71" s="110"/>
      <c r="AW71" s="110"/>
      <c r="AX71" s="110"/>
      <c r="AY71" s="110"/>
    </row>
    <row r="72" spans="1:51">
      <c r="A72" s="109"/>
      <c r="B72" s="127">
        <v>28</v>
      </c>
      <c r="C72" s="109" t="s">
        <v>293</v>
      </c>
      <c r="D72" s="110"/>
      <c r="E72" s="110"/>
      <c r="F72" s="110"/>
      <c r="G72" s="110"/>
      <c r="H72" s="110"/>
      <c r="I72" s="110"/>
      <c r="J72" s="110"/>
      <c r="K72" s="110"/>
      <c r="L72" s="110"/>
      <c r="M72" s="110"/>
      <c r="N72" s="110"/>
      <c r="O72" s="110"/>
      <c r="P72" s="110"/>
      <c r="Q72" s="110"/>
      <c r="R72" s="110"/>
      <c r="S72" s="110"/>
      <c r="T72" s="110"/>
      <c r="U72" s="110"/>
      <c r="V72" s="110"/>
      <c r="W72" s="110"/>
      <c r="X72" s="110"/>
      <c r="Y72" s="110"/>
      <c r="Z72" s="110"/>
      <c r="AA72" s="110"/>
      <c r="AB72" s="110"/>
      <c r="AC72" s="110"/>
      <c r="AD72" s="110"/>
      <c r="AE72" s="110"/>
      <c r="AF72" s="110"/>
      <c r="AG72" s="110"/>
      <c r="AH72" s="110"/>
      <c r="AI72" s="110"/>
      <c r="AJ72" s="110"/>
      <c r="AK72" s="110"/>
      <c r="AL72" s="110"/>
      <c r="AM72" s="110"/>
      <c r="AN72" s="110"/>
      <c r="AO72" s="110"/>
      <c r="AP72" s="110"/>
      <c r="AQ72" s="110"/>
      <c r="AR72" s="110"/>
      <c r="AS72" s="110"/>
      <c r="AT72" s="110"/>
      <c r="AU72" s="110"/>
      <c r="AV72" s="110"/>
      <c r="AW72" s="110"/>
      <c r="AX72" s="110"/>
      <c r="AY72" s="110"/>
    </row>
    <row r="73" spans="1:51">
      <c r="A73" s="109"/>
      <c r="B73" s="127">
        <v>29</v>
      </c>
      <c r="C73" s="109" t="s">
        <v>293</v>
      </c>
      <c r="D73" s="110"/>
      <c r="E73" s="110"/>
      <c r="F73" s="110"/>
      <c r="G73" s="110"/>
      <c r="H73" s="110"/>
      <c r="I73" s="110"/>
      <c r="J73" s="110"/>
      <c r="K73" s="110"/>
      <c r="L73" s="110"/>
      <c r="M73" s="110"/>
      <c r="N73" s="110"/>
      <c r="O73" s="110"/>
      <c r="P73" s="110"/>
      <c r="Q73" s="110"/>
      <c r="R73" s="110"/>
      <c r="S73" s="110"/>
      <c r="T73" s="110"/>
      <c r="U73" s="110"/>
      <c r="V73" s="110"/>
      <c r="W73" s="110"/>
      <c r="X73" s="110"/>
      <c r="Y73" s="110"/>
      <c r="Z73" s="110"/>
      <c r="AA73" s="110"/>
      <c r="AB73" s="110"/>
      <c r="AC73" s="110"/>
      <c r="AD73" s="110"/>
      <c r="AE73" s="110"/>
      <c r="AF73" s="110"/>
      <c r="AG73" s="110"/>
      <c r="AH73" s="110"/>
      <c r="AI73" s="110"/>
      <c r="AJ73" s="110"/>
      <c r="AK73" s="110"/>
      <c r="AL73" s="110"/>
      <c r="AM73" s="110"/>
      <c r="AN73" s="110"/>
      <c r="AO73" s="110"/>
      <c r="AP73" s="110"/>
      <c r="AQ73" s="110"/>
      <c r="AR73" s="110"/>
      <c r="AS73" s="110"/>
      <c r="AT73" s="110"/>
      <c r="AU73" s="110"/>
      <c r="AV73" s="110"/>
      <c r="AW73" s="110"/>
      <c r="AX73" s="110"/>
      <c r="AY73" s="110"/>
    </row>
    <row r="74" spans="1:51">
      <c r="A74" s="109"/>
      <c r="B74" s="127">
        <v>30</v>
      </c>
      <c r="C74" s="109" t="s">
        <v>293</v>
      </c>
      <c r="D74" s="110"/>
      <c r="E74" s="110"/>
      <c r="F74" s="110"/>
      <c r="G74" s="110"/>
      <c r="H74" s="110"/>
      <c r="I74" s="110"/>
      <c r="J74" s="110"/>
      <c r="K74" s="110"/>
      <c r="L74" s="110"/>
      <c r="M74" s="110"/>
      <c r="N74" s="110"/>
      <c r="O74" s="110"/>
      <c r="P74" s="110"/>
      <c r="Q74" s="110"/>
      <c r="R74" s="110"/>
      <c r="S74" s="110"/>
      <c r="T74" s="110"/>
      <c r="U74" s="110"/>
      <c r="V74" s="110"/>
      <c r="W74" s="110"/>
      <c r="X74" s="110"/>
      <c r="Y74" s="110"/>
      <c r="Z74" s="110"/>
      <c r="AA74" s="110"/>
      <c r="AB74" s="110"/>
      <c r="AC74" s="110"/>
      <c r="AD74" s="110"/>
      <c r="AE74" s="110"/>
      <c r="AF74" s="110"/>
      <c r="AG74" s="110"/>
      <c r="AH74" s="110"/>
      <c r="AI74" s="110"/>
      <c r="AJ74" s="110"/>
      <c r="AK74" s="110"/>
      <c r="AL74" s="110"/>
      <c r="AM74" s="110"/>
      <c r="AN74" s="110"/>
      <c r="AO74" s="110"/>
      <c r="AP74" s="110"/>
      <c r="AQ74" s="110"/>
      <c r="AR74" s="110"/>
      <c r="AS74" s="110"/>
      <c r="AT74" s="110"/>
      <c r="AU74" s="110"/>
      <c r="AV74" s="110"/>
      <c r="AW74" s="110"/>
      <c r="AX74" s="110"/>
      <c r="AY74" s="110"/>
    </row>
    <row r="75" spans="1:51">
      <c r="A75" s="109"/>
      <c r="B75" s="127">
        <v>31</v>
      </c>
      <c r="C75" s="109" t="s">
        <v>293</v>
      </c>
      <c r="D75" s="110"/>
      <c r="E75" s="110"/>
      <c r="F75" s="110"/>
      <c r="G75" s="110"/>
      <c r="H75" s="110"/>
      <c r="I75" s="110"/>
      <c r="J75" s="110"/>
      <c r="K75" s="110"/>
      <c r="L75" s="110"/>
      <c r="M75" s="110"/>
      <c r="N75" s="110"/>
      <c r="O75" s="110"/>
      <c r="P75" s="110"/>
      <c r="Q75" s="110"/>
      <c r="R75" s="110"/>
      <c r="S75" s="110"/>
      <c r="T75" s="110"/>
      <c r="U75" s="110"/>
      <c r="V75" s="110"/>
      <c r="W75" s="110"/>
      <c r="X75" s="110"/>
      <c r="Y75" s="110"/>
      <c r="Z75" s="110"/>
      <c r="AA75" s="110"/>
      <c r="AB75" s="110"/>
      <c r="AC75" s="110"/>
      <c r="AD75" s="110"/>
      <c r="AE75" s="110"/>
      <c r="AF75" s="110"/>
      <c r="AG75" s="110"/>
      <c r="AH75" s="110"/>
      <c r="AI75" s="110"/>
      <c r="AJ75" s="110"/>
      <c r="AK75" s="110"/>
      <c r="AL75" s="110"/>
      <c r="AM75" s="110"/>
      <c r="AN75" s="110"/>
      <c r="AO75" s="110"/>
      <c r="AP75" s="110"/>
      <c r="AQ75" s="110"/>
      <c r="AR75" s="110"/>
      <c r="AS75" s="110"/>
      <c r="AT75" s="110"/>
      <c r="AU75" s="110"/>
      <c r="AV75" s="110"/>
      <c r="AW75" s="110"/>
      <c r="AX75" s="110"/>
      <c r="AY75" s="110"/>
    </row>
    <row r="76" spans="1:51">
      <c r="A76" s="109"/>
      <c r="B76" s="127">
        <v>32</v>
      </c>
      <c r="C76" s="109" t="s">
        <v>293</v>
      </c>
      <c r="D76" s="110"/>
      <c r="E76" s="110"/>
      <c r="F76" s="110"/>
      <c r="G76" s="110"/>
      <c r="H76" s="110"/>
      <c r="I76" s="110"/>
      <c r="J76" s="110"/>
      <c r="K76" s="110"/>
      <c r="L76" s="110"/>
      <c r="M76" s="110"/>
      <c r="N76" s="110"/>
      <c r="O76" s="110"/>
      <c r="P76" s="110"/>
      <c r="Q76" s="110"/>
      <c r="R76" s="110"/>
      <c r="S76" s="110"/>
      <c r="T76" s="110"/>
      <c r="U76" s="110"/>
      <c r="V76" s="110"/>
      <c r="W76" s="110"/>
      <c r="X76" s="110"/>
      <c r="Y76" s="110"/>
      <c r="Z76" s="110"/>
      <c r="AA76" s="110"/>
      <c r="AB76" s="110"/>
      <c r="AC76" s="110"/>
      <c r="AD76" s="110"/>
      <c r="AE76" s="110"/>
      <c r="AF76" s="110"/>
      <c r="AG76" s="110"/>
      <c r="AH76" s="110"/>
      <c r="AI76" s="110"/>
      <c r="AJ76" s="110"/>
      <c r="AK76" s="110"/>
      <c r="AL76" s="110"/>
      <c r="AM76" s="110"/>
      <c r="AN76" s="110"/>
      <c r="AO76" s="110"/>
      <c r="AP76" s="110"/>
      <c r="AQ76" s="110"/>
      <c r="AR76" s="110"/>
      <c r="AS76" s="110"/>
      <c r="AT76" s="110"/>
      <c r="AU76" s="110"/>
      <c r="AV76" s="110"/>
      <c r="AW76" s="110"/>
      <c r="AX76" s="110"/>
      <c r="AY76" s="110"/>
    </row>
    <row r="77" spans="1:51">
      <c r="A77" s="109"/>
      <c r="B77" s="127">
        <v>33</v>
      </c>
      <c r="C77" s="109" t="s">
        <v>293</v>
      </c>
      <c r="D77" s="110"/>
      <c r="E77" s="110"/>
      <c r="F77" s="110"/>
      <c r="G77" s="110"/>
      <c r="H77" s="110"/>
      <c r="I77" s="110"/>
      <c r="J77" s="110"/>
      <c r="K77" s="110"/>
      <c r="L77" s="110"/>
      <c r="M77" s="110"/>
      <c r="N77" s="110"/>
      <c r="O77" s="110"/>
      <c r="P77" s="110"/>
      <c r="Q77" s="110"/>
      <c r="R77" s="110"/>
      <c r="S77" s="110"/>
      <c r="T77" s="110"/>
      <c r="U77" s="110"/>
      <c r="V77" s="110"/>
      <c r="W77" s="110"/>
      <c r="X77" s="110"/>
      <c r="Y77" s="110"/>
      <c r="Z77" s="110"/>
      <c r="AA77" s="110"/>
      <c r="AB77" s="110"/>
      <c r="AC77" s="110"/>
      <c r="AD77" s="110"/>
      <c r="AE77" s="110"/>
      <c r="AF77" s="110"/>
      <c r="AG77" s="110"/>
      <c r="AH77" s="110"/>
      <c r="AI77" s="110"/>
      <c r="AJ77" s="110"/>
      <c r="AK77" s="110"/>
      <c r="AL77" s="110"/>
      <c r="AM77" s="110"/>
      <c r="AN77" s="110"/>
      <c r="AO77" s="110"/>
      <c r="AP77" s="110"/>
      <c r="AQ77" s="110"/>
      <c r="AR77" s="110"/>
      <c r="AS77" s="110"/>
      <c r="AT77" s="110"/>
      <c r="AU77" s="110"/>
      <c r="AV77" s="110"/>
      <c r="AW77" s="110"/>
      <c r="AX77" s="110"/>
      <c r="AY77" s="110"/>
    </row>
    <row r="78" spans="1:51">
      <c r="A78" s="109"/>
      <c r="B78" s="127">
        <v>34</v>
      </c>
      <c r="C78" s="109" t="s">
        <v>293</v>
      </c>
      <c r="D78" s="110"/>
      <c r="E78" s="110"/>
      <c r="F78" s="110"/>
      <c r="G78" s="110"/>
      <c r="H78" s="110"/>
      <c r="I78" s="110"/>
      <c r="J78" s="110"/>
      <c r="K78" s="110"/>
      <c r="L78" s="110"/>
      <c r="M78" s="110"/>
      <c r="N78" s="110"/>
      <c r="O78" s="110"/>
      <c r="P78" s="110"/>
      <c r="Q78" s="110"/>
      <c r="R78" s="110"/>
      <c r="S78" s="110"/>
      <c r="T78" s="110"/>
      <c r="U78" s="110"/>
      <c r="V78" s="110"/>
      <c r="W78" s="110"/>
      <c r="X78" s="110"/>
      <c r="Y78" s="110"/>
      <c r="Z78" s="110"/>
      <c r="AA78" s="110"/>
      <c r="AB78" s="110"/>
      <c r="AC78" s="110"/>
      <c r="AD78" s="110"/>
      <c r="AE78" s="110"/>
      <c r="AF78" s="110"/>
      <c r="AG78" s="110"/>
      <c r="AH78" s="110"/>
      <c r="AI78" s="110"/>
      <c r="AJ78" s="110"/>
      <c r="AK78" s="110"/>
      <c r="AL78" s="110"/>
      <c r="AM78" s="110"/>
      <c r="AN78" s="110"/>
      <c r="AO78" s="110"/>
      <c r="AP78" s="110"/>
      <c r="AQ78" s="110"/>
      <c r="AR78" s="110"/>
      <c r="AS78" s="110"/>
      <c r="AT78" s="110"/>
      <c r="AU78" s="110"/>
      <c r="AV78" s="110"/>
      <c r="AW78" s="110"/>
      <c r="AX78" s="110"/>
      <c r="AY78" s="110"/>
    </row>
    <row r="79" spans="1:51">
      <c r="A79" s="109"/>
      <c r="B79" s="127">
        <v>35</v>
      </c>
      <c r="C79" s="109" t="s">
        <v>293</v>
      </c>
      <c r="D79" s="110"/>
      <c r="E79" s="110"/>
      <c r="F79" s="110"/>
      <c r="G79" s="110"/>
      <c r="H79" s="110"/>
      <c r="I79" s="110"/>
      <c r="J79" s="110"/>
      <c r="K79" s="110"/>
      <c r="L79" s="110"/>
      <c r="M79" s="110"/>
      <c r="N79" s="110"/>
      <c r="O79" s="110"/>
      <c r="P79" s="110"/>
      <c r="Q79" s="110"/>
      <c r="R79" s="110"/>
      <c r="S79" s="110"/>
      <c r="T79" s="110"/>
      <c r="U79" s="110"/>
      <c r="V79" s="110"/>
      <c r="W79" s="110"/>
      <c r="X79" s="110"/>
      <c r="Y79" s="110"/>
      <c r="Z79" s="110"/>
      <c r="AA79" s="110"/>
      <c r="AB79" s="110"/>
      <c r="AC79" s="110"/>
      <c r="AD79" s="110"/>
      <c r="AE79" s="110"/>
      <c r="AF79" s="110"/>
      <c r="AG79" s="110"/>
      <c r="AH79" s="110"/>
      <c r="AI79" s="110"/>
      <c r="AJ79" s="110"/>
      <c r="AK79" s="110"/>
      <c r="AL79" s="110"/>
      <c r="AM79" s="110"/>
      <c r="AN79" s="110"/>
      <c r="AO79" s="110"/>
      <c r="AP79" s="110"/>
      <c r="AQ79" s="110"/>
      <c r="AR79" s="110"/>
      <c r="AS79" s="110"/>
      <c r="AT79" s="110"/>
      <c r="AU79" s="110"/>
      <c r="AV79" s="110"/>
      <c r="AW79" s="110"/>
      <c r="AX79" s="110"/>
      <c r="AY79" s="110"/>
    </row>
    <row r="80" spans="1:51">
      <c r="A80" s="109"/>
      <c r="B80" s="127">
        <v>36</v>
      </c>
      <c r="C80" s="109" t="s">
        <v>293</v>
      </c>
      <c r="D80" s="110"/>
      <c r="E80" s="110"/>
      <c r="F80" s="110"/>
      <c r="G80" s="110"/>
      <c r="H80" s="110"/>
      <c r="I80" s="110"/>
      <c r="J80" s="110"/>
      <c r="K80" s="110"/>
      <c r="L80" s="110"/>
      <c r="M80" s="110"/>
      <c r="N80" s="110"/>
      <c r="O80" s="110"/>
      <c r="P80" s="110"/>
      <c r="Q80" s="110"/>
      <c r="R80" s="110"/>
      <c r="S80" s="110"/>
      <c r="T80" s="110"/>
      <c r="U80" s="110"/>
      <c r="V80" s="110"/>
      <c r="W80" s="110"/>
      <c r="X80" s="110"/>
      <c r="Y80" s="110"/>
      <c r="Z80" s="110"/>
      <c r="AA80" s="110"/>
      <c r="AB80" s="110"/>
      <c r="AC80" s="110"/>
      <c r="AD80" s="110"/>
      <c r="AE80" s="110"/>
      <c r="AF80" s="110"/>
      <c r="AG80" s="110"/>
      <c r="AH80" s="110"/>
      <c r="AI80" s="110"/>
      <c r="AJ80" s="110"/>
      <c r="AK80" s="110"/>
      <c r="AL80" s="110"/>
      <c r="AM80" s="110"/>
      <c r="AN80" s="110"/>
      <c r="AO80" s="110"/>
      <c r="AP80" s="110"/>
      <c r="AQ80" s="110"/>
      <c r="AR80" s="110"/>
      <c r="AS80" s="110"/>
      <c r="AT80" s="110"/>
      <c r="AU80" s="110"/>
      <c r="AV80" s="110"/>
      <c r="AW80" s="110"/>
      <c r="AX80" s="110"/>
      <c r="AY80" s="110"/>
    </row>
    <row r="81" spans="1:52">
      <c r="A81" s="109"/>
      <c r="B81" s="130">
        <v>37</v>
      </c>
      <c r="C81" s="109" t="s">
        <v>293</v>
      </c>
      <c r="D81" s="110"/>
      <c r="E81" s="110"/>
      <c r="F81" s="110"/>
      <c r="G81" s="110"/>
      <c r="H81" s="110"/>
      <c r="I81" s="110"/>
      <c r="J81" s="110"/>
      <c r="K81" s="110"/>
      <c r="L81" s="110"/>
      <c r="M81" s="110"/>
      <c r="N81" s="110"/>
      <c r="O81" s="110"/>
      <c r="P81" s="110"/>
      <c r="Q81" s="110"/>
      <c r="R81" s="110"/>
      <c r="S81" s="110"/>
      <c r="T81" s="110"/>
      <c r="U81" s="110"/>
      <c r="V81" s="110"/>
      <c r="W81" s="110"/>
      <c r="X81" s="110"/>
      <c r="Y81" s="110"/>
      <c r="Z81" s="110"/>
      <c r="AA81" s="110"/>
      <c r="AB81" s="110"/>
      <c r="AC81" s="110"/>
      <c r="AD81" s="110"/>
      <c r="AE81" s="110"/>
      <c r="AF81" s="110"/>
      <c r="AG81" s="110"/>
      <c r="AH81" s="110"/>
      <c r="AI81" s="110"/>
      <c r="AJ81" s="110"/>
      <c r="AK81" s="110"/>
      <c r="AL81" s="110"/>
      <c r="AM81" s="110"/>
      <c r="AN81" s="110"/>
      <c r="AO81" s="110"/>
      <c r="AP81" s="110"/>
      <c r="AQ81" s="110"/>
      <c r="AR81" s="110"/>
      <c r="AS81" s="110"/>
      <c r="AT81" s="110"/>
      <c r="AU81" s="110"/>
      <c r="AV81" s="110"/>
      <c r="AW81" s="110"/>
      <c r="AX81" s="110"/>
      <c r="AY81" s="110"/>
    </row>
    <row r="82" spans="1:52">
      <c r="A82" s="109"/>
      <c r="B82" s="130">
        <v>38</v>
      </c>
      <c r="C82" s="109" t="s">
        <v>293</v>
      </c>
      <c r="D82" s="110"/>
      <c r="E82" s="110"/>
      <c r="F82" s="110"/>
      <c r="G82" s="110"/>
      <c r="H82" s="110"/>
      <c r="I82" s="110"/>
      <c r="J82" s="110"/>
      <c r="K82" s="110"/>
      <c r="L82" s="110"/>
      <c r="M82" s="110"/>
      <c r="N82" s="110"/>
      <c r="O82" s="110"/>
      <c r="P82" s="110"/>
      <c r="Q82" s="110"/>
      <c r="R82" s="110"/>
      <c r="S82" s="110"/>
      <c r="T82" s="110"/>
      <c r="U82" s="110"/>
      <c r="V82" s="110"/>
      <c r="W82" s="110"/>
      <c r="X82" s="110"/>
      <c r="Y82" s="110"/>
      <c r="Z82" s="110"/>
      <c r="AA82" s="110"/>
      <c r="AB82" s="110"/>
      <c r="AC82" s="110"/>
      <c r="AD82" s="110"/>
      <c r="AE82" s="110"/>
      <c r="AF82" s="110"/>
      <c r="AG82" s="110"/>
      <c r="AH82" s="110"/>
      <c r="AI82" s="110"/>
      <c r="AJ82" s="110"/>
      <c r="AK82" s="110"/>
      <c r="AL82" s="110"/>
      <c r="AM82" s="110"/>
      <c r="AN82" s="110"/>
      <c r="AO82" s="110"/>
      <c r="AP82" s="110"/>
      <c r="AQ82" s="110"/>
      <c r="AR82" s="110"/>
      <c r="AS82" s="110"/>
      <c r="AT82" s="110"/>
      <c r="AU82" s="110"/>
      <c r="AV82" s="110"/>
      <c r="AW82" s="110"/>
      <c r="AX82" s="110"/>
      <c r="AY82" s="110"/>
    </row>
    <row r="83" spans="1:52">
      <c r="A83" s="109"/>
      <c r="B83" s="130">
        <v>39</v>
      </c>
      <c r="C83" s="109" t="s">
        <v>293</v>
      </c>
      <c r="D83" s="110"/>
      <c r="E83" s="110"/>
      <c r="F83" s="110"/>
      <c r="G83" s="110"/>
      <c r="H83" s="110"/>
      <c r="I83" s="110"/>
      <c r="J83" s="110"/>
      <c r="K83" s="110"/>
      <c r="L83" s="110"/>
      <c r="M83" s="110"/>
      <c r="N83" s="110"/>
      <c r="O83" s="110"/>
      <c r="P83" s="110"/>
      <c r="Q83" s="110"/>
      <c r="R83" s="110"/>
      <c r="S83" s="110"/>
      <c r="T83" s="110"/>
      <c r="U83" s="110"/>
      <c r="V83" s="110"/>
      <c r="W83" s="110"/>
      <c r="X83" s="110"/>
      <c r="Y83" s="110"/>
      <c r="Z83" s="110"/>
      <c r="AA83" s="110"/>
      <c r="AB83" s="110"/>
      <c r="AC83" s="110"/>
      <c r="AD83" s="110"/>
      <c r="AE83" s="110"/>
      <c r="AF83" s="110"/>
      <c r="AG83" s="110"/>
      <c r="AH83" s="110"/>
      <c r="AI83" s="110"/>
      <c r="AJ83" s="110"/>
      <c r="AK83" s="110"/>
      <c r="AL83" s="110"/>
      <c r="AM83" s="110"/>
      <c r="AN83" s="110"/>
      <c r="AO83" s="110"/>
      <c r="AP83" s="110"/>
      <c r="AQ83" s="110"/>
      <c r="AR83" s="110"/>
      <c r="AS83" s="110"/>
      <c r="AT83" s="110"/>
      <c r="AU83" s="110"/>
      <c r="AV83" s="110"/>
      <c r="AW83" s="110"/>
      <c r="AX83" s="110"/>
      <c r="AY83" s="110"/>
    </row>
    <row r="84" spans="1:52">
      <c r="A84" s="109"/>
      <c r="B84" s="130">
        <v>40</v>
      </c>
      <c r="C84" s="109" t="s">
        <v>293</v>
      </c>
      <c r="D84" s="110"/>
      <c r="E84" s="110"/>
      <c r="F84" s="110"/>
      <c r="G84" s="110"/>
      <c r="H84" s="110"/>
      <c r="I84" s="110"/>
      <c r="J84" s="110"/>
      <c r="K84" s="110"/>
      <c r="L84" s="110"/>
      <c r="M84" s="110"/>
      <c r="N84" s="110"/>
      <c r="O84" s="110"/>
      <c r="P84" s="110"/>
      <c r="Q84" s="110"/>
      <c r="R84" s="110"/>
      <c r="S84" s="110"/>
      <c r="T84" s="110"/>
      <c r="U84" s="110"/>
      <c r="V84" s="110"/>
      <c r="W84" s="110"/>
      <c r="X84" s="110"/>
      <c r="Y84" s="110"/>
      <c r="Z84" s="110"/>
      <c r="AA84" s="110"/>
      <c r="AB84" s="110"/>
      <c r="AC84" s="110"/>
      <c r="AD84" s="110"/>
      <c r="AE84" s="110"/>
      <c r="AF84" s="110"/>
      <c r="AG84" s="110"/>
      <c r="AH84" s="110"/>
      <c r="AI84" s="110"/>
      <c r="AJ84" s="110"/>
      <c r="AK84" s="110"/>
      <c r="AL84" s="110"/>
      <c r="AM84" s="110"/>
      <c r="AN84" s="110"/>
      <c r="AO84" s="110"/>
      <c r="AP84" s="110"/>
      <c r="AQ84" s="110"/>
      <c r="AR84" s="110"/>
      <c r="AS84" s="110"/>
      <c r="AT84" s="110"/>
      <c r="AU84" s="110"/>
      <c r="AV84" s="110"/>
      <c r="AW84" s="110"/>
      <c r="AX84" s="110"/>
      <c r="AY84" s="110"/>
    </row>
    <row r="85" spans="1:52">
      <c r="A85" s="109"/>
      <c r="B85" s="130">
        <v>41</v>
      </c>
      <c r="C85" s="109" t="s">
        <v>293</v>
      </c>
      <c r="D85" s="110"/>
      <c r="E85" s="110"/>
      <c r="F85" s="110"/>
      <c r="G85" s="110"/>
      <c r="H85" s="110"/>
      <c r="I85" s="110"/>
      <c r="J85" s="110"/>
      <c r="K85" s="110"/>
      <c r="L85" s="110"/>
      <c r="M85" s="110"/>
      <c r="N85" s="110"/>
      <c r="O85" s="110"/>
      <c r="P85" s="110"/>
      <c r="Q85" s="110"/>
      <c r="R85" s="110"/>
      <c r="S85" s="110"/>
      <c r="T85" s="110"/>
      <c r="U85" s="110"/>
      <c r="V85" s="110"/>
      <c r="W85" s="110"/>
      <c r="X85" s="110"/>
      <c r="Y85" s="110"/>
      <c r="Z85" s="110"/>
      <c r="AA85" s="110"/>
      <c r="AB85" s="110"/>
      <c r="AC85" s="110"/>
      <c r="AD85" s="110"/>
      <c r="AE85" s="110"/>
      <c r="AF85" s="110"/>
      <c r="AG85" s="110"/>
      <c r="AH85" s="110"/>
      <c r="AI85" s="110"/>
      <c r="AJ85" s="110"/>
      <c r="AK85" s="110"/>
      <c r="AL85" s="110"/>
      <c r="AM85" s="110"/>
      <c r="AN85" s="110"/>
      <c r="AO85" s="110"/>
      <c r="AP85" s="110"/>
      <c r="AQ85" s="110"/>
      <c r="AR85" s="110"/>
      <c r="AS85" s="110"/>
      <c r="AT85" s="110"/>
      <c r="AU85" s="110"/>
      <c r="AV85" s="110"/>
      <c r="AW85" s="110"/>
      <c r="AX85" s="110"/>
      <c r="AY85" s="110"/>
    </row>
    <row r="86" spans="1:52">
      <c r="A86" s="109"/>
      <c r="B86" s="130">
        <v>42</v>
      </c>
      <c r="C86" s="109" t="s">
        <v>293</v>
      </c>
      <c r="D86" s="110"/>
      <c r="E86" s="110"/>
      <c r="F86" s="110"/>
      <c r="G86" s="110"/>
      <c r="H86" s="110"/>
      <c r="I86" s="110"/>
      <c r="J86" s="110"/>
      <c r="K86" s="110"/>
      <c r="L86" s="110"/>
      <c r="M86" s="110"/>
      <c r="N86" s="110"/>
      <c r="O86" s="110"/>
      <c r="P86" s="110"/>
      <c r="Q86" s="110"/>
      <c r="R86" s="110"/>
      <c r="S86" s="110"/>
      <c r="T86" s="110"/>
      <c r="U86" s="110"/>
      <c r="V86" s="110"/>
      <c r="W86" s="110"/>
      <c r="X86" s="110"/>
      <c r="Y86" s="110"/>
      <c r="Z86" s="110"/>
      <c r="AA86" s="110"/>
      <c r="AB86" s="110"/>
      <c r="AC86" s="110"/>
      <c r="AD86" s="110"/>
      <c r="AE86" s="110"/>
      <c r="AF86" s="110"/>
      <c r="AG86" s="110"/>
      <c r="AH86" s="110"/>
      <c r="AI86" s="110"/>
      <c r="AJ86" s="110"/>
      <c r="AK86" s="110"/>
      <c r="AL86" s="110"/>
      <c r="AM86" s="110"/>
      <c r="AN86" s="110"/>
      <c r="AO86" s="110"/>
      <c r="AP86" s="110"/>
      <c r="AQ86" s="110"/>
      <c r="AR86" s="110"/>
      <c r="AS86" s="110"/>
      <c r="AT86" s="110"/>
      <c r="AU86" s="110"/>
      <c r="AV86" s="110"/>
      <c r="AW86" s="110"/>
      <c r="AX86" s="110"/>
      <c r="AY86" s="110"/>
    </row>
    <row r="87" spans="1:52">
      <c r="A87" s="109"/>
      <c r="B87" s="130">
        <v>43</v>
      </c>
      <c r="C87" s="109" t="s">
        <v>293</v>
      </c>
      <c r="D87" s="110"/>
      <c r="E87" s="110"/>
      <c r="F87" s="110"/>
      <c r="G87" s="110"/>
      <c r="H87" s="110"/>
      <c r="I87" s="110"/>
      <c r="J87" s="110"/>
      <c r="K87" s="110"/>
      <c r="L87" s="110"/>
      <c r="M87" s="110"/>
      <c r="N87" s="110"/>
      <c r="O87" s="110"/>
      <c r="P87" s="110"/>
      <c r="Q87" s="110"/>
      <c r="R87" s="110"/>
      <c r="S87" s="110"/>
      <c r="T87" s="110"/>
      <c r="U87" s="110"/>
      <c r="V87" s="110"/>
      <c r="W87" s="110"/>
      <c r="X87" s="110"/>
      <c r="Y87" s="110"/>
      <c r="Z87" s="110"/>
      <c r="AA87" s="110"/>
      <c r="AB87" s="110"/>
      <c r="AC87" s="110"/>
      <c r="AD87" s="110"/>
      <c r="AE87" s="110"/>
      <c r="AF87" s="110"/>
      <c r="AG87" s="110"/>
      <c r="AH87" s="110"/>
      <c r="AI87" s="110"/>
      <c r="AJ87" s="110"/>
      <c r="AK87" s="110"/>
      <c r="AL87" s="110"/>
      <c r="AM87" s="110"/>
      <c r="AN87" s="110"/>
      <c r="AO87" s="110"/>
      <c r="AP87" s="110"/>
      <c r="AQ87" s="110"/>
      <c r="AR87" s="110"/>
      <c r="AS87" s="110"/>
      <c r="AT87" s="110"/>
      <c r="AU87" s="110"/>
      <c r="AV87" s="110"/>
      <c r="AW87" s="110"/>
      <c r="AX87" s="110"/>
      <c r="AY87" s="110"/>
    </row>
    <row r="88" spans="1:52">
      <c r="A88" s="109"/>
      <c r="B88" s="130">
        <v>44</v>
      </c>
      <c r="C88" s="109" t="s">
        <v>293</v>
      </c>
      <c r="D88" s="110"/>
      <c r="E88" s="110"/>
      <c r="F88" s="110"/>
      <c r="G88" s="110"/>
      <c r="H88" s="110"/>
      <c r="I88" s="110"/>
      <c r="J88" s="110"/>
      <c r="K88" s="110"/>
      <c r="L88" s="110"/>
      <c r="M88" s="110"/>
      <c r="N88" s="110"/>
      <c r="O88" s="110"/>
      <c r="P88" s="110"/>
      <c r="Q88" s="110"/>
      <c r="R88" s="110"/>
      <c r="S88" s="110"/>
      <c r="T88" s="110"/>
      <c r="U88" s="110"/>
      <c r="V88" s="110"/>
      <c r="W88" s="110"/>
      <c r="X88" s="110"/>
      <c r="Y88" s="110"/>
      <c r="Z88" s="110"/>
      <c r="AA88" s="110"/>
      <c r="AB88" s="110"/>
      <c r="AC88" s="110"/>
      <c r="AD88" s="110"/>
      <c r="AE88" s="110"/>
      <c r="AF88" s="110"/>
      <c r="AG88" s="110"/>
      <c r="AH88" s="110"/>
      <c r="AI88" s="110"/>
      <c r="AJ88" s="110"/>
      <c r="AK88" s="110"/>
      <c r="AL88" s="110"/>
      <c r="AM88" s="110"/>
      <c r="AN88" s="110"/>
      <c r="AO88" s="110"/>
      <c r="AP88" s="110"/>
      <c r="AQ88" s="110"/>
      <c r="AR88" s="110"/>
      <c r="AS88" s="110"/>
      <c r="AT88" s="110"/>
      <c r="AU88" s="110"/>
      <c r="AV88" s="110"/>
      <c r="AW88" s="110"/>
      <c r="AX88" s="110"/>
      <c r="AY88" s="110"/>
    </row>
    <row r="89" spans="1:52">
      <c r="A89" s="109"/>
      <c r="B89" s="130">
        <v>45</v>
      </c>
      <c r="C89" s="109" t="s">
        <v>293</v>
      </c>
      <c r="D89" s="110"/>
      <c r="E89" s="110"/>
      <c r="F89" s="110">
        <v>0</v>
      </c>
      <c r="G89" s="110"/>
      <c r="H89" s="110"/>
      <c r="I89" s="110"/>
      <c r="J89" s="110"/>
      <c r="K89" s="110"/>
      <c r="L89" s="110"/>
      <c r="M89" s="110"/>
      <c r="N89" s="110"/>
      <c r="O89" s="110"/>
      <c r="P89" s="110"/>
      <c r="Q89" s="110"/>
      <c r="R89" s="110"/>
      <c r="S89" s="110">
        <v>0</v>
      </c>
      <c r="T89" s="110"/>
      <c r="U89" s="110"/>
      <c r="V89" s="110"/>
      <c r="W89" s="110"/>
      <c r="X89" s="110"/>
      <c r="Y89" s="110"/>
      <c r="Z89" s="110"/>
      <c r="AA89" s="110"/>
      <c r="AB89" s="110"/>
      <c r="AC89" s="110"/>
      <c r="AD89" s="110"/>
      <c r="AE89" s="110"/>
      <c r="AF89" s="110"/>
      <c r="AG89" s="110"/>
      <c r="AH89" s="110"/>
      <c r="AI89" s="110"/>
      <c r="AJ89" s="110"/>
      <c r="AK89" s="110"/>
      <c r="AL89" s="110"/>
      <c r="AM89" s="110"/>
      <c r="AN89" s="110"/>
      <c r="AO89" s="110"/>
      <c r="AP89" s="110"/>
      <c r="AQ89" s="110"/>
      <c r="AR89" s="110"/>
      <c r="AS89" s="110"/>
      <c r="AT89" s="110"/>
      <c r="AU89" s="110"/>
      <c r="AV89" s="110">
        <v>0</v>
      </c>
      <c r="AW89" s="110"/>
      <c r="AX89" s="110"/>
      <c r="AY89" s="110"/>
    </row>
    <row r="90" spans="1:52">
      <c r="A90" s="109"/>
      <c r="B90" s="130">
        <v>46</v>
      </c>
      <c r="C90" s="109" t="s">
        <v>293</v>
      </c>
      <c r="D90" s="110"/>
      <c r="E90" s="110"/>
      <c r="F90" s="110">
        <v>0</v>
      </c>
      <c r="G90" s="110"/>
      <c r="H90" s="110"/>
      <c r="I90" s="110"/>
      <c r="J90" s="110"/>
      <c r="K90" s="110"/>
      <c r="L90" s="110"/>
      <c r="M90" s="110"/>
      <c r="N90" s="110"/>
      <c r="O90" s="110"/>
      <c r="P90" s="110"/>
      <c r="Q90" s="110"/>
      <c r="R90" s="110"/>
      <c r="S90" s="110">
        <v>0</v>
      </c>
      <c r="T90" s="110"/>
      <c r="U90" s="110"/>
      <c r="V90" s="110"/>
      <c r="W90" s="110"/>
      <c r="X90" s="110"/>
      <c r="Y90" s="110"/>
      <c r="Z90" s="110"/>
      <c r="AA90" s="110"/>
      <c r="AB90" s="110"/>
      <c r="AC90" s="110"/>
      <c r="AD90" s="110"/>
      <c r="AE90" s="110"/>
      <c r="AF90" s="110"/>
      <c r="AG90" s="110"/>
      <c r="AH90" s="110"/>
      <c r="AI90" s="110"/>
      <c r="AJ90" s="110">
        <v>0</v>
      </c>
      <c r="AK90" s="110"/>
      <c r="AL90" s="110"/>
      <c r="AM90" s="110"/>
      <c r="AN90" s="110"/>
      <c r="AO90" s="110"/>
      <c r="AP90" s="110"/>
      <c r="AQ90" s="110"/>
      <c r="AR90" s="110"/>
      <c r="AS90" s="110"/>
      <c r="AT90" s="110"/>
      <c r="AU90" s="110"/>
      <c r="AV90" s="110">
        <v>0</v>
      </c>
      <c r="AW90" s="110"/>
      <c r="AX90" s="110"/>
      <c r="AY90" s="110"/>
    </row>
    <row r="91" spans="1:52">
      <c r="A91" s="109"/>
      <c r="B91" s="130">
        <v>47</v>
      </c>
      <c r="C91" s="109" t="s">
        <v>293</v>
      </c>
      <c r="D91" s="110"/>
      <c r="E91" s="110"/>
      <c r="F91" s="110">
        <v>0</v>
      </c>
      <c r="G91" s="110"/>
      <c r="H91" s="110"/>
      <c r="I91" s="110"/>
      <c r="J91" s="110"/>
      <c r="K91" s="110"/>
      <c r="L91" s="110"/>
      <c r="M91" s="110"/>
      <c r="N91" s="110"/>
      <c r="O91" s="110"/>
      <c r="P91" s="110"/>
      <c r="Q91" s="110"/>
      <c r="R91" s="110"/>
      <c r="S91" s="110">
        <v>0</v>
      </c>
      <c r="T91" s="110"/>
      <c r="U91" s="110"/>
      <c r="V91" s="110"/>
      <c r="W91" s="110"/>
      <c r="X91" s="110"/>
      <c r="Y91" s="110"/>
      <c r="Z91" s="110"/>
      <c r="AA91" s="110"/>
      <c r="AB91" s="110"/>
      <c r="AC91" s="110"/>
      <c r="AD91" s="110"/>
      <c r="AE91" s="110"/>
      <c r="AF91" s="110"/>
      <c r="AG91" s="110"/>
      <c r="AH91" s="110"/>
      <c r="AI91" s="110"/>
      <c r="AJ91" s="110">
        <v>0</v>
      </c>
      <c r="AK91" s="110"/>
      <c r="AL91" s="110"/>
      <c r="AM91" s="110"/>
      <c r="AN91" s="110"/>
      <c r="AO91" s="110"/>
      <c r="AP91" s="110"/>
      <c r="AQ91" s="110"/>
      <c r="AR91" s="110"/>
      <c r="AS91" s="110"/>
      <c r="AT91" s="110"/>
      <c r="AU91" s="110"/>
      <c r="AV91" s="110">
        <v>0</v>
      </c>
      <c r="AW91" s="110"/>
      <c r="AX91" s="110"/>
      <c r="AY91" s="110"/>
    </row>
    <row r="92" spans="1:52">
      <c r="A92" s="128"/>
      <c r="B92" s="129">
        <v>48</v>
      </c>
      <c r="C92" s="128" t="s">
        <v>293</v>
      </c>
      <c r="D92" s="125">
        <v>0</v>
      </c>
      <c r="E92" s="125">
        <v>0</v>
      </c>
      <c r="F92" s="125">
        <v>0</v>
      </c>
      <c r="G92" s="125">
        <v>0</v>
      </c>
      <c r="H92" s="125">
        <v>0</v>
      </c>
      <c r="I92" s="125">
        <v>0</v>
      </c>
      <c r="J92" s="125">
        <v>0</v>
      </c>
      <c r="K92" s="125">
        <v>0</v>
      </c>
      <c r="L92" s="125">
        <v>0</v>
      </c>
      <c r="M92" s="125">
        <v>0</v>
      </c>
      <c r="N92" s="125">
        <v>0</v>
      </c>
      <c r="O92" s="125">
        <v>0</v>
      </c>
      <c r="P92" s="125">
        <v>0</v>
      </c>
      <c r="Q92" s="125">
        <v>0</v>
      </c>
      <c r="R92" s="125">
        <v>0</v>
      </c>
      <c r="S92" s="125">
        <v>0</v>
      </c>
      <c r="T92" s="125">
        <v>0</v>
      </c>
      <c r="U92" s="125">
        <v>0</v>
      </c>
      <c r="V92" s="125">
        <v>0</v>
      </c>
      <c r="W92" s="125">
        <v>0</v>
      </c>
      <c r="X92" s="125">
        <v>0</v>
      </c>
      <c r="Y92" s="125">
        <v>0</v>
      </c>
      <c r="Z92" s="125">
        <v>0</v>
      </c>
      <c r="AA92" s="125">
        <v>0</v>
      </c>
      <c r="AB92" s="125">
        <v>0</v>
      </c>
      <c r="AC92" s="125">
        <v>0</v>
      </c>
      <c r="AD92" s="125">
        <v>0</v>
      </c>
      <c r="AE92" s="125">
        <v>0</v>
      </c>
      <c r="AF92" s="125">
        <v>0</v>
      </c>
      <c r="AG92" s="125">
        <v>0</v>
      </c>
      <c r="AH92" s="125">
        <v>0</v>
      </c>
      <c r="AI92" s="125">
        <v>0</v>
      </c>
      <c r="AJ92" s="125">
        <v>0</v>
      </c>
      <c r="AK92" s="125">
        <v>0</v>
      </c>
      <c r="AL92" s="125">
        <v>0</v>
      </c>
      <c r="AM92" s="125">
        <v>0</v>
      </c>
      <c r="AN92" s="125">
        <v>0</v>
      </c>
      <c r="AO92" s="125">
        <v>0</v>
      </c>
      <c r="AP92" s="125">
        <v>0</v>
      </c>
      <c r="AQ92" s="125">
        <v>0</v>
      </c>
      <c r="AR92" s="125">
        <v>0</v>
      </c>
      <c r="AS92" s="125">
        <v>0</v>
      </c>
      <c r="AT92" s="125">
        <v>0</v>
      </c>
      <c r="AU92" s="125">
        <v>0</v>
      </c>
      <c r="AV92" s="125">
        <v>0</v>
      </c>
      <c r="AW92" s="125">
        <v>0</v>
      </c>
      <c r="AX92" s="125">
        <v>0</v>
      </c>
      <c r="AY92" s="125">
        <v>0</v>
      </c>
      <c r="AZ92" s="107">
        <f>SUM(D21:AY92)</f>
        <v>1166.3399434741532</v>
      </c>
    </row>
    <row r="94" spans="1:52">
      <c r="A94" s="102" t="s">
        <v>295</v>
      </c>
      <c r="B94" s="106"/>
      <c r="C94" s="106"/>
      <c r="D94" s="114"/>
      <c r="E94" s="114"/>
      <c r="F94" s="114"/>
      <c r="G94" s="114"/>
      <c r="H94" s="114"/>
      <c r="I94" s="114"/>
      <c r="J94" s="114"/>
      <c r="K94" s="114"/>
      <c r="L94" s="114"/>
      <c r="M94" s="114"/>
      <c r="N94" s="114"/>
      <c r="O94" s="114"/>
      <c r="P94" s="114"/>
      <c r="Q94" s="114"/>
      <c r="R94" s="114"/>
      <c r="S94" s="114"/>
      <c r="T94" s="114"/>
      <c r="U94" s="114"/>
      <c r="V94" s="114"/>
      <c r="W94" s="114"/>
      <c r="X94" s="114"/>
      <c r="Y94" s="114"/>
      <c r="Z94" s="114"/>
      <c r="AA94" s="114"/>
      <c r="AB94" s="114"/>
      <c r="AC94" s="114"/>
      <c r="AD94" s="114"/>
      <c r="AE94" s="114"/>
      <c r="AF94" s="114"/>
      <c r="AG94" s="114"/>
      <c r="AH94" s="114"/>
      <c r="AI94" s="114"/>
      <c r="AJ94" s="114"/>
      <c r="AK94" s="114"/>
      <c r="AL94" s="114"/>
      <c r="AM94" s="114"/>
      <c r="AN94" s="114"/>
      <c r="AO94" s="114"/>
      <c r="AP94" s="114"/>
      <c r="AQ94" s="114"/>
      <c r="AR94" s="114"/>
      <c r="AS94" s="114"/>
      <c r="AT94" s="114"/>
      <c r="AU94" s="114"/>
      <c r="AV94" s="114"/>
      <c r="AW94" s="114"/>
      <c r="AX94" s="114"/>
      <c r="AY94" s="114"/>
    </row>
    <row r="95" spans="1:52">
      <c r="A95" s="126" t="s">
        <v>125</v>
      </c>
      <c r="B95" s="123">
        <v>1</v>
      </c>
      <c r="C95" s="124">
        <v>1051.6079682196969</v>
      </c>
      <c r="D95" s="110">
        <v>1054.0937641335613</v>
      </c>
      <c r="E95" s="110">
        <v>1054.0937641335613</v>
      </c>
      <c r="F95" s="110">
        <v>1038.4563304518506</v>
      </c>
      <c r="G95" s="110">
        <v>1054.0937641335613</v>
      </c>
      <c r="H95" s="110">
        <v>1054.0937641335613</v>
      </c>
      <c r="I95" s="110">
        <v>1054.0937641335613</v>
      </c>
      <c r="J95" s="110">
        <v>1054.0937641335613</v>
      </c>
      <c r="K95" s="110">
        <v>1054.0937641335613</v>
      </c>
      <c r="L95" s="110">
        <v>1054.0937641335613</v>
      </c>
      <c r="M95" s="110">
        <v>1054.0937641335613</v>
      </c>
      <c r="N95" s="110">
        <v>1054.0937641335613</v>
      </c>
      <c r="O95" s="110">
        <v>1054.0937641335613</v>
      </c>
      <c r="P95" s="110">
        <v>1054.0937641335613</v>
      </c>
      <c r="Q95" s="110">
        <v>1054.0937641335613</v>
      </c>
      <c r="R95" s="110">
        <v>1054.0937641335613</v>
      </c>
      <c r="S95" s="110">
        <v>1042.4664546293552</v>
      </c>
      <c r="T95" s="110">
        <v>1054.0937641335613</v>
      </c>
      <c r="U95" s="110">
        <v>1054.0937641335613</v>
      </c>
      <c r="V95" s="110">
        <v>1054.0937641335613</v>
      </c>
      <c r="W95" s="110">
        <v>1054.0937641335613</v>
      </c>
      <c r="X95" s="110">
        <v>1054.0937641335613</v>
      </c>
      <c r="Y95" s="110">
        <v>1054.0937641335613</v>
      </c>
      <c r="Z95" s="110">
        <v>1054.0937641335613</v>
      </c>
      <c r="AA95" s="110">
        <v>1054.0937641335613</v>
      </c>
      <c r="AB95" s="110">
        <v>1054.0937641335613</v>
      </c>
      <c r="AC95" s="110">
        <v>1054.0937641335613</v>
      </c>
      <c r="AD95" s="110">
        <v>1054.0937641335613</v>
      </c>
      <c r="AE95" s="110">
        <v>1054.0937641335613</v>
      </c>
      <c r="AF95" s="110">
        <v>1264.9064440101608</v>
      </c>
      <c r="AG95" s="110">
        <v>1264.9064440101608</v>
      </c>
      <c r="AH95" s="110">
        <v>1264.9064440101608</v>
      </c>
      <c r="AI95" s="110">
        <v>1264.9064440101608</v>
      </c>
      <c r="AJ95" s="110">
        <v>1054.0937641335613</v>
      </c>
      <c r="AK95" s="110">
        <v>1054.0937641335613</v>
      </c>
      <c r="AL95" s="110">
        <v>1054.0937641335613</v>
      </c>
      <c r="AM95" s="110">
        <v>1054.0937641335613</v>
      </c>
      <c r="AN95" s="110">
        <v>1054.0937641335613</v>
      </c>
      <c r="AO95" s="110">
        <v>1054.0937641335613</v>
      </c>
      <c r="AP95" s="110">
        <v>1054.0937641335613</v>
      </c>
      <c r="AQ95" s="110">
        <v>1054.0937641335613</v>
      </c>
      <c r="AR95" s="110">
        <v>1054.0937641335613</v>
      </c>
      <c r="AS95" s="110">
        <v>1054.0937641335613</v>
      </c>
      <c r="AT95" s="110">
        <v>1054.0937641335613</v>
      </c>
      <c r="AU95" s="110">
        <v>1054.0937641335613</v>
      </c>
      <c r="AV95" s="110">
        <v>931.14336908077803</v>
      </c>
      <c r="AW95" s="110">
        <v>1054.0937641335613</v>
      </c>
      <c r="AX95" s="110">
        <v>1054.0937641335613</v>
      </c>
      <c r="AY95" s="110">
        <v>1054.0937641335613</v>
      </c>
    </row>
    <row r="96" spans="1:52">
      <c r="A96" s="109"/>
      <c r="B96" s="120">
        <v>2</v>
      </c>
      <c r="C96" s="110">
        <v>0</v>
      </c>
      <c r="D96" s="110">
        <v>135.60796821969689</v>
      </c>
      <c r="E96" s="110">
        <v>135.70173235325819</v>
      </c>
      <c r="F96" s="110">
        <v>0</v>
      </c>
      <c r="G96" s="110">
        <v>0</v>
      </c>
      <c r="H96" s="110">
        <v>0</v>
      </c>
      <c r="I96" s="110">
        <v>62.093764133561308</v>
      </c>
      <c r="J96" s="110">
        <v>125.18752826712262</v>
      </c>
      <c r="K96" s="110">
        <v>193.28129240068392</v>
      </c>
      <c r="L96" s="110">
        <v>230.37505653424523</v>
      </c>
      <c r="M96" s="110">
        <v>239.46882066780654</v>
      </c>
      <c r="N96" s="110">
        <v>61.562584801367848</v>
      </c>
      <c r="O96" s="110">
        <v>337.65634893492916</v>
      </c>
      <c r="P96" s="110">
        <v>480.75011306849046</v>
      </c>
      <c r="Q96" s="110">
        <v>532.84387720205177</v>
      </c>
      <c r="R96" s="110">
        <v>416.93764133561308</v>
      </c>
      <c r="S96" s="110">
        <v>0</v>
      </c>
      <c r="T96" s="110">
        <v>39.466454629355212</v>
      </c>
      <c r="U96" s="110">
        <v>40.56021876291652</v>
      </c>
      <c r="V96" s="110">
        <v>21.653982896477828</v>
      </c>
      <c r="W96" s="110">
        <v>0</v>
      </c>
      <c r="X96" s="110">
        <v>0</v>
      </c>
      <c r="Y96" s="110">
        <v>4.093764133561308</v>
      </c>
      <c r="Z96" s="110">
        <v>0</v>
      </c>
      <c r="AA96" s="110">
        <v>11.093764133561308</v>
      </c>
      <c r="AB96" s="110">
        <v>35.187528267122616</v>
      </c>
      <c r="AC96" s="110">
        <v>67.281292400683924</v>
      </c>
      <c r="AD96" s="110">
        <v>198.37505653424523</v>
      </c>
      <c r="AE96" s="110">
        <v>183.46882066780654</v>
      </c>
      <c r="AF96" s="110">
        <v>68.562584801367848</v>
      </c>
      <c r="AG96" s="110">
        <v>335.46902881152869</v>
      </c>
      <c r="AH96" s="110">
        <v>294.37547282168953</v>
      </c>
      <c r="AI96" s="110">
        <v>506.28191683185037</v>
      </c>
      <c r="AJ96" s="110">
        <v>153.890457562552</v>
      </c>
      <c r="AK96" s="110">
        <v>112.98422169611331</v>
      </c>
      <c r="AL96" s="110">
        <v>0</v>
      </c>
      <c r="AM96" s="110">
        <v>0</v>
      </c>
      <c r="AN96" s="110">
        <v>0</v>
      </c>
      <c r="AO96" s="110">
        <v>0</v>
      </c>
      <c r="AP96" s="110">
        <v>130.09376413356131</v>
      </c>
      <c r="AQ96" s="110">
        <v>205.18752826712262</v>
      </c>
      <c r="AR96" s="110">
        <v>224.28129240068392</v>
      </c>
      <c r="AS96" s="110">
        <v>110.37505653424523</v>
      </c>
      <c r="AT96" s="110">
        <v>97.46882066780654</v>
      </c>
      <c r="AU96" s="110">
        <v>161.56258480136785</v>
      </c>
      <c r="AV96" s="110">
        <v>0</v>
      </c>
      <c r="AW96" s="110">
        <v>0</v>
      </c>
      <c r="AX96" s="110">
        <v>0</v>
      </c>
      <c r="AY96" s="110">
        <v>0</v>
      </c>
    </row>
    <row r="97" spans="1:52">
      <c r="A97" s="109"/>
      <c r="B97" s="127">
        <v>3</v>
      </c>
      <c r="C97" s="110">
        <v>0</v>
      </c>
      <c r="D97" s="110">
        <v>0</v>
      </c>
      <c r="E97" s="110">
        <v>0</v>
      </c>
      <c r="F97" s="110">
        <v>0</v>
      </c>
      <c r="G97" s="110">
        <v>0</v>
      </c>
      <c r="H97" s="110">
        <v>0</v>
      </c>
      <c r="I97" s="110">
        <v>0</v>
      </c>
      <c r="J97" s="110">
        <v>0</v>
      </c>
      <c r="K97" s="110">
        <v>0</v>
      </c>
      <c r="L97" s="110">
        <v>0</v>
      </c>
      <c r="M97" s="110">
        <v>0</v>
      </c>
      <c r="N97" s="110">
        <v>0</v>
      </c>
      <c r="O97" s="110">
        <v>0</v>
      </c>
      <c r="P97" s="110">
        <v>0</v>
      </c>
      <c r="Q97" s="110">
        <v>0</v>
      </c>
      <c r="R97" s="110">
        <v>0</v>
      </c>
      <c r="S97" s="110">
        <v>0</v>
      </c>
      <c r="T97" s="110">
        <v>0</v>
      </c>
      <c r="U97" s="110">
        <v>0</v>
      </c>
      <c r="V97" s="110">
        <v>0</v>
      </c>
      <c r="W97" s="110">
        <v>0</v>
      </c>
      <c r="X97" s="110">
        <v>0</v>
      </c>
      <c r="Y97" s="110">
        <v>0</v>
      </c>
      <c r="Z97" s="110">
        <v>0</v>
      </c>
      <c r="AA97" s="110">
        <v>0</v>
      </c>
      <c r="AB97" s="110">
        <v>0</v>
      </c>
      <c r="AC97" s="110">
        <v>0</v>
      </c>
      <c r="AD97" s="110">
        <v>0</v>
      </c>
      <c r="AE97" s="110">
        <v>0</v>
      </c>
      <c r="AF97" s="110">
        <v>0</v>
      </c>
      <c r="AG97" s="110">
        <v>0</v>
      </c>
      <c r="AH97" s="110">
        <v>0</v>
      </c>
      <c r="AI97" s="110">
        <v>0</v>
      </c>
      <c r="AJ97" s="110">
        <v>0</v>
      </c>
      <c r="AK97" s="110">
        <v>0</v>
      </c>
      <c r="AL97" s="110">
        <v>0</v>
      </c>
      <c r="AM97" s="110">
        <v>0</v>
      </c>
      <c r="AN97" s="110">
        <v>0</v>
      </c>
      <c r="AO97" s="110">
        <v>0</v>
      </c>
      <c r="AP97" s="110">
        <v>0</v>
      </c>
      <c r="AQ97" s="110">
        <v>0</v>
      </c>
      <c r="AR97" s="110">
        <v>0</v>
      </c>
      <c r="AS97" s="110">
        <v>0</v>
      </c>
      <c r="AT97" s="110">
        <v>0</v>
      </c>
      <c r="AU97" s="110">
        <v>0</v>
      </c>
      <c r="AV97" s="110">
        <v>0</v>
      </c>
      <c r="AW97" s="110">
        <v>0</v>
      </c>
      <c r="AX97" s="110">
        <v>0</v>
      </c>
      <c r="AY97" s="110">
        <v>0</v>
      </c>
    </row>
    <row r="98" spans="1:52">
      <c r="A98" s="109"/>
      <c r="B98" s="130">
        <v>4</v>
      </c>
      <c r="C98" s="106">
        <v>0</v>
      </c>
      <c r="D98" s="110">
        <v>0</v>
      </c>
      <c r="E98" s="110">
        <v>0</v>
      </c>
      <c r="F98" s="110">
        <v>0</v>
      </c>
      <c r="G98" s="110">
        <v>0</v>
      </c>
      <c r="H98" s="110">
        <v>0</v>
      </c>
      <c r="I98" s="110">
        <v>0</v>
      </c>
      <c r="J98" s="110">
        <v>0</v>
      </c>
      <c r="K98" s="110">
        <v>0</v>
      </c>
      <c r="L98" s="110">
        <v>0</v>
      </c>
      <c r="M98" s="110">
        <v>0</v>
      </c>
      <c r="N98" s="110">
        <v>0</v>
      </c>
      <c r="O98" s="110">
        <v>0</v>
      </c>
      <c r="P98" s="110">
        <v>0</v>
      </c>
      <c r="Q98" s="110">
        <v>0</v>
      </c>
      <c r="R98" s="110">
        <v>0</v>
      </c>
      <c r="S98" s="110">
        <v>0</v>
      </c>
      <c r="T98" s="110">
        <v>0</v>
      </c>
      <c r="U98" s="110">
        <v>0</v>
      </c>
      <c r="V98" s="110">
        <v>0</v>
      </c>
      <c r="W98" s="110">
        <v>0</v>
      </c>
      <c r="X98" s="110">
        <v>0</v>
      </c>
      <c r="Y98" s="110">
        <v>0</v>
      </c>
      <c r="Z98" s="110">
        <v>0</v>
      </c>
      <c r="AA98" s="110">
        <v>0</v>
      </c>
      <c r="AB98" s="110">
        <v>0</v>
      </c>
      <c r="AC98" s="110">
        <v>0</v>
      </c>
      <c r="AD98" s="110">
        <v>0</v>
      </c>
      <c r="AE98" s="110">
        <v>0</v>
      </c>
      <c r="AF98" s="110">
        <v>0</v>
      </c>
      <c r="AG98" s="110">
        <v>0</v>
      </c>
      <c r="AH98" s="110">
        <v>0</v>
      </c>
      <c r="AI98" s="110">
        <v>0</v>
      </c>
      <c r="AJ98" s="110">
        <v>0</v>
      </c>
      <c r="AK98" s="110">
        <v>0</v>
      </c>
      <c r="AL98" s="110">
        <v>0</v>
      </c>
      <c r="AM98" s="110">
        <v>0</v>
      </c>
      <c r="AN98" s="110">
        <v>0</v>
      </c>
      <c r="AO98" s="110">
        <v>0</v>
      </c>
      <c r="AP98" s="110">
        <v>0</v>
      </c>
      <c r="AQ98" s="110">
        <v>0</v>
      </c>
      <c r="AR98" s="110">
        <v>0</v>
      </c>
      <c r="AS98" s="110">
        <v>0</v>
      </c>
      <c r="AT98" s="110">
        <v>0</v>
      </c>
      <c r="AU98" s="110">
        <v>0</v>
      </c>
      <c r="AV98" s="110">
        <v>0</v>
      </c>
      <c r="AW98" s="110">
        <v>0</v>
      </c>
      <c r="AX98" s="110">
        <v>0</v>
      </c>
      <c r="AY98" s="110">
        <v>0</v>
      </c>
    </row>
    <row r="99" spans="1:52">
      <c r="A99" s="128"/>
      <c r="B99" s="132" t="s">
        <v>296</v>
      </c>
      <c r="C99" s="125">
        <v>0</v>
      </c>
      <c r="D99" s="125">
        <v>0</v>
      </c>
      <c r="E99" s="125">
        <v>0</v>
      </c>
      <c r="F99" s="125">
        <v>0</v>
      </c>
      <c r="G99" s="125">
        <v>0</v>
      </c>
      <c r="H99" s="125">
        <v>0</v>
      </c>
      <c r="I99" s="125">
        <v>0</v>
      </c>
      <c r="J99" s="125">
        <v>0</v>
      </c>
      <c r="K99" s="125">
        <v>0</v>
      </c>
      <c r="L99" s="125">
        <v>0</v>
      </c>
      <c r="M99" s="125">
        <v>0</v>
      </c>
      <c r="N99" s="125">
        <v>0</v>
      </c>
      <c r="O99" s="125">
        <v>0</v>
      </c>
      <c r="P99" s="125">
        <v>0</v>
      </c>
      <c r="Q99" s="125">
        <v>0</v>
      </c>
      <c r="R99" s="125">
        <v>0</v>
      </c>
      <c r="S99" s="125">
        <v>0</v>
      </c>
      <c r="T99" s="125">
        <v>0</v>
      </c>
      <c r="U99" s="125">
        <v>0</v>
      </c>
      <c r="V99" s="125">
        <v>0</v>
      </c>
      <c r="W99" s="125">
        <v>0</v>
      </c>
      <c r="X99" s="125">
        <v>0</v>
      </c>
      <c r="Y99" s="125">
        <v>0</v>
      </c>
      <c r="Z99" s="125">
        <v>0</v>
      </c>
      <c r="AA99" s="125">
        <v>0</v>
      </c>
      <c r="AB99" s="125">
        <v>0</v>
      </c>
      <c r="AC99" s="125">
        <v>0</v>
      </c>
      <c r="AD99" s="125">
        <v>0</v>
      </c>
      <c r="AE99" s="125">
        <v>0</v>
      </c>
      <c r="AF99" s="125">
        <v>0</v>
      </c>
      <c r="AG99" s="125">
        <v>0</v>
      </c>
      <c r="AH99" s="125">
        <v>0</v>
      </c>
      <c r="AI99" s="125">
        <v>0</v>
      </c>
      <c r="AJ99" s="125">
        <v>0</v>
      </c>
      <c r="AK99" s="125">
        <v>0</v>
      </c>
      <c r="AL99" s="125">
        <v>0</v>
      </c>
      <c r="AM99" s="125">
        <v>0</v>
      </c>
      <c r="AN99" s="125">
        <v>0</v>
      </c>
      <c r="AO99" s="125">
        <v>0</v>
      </c>
      <c r="AP99" s="125">
        <v>0</v>
      </c>
      <c r="AQ99" s="125">
        <v>0</v>
      </c>
      <c r="AR99" s="125">
        <v>0</v>
      </c>
      <c r="AS99" s="125">
        <v>0</v>
      </c>
      <c r="AT99" s="125">
        <v>0</v>
      </c>
      <c r="AU99" s="125">
        <v>0</v>
      </c>
      <c r="AV99" s="125">
        <v>0</v>
      </c>
      <c r="AW99" s="125">
        <v>0</v>
      </c>
      <c r="AX99" s="125">
        <v>0</v>
      </c>
      <c r="AY99" s="125">
        <v>0</v>
      </c>
      <c r="AZ99" s="107">
        <f>SUM($D99:$AY99)</f>
        <v>0</v>
      </c>
    </row>
    <row r="100" spans="1:52">
      <c r="A100" s="131" t="s">
        <v>133</v>
      </c>
      <c r="B100" s="119">
        <v>1</v>
      </c>
      <c r="C100" s="106">
        <v>0</v>
      </c>
      <c r="D100" s="106">
        <v>0</v>
      </c>
      <c r="E100" s="106">
        <v>190.68762469147782</v>
      </c>
      <c r="F100" s="106">
        <v>606.14658213676955</v>
      </c>
      <c r="G100" s="106">
        <v>190.68762469147808</v>
      </c>
      <c r="H100" s="106">
        <v>0</v>
      </c>
      <c r="I100" s="106">
        <v>1212.2931642735391</v>
      </c>
      <c r="J100" s="106">
        <v>606.14658213676955</v>
      </c>
      <c r="K100" s="106">
        <v>606.14658213676955</v>
      </c>
      <c r="L100" s="106">
        <v>0</v>
      </c>
      <c r="M100" s="106">
        <v>0</v>
      </c>
      <c r="N100" s="106">
        <v>1212.2931642735391</v>
      </c>
      <c r="O100" s="106">
        <v>606.14658213676955</v>
      </c>
      <c r="P100" s="106">
        <v>190.68762469147808</v>
      </c>
      <c r="Q100" s="106">
        <v>0</v>
      </c>
      <c r="R100" s="106">
        <v>190.68762469147808</v>
      </c>
      <c r="S100" s="106">
        <v>606.14658213676955</v>
      </c>
      <c r="T100" s="106">
        <v>606.14658213676955</v>
      </c>
      <c r="U100" s="106">
        <v>0</v>
      </c>
      <c r="V100" s="106">
        <v>190.68762469147808</v>
      </c>
      <c r="W100" s="106">
        <v>606.14658213676955</v>
      </c>
      <c r="X100" s="106">
        <v>606.14658213676955</v>
      </c>
      <c r="Y100" s="106">
        <v>606.14658213676955</v>
      </c>
      <c r="Z100" s="106">
        <v>606.14658213676955</v>
      </c>
      <c r="AA100" s="106">
        <v>606.14658213676955</v>
      </c>
      <c r="AB100" s="106">
        <v>606.14658213676955</v>
      </c>
      <c r="AC100" s="106">
        <v>0</v>
      </c>
      <c r="AD100" s="106">
        <v>606.14658213676955</v>
      </c>
      <c r="AE100" s="106">
        <v>606.14658213676955</v>
      </c>
      <c r="AF100" s="106">
        <v>0</v>
      </c>
      <c r="AG100" s="106">
        <v>1212.2931642735391</v>
      </c>
      <c r="AH100" s="106">
        <v>0</v>
      </c>
      <c r="AI100" s="106">
        <v>190.68762469147808</v>
      </c>
      <c r="AJ100" s="106">
        <v>727.37240637198704</v>
      </c>
      <c r="AK100" s="106">
        <v>190.68762469147808</v>
      </c>
      <c r="AL100" s="106">
        <v>0</v>
      </c>
      <c r="AM100" s="106">
        <v>190.68762469147785</v>
      </c>
      <c r="AN100" s="106">
        <v>0</v>
      </c>
      <c r="AO100" s="106">
        <v>606.14658213676955</v>
      </c>
      <c r="AP100" s="106">
        <v>606.14658213676955</v>
      </c>
      <c r="AQ100" s="106">
        <v>606.14658213676955</v>
      </c>
      <c r="AR100" s="106">
        <v>0</v>
      </c>
      <c r="AS100" s="106">
        <v>190.68762469147808</v>
      </c>
      <c r="AT100" s="106">
        <v>0</v>
      </c>
      <c r="AU100" s="106">
        <v>606.14658213676955</v>
      </c>
      <c r="AV100" s="106">
        <v>606.14658213676955</v>
      </c>
      <c r="AW100" s="106">
        <v>606.14658213676955</v>
      </c>
      <c r="AX100" s="106">
        <v>0</v>
      </c>
      <c r="AY100" s="106">
        <v>606.14658213676955</v>
      </c>
    </row>
    <row r="101" spans="1:52">
      <c r="A101" s="109"/>
      <c r="B101" s="119">
        <v>2</v>
      </c>
      <c r="C101" s="106">
        <v>596.42264859088357</v>
      </c>
      <c r="D101" s="106">
        <v>607.34936250024873</v>
      </c>
      <c r="E101" s="106">
        <v>0</v>
      </c>
      <c r="F101" s="106">
        <v>1023.3048308134526</v>
      </c>
      <c r="G101" s="106">
        <v>606.14658213676955</v>
      </c>
      <c r="H101" s="106">
        <v>606.14658213676955</v>
      </c>
      <c r="I101" s="106">
        <v>0</v>
      </c>
      <c r="J101" s="106">
        <v>491.89115936053076</v>
      </c>
      <c r="K101" s="106">
        <v>438.03774149730032</v>
      </c>
      <c r="L101" s="106">
        <v>381.18432363406987</v>
      </c>
      <c r="M101" s="106">
        <v>606.14658213676955</v>
      </c>
      <c r="N101" s="106">
        <v>0</v>
      </c>
      <c r="O101" s="106">
        <v>569.29316427353911</v>
      </c>
      <c r="P101" s="106">
        <v>503.43974641030866</v>
      </c>
      <c r="Q101" s="106">
        <v>496.58632854707821</v>
      </c>
      <c r="R101" s="106">
        <v>0</v>
      </c>
      <c r="S101" s="106">
        <v>415.4589574452915</v>
      </c>
      <c r="T101" s="106">
        <v>606.14658213676955</v>
      </c>
      <c r="U101" s="106">
        <v>606.14658213676955</v>
      </c>
      <c r="V101" s="106">
        <v>606.14658213676955</v>
      </c>
      <c r="W101" s="106">
        <v>604.19186812913927</v>
      </c>
      <c r="X101" s="106">
        <v>500.33845026590882</v>
      </c>
      <c r="Y101" s="106">
        <v>335.48503240267837</v>
      </c>
      <c r="Z101" s="106">
        <v>289.63161453944792</v>
      </c>
      <c r="AA101" s="106">
        <v>297.77819667621748</v>
      </c>
      <c r="AB101" s="106">
        <v>132.92477881298703</v>
      </c>
      <c r="AC101" s="106">
        <v>0</v>
      </c>
      <c r="AD101" s="106">
        <v>606.14658213676955</v>
      </c>
      <c r="AE101" s="106">
        <v>606.14658213676955</v>
      </c>
      <c r="AF101" s="106">
        <v>531.43974641030866</v>
      </c>
      <c r="AG101" s="106">
        <v>0</v>
      </c>
      <c r="AH101" s="106">
        <v>540.29316427353911</v>
      </c>
      <c r="AI101" s="106">
        <v>727.37240637198704</v>
      </c>
      <c r="AJ101" s="106">
        <v>727.37240637198704</v>
      </c>
      <c r="AK101" s="106">
        <v>727.37240637198704</v>
      </c>
      <c r="AL101" s="106">
        <v>703.48962548794816</v>
      </c>
      <c r="AM101" s="106">
        <v>0</v>
      </c>
      <c r="AN101" s="106">
        <v>1021.6055395820613</v>
      </c>
      <c r="AO101" s="106">
        <v>0</v>
      </c>
      <c r="AP101" s="106">
        <v>332.75212171883084</v>
      </c>
      <c r="AQ101" s="106">
        <v>606.14658213676955</v>
      </c>
      <c r="AR101" s="106">
        <v>606.14658213676955</v>
      </c>
      <c r="AS101" s="106">
        <v>606.14658213676955</v>
      </c>
      <c r="AT101" s="106">
        <v>58.026074957387124</v>
      </c>
      <c r="AU101" s="106">
        <v>0</v>
      </c>
      <c r="AV101" s="106">
        <v>362.60553958206106</v>
      </c>
      <c r="AW101" s="106">
        <v>606.14658213676955</v>
      </c>
      <c r="AX101" s="106">
        <v>606.14658213676955</v>
      </c>
      <c r="AY101" s="106">
        <v>606.14658213676955</v>
      </c>
    </row>
    <row r="102" spans="1:52">
      <c r="A102" s="109"/>
      <c r="B102" s="120">
        <v>3</v>
      </c>
      <c r="C102" s="106">
        <v>0</v>
      </c>
      <c r="D102" s="106">
        <v>0</v>
      </c>
      <c r="E102" s="106">
        <v>24.349362500248731</v>
      </c>
      <c r="F102" s="106">
        <v>0</v>
      </c>
      <c r="G102" s="106">
        <v>364.30483081345255</v>
      </c>
      <c r="H102" s="106">
        <v>188.45141295022211</v>
      </c>
      <c r="I102" s="106">
        <v>97.597995086991659</v>
      </c>
      <c r="J102" s="106">
        <v>0</v>
      </c>
      <c r="K102" s="106">
        <v>0</v>
      </c>
      <c r="L102" s="106">
        <v>0</v>
      </c>
      <c r="M102" s="106">
        <v>0</v>
      </c>
      <c r="N102" s="106">
        <v>0</v>
      </c>
      <c r="O102" s="106">
        <v>0</v>
      </c>
      <c r="P102" s="106">
        <v>0</v>
      </c>
      <c r="Q102" s="106">
        <v>0</v>
      </c>
      <c r="R102" s="106">
        <v>0</v>
      </c>
      <c r="S102" s="106">
        <v>606.14658213676955</v>
      </c>
      <c r="T102" s="106">
        <v>272.60553958206106</v>
      </c>
      <c r="U102" s="106">
        <v>123.75212171883061</v>
      </c>
      <c r="V102" s="106">
        <v>41.898703855600161</v>
      </c>
      <c r="W102" s="106">
        <v>0</v>
      </c>
      <c r="X102" s="106">
        <v>0</v>
      </c>
      <c r="Y102" s="106">
        <v>0</v>
      </c>
      <c r="Z102" s="106">
        <v>0</v>
      </c>
      <c r="AA102" s="106">
        <v>0</v>
      </c>
      <c r="AB102" s="106">
        <v>0</v>
      </c>
      <c r="AC102" s="106">
        <v>0</v>
      </c>
      <c r="AD102" s="106">
        <v>0</v>
      </c>
      <c r="AE102" s="106">
        <v>91.146582136769553</v>
      </c>
      <c r="AF102" s="106">
        <v>0</v>
      </c>
      <c r="AG102" s="106">
        <v>0</v>
      </c>
      <c r="AH102" s="106">
        <v>0</v>
      </c>
      <c r="AI102" s="106">
        <v>0</v>
      </c>
      <c r="AJ102" s="106">
        <v>40.37240637198704</v>
      </c>
      <c r="AK102" s="106">
        <v>4.7448127439740801</v>
      </c>
      <c r="AL102" s="106">
        <v>0</v>
      </c>
      <c r="AM102" s="106">
        <v>44.48962548794816</v>
      </c>
      <c r="AN102" s="106">
        <v>0</v>
      </c>
      <c r="AO102" s="106">
        <v>360.60553958206128</v>
      </c>
      <c r="AP102" s="106">
        <v>606.14658213676955</v>
      </c>
      <c r="AQ102" s="106">
        <v>176.89870385560039</v>
      </c>
      <c r="AR102" s="106">
        <v>127.04528599236994</v>
      </c>
      <c r="AS102" s="106">
        <v>105.19186812913949</v>
      </c>
      <c r="AT102" s="106">
        <v>0</v>
      </c>
      <c r="AU102" s="106">
        <v>415.4589574452915</v>
      </c>
      <c r="AV102" s="106">
        <v>606.14658213676955</v>
      </c>
      <c r="AW102" s="106">
        <v>77.752121718830608</v>
      </c>
      <c r="AX102" s="106">
        <v>14.898703855600161</v>
      </c>
      <c r="AY102" s="106">
        <v>0</v>
      </c>
    </row>
    <row r="103" spans="1:52">
      <c r="A103" s="109"/>
      <c r="B103" s="120">
        <v>4</v>
      </c>
      <c r="C103" s="106">
        <v>0</v>
      </c>
      <c r="D103" s="106">
        <v>0</v>
      </c>
      <c r="E103" s="106">
        <v>0</v>
      </c>
      <c r="F103" s="106">
        <v>0</v>
      </c>
      <c r="G103" s="106">
        <v>0</v>
      </c>
      <c r="H103" s="106">
        <v>0</v>
      </c>
      <c r="I103" s="106">
        <v>0</v>
      </c>
      <c r="J103" s="106">
        <v>0</v>
      </c>
      <c r="K103" s="106">
        <v>0</v>
      </c>
      <c r="L103" s="106">
        <v>0</v>
      </c>
      <c r="M103" s="106">
        <v>0</v>
      </c>
      <c r="N103" s="106">
        <v>0</v>
      </c>
      <c r="O103" s="106">
        <v>0</v>
      </c>
      <c r="P103" s="106">
        <v>0</v>
      </c>
      <c r="Q103" s="106">
        <v>0</v>
      </c>
      <c r="R103" s="106">
        <v>0</v>
      </c>
      <c r="S103" s="106">
        <v>0</v>
      </c>
      <c r="T103" s="106">
        <v>0</v>
      </c>
      <c r="U103" s="106">
        <v>0</v>
      </c>
      <c r="V103" s="106">
        <v>0</v>
      </c>
      <c r="W103" s="106">
        <v>0</v>
      </c>
      <c r="X103" s="106">
        <v>0</v>
      </c>
      <c r="Y103" s="106">
        <v>0</v>
      </c>
      <c r="Z103" s="106">
        <v>0</v>
      </c>
      <c r="AA103" s="106">
        <v>0</v>
      </c>
      <c r="AB103" s="106">
        <v>0</v>
      </c>
      <c r="AC103" s="106">
        <v>0</v>
      </c>
      <c r="AD103" s="106">
        <v>0</v>
      </c>
      <c r="AE103" s="106">
        <v>0</v>
      </c>
      <c r="AF103" s="106">
        <v>0</v>
      </c>
      <c r="AG103" s="106">
        <v>0</v>
      </c>
      <c r="AH103" s="106">
        <v>0</v>
      </c>
      <c r="AI103" s="106">
        <v>0</v>
      </c>
      <c r="AJ103" s="106">
        <v>0</v>
      </c>
      <c r="AK103" s="106">
        <v>0</v>
      </c>
      <c r="AL103" s="106">
        <v>0</v>
      </c>
      <c r="AM103" s="106">
        <v>0</v>
      </c>
      <c r="AN103" s="106">
        <v>0</v>
      </c>
      <c r="AO103" s="106">
        <v>0</v>
      </c>
      <c r="AP103" s="106">
        <v>0</v>
      </c>
      <c r="AQ103" s="106">
        <v>0</v>
      </c>
      <c r="AR103" s="106">
        <v>0</v>
      </c>
      <c r="AS103" s="106">
        <v>0</v>
      </c>
      <c r="AT103" s="106">
        <v>0</v>
      </c>
      <c r="AU103" s="106">
        <v>0</v>
      </c>
      <c r="AV103" s="106">
        <v>0</v>
      </c>
      <c r="AW103" s="106">
        <v>0</v>
      </c>
      <c r="AX103" s="106">
        <v>0</v>
      </c>
      <c r="AY103" s="106">
        <v>0</v>
      </c>
    </row>
    <row r="104" spans="1:52">
      <c r="A104" s="109"/>
      <c r="B104" s="127">
        <v>5</v>
      </c>
      <c r="C104" s="106">
        <v>0</v>
      </c>
      <c r="D104" s="106">
        <v>0</v>
      </c>
      <c r="E104" s="106">
        <v>0</v>
      </c>
      <c r="F104" s="106">
        <v>0</v>
      </c>
      <c r="G104" s="106">
        <v>0</v>
      </c>
      <c r="H104" s="106">
        <v>0</v>
      </c>
      <c r="I104" s="106">
        <v>0</v>
      </c>
      <c r="J104" s="106">
        <v>0</v>
      </c>
      <c r="K104" s="106">
        <v>0</v>
      </c>
      <c r="L104" s="106">
        <v>0</v>
      </c>
      <c r="M104" s="106">
        <v>0</v>
      </c>
      <c r="N104" s="106">
        <v>0</v>
      </c>
      <c r="O104" s="106">
        <v>0</v>
      </c>
      <c r="P104" s="106">
        <v>0</v>
      </c>
      <c r="Q104" s="106">
        <v>0</v>
      </c>
      <c r="R104" s="106">
        <v>0</v>
      </c>
      <c r="S104" s="106">
        <v>0</v>
      </c>
      <c r="T104" s="106">
        <v>0</v>
      </c>
      <c r="U104" s="106">
        <v>0</v>
      </c>
      <c r="V104" s="106">
        <v>0</v>
      </c>
      <c r="W104" s="106">
        <v>0</v>
      </c>
      <c r="X104" s="106">
        <v>0</v>
      </c>
      <c r="Y104" s="106">
        <v>0</v>
      </c>
      <c r="Z104" s="106">
        <v>0</v>
      </c>
      <c r="AA104" s="106">
        <v>0</v>
      </c>
      <c r="AB104" s="106">
        <v>0</v>
      </c>
      <c r="AC104" s="106">
        <v>0</v>
      </c>
      <c r="AD104" s="106">
        <v>0</v>
      </c>
      <c r="AE104" s="106">
        <v>0</v>
      </c>
      <c r="AF104" s="106">
        <v>0</v>
      </c>
      <c r="AG104" s="106">
        <v>0</v>
      </c>
      <c r="AH104" s="106">
        <v>0</v>
      </c>
      <c r="AI104" s="106">
        <v>0</v>
      </c>
      <c r="AJ104" s="106">
        <v>0</v>
      </c>
      <c r="AK104" s="106">
        <v>0</v>
      </c>
      <c r="AL104" s="106">
        <v>0</v>
      </c>
      <c r="AM104" s="106">
        <v>0</v>
      </c>
      <c r="AN104" s="106">
        <v>0</v>
      </c>
      <c r="AO104" s="106">
        <v>0</v>
      </c>
      <c r="AP104" s="106">
        <v>0</v>
      </c>
      <c r="AQ104" s="106">
        <v>0</v>
      </c>
      <c r="AR104" s="106">
        <v>0</v>
      </c>
      <c r="AS104" s="106">
        <v>0</v>
      </c>
      <c r="AT104" s="106">
        <v>0</v>
      </c>
      <c r="AU104" s="106">
        <v>0</v>
      </c>
      <c r="AV104" s="106">
        <v>0</v>
      </c>
      <c r="AW104" s="106">
        <v>0</v>
      </c>
      <c r="AX104" s="106">
        <v>0</v>
      </c>
      <c r="AY104" s="106">
        <v>0</v>
      </c>
    </row>
    <row r="105" spans="1:52">
      <c r="A105" s="109"/>
      <c r="B105" s="127">
        <v>6</v>
      </c>
      <c r="C105" s="106">
        <v>0</v>
      </c>
      <c r="D105" s="106">
        <v>0</v>
      </c>
      <c r="E105" s="106">
        <v>0</v>
      </c>
      <c r="F105" s="106">
        <v>0</v>
      </c>
      <c r="G105" s="106">
        <v>0</v>
      </c>
      <c r="H105" s="106">
        <v>0</v>
      </c>
      <c r="I105" s="106">
        <v>0</v>
      </c>
      <c r="J105" s="106">
        <v>0</v>
      </c>
      <c r="K105" s="106">
        <v>0</v>
      </c>
      <c r="L105" s="106">
        <v>0</v>
      </c>
      <c r="M105" s="106">
        <v>0</v>
      </c>
      <c r="N105" s="106">
        <v>0</v>
      </c>
      <c r="O105" s="106">
        <v>0</v>
      </c>
      <c r="P105" s="106">
        <v>0</v>
      </c>
      <c r="Q105" s="106">
        <v>0</v>
      </c>
      <c r="R105" s="106">
        <v>0</v>
      </c>
      <c r="S105" s="106">
        <v>0</v>
      </c>
      <c r="T105" s="106">
        <v>0</v>
      </c>
      <c r="U105" s="106">
        <v>0</v>
      </c>
      <c r="V105" s="106">
        <v>0</v>
      </c>
      <c r="W105" s="106">
        <v>0</v>
      </c>
      <c r="X105" s="106">
        <v>0</v>
      </c>
      <c r="Y105" s="106">
        <v>0</v>
      </c>
      <c r="Z105" s="106">
        <v>0</v>
      </c>
      <c r="AA105" s="106">
        <v>0</v>
      </c>
      <c r="AB105" s="106">
        <v>0</v>
      </c>
      <c r="AC105" s="106">
        <v>0</v>
      </c>
      <c r="AD105" s="106">
        <v>0</v>
      </c>
      <c r="AE105" s="106">
        <v>0</v>
      </c>
      <c r="AF105" s="106">
        <v>0</v>
      </c>
      <c r="AG105" s="106">
        <v>0</v>
      </c>
      <c r="AH105" s="106">
        <v>0</v>
      </c>
      <c r="AI105" s="106">
        <v>0</v>
      </c>
      <c r="AJ105" s="106">
        <v>0</v>
      </c>
      <c r="AK105" s="106">
        <v>0</v>
      </c>
      <c r="AL105" s="106">
        <v>0</v>
      </c>
      <c r="AM105" s="106">
        <v>0</v>
      </c>
      <c r="AN105" s="106">
        <v>0</v>
      </c>
      <c r="AO105" s="106">
        <v>0</v>
      </c>
      <c r="AP105" s="106">
        <v>0</v>
      </c>
      <c r="AQ105" s="106">
        <v>0</v>
      </c>
      <c r="AR105" s="106">
        <v>0</v>
      </c>
      <c r="AS105" s="106">
        <v>0</v>
      </c>
      <c r="AT105" s="106">
        <v>0</v>
      </c>
      <c r="AU105" s="106">
        <v>0</v>
      </c>
      <c r="AV105" s="106">
        <v>0</v>
      </c>
      <c r="AW105" s="106">
        <v>0</v>
      </c>
      <c r="AX105" s="106">
        <v>0</v>
      </c>
      <c r="AY105" s="106">
        <v>0</v>
      </c>
    </row>
    <row r="106" spans="1:52">
      <c r="A106" s="109"/>
      <c r="B106" s="130">
        <v>7</v>
      </c>
      <c r="C106" s="106">
        <v>0</v>
      </c>
      <c r="D106" s="106">
        <v>0</v>
      </c>
      <c r="E106" s="106">
        <v>0</v>
      </c>
      <c r="F106" s="106">
        <v>0</v>
      </c>
      <c r="G106" s="106">
        <v>0</v>
      </c>
      <c r="H106" s="106">
        <v>0</v>
      </c>
      <c r="I106" s="106">
        <v>0</v>
      </c>
      <c r="J106" s="106">
        <v>0</v>
      </c>
      <c r="K106" s="106">
        <v>0</v>
      </c>
      <c r="L106" s="106">
        <v>0</v>
      </c>
      <c r="M106" s="106">
        <v>0</v>
      </c>
      <c r="N106" s="106">
        <v>0</v>
      </c>
      <c r="O106" s="106">
        <v>0</v>
      </c>
      <c r="P106" s="106">
        <v>0</v>
      </c>
      <c r="Q106" s="106">
        <v>0</v>
      </c>
      <c r="R106" s="106">
        <v>0</v>
      </c>
      <c r="S106" s="106">
        <v>0</v>
      </c>
      <c r="T106" s="106">
        <v>0</v>
      </c>
      <c r="U106" s="106">
        <v>0</v>
      </c>
      <c r="V106" s="106">
        <v>0</v>
      </c>
      <c r="W106" s="106">
        <v>0</v>
      </c>
      <c r="X106" s="106">
        <v>0</v>
      </c>
      <c r="Y106" s="106">
        <v>0</v>
      </c>
      <c r="Z106" s="106">
        <v>0</v>
      </c>
      <c r="AA106" s="106">
        <v>0</v>
      </c>
      <c r="AB106" s="106">
        <v>0</v>
      </c>
      <c r="AC106" s="106">
        <v>0</v>
      </c>
      <c r="AD106" s="106">
        <v>0</v>
      </c>
      <c r="AE106" s="106">
        <v>0</v>
      </c>
      <c r="AF106" s="106">
        <v>0</v>
      </c>
      <c r="AG106" s="106">
        <v>0</v>
      </c>
      <c r="AH106" s="106">
        <v>0</v>
      </c>
      <c r="AI106" s="106">
        <v>0</v>
      </c>
      <c r="AJ106" s="106">
        <v>0</v>
      </c>
      <c r="AK106" s="106">
        <v>0</v>
      </c>
      <c r="AL106" s="106">
        <v>0</v>
      </c>
      <c r="AM106" s="106">
        <v>0</v>
      </c>
      <c r="AN106" s="106">
        <v>0</v>
      </c>
      <c r="AO106" s="106">
        <v>0</v>
      </c>
      <c r="AP106" s="106">
        <v>0</v>
      </c>
      <c r="AQ106" s="106">
        <v>0</v>
      </c>
      <c r="AR106" s="106">
        <v>0</v>
      </c>
      <c r="AS106" s="106">
        <v>0</v>
      </c>
      <c r="AT106" s="106">
        <v>0</v>
      </c>
      <c r="AU106" s="106">
        <v>0</v>
      </c>
      <c r="AV106" s="106">
        <v>0</v>
      </c>
      <c r="AW106" s="106">
        <v>0</v>
      </c>
      <c r="AX106" s="106">
        <v>0</v>
      </c>
      <c r="AY106" s="106">
        <v>0</v>
      </c>
    </row>
    <row r="107" spans="1:52">
      <c r="A107" s="109"/>
      <c r="B107" s="130">
        <v>8</v>
      </c>
      <c r="C107" s="106">
        <v>0</v>
      </c>
      <c r="D107" s="106">
        <v>0</v>
      </c>
      <c r="E107" s="106">
        <v>0</v>
      </c>
      <c r="F107" s="106">
        <v>0</v>
      </c>
      <c r="G107" s="106">
        <v>0</v>
      </c>
      <c r="H107" s="106">
        <v>0</v>
      </c>
      <c r="I107" s="106">
        <v>0</v>
      </c>
      <c r="J107" s="106">
        <v>0</v>
      </c>
      <c r="K107" s="106">
        <v>0</v>
      </c>
      <c r="L107" s="106">
        <v>0</v>
      </c>
      <c r="M107" s="106">
        <v>0</v>
      </c>
      <c r="N107" s="106">
        <v>0</v>
      </c>
      <c r="O107" s="106">
        <v>0</v>
      </c>
      <c r="P107" s="106">
        <v>0</v>
      </c>
      <c r="Q107" s="106">
        <v>0</v>
      </c>
      <c r="R107" s="106">
        <v>0</v>
      </c>
      <c r="S107" s="106">
        <v>0</v>
      </c>
      <c r="T107" s="106">
        <v>0</v>
      </c>
      <c r="U107" s="106">
        <v>0</v>
      </c>
      <c r="V107" s="106">
        <v>0</v>
      </c>
      <c r="W107" s="106">
        <v>0</v>
      </c>
      <c r="X107" s="106">
        <v>0</v>
      </c>
      <c r="Y107" s="106">
        <v>0</v>
      </c>
      <c r="Z107" s="106">
        <v>0</v>
      </c>
      <c r="AA107" s="106">
        <v>0</v>
      </c>
      <c r="AB107" s="106">
        <v>0</v>
      </c>
      <c r="AC107" s="106">
        <v>0</v>
      </c>
      <c r="AD107" s="106">
        <v>0</v>
      </c>
      <c r="AE107" s="106">
        <v>0</v>
      </c>
      <c r="AF107" s="106">
        <v>0</v>
      </c>
      <c r="AG107" s="106">
        <v>0</v>
      </c>
      <c r="AH107" s="106">
        <v>0</v>
      </c>
      <c r="AI107" s="106">
        <v>0</v>
      </c>
      <c r="AJ107" s="106">
        <v>0</v>
      </c>
      <c r="AK107" s="106">
        <v>0</v>
      </c>
      <c r="AL107" s="106">
        <v>0</v>
      </c>
      <c r="AM107" s="106">
        <v>0</v>
      </c>
      <c r="AN107" s="106">
        <v>0</v>
      </c>
      <c r="AO107" s="106">
        <v>0</v>
      </c>
      <c r="AP107" s="106">
        <v>0</v>
      </c>
      <c r="AQ107" s="106">
        <v>0</v>
      </c>
      <c r="AR107" s="106">
        <v>0</v>
      </c>
      <c r="AS107" s="106">
        <v>0</v>
      </c>
      <c r="AT107" s="106">
        <v>0</v>
      </c>
      <c r="AU107" s="106">
        <v>0</v>
      </c>
      <c r="AV107" s="106">
        <v>0</v>
      </c>
      <c r="AW107" s="106">
        <v>0</v>
      </c>
      <c r="AX107" s="106">
        <v>0</v>
      </c>
      <c r="AY107" s="106">
        <v>0</v>
      </c>
    </row>
    <row r="108" spans="1:52">
      <c r="A108" s="128"/>
      <c r="B108" s="132" t="s">
        <v>296</v>
      </c>
      <c r="C108" s="114">
        <v>0</v>
      </c>
      <c r="D108" s="125">
        <v>0</v>
      </c>
      <c r="E108" s="125">
        <v>0</v>
      </c>
      <c r="F108" s="125">
        <v>0</v>
      </c>
      <c r="G108" s="125">
        <v>0</v>
      </c>
      <c r="H108" s="125">
        <v>0</v>
      </c>
      <c r="I108" s="125">
        <v>0</v>
      </c>
      <c r="J108" s="125">
        <v>0</v>
      </c>
      <c r="K108" s="125">
        <v>0</v>
      </c>
      <c r="L108" s="125">
        <v>0</v>
      </c>
      <c r="M108" s="125">
        <v>0</v>
      </c>
      <c r="N108" s="125">
        <v>0</v>
      </c>
      <c r="O108" s="125">
        <v>0</v>
      </c>
      <c r="P108" s="125">
        <v>0</v>
      </c>
      <c r="Q108" s="125">
        <v>0</v>
      </c>
      <c r="R108" s="125">
        <v>0</v>
      </c>
      <c r="S108" s="125">
        <v>0</v>
      </c>
      <c r="T108" s="125">
        <v>0</v>
      </c>
      <c r="U108" s="125">
        <v>0</v>
      </c>
      <c r="V108" s="125">
        <v>0</v>
      </c>
      <c r="W108" s="125">
        <v>0</v>
      </c>
      <c r="X108" s="125">
        <v>0</v>
      </c>
      <c r="Y108" s="125">
        <v>0</v>
      </c>
      <c r="Z108" s="125">
        <v>0</v>
      </c>
      <c r="AA108" s="125">
        <v>0</v>
      </c>
      <c r="AB108" s="125">
        <v>0</v>
      </c>
      <c r="AC108" s="125">
        <v>0</v>
      </c>
      <c r="AD108" s="125">
        <v>0</v>
      </c>
      <c r="AE108" s="125">
        <v>0</v>
      </c>
      <c r="AF108" s="125">
        <v>0</v>
      </c>
      <c r="AG108" s="125">
        <v>0</v>
      </c>
      <c r="AH108" s="125">
        <v>0</v>
      </c>
      <c r="AI108" s="125">
        <v>0</v>
      </c>
      <c r="AJ108" s="125">
        <v>0</v>
      </c>
      <c r="AK108" s="125">
        <v>0</v>
      </c>
      <c r="AL108" s="125">
        <v>0</v>
      </c>
      <c r="AM108" s="125">
        <v>0</v>
      </c>
      <c r="AN108" s="125">
        <v>0</v>
      </c>
      <c r="AO108" s="125">
        <v>0</v>
      </c>
      <c r="AP108" s="125">
        <v>0</v>
      </c>
      <c r="AQ108" s="125">
        <v>0</v>
      </c>
      <c r="AR108" s="125">
        <v>0</v>
      </c>
      <c r="AS108" s="125">
        <v>0</v>
      </c>
      <c r="AT108" s="125">
        <v>0</v>
      </c>
      <c r="AU108" s="125">
        <v>0</v>
      </c>
      <c r="AV108" s="125">
        <v>0</v>
      </c>
      <c r="AW108" s="125">
        <v>0</v>
      </c>
      <c r="AX108" s="125">
        <v>0</v>
      </c>
      <c r="AY108" s="125">
        <v>0</v>
      </c>
      <c r="AZ108" s="107">
        <f>SUM($D108:$AY108)</f>
        <v>0</v>
      </c>
    </row>
    <row r="109" spans="1:52">
      <c r="A109" s="131" t="s">
        <v>134</v>
      </c>
      <c r="B109" s="119">
        <v>1</v>
      </c>
      <c r="C109" s="106">
        <v>116.14384992047385</v>
      </c>
      <c r="D109" s="106">
        <v>253.67495878295958</v>
      </c>
      <c r="E109" s="106">
        <v>369.79076894938061</v>
      </c>
      <c r="F109" s="106">
        <v>116.16034851881356</v>
      </c>
      <c r="G109" s="106">
        <v>992.35993571172412</v>
      </c>
      <c r="H109" s="106">
        <v>402.39347713975837</v>
      </c>
      <c r="I109" s="106">
        <v>258.48513567841241</v>
      </c>
      <c r="J109" s="106">
        <v>738.31275418862754</v>
      </c>
      <c r="K109" s="106">
        <v>513.97112287094478</v>
      </c>
      <c r="L109" s="106">
        <v>379.34840739627509</v>
      </c>
      <c r="M109" s="106">
        <v>3.2587032907749551E-2</v>
      </c>
      <c r="N109" s="106">
        <v>369.17267061076763</v>
      </c>
      <c r="O109" s="106">
        <v>738.31275418862754</v>
      </c>
      <c r="P109" s="106">
        <v>530.98864828296621</v>
      </c>
      <c r="Q109" s="106">
        <v>168.42422081973112</v>
      </c>
      <c r="R109" s="106">
        <v>253.0449091248619</v>
      </c>
      <c r="S109" s="106">
        <v>116.16034851881345</v>
      </c>
      <c r="T109" s="106">
        <v>991.3250762805817</v>
      </c>
      <c r="U109" s="106">
        <v>622.36592352297703</v>
      </c>
      <c r="V109" s="106">
        <v>40.056138227489633</v>
      </c>
      <c r="W109" s="106">
        <v>485.30043209667332</v>
      </c>
      <c r="X109" s="106">
        <v>648.77335551650845</v>
      </c>
      <c r="Y109" s="106">
        <v>513.34354688804262</v>
      </c>
      <c r="Z109" s="106">
        <v>383.48017468593156</v>
      </c>
      <c r="AA109" s="106">
        <v>369.17267061076757</v>
      </c>
      <c r="AB109" s="106">
        <v>369.17267061076768</v>
      </c>
      <c r="AC109" s="106">
        <v>369.17267061076757</v>
      </c>
      <c r="AD109" s="106">
        <v>3.2587032907724099E-2</v>
      </c>
      <c r="AE109" s="106">
        <v>738.31275418862754</v>
      </c>
      <c r="AF109" s="106">
        <v>476.28939565237914</v>
      </c>
      <c r="AG109" s="106">
        <v>3.258703290777501E-2</v>
      </c>
      <c r="AH109" s="106">
        <v>738.31275418862754</v>
      </c>
      <c r="AI109" s="106">
        <v>86.605682280521734</v>
      </c>
      <c r="AJ109" s="106">
        <v>559.12632208558364</v>
      </c>
      <c r="AK109" s="106">
        <v>778.22587382090717</v>
      </c>
      <c r="AL109" s="106">
        <v>246.72344446418828</v>
      </c>
      <c r="AM109" s="106">
        <v>326.87079911377214</v>
      </c>
      <c r="AN109" s="106">
        <v>116.16034851881356</v>
      </c>
      <c r="AO109" s="106">
        <v>622.18499270272173</v>
      </c>
      <c r="AP109" s="106">
        <v>390.40644436624194</v>
      </c>
      <c r="AQ109" s="106">
        <v>738.31275418862754</v>
      </c>
      <c r="AR109" s="106">
        <v>497.40142707502901</v>
      </c>
      <c r="AS109" s="106">
        <v>3.258703290777501E-2</v>
      </c>
      <c r="AT109" s="106">
        <v>485.30043209667332</v>
      </c>
      <c r="AU109" s="106">
        <v>3.2587032907749551E-2</v>
      </c>
      <c r="AV109" s="106">
        <v>622.18499270272184</v>
      </c>
      <c r="AW109" s="106">
        <v>838.23535463212067</v>
      </c>
      <c r="AX109" s="106">
        <v>558.84534234709815</v>
      </c>
      <c r="AY109" s="106">
        <v>3.258703290777501E-2</v>
      </c>
    </row>
    <row r="110" spans="1:52">
      <c r="A110" s="109"/>
      <c r="B110" s="119">
        <v>2</v>
      </c>
      <c r="C110" s="106">
        <v>241.88531493640386</v>
      </c>
      <c r="D110" s="106">
        <v>0</v>
      </c>
      <c r="E110" s="106">
        <v>0</v>
      </c>
      <c r="F110" s="106">
        <v>0</v>
      </c>
      <c r="G110" s="106">
        <v>0</v>
      </c>
      <c r="H110" s="106">
        <v>528.35993571172412</v>
      </c>
      <c r="I110" s="106">
        <v>402.39347713975837</v>
      </c>
      <c r="J110" s="106">
        <v>246.2385485298949</v>
      </c>
      <c r="K110" s="106">
        <v>567.55130271852249</v>
      </c>
      <c r="L110" s="106">
        <v>513.97112287094478</v>
      </c>
      <c r="M110" s="106">
        <v>379.34840739627509</v>
      </c>
      <c r="N110" s="106">
        <v>3.2587032907749551E-2</v>
      </c>
      <c r="O110" s="106">
        <v>0.60744142662269951</v>
      </c>
      <c r="P110" s="106">
        <v>166.92019561525024</v>
      </c>
      <c r="Q110" s="106">
        <v>228.90884389821645</v>
      </c>
      <c r="R110" s="106">
        <v>2.8421709430404007E-14</v>
      </c>
      <c r="S110" s="106">
        <v>0</v>
      </c>
      <c r="T110" s="106">
        <v>0</v>
      </c>
      <c r="U110" s="106">
        <v>467.3250762805817</v>
      </c>
      <c r="V110" s="106">
        <v>592.69099980355873</v>
      </c>
      <c r="W110" s="106">
        <v>40.056138227489633</v>
      </c>
      <c r="X110" s="106">
        <v>291.04757012772166</v>
      </c>
      <c r="Y110" s="106">
        <v>504.8209256442301</v>
      </c>
      <c r="Z110" s="106">
        <v>513.34354688804262</v>
      </c>
      <c r="AA110" s="106">
        <v>383.48017468593156</v>
      </c>
      <c r="AB110" s="106">
        <v>369.17267061076757</v>
      </c>
      <c r="AC110" s="106">
        <v>288.09316454738877</v>
      </c>
      <c r="AD110" s="106">
        <v>153.26583515815634</v>
      </c>
      <c r="AE110" s="106">
        <v>1.0734468869344482E-14</v>
      </c>
      <c r="AF110" s="106">
        <v>186.31275418862754</v>
      </c>
      <c r="AG110" s="106">
        <v>133.37021367342498</v>
      </c>
      <c r="AH110" s="106">
        <v>4.801714581503802E-15</v>
      </c>
      <c r="AI110" s="106">
        <v>279.72554636974934</v>
      </c>
      <c r="AJ110" s="106">
        <v>0</v>
      </c>
      <c r="AK110" s="106">
        <v>116.12632208558364</v>
      </c>
      <c r="AL110" s="106">
        <v>378.35219590649081</v>
      </c>
      <c r="AM110" s="106">
        <v>222.07564037067908</v>
      </c>
      <c r="AN110" s="106">
        <v>0</v>
      </c>
      <c r="AO110" s="106">
        <v>0</v>
      </c>
      <c r="AP110" s="106">
        <v>211.18499270272173</v>
      </c>
      <c r="AQ110" s="106">
        <v>130.59143706896367</v>
      </c>
      <c r="AR110" s="106">
        <v>342.90419125759121</v>
      </c>
      <c r="AS110" s="106">
        <v>393.30561833262021</v>
      </c>
      <c r="AT110" s="106">
        <v>4.801714581503802E-15</v>
      </c>
      <c r="AU110" s="106">
        <v>0</v>
      </c>
      <c r="AV110" s="106">
        <v>0</v>
      </c>
      <c r="AW110" s="106">
        <v>164.18499270272184</v>
      </c>
      <c r="AX110" s="106">
        <v>525.42034733484252</v>
      </c>
      <c r="AY110" s="106">
        <v>558.84534234709815</v>
      </c>
    </row>
    <row r="111" spans="1:52">
      <c r="A111" s="109"/>
      <c r="B111" s="119">
        <v>3</v>
      </c>
      <c r="C111" s="106">
        <v>0</v>
      </c>
      <c r="D111" s="106">
        <v>0</v>
      </c>
      <c r="E111" s="106">
        <v>0</v>
      </c>
      <c r="F111" s="106">
        <v>0</v>
      </c>
      <c r="G111" s="106">
        <v>0</v>
      </c>
      <c r="H111" s="106">
        <v>0</v>
      </c>
      <c r="I111" s="106">
        <v>65.35993571172412</v>
      </c>
      <c r="J111" s="106">
        <v>0</v>
      </c>
      <c r="K111" s="106">
        <v>0</v>
      </c>
      <c r="L111" s="106">
        <v>142.55130271852249</v>
      </c>
      <c r="M111" s="106">
        <v>139.2327300336915</v>
      </c>
      <c r="N111" s="106">
        <v>61.402183782947304</v>
      </c>
      <c r="O111" s="106">
        <v>0</v>
      </c>
      <c r="P111" s="106">
        <v>0</v>
      </c>
      <c r="Q111" s="106">
        <v>0</v>
      </c>
      <c r="R111" s="106">
        <v>0</v>
      </c>
      <c r="S111" s="106">
        <v>0</v>
      </c>
      <c r="T111" s="106">
        <v>0</v>
      </c>
      <c r="U111" s="106">
        <v>0</v>
      </c>
      <c r="V111" s="106">
        <v>0</v>
      </c>
      <c r="W111" s="106">
        <v>149.69099980355873</v>
      </c>
      <c r="X111" s="106">
        <v>0</v>
      </c>
      <c r="Y111" s="106">
        <v>0</v>
      </c>
      <c r="Z111" s="106">
        <v>120.8209256442301</v>
      </c>
      <c r="AA111" s="106">
        <v>143.16447253227273</v>
      </c>
      <c r="AB111" s="106">
        <v>96.644647218204284</v>
      </c>
      <c r="AC111" s="106">
        <v>0</v>
      </c>
      <c r="AD111" s="106">
        <v>0</v>
      </c>
      <c r="AE111" s="106">
        <v>0</v>
      </c>
      <c r="AF111" s="106">
        <v>0</v>
      </c>
      <c r="AG111" s="106">
        <v>0</v>
      </c>
      <c r="AH111" s="106">
        <v>0</v>
      </c>
      <c r="AI111" s="106">
        <v>0</v>
      </c>
      <c r="AJ111" s="106">
        <v>0</v>
      </c>
      <c r="AK111" s="106">
        <v>0</v>
      </c>
      <c r="AL111" s="106">
        <v>0</v>
      </c>
      <c r="AM111" s="106">
        <v>0</v>
      </c>
      <c r="AN111" s="106">
        <v>0</v>
      </c>
      <c r="AO111" s="106">
        <v>0</v>
      </c>
      <c r="AP111" s="106">
        <v>0</v>
      </c>
      <c r="AQ111" s="106">
        <v>0</v>
      </c>
      <c r="AR111" s="106">
        <v>0</v>
      </c>
      <c r="AS111" s="106">
        <v>0</v>
      </c>
      <c r="AT111" s="106">
        <v>0</v>
      </c>
      <c r="AU111" s="106">
        <v>0</v>
      </c>
      <c r="AV111" s="106">
        <v>0</v>
      </c>
      <c r="AW111" s="106">
        <v>0</v>
      </c>
      <c r="AX111" s="106">
        <v>0</v>
      </c>
      <c r="AY111" s="106">
        <v>47.058802301132459</v>
      </c>
    </row>
    <row r="112" spans="1:52">
      <c r="A112" s="109"/>
      <c r="B112" s="120">
        <v>4</v>
      </c>
      <c r="C112" s="106">
        <v>0</v>
      </c>
      <c r="D112" s="106">
        <v>0</v>
      </c>
      <c r="E112" s="106">
        <v>0</v>
      </c>
      <c r="F112" s="106">
        <v>0</v>
      </c>
      <c r="G112" s="106">
        <v>0</v>
      </c>
      <c r="H112" s="106">
        <v>0</v>
      </c>
      <c r="I112" s="106">
        <v>0</v>
      </c>
      <c r="J112" s="106">
        <v>0</v>
      </c>
      <c r="K112" s="106">
        <v>0</v>
      </c>
      <c r="L112" s="106">
        <v>0</v>
      </c>
      <c r="M112" s="106">
        <v>0</v>
      </c>
      <c r="N112" s="106">
        <v>0</v>
      </c>
      <c r="O112" s="106">
        <v>0</v>
      </c>
      <c r="P112" s="106">
        <v>0</v>
      </c>
      <c r="Q112" s="106">
        <v>0</v>
      </c>
      <c r="R112" s="106">
        <v>0</v>
      </c>
      <c r="S112" s="106">
        <v>0</v>
      </c>
      <c r="T112" s="106">
        <v>0</v>
      </c>
      <c r="U112" s="106">
        <v>0</v>
      </c>
      <c r="V112" s="106">
        <v>0</v>
      </c>
      <c r="W112" s="106">
        <v>0</v>
      </c>
      <c r="X112" s="106">
        <v>0</v>
      </c>
      <c r="Y112" s="106">
        <v>0</v>
      </c>
      <c r="Z112" s="106">
        <v>0</v>
      </c>
      <c r="AA112" s="106">
        <v>0</v>
      </c>
      <c r="AB112" s="106">
        <v>0</v>
      </c>
      <c r="AC112" s="106">
        <v>0</v>
      </c>
      <c r="AD112" s="106">
        <v>0</v>
      </c>
      <c r="AE112" s="106">
        <v>0</v>
      </c>
      <c r="AF112" s="106">
        <v>0</v>
      </c>
      <c r="AG112" s="106">
        <v>0</v>
      </c>
      <c r="AH112" s="106">
        <v>0</v>
      </c>
      <c r="AI112" s="106">
        <v>0</v>
      </c>
      <c r="AJ112" s="106">
        <v>0</v>
      </c>
      <c r="AK112" s="106">
        <v>0</v>
      </c>
      <c r="AL112" s="106">
        <v>0</v>
      </c>
      <c r="AM112" s="106">
        <v>0</v>
      </c>
      <c r="AN112" s="106">
        <v>0</v>
      </c>
      <c r="AO112" s="106">
        <v>0</v>
      </c>
      <c r="AP112" s="106">
        <v>0</v>
      </c>
      <c r="AQ112" s="106">
        <v>0</v>
      </c>
      <c r="AR112" s="106">
        <v>0</v>
      </c>
      <c r="AS112" s="106">
        <v>0</v>
      </c>
      <c r="AT112" s="106">
        <v>0</v>
      </c>
      <c r="AU112" s="106">
        <v>0</v>
      </c>
      <c r="AV112" s="106">
        <v>0</v>
      </c>
      <c r="AW112" s="106">
        <v>0</v>
      </c>
      <c r="AX112" s="106">
        <v>0</v>
      </c>
      <c r="AY112" s="106">
        <v>0</v>
      </c>
    </row>
    <row r="113" spans="1:52">
      <c r="A113" s="109"/>
      <c r="B113" s="120">
        <v>5</v>
      </c>
      <c r="C113" s="106">
        <v>0</v>
      </c>
      <c r="D113" s="106">
        <v>0</v>
      </c>
      <c r="E113" s="106">
        <v>0</v>
      </c>
      <c r="F113" s="106">
        <v>0</v>
      </c>
      <c r="G113" s="106">
        <v>0</v>
      </c>
      <c r="H113" s="106">
        <v>0</v>
      </c>
      <c r="I113" s="106">
        <v>0</v>
      </c>
      <c r="J113" s="106">
        <v>0</v>
      </c>
      <c r="K113" s="106">
        <v>0</v>
      </c>
      <c r="L113" s="106">
        <v>0</v>
      </c>
      <c r="M113" s="106">
        <v>0</v>
      </c>
      <c r="N113" s="106">
        <v>0</v>
      </c>
      <c r="O113" s="106">
        <v>0</v>
      </c>
      <c r="P113" s="106">
        <v>0</v>
      </c>
      <c r="Q113" s="106">
        <v>0</v>
      </c>
      <c r="R113" s="106">
        <v>0</v>
      </c>
      <c r="S113" s="106">
        <v>0</v>
      </c>
      <c r="T113" s="106">
        <v>0</v>
      </c>
      <c r="U113" s="106">
        <v>0</v>
      </c>
      <c r="V113" s="106">
        <v>0</v>
      </c>
      <c r="W113" s="106">
        <v>0</v>
      </c>
      <c r="X113" s="106">
        <v>0</v>
      </c>
      <c r="Y113" s="106">
        <v>0</v>
      </c>
      <c r="Z113" s="106">
        <v>0</v>
      </c>
      <c r="AA113" s="106">
        <v>0</v>
      </c>
      <c r="AB113" s="106">
        <v>0</v>
      </c>
      <c r="AC113" s="106">
        <v>0</v>
      </c>
      <c r="AD113" s="106">
        <v>0</v>
      </c>
      <c r="AE113" s="106">
        <v>0</v>
      </c>
      <c r="AF113" s="106">
        <v>0</v>
      </c>
      <c r="AG113" s="106">
        <v>0</v>
      </c>
      <c r="AH113" s="106">
        <v>0</v>
      </c>
      <c r="AI113" s="106">
        <v>0</v>
      </c>
      <c r="AJ113" s="106">
        <v>0</v>
      </c>
      <c r="AK113" s="106">
        <v>0</v>
      </c>
      <c r="AL113" s="106">
        <v>0</v>
      </c>
      <c r="AM113" s="106">
        <v>0</v>
      </c>
      <c r="AN113" s="106">
        <v>0</v>
      </c>
      <c r="AO113" s="106">
        <v>0</v>
      </c>
      <c r="AP113" s="106">
        <v>0</v>
      </c>
      <c r="AQ113" s="106">
        <v>0</v>
      </c>
      <c r="AR113" s="106">
        <v>0</v>
      </c>
      <c r="AS113" s="106">
        <v>0</v>
      </c>
      <c r="AT113" s="106">
        <v>0</v>
      </c>
      <c r="AU113" s="106">
        <v>0</v>
      </c>
      <c r="AV113" s="106">
        <v>0</v>
      </c>
      <c r="AW113" s="106">
        <v>0</v>
      </c>
      <c r="AX113" s="106">
        <v>0</v>
      </c>
      <c r="AY113" s="106">
        <v>0</v>
      </c>
    </row>
    <row r="114" spans="1:52">
      <c r="A114" s="109"/>
      <c r="B114" s="120">
        <v>6</v>
      </c>
      <c r="C114" s="106">
        <v>0</v>
      </c>
      <c r="D114" s="106">
        <v>0</v>
      </c>
      <c r="E114" s="106">
        <v>0</v>
      </c>
      <c r="F114" s="106">
        <v>0</v>
      </c>
      <c r="G114" s="106">
        <v>0</v>
      </c>
      <c r="H114" s="106">
        <v>0</v>
      </c>
      <c r="I114" s="106">
        <v>0</v>
      </c>
      <c r="J114" s="106">
        <v>0</v>
      </c>
      <c r="K114" s="106">
        <v>0</v>
      </c>
      <c r="L114" s="106">
        <v>0</v>
      </c>
      <c r="M114" s="106">
        <v>0</v>
      </c>
      <c r="N114" s="106">
        <v>0</v>
      </c>
      <c r="O114" s="106">
        <v>0</v>
      </c>
      <c r="P114" s="106">
        <v>0</v>
      </c>
      <c r="Q114" s="106">
        <v>0</v>
      </c>
      <c r="R114" s="106">
        <v>0</v>
      </c>
      <c r="S114" s="106">
        <v>0</v>
      </c>
      <c r="T114" s="106">
        <v>0</v>
      </c>
      <c r="U114" s="106">
        <v>0</v>
      </c>
      <c r="V114" s="106">
        <v>0</v>
      </c>
      <c r="W114" s="106">
        <v>0</v>
      </c>
      <c r="X114" s="106">
        <v>0</v>
      </c>
      <c r="Y114" s="106">
        <v>0</v>
      </c>
      <c r="Z114" s="106">
        <v>0</v>
      </c>
      <c r="AA114" s="106">
        <v>0</v>
      </c>
      <c r="AB114" s="106">
        <v>0</v>
      </c>
      <c r="AC114" s="106">
        <v>0</v>
      </c>
      <c r="AD114" s="106">
        <v>0</v>
      </c>
      <c r="AE114" s="106">
        <v>0</v>
      </c>
      <c r="AF114" s="106">
        <v>0</v>
      </c>
      <c r="AG114" s="106">
        <v>0</v>
      </c>
      <c r="AH114" s="106">
        <v>0</v>
      </c>
      <c r="AI114" s="106">
        <v>0</v>
      </c>
      <c r="AJ114" s="106">
        <v>0</v>
      </c>
      <c r="AK114" s="106">
        <v>0</v>
      </c>
      <c r="AL114" s="106">
        <v>0</v>
      </c>
      <c r="AM114" s="106">
        <v>0</v>
      </c>
      <c r="AN114" s="106">
        <v>0</v>
      </c>
      <c r="AO114" s="106">
        <v>0</v>
      </c>
      <c r="AP114" s="106">
        <v>0</v>
      </c>
      <c r="AQ114" s="106">
        <v>0</v>
      </c>
      <c r="AR114" s="106">
        <v>0</v>
      </c>
      <c r="AS114" s="106">
        <v>0</v>
      </c>
      <c r="AT114" s="106">
        <v>0</v>
      </c>
      <c r="AU114" s="106">
        <v>0</v>
      </c>
      <c r="AV114" s="106">
        <v>0</v>
      </c>
      <c r="AW114" s="106">
        <v>0</v>
      </c>
      <c r="AX114" s="106">
        <v>0</v>
      </c>
      <c r="AY114" s="106">
        <v>0</v>
      </c>
    </row>
    <row r="115" spans="1:52">
      <c r="A115" s="109"/>
      <c r="B115" s="127">
        <v>7</v>
      </c>
      <c r="C115" s="106">
        <v>0</v>
      </c>
      <c r="D115" s="106">
        <v>0</v>
      </c>
      <c r="E115" s="106">
        <v>0</v>
      </c>
      <c r="F115" s="106">
        <v>0</v>
      </c>
      <c r="G115" s="106">
        <v>0</v>
      </c>
      <c r="H115" s="106">
        <v>0</v>
      </c>
      <c r="I115" s="106">
        <v>0</v>
      </c>
      <c r="J115" s="106">
        <v>0</v>
      </c>
      <c r="K115" s="106">
        <v>0</v>
      </c>
      <c r="L115" s="106">
        <v>0</v>
      </c>
      <c r="M115" s="106">
        <v>0</v>
      </c>
      <c r="N115" s="106">
        <v>0</v>
      </c>
      <c r="O115" s="106">
        <v>0</v>
      </c>
      <c r="P115" s="106">
        <v>0</v>
      </c>
      <c r="Q115" s="106">
        <v>0</v>
      </c>
      <c r="R115" s="106">
        <v>0</v>
      </c>
      <c r="S115" s="106">
        <v>0</v>
      </c>
      <c r="T115" s="106">
        <v>0</v>
      </c>
      <c r="U115" s="106">
        <v>0</v>
      </c>
      <c r="V115" s="106">
        <v>0</v>
      </c>
      <c r="W115" s="106">
        <v>0</v>
      </c>
      <c r="X115" s="106">
        <v>0</v>
      </c>
      <c r="Y115" s="106">
        <v>0</v>
      </c>
      <c r="Z115" s="106">
        <v>0</v>
      </c>
      <c r="AA115" s="106">
        <v>0</v>
      </c>
      <c r="AB115" s="106">
        <v>0</v>
      </c>
      <c r="AC115" s="106">
        <v>0</v>
      </c>
      <c r="AD115" s="106">
        <v>0</v>
      </c>
      <c r="AE115" s="106">
        <v>0</v>
      </c>
      <c r="AF115" s="106">
        <v>0</v>
      </c>
      <c r="AG115" s="106">
        <v>0</v>
      </c>
      <c r="AH115" s="106">
        <v>0</v>
      </c>
      <c r="AI115" s="106">
        <v>0</v>
      </c>
      <c r="AJ115" s="106">
        <v>0</v>
      </c>
      <c r="AK115" s="106">
        <v>0</v>
      </c>
      <c r="AL115" s="106">
        <v>0</v>
      </c>
      <c r="AM115" s="106">
        <v>0</v>
      </c>
      <c r="AN115" s="106">
        <v>0</v>
      </c>
      <c r="AO115" s="106">
        <v>0</v>
      </c>
      <c r="AP115" s="106">
        <v>0</v>
      </c>
      <c r="AQ115" s="106">
        <v>0</v>
      </c>
      <c r="AR115" s="106">
        <v>0</v>
      </c>
      <c r="AS115" s="106">
        <v>0</v>
      </c>
      <c r="AT115" s="106">
        <v>0</v>
      </c>
      <c r="AU115" s="106">
        <v>0</v>
      </c>
      <c r="AV115" s="106">
        <v>0</v>
      </c>
      <c r="AW115" s="106">
        <v>0</v>
      </c>
      <c r="AX115" s="106">
        <v>0</v>
      </c>
      <c r="AY115" s="106">
        <v>0</v>
      </c>
    </row>
    <row r="116" spans="1:52">
      <c r="A116" s="109"/>
      <c r="B116" s="127">
        <v>8</v>
      </c>
      <c r="C116" s="106">
        <v>0</v>
      </c>
      <c r="D116" s="106">
        <v>0</v>
      </c>
      <c r="E116" s="106">
        <v>0</v>
      </c>
      <c r="F116" s="106">
        <v>0</v>
      </c>
      <c r="G116" s="106">
        <v>0</v>
      </c>
      <c r="H116" s="106">
        <v>0</v>
      </c>
      <c r="I116" s="106">
        <v>0</v>
      </c>
      <c r="J116" s="106">
        <v>0</v>
      </c>
      <c r="K116" s="106">
        <v>0</v>
      </c>
      <c r="L116" s="106">
        <v>0</v>
      </c>
      <c r="M116" s="106">
        <v>0</v>
      </c>
      <c r="N116" s="106">
        <v>0</v>
      </c>
      <c r="O116" s="106">
        <v>0</v>
      </c>
      <c r="P116" s="106">
        <v>0</v>
      </c>
      <c r="Q116" s="106">
        <v>0</v>
      </c>
      <c r="R116" s="106">
        <v>0</v>
      </c>
      <c r="S116" s="106">
        <v>0</v>
      </c>
      <c r="T116" s="106">
        <v>0</v>
      </c>
      <c r="U116" s="106">
        <v>0</v>
      </c>
      <c r="V116" s="106">
        <v>0</v>
      </c>
      <c r="W116" s="106">
        <v>0</v>
      </c>
      <c r="X116" s="106">
        <v>0</v>
      </c>
      <c r="Y116" s="106">
        <v>0</v>
      </c>
      <c r="Z116" s="106">
        <v>0</v>
      </c>
      <c r="AA116" s="106">
        <v>0</v>
      </c>
      <c r="AB116" s="106">
        <v>0</v>
      </c>
      <c r="AC116" s="106">
        <v>0</v>
      </c>
      <c r="AD116" s="106">
        <v>0</v>
      </c>
      <c r="AE116" s="106">
        <v>0</v>
      </c>
      <c r="AF116" s="106">
        <v>0</v>
      </c>
      <c r="AG116" s="106">
        <v>0</v>
      </c>
      <c r="AH116" s="106">
        <v>0</v>
      </c>
      <c r="AI116" s="106">
        <v>0</v>
      </c>
      <c r="AJ116" s="106">
        <v>0</v>
      </c>
      <c r="AK116" s="106">
        <v>0</v>
      </c>
      <c r="AL116" s="106">
        <v>0</v>
      </c>
      <c r="AM116" s="106">
        <v>0</v>
      </c>
      <c r="AN116" s="106">
        <v>0</v>
      </c>
      <c r="AO116" s="106">
        <v>0</v>
      </c>
      <c r="AP116" s="106">
        <v>0</v>
      </c>
      <c r="AQ116" s="106">
        <v>0</v>
      </c>
      <c r="AR116" s="106">
        <v>0</v>
      </c>
      <c r="AS116" s="106">
        <v>0</v>
      </c>
      <c r="AT116" s="106">
        <v>0</v>
      </c>
      <c r="AU116" s="106">
        <v>0</v>
      </c>
      <c r="AV116" s="106">
        <v>0</v>
      </c>
      <c r="AW116" s="106">
        <v>0</v>
      </c>
      <c r="AX116" s="106">
        <v>0</v>
      </c>
      <c r="AY116" s="106">
        <v>0</v>
      </c>
    </row>
    <row r="117" spans="1:52">
      <c r="A117" s="109"/>
      <c r="B117" s="127">
        <v>9</v>
      </c>
      <c r="C117" s="106">
        <v>0</v>
      </c>
      <c r="D117" s="106">
        <v>0</v>
      </c>
      <c r="E117" s="106">
        <v>0</v>
      </c>
      <c r="F117" s="106">
        <v>0</v>
      </c>
      <c r="G117" s="106">
        <v>0</v>
      </c>
      <c r="H117" s="106">
        <v>0</v>
      </c>
      <c r="I117" s="106">
        <v>0</v>
      </c>
      <c r="J117" s="106">
        <v>0</v>
      </c>
      <c r="K117" s="106">
        <v>0</v>
      </c>
      <c r="L117" s="106">
        <v>0</v>
      </c>
      <c r="M117" s="106">
        <v>0</v>
      </c>
      <c r="N117" s="106">
        <v>0</v>
      </c>
      <c r="O117" s="106">
        <v>0</v>
      </c>
      <c r="P117" s="106">
        <v>0</v>
      </c>
      <c r="Q117" s="106">
        <v>0</v>
      </c>
      <c r="R117" s="106">
        <v>0</v>
      </c>
      <c r="S117" s="106">
        <v>0</v>
      </c>
      <c r="T117" s="106">
        <v>0</v>
      </c>
      <c r="U117" s="106">
        <v>0</v>
      </c>
      <c r="V117" s="106">
        <v>0</v>
      </c>
      <c r="W117" s="106">
        <v>0</v>
      </c>
      <c r="X117" s="106">
        <v>0</v>
      </c>
      <c r="Y117" s="106">
        <v>0</v>
      </c>
      <c r="Z117" s="106">
        <v>0</v>
      </c>
      <c r="AA117" s="106">
        <v>0</v>
      </c>
      <c r="AB117" s="106">
        <v>0</v>
      </c>
      <c r="AC117" s="106">
        <v>0</v>
      </c>
      <c r="AD117" s="106">
        <v>0</v>
      </c>
      <c r="AE117" s="106">
        <v>0</v>
      </c>
      <c r="AF117" s="106">
        <v>0</v>
      </c>
      <c r="AG117" s="106">
        <v>0</v>
      </c>
      <c r="AH117" s="106">
        <v>0</v>
      </c>
      <c r="AI117" s="106">
        <v>0</v>
      </c>
      <c r="AJ117" s="106">
        <v>0</v>
      </c>
      <c r="AK117" s="106">
        <v>0</v>
      </c>
      <c r="AL117" s="106">
        <v>0</v>
      </c>
      <c r="AM117" s="106">
        <v>0</v>
      </c>
      <c r="AN117" s="106">
        <v>0</v>
      </c>
      <c r="AO117" s="106">
        <v>0</v>
      </c>
      <c r="AP117" s="106">
        <v>0</v>
      </c>
      <c r="AQ117" s="106">
        <v>0</v>
      </c>
      <c r="AR117" s="106">
        <v>0</v>
      </c>
      <c r="AS117" s="106">
        <v>0</v>
      </c>
      <c r="AT117" s="106">
        <v>0</v>
      </c>
      <c r="AU117" s="106">
        <v>0</v>
      </c>
      <c r="AV117" s="106">
        <v>0</v>
      </c>
      <c r="AW117" s="106">
        <v>0</v>
      </c>
      <c r="AX117" s="106">
        <v>0</v>
      </c>
      <c r="AY117" s="106">
        <v>0</v>
      </c>
    </row>
    <row r="118" spans="1:52">
      <c r="A118" s="109"/>
      <c r="B118" s="130">
        <v>10</v>
      </c>
      <c r="C118" s="106">
        <v>0</v>
      </c>
      <c r="D118" s="106">
        <v>0</v>
      </c>
      <c r="E118" s="106">
        <v>0</v>
      </c>
      <c r="F118" s="106">
        <v>0</v>
      </c>
      <c r="G118" s="106">
        <v>0</v>
      </c>
      <c r="H118" s="106">
        <v>0</v>
      </c>
      <c r="I118" s="106">
        <v>0</v>
      </c>
      <c r="J118" s="106">
        <v>0</v>
      </c>
      <c r="K118" s="106">
        <v>0</v>
      </c>
      <c r="L118" s="106">
        <v>0</v>
      </c>
      <c r="M118" s="106">
        <v>0</v>
      </c>
      <c r="N118" s="106">
        <v>0</v>
      </c>
      <c r="O118" s="106">
        <v>0</v>
      </c>
      <c r="P118" s="106">
        <v>0</v>
      </c>
      <c r="Q118" s="106">
        <v>0</v>
      </c>
      <c r="R118" s="106">
        <v>0</v>
      </c>
      <c r="S118" s="106">
        <v>0</v>
      </c>
      <c r="T118" s="106">
        <v>0</v>
      </c>
      <c r="U118" s="106">
        <v>0</v>
      </c>
      <c r="V118" s="106">
        <v>0</v>
      </c>
      <c r="W118" s="106">
        <v>0</v>
      </c>
      <c r="X118" s="106">
        <v>0</v>
      </c>
      <c r="Y118" s="106">
        <v>0</v>
      </c>
      <c r="Z118" s="106">
        <v>0</v>
      </c>
      <c r="AA118" s="106">
        <v>0</v>
      </c>
      <c r="AB118" s="106">
        <v>0</v>
      </c>
      <c r="AC118" s="106">
        <v>0</v>
      </c>
      <c r="AD118" s="106">
        <v>0</v>
      </c>
      <c r="AE118" s="106">
        <v>0</v>
      </c>
      <c r="AF118" s="106">
        <v>0</v>
      </c>
      <c r="AG118" s="106">
        <v>0</v>
      </c>
      <c r="AH118" s="106">
        <v>0</v>
      </c>
      <c r="AI118" s="106">
        <v>0</v>
      </c>
      <c r="AJ118" s="106">
        <v>0</v>
      </c>
      <c r="AK118" s="106">
        <v>0</v>
      </c>
      <c r="AL118" s="106">
        <v>0</v>
      </c>
      <c r="AM118" s="106">
        <v>0</v>
      </c>
      <c r="AN118" s="106">
        <v>0</v>
      </c>
      <c r="AO118" s="106">
        <v>0</v>
      </c>
      <c r="AP118" s="106">
        <v>0</v>
      </c>
      <c r="AQ118" s="106">
        <v>0</v>
      </c>
      <c r="AR118" s="106">
        <v>0</v>
      </c>
      <c r="AS118" s="106">
        <v>0</v>
      </c>
      <c r="AT118" s="106">
        <v>0</v>
      </c>
      <c r="AU118" s="106">
        <v>0</v>
      </c>
      <c r="AV118" s="106">
        <v>0</v>
      </c>
      <c r="AW118" s="106">
        <v>0</v>
      </c>
      <c r="AX118" s="106">
        <v>0</v>
      </c>
      <c r="AY118" s="106">
        <v>0</v>
      </c>
    </row>
    <row r="119" spans="1:52">
      <c r="A119" s="109"/>
      <c r="B119" s="130">
        <v>11</v>
      </c>
      <c r="C119" s="106">
        <v>0</v>
      </c>
      <c r="D119" s="106">
        <v>0</v>
      </c>
      <c r="E119" s="106">
        <v>0</v>
      </c>
      <c r="F119" s="106">
        <v>0</v>
      </c>
      <c r="G119" s="106">
        <v>0</v>
      </c>
      <c r="H119" s="106">
        <v>0</v>
      </c>
      <c r="I119" s="106">
        <v>0</v>
      </c>
      <c r="J119" s="106">
        <v>0</v>
      </c>
      <c r="K119" s="106">
        <v>0</v>
      </c>
      <c r="L119" s="106">
        <v>0</v>
      </c>
      <c r="M119" s="106">
        <v>0</v>
      </c>
      <c r="N119" s="106">
        <v>0</v>
      </c>
      <c r="O119" s="106">
        <v>0</v>
      </c>
      <c r="P119" s="106">
        <v>0</v>
      </c>
      <c r="Q119" s="106">
        <v>0</v>
      </c>
      <c r="R119" s="106">
        <v>0</v>
      </c>
      <c r="S119" s="106">
        <v>0</v>
      </c>
      <c r="T119" s="106">
        <v>0</v>
      </c>
      <c r="U119" s="106">
        <v>0</v>
      </c>
      <c r="V119" s="106">
        <v>0</v>
      </c>
      <c r="W119" s="106">
        <v>0</v>
      </c>
      <c r="X119" s="106">
        <v>0</v>
      </c>
      <c r="Y119" s="106">
        <v>0</v>
      </c>
      <c r="Z119" s="106">
        <v>0</v>
      </c>
      <c r="AA119" s="106">
        <v>0</v>
      </c>
      <c r="AB119" s="106">
        <v>0</v>
      </c>
      <c r="AC119" s="106">
        <v>0</v>
      </c>
      <c r="AD119" s="106">
        <v>0</v>
      </c>
      <c r="AE119" s="106">
        <v>0</v>
      </c>
      <c r="AF119" s="106">
        <v>0</v>
      </c>
      <c r="AG119" s="106">
        <v>0</v>
      </c>
      <c r="AH119" s="106">
        <v>0</v>
      </c>
      <c r="AI119" s="106">
        <v>0</v>
      </c>
      <c r="AJ119" s="106">
        <v>0</v>
      </c>
      <c r="AK119" s="106">
        <v>0</v>
      </c>
      <c r="AL119" s="106">
        <v>0</v>
      </c>
      <c r="AM119" s="106">
        <v>0</v>
      </c>
      <c r="AN119" s="106">
        <v>0</v>
      </c>
      <c r="AO119" s="106">
        <v>0</v>
      </c>
      <c r="AP119" s="106">
        <v>0</v>
      </c>
      <c r="AQ119" s="106">
        <v>0</v>
      </c>
      <c r="AR119" s="106">
        <v>0</v>
      </c>
      <c r="AS119" s="106">
        <v>0</v>
      </c>
      <c r="AT119" s="106">
        <v>0</v>
      </c>
      <c r="AU119" s="106">
        <v>0</v>
      </c>
      <c r="AV119" s="106">
        <v>0</v>
      </c>
      <c r="AW119" s="106">
        <v>0</v>
      </c>
      <c r="AX119" s="106">
        <v>0</v>
      </c>
      <c r="AY119" s="106">
        <v>0</v>
      </c>
    </row>
    <row r="120" spans="1:52">
      <c r="A120" s="109"/>
      <c r="B120" s="130">
        <v>12</v>
      </c>
      <c r="C120" s="106">
        <v>0</v>
      </c>
      <c r="D120" s="106">
        <v>0</v>
      </c>
      <c r="E120" s="106">
        <v>0</v>
      </c>
      <c r="F120" s="106">
        <v>0</v>
      </c>
      <c r="G120" s="106">
        <v>0</v>
      </c>
      <c r="H120" s="106">
        <v>0</v>
      </c>
      <c r="I120" s="106">
        <v>0</v>
      </c>
      <c r="J120" s="106">
        <v>0</v>
      </c>
      <c r="K120" s="106">
        <v>0</v>
      </c>
      <c r="L120" s="106">
        <v>0</v>
      </c>
      <c r="M120" s="106">
        <v>0</v>
      </c>
      <c r="N120" s="106">
        <v>0</v>
      </c>
      <c r="O120" s="106">
        <v>0</v>
      </c>
      <c r="P120" s="106">
        <v>0</v>
      </c>
      <c r="Q120" s="106">
        <v>0</v>
      </c>
      <c r="R120" s="106">
        <v>0</v>
      </c>
      <c r="S120" s="106">
        <v>0</v>
      </c>
      <c r="T120" s="106">
        <v>0</v>
      </c>
      <c r="U120" s="106">
        <v>0</v>
      </c>
      <c r="V120" s="106">
        <v>0</v>
      </c>
      <c r="W120" s="106">
        <v>0</v>
      </c>
      <c r="X120" s="106">
        <v>0</v>
      </c>
      <c r="Y120" s="106">
        <v>0</v>
      </c>
      <c r="Z120" s="106">
        <v>0</v>
      </c>
      <c r="AA120" s="106">
        <v>0</v>
      </c>
      <c r="AB120" s="106">
        <v>0</v>
      </c>
      <c r="AC120" s="106">
        <v>0</v>
      </c>
      <c r="AD120" s="106">
        <v>0</v>
      </c>
      <c r="AE120" s="106">
        <v>0</v>
      </c>
      <c r="AF120" s="106">
        <v>0</v>
      </c>
      <c r="AG120" s="106">
        <v>0</v>
      </c>
      <c r="AH120" s="106">
        <v>0</v>
      </c>
      <c r="AI120" s="106">
        <v>0</v>
      </c>
      <c r="AJ120" s="106">
        <v>0</v>
      </c>
      <c r="AK120" s="106">
        <v>0</v>
      </c>
      <c r="AL120" s="106">
        <v>0</v>
      </c>
      <c r="AM120" s="106">
        <v>0</v>
      </c>
      <c r="AN120" s="106">
        <v>0</v>
      </c>
      <c r="AO120" s="106">
        <v>0</v>
      </c>
      <c r="AP120" s="106">
        <v>0</v>
      </c>
      <c r="AQ120" s="106">
        <v>0</v>
      </c>
      <c r="AR120" s="106">
        <v>0</v>
      </c>
      <c r="AS120" s="106">
        <v>0</v>
      </c>
      <c r="AT120" s="106">
        <v>0</v>
      </c>
      <c r="AU120" s="106">
        <v>0</v>
      </c>
      <c r="AV120" s="106">
        <v>0</v>
      </c>
      <c r="AW120" s="106">
        <v>0</v>
      </c>
      <c r="AX120" s="106">
        <v>0</v>
      </c>
      <c r="AY120" s="106">
        <v>0</v>
      </c>
    </row>
    <row r="121" spans="1:52">
      <c r="A121" s="128"/>
      <c r="B121" s="132" t="s">
        <v>296</v>
      </c>
      <c r="C121" s="114">
        <v>0</v>
      </c>
      <c r="D121" s="125">
        <v>0</v>
      </c>
      <c r="E121" s="125">
        <v>0</v>
      </c>
      <c r="F121" s="125">
        <v>0</v>
      </c>
      <c r="G121" s="125">
        <v>0</v>
      </c>
      <c r="H121" s="125">
        <v>0</v>
      </c>
      <c r="I121" s="125">
        <v>0</v>
      </c>
      <c r="J121" s="125">
        <v>0</v>
      </c>
      <c r="K121" s="125">
        <v>0</v>
      </c>
      <c r="L121" s="125">
        <v>0</v>
      </c>
      <c r="M121" s="125">
        <v>0</v>
      </c>
      <c r="N121" s="125">
        <v>0</v>
      </c>
      <c r="O121" s="125">
        <v>0</v>
      </c>
      <c r="P121" s="125">
        <v>0</v>
      </c>
      <c r="Q121" s="125">
        <v>0</v>
      </c>
      <c r="R121" s="125">
        <v>0</v>
      </c>
      <c r="S121" s="125">
        <v>0</v>
      </c>
      <c r="T121" s="125">
        <v>0</v>
      </c>
      <c r="U121" s="125">
        <v>0</v>
      </c>
      <c r="V121" s="125">
        <v>0</v>
      </c>
      <c r="W121" s="125">
        <v>0</v>
      </c>
      <c r="X121" s="125">
        <v>0</v>
      </c>
      <c r="Y121" s="125">
        <v>0</v>
      </c>
      <c r="Z121" s="125">
        <v>0</v>
      </c>
      <c r="AA121" s="125">
        <v>0</v>
      </c>
      <c r="AB121" s="125">
        <v>0</v>
      </c>
      <c r="AC121" s="125">
        <v>0</v>
      </c>
      <c r="AD121" s="125">
        <v>0</v>
      </c>
      <c r="AE121" s="125">
        <v>0</v>
      </c>
      <c r="AF121" s="125">
        <v>0</v>
      </c>
      <c r="AG121" s="125">
        <v>0</v>
      </c>
      <c r="AH121" s="125">
        <v>0</v>
      </c>
      <c r="AI121" s="125">
        <v>0</v>
      </c>
      <c r="AJ121" s="125">
        <v>0</v>
      </c>
      <c r="AK121" s="125">
        <v>0</v>
      </c>
      <c r="AL121" s="125">
        <v>0</v>
      </c>
      <c r="AM121" s="125">
        <v>0</v>
      </c>
      <c r="AN121" s="125">
        <v>0</v>
      </c>
      <c r="AO121" s="125">
        <v>0</v>
      </c>
      <c r="AP121" s="125">
        <v>0</v>
      </c>
      <c r="AQ121" s="125">
        <v>0</v>
      </c>
      <c r="AR121" s="125">
        <v>0</v>
      </c>
      <c r="AS121" s="125">
        <v>0</v>
      </c>
      <c r="AT121" s="125">
        <v>0</v>
      </c>
      <c r="AU121" s="125">
        <v>0</v>
      </c>
      <c r="AV121" s="125">
        <v>0</v>
      </c>
      <c r="AW121" s="125">
        <v>0</v>
      </c>
      <c r="AX121" s="125">
        <v>0</v>
      </c>
      <c r="AY121" s="125">
        <v>0</v>
      </c>
      <c r="AZ121" s="107">
        <f>SUM($D121:$AY121)</f>
        <v>0</v>
      </c>
    </row>
    <row r="122" spans="1:52">
      <c r="A122" s="131" t="s">
        <v>123</v>
      </c>
      <c r="B122" s="119">
        <v>1</v>
      </c>
      <c r="C122" s="106">
        <v>7.3672552489155801E-2</v>
      </c>
      <c r="D122" s="106">
        <v>7.2766587415744668E-2</v>
      </c>
      <c r="E122" s="106">
        <v>259.38514189593792</v>
      </c>
      <c r="F122" s="106">
        <v>824.35966120545152</v>
      </c>
      <c r="G122" s="106">
        <v>259.38514189593769</v>
      </c>
      <c r="H122" s="106">
        <v>7.2766587415744668E-2</v>
      </c>
      <c r="I122" s="106">
        <v>1648.6465558234872</v>
      </c>
      <c r="J122" s="106">
        <v>824.35966120545152</v>
      </c>
      <c r="K122" s="106">
        <v>824.3596612054514</v>
      </c>
      <c r="L122" s="106">
        <v>7.2766587415744668E-2</v>
      </c>
      <c r="M122" s="106">
        <v>7.2766587415744668E-2</v>
      </c>
      <c r="N122" s="106">
        <v>1648.6465558234872</v>
      </c>
      <c r="O122" s="106">
        <v>824.35966120545152</v>
      </c>
      <c r="P122" s="106">
        <v>259.38514189593769</v>
      </c>
      <c r="Q122" s="106">
        <v>7.2766587415744668E-2</v>
      </c>
      <c r="R122" s="106">
        <v>259.38514189593769</v>
      </c>
      <c r="S122" s="106">
        <v>824.35966120545152</v>
      </c>
      <c r="T122" s="106">
        <v>824.3596612054514</v>
      </c>
      <c r="U122" s="106">
        <v>7.2766587415744668E-2</v>
      </c>
      <c r="V122" s="106">
        <v>259.38514189593769</v>
      </c>
      <c r="W122" s="106">
        <v>824.35966120545152</v>
      </c>
      <c r="X122" s="106">
        <v>824.3596612054514</v>
      </c>
      <c r="Y122" s="106">
        <v>824.35966120545152</v>
      </c>
      <c r="Z122" s="106">
        <v>824.3596612054514</v>
      </c>
      <c r="AA122" s="106">
        <v>824.35966120545152</v>
      </c>
      <c r="AB122" s="106">
        <v>824.3596612054514</v>
      </c>
      <c r="AC122" s="106">
        <v>7.2766587415744668E-2</v>
      </c>
      <c r="AD122" s="106">
        <v>824.3596612054514</v>
      </c>
      <c r="AE122" s="106">
        <v>824.35966120545152</v>
      </c>
      <c r="AF122" s="106">
        <v>7.2766587415744668E-2</v>
      </c>
      <c r="AG122" s="106">
        <v>1648.6465558234872</v>
      </c>
      <c r="AH122" s="106">
        <v>7.2766587415744668E-2</v>
      </c>
      <c r="AI122" s="106">
        <v>259.38514189593764</v>
      </c>
      <c r="AJ122" s="106">
        <v>989.21229116519999</v>
      </c>
      <c r="AK122" s="106">
        <v>259.38514189593764</v>
      </c>
      <c r="AL122" s="106">
        <v>7.2766587415744668E-2</v>
      </c>
      <c r="AM122" s="106">
        <v>259.38514189593792</v>
      </c>
      <c r="AN122" s="106">
        <v>7.2766587415744668E-2</v>
      </c>
      <c r="AO122" s="106">
        <v>824.3596612054514</v>
      </c>
      <c r="AP122" s="106">
        <v>824.35966120545152</v>
      </c>
      <c r="AQ122" s="106">
        <v>824.3596612054514</v>
      </c>
      <c r="AR122" s="106">
        <v>7.2766587415744668E-2</v>
      </c>
      <c r="AS122" s="106">
        <v>259.38514189593769</v>
      </c>
      <c r="AT122" s="106">
        <v>7.2766587415744668E-2</v>
      </c>
      <c r="AU122" s="106">
        <v>824.3596612054514</v>
      </c>
      <c r="AV122" s="106">
        <v>824.35966120545152</v>
      </c>
      <c r="AW122" s="106">
        <v>824.3596612054514</v>
      </c>
      <c r="AX122" s="106">
        <v>7.2766587415744668E-2</v>
      </c>
      <c r="AY122" s="106">
        <v>824.3596612054514</v>
      </c>
    </row>
    <row r="123" spans="1:52">
      <c r="A123" s="109"/>
      <c r="B123" s="119">
        <v>2</v>
      </c>
      <c r="C123" s="106">
        <v>566.38871724356136</v>
      </c>
      <c r="D123" s="106">
        <v>825.66710333220635</v>
      </c>
      <c r="E123" s="106">
        <v>0</v>
      </c>
      <c r="F123" s="106">
        <v>1391.5722468736622</v>
      </c>
      <c r="G123" s="106">
        <v>455.18699059468389</v>
      </c>
      <c r="H123" s="106">
        <v>577.12250228763128</v>
      </c>
      <c r="I123" s="106">
        <v>0</v>
      </c>
      <c r="J123" s="106">
        <v>323.3338016348597</v>
      </c>
      <c r="K123" s="106">
        <v>22.722339969366487</v>
      </c>
      <c r="L123" s="106">
        <v>5.6843418860808015E-14</v>
      </c>
      <c r="M123" s="106">
        <v>824.28689461803572</v>
      </c>
      <c r="N123" s="106">
        <v>0</v>
      </c>
      <c r="O123" s="106">
        <v>361.3338016348597</v>
      </c>
      <c r="P123" s="106">
        <v>116.70481455734506</v>
      </c>
      <c r="Q123" s="106">
        <v>564.97451930951377</v>
      </c>
      <c r="R123" s="106">
        <v>0</v>
      </c>
      <c r="S123" s="106">
        <v>564.97451930951377</v>
      </c>
      <c r="T123" s="106">
        <v>455.18699059468389</v>
      </c>
      <c r="U123" s="106">
        <v>89.372274086320886</v>
      </c>
      <c r="V123" s="106">
        <v>824.28689461803572</v>
      </c>
      <c r="W123" s="106">
        <v>624.34612372681386</v>
      </c>
      <c r="X123" s="106">
        <v>321.93242941575699</v>
      </c>
      <c r="Y123" s="106">
        <v>31.94854373316582</v>
      </c>
      <c r="Z123" s="106">
        <v>5.6843418860808015E-14</v>
      </c>
      <c r="AA123" s="106">
        <v>5.6843418860808015E-14</v>
      </c>
      <c r="AB123" s="106">
        <v>0</v>
      </c>
      <c r="AC123" s="106">
        <v>0</v>
      </c>
      <c r="AD123" s="106">
        <v>824.28689461803572</v>
      </c>
      <c r="AE123" s="106">
        <v>239.19080201318906</v>
      </c>
      <c r="AF123" s="106">
        <v>1.1368683772161603E-13</v>
      </c>
      <c r="AG123" s="106">
        <v>0</v>
      </c>
      <c r="AH123" s="106">
        <v>193.31703874438642</v>
      </c>
      <c r="AI123" s="106">
        <v>989.13952457778419</v>
      </c>
      <c r="AJ123" s="106">
        <v>748.55994593714138</v>
      </c>
      <c r="AK123" s="106">
        <v>291.54636328143414</v>
      </c>
      <c r="AL123" s="106">
        <v>729.82714926926224</v>
      </c>
      <c r="AM123" s="106">
        <v>0</v>
      </c>
      <c r="AN123" s="106">
        <v>1389.2614139275493</v>
      </c>
      <c r="AO123" s="106">
        <v>4.0179554508020569E-2</v>
      </c>
      <c r="AP123" s="106">
        <v>5.6843418860808015E-14</v>
      </c>
      <c r="AQ123" s="106">
        <v>286.3338016348597</v>
      </c>
      <c r="AR123" s="106">
        <v>1.1368683772161603E-13</v>
      </c>
      <c r="AS123" s="106">
        <v>824.28689461803572</v>
      </c>
      <c r="AT123" s="106">
        <v>5.6843418860808015E-14</v>
      </c>
      <c r="AU123" s="106">
        <v>0</v>
      </c>
      <c r="AV123" s="106">
        <v>223.12637853741262</v>
      </c>
      <c r="AW123" s="106">
        <v>423.53757972877918</v>
      </c>
      <c r="AX123" s="106">
        <v>1.1368683772161603E-13</v>
      </c>
      <c r="AY123" s="106">
        <v>824.28689461803572</v>
      </c>
    </row>
    <row r="124" spans="1:52">
      <c r="A124" s="109"/>
      <c r="B124" s="119">
        <v>3</v>
      </c>
      <c r="C124" s="106">
        <v>0</v>
      </c>
      <c r="D124" s="106">
        <v>0</v>
      </c>
      <c r="E124" s="106">
        <v>0</v>
      </c>
      <c r="F124" s="106">
        <v>0</v>
      </c>
      <c r="G124" s="106">
        <v>183.9693276272543</v>
      </c>
      <c r="H124" s="106">
        <v>0</v>
      </c>
      <c r="I124" s="106">
        <v>0</v>
      </c>
      <c r="J124" s="106">
        <v>0</v>
      </c>
      <c r="K124" s="106">
        <v>0</v>
      </c>
      <c r="L124" s="106">
        <v>0</v>
      </c>
      <c r="M124" s="106">
        <v>0</v>
      </c>
      <c r="N124" s="106">
        <v>0</v>
      </c>
      <c r="O124" s="106">
        <v>0</v>
      </c>
      <c r="P124" s="106">
        <v>0</v>
      </c>
      <c r="Q124" s="106">
        <v>0</v>
      </c>
      <c r="R124" s="106">
        <v>0</v>
      </c>
      <c r="S124" s="106">
        <v>824.28689461803572</v>
      </c>
      <c r="T124" s="106">
        <v>110.19154580916251</v>
      </c>
      <c r="U124" s="106">
        <v>0</v>
      </c>
      <c r="V124" s="106">
        <v>0</v>
      </c>
      <c r="W124" s="106">
        <v>0</v>
      </c>
      <c r="X124" s="106">
        <v>0</v>
      </c>
      <c r="Y124" s="106">
        <v>0</v>
      </c>
      <c r="Z124" s="106">
        <v>0</v>
      </c>
      <c r="AA124" s="106">
        <v>0</v>
      </c>
      <c r="AB124" s="106">
        <v>0</v>
      </c>
      <c r="AC124" s="106">
        <v>0</v>
      </c>
      <c r="AD124" s="106">
        <v>0</v>
      </c>
      <c r="AE124" s="106">
        <v>0</v>
      </c>
      <c r="AF124" s="106">
        <v>0</v>
      </c>
      <c r="AG124" s="106">
        <v>0</v>
      </c>
      <c r="AH124" s="106">
        <v>0</v>
      </c>
      <c r="AI124" s="106">
        <v>0</v>
      </c>
      <c r="AJ124" s="106">
        <v>0</v>
      </c>
      <c r="AK124" s="106">
        <v>0</v>
      </c>
      <c r="AL124" s="106">
        <v>0</v>
      </c>
      <c r="AM124" s="106">
        <v>0</v>
      </c>
      <c r="AN124" s="106">
        <v>0</v>
      </c>
      <c r="AO124" s="106">
        <v>47.374669735978728</v>
      </c>
      <c r="AP124" s="106">
        <v>824.28689461803572</v>
      </c>
      <c r="AQ124" s="106">
        <v>0</v>
      </c>
      <c r="AR124" s="106">
        <v>0</v>
      </c>
      <c r="AS124" s="106">
        <v>0</v>
      </c>
      <c r="AT124" s="106">
        <v>0</v>
      </c>
      <c r="AU124" s="106">
        <v>564.97451930951377</v>
      </c>
      <c r="AV124" s="106">
        <v>824.28689461803572</v>
      </c>
      <c r="AW124" s="106">
        <v>0</v>
      </c>
      <c r="AX124" s="106">
        <v>0</v>
      </c>
      <c r="AY124" s="106">
        <v>0</v>
      </c>
    </row>
    <row r="125" spans="1:52">
      <c r="A125" s="109"/>
      <c r="B125" s="119">
        <v>4</v>
      </c>
      <c r="C125" s="106">
        <v>0</v>
      </c>
      <c r="D125" s="106">
        <v>0</v>
      </c>
      <c r="E125" s="106">
        <v>0</v>
      </c>
      <c r="F125" s="106">
        <v>0</v>
      </c>
      <c r="G125" s="106">
        <v>0</v>
      </c>
      <c r="H125" s="106">
        <v>0</v>
      </c>
      <c r="I125" s="106">
        <v>0</v>
      </c>
      <c r="J125" s="106">
        <v>0</v>
      </c>
      <c r="K125" s="106">
        <v>0</v>
      </c>
      <c r="L125" s="106">
        <v>0</v>
      </c>
      <c r="M125" s="106">
        <v>0</v>
      </c>
      <c r="N125" s="106">
        <v>0</v>
      </c>
      <c r="O125" s="106">
        <v>0</v>
      </c>
      <c r="P125" s="106">
        <v>0</v>
      </c>
      <c r="Q125" s="106">
        <v>0</v>
      </c>
      <c r="R125" s="106">
        <v>0</v>
      </c>
      <c r="S125" s="106">
        <v>0</v>
      </c>
      <c r="T125" s="106">
        <v>0</v>
      </c>
      <c r="U125" s="106">
        <v>0</v>
      </c>
      <c r="V125" s="106">
        <v>0</v>
      </c>
      <c r="W125" s="106">
        <v>0</v>
      </c>
      <c r="X125" s="106">
        <v>0</v>
      </c>
      <c r="Y125" s="106">
        <v>0</v>
      </c>
      <c r="Z125" s="106">
        <v>0</v>
      </c>
      <c r="AA125" s="106">
        <v>0</v>
      </c>
      <c r="AB125" s="106">
        <v>0</v>
      </c>
      <c r="AC125" s="106">
        <v>0</v>
      </c>
      <c r="AD125" s="106">
        <v>0</v>
      </c>
      <c r="AE125" s="106">
        <v>0</v>
      </c>
      <c r="AF125" s="106">
        <v>0</v>
      </c>
      <c r="AG125" s="106">
        <v>0</v>
      </c>
      <c r="AH125" s="106">
        <v>0</v>
      </c>
      <c r="AI125" s="106">
        <v>0</v>
      </c>
      <c r="AJ125" s="106">
        <v>0</v>
      </c>
      <c r="AK125" s="106">
        <v>0</v>
      </c>
      <c r="AL125" s="106">
        <v>0</v>
      </c>
      <c r="AM125" s="106">
        <v>0</v>
      </c>
      <c r="AN125" s="106">
        <v>0</v>
      </c>
      <c r="AO125" s="106">
        <v>0</v>
      </c>
      <c r="AP125" s="106">
        <v>0</v>
      </c>
      <c r="AQ125" s="106">
        <v>0</v>
      </c>
      <c r="AR125" s="106">
        <v>0</v>
      </c>
      <c r="AS125" s="106">
        <v>0</v>
      </c>
      <c r="AT125" s="106">
        <v>0</v>
      </c>
      <c r="AU125" s="106">
        <v>0</v>
      </c>
      <c r="AV125" s="106">
        <v>0</v>
      </c>
      <c r="AW125" s="106">
        <v>0</v>
      </c>
      <c r="AX125" s="106">
        <v>0</v>
      </c>
      <c r="AY125" s="106">
        <v>0</v>
      </c>
    </row>
    <row r="126" spans="1:52">
      <c r="A126" s="109"/>
      <c r="B126" s="119">
        <v>5</v>
      </c>
      <c r="C126" s="106">
        <v>0</v>
      </c>
      <c r="D126" s="106">
        <v>0</v>
      </c>
      <c r="E126" s="106">
        <v>0</v>
      </c>
      <c r="F126" s="106">
        <v>0</v>
      </c>
      <c r="G126" s="106">
        <v>0</v>
      </c>
      <c r="H126" s="106">
        <v>0</v>
      </c>
      <c r="I126" s="106">
        <v>0</v>
      </c>
      <c r="J126" s="106">
        <v>0</v>
      </c>
      <c r="K126" s="106">
        <v>0</v>
      </c>
      <c r="L126" s="106">
        <v>0</v>
      </c>
      <c r="M126" s="106">
        <v>0</v>
      </c>
      <c r="N126" s="106">
        <v>0</v>
      </c>
      <c r="O126" s="106">
        <v>0</v>
      </c>
      <c r="P126" s="106">
        <v>0</v>
      </c>
      <c r="Q126" s="106">
        <v>0</v>
      </c>
      <c r="R126" s="106">
        <v>0</v>
      </c>
      <c r="S126" s="106">
        <v>0</v>
      </c>
      <c r="T126" s="106">
        <v>0</v>
      </c>
      <c r="U126" s="106">
        <v>0</v>
      </c>
      <c r="V126" s="106">
        <v>0</v>
      </c>
      <c r="W126" s="106">
        <v>0</v>
      </c>
      <c r="X126" s="106">
        <v>0</v>
      </c>
      <c r="Y126" s="106">
        <v>0</v>
      </c>
      <c r="Z126" s="106">
        <v>0</v>
      </c>
      <c r="AA126" s="106">
        <v>0</v>
      </c>
      <c r="AB126" s="106">
        <v>0</v>
      </c>
      <c r="AC126" s="106">
        <v>0</v>
      </c>
      <c r="AD126" s="106">
        <v>0</v>
      </c>
      <c r="AE126" s="106">
        <v>0</v>
      </c>
      <c r="AF126" s="106">
        <v>0</v>
      </c>
      <c r="AG126" s="106">
        <v>0</v>
      </c>
      <c r="AH126" s="106">
        <v>0</v>
      </c>
      <c r="AI126" s="106">
        <v>0</v>
      </c>
      <c r="AJ126" s="106">
        <v>0</v>
      </c>
      <c r="AK126" s="106">
        <v>0</v>
      </c>
      <c r="AL126" s="106">
        <v>0</v>
      </c>
      <c r="AM126" s="106">
        <v>0</v>
      </c>
      <c r="AN126" s="106">
        <v>0</v>
      </c>
      <c r="AO126" s="106">
        <v>0</v>
      </c>
      <c r="AP126" s="106">
        <v>0</v>
      </c>
      <c r="AQ126" s="106">
        <v>0</v>
      </c>
      <c r="AR126" s="106">
        <v>0</v>
      </c>
      <c r="AS126" s="106">
        <v>0</v>
      </c>
      <c r="AT126" s="106">
        <v>0</v>
      </c>
      <c r="AU126" s="106">
        <v>0</v>
      </c>
      <c r="AV126" s="106">
        <v>0</v>
      </c>
      <c r="AW126" s="106">
        <v>0</v>
      </c>
      <c r="AX126" s="106">
        <v>0</v>
      </c>
      <c r="AY126" s="106">
        <v>0</v>
      </c>
    </row>
    <row r="127" spans="1:52">
      <c r="A127" s="109"/>
      <c r="B127" s="119">
        <v>6</v>
      </c>
      <c r="C127" s="106">
        <v>0</v>
      </c>
      <c r="D127" s="106">
        <v>0</v>
      </c>
      <c r="E127" s="106">
        <v>0</v>
      </c>
      <c r="F127" s="106">
        <v>0</v>
      </c>
      <c r="G127" s="106">
        <v>0</v>
      </c>
      <c r="H127" s="106">
        <v>0</v>
      </c>
      <c r="I127" s="106">
        <v>0</v>
      </c>
      <c r="J127" s="106">
        <v>0</v>
      </c>
      <c r="K127" s="106">
        <v>0</v>
      </c>
      <c r="L127" s="106">
        <v>0</v>
      </c>
      <c r="M127" s="106">
        <v>0</v>
      </c>
      <c r="N127" s="106">
        <v>0</v>
      </c>
      <c r="O127" s="106">
        <v>0</v>
      </c>
      <c r="P127" s="106">
        <v>0</v>
      </c>
      <c r="Q127" s="106">
        <v>0</v>
      </c>
      <c r="R127" s="106">
        <v>0</v>
      </c>
      <c r="S127" s="106">
        <v>0</v>
      </c>
      <c r="T127" s="106">
        <v>0</v>
      </c>
      <c r="U127" s="106">
        <v>0</v>
      </c>
      <c r="V127" s="106">
        <v>0</v>
      </c>
      <c r="W127" s="106">
        <v>0</v>
      </c>
      <c r="X127" s="106">
        <v>0</v>
      </c>
      <c r="Y127" s="106">
        <v>0</v>
      </c>
      <c r="Z127" s="106">
        <v>0</v>
      </c>
      <c r="AA127" s="106">
        <v>0</v>
      </c>
      <c r="AB127" s="106">
        <v>0</v>
      </c>
      <c r="AC127" s="106">
        <v>0</v>
      </c>
      <c r="AD127" s="106">
        <v>0</v>
      </c>
      <c r="AE127" s="106">
        <v>0</v>
      </c>
      <c r="AF127" s="106">
        <v>0</v>
      </c>
      <c r="AG127" s="106">
        <v>0</v>
      </c>
      <c r="AH127" s="106">
        <v>0</v>
      </c>
      <c r="AI127" s="106">
        <v>0</v>
      </c>
      <c r="AJ127" s="106">
        <v>0</v>
      </c>
      <c r="AK127" s="106">
        <v>0</v>
      </c>
      <c r="AL127" s="106">
        <v>0</v>
      </c>
      <c r="AM127" s="106">
        <v>0</v>
      </c>
      <c r="AN127" s="106">
        <v>0</v>
      </c>
      <c r="AO127" s="106">
        <v>0</v>
      </c>
      <c r="AP127" s="106">
        <v>0</v>
      </c>
      <c r="AQ127" s="106">
        <v>0</v>
      </c>
      <c r="AR127" s="106">
        <v>0</v>
      </c>
      <c r="AS127" s="106">
        <v>0</v>
      </c>
      <c r="AT127" s="106">
        <v>0</v>
      </c>
      <c r="AU127" s="106">
        <v>0</v>
      </c>
      <c r="AV127" s="106">
        <v>0</v>
      </c>
      <c r="AW127" s="106">
        <v>0</v>
      </c>
      <c r="AX127" s="106">
        <v>0</v>
      </c>
      <c r="AY127" s="106">
        <v>0</v>
      </c>
    </row>
    <row r="128" spans="1:52">
      <c r="A128" s="109"/>
      <c r="B128" s="119">
        <v>7</v>
      </c>
      <c r="C128" s="106">
        <v>0</v>
      </c>
      <c r="D128" s="106">
        <v>0</v>
      </c>
      <c r="E128" s="106">
        <v>0</v>
      </c>
      <c r="F128" s="106">
        <v>0</v>
      </c>
      <c r="G128" s="106">
        <v>0</v>
      </c>
      <c r="H128" s="106">
        <v>0</v>
      </c>
      <c r="I128" s="106">
        <v>0</v>
      </c>
      <c r="J128" s="106">
        <v>0</v>
      </c>
      <c r="K128" s="106">
        <v>0</v>
      </c>
      <c r="L128" s="106">
        <v>0</v>
      </c>
      <c r="M128" s="106">
        <v>0</v>
      </c>
      <c r="N128" s="106">
        <v>0</v>
      </c>
      <c r="O128" s="106">
        <v>0</v>
      </c>
      <c r="P128" s="106">
        <v>0</v>
      </c>
      <c r="Q128" s="106">
        <v>0</v>
      </c>
      <c r="R128" s="106">
        <v>0</v>
      </c>
      <c r="S128" s="106">
        <v>0</v>
      </c>
      <c r="T128" s="106">
        <v>0</v>
      </c>
      <c r="U128" s="106">
        <v>0</v>
      </c>
      <c r="V128" s="106">
        <v>0</v>
      </c>
      <c r="W128" s="106">
        <v>0</v>
      </c>
      <c r="X128" s="106">
        <v>0</v>
      </c>
      <c r="Y128" s="106">
        <v>0</v>
      </c>
      <c r="Z128" s="106">
        <v>0</v>
      </c>
      <c r="AA128" s="106">
        <v>0</v>
      </c>
      <c r="AB128" s="106">
        <v>0</v>
      </c>
      <c r="AC128" s="106">
        <v>0</v>
      </c>
      <c r="AD128" s="106">
        <v>0</v>
      </c>
      <c r="AE128" s="106">
        <v>0</v>
      </c>
      <c r="AF128" s="106">
        <v>0</v>
      </c>
      <c r="AG128" s="106">
        <v>0</v>
      </c>
      <c r="AH128" s="106">
        <v>0</v>
      </c>
      <c r="AI128" s="106">
        <v>0</v>
      </c>
      <c r="AJ128" s="106">
        <v>0</v>
      </c>
      <c r="AK128" s="106">
        <v>0</v>
      </c>
      <c r="AL128" s="106">
        <v>0</v>
      </c>
      <c r="AM128" s="106">
        <v>0</v>
      </c>
      <c r="AN128" s="106">
        <v>0</v>
      </c>
      <c r="AO128" s="106">
        <v>0</v>
      </c>
      <c r="AP128" s="106">
        <v>0</v>
      </c>
      <c r="AQ128" s="106">
        <v>0</v>
      </c>
      <c r="AR128" s="106">
        <v>0</v>
      </c>
      <c r="AS128" s="106">
        <v>0</v>
      </c>
      <c r="AT128" s="106">
        <v>0</v>
      </c>
      <c r="AU128" s="106">
        <v>0</v>
      </c>
      <c r="AV128" s="106">
        <v>0</v>
      </c>
      <c r="AW128" s="106">
        <v>0</v>
      </c>
      <c r="AX128" s="106">
        <v>0</v>
      </c>
      <c r="AY128" s="106">
        <v>0</v>
      </c>
    </row>
    <row r="129" spans="1:51">
      <c r="A129" s="109"/>
      <c r="B129" s="119">
        <v>8</v>
      </c>
      <c r="C129" s="106">
        <v>0</v>
      </c>
      <c r="D129" s="106">
        <v>0</v>
      </c>
      <c r="E129" s="106">
        <v>0</v>
      </c>
      <c r="F129" s="106">
        <v>0</v>
      </c>
      <c r="G129" s="106">
        <v>0</v>
      </c>
      <c r="H129" s="106">
        <v>0</v>
      </c>
      <c r="I129" s="106">
        <v>0</v>
      </c>
      <c r="J129" s="106">
        <v>0</v>
      </c>
      <c r="K129" s="106">
        <v>0</v>
      </c>
      <c r="L129" s="106">
        <v>0</v>
      </c>
      <c r="M129" s="106">
        <v>0</v>
      </c>
      <c r="N129" s="106">
        <v>0</v>
      </c>
      <c r="O129" s="106">
        <v>0</v>
      </c>
      <c r="P129" s="106">
        <v>0</v>
      </c>
      <c r="Q129" s="106">
        <v>0</v>
      </c>
      <c r="R129" s="106">
        <v>0</v>
      </c>
      <c r="S129" s="106">
        <v>0</v>
      </c>
      <c r="T129" s="106">
        <v>0</v>
      </c>
      <c r="U129" s="106">
        <v>0</v>
      </c>
      <c r="V129" s="106">
        <v>0</v>
      </c>
      <c r="W129" s="106">
        <v>0</v>
      </c>
      <c r="X129" s="106">
        <v>0</v>
      </c>
      <c r="Y129" s="106">
        <v>0</v>
      </c>
      <c r="Z129" s="106">
        <v>0</v>
      </c>
      <c r="AA129" s="106">
        <v>0</v>
      </c>
      <c r="AB129" s="106">
        <v>0</v>
      </c>
      <c r="AC129" s="106">
        <v>0</v>
      </c>
      <c r="AD129" s="106">
        <v>0</v>
      </c>
      <c r="AE129" s="106">
        <v>0</v>
      </c>
      <c r="AF129" s="106">
        <v>0</v>
      </c>
      <c r="AG129" s="106">
        <v>0</v>
      </c>
      <c r="AH129" s="106">
        <v>0</v>
      </c>
      <c r="AI129" s="106">
        <v>0</v>
      </c>
      <c r="AJ129" s="106">
        <v>0</v>
      </c>
      <c r="AK129" s="106">
        <v>0</v>
      </c>
      <c r="AL129" s="106">
        <v>0</v>
      </c>
      <c r="AM129" s="106">
        <v>0</v>
      </c>
      <c r="AN129" s="106">
        <v>0</v>
      </c>
      <c r="AO129" s="106">
        <v>0</v>
      </c>
      <c r="AP129" s="106">
        <v>0</v>
      </c>
      <c r="AQ129" s="106">
        <v>0</v>
      </c>
      <c r="AR129" s="106">
        <v>0</v>
      </c>
      <c r="AS129" s="106">
        <v>0</v>
      </c>
      <c r="AT129" s="106">
        <v>0</v>
      </c>
      <c r="AU129" s="106">
        <v>0</v>
      </c>
      <c r="AV129" s="106">
        <v>0</v>
      </c>
      <c r="AW129" s="106">
        <v>0</v>
      </c>
      <c r="AX129" s="106">
        <v>0</v>
      </c>
      <c r="AY129" s="106">
        <v>0</v>
      </c>
    </row>
    <row r="130" spans="1:51">
      <c r="A130" s="109"/>
      <c r="B130" s="119">
        <v>9</v>
      </c>
      <c r="C130" s="106">
        <v>0</v>
      </c>
      <c r="D130" s="106">
        <v>0</v>
      </c>
      <c r="E130" s="106">
        <v>0</v>
      </c>
      <c r="F130" s="106">
        <v>0</v>
      </c>
      <c r="G130" s="106">
        <v>0</v>
      </c>
      <c r="H130" s="106">
        <v>0</v>
      </c>
      <c r="I130" s="106">
        <v>0</v>
      </c>
      <c r="J130" s="106">
        <v>0</v>
      </c>
      <c r="K130" s="106">
        <v>0</v>
      </c>
      <c r="L130" s="106">
        <v>0</v>
      </c>
      <c r="M130" s="106">
        <v>0</v>
      </c>
      <c r="N130" s="106">
        <v>0</v>
      </c>
      <c r="O130" s="106">
        <v>0</v>
      </c>
      <c r="P130" s="106">
        <v>0</v>
      </c>
      <c r="Q130" s="106">
        <v>0</v>
      </c>
      <c r="R130" s="106">
        <v>0</v>
      </c>
      <c r="S130" s="106">
        <v>0</v>
      </c>
      <c r="T130" s="106">
        <v>0</v>
      </c>
      <c r="U130" s="106">
        <v>0</v>
      </c>
      <c r="V130" s="106">
        <v>0</v>
      </c>
      <c r="W130" s="106">
        <v>0</v>
      </c>
      <c r="X130" s="106">
        <v>0</v>
      </c>
      <c r="Y130" s="106">
        <v>0</v>
      </c>
      <c r="Z130" s="106">
        <v>0</v>
      </c>
      <c r="AA130" s="106">
        <v>0</v>
      </c>
      <c r="AB130" s="106">
        <v>0</v>
      </c>
      <c r="AC130" s="106">
        <v>0</v>
      </c>
      <c r="AD130" s="106">
        <v>0</v>
      </c>
      <c r="AE130" s="106">
        <v>0</v>
      </c>
      <c r="AF130" s="106">
        <v>0</v>
      </c>
      <c r="AG130" s="106">
        <v>0</v>
      </c>
      <c r="AH130" s="106">
        <v>0</v>
      </c>
      <c r="AI130" s="106">
        <v>0</v>
      </c>
      <c r="AJ130" s="106">
        <v>0</v>
      </c>
      <c r="AK130" s="106">
        <v>0</v>
      </c>
      <c r="AL130" s="106">
        <v>0</v>
      </c>
      <c r="AM130" s="106">
        <v>0</v>
      </c>
      <c r="AN130" s="106">
        <v>0</v>
      </c>
      <c r="AO130" s="106">
        <v>0</v>
      </c>
      <c r="AP130" s="106">
        <v>0</v>
      </c>
      <c r="AQ130" s="106">
        <v>0</v>
      </c>
      <c r="AR130" s="106">
        <v>0</v>
      </c>
      <c r="AS130" s="106">
        <v>0</v>
      </c>
      <c r="AT130" s="106">
        <v>0</v>
      </c>
      <c r="AU130" s="106">
        <v>0</v>
      </c>
      <c r="AV130" s="106">
        <v>0</v>
      </c>
      <c r="AW130" s="106">
        <v>0</v>
      </c>
      <c r="AX130" s="106">
        <v>0</v>
      </c>
      <c r="AY130" s="106">
        <v>0</v>
      </c>
    </row>
    <row r="131" spans="1:51">
      <c r="A131" s="109"/>
      <c r="B131" s="119">
        <v>10</v>
      </c>
      <c r="C131" s="106">
        <v>0</v>
      </c>
      <c r="D131" s="106">
        <v>0</v>
      </c>
      <c r="E131" s="106">
        <v>0</v>
      </c>
      <c r="F131" s="106">
        <v>0</v>
      </c>
      <c r="G131" s="106">
        <v>0</v>
      </c>
      <c r="H131" s="106">
        <v>0</v>
      </c>
      <c r="I131" s="106">
        <v>0</v>
      </c>
      <c r="J131" s="106">
        <v>0</v>
      </c>
      <c r="K131" s="106">
        <v>0</v>
      </c>
      <c r="L131" s="106">
        <v>0</v>
      </c>
      <c r="M131" s="106">
        <v>0</v>
      </c>
      <c r="N131" s="106">
        <v>0</v>
      </c>
      <c r="O131" s="106">
        <v>0</v>
      </c>
      <c r="P131" s="106">
        <v>0</v>
      </c>
      <c r="Q131" s="106">
        <v>0</v>
      </c>
      <c r="R131" s="106">
        <v>0</v>
      </c>
      <c r="S131" s="106">
        <v>0</v>
      </c>
      <c r="T131" s="106">
        <v>0</v>
      </c>
      <c r="U131" s="106">
        <v>0</v>
      </c>
      <c r="V131" s="106">
        <v>0</v>
      </c>
      <c r="W131" s="106">
        <v>0</v>
      </c>
      <c r="X131" s="106">
        <v>0</v>
      </c>
      <c r="Y131" s="106">
        <v>0</v>
      </c>
      <c r="Z131" s="106">
        <v>0</v>
      </c>
      <c r="AA131" s="106">
        <v>0</v>
      </c>
      <c r="AB131" s="106">
        <v>0</v>
      </c>
      <c r="AC131" s="106">
        <v>0</v>
      </c>
      <c r="AD131" s="106">
        <v>0</v>
      </c>
      <c r="AE131" s="106">
        <v>0</v>
      </c>
      <c r="AF131" s="106">
        <v>0</v>
      </c>
      <c r="AG131" s="106">
        <v>0</v>
      </c>
      <c r="AH131" s="106">
        <v>0</v>
      </c>
      <c r="AI131" s="106">
        <v>0</v>
      </c>
      <c r="AJ131" s="106">
        <v>0</v>
      </c>
      <c r="AK131" s="106">
        <v>0</v>
      </c>
      <c r="AL131" s="106">
        <v>0</v>
      </c>
      <c r="AM131" s="106">
        <v>0</v>
      </c>
      <c r="AN131" s="106">
        <v>0</v>
      </c>
      <c r="AO131" s="106">
        <v>0</v>
      </c>
      <c r="AP131" s="106">
        <v>0</v>
      </c>
      <c r="AQ131" s="106">
        <v>0</v>
      </c>
      <c r="AR131" s="106">
        <v>0</v>
      </c>
      <c r="AS131" s="106">
        <v>0</v>
      </c>
      <c r="AT131" s="106">
        <v>0</v>
      </c>
      <c r="AU131" s="106">
        <v>0</v>
      </c>
      <c r="AV131" s="106">
        <v>0</v>
      </c>
      <c r="AW131" s="106">
        <v>0</v>
      </c>
      <c r="AX131" s="106">
        <v>0</v>
      </c>
      <c r="AY131" s="106">
        <v>0</v>
      </c>
    </row>
    <row r="132" spans="1:51">
      <c r="A132" s="109"/>
      <c r="B132" s="119">
        <v>11</v>
      </c>
      <c r="C132" s="106">
        <v>0</v>
      </c>
      <c r="D132" s="106">
        <v>0</v>
      </c>
      <c r="E132" s="106">
        <v>0</v>
      </c>
      <c r="F132" s="106">
        <v>0</v>
      </c>
      <c r="G132" s="106">
        <v>0</v>
      </c>
      <c r="H132" s="106">
        <v>0</v>
      </c>
      <c r="I132" s="106">
        <v>0</v>
      </c>
      <c r="J132" s="106">
        <v>0</v>
      </c>
      <c r="K132" s="106">
        <v>0</v>
      </c>
      <c r="L132" s="106">
        <v>0</v>
      </c>
      <c r="M132" s="106">
        <v>0</v>
      </c>
      <c r="N132" s="106">
        <v>0</v>
      </c>
      <c r="O132" s="106">
        <v>0</v>
      </c>
      <c r="P132" s="106">
        <v>0</v>
      </c>
      <c r="Q132" s="106">
        <v>0</v>
      </c>
      <c r="R132" s="106">
        <v>0</v>
      </c>
      <c r="S132" s="106">
        <v>0</v>
      </c>
      <c r="T132" s="106">
        <v>0</v>
      </c>
      <c r="U132" s="106">
        <v>0</v>
      </c>
      <c r="V132" s="106">
        <v>0</v>
      </c>
      <c r="W132" s="106">
        <v>0</v>
      </c>
      <c r="X132" s="106">
        <v>0</v>
      </c>
      <c r="Y132" s="106">
        <v>0</v>
      </c>
      <c r="Z132" s="106">
        <v>0</v>
      </c>
      <c r="AA132" s="106">
        <v>0</v>
      </c>
      <c r="AB132" s="106">
        <v>0</v>
      </c>
      <c r="AC132" s="106">
        <v>0</v>
      </c>
      <c r="AD132" s="106">
        <v>0</v>
      </c>
      <c r="AE132" s="106">
        <v>0</v>
      </c>
      <c r="AF132" s="106">
        <v>0</v>
      </c>
      <c r="AG132" s="106">
        <v>0</v>
      </c>
      <c r="AH132" s="106">
        <v>0</v>
      </c>
      <c r="AI132" s="106">
        <v>0</v>
      </c>
      <c r="AJ132" s="106">
        <v>0</v>
      </c>
      <c r="AK132" s="106">
        <v>0</v>
      </c>
      <c r="AL132" s="106">
        <v>0</v>
      </c>
      <c r="AM132" s="106">
        <v>0</v>
      </c>
      <c r="AN132" s="106">
        <v>0</v>
      </c>
      <c r="AO132" s="106">
        <v>0</v>
      </c>
      <c r="AP132" s="106">
        <v>0</v>
      </c>
      <c r="AQ132" s="106">
        <v>0</v>
      </c>
      <c r="AR132" s="106">
        <v>0</v>
      </c>
      <c r="AS132" s="106">
        <v>0</v>
      </c>
      <c r="AT132" s="106">
        <v>0</v>
      </c>
      <c r="AU132" s="106">
        <v>0</v>
      </c>
      <c r="AV132" s="106">
        <v>0</v>
      </c>
      <c r="AW132" s="106">
        <v>0</v>
      </c>
      <c r="AX132" s="106">
        <v>0</v>
      </c>
      <c r="AY132" s="106">
        <v>0</v>
      </c>
    </row>
    <row r="133" spans="1:51">
      <c r="A133" s="109"/>
      <c r="B133" s="119">
        <v>12</v>
      </c>
      <c r="C133" s="106">
        <v>0</v>
      </c>
      <c r="D133" s="106">
        <v>0</v>
      </c>
      <c r="E133" s="106">
        <v>0</v>
      </c>
      <c r="F133" s="106">
        <v>0</v>
      </c>
      <c r="G133" s="106">
        <v>0</v>
      </c>
      <c r="H133" s="106">
        <v>0</v>
      </c>
      <c r="I133" s="106">
        <v>0</v>
      </c>
      <c r="J133" s="106">
        <v>0</v>
      </c>
      <c r="K133" s="106">
        <v>0</v>
      </c>
      <c r="L133" s="106">
        <v>0</v>
      </c>
      <c r="M133" s="106">
        <v>0</v>
      </c>
      <c r="N133" s="106">
        <v>0</v>
      </c>
      <c r="O133" s="106">
        <v>0</v>
      </c>
      <c r="P133" s="106">
        <v>0</v>
      </c>
      <c r="Q133" s="106">
        <v>0</v>
      </c>
      <c r="R133" s="106">
        <v>0</v>
      </c>
      <c r="S133" s="106">
        <v>0</v>
      </c>
      <c r="T133" s="106">
        <v>0</v>
      </c>
      <c r="U133" s="106">
        <v>0</v>
      </c>
      <c r="V133" s="106">
        <v>0</v>
      </c>
      <c r="W133" s="106">
        <v>0</v>
      </c>
      <c r="X133" s="106">
        <v>0</v>
      </c>
      <c r="Y133" s="106">
        <v>0</v>
      </c>
      <c r="Z133" s="106">
        <v>0</v>
      </c>
      <c r="AA133" s="106">
        <v>0</v>
      </c>
      <c r="AB133" s="106">
        <v>0</v>
      </c>
      <c r="AC133" s="106">
        <v>0</v>
      </c>
      <c r="AD133" s="106">
        <v>0</v>
      </c>
      <c r="AE133" s="106">
        <v>0</v>
      </c>
      <c r="AF133" s="106">
        <v>0</v>
      </c>
      <c r="AG133" s="106">
        <v>0</v>
      </c>
      <c r="AH133" s="106">
        <v>0</v>
      </c>
      <c r="AI133" s="106">
        <v>0</v>
      </c>
      <c r="AJ133" s="106">
        <v>0</v>
      </c>
      <c r="AK133" s="106">
        <v>0</v>
      </c>
      <c r="AL133" s="106">
        <v>0</v>
      </c>
      <c r="AM133" s="106">
        <v>0</v>
      </c>
      <c r="AN133" s="106">
        <v>0</v>
      </c>
      <c r="AO133" s="106">
        <v>0</v>
      </c>
      <c r="AP133" s="106">
        <v>0</v>
      </c>
      <c r="AQ133" s="106">
        <v>0</v>
      </c>
      <c r="AR133" s="106">
        <v>0</v>
      </c>
      <c r="AS133" s="106">
        <v>0</v>
      </c>
      <c r="AT133" s="106">
        <v>0</v>
      </c>
      <c r="AU133" s="106">
        <v>0</v>
      </c>
      <c r="AV133" s="106">
        <v>0</v>
      </c>
      <c r="AW133" s="106">
        <v>0</v>
      </c>
      <c r="AX133" s="106">
        <v>0</v>
      </c>
      <c r="AY133" s="106">
        <v>0</v>
      </c>
    </row>
    <row r="134" spans="1:51">
      <c r="A134" s="109"/>
      <c r="B134" s="120">
        <v>13</v>
      </c>
      <c r="C134" s="106">
        <v>0</v>
      </c>
      <c r="D134" s="106">
        <v>0</v>
      </c>
      <c r="E134" s="106">
        <v>0</v>
      </c>
      <c r="F134" s="106">
        <v>0</v>
      </c>
      <c r="G134" s="106">
        <v>0</v>
      </c>
      <c r="H134" s="106">
        <v>0</v>
      </c>
      <c r="I134" s="106">
        <v>0</v>
      </c>
      <c r="J134" s="106">
        <v>0</v>
      </c>
      <c r="K134" s="106">
        <v>0</v>
      </c>
      <c r="L134" s="106">
        <v>0</v>
      </c>
      <c r="M134" s="106">
        <v>0</v>
      </c>
      <c r="N134" s="106">
        <v>0</v>
      </c>
      <c r="O134" s="106">
        <v>0</v>
      </c>
      <c r="P134" s="106">
        <v>0</v>
      </c>
      <c r="Q134" s="106">
        <v>0</v>
      </c>
      <c r="R134" s="106">
        <v>0</v>
      </c>
      <c r="S134" s="106">
        <v>0</v>
      </c>
      <c r="T134" s="106">
        <v>0</v>
      </c>
      <c r="U134" s="106">
        <v>0</v>
      </c>
      <c r="V134" s="106">
        <v>0</v>
      </c>
      <c r="W134" s="106">
        <v>0</v>
      </c>
      <c r="X134" s="106">
        <v>0</v>
      </c>
      <c r="Y134" s="106">
        <v>0</v>
      </c>
      <c r="Z134" s="106">
        <v>0</v>
      </c>
      <c r="AA134" s="106">
        <v>0</v>
      </c>
      <c r="AB134" s="106">
        <v>0</v>
      </c>
      <c r="AC134" s="106">
        <v>0</v>
      </c>
      <c r="AD134" s="106">
        <v>0</v>
      </c>
      <c r="AE134" s="106">
        <v>0</v>
      </c>
      <c r="AF134" s="106">
        <v>0</v>
      </c>
      <c r="AG134" s="106">
        <v>0</v>
      </c>
      <c r="AH134" s="106">
        <v>0</v>
      </c>
      <c r="AI134" s="106">
        <v>0</v>
      </c>
      <c r="AJ134" s="106">
        <v>0</v>
      </c>
      <c r="AK134" s="106">
        <v>0</v>
      </c>
      <c r="AL134" s="106">
        <v>0</v>
      </c>
      <c r="AM134" s="106">
        <v>0</v>
      </c>
      <c r="AN134" s="106">
        <v>0</v>
      </c>
      <c r="AO134" s="106">
        <v>0</v>
      </c>
      <c r="AP134" s="106">
        <v>0</v>
      </c>
      <c r="AQ134" s="106">
        <v>0</v>
      </c>
      <c r="AR134" s="106">
        <v>0</v>
      </c>
      <c r="AS134" s="106">
        <v>0</v>
      </c>
      <c r="AT134" s="106">
        <v>0</v>
      </c>
      <c r="AU134" s="106">
        <v>0</v>
      </c>
      <c r="AV134" s="106">
        <v>0</v>
      </c>
      <c r="AW134" s="106">
        <v>0</v>
      </c>
      <c r="AX134" s="106">
        <v>0</v>
      </c>
      <c r="AY134" s="106">
        <v>0</v>
      </c>
    </row>
    <row r="135" spans="1:51">
      <c r="A135" s="109"/>
      <c r="B135" s="120">
        <v>14</v>
      </c>
      <c r="C135" s="106">
        <v>0</v>
      </c>
      <c r="D135" s="106">
        <v>0</v>
      </c>
      <c r="E135" s="106">
        <v>0</v>
      </c>
      <c r="F135" s="106">
        <v>0</v>
      </c>
      <c r="G135" s="106">
        <v>0</v>
      </c>
      <c r="H135" s="106">
        <v>0</v>
      </c>
      <c r="I135" s="106">
        <v>0</v>
      </c>
      <c r="J135" s="106">
        <v>0</v>
      </c>
      <c r="K135" s="106">
        <v>0</v>
      </c>
      <c r="L135" s="106">
        <v>0</v>
      </c>
      <c r="M135" s="106">
        <v>0</v>
      </c>
      <c r="N135" s="106">
        <v>0</v>
      </c>
      <c r="O135" s="106">
        <v>0</v>
      </c>
      <c r="P135" s="106">
        <v>0</v>
      </c>
      <c r="Q135" s="106">
        <v>0</v>
      </c>
      <c r="R135" s="106">
        <v>0</v>
      </c>
      <c r="S135" s="106">
        <v>0</v>
      </c>
      <c r="T135" s="106">
        <v>0</v>
      </c>
      <c r="U135" s="106">
        <v>0</v>
      </c>
      <c r="V135" s="106">
        <v>0</v>
      </c>
      <c r="W135" s="106">
        <v>0</v>
      </c>
      <c r="X135" s="106">
        <v>0</v>
      </c>
      <c r="Y135" s="106">
        <v>0</v>
      </c>
      <c r="Z135" s="106">
        <v>0</v>
      </c>
      <c r="AA135" s="106">
        <v>0</v>
      </c>
      <c r="AB135" s="106">
        <v>0</v>
      </c>
      <c r="AC135" s="106">
        <v>0</v>
      </c>
      <c r="AD135" s="106">
        <v>0</v>
      </c>
      <c r="AE135" s="106">
        <v>0</v>
      </c>
      <c r="AF135" s="106">
        <v>0</v>
      </c>
      <c r="AG135" s="106">
        <v>0</v>
      </c>
      <c r="AH135" s="106">
        <v>0</v>
      </c>
      <c r="AI135" s="106">
        <v>0</v>
      </c>
      <c r="AJ135" s="106">
        <v>0</v>
      </c>
      <c r="AK135" s="106">
        <v>0</v>
      </c>
      <c r="AL135" s="106">
        <v>0</v>
      </c>
      <c r="AM135" s="106">
        <v>0</v>
      </c>
      <c r="AN135" s="106">
        <v>0</v>
      </c>
      <c r="AO135" s="106">
        <v>0</v>
      </c>
      <c r="AP135" s="106">
        <v>0</v>
      </c>
      <c r="AQ135" s="106">
        <v>0</v>
      </c>
      <c r="AR135" s="106">
        <v>0</v>
      </c>
      <c r="AS135" s="106">
        <v>0</v>
      </c>
      <c r="AT135" s="106">
        <v>0</v>
      </c>
      <c r="AU135" s="106">
        <v>0</v>
      </c>
      <c r="AV135" s="106">
        <v>0</v>
      </c>
      <c r="AW135" s="106">
        <v>0</v>
      </c>
      <c r="AX135" s="106">
        <v>0</v>
      </c>
      <c r="AY135" s="106">
        <v>0</v>
      </c>
    </row>
    <row r="136" spans="1:51">
      <c r="A136" s="109"/>
      <c r="B136" s="120">
        <v>15</v>
      </c>
      <c r="C136" s="106">
        <v>0</v>
      </c>
      <c r="D136" s="106">
        <v>0</v>
      </c>
      <c r="E136" s="106">
        <v>0</v>
      </c>
      <c r="F136" s="106">
        <v>0</v>
      </c>
      <c r="G136" s="106">
        <v>0</v>
      </c>
      <c r="H136" s="106">
        <v>0</v>
      </c>
      <c r="I136" s="106">
        <v>0</v>
      </c>
      <c r="J136" s="106">
        <v>0</v>
      </c>
      <c r="K136" s="106">
        <v>0</v>
      </c>
      <c r="L136" s="106">
        <v>0</v>
      </c>
      <c r="M136" s="106">
        <v>0</v>
      </c>
      <c r="N136" s="106">
        <v>0</v>
      </c>
      <c r="O136" s="106">
        <v>0</v>
      </c>
      <c r="P136" s="106">
        <v>0</v>
      </c>
      <c r="Q136" s="106">
        <v>0</v>
      </c>
      <c r="R136" s="106">
        <v>0</v>
      </c>
      <c r="S136" s="106">
        <v>0</v>
      </c>
      <c r="T136" s="106">
        <v>0</v>
      </c>
      <c r="U136" s="106">
        <v>0</v>
      </c>
      <c r="V136" s="106">
        <v>0</v>
      </c>
      <c r="W136" s="106">
        <v>0</v>
      </c>
      <c r="X136" s="106">
        <v>0</v>
      </c>
      <c r="Y136" s="106">
        <v>0</v>
      </c>
      <c r="Z136" s="106">
        <v>0</v>
      </c>
      <c r="AA136" s="106">
        <v>0</v>
      </c>
      <c r="AB136" s="106">
        <v>0</v>
      </c>
      <c r="AC136" s="106">
        <v>0</v>
      </c>
      <c r="AD136" s="106">
        <v>0</v>
      </c>
      <c r="AE136" s="106">
        <v>0</v>
      </c>
      <c r="AF136" s="106">
        <v>0</v>
      </c>
      <c r="AG136" s="106">
        <v>0</v>
      </c>
      <c r="AH136" s="106">
        <v>0</v>
      </c>
      <c r="AI136" s="106">
        <v>0</v>
      </c>
      <c r="AJ136" s="106">
        <v>0</v>
      </c>
      <c r="AK136" s="106">
        <v>0</v>
      </c>
      <c r="AL136" s="106">
        <v>0</v>
      </c>
      <c r="AM136" s="106">
        <v>0</v>
      </c>
      <c r="AN136" s="106">
        <v>0</v>
      </c>
      <c r="AO136" s="106">
        <v>0</v>
      </c>
      <c r="AP136" s="106">
        <v>0</v>
      </c>
      <c r="AQ136" s="106">
        <v>0</v>
      </c>
      <c r="AR136" s="106">
        <v>0</v>
      </c>
      <c r="AS136" s="106">
        <v>0</v>
      </c>
      <c r="AT136" s="106">
        <v>0</v>
      </c>
      <c r="AU136" s="106">
        <v>0</v>
      </c>
      <c r="AV136" s="106">
        <v>0</v>
      </c>
      <c r="AW136" s="106">
        <v>0</v>
      </c>
      <c r="AX136" s="106">
        <v>0</v>
      </c>
      <c r="AY136" s="106">
        <v>0</v>
      </c>
    </row>
    <row r="137" spans="1:51">
      <c r="A137" s="109"/>
      <c r="B137" s="120">
        <v>16</v>
      </c>
      <c r="C137" s="106">
        <v>0</v>
      </c>
      <c r="D137" s="106">
        <v>0</v>
      </c>
      <c r="E137" s="106">
        <v>0</v>
      </c>
      <c r="F137" s="106">
        <v>0</v>
      </c>
      <c r="G137" s="106">
        <v>0</v>
      </c>
      <c r="H137" s="106">
        <v>0</v>
      </c>
      <c r="I137" s="106">
        <v>0</v>
      </c>
      <c r="J137" s="106">
        <v>0</v>
      </c>
      <c r="K137" s="106">
        <v>0</v>
      </c>
      <c r="L137" s="106">
        <v>0</v>
      </c>
      <c r="M137" s="106">
        <v>0</v>
      </c>
      <c r="N137" s="106">
        <v>0</v>
      </c>
      <c r="O137" s="106">
        <v>0</v>
      </c>
      <c r="P137" s="106">
        <v>0</v>
      </c>
      <c r="Q137" s="106">
        <v>0</v>
      </c>
      <c r="R137" s="106">
        <v>0</v>
      </c>
      <c r="S137" s="106">
        <v>0</v>
      </c>
      <c r="T137" s="106">
        <v>0</v>
      </c>
      <c r="U137" s="106">
        <v>0</v>
      </c>
      <c r="V137" s="106">
        <v>0</v>
      </c>
      <c r="W137" s="106">
        <v>0</v>
      </c>
      <c r="X137" s="106">
        <v>0</v>
      </c>
      <c r="Y137" s="106">
        <v>0</v>
      </c>
      <c r="Z137" s="106">
        <v>0</v>
      </c>
      <c r="AA137" s="106">
        <v>0</v>
      </c>
      <c r="AB137" s="106">
        <v>0</v>
      </c>
      <c r="AC137" s="106">
        <v>0</v>
      </c>
      <c r="AD137" s="106">
        <v>0</v>
      </c>
      <c r="AE137" s="106">
        <v>0</v>
      </c>
      <c r="AF137" s="106">
        <v>0</v>
      </c>
      <c r="AG137" s="106">
        <v>0</v>
      </c>
      <c r="AH137" s="106">
        <v>0</v>
      </c>
      <c r="AI137" s="106">
        <v>0</v>
      </c>
      <c r="AJ137" s="106">
        <v>0</v>
      </c>
      <c r="AK137" s="106">
        <v>0</v>
      </c>
      <c r="AL137" s="106">
        <v>0</v>
      </c>
      <c r="AM137" s="106">
        <v>0</v>
      </c>
      <c r="AN137" s="106">
        <v>0</v>
      </c>
      <c r="AO137" s="106">
        <v>0</v>
      </c>
      <c r="AP137" s="106">
        <v>0</v>
      </c>
      <c r="AQ137" s="106">
        <v>0</v>
      </c>
      <c r="AR137" s="106">
        <v>0</v>
      </c>
      <c r="AS137" s="106">
        <v>0</v>
      </c>
      <c r="AT137" s="106">
        <v>0</v>
      </c>
      <c r="AU137" s="106">
        <v>0</v>
      </c>
      <c r="AV137" s="106">
        <v>0</v>
      </c>
      <c r="AW137" s="106">
        <v>0</v>
      </c>
      <c r="AX137" s="106">
        <v>0</v>
      </c>
      <c r="AY137" s="106">
        <v>0</v>
      </c>
    </row>
    <row r="138" spans="1:51">
      <c r="A138" s="109"/>
      <c r="B138" s="120">
        <v>17</v>
      </c>
      <c r="C138" s="106">
        <v>0</v>
      </c>
      <c r="D138" s="106">
        <v>0</v>
      </c>
      <c r="E138" s="106">
        <v>0</v>
      </c>
      <c r="F138" s="106">
        <v>0</v>
      </c>
      <c r="G138" s="106">
        <v>0</v>
      </c>
      <c r="H138" s="106">
        <v>0</v>
      </c>
      <c r="I138" s="106">
        <v>0</v>
      </c>
      <c r="J138" s="106">
        <v>0</v>
      </c>
      <c r="K138" s="106">
        <v>0</v>
      </c>
      <c r="L138" s="106">
        <v>0</v>
      </c>
      <c r="M138" s="106">
        <v>0</v>
      </c>
      <c r="N138" s="106">
        <v>0</v>
      </c>
      <c r="O138" s="106">
        <v>0</v>
      </c>
      <c r="P138" s="106">
        <v>0</v>
      </c>
      <c r="Q138" s="106">
        <v>0</v>
      </c>
      <c r="R138" s="106">
        <v>0</v>
      </c>
      <c r="S138" s="106">
        <v>0</v>
      </c>
      <c r="T138" s="106">
        <v>0</v>
      </c>
      <c r="U138" s="106">
        <v>0</v>
      </c>
      <c r="V138" s="106">
        <v>0</v>
      </c>
      <c r="W138" s="106">
        <v>0</v>
      </c>
      <c r="X138" s="106">
        <v>0</v>
      </c>
      <c r="Y138" s="106">
        <v>0</v>
      </c>
      <c r="Z138" s="106">
        <v>0</v>
      </c>
      <c r="AA138" s="106">
        <v>0</v>
      </c>
      <c r="AB138" s="106">
        <v>0</v>
      </c>
      <c r="AC138" s="106">
        <v>0</v>
      </c>
      <c r="AD138" s="106">
        <v>0</v>
      </c>
      <c r="AE138" s="106">
        <v>0</v>
      </c>
      <c r="AF138" s="106">
        <v>0</v>
      </c>
      <c r="AG138" s="106">
        <v>0</v>
      </c>
      <c r="AH138" s="106">
        <v>0</v>
      </c>
      <c r="AI138" s="106">
        <v>0</v>
      </c>
      <c r="AJ138" s="106">
        <v>0</v>
      </c>
      <c r="AK138" s="106">
        <v>0</v>
      </c>
      <c r="AL138" s="106">
        <v>0</v>
      </c>
      <c r="AM138" s="106">
        <v>0</v>
      </c>
      <c r="AN138" s="106">
        <v>0</v>
      </c>
      <c r="AO138" s="106">
        <v>0</v>
      </c>
      <c r="AP138" s="106">
        <v>0</v>
      </c>
      <c r="AQ138" s="106">
        <v>0</v>
      </c>
      <c r="AR138" s="106">
        <v>0</v>
      </c>
      <c r="AS138" s="106">
        <v>0</v>
      </c>
      <c r="AT138" s="106">
        <v>0</v>
      </c>
      <c r="AU138" s="106">
        <v>0</v>
      </c>
      <c r="AV138" s="106">
        <v>0</v>
      </c>
      <c r="AW138" s="106">
        <v>0</v>
      </c>
      <c r="AX138" s="106">
        <v>0</v>
      </c>
      <c r="AY138" s="106">
        <v>0</v>
      </c>
    </row>
    <row r="139" spans="1:51">
      <c r="A139" s="109"/>
      <c r="B139" s="120">
        <v>18</v>
      </c>
      <c r="C139" s="106">
        <v>0</v>
      </c>
      <c r="D139" s="106">
        <v>0</v>
      </c>
      <c r="E139" s="106">
        <v>0</v>
      </c>
      <c r="F139" s="106">
        <v>0</v>
      </c>
      <c r="G139" s="106">
        <v>0</v>
      </c>
      <c r="H139" s="106">
        <v>0</v>
      </c>
      <c r="I139" s="106">
        <v>0</v>
      </c>
      <c r="J139" s="106">
        <v>0</v>
      </c>
      <c r="K139" s="106">
        <v>0</v>
      </c>
      <c r="L139" s="106">
        <v>0</v>
      </c>
      <c r="M139" s="106">
        <v>0</v>
      </c>
      <c r="N139" s="106">
        <v>0</v>
      </c>
      <c r="O139" s="106">
        <v>0</v>
      </c>
      <c r="P139" s="106">
        <v>0</v>
      </c>
      <c r="Q139" s="106">
        <v>0</v>
      </c>
      <c r="R139" s="106">
        <v>0</v>
      </c>
      <c r="S139" s="106">
        <v>0</v>
      </c>
      <c r="T139" s="106">
        <v>0</v>
      </c>
      <c r="U139" s="106">
        <v>0</v>
      </c>
      <c r="V139" s="106">
        <v>0</v>
      </c>
      <c r="W139" s="106">
        <v>0</v>
      </c>
      <c r="X139" s="106">
        <v>0</v>
      </c>
      <c r="Y139" s="106">
        <v>0</v>
      </c>
      <c r="Z139" s="106">
        <v>0</v>
      </c>
      <c r="AA139" s="106">
        <v>0</v>
      </c>
      <c r="AB139" s="106">
        <v>0</v>
      </c>
      <c r="AC139" s="106">
        <v>0</v>
      </c>
      <c r="AD139" s="106">
        <v>0</v>
      </c>
      <c r="AE139" s="106">
        <v>0</v>
      </c>
      <c r="AF139" s="106">
        <v>0</v>
      </c>
      <c r="AG139" s="106">
        <v>0</v>
      </c>
      <c r="AH139" s="106">
        <v>0</v>
      </c>
      <c r="AI139" s="106">
        <v>0</v>
      </c>
      <c r="AJ139" s="106">
        <v>0</v>
      </c>
      <c r="AK139" s="106">
        <v>0</v>
      </c>
      <c r="AL139" s="106">
        <v>0</v>
      </c>
      <c r="AM139" s="106">
        <v>0</v>
      </c>
      <c r="AN139" s="106">
        <v>0</v>
      </c>
      <c r="AO139" s="106">
        <v>0</v>
      </c>
      <c r="AP139" s="106">
        <v>0</v>
      </c>
      <c r="AQ139" s="106">
        <v>0</v>
      </c>
      <c r="AR139" s="106">
        <v>0</v>
      </c>
      <c r="AS139" s="106">
        <v>0</v>
      </c>
      <c r="AT139" s="106">
        <v>0</v>
      </c>
      <c r="AU139" s="106">
        <v>0</v>
      </c>
      <c r="AV139" s="106">
        <v>0</v>
      </c>
      <c r="AW139" s="106">
        <v>0</v>
      </c>
      <c r="AX139" s="106">
        <v>0</v>
      </c>
      <c r="AY139" s="106">
        <v>0</v>
      </c>
    </row>
    <row r="140" spans="1:51">
      <c r="A140" s="109"/>
      <c r="B140" s="120">
        <v>19</v>
      </c>
      <c r="C140" s="106">
        <v>0</v>
      </c>
      <c r="D140" s="106">
        <v>0</v>
      </c>
      <c r="E140" s="106">
        <v>0</v>
      </c>
      <c r="F140" s="106">
        <v>0</v>
      </c>
      <c r="G140" s="106">
        <v>0</v>
      </c>
      <c r="H140" s="106">
        <v>0</v>
      </c>
      <c r="I140" s="106">
        <v>0</v>
      </c>
      <c r="J140" s="106">
        <v>0</v>
      </c>
      <c r="K140" s="106">
        <v>0</v>
      </c>
      <c r="L140" s="106">
        <v>0</v>
      </c>
      <c r="M140" s="106">
        <v>0</v>
      </c>
      <c r="N140" s="106">
        <v>0</v>
      </c>
      <c r="O140" s="106">
        <v>0</v>
      </c>
      <c r="P140" s="106">
        <v>0</v>
      </c>
      <c r="Q140" s="106">
        <v>0</v>
      </c>
      <c r="R140" s="106">
        <v>0</v>
      </c>
      <c r="S140" s="106">
        <v>0</v>
      </c>
      <c r="T140" s="106">
        <v>0</v>
      </c>
      <c r="U140" s="106">
        <v>0</v>
      </c>
      <c r="V140" s="106">
        <v>0</v>
      </c>
      <c r="W140" s="106">
        <v>0</v>
      </c>
      <c r="X140" s="106">
        <v>0</v>
      </c>
      <c r="Y140" s="106">
        <v>0</v>
      </c>
      <c r="Z140" s="106">
        <v>0</v>
      </c>
      <c r="AA140" s="106">
        <v>0</v>
      </c>
      <c r="AB140" s="106">
        <v>0</v>
      </c>
      <c r="AC140" s="106">
        <v>0</v>
      </c>
      <c r="AD140" s="106">
        <v>0</v>
      </c>
      <c r="AE140" s="106">
        <v>0</v>
      </c>
      <c r="AF140" s="106">
        <v>0</v>
      </c>
      <c r="AG140" s="106">
        <v>0</v>
      </c>
      <c r="AH140" s="106">
        <v>0</v>
      </c>
      <c r="AI140" s="106">
        <v>0</v>
      </c>
      <c r="AJ140" s="106">
        <v>0</v>
      </c>
      <c r="AK140" s="106">
        <v>0</v>
      </c>
      <c r="AL140" s="106">
        <v>0</v>
      </c>
      <c r="AM140" s="106">
        <v>0</v>
      </c>
      <c r="AN140" s="106">
        <v>0</v>
      </c>
      <c r="AO140" s="106">
        <v>0</v>
      </c>
      <c r="AP140" s="106">
        <v>0</v>
      </c>
      <c r="AQ140" s="106">
        <v>0</v>
      </c>
      <c r="AR140" s="106">
        <v>0</v>
      </c>
      <c r="AS140" s="106">
        <v>0</v>
      </c>
      <c r="AT140" s="106">
        <v>0</v>
      </c>
      <c r="AU140" s="106">
        <v>0</v>
      </c>
      <c r="AV140" s="106">
        <v>0</v>
      </c>
      <c r="AW140" s="106">
        <v>0</v>
      </c>
      <c r="AX140" s="106">
        <v>0</v>
      </c>
      <c r="AY140" s="106">
        <v>0</v>
      </c>
    </row>
    <row r="141" spans="1:51">
      <c r="A141" s="109"/>
      <c r="B141" s="120">
        <v>20</v>
      </c>
      <c r="C141" s="106">
        <v>0</v>
      </c>
      <c r="D141" s="106">
        <v>0</v>
      </c>
      <c r="E141" s="106">
        <v>0</v>
      </c>
      <c r="F141" s="106">
        <v>0</v>
      </c>
      <c r="G141" s="106">
        <v>0</v>
      </c>
      <c r="H141" s="106">
        <v>0</v>
      </c>
      <c r="I141" s="106">
        <v>0</v>
      </c>
      <c r="J141" s="106">
        <v>0</v>
      </c>
      <c r="K141" s="106">
        <v>0</v>
      </c>
      <c r="L141" s="106">
        <v>0</v>
      </c>
      <c r="M141" s="106">
        <v>0</v>
      </c>
      <c r="N141" s="106">
        <v>0</v>
      </c>
      <c r="O141" s="106">
        <v>0</v>
      </c>
      <c r="P141" s="106">
        <v>0</v>
      </c>
      <c r="Q141" s="106">
        <v>0</v>
      </c>
      <c r="R141" s="106">
        <v>0</v>
      </c>
      <c r="S141" s="106">
        <v>0</v>
      </c>
      <c r="T141" s="106">
        <v>0</v>
      </c>
      <c r="U141" s="106">
        <v>0</v>
      </c>
      <c r="V141" s="106">
        <v>0</v>
      </c>
      <c r="W141" s="106">
        <v>0</v>
      </c>
      <c r="X141" s="106">
        <v>0</v>
      </c>
      <c r="Y141" s="106">
        <v>0</v>
      </c>
      <c r="Z141" s="106">
        <v>0</v>
      </c>
      <c r="AA141" s="106">
        <v>0</v>
      </c>
      <c r="AB141" s="106">
        <v>0</v>
      </c>
      <c r="AC141" s="106">
        <v>0</v>
      </c>
      <c r="AD141" s="106">
        <v>0</v>
      </c>
      <c r="AE141" s="106">
        <v>0</v>
      </c>
      <c r="AF141" s="106">
        <v>0</v>
      </c>
      <c r="AG141" s="106">
        <v>0</v>
      </c>
      <c r="AH141" s="106">
        <v>0</v>
      </c>
      <c r="AI141" s="106">
        <v>0</v>
      </c>
      <c r="AJ141" s="106">
        <v>0</v>
      </c>
      <c r="AK141" s="106">
        <v>0</v>
      </c>
      <c r="AL141" s="106">
        <v>0</v>
      </c>
      <c r="AM141" s="106">
        <v>0</v>
      </c>
      <c r="AN141" s="106">
        <v>0</v>
      </c>
      <c r="AO141" s="106">
        <v>0</v>
      </c>
      <c r="AP141" s="106">
        <v>0</v>
      </c>
      <c r="AQ141" s="106">
        <v>0</v>
      </c>
      <c r="AR141" s="106">
        <v>0</v>
      </c>
      <c r="AS141" s="106">
        <v>0</v>
      </c>
      <c r="AT141" s="106">
        <v>0</v>
      </c>
      <c r="AU141" s="106">
        <v>0</v>
      </c>
      <c r="AV141" s="106">
        <v>0</v>
      </c>
      <c r="AW141" s="106">
        <v>0</v>
      </c>
      <c r="AX141" s="106">
        <v>0</v>
      </c>
      <c r="AY141" s="106">
        <v>0</v>
      </c>
    </row>
    <row r="142" spans="1:51">
      <c r="A142" s="109"/>
      <c r="B142" s="120">
        <v>21</v>
      </c>
      <c r="C142" s="106">
        <v>0</v>
      </c>
      <c r="D142" s="106">
        <v>0</v>
      </c>
      <c r="E142" s="106">
        <v>0</v>
      </c>
      <c r="F142" s="106">
        <v>0</v>
      </c>
      <c r="G142" s="106">
        <v>0</v>
      </c>
      <c r="H142" s="106">
        <v>0</v>
      </c>
      <c r="I142" s="106">
        <v>0</v>
      </c>
      <c r="J142" s="106">
        <v>0</v>
      </c>
      <c r="K142" s="106">
        <v>0</v>
      </c>
      <c r="L142" s="106">
        <v>0</v>
      </c>
      <c r="M142" s="106">
        <v>0</v>
      </c>
      <c r="N142" s="106">
        <v>0</v>
      </c>
      <c r="O142" s="106">
        <v>0</v>
      </c>
      <c r="P142" s="106">
        <v>0</v>
      </c>
      <c r="Q142" s="106">
        <v>0</v>
      </c>
      <c r="R142" s="106">
        <v>0</v>
      </c>
      <c r="S142" s="106">
        <v>0</v>
      </c>
      <c r="T142" s="106">
        <v>0</v>
      </c>
      <c r="U142" s="106">
        <v>0</v>
      </c>
      <c r="V142" s="106">
        <v>0</v>
      </c>
      <c r="W142" s="106">
        <v>0</v>
      </c>
      <c r="X142" s="106">
        <v>0</v>
      </c>
      <c r="Y142" s="106">
        <v>0</v>
      </c>
      <c r="Z142" s="106">
        <v>0</v>
      </c>
      <c r="AA142" s="106">
        <v>0</v>
      </c>
      <c r="AB142" s="106">
        <v>0</v>
      </c>
      <c r="AC142" s="106">
        <v>0</v>
      </c>
      <c r="AD142" s="106">
        <v>0</v>
      </c>
      <c r="AE142" s="106">
        <v>0</v>
      </c>
      <c r="AF142" s="106">
        <v>0</v>
      </c>
      <c r="AG142" s="106">
        <v>0</v>
      </c>
      <c r="AH142" s="106">
        <v>0</v>
      </c>
      <c r="AI142" s="106">
        <v>0</v>
      </c>
      <c r="AJ142" s="106">
        <v>0</v>
      </c>
      <c r="AK142" s="106">
        <v>0</v>
      </c>
      <c r="AL142" s="106">
        <v>0</v>
      </c>
      <c r="AM142" s="106">
        <v>0</v>
      </c>
      <c r="AN142" s="106">
        <v>0</v>
      </c>
      <c r="AO142" s="106">
        <v>0</v>
      </c>
      <c r="AP142" s="106">
        <v>0</v>
      </c>
      <c r="AQ142" s="106">
        <v>0</v>
      </c>
      <c r="AR142" s="106">
        <v>0</v>
      </c>
      <c r="AS142" s="106">
        <v>0</v>
      </c>
      <c r="AT142" s="106">
        <v>0</v>
      </c>
      <c r="AU142" s="106">
        <v>0</v>
      </c>
      <c r="AV142" s="106">
        <v>0</v>
      </c>
      <c r="AW142" s="106">
        <v>0</v>
      </c>
      <c r="AX142" s="106">
        <v>0</v>
      </c>
      <c r="AY142" s="106">
        <v>0</v>
      </c>
    </row>
    <row r="143" spans="1:51">
      <c r="A143" s="109"/>
      <c r="B143" s="120">
        <v>22</v>
      </c>
      <c r="C143" s="106">
        <v>0</v>
      </c>
      <c r="D143" s="106">
        <v>0</v>
      </c>
      <c r="E143" s="106">
        <v>0</v>
      </c>
      <c r="F143" s="106">
        <v>0</v>
      </c>
      <c r="G143" s="106">
        <v>0</v>
      </c>
      <c r="H143" s="106">
        <v>0</v>
      </c>
      <c r="I143" s="106">
        <v>0</v>
      </c>
      <c r="J143" s="106">
        <v>0</v>
      </c>
      <c r="K143" s="106">
        <v>0</v>
      </c>
      <c r="L143" s="106">
        <v>0</v>
      </c>
      <c r="M143" s="106">
        <v>0</v>
      </c>
      <c r="N143" s="106">
        <v>0</v>
      </c>
      <c r="O143" s="106">
        <v>0</v>
      </c>
      <c r="P143" s="106">
        <v>0</v>
      </c>
      <c r="Q143" s="106">
        <v>0</v>
      </c>
      <c r="R143" s="106">
        <v>0</v>
      </c>
      <c r="S143" s="106">
        <v>0</v>
      </c>
      <c r="T143" s="106">
        <v>0</v>
      </c>
      <c r="U143" s="106">
        <v>0</v>
      </c>
      <c r="V143" s="106">
        <v>0</v>
      </c>
      <c r="W143" s="106">
        <v>0</v>
      </c>
      <c r="X143" s="106">
        <v>0</v>
      </c>
      <c r="Y143" s="106">
        <v>0</v>
      </c>
      <c r="Z143" s="106">
        <v>0</v>
      </c>
      <c r="AA143" s="106">
        <v>0</v>
      </c>
      <c r="AB143" s="106">
        <v>0</v>
      </c>
      <c r="AC143" s="106">
        <v>0</v>
      </c>
      <c r="AD143" s="106">
        <v>0</v>
      </c>
      <c r="AE143" s="106">
        <v>0</v>
      </c>
      <c r="AF143" s="106">
        <v>0</v>
      </c>
      <c r="AG143" s="106">
        <v>0</v>
      </c>
      <c r="AH143" s="106">
        <v>0</v>
      </c>
      <c r="AI143" s="106">
        <v>0</v>
      </c>
      <c r="AJ143" s="106">
        <v>0</v>
      </c>
      <c r="AK143" s="106">
        <v>0</v>
      </c>
      <c r="AL143" s="106">
        <v>0</v>
      </c>
      <c r="AM143" s="106">
        <v>0</v>
      </c>
      <c r="AN143" s="106">
        <v>0</v>
      </c>
      <c r="AO143" s="106">
        <v>0</v>
      </c>
      <c r="AP143" s="106">
        <v>0</v>
      </c>
      <c r="AQ143" s="106">
        <v>0</v>
      </c>
      <c r="AR143" s="106">
        <v>0</v>
      </c>
      <c r="AS143" s="106">
        <v>0</v>
      </c>
      <c r="AT143" s="106">
        <v>0</v>
      </c>
      <c r="AU143" s="106">
        <v>0</v>
      </c>
      <c r="AV143" s="106">
        <v>0</v>
      </c>
      <c r="AW143" s="106">
        <v>0</v>
      </c>
      <c r="AX143" s="106">
        <v>0</v>
      </c>
      <c r="AY143" s="106">
        <v>0</v>
      </c>
    </row>
    <row r="144" spans="1:51">
      <c r="A144" s="109"/>
      <c r="B144" s="120">
        <v>23</v>
      </c>
      <c r="C144" s="106">
        <v>0</v>
      </c>
      <c r="D144" s="106">
        <v>0</v>
      </c>
      <c r="E144" s="106">
        <v>0</v>
      </c>
      <c r="F144" s="106">
        <v>0</v>
      </c>
      <c r="G144" s="106">
        <v>0</v>
      </c>
      <c r="H144" s="106">
        <v>0</v>
      </c>
      <c r="I144" s="106">
        <v>0</v>
      </c>
      <c r="J144" s="106">
        <v>0</v>
      </c>
      <c r="K144" s="106">
        <v>0</v>
      </c>
      <c r="L144" s="106">
        <v>0</v>
      </c>
      <c r="M144" s="106">
        <v>0</v>
      </c>
      <c r="N144" s="106">
        <v>0</v>
      </c>
      <c r="O144" s="106">
        <v>0</v>
      </c>
      <c r="P144" s="106">
        <v>0</v>
      </c>
      <c r="Q144" s="106">
        <v>0</v>
      </c>
      <c r="R144" s="106">
        <v>0</v>
      </c>
      <c r="S144" s="106">
        <v>0</v>
      </c>
      <c r="T144" s="106">
        <v>0</v>
      </c>
      <c r="U144" s="106">
        <v>0</v>
      </c>
      <c r="V144" s="106">
        <v>0</v>
      </c>
      <c r="W144" s="106">
        <v>0</v>
      </c>
      <c r="X144" s="106">
        <v>0</v>
      </c>
      <c r="Y144" s="106">
        <v>0</v>
      </c>
      <c r="Z144" s="106">
        <v>0</v>
      </c>
      <c r="AA144" s="106">
        <v>0</v>
      </c>
      <c r="AB144" s="106">
        <v>0</v>
      </c>
      <c r="AC144" s="106">
        <v>0</v>
      </c>
      <c r="AD144" s="106">
        <v>0</v>
      </c>
      <c r="AE144" s="106">
        <v>0</v>
      </c>
      <c r="AF144" s="106">
        <v>0</v>
      </c>
      <c r="AG144" s="106">
        <v>0</v>
      </c>
      <c r="AH144" s="106">
        <v>0</v>
      </c>
      <c r="AI144" s="106">
        <v>0</v>
      </c>
      <c r="AJ144" s="106">
        <v>0</v>
      </c>
      <c r="AK144" s="106">
        <v>0</v>
      </c>
      <c r="AL144" s="106">
        <v>0</v>
      </c>
      <c r="AM144" s="106">
        <v>0</v>
      </c>
      <c r="AN144" s="106">
        <v>0</v>
      </c>
      <c r="AO144" s="106">
        <v>0</v>
      </c>
      <c r="AP144" s="106">
        <v>0</v>
      </c>
      <c r="AQ144" s="106">
        <v>0</v>
      </c>
      <c r="AR144" s="106">
        <v>0</v>
      </c>
      <c r="AS144" s="106">
        <v>0</v>
      </c>
      <c r="AT144" s="106">
        <v>0</v>
      </c>
      <c r="AU144" s="106">
        <v>0</v>
      </c>
      <c r="AV144" s="106">
        <v>0</v>
      </c>
      <c r="AW144" s="106">
        <v>0</v>
      </c>
      <c r="AX144" s="106">
        <v>0</v>
      </c>
      <c r="AY144" s="106">
        <v>0</v>
      </c>
    </row>
    <row r="145" spans="1:51">
      <c r="A145" s="109"/>
      <c r="B145" s="120">
        <v>24</v>
      </c>
      <c r="C145" s="106">
        <v>0</v>
      </c>
      <c r="D145" s="106">
        <v>0</v>
      </c>
      <c r="E145" s="106">
        <v>0</v>
      </c>
      <c r="F145" s="106">
        <v>0</v>
      </c>
      <c r="G145" s="106">
        <v>0</v>
      </c>
      <c r="H145" s="106">
        <v>0</v>
      </c>
      <c r="I145" s="106">
        <v>0</v>
      </c>
      <c r="J145" s="106">
        <v>0</v>
      </c>
      <c r="K145" s="106">
        <v>0</v>
      </c>
      <c r="L145" s="106">
        <v>0</v>
      </c>
      <c r="M145" s="106">
        <v>0</v>
      </c>
      <c r="N145" s="106">
        <v>0</v>
      </c>
      <c r="O145" s="106">
        <v>0</v>
      </c>
      <c r="P145" s="106">
        <v>0</v>
      </c>
      <c r="Q145" s="106">
        <v>0</v>
      </c>
      <c r="R145" s="106">
        <v>0</v>
      </c>
      <c r="S145" s="106">
        <v>0</v>
      </c>
      <c r="T145" s="106">
        <v>0</v>
      </c>
      <c r="U145" s="106">
        <v>0</v>
      </c>
      <c r="V145" s="106">
        <v>0</v>
      </c>
      <c r="W145" s="106">
        <v>0</v>
      </c>
      <c r="X145" s="106">
        <v>0</v>
      </c>
      <c r="Y145" s="106">
        <v>0</v>
      </c>
      <c r="Z145" s="106">
        <v>0</v>
      </c>
      <c r="AA145" s="106">
        <v>0</v>
      </c>
      <c r="AB145" s="106">
        <v>0</v>
      </c>
      <c r="AC145" s="106">
        <v>0</v>
      </c>
      <c r="AD145" s="106">
        <v>0</v>
      </c>
      <c r="AE145" s="106">
        <v>0</v>
      </c>
      <c r="AF145" s="106">
        <v>0</v>
      </c>
      <c r="AG145" s="106">
        <v>0</v>
      </c>
      <c r="AH145" s="106">
        <v>0</v>
      </c>
      <c r="AI145" s="106">
        <v>0</v>
      </c>
      <c r="AJ145" s="106">
        <v>0</v>
      </c>
      <c r="AK145" s="106">
        <v>0</v>
      </c>
      <c r="AL145" s="106">
        <v>0</v>
      </c>
      <c r="AM145" s="106">
        <v>0</v>
      </c>
      <c r="AN145" s="106">
        <v>0</v>
      </c>
      <c r="AO145" s="106">
        <v>0</v>
      </c>
      <c r="AP145" s="106">
        <v>0</v>
      </c>
      <c r="AQ145" s="106">
        <v>0</v>
      </c>
      <c r="AR145" s="106">
        <v>0</v>
      </c>
      <c r="AS145" s="106">
        <v>0</v>
      </c>
      <c r="AT145" s="106">
        <v>0</v>
      </c>
      <c r="AU145" s="106">
        <v>0</v>
      </c>
      <c r="AV145" s="106">
        <v>0</v>
      </c>
      <c r="AW145" s="106">
        <v>0</v>
      </c>
      <c r="AX145" s="106">
        <v>0</v>
      </c>
      <c r="AY145" s="106">
        <v>0</v>
      </c>
    </row>
    <row r="146" spans="1:51">
      <c r="A146" s="109"/>
      <c r="B146" s="127">
        <v>25</v>
      </c>
      <c r="C146" s="106">
        <v>0</v>
      </c>
      <c r="D146" s="106">
        <v>0</v>
      </c>
      <c r="E146" s="106">
        <v>0</v>
      </c>
      <c r="F146" s="106">
        <v>0</v>
      </c>
      <c r="G146" s="106">
        <v>0</v>
      </c>
      <c r="H146" s="106">
        <v>0</v>
      </c>
      <c r="I146" s="106">
        <v>0</v>
      </c>
      <c r="J146" s="106">
        <v>0</v>
      </c>
      <c r="K146" s="106">
        <v>0</v>
      </c>
      <c r="L146" s="106">
        <v>0</v>
      </c>
      <c r="M146" s="106">
        <v>0</v>
      </c>
      <c r="N146" s="106">
        <v>0</v>
      </c>
      <c r="O146" s="106">
        <v>0</v>
      </c>
      <c r="P146" s="106">
        <v>0</v>
      </c>
      <c r="Q146" s="106">
        <v>0</v>
      </c>
      <c r="R146" s="106">
        <v>0</v>
      </c>
      <c r="S146" s="106">
        <v>0</v>
      </c>
      <c r="T146" s="106">
        <v>0</v>
      </c>
      <c r="U146" s="106">
        <v>0</v>
      </c>
      <c r="V146" s="106">
        <v>0</v>
      </c>
      <c r="W146" s="106">
        <v>0</v>
      </c>
      <c r="X146" s="106">
        <v>0</v>
      </c>
      <c r="Y146" s="106">
        <v>0</v>
      </c>
      <c r="Z146" s="106">
        <v>0</v>
      </c>
      <c r="AA146" s="106">
        <v>0</v>
      </c>
      <c r="AB146" s="106">
        <v>0</v>
      </c>
      <c r="AC146" s="106">
        <v>0</v>
      </c>
      <c r="AD146" s="106">
        <v>0</v>
      </c>
      <c r="AE146" s="106">
        <v>0</v>
      </c>
      <c r="AF146" s="106">
        <v>0</v>
      </c>
      <c r="AG146" s="106">
        <v>0</v>
      </c>
      <c r="AH146" s="106">
        <v>0</v>
      </c>
      <c r="AI146" s="106">
        <v>0</v>
      </c>
      <c r="AJ146" s="106">
        <v>0</v>
      </c>
      <c r="AK146" s="106">
        <v>0</v>
      </c>
      <c r="AL146" s="106">
        <v>0</v>
      </c>
      <c r="AM146" s="106">
        <v>0</v>
      </c>
      <c r="AN146" s="106">
        <v>0</v>
      </c>
      <c r="AO146" s="106">
        <v>0</v>
      </c>
      <c r="AP146" s="106">
        <v>0</v>
      </c>
      <c r="AQ146" s="106">
        <v>0</v>
      </c>
      <c r="AR146" s="106">
        <v>0</v>
      </c>
      <c r="AS146" s="106">
        <v>0</v>
      </c>
      <c r="AT146" s="106">
        <v>0</v>
      </c>
      <c r="AU146" s="106">
        <v>0</v>
      </c>
      <c r="AV146" s="106">
        <v>0</v>
      </c>
      <c r="AW146" s="106">
        <v>0</v>
      </c>
      <c r="AX146" s="106">
        <v>0</v>
      </c>
      <c r="AY146" s="106">
        <v>0</v>
      </c>
    </row>
    <row r="147" spans="1:51">
      <c r="A147" s="109"/>
      <c r="B147" s="127">
        <v>26</v>
      </c>
      <c r="C147" s="106">
        <v>0</v>
      </c>
      <c r="D147" s="106">
        <v>0</v>
      </c>
      <c r="E147" s="106">
        <v>0</v>
      </c>
      <c r="F147" s="106">
        <v>0</v>
      </c>
      <c r="G147" s="106">
        <v>0</v>
      </c>
      <c r="H147" s="106">
        <v>0</v>
      </c>
      <c r="I147" s="106">
        <v>0</v>
      </c>
      <c r="J147" s="106">
        <v>0</v>
      </c>
      <c r="K147" s="106">
        <v>0</v>
      </c>
      <c r="L147" s="106">
        <v>0</v>
      </c>
      <c r="M147" s="106">
        <v>0</v>
      </c>
      <c r="N147" s="106">
        <v>0</v>
      </c>
      <c r="O147" s="106">
        <v>0</v>
      </c>
      <c r="P147" s="106">
        <v>0</v>
      </c>
      <c r="Q147" s="106">
        <v>0</v>
      </c>
      <c r="R147" s="106">
        <v>0</v>
      </c>
      <c r="S147" s="106">
        <v>0</v>
      </c>
      <c r="T147" s="106">
        <v>0</v>
      </c>
      <c r="U147" s="106">
        <v>0</v>
      </c>
      <c r="V147" s="106">
        <v>0</v>
      </c>
      <c r="W147" s="106">
        <v>0</v>
      </c>
      <c r="X147" s="106">
        <v>0</v>
      </c>
      <c r="Y147" s="106">
        <v>0</v>
      </c>
      <c r="Z147" s="106">
        <v>0</v>
      </c>
      <c r="AA147" s="106">
        <v>0</v>
      </c>
      <c r="AB147" s="106">
        <v>0</v>
      </c>
      <c r="AC147" s="106">
        <v>0</v>
      </c>
      <c r="AD147" s="106">
        <v>0</v>
      </c>
      <c r="AE147" s="106">
        <v>0</v>
      </c>
      <c r="AF147" s="106">
        <v>0</v>
      </c>
      <c r="AG147" s="106">
        <v>0</v>
      </c>
      <c r="AH147" s="106">
        <v>0</v>
      </c>
      <c r="AI147" s="106">
        <v>0</v>
      </c>
      <c r="AJ147" s="106">
        <v>0</v>
      </c>
      <c r="AK147" s="106">
        <v>0</v>
      </c>
      <c r="AL147" s="106">
        <v>0</v>
      </c>
      <c r="AM147" s="106">
        <v>0</v>
      </c>
      <c r="AN147" s="106">
        <v>0</v>
      </c>
      <c r="AO147" s="106">
        <v>0</v>
      </c>
      <c r="AP147" s="106">
        <v>0</v>
      </c>
      <c r="AQ147" s="106">
        <v>0</v>
      </c>
      <c r="AR147" s="106">
        <v>0</v>
      </c>
      <c r="AS147" s="106">
        <v>0</v>
      </c>
      <c r="AT147" s="106">
        <v>0</v>
      </c>
      <c r="AU147" s="106">
        <v>0</v>
      </c>
      <c r="AV147" s="106">
        <v>0</v>
      </c>
      <c r="AW147" s="106">
        <v>0</v>
      </c>
      <c r="AX147" s="106">
        <v>0</v>
      </c>
      <c r="AY147" s="106">
        <v>0</v>
      </c>
    </row>
    <row r="148" spans="1:51">
      <c r="A148" s="109"/>
      <c r="B148" s="127">
        <v>27</v>
      </c>
      <c r="C148" s="106">
        <v>0</v>
      </c>
      <c r="D148" s="106">
        <v>0</v>
      </c>
      <c r="E148" s="106">
        <v>0</v>
      </c>
      <c r="F148" s="106">
        <v>0</v>
      </c>
      <c r="G148" s="106">
        <v>0</v>
      </c>
      <c r="H148" s="106">
        <v>0</v>
      </c>
      <c r="I148" s="106">
        <v>0</v>
      </c>
      <c r="J148" s="106">
        <v>0</v>
      </c>
      <c r="K148" s="106">
        <v>0</v>
      </c>
      <c r="L148" s="106">
        <v>0</v>
      </c>
      <c r="M148" s="106">
        <v>0</v>
      </c>
      <c r="N148" s="106">
        <v>0</v>
      </c>
      <c r="O148" s="106">
        <v>0</v>
      </c>
      <c r="P148" s="106">
        <v>0</v>
      </c>
      <c r="Q148" s="106">
        <v>0</v>
      </c>
      <c r="R148" s="106">
        <v>0</v>
      </c>
      <c r="S148" s="106">
        <v>0</v>
      </c>
      <c r="T148" s="106">
        <v>0</v>
      </c>
      <c r="U148" s="106">
        <v>0</v>
      </c>
      <c r="V148" s="106">
        <v>0</v>
      </c>
      <c r="W148" s="106">
        <v>0</v>
      </c>
      <c r="X148" s="106">
        <v>0</v>
      </c>
      <c r="Y148" s="106">
        <v>0</v>
      </c>
      <c r="Z148" s="106">
        <v>0</v>
      </c>
      <c r="AA148" s="106">
        <v>0</v>
      </c>
      <c r="AB148" s="106">
        <v>0</v>
      </c>
      <c r="AC148" s="106">
        <v>0</v>
      </c>
      <c r="AD148" s="106">
        <v>0</v>
      </c>
      <c r="AE148" s="106">
        <v>0</v>
      </c>
      <c r="AF148" s="106">
        <v>0</v>
      </c>
      <c r="AG148" s="106">
        <v>0</v>
      </c>
      <c r="AH148" s="106">
        <v>0</v>
      </c>
      <c r="AI148" s="106">
        <v>0</v>
      </c>
      <c r="AJ148" s="106">
        <v>0</v>
      </c>
      <c r="AK148" s="106">
        <v>0</v>
      </c>
      <c r="AL148" s="106">
        <v>0</v>
      </c>
      <c r="AM148" s="106">
        <v>0</v>
      </c>
      <c r="AN148" s="106">
        <v>0</v>
      </c>
      <c r="AO148" s="106">
        <v>0</v>
      </c>
      <c r="AP148" s="106">
        <v>0</v>
      </c>
      <c r="AQ148" s="106">
        <v>0</v>
      </c>
      <c r="AR148" s="106">
        <v>0</v>
      </c>
      <c r="AS148" s="106">
        <v>0</v>
      </c>
      <c r="AT148" s="106">
        <v>0</v>
      </c>
      <c r="AU148" s="106">
        <v>0</v>
      </c>
      <c r="AV148" s="106">
        <v>0</v>
      </c>
      <c r="AW148" s="106">
        <v>0</v>
      </c>
      <c r="AX148" s="106">
        <v>0</v>
      </c>
      <c r="AY148" s="106">
        <v>0</v>
      </c>
    </row>
    <row r="149" spans="1:51">
      <c r="A149" s="109"/>
      <c r="B149" s="127">
        <v>28</v>
      </c>
      <c r="C149" s="106">
        <v>0</v>
      </c>
      <c r="D149" s="106">
        <v>0</v>
      </c>
      <c r="E149" s="106">
        <v>0</v>
      </c>
      <c r="F149" s="106">
        <v>0</v>
      </c>
      <c r="G149" s="106">
        <v>0</v>
      </c>
      <c r="H149" s="106">
        <v>0</v>
      </c>
      <c r="I149" s="106">
        <v>0</v>
      </c>
      <c r="J149" s="106">
        <v>0</v>
      </c>
      <c r="K149" s="106">
        <v>0</v>
      </c>
      <c r="L149" s="106">
        <v>0</v>
      </c>
      <c r="M149" s="106">
        <v>0</v>
      </c>
      <c r="N149" s="106">
        <v>0</v>
      </c>
      <c r="O149" s="106">
        <v>0</v>
      </c>
      <c r="P149" s="106">
        <v>0</v>
      </c>
      <c r="Q149" s="106">
        <v>0</v>
      </c>
      <c r="R149" s="106">
        <v>0</v>
      </c>
      <c r="S149" s="106">
        <v>0</v>
      </c>
      <c r="T149" s="106">
        <v>0</v>
      </c>
      <c r="U149" s="106">
        <v>0</v>
      </c>
      <c r="V149" s="106">
        <v>0</v>
      </c>
      <c r="W149" s="106">
        <v>0</v>
      </c>
      <c r="X149" s="106">
        <v>0</v>
      </c>
      <c r="Y149" s="106">
        <v>0</v>
      </c>
      <c r="Z149" s="106">
        <v>0</v>
      </c>
      <c r="AA149" s="106">
        <v>0</v>
      </c>
      <c r="AB149" s="106">
        <v>0</v>
      </c>
      <c r="AC149" s="106">
        <v>0</v>
      </c>
      <c r="AD149" s="106">
        <v>0</v>
      </c>
      <c r="AE149" s="106">
        <v>0</v>
      </c>
      <c r="AF149" s="106">
        <v>0</v>
      </c>
      <c r="AG149" s="106">
        <v>0</v>
      </c>
      <c r="AH149" s="106">
        <v>0</v>
      </c>
      <c r="AI149" s="106">
        <v>0</v>
      </c>
      <c r="AJ149" s="106">
        <v>0</v>
      </c>
      <c r="AK149" s="106">
        <v>0</v>
      </c>
      <c r="AL149" s="106">
        <v>0</v>
      </c>
      <c r="AM149" s="106">
        <v>0</v>
      </c>
      <c r="AN149" s="106">
        <v>0</v>
      </c>
      <c r="AO149" s="106">
        <v>0</v>
      </c>
      <c r="AP149" s="106">
        <v>0</v>
      </c>
      <c r="AQ149" s="106">
        <v>0</v>
      </c>
      <c r="AR149" s="106">
        <v>0</v>
      </c>
      <c r="AS149" s="106">
        <v>0</v>
      </c>
      <c r="AT149" s="106">
        <v>0</v>
      </c>
      <c r="AU149" s="106">
        <v>0</v>
      </c>
      <c r="AV149" s="106">
        <v>0</v>
      </c>
      <c r="AW149" s="106">
        <v>0</v>
      </c>
      <c r="AX149" s="106">
        <v>0</v>
      </c>
      <c r="AY149" s="106">
        <v>0</v>
      </c>
    </row>
    <row r="150" spans="1:51">
      <c r="A150" s="109"/>
      <c r="B150" s="127">
        <v>29</v>
      </c>
      <c r="C150" s="106">
        <v>0</v>
      </c>
      <c r="D150" s="106">
        <v>0</v>
      </c>
      <c r="E150" s="106">
        <v>0</v>
      </c>
      <c r="F150" s="106">
        <v>0</v>
      </c>
      <c r="G150" s="106">
        <v>0</v>
      </c>
      <c r="H150" s="106">
        <v>0</v>
      </c>
      <c r="I150" s="106">
        <v>0</v>
      </c>
      <c r="J150" s="106">
        <v>0</v>
      </c>
      <c r="K150" s="106">
        <v>0</v>
      </c>
      <c r="L150" s="106">
        <v>0</v>
      </c>
      <c r="M150" s="106">
        <v>0</v>
      </c>
      <c r="N150" s="106">
        <v>0</v>
      </c>
      <c r="O150" s="106">
        <v>0</v>
      </c>
      <c r="P150" s="106">
        <v>0</v>
      </c>
      <c r="Q150" s="106">
        <v>0</v>
      </c>
      <c r="R150" s="106">
        <v>0</v>
      </c>
      <c r="S150" s="106">
        <v>0</v>
      </c>
      <c r="T150" s="106">
        <v>0</v>
      </c>
      <c r="U150" s="106">
        <v>0</v>
      </c>
      <c r="V150" s="106">
        <v>0</v>
      </c>
      <c r="W150" s="106">
        <v>0</v>
      </c>
      <c r="X150" s="106">
        <v>0</v>
      </c>
      <c r="Y150" s="106">
        <v>0</v>
      </c>
      <c r="Z150" s="106">
        <v>0</v>
      </c>
      <c r="AA150" s="106">
        <v>0</v>
      </c>
      <c r="AB150" s="106">
        <v>0</v>
      </c>
      <c r="AC150" s="106">
        <v>0</v>
      </c>
      <c r="AD150" s="106">
        <v>0</v>
      </c>
      <c r="AE150" s="106">
        <v>0</v>
      </c>
      <c r="AF150" s="106">
        <v>0</v>
      </c>
      <c r="AG150" s="106">
        <v>0</v>
      </c>
      <c r="AH150" s="106">
        <v>0</v>
      </c>
      <c r="AI150" s="106">
        <v>0</v>
      </c>
      <c r="AJ150" s="106">
        <v>0</v>
      </c>
      <c r="AK150" s="106">
        <v>0</v>
      </c>
      <c r="AL150" s="106">
        <v>0</v>
      </c>
      <c r="AM150" s="106">
        <v>0</v>
      </c>
      <c r="AN150" s="106">
        <v>0</v>
      </c>
      <c r="AO150" s="106">
        <v>0</v>
      </c>
      <c r="AP150" s="106">
        <v>0</v>
      </c>
      <c r="AQ150" s="106">
        <v>0</v>
      </c>
      <c r="AR150" s="106">
        <v>0</v>
      </c>
      <c r="AS150" s="106">
        <v>0</v>
      </c>
      <c r="AT150" s="106">
        <v>0</v>
      </c>
      <c r="AU150" s="106">
        <v>0</v>
      </c>
      <c r="AV150" s="106">
        <v>0</v>
      </c>
      <c r="AW150" s="106">
        <v>0</v>
      </c>
      <c r="AX150" s="106">
        <v>0</v>
      </c>
      <c r="AY150" s="106">
        <v>0</v>
      </c>
    </row>
    <row r="151" spans="1:51">
      <c r="A151" s="109"/>
      <c r="B151" s="127">
        <v>30</v>
      </c>
      <c r="C151" s="106">
        <v>0</v>
      </c>
      <c r="D151" s="106">
        <v>0</v>
      </c>
      <c r="E151" s="106">
        <v>0</v>
      </c>
      <c r="F151" s="106">
        <v>0</v>
      </c>
      <c r="G151" s="106">
        <v>0</v>
      </c>
      <c r="H151" s="106">
        <v>0</v>
      </c>
      <c r="I151" s="106">
        <v>0</v>
      </c>
      <c r="J151" s="106">
        <v>0</v>
      </c>
      <c r="K151" s="106">
        <v>0</v>
      </c>
      <c r="L151" s="106">
        <v>0</v>
      </c>
      <c r="M151" s="106">
        <v>0</v>
      </c>
      <c r="N151" s="106">
        <v>0</v>
      </c>
      <c r="O151" s="106">
        <v>0</v>
      </c>
      <c r="P151" s="106">
        <v>0</v>
      </c>
      <c r="Q151" s="106">
        <v>0</v>
      </c>
      <c r="R151" s="106">
        <v>0</v>
      </c>
      <c r="S151" s="106">
        <v>0</v>
      </c>
      <c r="T151" s="106">
        <v>0</v>
      </c>
      <c r="U151" s="106">
        <v>0</v>
      </c>
      <c r="V151" s="106">
        <v>0</v>
      </c>
      <c r="W151" s="106">
        <v>0</v>
      </c>
      <c r="X151" s="106">
        <v>0</v>
      </c>
      <c r="Y151" s="106">
        <v>0</v>
      </c>
      <c r="Z151" s="106">
        <v>0</v>
      </c>
      <c r="AA151" s="106">
        <v>0</v>
      </c>
      <c r="AB151" s="106">
        <v>0</v>
      </c>
      <c r="AC151" s="106">
        <v>0</v>
      </c>
      <c r="AD151" s="106">
        <v>0</v>
      </c>
      <c r="AE151" s="106">
        <v>0</v>
      </c>
      <c r="AF151" s="106">
        <v>0</v>
      </c>
      <c r="AG151" s="106">
        <v>0</v>
      </c>
      <c r="AH151" s="106">
        <v>0</v>
      </c>
      <c r="AI151" s="106">
        <v>0</v>
      </c>
      <c r="AJ151" s="106">
        <v>0</v>
      </c>
      <c r="AK151" s="106">
        <v>0</v>
      </c>
      <c r="AL151" s="106">
        <v>0</v>
      </c>
      <c r="AM151" s="106">
        <v>0</v>
      </c>
      <c r="AN151" s="106">
        <v>0</v>
      </c>
      <c r="AO151" s="106">
        <v>0</v>
      </c>
      <c r="AP151" s="106">
        <v>0</v>
      </c>
      <c r="AQ151" s="106">
        <v>0</v>
      </c>
      <c r="AR151" s="106">
        <v>0</v>
      </c>
      <c r="AS151" s="106">
        <v>0</v>
      </c>
      <c r="AT151" s="106">
        <v>0</v>
      </c>
      <c r="AU151" s="106">
        <v>0</v>
      </c>
      <c r="AV151" s="106">
        <v>0</v>
      </c>
      <c r="AW151" s="106">
        <v>0</v>
      </c>
      <c r="AX151" s="106">
        <v>0</v>
      </c>
      <c r="AY151" s="106">
        <v>0</v>
      </c>
    </row>
    <row r="152" spans="1:51">
      <c r="A152" s="109"/>
      <c r="B152" s="127">
        <v>31</v>
      </c>
      <c r="C152" s="106">
        <v>0</v>
      </c>
      <c r="D152" s="106">
        <v>0</v>
      </c>
      <c r="E152" s="106">
        <v>0</v>
      </c>
      <c r="F152" s="106">
        <v>0</v>
      </c>
      <c r="G152" s="106">
        <v>0</v>
      </c>
      <c r="H152" s="106">
        <v>0</v>
      </c>
      <c r="I152" s="106">
        <v>0</v>
      </c>
      <c r="J152" s="106">
        <v>0</v>
      </c>
      <c r="K152" s="106">
        <v>0</v>
      </c>
      <c r="L152" s="106">
        <v>0</v>
      </c>
      <c r="M152" s="106">
        <v>0</v>
      </c>
      <c r="N152" s="106">
        <v>0</v>
      </c>
      <c r="O152" s="106">
        <v>0</v>
      </c>
      <c r="P152" s="106">
        <v>0</v>
      </c>
      <c r="Q152" s="106">
        <v>0</v>
      </c>
      <c r="R152" s="106">
        <v>0</v>
      </c>
      <c r="S152" s="106">
        <v>0</v>
      </c>
      <c r="T152" s="106">
        <v>0</v>
      </c>
      <c r="U152" s="106">
        <v>0</v>
      </c>
      <c r="V152" s="106">
        <v>0</v>
      </c>
      <c r="W152" s="106">
        <v>0</v>
      </c>
      <c r="X152" s="106">
        <v>0</v>
      </c>
      <c r="Y152" s="106">
        <v>0</v>
      </c>
      <c r="Z152" s="106">
        <v>0</v>
      </c>
      <c r="AA152" s="106">
        <v>0</v>
      </c>
      <c r="AB152" s="106">
        <v>0</v>
      </c>
      <c r="AC152" s="106">
        <v>0</v>
      </c>
      <c r="AD152" s="106">
        <v>0</v>
      </c>
      <c r="AE152" s="106">
        <v>0</v>
      </c>
      <c r="AF152" s="106">
        <v>0</v>
      </c>
      <c r="AG152" s="106">
        <v>0</v>
      </c>
      <c r="AH152" s="106">
        <v>0</v>
      </c>
      <c r="AI152" s="106">
        <v>0</v>
      </c>
      <c r="AJ152" s="106">
        <v>0</v>
      </c>
      <c r="AK152" s="106">
        <v>0</v>
      </c>
      <c r="AL152" s="106">
        <v>0</v>
      </c>
      <c r="AM152" s="106">
        <v>0</v>
      </c>
      <c r="AN152" s="106">
        <v>0</v>
      </c>
      <c r="AO152" s="106">
        <v>0</v>
      </c>
      <c r="AP152" s="106">
        <v>0</v>
      </c>
      <c r="AQ152" s="106">
        <v>0</v>
      </c>
      <c r="AR152" s="106">
        <v>0</v>
      </c>
      <c r="AS152" s="106">
        <v>0</v>
      </c>
      <c r="AT152" s="106">
        <v>0</v>
      </c>
      <c r="AU152" s="106">
        <v>0</v>
      </c>
      <c r="AV152" s="106">
        <v>0</v>
      </c>
      <c r="AW152" s="106">
        <v>0</v>
      </c>
      <c r="AX152" s="106">
        <v>0</v>
      </c>
      <c r="AY152" s="106">
        <v>0</v>
      </c>
    </row>
    <row r="153" spans="1:51">
      <c r="A153" s="109"/>
      <c r="B153" s="127">
        <v>32</v>
      </c>
      <c r="C153" s="106">
        <v>0</v>
      </c>
      <c r="D153" s="106">
        <v>0</v>
      </c>
      <c r="E153" s="106">
        <v>0</v>
      </c>
      <c r="F153" s="106">
        <v>0</v>
      </c>
      <c r="G153" s="106">
        <v>0</v>
      </c>
      <c r="H153" s="106">
        <v>0</v>
      </c>
      <c r="I153" s="106">
        <v>0</v>
      </c>
      <c r="J153" s="106">
        <v>0</v>
      </c>
      <c r="K153" s="106">
        <v>0</v>
      </c>
      <c r="L153" s="106">
        <v>0</v>
      </c>
      <c r="M153" s="106">
        <v>0</v>
      </c>
      <c r="N153" s="106">
        <v>0</v>
      </c>
      <c r="O153" s="106">
        <v>0</v>
      </c>
      <c r="P153" s="106">
        <v>0</v>
      </c>
      <c r="Q153" s="106">
        <v>0</v>
      </c>
      <c r="R153" s="106">
        <v>0</v>
      </c>
      <c r="S153" s="106">
        <v>0</v>
      </c>
      <c r="T153" s="106">
        <v>0</v>
      </c>
      <c r="U153" s="106">
        <v>0</v>
      </c>
      <c r="V153" s="106">
        <v>0</v>
      </c>
      <c r="W153" s="106">
        <v>0</v>
      </c>
      <c r="X153" s="106">
        <v>0</v>
      </c>
      <c r="Y153" s="106">
        <v>0</v>
      </c>
      <c r="Z153" s="106">
        <v>0</v>
      </c>
      <c r="AA153" s="106">
        <v>0</v>
      </c>
      <c r="AB153" s="106">
        <v>0</v>
      </c>
      <c r="AC153" s="106">
        <v>0</v>
      </c>
      <c r="AD153" s="106">
        <v>0</v>
      </c>
      <c r="AE153" s="106">
        <v>0</v>
      </c>
      <c r="AF153" s="106">
        <v>0</v>
      </c>
      <c r="AG153" s="106">
        <v>0</v>
      </c>
      <c r="AH153" s="106">
        <v>0</v>
      </c>
      <c r="AI153" s="106">
        <v>0</v>
      </c>
      <c r="AJ153" s="106">
        <v>0</v>
      </c>
      <c r="AK153" s="106">
        <v>0</v>
      </c>
      <c r="AL153" s="106">
        <v>0</v>
      </c>
      <c r="AM153" s="106">
        <v>0</v>
      </c>
      <c r="AN153" s="106">
        <v>0</v>
      </c>
      <c r="AO153" s="106">
        <v>0</v>
      </c>
      <c r="AP153" s="106">
        <v>0</v>
      </c>
      <c r="AQ153" s="106">
        <v>0</v>
      </c>
      <c r="AR153" s="106">
        <v>0</v>
      </c>
      <c r="AS153" s="106">
        <v>0</v>
      </c>
      <c r="AT153" s="106">
        <v>0</v>
      </c>
      <c r="AU153" s="106">
        <v>0</v>
      </c>
      <c r="AV153" s="106">
        <v>0</v>
      </c>
      <c r="AW153" s="106">
        <v>0</v>
      </c>
      <c r="AX153" s="106">
        <v>0</v>
      </c>
      <c r="AY153" s="106">
        <v>0</v>
      </c>
    </row>
    <row r="154" spans="1:51">
      <c r="A154" s="109"/>
      <c r="B154" s="127">
        <v>33</v>
      </c>
      <c r="C154" s="106">
        <v>0</v>
      </c>
      <c r="D154" s="106">
        <v>0</v>
      </c>
      <c r="E154" s="106">
        <v>0</v>
      </c>
      <c r="F154" s="106">
        <v>0</v>
      </c>
      <c r="G154" s="106">
        <v>0</v>
      </c>
      <c r="H154" s="106">
        <v>0</v>
      </c>
      <c r="I154" s="106">
        <v>0</v>
      </c>
      <c r="J154" s="106">
        <v>0</v>
      </c>
      <c r="K154" s="106">
        <v>0</v>
      </c>
      <c r="L154" s="106">
        <v>0</v>
      </c>
      <c r="M154" s="106">
        <v>0</v>
      </c>
      <c r="N154" s="106">
        <v>0</v>
      </c>
      <c r="O154" s="106">
        <v>0</v>
      </c>
      <c r="P154" s="106">
        <v>0</v>
      </c>
      <c r="Q154" s="106">
        <v>0</v>
      </c>
      <c r="R154" s="106">
        <v>0</v>
      </c>
      <c r="S154" s="106">
        <v>0</v>
      </c>
      <c r="T154" s="106">
        <v>0</v>
      </c>
      <c r="U154" s="106">
        <v>0</v>
      </c>
      <c r="V154" s="106">
        <v>0</v>
      </c>
      <c r="W154" s="106">
        <v>0</v>
      </c>
      <c r="X154" s="106">
        <v>0</v>
      </c>
      <c r="Y154" s="106">
        <v>0</v>
      </c>
      <c r="Z154" s="106">
        <v>0</v>
      </c>
      <c r="AA154" s="106">
        <v>0</v>
      </c>
      <c r="AB154" s="106">
        <v>0</v>
      </c>
      <c r="AC154" s="106">
        <v>0</v>
      </c>
      <c r="AD154" s="106">
        <v>0</v>
      </c>
      <c r="AE154" s="106">
        <v>0</v>
      </c>
      <c r="AF154" s="106">
        <v>0</v>
      </c>
      <c r="AG154" s="106">
        <v>0</v>
      </c>
      <c r="AH154" s="106">
        <v>0</v>
      </c>
      <c r="AI154" s="106">
        <v>0</v>
      </c>
      <c r="AJ154" s="106">
        <v>0</v>
      </c>
      <c r="AK154" s="106">
        <v>0</v>
      </c>
      <c r="AL154" s="106">
        <v>0</v>
      </c>
      <c r="AM154" s="106">
        <v>0</v>
      </c>
      <c r="AN154" s="106">
        <v>0</v>
      </c>
      <c r="AO154" s="106">
        <v>0</v>
      </c>
      <c r="AP154" s="106">
        <v>0</v>
      </c>
      <c r="AQ154" s="106">
        <v>0</v>
      </c>
      <c r="AR154" s="106">
        <v>0</v>
      </c>
      <c r="AS154" s="106">
        <v>0</v>
      </c>
      <c r="AT154" s="106">
        <v>0</v>
      </c>
      <c r="AU154" s="106">
        <v>0</v>
      </c>
      <c r="AV154" s="106">
        <v>0</v>
      </c>
      <c r="AW154" s="106">
        <v>0</v>
      </c>
      <c r="AX154" s="106">
        <v>0</v>
      </c>
      <c r="AY154" s="106">
        <v>0</v>
      </c>
    </row>
    <row r="155" spans="1:51">
      <c r="A155" s="109"/>
      <c r="B155" s="127">
        <v>34</v>
      </c>
      <c r="C155" s="106">
        <v>0</v>
      </c>
      <c r="D155" s="106">
        <v>0</v>
      </c>
      <c r="E155" s="106">
        <v>0</v>
      </c>
      <c r="F155" s="106">
        <v>0</v>
      </c>
      <c r="G155" s="106">
        <v>0</v>
      </c>
      <c r="H155" s="106">
        <v>0</v>
      </c>
      <c r="I155" s="106">
        <v>0</v>
      </c>
      <c r="J155" s="106">
        <v>0</v>
      </c>
      <c r="K155" s="106">
        <v>0</v>
      </c>
      <c r="L155" s="106">
        <v>0</v>
      </c>
      <c r="M155" s="106">
        <v>0</v>
      </c>
      <c r="N155" s="106">
        <v>0</v>
      </c>
      <c r="O155" s="106">
        <v>0</v>
      </c>
      <c r="P155" s="106">
        <v>0</v>
      </c>
      <c r="Q155" s="106">
        <v>0</v>
      </c>
      <c r="R155" s="106">
        <v>0</v>
      </c>
      <c r="S155" s="106">
        <v>0</v>
      </c>
      <c r="T155" s="106">
        <v>0</v>
      </c>
      <c r="U155" s="106">
        <v>0</v>
      </c>
      <c r="V155" s="106">
        <v>0</v>
      </c>
      <c r="W155" s="106">
        <v>0</v>
      </c>
      <c r="X155" s="106">
        <v>0</v>
      </c>
      <c r="Y155" s="106">
        <v>0</v>
      </c>
      <c r="Z155" s="106">
        <v>0</v>
      </c>
      <c r="AA155" s="106">
        <v>0</v>
      </c>
      <c r="AB155" s="106">
        <v>0</v>
      </c>
      <c r="AC155" s="106">
        <v>0</v>
      </c>
      <c r="AD155" s="106">
        <v>0</v>
      </c>
      <c r="AE155" s="106">
        <v>0</v>
      </c>
      <c r="AF155" s="106">
        <v>0</v>
      </c>
      <c r="AG155" s="106">
        <v>0</v>
      </c>
      <c r="AH155" s="106">
        <v>0</v>
      </c>
      <c r="AI155" s="106">
        <v>0</v>
      </c>
      <c r="AJ155" s="106">
        <v>0</v>
      </c>
      <c r="AK155" s="106">
        <v>0</v>
      </c>
      <c r="AL155" s="106">
        <v>0</v>
      </c>
      <c r="AM155" s="106">
        <v>0</v>
      </c>
      <c r="AN155" s="106">
        <v>0</v>
      </c>
      <c r="AO155" s="106">
        <v>0</v>
      </c>
      <c r="AP155" s="106">
        <v>0</v>
      </c>
      <c r="AQ155" s="106">
        <v>0</v>
      </c>
      <c r="AR155" s="106">
        <v>0</v>
      </c>
      <c r="AS155" s="106">
        <v>0</v>
      </c>
      <c r="AT155" s="106">
        <v>0</v>
      </c>
      <c r="AU155" s="106">
        <v>0</v>
      </c>
      <c r="AV155" s="106">
        <v>0</v>
      </c>
      <c r="AW155" s="106">
        <v>0</v>
      </c>
      <c r="AX155" s="106">
        <v>0</v>
      </c>
      <c r="AY155" s="106">
        <v>0</v>
      </c>
    </row>
    <row r="156" spans="1:51">
      <c r="A156" s="109"/>
      <c r="B156" s="127">
        <v>35</v>
      </c>
      <c r="C156" s="106">
        <v>0</v>
      </c>
      <c r="D156" s="106">
        <v>0</v>
      </c>
      <c r="E156" s="106">
        <v>0</v>
      </c>
      <c r="F156" s="106">
        <v>0</v>
      </c>
      <c r="G156" s="106">
        <v>0</v>
      </c>
      <c r="H156" s="106">
        <v>0</v>
      </c>
      <c r="I156" s="106">
        <v>0</v>
      </c>
      <c r="J156" s="106">
        <v>0</v>
      </c>
      <c r="K156" s="106">
        <v>0</v>
      </c>
      <c r="L156" s="106">
        <v>0</v>
      </c>
      <c r="M156" s="106">
        <v>0</v>
      </c>
      <c r="N156" s="106">
        <v>0</v>
      </c>
      <c r="O156" s="106">
        <v>0</v>
      </c>
      <c r="P156" s="106">
        <v>0</v>
      </c>
      <c r="Q156" s="106">
        <v>0</v>
      </c>
      <c r="R156" s="106">
        <v>0</v>
      </c>
      <c r="S156" s="106">
        <v>0</v>
      </c>
      <c r="T156" s="106">
        <v>0</v>
      </c>
      <c r="U156" s="106">
        <v>0</v>
      </c>
      <c r="V156" s="106">
        <v>0</v>
      </c>
      <c r="W156" s="106">
        <v>0</v>
      </c>
      <c r="X156" s="106">
        <v>0</v>
      </c>
      <c r="Y156" s="106">
        <v>0</v>
      </c>
      <c r="Z156" s="106">
        <v>0</v>
      </c>
      <c r="AA156" s="106">
        <v>0</v>
      </c>
      <c r="AB156" s="106">
        <v>0</v>
      </c>
      <c r="AC156" s="106">
        <v>0</v>
      </c>
      <c r="AD156" s="106">
        <v>0</v>
      </c>
      <c r="AE156" s="106">
        <v>0</v>
      </c>
      <c r="AF156" s="106">
        <v>0</v>
      </c>
      <c r="AG156" s="106">
        <v>0</v>
      </c>
      <c r="AH156" s="106">
        <v>0</v>
      </c>
      <c r="AI156" s="106">
        <v>0</v>
      </c>
      <c r="AJ156" s="106">
        <v>0</v>
      </c>
      <c r="AK156" s="106">
        <v>0</v>
      </c>
      <c r="AL156" s="106">
        <v>0</v>
      </c>
      <c r="AM156" s="106">
        <v>0</v>
      </c>
      <c r="AN156" s="106">
        <v>0</v>
      </c>
      <c r="AO156" s="106">
        <v>0</v>
      </c>
      <c r="AP156" s="106">
        <v>0</v>
      </c>
      <c r="AQ156" s="106">
        <v>0</v>
      </c>
      <c r="AR156" s="106">
        <v>0</v>
      </c>
      <c r="AS156" s="106">
        <v>0</v>
      </c>
      <c r="AT156" s="106">
        <v>0</v>
      </c>
      <c r="AU156" s="106">
        <v>0</v>
      </c>
      <c r="AV156" s="106">
        <v>0</v>
      </c>
      <c r="AW156" s="106">
        <v>0</v>
      </c>
      <c r="AX156" s="106">
        <v>0</v>
      </c>
      <c r="AY156" s="106">
        <v>0</v>
      </c>
    </row>
    <row r="157" spans="1:51">
      <c r="A157" s="109"/>
      <c r="B157" s="127">
        <v>36</v>
      </c>
      <c r="C157" s="106">
        <v>0</v>
      </c>
      <c r="D157" s="106">
        <v>0</v>
      </c>
      <c r="E157" s="106">
        <v>0</v>
      </c>
      <c r="F157" s="106">
        <v>0</v>
      </c>
      <c r="G157" s="106">
        <v>0</v>
      </c>
      <c r="H157" s="106">
        <v>0</v>
      </c>
      <c r="I157" s="106">
        <v>0</v>
      </c>
      <c r="J157" s="106">
        <v>0</v>
      </c>
      <c r="K157" s="106">
        <v>0</v>
      </c>
      <c r="L157" s="106">
        <v>0</v>
      </c>
      <c r="M157" s="106">
        <v>0</v>
      </c>
      <c r="N157" s="106">
        <v>0</v>
      </c>
      <c r="O157" s="106">
        <v>0</v>
      </c>
      <c r="P157" s="106">
        <v>0</v>
      </c>
      <c r="Q157" s="106">
        <v>0</v>
      </c>
      <c r="R157" s="106">
        <v>0</v>
      </c>
      <c r="S157" s="106">
        <v>0</v>
      </c>
      <c r="T157" s="106">
        <v>0</v>
      </c>
      <c r="U157" s="106">
        <v>0</v>
      </c>
      <c r="V157" s="106">
        <v>0</v>
      </c>
      <c r="W157" s="106">
        <v>0</v>
      </c>
      <c r="X157" s="106">
        <v>0</v>
      </c>
      <c r="Y157" s="106">
        <v>0</v>
      </c>
      <c r="Z157" s="106">
        <v>0</v>
      </c>
      <c r="AA157" s="106">
        <v>0</v>
      </c>
      <c r="AB157" s="106">
        <v>0</v>
      </c>
      <c r="AC157" s="106">
        <v>0</v>
      </c>
      <c r="AD157" s="106">
        <v>0</v>
      </c>
      <c r="AE157" s="106">
        <v>0</v>
      </c>
      <c r="AF157" s="106">
        <v>0</v>
      </c>
      <c r="AG157" s="106">
        <v>0</v>
      </c>
      <c r="AH157" s="106">
        <v>0</v>
      </c>
      <c r="AI157" s="106">
        <v>0</v>
      </c>
      <c r="AJ157" s="106">
        <v>0</v>
      </c>
      <c r="AK157" s="106">
        <v>0</v>
      </c>
      <c r="AL157" s="106">
        <v>0</v>
      </c>
      <c r="AM157" s="106">
        <v>0</v>
      </c>
      <c r="AN157" s="106">
        <v>0</v>
      </c>
      <c r="AO157" s="106">
        <v>0</v>
      </c>
      <c r="AP157" s="106">
        <v>0</v>
      </c>
      <c r="AQ157" s="106">
        <v>0</v>
      </c>
      <c r="AR157" s="106">
        <v>0</v>
      </c>
      <c r="AS157" s="106">
        <v>0</v>
      </c>
      <c r="AT157" s="106">
        <v>0</v>
      </c>
      <c r="AU157" s="106">
        <v>0</v>
      </c>
      <c r="AV157" s="106">
        <v>0</v>
      </c>
      <c r="AW157" s="106">
        <v>0</v>
      </c>
      <c r="AX157" s="106">
        <v>0</v>
      </c>
      <c r="AY157" s="106">
        <v>0</v>
      </c>
    </row>
    <row r="158" spans="1:51">
      <c r="A158" s="109"/>
      <c r="B158" s="130">
        <v>37</v>
      </c>
      <c r="C158" s="106">
        <v>0</v>
      </c>
      <c r="D158" s="106">
        <v>0</v>
      </c>
      <c r="E158" s="106">
        <v>0</v>
      </c>
      <c r="F158" s="106">
        <v>0</v>
      </c>
      <c r="G158" s="106">
        <v>0</v>
      </c>
      <c r="H158" s="106">
        <v>0</v>
      </c>
      <c r="I158" s="106">
        <v>0</v>
      </c>
      <c r="J158" s="106">
        <v>0</v>
      </c>
      <c r="K158" s="106">
        <v>0</v>
      </c>
      <c r="L158" s="106">
        <v>0</v>
      </c>
      <c r="M158" s="106">
        <v>0</v>
      </c>
      <c r="N158" s="106">
        <v>0</v>
      </c>
      <c r="O158" s="106">
        <v>0</v>
      </c>
      <c r="P158" s="106">
        <v>0</v>
      </c>
      <c r="Q158" s="106">
        <v>0</v>
      </c>
      <c r="R158" s="106">
        <v>0</v>
      </c>
      <c r="S158" s="106">
        <v>0</v>
      </c>
      <c r="T158" s="106">
        <v>0</v>
      </c>
      <c r="U158" s="106">
        <v>0</v>
      </c>
      <c r="V158" s="106">
        <v>0</v>
      </c>
      <c r="W158" s="106">
        <v>0</v>
      </c>
      <c r="X158" s="106">
        <v>0</v>
      </c>
      <c r="Y158" s="106">
        <v>0</v>
      </c>
      <c r="Z158" s="106">
        <v>0</v>
      </c>
      <c r="AA158" s="106">
        <v>0</v>
      </c>
      <c r="AB158" s="106">
        <v>0</v>
      </c>
      <c r="AC158" s="106">
        <v>0</v>
      </c>
      <c r="AD158" s="106">
        <v>0</v>
      </c>
      <c r="AE158" s="106">
        <v>0</v>
      </c>
      <c r="AF158" s="106">
        <v>0</v>
      </c>
      <c r="AG158" s="106">
        <v>0</v>
      </c>
      <c r="AH158" s="106">
        <v>0</v>
      </c>
      <c r="AI158" s="106">
        <v>0</v>
      </c>
      <c r="AJ158" s="106">
        <v>0</v>
      </c>
      <c r="AK158" s="106">
        <v>0</v>
      </c>
      <c r="AL158" s="106">
        <v>0</v>
      </c>
      <c r="AM158" s="106">
        <v>0</v>
      </c>
      <c r="AN158" s="106">
        <v>0</v>
      </c>
      <c r="AO158" s="106">
        <v>0</v>
      </c>
      <c r="AP158" s="106">
        <v>0</v>
      </c>
      <c r="AQ158" s="106">
        <v>0</v>
      </c>
      <c r="AR158" s="106">
        <v>0</v>
      </c>
      <c r="AS158" s="106">
        <v>0</v>
      </c>
      <c r="AT158" s="106">
        <v>0</v>
      </c>
      <c r="AU158" s="106">
        <v>0</v>
      </c>
      <c r="AV158" s="106">
        <v>0</v>
      </c>
      <c r="AW158" s="106">
        <v>0</v>
      </c>
      <c r="AX158" s="106">
        <v>0</v>
      </c>
      <c r="AY158" s="106">
        <v>0</v>
      </c>
    </row>
    <row r="159" spans="1:51">
      <c r="A159" s="109"/>
      <c r="B159" s="130">
        <v>38</v>
      </c>
      <c r="C159" s="106">
        <v>0</v>
      </c>
      <c r="D159" s="106">
        <v>0</v>
      </c>
      <c r="E159" s="106">
        <v>0</v>
      </c>
      <c r="F159" s="106">
        <v>0</v>
      </c>
      <c r="G159" s="106">
        <v>0</v>
      </c>
      <c r="H159" s="106">
        <v>0</v>
      </c>
      <c r="I159" s="106">
        <v>0</v>
      </c>
      <c r="J159" s="106">
        <v>0</v>
      </c>
      <c r="K159" s="106">
        <v>0</v>
      </c>
      <c r="L159" s="106">
        <v>0</v>
      </c>
      <c r="M159" s="106">
        <v>0</v>
      </c>
      <c r="N159" s="106">
        <v>0</v>
      </c>
      <c r="O159" s="106">
        <v>0</v>
      </c>
      <c r="P159" s="106">
        <v>0</v>
      </c>
      <c r="Q159" s="106">
        <v>0</v>
      </c>
      <c r="R159" s="106">
        <v>0</v>
      </c>
      <c r="S159" s="106">
        <v>0</v>
      </c>
      <c r="T159" s="106">
        <v>0</v>
      </c>
      <c r="U159" s="106">
        <v>0</v>
      </c>
      <c r="V159" s="106">
        <v>0</v>
      </c>
      <c r="W159" s="106">
        <v>0</v>
      </c>
      <c r="X159" s="106">
        <v>0</v>
      </c>
      <c r="Y159" s="106">
        <v>0</v>
      </c>
      <c r="Z159" s="106">
        <v>0</v>
      </c>
      <c r="AA159" s="106">
        <v>0</v>
      </c>
      <c r="AB159" s="106">
        <v>0</v>
      </c>
      <c r="AC159" s="106">
        <v>0</v>
      </c>
      <c r="AD159" s="106">
        <v>0</v>
      </c>
      <c r="AE159" s="106">
        <v>0</v>
      </c>
      <c r="AF159" s="106">
        <v>0</v>
      </c>
      <c r="AG159" s="106">
        <v>0</v>
      </c>
      <c r="AH159" s="106">
        <v>0</v>
      </c>
      <c r="AI159" s="106">
        <v>0</v>
      </c>
      <c r="AJ159" s="106">
        <v>0</v>
      </c>
      <c r="AK159" s="106">
        <v>0</v>
      </c>
      <c r="AL159" s="106">
        <v>0</v>
      </c>
      <c r="AM159" s="106">
        <v>0</v>
      </c>
      <c r="AN159" s="106">
        <v>0</v>
      </c>
      <c r="AO159" s="106">
        <v>0</v>
      </c>
      <c r="AP159" s="106">
        <v>0</v>
      </c>
      <c r="AQ159" s="106">
        <v>0</v>
      </c>
      <c r="AR159" s="106">
        <v>0</v>
      </c>
      <c r="AS159" s="106">
        <v>0</v>
      </c>
      <c r="AT159" s="106">
        <v>0</v>
      </c>
      <c r="AU159" s="106">
        <v>0</v>
      </c>
      <c r="AV159" s="106">
        <v>0</v>
      </c>
      <c r="AW159" s="106">
        <v>0</v>
      </c>
      <c r="AX159" s="106">
        <v>0</v>
      </c>
      <c r="AY159" s="106">
        <v>0</v>
      </c>
    </row>
    <row r="160" spans="1:51">
      <c r="A160" s="109"/>
      <c r="B160" s="130">
        <v>39</v>
      </c>
      <c r="C160" s="106">
        <v>0</v>
      </c>
      <c r="D160" s="106">
        <v>0</v>
      </c>
      <c r="E160" s="106">
        <v>0</v>
      </c>
      <c r="F160" s="106">
        <v>0</v>
      </c>
      <c r="G160" s="106">
        <v>0</v>
      </c>
      <c r="H160" s="106">
        <v>0</v>
      </c>
      <c r="I160" s="106">
        <v>0</v>
      </c>
      <c r="J160" s="106">
        <v>0</v>
      </c>
      <c r="K160" s="106">
        <v>0</v>
      </c>
      <c r="L160" s="106">
        <v>0</v>
      </c>
      <c r="M160" s="106">
        <v>0</v>
      </c>
      <c r="N160" s="106">
        <v>0</v>
      </c>
      <c r="O160" s="106">
        <v>0</v>
      </c>
      <c r="P160" s="106">
        <v>0</v>
      </c>
      <c r="Q160" s="106">
        <v>0</v>
      </c>
      <c r="R160" s="106">
        <v>0</v>
      </c>
      <c r="S160" s="106">
        <v>0</v>
      </c>
      <c r="T160" s="106">
        <v>0</v>
      </c>
      <c r="U160" s="106">
        <v>0</v>
      </c>
      <c r="V160" s="106">
        <v>0</v>
      </c>
      <c r="W160" s="106">
        <v>0</v>
      </c>
      <c r="X160" s="106">
        <v>0</v>
      </c>
      <c r="Y160" s="106">
        <v>0</v>
      </c>
      <c r="Z160" s="106">
        <v>0</v>
      </c>
      <c r="AA160" s="106">
        <v>0</v>
      </c>
      <c r="AB160" s="106">
        <v>0</v>
      </c>
      <c r="AC160" s="106">
        <v>0</v>
      </c>
      <c r="AD160" s="106">
        <v>0</v>
      </c>
      <c r="AE160" s="106">
        <v>0</v>
      </c>
      <c r="AF160" s="106">
        <v>0</v>
      </c>
      <c r="AG160" s="106">
        <v>0</v>
      </c>
      <c r="AH160" s="106">
        <v>0</v>
      </c>
      <c r="AI160" s="106">
        <v>0</v>
      </c>
      <c r="AJ160" s="106">
        <v>0</v>
      </c>
      <c r="AK160" s="106">
        <v>0</v>
      </c>
      <c r="AL160" s="106">
        <v>0</v>
      </c>
      <c r="AM160" s="106">
        <v>0</v>
      </c>
      <c r="AN160" s="106">
        <v>0</v>
      </c>
      <c r="AO160" s="106">
        <v>0</v>
      </c>
      <c r="AP160" s="106">
        <v>0</v>
      </c>
      <c r="AQ160" s="106">
        <v>0</v>
      </c>
      <c r="AR160" s="106">
        <v>0</v>
      </c>
      <c r="AS160" s="106">
        <v>0</v>
      </c>
      <c r="AT160" s="106">
        <v>0</v>
      </c>
      <c r="AU160" s="106">
        <v>0</v>
      </c>
      <c r="AV160" s="106">
        <v>0</v>
      </c>
      <c r="AW160" s="106">
        <v>0</v>
      </c>
      <c r="AX160" s="106">
        <v>0</v>
      </c>
      <c r="AY160" s="106">
        <v>0</v>
      </c>
    </row>
    <row r="161" spans="1:52">
      <c r="A161" s="109"/>
      <c r="B161" s="130">
        <v>40</v>
      </c>
      <c r="C161" s="106">
        <v>0</v>
      </c>
      <c r="D161" s="106">
        <v>0</v>
      </c>
      <c r="E161" s="106">
        <v>0</v>
      </c>
      <c r="F161" s="106">
        <v>0</v>
      </c>
      <c r="G161" s="106">
        <v>0</v>
      </c>
      <c r="H161" s="106">
        <v>0</v>
      </c>
      <c r="I161" s="106">
        <v>0</v>
      </c>
      <c r="J161" s="106">
        <v>0</v>
      </c>
      <c r="K161" s="106">
        <v>0</v>
      </c>
      <c r="L161" s="106">
        <v>0</v>
      </c>
      <c r="M161" s="106">
        <v>0</v>
      </c>
      <c r="N161" s="106">
        <v>0</v>
      </c>
      <c r="O161" s="106">
        <v>0</v>
      </c>
      <c r="P161" s="106">
        <v>0</v>
      </c>
      <c r="Q161" s="106">
        <v>0</v>
      </c>
      <c r="R161" s="106">
        <v>0</v>
      </c>
      <c r="S161" s="106">
        <v>0</v>
      </c>
      <c r="T161" s="106">
        <v>0</v>
      </c>
      <c r="U161" s="106">
        <v>0</v>
      </c>
      <c r="V161" s="106">
        <v>0</v>
      </c>
      <c r="W161" s="106">
        <v>0</v>
      </c>
      <c r="X161" s="106">
        <v>0</v>
      </c>
      <c r="Y161" s="106">
        <v>0</v>
      </c>
      <c r="Z161" s="106">
        <v>0</v>
      </c>
      <c r="AA161" s="106">
        <v>0</v>
      </c>
      <c r="AB161" s="106">
        <v>0</v>
      </c>
      <c r="AC161" s="106">
        <v>0</v>
      </c>
      <c r="AD161" s="106">
        <v>0</v>
      </c>
      <c r="AE161" s="106">
        <v>0</v>
      </c>
      <c r="AF161" s="106">
        <v>0</v>
      </c>
      <c r="AG161" s="106">
        <v>0</v>
      </c>
      <c r="AH161" s="106">
        <v>0</v>
      </c>
      <c r="AI161" s="106">
        <v>0</v>
      </c>
      <c r="AJ161" s="106">
        <v>0</v>
      </c>
      <c r="AK161" s="106">
        <v>0</v>
      </c>
      <c r="AL161" s="106">
        <v>0</v>
      </c>
      <c r="AM161" s="106">
        <v>0</v>
      </c>
      <c r="AN161" s="106">
        <v>0</v>
      </c>
      <c r="AO161" s="106">
        <v>0</v>
      </c>
      <c r="AP161" s="106">
        <v>0</v>
      </c>
      <c r="AQ161" s="106">
        <v>0</v>
      </c>
      <c r="AR161" s="106">
        <v>0</v>
      </c>
      <c r="AS161" s="106">
        <v>0</v>
      </c>
      <c r="AT161" s="106">
        <v>0</v>
      </c>
      <c r="AU161" s="106">
        <v>0</v>
      </c>
      <c r="AV161" s="106">
        <v>0</v>
      </c>
      <c r="AW161" s="106">
        <v>0</v>
      </c>
      <c r="AX161" s="106">
        <v>0</v>
      </c>
      <c r="AY161" s="106">
        <v>0</v>
      </c>
    </row>
    <row r="162" spans="1:52">
      <c r="A162" s="109"/>
      <c r="B162" s="130">
        <v>41</v>
      </c>
      <c r="C162" s="106">
        <v>0</v>
      </c>
      <c r="D162" s="106">
        <v>0</v>
      </c>
      <c r="E162" s="106">
        <v>0</v>
      </c>
      <c r="F162" s="106">
        <v>0</v>
      </c>
      <c r="G162" s="106">
        <v>0</v>
      </c>
      <c r="H162" s="106">
        <v>0</v>
      </c>
      <c r="I162" s="106">
        <v>0</v>
      </c>
      <c r="J162" s="106">
        <v>0</v>
      </c>
      <c r="K162" s="106">
        <v>0</v>
      </c>
      <c r="L162" s="106">
        <v>0</v>
      </c>
      <c r="M162" s="106">
        <v>0</v>
      </c>
      <c r="N162" s="106">
        <v>0</v>
      </c>
      <c r="O162" s="106">
        <v>0</v>
      </c>
      <c r="P162" s="106">
        <v>0</v>
      </c>
      <c r="Q162" s="106">
        <v>0</v>
      </c>
      <c r="R162" s="106">
        <v>0</v>
      </c>
      <c r="S162" s="106">
        <v>0</v>
      </c>
      <c r="T162" s="106">
        <v>0</v>
      </c>
      <c r="U162" s="106">
        <v>0</v>
      </c>
      <c r="V162" s="106">
        <v>0</v>
      </c>
      <c r="W162" s="106">
        <v>0</v>
      </c>
      <c r="X162" s="106">
        <v>0</v>
      </c>
      <c r="Y162" s="106">
        <v>0</v>
      </c>
      <c r="Z162" s="106">
        <v>0</v>
      </c>
      <c r="AA162" s="106">
        <v>0</v>
      </c>
      <c r="AB162" s="106">
        <v>0</v>
      </c>
      <c r="AC162" s="106">
        <v>0</v>
      </c>
      <c r="AD162" s="106">
        <v>0</v>
      </c>
      <c r="AE162" s="106">
        <v>0</v>
      </c>
      <c r="AF162" s="106">
        <v>0</v>
      </c>
      <c r="AG162" s="106">
        <v>0</v>
      </c>
      <c r="AH162" s="106">
        <v>0</v>
      </c>
      <c r="AI162" s="106">
        <v>0</v>
      </c>
      <c r="AJ162" s="106">
        <v>0</v>
      </c>
      <c r="AK162" s="106">
        <v>0</v>
      </c>
      <c r="AL162" s="106">
        <v>0</v>
      </c>
      <c r="AM162" s="106">
        <v>0</v>
      </c>
      <c r="AN162" s="106">
        <v>0</v>
      </c>
      <c r="AO162" s="106">
        <v>0</v>
      </c>
      <c r="AP162" s="106">
        <v>0</v>
      </c>
      <c r="AQ162" s="106">
        <v>0</v>
      </c>
      <c r="AR162" s="106">
        <v>0</v>
      </c>
      <c r="AS162" s="106">
        <v>0</v>
      </c>
      <c r="AT162" s="106">
        <v>0</v>
      </c>
      <c r="AU162" s="106">
        <v>0</v>
      </c>
      <c r="AV162" s="106">
        <v>0</v>
      </c>
      <c r="AW162" s="106">
        <v>0</v>
      </c>
      <c r="AX162" s="106">
        <v>0</v>
      </c>
      <c r="AY162" s="106">
        <v>0</v>
      </c>
    </row>
    <row r="163" spans="1:52">
      <c r="A163" s="109"/>
      <c r="B163" s="130">
        <v>42</v>
      </c>
      <c r="C163" s="106">
        <v>0</v>
      </c>
      <c r="D163" s="106">
        <v>0</v>
      </c>
      <c r="E163" s="106">
        <v>0</v>
      </c>
      <c r="F163" s="106">
        <v>0</v>
      </c>
      <c r="G163" s="106">
        <v>0</v>
      </c>
      <c r="H163" s="106">
        <v>0</v>
      </c>
      <c r="I163" s="106">
        <v>0</v>
      </c>
      <c r="J163" s="106">
        <v>0</v>
      </c>
      <c r="K163" s="106">
        <v>0</v>
      </c>
      <c r="L163" s="106">
        <v>0</v>
      </c>
      <c r="M163" s="106">
        <v>0</v>
      </c>
      <c r="N163" s="106">
        <v>0</v>
      </c>
      <c r="O163" s="106">
        <v>0</v>
      </c>
      <c r="P163" s="106">
        <v>0</v>
      </c>
      <c r="Q163" s="106">
        <v>0</v>
      </c>
      <c r="R163" s="106">
        <v>0</v>
      </c>
      <c r="S163" s="106">
        <v>0</v>
      </c>
      <c r="T163" s="106">
        <v>0</v>
      </c>
      <c r="U163" s="106">
        <v>0</v>
      </c>
      <c r="V163" s="106">
        <v>0</v>
      </c>
      <c r="W163" s="106">
        <v>0</v>
      </c>
      <c r="X163" s="106">
        <v>0</v>
      </c>
      <c r="Y163" s="106">
        <v>0</v>
      </c>
      <c r="Z163" s="106">
        <v>0</v>
      </c>
      <c r="AA163" s="106">
        <v>0</v>
      </c>
      <c r="AB163" s="106">
        <v>0</v>
      </c>
      <c r="AC163" s="106">
        <v>0</v>
      </c>
      <c r="AD163" s="106">
        <v>0</v>
      </c>
      <c r="AE163" s="106">
        <v>0</v>
      </c>
      <c r="AF163" s="106">
        <v>0</v>
      </c>
      <c r="AG163" s="106">
        <v>0</v>
      </c>
      <c r="AH163" s="106">
        <v>0</v>
      </c>
      <c r="AI163" s="106">
        <v>0</v>
      </c>
      <c r="AJ163" s="106">
        <v>0</v>
      </c>
      <c r="AK163" s="106">
        <v>0</v>
      </c>
      <c r="AL163" s="106">
        <v>0</v>
      </c>
      <c r="AM163" s="106">
        <v>0</v>
      </c>
      <c r="AN163" s="106">
        <v>0</v>
      </c>
      <c r="AO163" s="106">
        <v>0</v>
      </c>
      <c r="AP163" s="106">
        <v>0</v>
      </c>
      <c r="AQ163" s="106">
        <v>0</v>
      </c>
      <c r="AR163" s="106">
        <v>0</v>
      </c>
      <c r="AS163" s="106">
        <v>0</v>
      </c>
      <c r="AT163" s="106">
        <v>0</v>
      </c>
      <c r="AU163" s="106">
        <v>0</v>
      </c>
      <c r="AV163" s="106">
        <v>0</v>
      </c>
      <c r="AW163" s="106">
        <v>0</v>
      </c>
      <c r="AX163" s="106">
        <v>0</v>
      </c>
      <c r="AY163" s="106">
        <v>0</v>
      </c>
    </row>
    <row r="164" spans="1:52">
      <c r="A164" s="109"/>
      <c r="B164" s="130">
        <v>43</v>
      </c>
      <c r="C164" s="106">
        <v>0</v>
      </c>
      <c r="D164" s="106">
        <v>0</v>
      </c>
      <c r="E164" s="106">
        <v>0</v>
      </c>
      <c r="F164" s="106">
        <v>0</v>
      </c>
      <c r="G164" s="106">
        <v>0</v>
      </c>
      <c r="H164" s="106">
        <v>0</v>
      </c>
      <c r="I164" s="106">
        <v>0</v>
      </c>
      <c r="J164" s="106">
        <v>0</v>
      </c>
      <c r="K164" s="106">
        <v>0</v>
      </c>
      <c r="L164" s="106">
        <v>0</v>
      </c>
      <c r="M164" s="106">
        <v>0</v>
      </c>
      <c r="N164" s="106">
        <v>0</v>
      </c>
      <c r="O164" s="106">
        <v>0</v>
      </c>
      <c r="P164" s="106">
        <v>0</v>
      </c>
      <c r="Q164" s="106">
        <v>0</v>
      </c>
      <c r="R164" s="106">
        <v>0</v>
      </c>
      <c r="S164" s="106">
        <v>0</v>
      </c>
      <c r="T164" s="106">
        <v>0</v>
      </c>
      <c r="U164" s="106">
        <v>0</v>
      </c>
      <c r="V164" s="106">
        <v>0</v>
      </c>
      <c r="W164" s="106">
        <v>0</v>
      </c>
      <c r="X164" s="106">
        <v>0</v>
      </c>
      <c r="Y164" s="106">
        <v>0</v>
      </c>
      <c r="Z164" s="106">
        <v>0</v>
      </c>
      <c r="AA164" s="106">
        <v>0</v>
      </c>
      <c r="AB164" s="106">
        <v>0</v>
      </c>
      <c r="AC164" s="106">
        <v>0</v>
      </c>
      <c r="AD164" s="106">
        <v>0</v>
      </c>
      <c r="AE164" s="106">
        <v>0</v>
      </c>
      <c r="AF164" s="106">
        <v>0</v>
      </c>
      <c r="AG164" s="106">
        <v>0</v>
      </c>
      <c r="AH164" s="106">
        <v>0</v>
      </c>
      <c r="AI164" s="106">
        <v>0</v>
      </c>
      <c r="AJ164" s="106">
        <v>0</v>
      </c>
      <c r="AK164" s="106">
        <v>0</v>
      </c>
      <c r="AL164" s="106">
        <v>0</v>
      </c>
      <c r="AM164" s="106">
        <v>0</v>
      </c>
      <c r="AN164" s="106">
        <v>0</v>
      </c>
      <c r="AO164" s="106">
        <v>0</v>
      </c>
      <c r="AP164" s="106">
        <v>0</v>
      </c>
      <c r="AQ164" s="106">
        <v>0</v>
      </c>
      <c r="AR164" s="106">
        <v>0</v>
      </c>
      <c r="AS164" s="106">
        <v>0</v>
      </c>
      <c r="AT164" s="106">
        <v>0</v>
      </c>
      <c r="AU164" s="106">
        <v>0</v>
      </c>
      <c r="AV164" s="106">
        <v>0</v>
      </c>
      <c r="AW164" s="106">
        <v>0</v>
      </c>
      <c r="AX164" s="106">
        <v>0</v>
      </c>
      <c r="AY164" s="106">
        <v>0</v>
      </c>
    </row>
    <row r="165" spans="1:52">
      <c r="A165" s="109"/>
      <c r="B165" s="130">
        <v>44</v>
      </c>
      <c r="C165" s="106">
        <v>0</v>
      </c>
      <c r="D165" s="106">
        <v>0</v>
      </c>
      <c r="E165" s="106">
        <v>0</v>
      </c>
      <c r="F165" s="106">
        <v>0</v>
      </c>
      <c r="G165" s="106">
        <v>0</v>
      </c>
      <c r="H165" s="106">
        <v>0</v>
      </c>
      <c r="I165" s="106">
        <v>0</v>
      </c>
      <c r="J165" s="106">
        <v>0</v>
      </c>
      <c r="K165" s="106">
        <v>0</v>
      </c>
      <c r="L165" s="106">
        <v>0</v>
      </c>
      <c r="M165" s="106">
        <v>0</v>
      </c>
      <c r="N165" s="106">
        <v>0</v>
      </c>
      <c r="O165" s="106">
        <v>0</v>
      </c>
      <c r="P165" s="106">
        <v>0</v>
      </c>
      <c r="Q165" s="106">
        <v>0</v>
      </c>
      <c r="R165" s="106">
        <v>0</v>
      </c>
      <c r="S165" s="106">
        <v>0</v>
      </c>
      <c r="T165" s="106">
        <v>0</v>
      </c>
      <c r="U165" s="106">
        <v>0</v>
      </c>
      <c r="V165" s="106">
        <v>0</v>
      </c>
      <c r="W165" s="106">
        <v>0</v>
      </c>
      <c r="X165" s="106">
        <v>0</v>
      </c>
      <c r="Y165" s="106">
        <v>0</v>
      </c>
      <c r="Z165" s="106">
        <v>0</v>
      </c>
      <c r="AA165" s="106">
        <v>0</v>
      </c>
      <c r="AB165" s="106">
        <v>0</v>
      </c>
      <c r="AC165" s="106">
        <v>0</v>
      </c>
      <c r="AD165" s="106">
        <v>0</v>
      </c>
      <c r="AE165" s="106">
        <v>0</v>
      </c>
      <c r="AF165" s="106">
        <v>0</v>
      </c>
      <c r="AG165" s="106">
        <v>0</v>
      </c>
      <c r="AH165" s="106">
        <v>0</v>
      </c>
      <c r="AI165" s="106">
        <v>0</v>
      </c>
      <c r="AJ165" s="106">
        <v>0</v>
      </c>
      <c r="AK165" s="106">
        <v>0</v>
      </c>
      <c r="AL165" s="106">
        <v>0</v>
      </c>
      <c r="AM165" s="106">
        <v>0</v>
      </c>
      <c r="AN165" s="106">
        <v>0</v>
      </c>
      <c r="AO165" s="106">
        <v>0</v>
      </c>
      <c r="AP165" s="106">
        <v>0</v>
      </c>
      <c r="AQ165" s="106">
        <v>0</v>
      </c>
      <c r="AR165" s="106">
        <v>0</v>
      </c>
      <c r="AS165" s="106">
        <v>0</v>
      </c>
      <c r="AT165" s="106">
        <v>0</v>
      </c>
      <c r="AU165" s="106">
        <v>0</v>
      </c>
      <c r="AV165" s="106">
        <v>0</v>
      </c>
      <c r="AW165" s="106">
        <v>0</v>
      </c>
      <c r="AX165" s="106">
        <v>0</v>
      </c>
      <c r="AY165" s="106">
        <v>0</v>
      </c>
    </row>
    <row r="166" spans="1:52">
      <c r="A166" s="109"/>
      <c r="B166" s="130">
        <v>45</v>
      </c>
      <c r="C166" s="106">
        <v>0</v>
      </c>
      <c r="D166" s="106">
        <v>0</v>
      </c>
      <c r="E166" s="106">
        <v>0</v>
      </c>
      <c r="F166" s="106">
        <v>0</v>
      </c>
      <c r="G166" s="106">
        <v>0</v>
      </c>
      <c r="H166" s="106">
        <v>0</v>
      </c>
      <c r="I166" s="106">
        <v>0</v>
      </c>
      <c r="J166" s="106">
        <v>0</v>
      </c>
      <c r="K166" s="106">
        <v>0</v>
      </c>
      <c r="L166" s="106">
        <v>0</v>
      </c>
      <c r="M166" s="106">
        <v>0</v>
      </c>
      <c r="N166" s="106">
        <v>0</v>
      </c>
      <c r="O166" s="106">
        <v>0</v>
      </c>
      <c r="P166" s="106">
        <v>0</v>
      </c>
      <c r="Q166" s="106">
        <v>0</v>
      </c>
      <c r="R166" s="106">
        <v>0</v>
      </c>
      <c r="S166" s="106">
        <v>0</v>
      </c>
      <c r="T166" s="106">
        <v>0</v>
      </c>
      <c r="U166" s="106">
        <v>0</v>
      </c>
      <c r="V166" s="106">
        <v>0</v>
      </c>
      <c r="W166" s="106">
        <v>0</v>
      </c>
      <c r="X166" s="106">
        <v>0</v>
      </c>
      <c r="Y166" s="106">
        <v>0</v>
      </c>
      <c r="Z166" s="106">
        <v>0</v>
      </c>
      <c r="AA166" s="106">
        <v>0</v>
      </c>
      <c r="AB166" s="106">
        <v>0</v>
      </c>
      <c r="AC166" s="106">
        <v>0</v>
      </c>
      <c r="AD166" s="106">
        <v>0</v>
      </c>
      <c r="AE166" s="106">
        <v>0</v>
      </c>
      <c r="AF166" s="106">
        <v>0</v>
      </c>
      <c r="AG166" s="106">
        <v>0</v>
      </c>
      <c r="AH166" s="106">
        <v>0</v>
      </c>
      <c r="AI166" s="106">
        <v>0</v>
      </c>
      <c r="AJ166" s="106">
        <v>0</v>
      </c>
      <c r="AK166" s="106">
        <v>0</v>
      </c>
      <c r="AL166" s="106">
        <v>0</v>
      </c>
      <c r="AM166" s="106">
        <v>0</v>
      </c>
      <c r="AN166" s="106">
        <v>0</v>
      </c>
      <c r="AO166" s="106">
        <v>0</v>
      </c>
      <c r="AP166" s="106">
        <v>0</v>
      </c>
      <c r="AQ166" s="106">
        <v>0</v>
      </c>
      <c r="AR166" s="106">
        <v>0</v>
      </c>
      <c r="AS166" s="106">
        <v>0</v>
      </c>
      <c r="AT166" s="106">
        <v>0</v>
      </c>
      <c r="AU166" s="106">
        <v>0</v>
      </c>
      <c r="AV166" s="106">
        <v>0</v>
      </c>
      <c r="AW166" s="106">
        <v>0</v>
      </c>
      <c r="AX166" s="106">
        <v>0</v>
      </c>
      <c r="AY166" s="106">
        <v>0</v>
      </c>
    </row>
    <row r="167" spans="1:52">
      <c r="A167" s="109"/>
      <c r="B167" s="130">
        <v>46</v>
      </c>
      <c r="C167" s="106">
        <v>0</v>
      </c>
      <c r="D167" s="106">
        <v>0</v>
      </c>
      <c r="E167" s="106">
        <v>0</v>
      </c>
      <c r="F167" s="106">
        <v>0</v>
      </c>
      <c r="G167" s="106">
        <v>0</v>
      </c>
      <c r="H167" s="106">
        <v>0</v>
      </c>
      <c r="I167" s="106">
        <v>0</v>
      </c>
      <c r="J167" s="106">
        <v>0</v>
      </c>
      <c r="K167" s="106">
        <v>0</v>
      </c>
      <c r="L167" s="106">
        <v>0</v>
      </c>
      <c r="M167" s="106">
        <v>0</v>
      </c>
      <c r="N167" s="106">
        <v>0</v>
      </c>
      <c r="O167" s="106">
        <v>0</v>
      </c>
      <c r="P167" s="106">
        <v>0</v>
      </c>
      <c r="Q167" s="106">
        <v>0</v>
      </c>
      <c r="R167" s="106">
        <v>0</v>
      </c>
      <c r="S167" s="106">
        <v>0</v>
      </c>
      <c r="T167" s="106">
        <v>0</v>
      </c>
      <c r="U167" s="106">
        <v>0</v>
      </c>
      <c r="V167" s="106">
        <v>0</v>
      </c>
      <c r="W167" s="106">
        <v>0</v>
      </c>
      <c r="X167" s="106">
        <v>0</v>
      </c>
      <c r="Y167" s="106">
        <v>0</v>
      </c>
      <c r="Z167" s="106">
        <v>0</v>
      </c>
      <c r="AA167" s="106">
        <v>0</v>
      </c>
      <c r="AB167" s="106">
        <v>0</v>
      </c>
      <c r="AC167" s="106">
        <v>0</v>
      </c>
      <c r="AD167" s="106">
        <v>0</v>
      </c>
      <c r="AE167" s="106">
        <v>0</v>
      </c>
      <c r="AF167" s="106">
        <v>0</v>
      </c>
      <c r="AG167" s="106">
        <v>0</v>
      </c>
      <c r="AH167" s="106">
        <v>0</v>
      </c>
      <c r="AI167" s="106">
        <v>0</v>
      </c>
      <c r="AJ167" s="106">
        <v>0</v>
      </c>
      <c r="AK167" s="106">
        <v>0</v>
      </c>
      <c r="AL167" s="106">
        <v>0</v>
      </c>
      <c r="AM167" s="106">
        <v>0</v>
      </c>
      <c r="AN167" s="106">
        <v>0</v>
      </c>
      <c r="AO167" s="106">
        <v>0</v>
      </c>
      <c r="AP167" s="106">
        <v>0</v>
      </c>
      <c r="AQ167" s="106">
        <v>0</v>
      </c>
      <c r="AR167" s="106">
        <v>0</v>
      </c>
      <c r="AS167" s="106">
        <v>0</v>
      </c>
      <c r="AT167" s="106">
        <v>0</v>
      </c>
      <c r="AU167" s="106">
        <v>0</v>
      </c>
      <c r="AV167" s="106">
        <v>0</v>
      </c>
      <c r="AW167" s="106">
        <v>0</v>
      </c>
      <c r="AX167" s="106">
        <v>0</v>
      </c>
      <c r="AY167" s="106">
        <v>0</v>
      </c>
    </row>
    <row r="168" spans="1:52">
      <c r="A168" s="109"/>
      <c r="B168" s="130">
        <v>47</v>
      </c>
      <c r="C168" s="106">
        <v>0</v>
      </c>
      <c r="D168" s="106">
        <v>0</v>
      </c>
      <c r="E168" s="106">
        <v>0</v>
      </c>
      <c r="F168" s="106">
        <v>0</v>
      </c>
      <c r="G168" s="106">
        <v>0</v>
      </c>
      <c r="H168" s="106">
        <v>0</v>
      </c>
      <c r="I168" s="106">
        <v>0</v>
      </c>
      <c r="J168" s="106">
        <v>0</v>
      </c>
      <c r="K168" s="106">
        <v>0</v>
      </c>
      <c r="L168" s="106">
        <v>0</v>
      </c>
      <c r="M168" s="106">
        <v>0</v>
      </c>
      <c r="N168" s="106">
        <v>0</v>
      </c>
      <c r="O168" s="106">
        <v>0</v>
      </c>
      <c r="P168" s="106">
        <v>0</v>
      </c>
      <c r="Q168" s="106">
        <v>0</v>
      </c>
      <c r="R168" s="106">
        <v>0</v>
      </c>
      <c r="S168" s="106">
        <v>0</v>
      </c>
      <c r="T168" s="106">
        <v>0</v>
      </c>
      <c r="U168" s="106">
        <v>0</v>
      </c>
      <c r="V168" s="106">
        <v>0</v>
      </c>
      <c r="W168" s="106">
        <v>0</v>
      </c>
      <c r="X168" s="106">
        <v>0</v>
      </c>
      <c r="Y168" s="106">
        <v>0</v>
      </c>
      <c r="Z168" s="106">
        <v>0</v>
      </c>
      <c r="AA168" s="106">
        <v>0</v>
      </c>
      <c r="AB168" s="106">
        <v>0</v>
      </c>
      <c r="AC168" s="106">
        <v>0</v>
      </c>
      <c r="AD168" s="106">
        <v>0</v>
      </c>
      <c r="AE168" s="106">
        <v>0</v>
      </c>
      <c r="AF168" s="106">
        <v>0</v>
      </c>
      <c r="AG168" s="106">
        <v>0</v>
      </c>
      <c r="AH168" s="106">
        <v>0</v>
      </c>
      <c r="AI168" s="106">
        <v>0</v>
      </c>
      <c r="AJ168" s="106">
        <v>0</v>
      </c>
      <c r="AK168" s="106">
        <v>0</v>
      </c>
      <c r="AL168" s="106">
        <v>0</v>
      </c>
      <c r="AM168" s="106">
        <v>0</v>
      </c>
      <c r="AN168" s="106">
        <v>0</v>
      </c>
      <c r="AO168" s="106">
        <v>0</v>
      </c>
      <c r="AP168" s="106">
        <v>0</v>
      </c>
      <c r="AQ168" s="106">
        <v>0</v>
      </c>
      <c r="AR168" s="106">
        <v>0</v>
      </c>
      <c r="AS168" s="106">
        <v>0</v>
      </c>
      <c r="AT168" s="106">
        <v>0</v>
      </c>
      <c r="AU168" s="106">
        <v>0</v>
      </c>
      <c r="AV168" s="106">
        <v>0</v>
      </c>
      <c r="AW168" s="106">
        <v>0</v>
      </c>
      <c r="AX168" s="106">
        <v>0</v>
      </c>
      <c r="AY168" s="106">
        <v>0</v>
      </c>
    </row>
    <row r="169" spans="1:52">
      <c r="A169" s="109"/>
      <c r="B169" s="130">
        <v>48</v>
      </c>
      <c r="C169" s="106">
        <v>0</v>
      </c>
      <c r="D169" s="106">
        <v>0</v>
      </c>
      <c r="E169" s="106">
        <v>0</v>
      </c>
      <c r="F169" s="106">
        <v>0</v>
      </c>
      <c r="G169" s="106">
        <v>0</v>
      </c>
      <c r="H169" s="106">
        <v>0</v>
      </c>
      <c r="I169" s="106">
        <v>0</v>
      </c>
      <c r="J169" s="106">
        <v>0</v>
      </c>
      <c r="K169" s="106">
        <v>0</v>
      </c>
      <c r="L169" s="106">
        <v>0</v>
      </c>
      <c r="M169" s="106">
        <v>0</v>
      </c>
      <c r="N169" s="106">
        <v>0</v>
      </c>
      <c r="O169" s="106">
        <v>0</v>
      </c>
      <c r="P169" s="106">
        <v>0</v>
      </c>
      <c r="Q169" s="106">
        <v>0</v>
      </c>
      <c r="R169" s="106">
        <v>0</v>
      </c>
      <c r="S169" s="106">
        <v>0</v>
      </c>
      <c r="T169" s="106">
        <v>0</v>
      </c>
      <c r="U169" s="106">
        <v>0</v>
      </c>
      <c r="V169" s="106">
        <v>0</v>
      </c>
      <c r="W169" s="106">
        <v>0</v>
      </c>
      <c r="X169" s="106">
        <v>0</v>
      </c>
      <c r="Y169" s="106">
        <v>0</v>
      </c>
      <c r="Z169" s="106">
        <v>0</v>
      </c>
      <c r="AA169" s="106">
        <v>0</v>
      </c>
      <c r="AB169" s="106">
        <v>0</v>
      </c>
      <c r="AC169" s="106">
        <v>0</v>
      </c>
      <c r="AD169" s="106">
        <v>0</v>
      </c>
      <c r="AE169" s="106">
        <v>0</v>
      </c>
      <c r="AF169" s="106">
        <v>0</v>
      </c>
      <c r="AG169" s="106">
        <v>0</v>
      </c>
      <c r="AH169" s="106">
        <v>0</v>
      </c>
      <c r="AI169" s="106">
        <v>0</v>
      </c>
      <c r="AJ169" s="106">
        <v>0</v>
      </c>
      <c r="AK169" s="106">
        <v>0</v>
      </c>
      <c r="AL169" s="106">
        <v>0</v>
      </c>
      <c r="AM169" s="106">
        <v>0</v>
      </c>
      <c r="AN169" s="106">
        <v>0</v>
      </c>
      <c r="AO169" s="106">
        <v>0</v>
      </c>
      <c r="AP169" s="106">
        <v>0</v>
      </c>
      <c r="AQ169" s="106">
        <v>0</v>
      </c>
      <c r="AR169" s="106">
        <v>0</v>
      </c>
      <c r="AS169" s="106">
        <v>0</v>
      </c>
      <c r="AT169" s="106">
        <v>0</v>
      </c>
      <c r="AU169" s="106">
        <v>0</v>
      </c>
      <c r="AV169" s="106">
        <v>0</v>
      </c>
      <c r="AW169" s="106">
        <v>0</v>
      </c>
      <c r="AX169" s="106">
        <v>0</v>
      </c>
      <c r="AY169" s="106">
        <v>0</v>
      </c>
    </row>
    <row r="170" spans="1:52">
      <c r="A170" s="128"/>
      <c r="B170" s="132" t="s">
        <v>296</v>
      </c>
      <c r="C170" s="114">
        <v>0</v>
      </c>
      <c r="D170" s="125">
        <v>0</v>
      </c>
      <c r="E170" s="125">
        <v>0</v>
      </c>
      <c r="F170" s="125">
        <v>0</v>
      </c>
      <c r="G170" s="125">
        <v>0</v>
      </c>
      <c r="H170" s="125">
        <v>0</v>
      </c>
      <c r="I170" s="125">
        <v>0</v>
      </c>
      <c r="J170" s="125">
        <v>0</v>
      </c>
      <c r="K170" s="125">
        <v>0</v>
      </c>
      <c r="L170" s="125">
        <v>0</v>
      </c>
      <c r="M170" s="125">
        <v>0</v>
      </c>
      <c r="N170" s="125">
        <v>0</v>
      </c>
      <c r="O170" s="125">
        <v>0</v>
      </c>
      <c r="P170" s="125">
        <v>0</v>
      </c>
      <c r="Q170" s="125">
        <v>0</v>
      </c>
      <c r="R170" s="125">
        <v>0</v>
      </c>
      <c r="S170" s="125">
        <v>0</v>
      </c>
      <c r="T170" s="125">
        <v>0</v>
      </c>
      <c r="U170" s="125">
        <v>0</v>
      </c>
      <c r="V170" s="125">
        <v>0</v>
      </c>
      <c r="W170" s="125">
        <v>0</v>
      </c>
      <c r="X170" s="125">
        <v>0</v>
      </c>
      <c r="Y170" s="125">
        <v>0</v>
      </c>
      <c r="Z170" s="125">
        <v>0</v>
      </c>
      <c r="AA170" s="125">
        <v>0</v>
      </c>
      <c r="AB170" s="125">
        <v>0</v>
      </c>
      <c r="AC170" s="125">
        <v>0</v>
      </c>
      <c r="AD170" s="125">
        <v>0</v>
      </c>
      <c r="AE170" s="125">
        <v>0</v>
      </c>
      <c r="AF170" s="125">
        <v>0</v>
      </c>
      <c r="AG170" s="125">
        <v>0</v>
      </c>
      <c r="AH170" s="125">
        <v>0</v>
      </c>
      <c r="AI170" s="125">
        <v>0</v>
      </c>
      <c r="AJ170" s="125">
        <v>0</v>
      </c>
      <c r="AK170" s="125">
        <v>0</v>
      </c>
      <c r="AL170" s="125">
        <v>0</v>
      </c>
      <c r="AM170" s="125">
        <v>0</v>
      </c>
      <c r="AN170" s="125">
        <v>0</v>
      </c>
      <c r="AO170" s="125">
        <v>0</v>
      </c>
      <c r="AP170" s="125">
        <v>0</v>
      </c>
      <c r="AQ170" s="125">
        <v>0</v>
      </c>
      <c r="AR170" s="125">
        <v>0</v>
      </c>
      <c r="AS170" s="125">
        <v>0</v>
      </c>
      <c r="AT170" s="125">
        <v>0</v>
      </c>
      <c r="AU170" s="125">
        <v>0</v>
      </c>
      <c r="AV170" s="125">
        <v>0</v>
      </c>
      <c r="AW170" s="125">
        <v>0</v>
      </c>
      <c r="AX170" s="125">
        <v>0</v>
      </c>
      <c r="AY170" s="125">
        <v>0</v>
      </c>
      <c r="AZ170" s="107">
        <f>SUM($D170:$AY170)</f>
        <v>0</v>
      </c>
    </row>
    <row r="172" spans="1:52">
      <c r="A172" s="102" t="s">
        <v>124</v>
      </c>
      <c r="B172" s="133" t="s">
        <v>297</v>
      </c>
      <c r="C172" s="134">
        <v>0.44782312709991723</v>
      </c>
      <c r="D172" s="134">
        <v>0.44782961610582783</v>
      </c>
      <c r="E172" s="134">
        <v>0.44782961610582783</v>
      </c>
      <c r="F172" s="134">
        <v>0.44782961610582783</v>
      </c>
      <c r="G172" s="134">
        <v>0.44782961610582783</v>
      </c>
      <c r="H172" s="134">
        <v>0.44782961610582783</v>
      </c>
      <c r="I172" s="134">
        <v>0.44782961610582783</v>
      </c>
      <c r="J172" s="134">
        <v>0.44782961610582783</v>
      </c>
      <c r="K172" s="134">
        <v>0.44782961610582783</v>
      </c>
      <c r="L172" s="134">
        <v>0.44782961610582783</v>
      </c>
      <c r="M172" s="134">
        <v>0.44782961610582783</v>
      </c>
      <c r="N172" s="134">
        <v>0.44782961610582783</v>
      </c>
      <c r="O172" s="134">
        <v>0.44782961610582783</v>
      </c>
      <c r="P172" s="134">
        <v>0.44782961610582783</v>
      </c>
      <c r="Q172" s="134">
        <v>0.44782961610582783</v>
      </c>
      <c r="R172" s="134">
        <v>0.44782961610582783</v>
      </c>
      <c r="S172" s="134">
        <v>0.44782961610582783</v>
      </c>
      <c r="T172" s="134">
        <v>0.44782961610582783</v>
      </c>
      <c r="U172" s="134">
        <v>0.44782961610582783</v>
      </c>
      <c r="V172" s="134">
        <v>0.44782961610582783</v>
      </c>
      <c r="W172" s="134">
        <v>0.44782961610582783</v>
      </c>
      <c r="X172" s="134">
        <v>0.44782961610582783</v>
      </c>
      <c r="Y172" s="134">
        <v>0.44782961610582783</v>
      </c>
      <c r="Z172" s="134">
        <v>0.44782961610582783</v>
      </c>
      <c r="AA172" s="134">
        <v>0.44782961610582783</v>
      </c>
      <c r="AB172" s="134">
        <v>0.44782961610582783</v>
      </c>
      <c r="AC172" s="134">
        <v>0.44782961610582783</v>
      </c>
      <c r="AD172" s="134">
        <v>0.44782961610582783</v>
      </c>
      <c r="AE172" s="134">
        <v>0.44782961610582783</v>
      </c>
      <c r="AF172" s="134">
        <v>0.44782961610582783</v>
      </c>
      <c r="AG172" s="134">
        <v>0.44782961610582783</v>
      </c>
      <c r="AH172" s="134">
        <v>0.44782961610582783</v>
      </c>
      <c r="AI172" s="134">
        <v>0.44782961610582783</v>
      </c>
      <c r="AJ172" s="134">
        <v>0.44782961610582783</v>
      </c>
      <c r="AK172" s="134">
        <v>0.44782961610582783</v>
      </c>
      <c r="AL172" s="134">
        <v>0.44782961610582783</v>
      </c>
      <c r="AM172" s="134">
        <v>0.44782961610582783</v>
      </c>
      <c r="AN172" s="134">
        <v>0.44782961610582783</v>
      </c>
      <c r="AO172" s="134">
        <v>0.44782961610582783</v>
      </c>
      <c r="AP172" s="134">
        <v>0.44782961610582783</v>
      </c>
      <c r="AQ172" s="134">
        <v>0.44782961610582783</v>
      </c>
      <c r="AR172" s="134">
        <v>0.44782961610582783</v>
      </c>
      <c r="AS172" s="134">
        <v>0.44782961610582783</v>
      </c>
      <c r="AT172" s="134">
        <v>0.44782961610582783</v>
      </c>
      <c r="AU172" s="134">
        <v>0.44782961610582783</v>
      </c>
      <c r="AV172" s="134">
        <v>0.44782961610582783</v>
      </c>
      <c r="AW172" s="134">
        <v>0.44782961610582783</v>
      </c>
      <c r="AX172" s="134">
        <v>0.44782961610582783</v>
      </c>
      <c r="AY172" s="134">
        <v>0.44782961610582783</v>
      </c>
    </row>
    <row r="174" spans="1:52">
      <c r="A174" s="102" t="s">
        <v>272</v>
      </c>
    </row>
    <row r="175" spans="1:52">
      <c r="A175" s="135" t="s">
        <v>125</v>
      </c>
      <c r="B175" s="135" t="s">
        <v>298</v>
      </c>
      <c r="C175" s="124" t="s">
        <v>293</v>
      </c>
      <c r="D175" s="124">
        <f t="shared" ref="D175:AY175" si="1">SUM(D95:D98)</f>
        <v>1189.7017323532582</v>
      </c>
      <c r="E175" s="124">
        <f t="shared" si="1"/>
        <v>1189.7954964868195</v>
      </c>
      <c r="F175" s="124">
        <f t="shared" si="1"/>
        <v>1038.4563304518506</v>
      </c>
      <c r="G175" s="124">
        <f t="shared" si="1"/>
        <v>1054.0937641335613</v>
      </c>
      <c r="H175" s="124">
        <f t="shared" si="1"/>
        <v>1054.0937641335613</v>
      </c>
      <c r="I175" s="124">
        <f t="shared" si="1"/>
        <v>1116.1875282671226</v>
      </c>
      <c r="J175" s="124">
        <f t="shared" si="1"/>
        <v>1179.2812924006839</v>
      </c>
      <c r="K175" s="124">
        <f t="shared" si="1"/>
        <v>1247.3750565342452</v>
      </c>
      <c r="L175" s="124">
        <f t="shared" si="1"/>
        <v>1284.4688206678065</v>
      </c>
      <c r="M175" s="124">
        <f t="shared" si="1"/>
        <v>1293.5625848013678</v>
      </c>
      <c r="N175" s="124">
        <f t="shared" si="1"/>
        <v>1115.6563489349292</v>
      </c>
      <c r="O175" s="124">
        <f t="shared" si="1"/>
        <v>1391.7501130684905</v>
      </c>
      <c r="P175" s="124">
        <f t="shared" si="1"/>
        <v>1534.8438772020518</v>
      </c>
      <c r="Q175" s="124">
        <f t="shared" si="1"/>
        <v>1586.9376413356131</v>
      </c>
      <c r="R175" s="124">
        <f t="shared" si="1"/>
        <v>1471.0314054691744</v>
      </c>
      <c r="S175" s="124">
        <f t="shared" si="1"/>
        <v>1042.4664546293552</v>
      </c>
      <c r="T175" s="124">
        <f t="shared" si="1"/>
        <v>1093.5602187629165</v>
      </c>
      <c r="U175" s="124">
        <f t="shared" si="1"/>
        <v>1094.6539828964778</v>
      </c>
      <c r="V175" s="124">
        <f t="shared" si="1"/>
        <v>1075.7477470300391</v>
      </c>
      <c r="W175" s="124">
        <f t="shared" si="1"/>
        <v>1054.0937641335613</v>
      </c>
      <c r="X175" s="124">
        <f t="shared" si="1"/>
        <v>1054.0937641335613</v>
      </c>
      <c r="Y175" s="124">
        <f t="shared" si="1"/>
        <v>1058.1875282671226</v>
      </c>
      <c r="Z175" s="124">
        <f t="shared" si="1"/>
        <v>1054.0937641335613</v>
      </c>
      <c r="AA175" s="124">
        <f t="shared" si="1"/>
        <v>1065.1875282671226</v>
      </c>
      <c r="AB175" s="124">
        <f t="shared" si="1"/>
        <v>1089.2812924006839</v>
      </c>
      <c r="AC175" s="124">
        <f t="shared" si="1"/>
        <v>1121.3750565342452</v>
      </c>
      <c r="AD175" s="124">
        <f t="shared" si="1"/>
        <v>1252.4688206678065</v>
      </c>
      <c r="AE175" s="124">
        <f t="shared" si="1"/>
        <v>1237.5625848013678</v>
      </c>
      <c r="AF175" s="124">
        <f t="shared" si="1"/>
        <v>1333.4690288115287</v>
      </c>
      <c r="AG175" s="124">
        <f t="shared" si="1"/>
        <v>1600.3754728216895</v>
      </c>
      <c r="AH175" s="124">
        <f t="shared" si="1"/>
        <v>1559.2819168318504</v>
      </c>
      <c r="AI175" s="124">
        <f t="shared" si="1"/>
        <v>1771.1883608420112</v>
      </c>
      <c r="AJ175" s="124">
        <f t="shared" si="1"/>
        <v>1207.9842216961133</v>
      </c>
      <c r="AK175" s="124">
        <f t="shared" si="1"/>
        <v>1167.0779858296746</v>
      </c>
      <c r="AL175" s="124">
        <f t="shared" si="1"/>
        <v>1054.0937641335613</v>
      </c>
      <c r="AM175" s="124">
        <f t="shared" si="1"/>
        <v>1054.0937641335613</v>
      </c>
      <c r="AN175" s="124">
        <f t="shared" si="1"/>
        <v>1054.0937641335613</v>
      </c>
      <c r="AO175" s="124">
        <f t="shared" si="1"/>
        <v>1054.0937641335613</v>
      </c>
      <c r="AP175" s="124">
        <f t="shared" si="1"/>
        <v>1184.1875282671226</v>
      </c>
      <c r="AQ175" s="124">
        <f t="shared" si="1"/>
        <v>1259.2812924006839</v>
      </c>
      <c r="AR175" s="124">
        <f t="shared" si="1"/>
        <v>1278.3750565342452</v>
      </c>
      <c r="AS175" s="124">
        <f t="shared" si="1"/>
        <v>1164.4688206678065</v>
      </c>
      <c r="AT175" s="124">
        <f t="shared" si="1"/>
        <v>1151.5625848013678</v>
      </c>
      <c r="AU175" s="124">
        <f t="shared" si="1"/>
        <v>1215.6563489349292</v>
      </c>
      <c r="AV175" s="124">
        <f t="shared" si="1"/>
        <v>931.14336908077803</v>
      </c>
      <c r="AW175" s="124">
        <f t="shared" si="1"/>
        <v>1054.0937641335613</v>
      </c>
      <c r="AX175" s="124">
        <f t="shared" si="1"/>
        <v>1054.0937641335613</v>
      </c>
      <c r="AY175" s="124">
        <f t="shared" si="1"/>
        <v>1054.0937641335613</v>
      </c>
    </row>
    <row r="176" spans="1:52">
      <c r="A176" s="125"/>
      <c r="B176" s="136" t="s">
        <v>299</v>
      </c>
      <c r="C176" s="125" t="s">
        <v>293</v>
      </c>
      <c r="D176" s="125">
        <v>1054</v>
      </c>
      <c r="E176" s="125">
        <v>1004</v>
      </c>
      <c r="F176" s="125">
        <v>1038.4563304518506</v>
      </c>
      <c r="G176" s="125">
        <v>1054.0937641335613</v>
      </c>
      <c r="H176" s="125">
        <v>992</v>
      </c>
      <c r="I176" s="125">
        <v>991</v>
      </c>
      <c r="J176" s="125">
        <v>986</v>
      </c>
      <c r="K176" s="125">
        <v>1017</v>
      </c>
      <c r="L176" s="125">
        <v>1045</v>
      </c>
      <c r="M176" s="125">
        <v>1232</v>
      </c>
      <c r="N176" s="125">
        <v>778</v>
      </c>
      <c r="O176" s="125">
        <v>911</v>
      </c>
      <c r="P176" s="125">
        <v>1002</v>
      </c>
      <c r="Q176" s="125">
        <v>1170</v>
      </c>
      <c r="R176" s="125">
        <v>1007</v>
      </c>
      <c r="S176" s="125">
        <v>1003</v>
      </c>
      <c r="T176" s="125">
        <v>1053</v>
      </c>
      <c r="U176" s="125">
        <v>1073</v>
      </c>
      <c r="V176" s="125">
        <v>1075.7477470300391</v>
      </c>
      <c r="W176" s="125">
        <v>1054.0937641335613</v>
      </c>
      <c r="X176" s="125">
        <v>1050</v>
      </c>
      <c r="Y176" s="125">
        <v>1058.1875282671226</v>
      </c>
      <c r="Z176" s="125">
        <v>1043</v>
      </c>
      <c r="AA176" s="125">
        <v>1030</v>
      </c>
      <c r="AB176" s="125">
        <v>1022</v>
      </c>
      <c r="AC176" s="125">
        <v>923</v>
      </c>
      <c r="AD176" s="125">
        <v>1069</v>
      </c>
      <c r="AE176" s="125">
        <v>1169</v>
      </c>
      <c r="AF176" s="125">
        <v>998</v>
      </c>
      <c r="AG176" s="125">
        <v>1306</v>
      </c>
      <c r="AH176" s="125">
        <v>1053</v>
      </c>
      <c r="AI176" s="125">
        <v>1251</v>
      </c>
      <c r="AJ176" s="125">
        <v>1095</v>
      </c>
      <c r="AK176" s="125">
        <v>1167.0779858296746</v>
      </c>
      <c r="AL176" s="125">
        <v>1054.0937641335613</v>
      </c>
      <c r="AM176" s="125">
        <v>1054.0937641335613</v>
      </c>
      <c r="AN176" s="125">
        <v>1054.0937641335613</v>
      </c>
      <c r="AO176" s="125">
        <v>924</v>
      </c>
      <c r="AP176" s="125">
        <v>979</v>
      </c>
      <c r="AQ176" s="125">
        <v>1035</v>
      </c>
      <c r="AR176" s="125">
        <v>1168</v>
      </c>
      <c r="AS176" s="125">
        <v>1067</v>
      </c>
      <c r="AT176" s="125">
        <v>990</v>
      </c>
      <c r="AU176" s="125">
        <v>1215.6563489349292</v>
      </c>
      <c r="AV176" s="125">
        <v>931.14336908077803</v>
      </c>
      <c r="AW176" s="125">
        <v>1054.0937641335613</v>
      </c>
      <c r="AX176" s="125">
        <v>1054.0937641335613</v>
      </c>
      <c r="AY176" s="125">
        <v>1054.0937641335613</v>
      </c>
    </row>
    <row r="177" spans="1:51">
      <c r="A177" s="135" t="s">
        <v>133</v>
      </c>
      <c r="B177" s="135" t="s">
        <v>298</v>
      </c>
      <c r="C177" s="124" t="s">
        <v>293</v>
      </c>
      <c r="D177" s="124">
        <f t="shared" ref="D177:AY177" si="2">SUM(D100:D107)</f>
        <v>607.34936250024873</v>
      </c>
      <c r="E177" s="124">
        <f t="shared" si="2"/>
        <v>215.03698719172655</v>
      </c>
      <c r="F177" s="124">
        <f t="shared" si="2"/>
        <v>1629.4514129502222</v>
      </c>
      <c r="G177" s="124">
        <f t="shared" si="2"/>
        <v>1161.1390376417003</v>
      </c>
      <c r="H177" s="124">
        <f t="shared" si="2"/>
        <v>794.59799508699166</v>
      </c>
      <c r="I177" s="124">
        <f t="shared" si="2"/>
        <v>1309.8911593605308</v>
      </c>
      <c r="J177" s="124">
        <f t="shared" si="2"/>
        <v>1098.0377414973004</v>
      </c>
      <c r="K177" s="124">
        <f t="shared" si="2"/>
        <v>1044.1843236340699</v>
      </c>
      <c r="L177" s="124">
        <f t="shared" si="2"/>
        <v>381.18432363406987</v>
      </c>
      <c r="M177" s="124">
        <f t="shared" si="2"/>
        <v>606.14658213676955</v>
      </c>
      <c r="N177" s="124">
        <f t="shared" si="2"/>
        <v>1212.2931642735391</v>
      </c>
      <c r="O177" s="124">
        <f t="shared" si="2"/>
        <v>1175.4397464103085</v>
      </c>
      <c r="P177" s="124">
        <f t="shared" si="2"/>
        <v>694.12737110178671</v>
      </c>
      <c r="Q177" s="124">
        <f t="shared" si="2"/>
        <v>496.58632854707821</v>
      </c>
      <c r="R177" s="124">
        <f t="shared" si="2"/>
        <v>190.68762469147808</v>
      </c>
      <c r="S177" s="124">
        <f t="shared" si="2"/>
        <v>1627.7521217188305</v>
      </c>
      <c r="T177" s="124">
        <f t="shared" si="2"/>
        <v>1484.8987038556002</v>
      </c>
      <c r="U177" s="124">
        <f t="shared" si="2"/>
        <v>729.89870385560016</v>
      </c>
      <c r="V177" s="124">
        <f t="shared" si="2"/>
        <v>838.73291068384776</v>
      </c>
      <c r="W177" s="124">
        <f t="shared" si="2"/>
        <v>1210.3384502659087</v>
      </c>
      <c r="X177" s="124">
        <f t="shared" si="2"/>
        <v>1106.4850324026784</v>
      </c>
      <c r="Y177" s="124">
        <f t="shared" si="2"/>
        <v>941.63161453944792</v>
      </c>
      <c r="Z177" s="124">
        <f t="shared" si="2"/>
        <v>895.77819667621748</v>
      </c>
      <c r="AA177" s="124">
        <f t="shared" si="2"/>
        <v>903.92477881298703</v>
      </c>
      <c r="AB177" s="124">
        <f t="shared" si="2"/>
        <v>739.07136094975658</v>
      </c>
      <c r="AC177" s="124">
        <f t="shared" si="2"/>
        <v>0</v>
      </c>
      <c r="AD177" s="124">
        <f t="shared" si="2"/>
        <v>1212.2931642735391</v>
      </c>
      <c r="AE177" s="124">
        <f t="shared" si="2"/>
        <v>1303.4397464103085</v>
      </c>
      <c r="AF177" s="124">
        <f t="shared" si="2"/>
        <v>531.43974641030866</v>
      </c>
      <c r="AG177" s="124">
        <f t="shared" si="2"/>
        <v>1212.2931642735391</v>
      </c>
      <c r="AH177" s="124">
        <f t="shared" si="2"/>
        <v>540.29316427353911</v>
      </c>
      <c r="AI177" s="124">
        <f t="shared" si="2"/>
        <v>918.06003106346509</v>
      </c>
      <c r="AJ177" s="124">
        <f t="shared" si="2"/>
        <v>1495.1172191159612</v>
      </c>
      <c r="AK177" s="124">
        <f t="shared" si="2"/>
        <v>922.80484380743917</v>
      </c>
      <c r="AL177" s="124">
        <f t="shared" si="2"/>
        <v>703.48962548794816</v>
      </c>
      <c r="AM177" s="124">
        <f t="shared" si="2"/>
        <v>235.17725017942601</v>
      </c>
      <c r="AN177" s="124">
        <f t="shared" si="2"/>
        <v>1021.6055395820613</v>
      </c>
      <c r="AO177" s="124">
        <f t="shared" si="2"/>
        <v>966.75212171883084</v>
      </c>
      <c r="AP177" s="124">
        <f t="shared" si="2"/>
        <v>1545.0452859923698</v>
      </c>
      <c r="AQ177" s="124">
        <f t="shared" si="2"/>
        <v>1389.1918681291395</v>
      </c>
      <c r="AR177" s="124">
        <f t="shared" si="2"/>
        <v>733.19186812913949</v>
      </c>
      <c r="AS177" s="124">
        <f t="shared" si="2"/>
        <v>902.0260749573871</v>
      </c>
      <c r="AT177" s="124">
        <f t="shared" si="2"/>
        <v>58.026074957387124</v>
      </c>
      <c r="AU177" s="124">
        <f t="shared" si="2"/>
        <v>1021.6055395820611</v>
      </c>
      <c r="AV177" s="124">
        <f t="shared" si="2"/>
        <v>1574.8987038556002</v>
      </c>
      <c r="AW177" s="124">
        <f t="shared" si="2"/>
        <v>1290.0452859923698</v>
      </c>
      <c r="AX177" s="124">
        <f t="shared" si="2"/>
        <v>621.04528599236971</v>
      </c>
      <c r="AY177" s="124">
        <f t="shared" si="2"/>
        <v>1212.2931642735391</v>
      </c>
    </row>
    <row r="178" spans="1:51">
      <c r="A178" s="125"/>
      <c r="B178" s="136" t="s">
        <v>299</v>
      </c>
      <c r="C178" s="125" t="s">
        <v>293</v>
      </c>
      <c r="D178" s="125">
        <v>583</v>
      </c>
      <c r="E178" s="125">
        <v>215.03698719172655</v>
      </c>
      <c r="F178" s="125">
        <v>659</v>
      </c>
      <c r="G178" s="125">
        <v>782</v>
      </c>
      <c r="H178" s="125">
        <v>697</v>
      </c>
      <c r="I178" s="125">
        <v>818</v>
      </c>
      <c r="J178" s="125">
        <v>660</v>
      </c>
      <c r="K178" s="125">
        <v>663</v>
      </c>
      <c r="L178" s="125">
        <v>381.18432363406987</v>
      </c>
      <c r="M178" s="125">
        <v>606.14658213676955</v>
      </c>
      <c r="N178" s="125">
        <v>643</v>
      </c>
      <c r="O178" s="125">
        <v>672</v>
      </c>
      <c r="P178" s="125">
        <v>613</v>
      </c>
      <c r="Q178" s="125">
        <v>496.58632854707821</v>
      </c>
      <c r="R178" s="125">
        <v>190.68762469147808</v>
      </c>
      <c r="S178" s="125">
        <v>749</v>
      </c>
      <c r="T178" s="125">
        <v>755</v>
      </c>
      <c r="U178" s="125">
        <v>688</v>
      </c>
      <c r="V178" s="125">
        <v>650</v>
      </c>
      <c r="W178" s="125">
        <v>710</v>
      </c>
      <c r="X178" s="125">
        <v>771</v>
      </c>
      <c r="Y178" s="125">
        <v>652</v>
      </c>
      <c r="Z178" s="125">
        <v>598</v>
      </c>
      <c r="AA178" s="125">
        <v>771</v>
      </c>
      <c r="AB178" s="125">
        <v>739.07136094975658</v>
      </c>
      <c r="AC178" s="125">
        <v>0</v>
      </c>
      <c r="AD178" s="125">
        <v>515</v>
      </c>
      <c r="AE178" s="125">
        <v>772</v>
      </c>
      <c r="AF178" s="125">
        <v>531.43974641030866</v>
      </c>
      <c r="AG178" s="125">
        <v>672</v>
      </c>
      <c r="AH178" s="125">
        <v>540.29316427353911</v>
      </c>
      <c r="AI178" s="125">
        <v>687</v>
      </c>
      <c r="AJ178" s="125">
        <v>763</v>
      </c>
      <c r="AK178" s="125">
        <v>756</v>
      </c>
      <c r="AL178" s="125">
        <v>659</v>
      </c>
      <c r="AM178" s="125">
        <v>235.17725017942601</v>
      </c>
      <c r="AN178" s="125">
        <v>661</v>
      </c>
      <c r="AO178" s="125">
        <v>634</v>
      </c>
      <c r="AP178" s="125">
        <v>762</v>
      </c>
      <c r="AQ178" s="125">
        <v>656</v>
      </c>
      <c r="AR178" s="125">
        <v>628</v>
      </c>
      <c r="AS178" s="125">
        <v>844</v>
      </c>
      <c r="AT178" s="125">
        <v>58.026074957387124</v>
      </c>
      <c r="AU178" s="125">
        <v>659</v>
      </c>
      <c r="AV178" s="125">
        <v>891</v>
      </c>
      <c r="AW178" s="125">
        <v>669</v>
      </c>
      <c r="AX178" s="125">
        <v>621.04528599236971</v>
      </c>
      <c r="AY178" s="125">
        <v>681</v>
      </c>
    </row>
    <row r="179" spans="1:51">
      <c r="A179" s="135" t="s">
        <v>134</v>
      </c>
      <c r="B179" s="135" t="s">
        <v>298</v>
      </c>
      <c r="C179" s="124" t="s">
        <v>293</v>
      </c>
      <c r="D179" s="124">
        <f t="shared" ref="D179:AY179" si="3">SUM(D109:D120)</f>
        <v>253.67495878295958</v>
      </c>
      <c r="E179" s="124">
        <f t="shared" si="3"/>
        <v>369.79076894938061</v>
      </c>
      <c r="F179" s="124">
        <f t="shared" si="3"/>
        <v>116.16034851881356</v>
      </c>
      <c r="G179" s="124">
        <f t="shared" si="3"/>
        <v>992.35993571172412</v>
      </c>
      <c r="H179" s="124">
        <f t="shared" si="3"/>
        <v>930.75341285148249</v>
      </c>
      <c r="I179" s="124">
        <f t="shared" si="3"/>
        <v>726.23854852989484</v>
      </c>
      <c r="J179" s="124">
        <f t="shared" si="3"/>
        <v>984.55130271852249</v>
      </c>
      <c r="K179" s="124">
        <f t="shared" si="3"/>
        <v>1081.5224255894673</v>
      </c>
      <c r="L179" s="124">
        <f t="shared" si="3"/>
        <v>1035.8708329857423</v>
      </c>
      <c r="M179" s="124">
        <f t="shared" si="3"/>
        <v>518.61372446287442</v>
      </c>
      <c r="N179" s="124">
        <f t="shared" si="3"/>
        <v>430.6074414266227</v>
      </c>
      <c r="O179" s="124">
        <f t="shared" si="3"/>
        <v>738.92019561525024</v>
      </c>
      <c r="P179" s="124">
        <f t="shared" si="3"/>
        <v>697.90884389821645</v>
      </c>
      <c r="Q179" s="124">
        <f t="shared" si="3"/>
        <v>397.33306471794754</v>
      </c>
      <c r="R179" s="124">
        <f t="shared" si="3"/>
        <v>253.04490912486193</v>
      </c>
      <c r="S179" s="124">
        <f t="shared" si="3"/>
        <v>116.16034851881345</v>
      </c>
      <c r="T179" s="124">
        <f t="shared" si="3"/>
        <v>991.3250762805817</v>
      </c>
      <c r="U179" s="124">
        <f t="shared" si="3"/>
        <v>1089.6909998035587</v>
      </c>
      <c r="V179" s="124">
        <f t="shared" si="3"/>
        <v>632.74713803104839</v>
      </c>
      <c r="W179" s="124">
        <f t="shared" si="3"/>
        <v>675.04757012772166</v>
      </c>
      <c r="X179" s="124">
        <f t="shared" si="3"/>
        <v>939.8209256442301</v>
      </c>
      <c r="Y179" s="124">
        <f t="shared" si="3"/>
        <v>1018.1644725322727</v>
      </c>
      <c r="Z179" s="124">
        <f t="shared" si="3"/>
        <v>1017.6446472182042</v>
      </c>
      <c r="AA179" s="124">
        <f t="shared" si="3"/>
        <v>895.8173178289718</v>
      </c>
      <c r="AB179" s="124">
        <f t="shared" si="3"/>
        <v>834.98998843973959</v>
      </c>
      <c r="AC179" s="124">
        <f t="shared" si="3"/>
        <v>657.26583515815628</v>
      </c>
      <c r="AD179" s="124">
        <f t="shared" si="3"/>
        <v>153.29842219106405</v>
      </c>
      <c r="AE179" s="124">
        <f t="shared" si="3"/>
        <v>738.31275418862754</v>
      </c>
      <c r="AF179" s="124">
        <f t="shared" si="3"/>
        <v>662.60214984100662</v>
      </c>
      <c r="AG179" s="124">
        <f t="shared" si="3"/>
        <v>133.40280070633275</v>
      </c>
      <c r="AH179" s="124">
        <f t="shared" si="3"/>
        <v>738.31275418862754</v>
      </c>
      <c r="AI179" s="124">
        <f t="shared" si="3"/>
        <v>366.3312286502711</v>
      </c>
      <c r="AJ179" s="124">
        <f t="shared" si="3"/>
        <v>559.12632208558364</v>
      </c>
      <c r="AK179" s="124">
        <f t="shared" si="3"/>
        <v>894.35219590649081</v>
      </c>
      <c r="AL179" s="124">
        <f t="shared" si="3"/>
        <v>625.07564037067914</v>
      </c>
      <c r="AM179" s="124">
        <f t="shared" si="3"/>
        <v>548.94643948445128</v>
      </c>
      <c r="AN179" s="124">
        <f t="shared" si="3"/>
        <v>116.16034851881356</v>
      </c>
      <c r="AO179" s="124">
        <f t="shared" si="3"/>
        <v>622.18499270272173</v>
      </c>
      <c r="AP179" s="124">
        <f t="shared" si="3"/>
        <v>601.59143706896361</v>
      </c>
      <c r="AQ179" s="124">
        <f t="shared" si="3"/>
        <v>868.90419125759126</v>
      </c>
      <c r="AR179" s="124">
        <f t="shared" si="3"/>
        <v>840.30561833262027</v>
      </c>
      <c r="AS179" s="124">
        <f t="shared" si="3"/>
        <v>393.33820536552798</v>
      </c>
      <c r="AT179" s="124">
        <f t="shared" si="3"/>
        <v>485.30043209667332</v>
      </c>
      <c r="AU179" s="124">
        <f t="shared" si="3"/>
        <v>3.2587032907749551E-2</v>
      </c>
      <c r="AV179" s="124">
        <f t="shared" si="3"/>
        <v>622.18499270272184</v>
      </c>
      <c r="AW179" s="124">
        <f t="shared" si="3"/>
        <v>1002.4203473348425</v>
      </c>
      <c r="AX179" s="124">
        <f t="shared" si="3"/>
        <v>1084.2656896819408</v>
      </c>
      <c r="AY179" s="124">
        <f t="shared" si="3"/>
        <v>605.93673168113844</v>
      </c>
    </row>
    <row r="180" spans="1:51">
      <c r="A180" s="125"/>
      <c r="B180" s="136" t="s">
        <v>299</v>
      </c>
      <c r="C180" s="125" t="s">
        <v>293</v>
      </c>
      <c r="D180" s="125">
        <v>253.67495878295958</v>
      </c>
      <c r="E180" s="125">
        <v>369.79076894938061</v>
      </c>
      <c r="F180" s="125">
        <v>116.16034851881356</v>
      </c>
      <c r="G180" s="125">
        <v>464</v>
      </c>
      <c r="H180" s="125">
        <v>463</v>
      </c>
      <c r="I180" s="125">
        <v>480</v>
      </c>
      <c r="J180" s="125">
        <v>417</v>
      </c>
      <c r="K180" s="125">
        <v>425</v>
      </c>
      <c r="L180" s="125">
        <v>517.28969555577578</v>
      </c>
      <c r="M180" s="125">
        <v>457.17895364701928</v>
      </c>
      <c r="N180" s="125">
        <v>430</v>
      </c>
      <c r="O180" s="125">
        <v>572</v>
      </c>
      <c r="P180" s="125">
        <v>469</v>
      </c>
      <c r="Q180" s="125">
        <v>397.33306471794754</v>
      </c>
      <c r="R180" s="125">
        <v>253.04490912486193</v>
      </c>
      <c r="S180" s="125">
        <v>116.16034851881345</v>
      </c>
      <c r="T180" s="125">
        <v>524</v>
      </c>
      <c r="U180" s="125">
        <v>497</v>
      </c>
      <c r="V180" s="125">
        <v>443</v>
      </c>
      <c r="W180" s="125">
        <v>384</v>
      </c>
      <c r="X180" s="125">
        <v>435</v>
      </c>
      <c r="Y180" s="125">
        <v>384</v>
      </c>
      <c r="Z180" s="125">
        <v>491</v>
      </c>
      <c r="AA180" s="125">
        <v>430</v>
      </c>
      <c r="AB180" s="125">
        <v>546.89682389235077</v>
      </c>
      <c r="AC180" s="125">
        <v>504</v>
      </c>
      <c r="AD180" s="125">
        <v>153.29842219106405</v>
      </c>
      <c r="AE180" s="125">
        <v>552</v>
      </c>
      <c r="AF180" s="125">
        <v>529.23193616758169</v>
      </c>
      <c r="AG180" s="125">
        <v>133.40280070633275</v>
      </c>
      <c r="AH180" s="125">
        <v>458.5872078188782</v>
      </c>
      <c r="AI180" s="125">
        <v>366.3312286502711</v>
      </c>
      <c r="AJ180" s="125">
        <v>443</v>
      </c>
      <c r="AK180" s="125">
        <v>516</v>
      </c>
      <c r="AL180" s="125">
        <v>403</v>
      </c>
      <c r="AM180" s="125">
        <v>548.94643948445128</v>
      </c>
      <c r="AN180" s="125">
        <v>116.16034851881356</v>
      </c>
      <c r="AO180" s="125">
        <v>411</v>
      </c>
      <c r="AP180" s="125">
        <v>471</v>
      </c>
      <c r="AQ180" s="125">
        <v>526</v>
      </c>
      <c r="AR180" s="125">
        <v>447</v>
      </c>
      <c r="AS180" s="125">
        <v>393.33820536552798</v>
      </c>
      <c r="AT180" s="125">
        <v>485.30043209667332</v>
      </c>
      <c r="AU180" s="125">
        <v>3.2587032907749551E-2</v>
      </c>
      <c r="AV180" s="125">
        <v>458</v>
      </c>
      <c r="AW180" s="125">
        <v>477</v>
      </c>
      <c r="AX180" s="125">
        <v>478.36154503371006</v>
      </c>
      <c r="AY180" s="125">
        <v>605.93673168113844</v>
      </c>
    </row>
    <row r="181" spans="1:51">
      <c r="A181" s="135" t="s">
        <v>123</v>
      </c>
      <c r="B181" s="135" t="s">
        <v>298</v>
      </c>
      <c r="C181" s="124" t="s">
        <v>293</v>
      </c>
      <c r="D181" s="124">
        <f t="shared" ref="D181:AY181" si="4">(1-D172)*SUM(D122:D169)</f>
        <v>455.94910097024155</v>
      </c>
      <c r="E181" s="124">
        <f t="shared" si="4"/>
        <v>143.22479337712437</v>
      </c>
      <c r="F181" s="124">
        <f t="shared" si="4"/>
        <v>1223.5719723673897</v>
      </c>
      <c r="G181" s="124">
        <f t="shared" si="4"/>
        <v>496.14798297811751</v>
      </c>
      <c r="H181" s="124">
        <f t="shared" si="4"/>
        <v>318.71013319663467</v>
      </c>
      <c r="I181" s="124">
        <f t="shared" si="4"/>
        <v>910.3338016348597</v>
      </c>
      <c r="J181" s="124">
        <f t="shared" si="4"/>
        <v>633.72233996936643</v>
      </c>
      <c r="K181" s="124">
        <f t="shared" si="4"/>
        <v>467.73359377854274</v>
      </c>
      <c r="L181" s="124">
        <f t="shared" si="4"/>
        <v>4.0179554508051961E-2</v>
      </c>
      <c r="M181" s="124">
        <f t="shared" si="4"/>
        <v>455.18699059468389</v>
      </c>
      <c r="N181" s="124">
        <f t="shared" si="4"/>
        <v>910.3338016348597</v>
      </c>
      <c r="O181" s="124">
        <f t="shared" si="4"/>
        <v>654.704814557345</v>
      </c>
      <c r="P181" s="124">
        <f t="shared" si="4"/>
        <v>207.66573563355163</v>
      </c>
      <c r="Q181" s="124">
        <f t="shared" si="4"/>
        <v>312.00237677206763</v>
      </c>
      <c r="R181" s="124">
        <f t="shared" si="4"/>
        <v>143.22479337712423</v>
      </c>
      <c r="S181" s="124">
        <f t="shared" si="4"/>
        <v>1222.2959988524192</v>
      </c>
      <c r="T181" s="124">
        <f t="shared" si="4"/>
        <v>767.37227408632089</v>
      </c>
      <c r="U181" s="124">
        <f t="shared" si="4"/>
        <v>49.388902446246995</v>
      </c>
      <c r="V181" s="124">
        <f t="shared" si="4"/>
        <v>598.37160441729998</v>
      </c>
      <c r="W181" s="124">
        <f t="shared" si="4"/>
        <v>799.93242941575704</v>
      </c>
      <c r="X181" s="124">
        <f t="shared" si="4"/>
        <v>632.94854373316582</v>
      </c>
      <c r="Y181" s="124">
        <f t="shared" si="4"/>
        <v>472.82803025268578</v>
      </c>
      <c r="Z181" s="124">
        <f t="shared" si="4"/>
        <v>455.18699059468383</v>
      </c>
      <c r="AA181" s="124">
        <f t="shared" si="4"/>
        <v>455.18699059468395</v>
      </c>
      <c r="AB181" s="124">
        <f t="shared" si="4"/>
        <v>455.18699059468383</v>
      </c>
      <c r="AC181" s="124">
        <f t="shared" si="4"/>
        <v>4.0179554508020569E-2</v>
      </c>
      <c r="AD181" s="124">
        <f t="shared" si="4"/>
        <v>910.3338016348597</v>
      </c>
      <c r="AE181" s="124">
        <f t="shared" si="4"/>
        <v>587.26106756626132</v>
      </c>
      <c r="AF181" s="124">
        <f t="shared" si="4"/>
        <v>4.0179554508083345E-2</v>
      </c>
      <c r="AG181" s="124">
        <f t="shared" si="4"/>
        <v>910.3338016348597</v>
      </c>
      <c r="AH181" s="124">
        <f t="shared" si="4"/>
        <v>106.78412305128043</v>
      </c>
      <c r="AI181" s="124">
        <f t="shared" si="4"/>
        <v>689.3983443881383</v>
      </c>
      <c r="AJ181" s="124">
        <f t="shared" si="4"/>
        <v>959.54636328143431</v>
      </c>
      <c r="AK181" s="124">
        <f t="shared" si="4"/>
        <v>304.20806071318344</v>
      </c>
      <c r="AL181" s="124">
        <f t="shared" si="4"/>
        <v>403.0291167429059</v>
      </c>
      <c r="AM181" s="124">
        <f t="shared" si="4"/>
        <v>143.22479337712437</v>
      </c>
      <c r="AN181" s="124">
        <f t="shared" si="4"/>
        <v>767.14918781224333</v>
      </c>
      <c r="AO181" s="124">
        <f t="shared" si="4"/>
        <v>481.36806612969616</v>
      </c>
      <c r="AP181" s="124">
        <f t="shared" si="4"/>
        <v>910.3338016348597</v>
      </c>
      <c r="AQ181" s="124">
        <f t="shared" si="4"/>
        <v>613.29203576528198</v>
      </c>
      <c r="AR181" s="124">
        <f t="shared" si="4"/>
        <v>4.0179554508083345E-2</v>
      </c>
      <c r="AS181" s="124">
        <f t="shared" si="4"/>
        <v>598.37160441729998</v>
      </c>
      <c r="AT181" s="124">
        <f t="shared" si="4"/>
        <v>4.0179554508051961E-2</v>
      </c>
      <c r="AU181" s="124">
        <f t="shared" si="4"/>
        <v>767.14918781224344</v>
      </c>
      <c r="AV181" s="124">
        <f t="shared" si="4"/>
        <v>1033.5375797287793</v>
      </c>
      <c r="AW181" s="124">
        <f t="shared" si="4"/>
        <v>689.05189858713231</v>
      </c>
      <c r="AX181" s="124">
        <f t="shared" si="4"/>
        <v>4.0179554508083345E-2</v>
      </c>
      <c r="AY181" s="124">
        <f t="shared" si="4"/>
        <v>910.3338016348597</v>
      </c>
    </row>
    <row r="182" spans="1:51">
      <c r="A182" s="125"/>
      <c r="B182" s="136" t="s">
        <v>299</v>
      </c>
      <c r="C182" s="125" t="s">
        <v>293</v>
      </c>
      <c r="D182" s="125">
        <v>455.94910097024155</v>
      </c>
      <c r="E182" s="125">
        <v>143.22479337712437</v>
      </c>
      <c r="F182" s="125">
        <v>584.41565414545141</v>
      </c>
      <c r="G182" s="125">
        <v>484</v>
      </c>
      <c r="H182" s="125">
        <v>318.71013319663467</v>
      </c>
      <c r="I182" s="125">
        <v>587</v>
      </c>
      <c r="J182" s="125">
        <v>611</v>
      </c>
      <c r="K182" s="125">
        <v>467.73359377854274</v>
      </c>
      <c r="L182" s="125">
        <v>4.0179554508051961E-2</v>
      </c>
      <c r="M182" s="125">
        <v>455.18699059468389</v>
      </c>
      <c r="N182" s="125">
        <v>549</v>
      </c>
      <c r="O182" s="125">
        <v>538</v>
      </c>
      <c r="P182" s="125">
        <v>207.66573563355163</v>
      </c>
      <c r="Q182" s="125">
        <v>312.00237677206763</v>
      </c>
      <c r="R182" s="125">
        <v>143.22479337712423</v>
      </c>
      <c r="S182" s="125">
        <v>656.91746244857291</v>
      </c>
      <c r="T182" s="125">
        <v>678</v>
      </c>
      <c r="U182" s="125">
        <v>49.388902446246995</v>
      </c>
      <c r="V182" s="125">
        <v>539</v>
      </c>
      <c r="W182" s="125">
        <v>478</v>
      </c>
      <c r="X182" s="125">
        <v>601</v>
      </c>
      <c r="Y182" s="125">
        <v>472.82803025268578</v>
      </c>
      <c r="Z182" s="125">
        <v>455.18699059468383</v>
      </c>
      <c r="AA182" s="125">
        <v>455.18699059468395</v>
      </c>
      <c r="AB182" s="125">
        <v>455.18699059468383</v>
      </c>
      <c r="AC182" s="125">
        <v>4.0179554508020569E-2</v>
      </c>
      <c r="AD182" s="125">
        <v>671.14299962167058</v>
      </c>
      <c r="AE182" s="125">
        <v>587.26106756626132</v>
      </c>
      <c r="AF182" s="125">
        <v>4.0179554508083345E-2</v>
      </c>
      <c r="AG182" s="125">
        <v>717.01676289047327</v>
      </c>
      <c r="AH182" s="125">
        <v>106.78412305128043</v>
      </c>
      <c r="AI182" s="125">
        <v>670.66554772025916</v>
      </c>
      <c r="AJ182" s="125">
        <v>668</v>
      </c>
      <c r="AK182" s="125">
        <v>304.20806071318344</v>
      </c>
      <c r="AL182" s="125">
        <v>403.0291167429059</v>
      </c>
      <c r="AM182" s="125">
        <v>143.22479337712437</v>
      </c>
      <c r="AN182" s="125">
        <v>719.73433852175651</v>
      </c>
      <c r="AO182" s="125">
        <v>481.36806612969616</v>
      </c>
      <c r="AP182" s="125">
        <v>624</v>
      </c>
      <c r="AQ182" s="125">
        <v>613.29203576528198</v>
      </c>
      <c r="AR182" s="125">
        <v>4.0179554508083345E-2</v>
      </c>
      <c r="AS182" s="125">
        <v>598.37160441729998</v>
      </c>
      <c r="AT182" s="125">
        <v>4.0179554508051961E-2</v>
      </c>
      <c r="AU182" s="125">
        <v>544.02280927483082</v>
      </c>
      <c r="AV182" s="125">
        <v>610</v>
      </c>
      <c r="AW182" s="125">
        <v>689.05189858713231</v>
      </c>
      <c r="AX182" s="125">
        <v>4.0179554508083345E-2</v>
      </c>
      <c r="AY182" s="125">
        <v>679.08726559708339</v>
      </c>
    </row>
    <row r="184" spans="1:51">
      <c r="A184" s="102" t="s">
        <v>300</v>
      </c>
    </row>
    <row r="185" spans="1:51">
      <c r="A185" s="126" t="s">
        <v>125</v>
      </c>
      <c r="B185" s="123">
        <v>1</v>
      </c>
      <c r="C185" s="124">
        <v>916</v>
      </c>
      <c r="D185" s="124">
        <v>918.39203178030311</v>
      </c>
      <c r="E185" s="124">
        <v>868.29826764674181</v>
      </c>
      <c r="F185" s="124">
        <v>1038.4563304518506</v>
      </c>
      <c r="G185" s="124">
        <v>1054.0937641335613</v>
      </c>
      <c r="H185" s="124">
        <v>992</v>
      </c>
      <c r="I185" s="124">
        <v>928.90623586643869</v>
      </c>
      <c r="J185" s="124">
        <v>860.81247173287738</v>
      </c>
      <c r="K185" s="124">
        <v>823.71870759931608</v>
      </c>
      <c r="L185" s="124">
        <v>814.62494346575477</v>
      </c>
      <c r="M185" s="124">
        <v>992.53117933219346</v>
      </c>
      <c r="N185" s="124">
        <v>716.43741519863215</v>
      </c>
      <c r="O185" s="124">
        <v>573.34365106507084</v>
      </c>
      <c r="P185" s="124">
        <v>521.24988693150954</v>
      </c>
      <c r="Q185" s="124">
        <v>637.15612279794823</v>
      </c>
      <c r="R185" s="124">
        <v>590.06235866438692</v>
      </c>
      <c r="S185" s="124">
        <v>1003</v>
      </c>
      <c r="T185" s="124">
        <v>1013.5335453706448</v>
      </c>
      <c r="U185" s="124">
        <v>1032.4397812370835</v>
      </c>
      <c r="V185" s="124">
        <v>1054.0937641335613</v>
      </c>
      <c r="W185" s="124">
        <v>1054.0937641335613</v>
      </c>
      <c r="X185" s="124">
        <v>1050</v>
      </c>
      <c r="Y185" s="124">
        <v>1054.0937641335613</v>
      </c>
      <c r="Z185" s="124">
        <v>1043</v>
      </c>
      <c r="AA185" s="124">
        <v>1018.9062358664387</v>
      </c>
      <c r="AB185" s="124">
        <v>986.81247173287738</v>
      </c>
      <c r="AC185" s="124">
        <v>855.71870759931608</v>
      </c>
      <c r="AD185" s="124">
        <v>870.62494346575477</v>
      </c>
      <c r="AE185" s="124">
        <v>985.53117933219346</v>
      </c>
      <c r="AF185" s="124">
        <v>929.43741519863215</v>
      </c>
      <c r="AG185" s="124">
        <v>970.53097118847131</v>
      </c>
      <c r="AH185" s="124">
        <v>758.62452717831047</v>
      </c>
      <c r="AI185" s="124">
        <v>744.71808316814963</v>
      </c>
      <c r="AJ185" s="124">
        <v>941.109542437448</v>
      </c>
      <c r="AK185" s="124">
        <v>1054.0937641335613</v>
      </c>
      <c r="AL185" s="124">
        <v>1054.0937641335613</v>
      </c>
      <c r="AM185" s="124">
        <v>1054.0937641335613</v>
      </c>
      <c r="AN185" s="124">
        <v>1054.0937641335613</v>
      </c>
      <c r="AO185" s="124">
        <v>924</v>
      </c>
      <c r="AP185" s="124">
        <v>848.90623586643869</v>
      </c>
      <c r="AQ185" s="124">
        <v>829.81247173287738</v>
      </c>
      <c r="AR185" s="124">
        <v>943.71870759931608</v>
      </c>
      <c r="AS185" s="124">
        <v>956.62494346575477</v>
      </c>
      <c r="AT185" s="124">
        <v>892.53117933219346</v>
      </c>
      <c r="AU185" s="124">
        <v>1054.0937641335613</v>
      </c>
      <c r="AV185" s="124">
        <v>931.14336908077803</v>
      </c>
      <c r="AW185" s="124">
        <v>1054.0937641335613</v>
      </c>
      <c r="AX185" s="124">
        <v>1054.0937641335613</v>
      </c>
      <c r="AY185" s="124">
        <v>1054.0937641335613</v>
      </c>
    </row>
    <row r="186" spans="1:51">
      <c r="A186" s="109"/>
      <c r="B186" s="120">
        <v>2</v>
      </c>
      <c r="C186" s="106">
        <v>0</v>
      </c>
      <c r="D186" s="106">
        <v>135.60796821969689</v>
      </c>
      <c r="E186" s="106">
        <v>135.70173235325819</v>
      </c>
      <c r="F186" s="106">
        <v>0</v>
      </c>
      <c r="G186" s="106">
        <v>0</v>
      </c>
      <c r="H186" s="106">
        <v>0</v>
      </c>
      <c r="I186" s="106">
        <v>62.093764133561308</v>
      </c>
      <c r="J186" s="106">
        <v>125.18752826712262</v>
      </c>
      <c r="K186" s="106">
        <v>193.28129240068392</v>
      </c>
      <c r="L186" s="106">
        <v>230.37505653424523</v>
      </c>
      <c r="M186" s="106">
        <v>239.46882066780654</v>
      </c>
      <c r="N186" s="106">
        <v>61.562584801367848</v>
      </c>
      <c r="O186" s="106">
        <v>337.65634893492916</v>
      </c>
      <c r="P186" s="106">
        <v>480.75011306849046</v>
      </c>
      <c r="Q186" s="106">
        <v>532.84387720205177</v>
      </c>
      <c r="R186" s="106">
        <v>416.93764133561308</v>
      </c>
      <c r="S186" s="106">
        <v>0</v>
      </c>
      <c r="T186" s="106">
        <v>39.466454629355212</v>
      </c>
      <c r="U186" s="106">
        <v>40.56021876291652</v>
      </c>
      <c r="V186" s="106">
        <v>21.653982896477828</v>
      </c>
      <c r="W186" s="106">
        <v>0</v>
      </c>
      <c r="X186" s="106">
        <v>0</v>
      </c>
      <c r="Y186" s="106">
        <v>4.093764133561308</v>
      </c>
      <c r="Z186" s="106">
        <v>0</v>
      </c>
      <c r="AA186" s="106">
        <v>11.093764133561308</v>
      </c>
      <c r="AB186" s="106">
        <v>35.187528267122616</v>
      </c>
      <c r="AC186" s="106">
        <v>67.281292400683924</v>
      </c>
      <c r="AD186" s="106">
        <v>198.37505653424523</v>
      </c>
      <c r="AE186" s="106">
        <v>183.46882066780654</v>
      </c>
      <c r="AF186" s="106">
        <v>68.562584801367848</v>
      </c>
      <c r="AG186" s="106">
        <v>335.46902881152869</v>
      </c>
      <c r="AH186" s="106">
        <v>294.37547282168953</v>
      </c>
      <c r="AI186" s="106">
        <v>506.28191683185037</v>
      </c>
      <c r="AJ186" s="106">
        <v>153.890457562552</v>
      </c>
      <c r="AK186" s="106">
        <v>112.98422169611331</v>
      </c>
      <c r="AL186" s="106">
        <v>0</v>
      </c>
      <c r="AM186" s="106">
        <v>0</v>
      </c>
      <c r="AN186" s="106">
        <v>0</v>
      </c>
      <c r="AO186" s="106">
        <v>0</v>
      </c>
      <c r="AP186" s="106">
        <v>130.09376413356131</v>
      </c>
      <c r="AQ186" s="106">
        <v>205.18752826712262</v>
      </c>
      <c r="AR186" s="106">
        <v>224.28129240068392</v>
      </c>
      <c r="AS186" s="106">
        <v>110.37505653424523</v>
      </c>
      <c r="AT186" s="106">
        <v>97.46882066780654</v>
      </c>
      <c r="AU186" s="106">
        <v>161.56258480136785</v>
      </c>
      <c r="AV186" s="106">
        <v>0</v>
      </c>
      <c r="AW186" s="106">
        <v>0</v>
      </c>
      <c r="AX186" s="106">
        <v>0</v>
      </c>
      <c r="AY186" s="106">
        <v>0</v>
      </c>
    </row>
    <row r="187" spans="1:51">
      <c r="A187" s="109"/>
      <c r="B187" s="127">
        <v>3</v>
      </c>
      <c r="C187" s="106">
        <v>0</v>
      </c>
      <c r="D187" s="106">
        <v>0</v>
      </c>
      <c r="E187" s="106">
        <v>0</v>
      </c>
      <c r="F187" s="106">
        <v>0</v>
      </c>
      <c r="G187" s="106">
        <v>0</v>
      </c>
      <c r="H187" s="106">
        <v>0</v>
      </c>
      <c r="I187" s="106">
        <v>0</v>
      </c>
      <c r="J187" s="106">
        <v>0</v>
      </c>
      <c r="K187" s="106">
        <v>0</v>
      </c>
      <c r="L187" s="106">
        <v>0</v>
      </c>
      <c r="M187" s="106">
        <v>0</v>
      </c>
      <c r="N187" s="106">
        <v>0</v>
      </c>
      <c r="O187" s="106">
        <v>0</v>
      </c>
      <c r="P187" s="106">
        <v>0</v>
      </c>
      <c r="Q187" s="106">
        <v>0</v>
      </c>
      <c r="R187" s="106">
        <v>0</v>
      </c>
      <c r="S187" s="106">
        <v>0</v>
      </c>
      <c r="T187" s="106">
        <v>0</v>
      </c>
      <c r="U187" s="106">
        <v>0</v>
      </c>
      <c r="V187" s="106">
        <v>0</v>
      </c>
      <c r="W187" s="106">
        <v>0</v>
      </c>
      <c r="X187" s="106">
        <v>0</v>
      </c>
      <c r="Y187" s="106">
        <v>0</v>
      </c>
      <c r="Z187" s="106">
        <v>0</v>
      </c>
      <c r="AA187" s="106">
        <v>0</v>
      </c>
      <c r="AB187" s="106">
        <v>0</v>
      </c>
      <c r="AC187" s="106">
        <v>0</v>
      </c>
      <c r="AD187" s="106">
        <v>0</v>
      </c>
      <c r="AE187" s="106">
        <v>0</v>
      </c>
      <c r="AF187" s="106">
        <v>0</v>
      </c>
      <c r="AG187" s="106">
        <v>0</v>
      </c>
      <c r="AH187" s="106">
        <v>0</v>
      </c>
      <c r="AI187" s="106">
        <v>0</v>
      </c>
      <c r="AJ187" s="106">
        <v>0</v>
      </c>
      <c r="AK187" s="106">
        <v>0</v>
      </c>
      <c r="AL187" s="106">
        <v>0</v>
      </c>
      <c r="AM187" s="106">
        <v>0</v>
      </c>
      <c r="AN187" s="106">
        <v>0</v>
      </c>
      <c r="AO187" s="106">
        <v>0</v>
      </c>
      <c r="AP187" s="106">
        <v>0</v>
      </c>
      <c r="AQ187" s="106">
        <v>0</v>
      </c>
      <c r="AR187" s="106">
        <v>0</v>
      </c>
      <c r="AS187" s="106">
        <v>0</v>
      </c>
      <c r="AT187" s="106">
        <v>0</v>
      </c>
      <c r="AU187" s="106">
        <v>0</v>
      </c>
      <c r="AV187" s="106">
        <v>0</v>
      </c>
      <c r="AW187" s="106">
        <v>0</v>
      </c>
      <c r="AX187" s="106">
        <v>0</v>
      </c>
      <c r="AY187" s="106">
        <v>0</v>
      </c>
    </row>
    <row r="188" spans="1:51">
      <c r="A188" s="128"/>
      <c r="B188" s="129">
        <v>4</v>
      </c>
      <c r="C188" s="106">
        <v>0</v>
      </c>
      <c r="D188" s="106">
        <v>0</v>
      </c>
      <c r="E188" s="106">
        <v>0</v>
      </c>
      <c r="F188" s="106">
        <v>0</v>
      </c>
      <c r="G188" s="106">
        <v>0</v>
      </c>
      <c r="H188" s="106">
        <v>0</v>
      </c>
      <c r="I188" s="106">
        <v>0</v>
      </c>
      <c r="J188" s="106">
        <v>0</v>
      </c>
      <c r="K188" s="106">
        <v>0</v>
      </c>
      <c r="L188" s="106">
        <v>0</v>
      </c>
      <c r="M188" s="106">
        <v>0</v>
      </c>
      <c r="N188" s="106">
        <v>0</v>
      </c>
      <c r="O188" s="106">
        <v>0</v>
      </c>
      <c r="P188" s="106">
        <v>0</v>
      </c>
      <c r="Q188" s="106">
        <v>0</v>
      </c>
      <c r="R188" s="106">
        <v>0</v>
      </c>
      <c r="S188" s="106">
        <v>0</v>
      </c>
      <c r="T188" s="106">
        <v>0</v>
      </c>
      <c r="U188" s="106">
        <v>0</v>
      </c>
      <c r="V188" s="106">
        <v>0</v>
      </c>
      <c r="W188" s="106">
        <v>0</v>
      </c>
      <c r="X188" s="106">
        <v>0</v>
      </c>
      <c r="Y188" s="106">
        <v>0</v>
      </c>
      <c r="Z188" s="106">
        <v>0</v>
      </c>
      <c r="AA188" s="106">
        <v>0</v>
      </c>
      <c r="AB188" s="106">
        <v>0</v>
      </c>
      <c r="AC188" s="106">
        <v>0</v>
      </c>
      <c r="AD188" s="106">
        <v>0</v>
      </c>
      <c r="AE188" s="106">
        <v>0</v>
      </c>
      <c r="AF188" s="106">
        <v>0</v>
      </c>
      <c r="AG188" s="106">
        <v>0</v>
      </c>
      <c r="AH188" s="106">
        <v>0</v>
      </c>
      <c r="AI188" s="106">
        <v>0</v>
      </c>
      <c r="AJ188" s="106">
        <v>0</v>
      </c>
      <c r="AK188" s="106">
        <v>0</v>
      </c>
      <c r="AL188" s="106">
        <v>0</v>
      </c>
      <c r="AM188" s="106">
        <v>0</v>
      </c>
      <c r="AN188" s="106">
        <v>0</v>
      </c>
      <c r="AO188" s="106">
        <v>0</v>
      </c>
      <c r="AP188" s="106">
        <v>0</v>
      </c>
      <c r="AQ188" s="106">
        <v>0</v>
      </c>
      <c r="AR188" s="106">
        <v>0</v>
      </c>
      <c r="AS188" s="106">
        <v>0</v>
      </c>
      <c r="AT188" s="106">
        <v>0</v>
      </c>
      <c r="AU188" s="106">
        <v>0</v>
      </c>
      <c r="AV188" s="106">
        <v>0</v>
      </c>
      <c r="AW188" s="106">
        <v>0</v>
      </c>
      <c r="AX188" s="106">
        <v>0</v>
      </c>
      <c r="AY188" s="106">
        <v>0</v>
      </c>
    </row>
    <row r="189" spans="1:51">
      <c r="A189" s="126" t="s">
        <v>133</v>
      </c>
      <c r="B189" s="123">
        <v>1</v>
      </c>
      <c r="C189" s="124">
        <v>0</v>
      </c>
      <c r="D189" s="124">
        <v>0</v>
      </c>
      <c r="E189" s="124">
        <v>190.68762469147782</v>
      </c>
      <c r="F189" s="124">
        <v>0</v>
      </c>
      <c r="G189" s="124">
        <v>0</v>
      </c>
      <c r="H189" s="124">
        <v>0</v>
      </c>
      <c r="I189" s="124">
        <v>720.40200491300834</v>
      </c>
      <c r="J189" s="124">
        <v>168.10884063946924</v>
      </c>
      <c r="K189" s="124">
        <v>224.96225850269968</v>
      </c>
      <c r="L189" s="124">
        <v>0</v>
      </c>
      <c r="M189" s="124">
        <v>0</v>
      </c>
      <c r="N189" s="124">
        <v>643</v>
      </c>
      <c r="O189" s="124">
        <v>102.70683572646089</v>
      </c>
      <c r="P189" s="124">
        <v>109.56025358969134</v>
      </c>
      <c r="Q189" s="124">
        <v>0</v>
      </c>
      <c r="R189" s="124">
        <v>190.68762469147808</v>
      </c>
      <c r="S189" s="124">
        <v>0</v>
      </c>
      <c r="T189" s="124">
        <v>0</v>
      </c>
      <c r="U189" s="124">
        <v>0</v>
      </c>
      <c r="V189" s="124">
        <v>1.9547140076302867</v>
      </c>
      <c r="W189" s="124">
        <v>105.80813187086073</v>
      </c>
      <c r="X189" s="124">
        <v>270.66154973409118</v>
      </c>
      <c r="Y189" s="124">
        <v>316.51496759732163</v>
      </c>
      <c r="Z189" s="124">
        <v>308.36838546055208</v>
      </c>
      <c r="AA189" s="124">
        <v>473.22180332378252</v>
      </c>
      <c r="AB189" s="124">
        <v>606.14658213676955</v>
      </c>
      <c r="AC189" s="124">
        <v>0</v>
      </c>
      <c r="AD189" s="124">
        <v>0</v>
      </c>
      <c r="AE189" s="124">
        <v>74.706835726460895</v>
      </c>
      <c r="AF189" s="124">
        <v>0</v>
      </c>
      <c r="AG189" s="124">
        <v>672</v>
      </c>
      <c r="AH189" s="124">
        <v>0</v>
      </c>
      <c r="AI189" s="124">
        <v>0</v>
      </c>
      <c r="AJ189" s="124">
        <v>0</v>
      </c>
      <c r="AK189" s="124">
        <v>23.88278088403888</v>
      </c>
      <c r="AL189" s="124">
        <v>0</v>
      </c>
      <c r="AM189" s="124">
        <v>190.68762469147785</v>
      </c>
      <c r="AN189" s="124">
        <v>0</v>
      </c>
      <c r="AO189" s="124">
        <v>273.39446041793872</v>
      </c>
      <c r="AP189" s="124">
        <v>0</v>
      </c>
      <c r="AQ189" s="124">
        <v>0</v>
      </c>
      <c r="AR189" s="124">
        <v>0</v>
      </c>
      <c r="AS189" s="124">
        <v>132.66154973409095</v>
      </c>
      <c r="AT189" s="124">
        <v>0</v>
      </c>
      <c r="AU189" s="124">
        <v>243.5410425547085</v>
      </c>
      <c r="AV189" s="124">
        <v>0</v>
      </c>
      <c r="AW189" s="124">
        <v>0</v>
      </c>
      <c r="AX189" s="124">
        <v>0</v>
      </c>
      <c r="AY189" s="124">
        <v>74.853417863230447</v>
      </c>
    </row>
    <row r="190" spans="1:51">
      <c r="A190" s="109"/>
      <c r="B190" s="119">
        <v>2</v>
      </c>
      <c r="C190" s="106">
        <v>596.42264859088357</v>
      </c>
      <c r="D190" s="106">
        <v>583</v>
      </c>
      <c r="E190" s="106">
        <v>0</v>
      </c>
      <c r="F190" s="106">
        <v>659</v>
      </c>
      <c r="G190" s="106">
        <v>417.69516918654745</v>
      </c>
      <c r="H190" s="106">
        <v>508.54858704977789</v>
      </c>
      <c r="I190" s="106">
        <v>0</v>
      </c>
      <c r="J190" s="106">
        <v>491.89115936053076</v>
      </c>
      <c r="K190" s="106">
        <v>438.03774149730032</v>
      </c>
      <c r="L190" s="106">
        <v>381.18432363406987</v>
      </c>
      <c r="M190" s="106">
        <v>606.14658213676955</v>
      </c>
      <c r="N190" s="106">
        <v>0</v>
      </c>
      <c r="O190" s="106">
        <v>569.29316427353911</v>
      </c>
      <c r="P190" s="106">
        <v>503.43974641030866</v>
      </c>
      <c r="Q190" s="106">
        <v>496.58632854707821</v>
      </c>
      <c r="R190" s="106">
        <v>0</v>
      </c>
      <c r="S190" s="106">
        <v>142.85341786323045</v>
      </c>
      <c r="T190" s="106">
        <v>482.39446041793894</v>
      </c>
      <c r="U190" s="106">
        <v>564.24787828116939</v>
      </c>
      <c r="V190" s="106">
        <v>606.14658213676955</v>
      </c>
      <c r="W190" s="106">
        <v>604.19186812913927</v>
      </c>
      <c r="X190" s="106">
        <v>500.33845026590882</v>
      </c>
      <c r="Y190" s="106">
        <v>335.48503240267837</v>
      </c>
      <c r="Z190" s="106">
        <v>289.63161453944792</v>
      </c>
      <c r="AA190" s="106">
        <v>297.77819667621748</v>
      </c>
      <c r="AB190" s="106">
        <v>132.92477881298703</v>
      </c>
      <c r="AC190" s="106">
        <v>0</v>
      </c>
      <c r="AD190" s="106">
        <v>515</v>
      </c>
      <c r="AE190" s="106">
        <v>606.14658213676955</v>
      </c>
      <c r="AF190" s="106">
        <v>531.43974641030866</v>
      </c>
      <c r="AG190" s="106">
        <v>0</v>
      </c>
      <c r="AH190" s="106">
        <v>540.29316427353911</v>
      </c>
      <c r="AI190" s="106">
        <v>687</v>
      </c>
      <c r="AJ190" s="106">
        <v>722.62759362801296</v>
      </c>
      <c r="AK190" s="106">
        <v>727.37240637198704</v>
      </c>
      <c r="AL190" s="106">
        <v>659</v>
      </c>
      <c r="AM190" s="106">
        <v>0</v>
      </c>
      <c r="AN190" s="106">
        <v>661</v>
      </c>
      <c r="AO190" s="106">
        <v>0</v>
      </c>
      <c r="AP190" s="106">
        <v>155.85341786323045</v>
      </c>
      <c r="AQ190" s="106">
        <v>479.10129614439961</v>
      </c>
      <c r="AR190" s="106">
        <v>500.95471400763006</v>
      </c>
      <c r="AS190" s="106">
        <v>606.14658213676955</v>
      </c>
      <c r="AT190" s="106">
        <v>58.026074957387124</v>
      </c>
      <c r="AU190" s="106">
        <v>0</v>
      </c>
      <c r="AV190" s="106">
        <v>284.85341786323045</v>
      </c>
      <c r="AW190" s="106">
        <v>591.24787828116939</v>
      </c>
      <c r="AX190" s="106">
        <v>606.14658213676955</v>
      </c>
      <c r="AY190" s="106">
        <v>606.14658213676955</v>
      </c>
    </row>
    <row r="191" spans="1:51">
      <c r="A191" s="109"/>
      <c r="B191" s="120">
        <v>3</v>
      </c>
      <c r="C191" s="106">
        <v>0</v>
      </c>
      <c r="D191" s="106">
        <v>0</v>
      </c>
      <c r="E191" s="106">
        <v>24.349362500248731</v>
      </c>
      <c r="F191" s="106">
        <v>0</v>
      </c>
      <c r="G191" s="106">
        <v>364.30483081345255</v>
      </c>
      <c r="H191" s="106">
        <v>188.45141295022211</v>
      </c>
      <c r="I191" s="106">
        <v>97.597995086991659</v>
      </c>
      <c r="J191" s="106">
        <v>0</v>
      </c>
      <c r="K191" s="106">
        <v>0</v>
      </c>
      <c r="L191" s="106">
        <v>0</v>
      </c>
      <c r="M191" s="106">
        <v>0</v>
      </c>
      <c r="N191" s="106">
        <v>0</v>
      </c>
      <c r="O191" s="106">
        <v>0</v>
      </c>
      <c r="P191" s="106">
        <v>0</v>
      </c>
      <c r="Q191" s="106">
        <v>0</v>
      </c>
      <c r="R191" s="106">
        <v>0</v>
      </c>
      <c r="S191" s="106">
        <v>606.14658213676955</v>
      </c>
      <c r="T191" s="106">
        <v>272.60553958206106</v>
      </c>
      <c r="U191" s="106">
        <v>123.75212171883061</v>
      </c>
      <c r="V191" s="106">
        <v>41.898703855600161</v>
      </c>
      <c r="W191" s="106">
        <v>0</v>
      </c>
      <c r="X191" s="106">
        <v>0</v>
      </c>
      <c r="Y191" s="106">
        <v>0</v>
      </c>
      <c r="Z191" s="106">
        <v>0</v>
      </c>
      <c r="AA191" s="106">
        <v>0</v>
      </c>
      <c r="AB191" s="106">
        <v>0</v>
      </c>
      <c r="AC191" s="106">
        <v>0</v>
      </c>
      <c r="AD191" s="106">
        <v>0</v>
      </c>
      <c r="AE191" s="106">
        <v>91.146582136769553</v>
      </c>
      <c r="AF191" s="106">
        <v>0</v>
      </c>
      <c r="AG191" s="106">
        <v>0</v>
      </c>
      <c r="AH191" s="106">
        <v>0</v>
      </c>
      <c r="AI191" s="106">
        <v>0</v>
      </c>
      <c r="AJ191" s="106">
        <v>40.37240637198704</v>
      </c>
      <c r="AK191" s="106">
        <v>4.7448127439740801</v>
      </c>
      <c r="AL191" s="106">
        <v>0</v>
      </c>
      <c r="AM191" s="106">
        <v>44.48962548794816</v>
      </c>
      <c r="AN191" s="106">
        <v>0</v>
      </c>
      <c r="AO191" s="106">
        <v>360.60553958206128</v>
      </c>
      <c r="AP191" s="106">
        <v>606.14658213676955</v>
      </c>
      <c r="AQ191" s="106">
        <v>176.89870385560039</v>
      </c>
      <c r="AR191" s="106">
        <v>127.04528599236994</v>
      </c>
      <c r="AS191" s="106">
        <v>105.19186812913949</v>
      </c>
      <c r="AT191" s="106">
        <v>0</v>
      </c>
      <c r="AU191" s="106">
        <v>415.4589574452915</v>
      </c>
      <c r="AV191" s="106">
        <v>606.14658213676955</v>
      </c>
      <c r="AW191" s="106">
        <v>77.752121718830608</v>
      </c>
      <c r="AX191" s="106">
        <v>14.898703855600161</v>
      </c>
      <c r="AY191" s="106">
        <v>0</v>
      </c>
    </row>
    <row r="192" spans="1:51">
      <c r="A192" s="109"/>
      <c r="B192" s="120">
        <v>4</v>
      </c>
      <c r="C192" s="106">
        <v>0</v>
      </c>
      <c r="D192" s="106">
        <v>0</v>
      </c>
      <c r="E192" s="106">
        <v>0</v>
      </c>
      <c r="F192" s="106">
        <v>0</v>
      </c>
      <c r="G192" s="106">
        <v>0</v>
      </c>
      <c r="H192" s="106">
        <v>0</v>
      </c>
      <c r="I192" s="106">
        <v>0</v>
      </c>
      <c r="J192" s="106">
        <v>0</v>
      </c>
      <c r="K192" s="106">
        <v>0</v>
      </c>
      <c r="L192" s="106">
        <v>0</v>
      </c>
      <c r="M192" s="106">
        <v>0</v>
      </c>
      <c r="N192" s="106">
        <v>0</v>
      </c>
      <c r="O192" s="106">
        <v>0</v>
      </c>
      <c r="P192" s="106">
        <v>0</v>
      </c>
      <c r="Q192" s="106">
        <v>0</v>
      </c>
      <c r="R192" s="106">
        <v>0</v>
      </c>
      <c r="S192" s="106">
        <v>0</v>
      </c>
      <c r="T192" s="106">
        <v>0</v>
      </c>
      <c r="U192" s="106">
        <v>0</v>
      </c>
      <c r="V192" s="106">
        <v>0</v>
      </c>
      <c r="W192" s="106">
        <v>0</v>
      </c>
      <c r="X192" s="106">
        <v>0</v>
      </c>
      <c r="Y192" s="106">
        <v>0</v>
      </c>
      <c r="Z192" s="106">
        <v>0</v>
      </c>
      <c r="AA192" s="106">
        <v>0</v>
      </c>
      <c r="AB192" s="106">
        <v>0</v>
      </c>
      <c r="AC192" s="106">
        <v>0</v>
      </c>
      <c r="AD192" s="106">
        <v>0</v>
      </c>
      <c r="AE192" s="106">
        <v>0</v>
      </c>
      <c r="AF192" s="106">
        <v>0</v>
      </c>
      <c r="AG192" s="106">
        <v>0</v>
      </c>
      <c r="AH192" s="106">
        <v>0</v>
      </c>
      <c r="AI192" s="106">
        <v>0</v>
      </c>
      <c r="AJ192" s="106">
        <v>0</v>
      </c>
      <c r="AK192" s="106">
        <v>0</v>
      </c>
      <c r="AL192" s="106">
        <v>0</v>
      </c>
      <c r="AM192" s="106">
        <v>0</v>
      </c>
      <c r="AN192" s="106">
        <v>0</v>
      </c>
      <c r="AO192" s="106">
        <v>0</v>
      </c>
      <c r="AP192" s="106">
        <v>0</v>
      </c>
      <c r="AQ192" s="106">
        <v>0</v>
      </c>
      <c r="AR192" s="106">
        <v>0</v>
      </c>
      <c r="AS192" s="106">
        <v>0</v>
      </c>
      <c r="AT192" s="106">
        <v>0</v>
      </c>
      <c r="AU192" s="106">
        <v>0</v>
      </c>
      <c r="AV192" s="106">
        <v>0</v>
      </c>
      <c r="AW192" s="106">
        <v>0</v>
      </c>
      <c r="AX192" s="106">
        <v>0</v>
      </c>
      <c r="AY192" s="106">
        <v>0</v>
      </c>
    </row>
    <row r="193" spans="1:51">
      <c r="A193" s="109"/>
      <c r="B193" s="127">
        <v>5</v>
      </c>
      <c r="C193" s="106">
        <v>0</v>
      </c>
      <c r="D193" s="106">
        <v>0</v>
      </c>
      <c r="E193" s="106">
        <v>0</v>
      </c>
      <c r="F193" s="106">
        <v>0</v>
      </c>
      <c r="G193" s="106">
        <v>0</v>
      </c>
      <c r="H193" s="106">
        <v>0</v>
      </c>
      <c r="I193" s="106">
        <v>0</v>
      </c>
      <c r="J193" s="106">
        <v>0</v>
      </c>
      <c r="K193" s="106">
        <v>0</v>
      </c>
      <c r="L193" s="106">
        <v>0</v>
      </c>
      <c r="M193" s="106">
        <v>0</v>
      </c>
      <c r="N193" s="106">
        <v>0</v>
      </c>
      <c r="O193" s="106">
        <v>0</v>
      </c>
      <c r="P193" s="106">
        <v>0</v>
      </c>
      <c r="Q193" s="106">
        <v>0</v>
      </c>
      <c r="R193" s="106">
        <v>0</v>
      </c>
      <c r="S193" s="106">
        <v>0</v>
      </c>
      <c r="T193" s="106">
        <v>0</v>
      </c>
      <c r="U193" s="106">
        <v>0</v>
      </c>
      <c r="V193" s="106">
        <v>0</v>
      </c>
      <c r="W193" s="106">
        <v>0</v>
      </c>
      <c r="X193" s="106">
        <v>0</v>
      </c>
      <c r="Y193" s="106">
        <v>0</v>
      </c>
      <c r="Z193" s="106">
        <v>0</v>
      </c>
      <c r="AA193" s="106">
        <v>0</v>
      </c>
      <c r="AB193" s="106">
        <v>0</v>
      </c>
      <c r="AC193" s="106">
        <v>0</v>
      </c>
      <c r="AD193" s="106">
        <v>0</v>
      </c>
      <c r="AE193" s="106">
        <v>0</v>
      </c>
      <c r="AF193" s="106">
        <v>0</v>
      </c>
      <c r="AG193" s="106">
        <v>0</v>
      </c>
      <c r="AH193" s="106">
        <v>0</v>
      </c>
      <c r="AI193" s="106">
        <v>0</v>
      </c>
      <c r="AJ193" s="106">
        <v>0</v>
      </c>
      <c r="AK193" s="106">
        <v>0</v>
      </c>
      <c r="AL193" s="106">
        <v>0</v>
      </c>
      <c r="AM193" s="106">
        <v>0</v>
      </c>
      <c r="AN193" s="106">
        <v>0</v>
      </c>
      <c r="AO193" s="106">
        <v>0</v>
      </c>
      <c r="AP193" s="106">
        <v>0</v>
      </c>
      <c r="AQ193" s="106">
        <v>0</v>
      </c>
      <c r="AR193" s="106">
        <v>0</v>
      </c>
      <c r="AS193" s="106">
        <v>0</v>
      </c>
      <c r="AT193" s="106">
        <v>0</v>
      </c>
      <c r="AU193" s="106">
        <v>0</v>
      </c>
      <c r="AV193" s="106">
        <v>0</v>
      </c>
      <c r="AW193" s="106">
        <v>0</v>
      </c>
      <c r="AX193" s="106">
        <v>0</v>
      </c>
      <c r="AY193" s="106">
        <v>0</v>
      </c>
    </row>
    <row r="194" spans="1:51">
      <c r="A194" s="109"/>
      <c r="B194" s="127">
        <v>6</v>
      </c>
      <c r="C194" s="106">
        <v>0</v>
      </c>
      <c r="D194" s="106">
        <v>0</v>
      </c>
      <c r="E194" s="106">
        <v>0</v>
      </c>
      <c r="F194" s="106">
        <v>0</v>
      </c>
      <c r="G194" s="106">
        <v>0</v>
      </c>
      <c r="H194" s="106">
        <v>0</v>
      </c>
      <c r="I194" s="106">
        <v>0</v>
      </c>
      <c r="J194" s="106">
        <v>0</v>
      </c>
      <c r="K194" s="106">
        <v>0</v>
      </c>
      <c r="L194" s="106">
        <v>0</v>
      </c>
      <c r="M194" s="106">
        <v>0</v>
      </c>
      <c r="N194" s="106">
        <v>0</v>
      </c>
      <c r="O194" s="106">
        <v>0</v>
      </c>
      <c r="P194" s="106">
        <v>0</v>
      </c>
      <c r="Q194" s="106">
        <v>0</v>
      </c>
      <c r="R194" s="106">
        <v>0</v>
      </c>
      <c r="S194" s="106">
        <v>0</v>
      </c>
      <c r="T194" s="106">
        <v>0</v>
      </c>
      <c r="U194" s="106">
        <v>0</v>
      </c>
      <c r="V194" s="106">
        <v>0</v>
      </c>
      <c r="W194" s="106">
        <v>0</v>
      </c>
      <c r="X194" s="106">
        <v>0</v>
      </c>
      <c r="Y194" s="106">
        <v>0</v>
      </c>
      <c r="Z194" s="106">
        <v>0</v>
      </c>
      <c r="AA194" s="106">
        <v>0</v>
      </c>
      <c r="AB194" s="106">
        <v>0</v>
      </c>
      <c r="AC194" s="106">
        <v>0</v>
      </c>
      <c r="AD194" s="106">
        <v>0</v>
      </c>
      <c r="AE194" s="106">
        <v>0</v>
      </c>
      <c r="AF194" s="106">
        <v>0</v>
      </c>
      <c r="AG194" s="106">
        <v>0</v>
      </c>
      <c r="AH194" s="106">
        <v>0</v>
      </c>
      <c r="AI194" s="106">
        <v>0</v>
      </c>
      <c r="AJ194" s="106">
        <v>0</v>
      </c>
      <c r="AK194" s="106">
        <v>0</v>
      </c>
      <c r="AL194" s="106">
        <v>0</v>
      </c>
      <c r="AM194" s="106">
        <v>0</v>
      </c>
      <c r="AN194" s="106">
        <v>0</v>
      </c>
      <c r="AO194" s="106">
        <v>0</v>
      </c>
      <c r="AP194" s="106">
        <v>0</v>
      </c>
      <c r="AQ194" s="106">
        <v>0</v>
      </c>
      <c r="AR194" s="106">
        <v>0</v>
      </c>
      <c r="AS194" s="106">
        <v>0</v>
      </c>
      <c r="AT194" s="106">
        <v>0</v>
      </c>
      <c r="AU194" s="106">
        <v>0</v>
      </c>
      <c r="AV194" s="106">
        <v>0</v>
      </c>
      <c r="AW194" s="106">
        <v>0</v>
      </c>
      <c r="AX194" s="106">
        <v>0</v>
      </c>
      <c r="AY194" s="106">
        <v>0</v>
      </c>
    </row>
    <row r="195" spans="1:51">
      <c r="A195" s="109"/>
      <c r="B195" s="130">
        <v>7</v>
      </c>
      <c r="C195" s="106">
        <v>0</v>
      </c>
      <c r="D195" s="106">
        <v>0</v>
      </c>
      <c r="E195" s="106">
        <v>0</v>
      </c>
      <c r="F195" s="106">
        <v>0</v>
      </c>
      <c r="G195" s="106">
        <v>0</v>
      </c>
      <c r="H195" s="106">
        <v>0</v>
      </c>
      <c r="I195" s="106">
        <v>0</v>
      </c>
      <c r="J195" s="106">
        <v>0</v>
      </c>
      <c r="K195" s="106">
        <v>0</v>
      </c>
      <c r="L195" s="106">
        <v>0</v>
      </c>
      <c r="M195" s="106">
        <v>0</v>
      </c>
      <c r="N195" s="106">
        <v>0</v>
      </c>
      <c r="O195" s="106">
        <v>0</v>
      </c>
      <c r="P195" s="106">
        <v>0</v>
      </c>
      <c r="Q195" s="106">
        <v>0</v>
      </c>
      <c r="R195" s="106">
        <v>0</v>
      </c>
      <c r="S195" s="106">
        <v>0</v>
      </c>
      <c r="T195" s="106">
        <v>0</v>
      </c>
      <c r="U195" s="106">
        <v>0</v>
      </c>
      <c r="V195" s="106">
        <v>0</v>
      </c>
      <c r="W195" s="106">
        <v>0</v>
      </c>
      <c r="X195" s="106">
        <v>0</v>
      </c>
      <c r="Y195" s="106">
        <v>0</v>
      </c>
      <c r="Z195" s="106">
        <v>0</v>
      </c>
      <c r="AA195" s="106">
        <v>0</v>
      </c>
      <c r="AB195" s="106">
        <v>0</v>
      </c>
      <c r="AC195" s="106">
        <v>0</v>
      </c>
      <c r="AD195" s="106">
        <v>0</v>
      </c>
      <c r="AE195" s="106">
        <v>0</v>
      </c>
      <c r="AF195" s="106">
        <v>0</v>
      </c>
      <c r="AG195" s="106">
        <v>0</v>
      </c>
      <c r="AH195" s="106">
        <v>0</v>
      </c>
      <c r="AI195" s="106">
        <v>0</v>
      </c>
      <c r="AJ195" s="106">
        <v>0</v>
      </c>
      <c r="AK195" s="106">
        <v>0</v>
      </c>
      <c r="AL195" s="106">
        <v>0</v>
      </c>
      <c r="AM195" s="106">
        <v>0</v>
      </c>
      <c r="AN195" s="106">
        <v>0</v>
      </c>
      <c r="AO195" s="106">
        <v>0</v>
      </c>
      <c r="AP195" s="106">
        <v>0</v>
      </c>
      <c r="AQ195" s="106">
        <v>0</v>
      </c>
      <c r="AR195" s="106">
        <v>0</v>
      </c>
      <c r="AS195" s="106">
        <v>0</v>
      </c>
      <c r="AT195" s="106">
        <v>0</v>
      </c>
      <c r="AU195" s="106">
        <v>0</v>
      </c>
      <c r="AV195" s="106">
        <v>0</v>
      </c>
      <c r="AW195" s="106">
        <v>0</v>
      </c>
      <c r="AX195" s="106">
        <v>0</v>
      </c>
      <c r="AY195" s="106">
        <v>0</v>
      </c>
    </row>
    <row r="196" spans="1:51">
      <c r="A196" s="128"/>
      <c r="B196" s="129">
        <v>8</v>
      </c>
      <c r="C196" s="114">
        <v>0</v>
      </c>
      <c r="D196" s="114">
        <v>0</v>
      </c>
      <c r="E196" s="114">
        <v>0</v>
      </c>
      <c r="F196" s="114">
        <v>0</v>
      </c>
      <c r="G196" s="114">
        <v>0</v>
      </c>
      <c r="H196" s="114">
        <v>0</v>
      </c>
      <c r="I196" s="114">
        <v>0</v>
      </c>
      <c r="J196" s="114">
        <v>0</v>
      </c>
      <c r="K196" s="114">
        <v>0</v>
      </c>
      <c r="L196" s="114">
        <v>0</v>
      </c>
      <c r="M196" s="114">
        <v>0</v>
      </c>
      <c r="N196" s="114">
        <v>0</v>
      </c>
      <c r="O196" s="114">
        <v>0</v>
      </c>
      <c r="P196" s="114">
        <v>0</v>
      </c>
      <c r="Q196" s="114">
        <v>0</v>
      </c>
      <c r="R196" s="114">
        <v>0</v>
      </c>
      <c r="S196" s="114">
        <v>0</v>
      </c>
      <c r="T196" s="114">
        <v>0</v>
      </c>
      <c r="U196" s="114">
        <v>0</v>
      </c>
      <c r="V196" s="114">
        <v>0</v>
      </c>
      <c r="W196" s="114">
        <v>0</v>
      </c>
      <c r="X196" s="114">
        <v>0</v>
      </c>
      <c r="Y196" s="114">
        <v>0</v>
      </c>
      <c r="Z196" s="114">
        <v>0</v>
      </c>
      <c r="AA196" s="114">
        <v>0</v>
      </c>
      <c r="AB196" s="114">
        <v>0</v>
      </c>
      <c r="AC196" s="114">
        <v>0</v>
      </c>
      <c r="AD196" s="114">
        <v>0</v>
      </c>
      <c r="AE196" s="114">
        <v>0</v>
      </c>
      <c r="AF196" s="114">
        <v>0</v>
      </c>
      <c r="AG196" s="114">
        <v>0</v>
      </c>
      <c r="AH196" s="114">
        <v>0</v>
      </c>
      <c r="AI196" s="114">
        <v>0</v>
      </c>
      <c r="AJ196" s="114">
        <v>0</v>
      </c>
      <c r="AK196" s="114">
        <v>0</v>
      </c>
      <c r="AL196" s="114">
        <v>0</v>
      </c>
      <c r="AM196" s="114">
        <v>0</v>
      </c>
      <c r="AN196" s="114">
        <v>0</v>
      </c>
      <c r="AO196" s="114">
        <v>0</v>
      </c>
      <c r="AP196" s="114">
        <v>0</v>
      </c>
      <c r="AQ196" s="114">
        <v>0</v>
      </c>
      <c r="AR196" s="114">
        <v>0</v>
      </c>
      <c r="AS196" s="114">
        <v>0</v>
      </c>
      <c r="AT196" s="114">
        <v>0</v>
      </c>
      <c r="AU196" s="114">
        <v>0</v>
      </c>
      <c r="AV196" s="114">
        <v>0</v>
      </c>
      <c r="AW196" s="114">
        <v>0</v>
      </c>
      <c r="AX196" s="114">
        <v>0</v>
      </c>
      <c r="AY196" s="114">
        <v>0</v>
      </c>
    </row>
    <row r="197" spans="1:51">
      <c r="A197" s="131" t="s">
        <v>134</v>
      </c>
      <c r="B197" s="119">
        <v>1</v>
      </c>
      <c r="C197" s="106">
        <v>116.14384992047385</v>
      </c>
      <c r="D197" s="106">
        <v>253.67495878295958</v>
      </c>
      <c r="E197" s="106">
        <v>369.79076894938061</v>
      </c>
      <c r="F197" s="106">
        <v>116.16034851881356</v>
      </c>
      <c r="G197" s="106">
        <v>464</v>
      </c>
      <c r="H197" s="106">
        <v>0</v>
      </c>
      <c r="I197" s="106">
        <v>12.246587148517506</v>
      </c>
      <c r="J197" s="106">
        <v>170.7614514701051</v>
      </c>
      <c r="K197" s="106">
        <v>0</v>
      </c>
      <c r="L197" s="106">
        <v>0</v>
      </c>
      <c r="M197" s="106">
        <v>0</v>
      </c>
      <c r="N197" s="106">
        <v>368.56522918414493</v>
      </c>
      <c r="O197" s="106">
        <v>571.3925585733773</v>
      </c>
      <c r="P197" s="106">
        <v>302.07980438474976</v>
      </c>
      <c r="Q197" s="106">
        <v>168.42422081973109</v>
      </c>
      <c r="R197" s="106">
        <v>253.0449091248619</v>
      </c>
      <c r="S197" s="106">
        <v>116.16034851881345</v>
      </c>
      <c r="T197" s="106">
        <v>524</v>
      </c>
      <c r="U197" s="106">
        <v>29.674923719418302</v>
      </c>
      <c r="V197" s="106">
        <v>0</v>
      </c>
      <c r="W197" s="106">
        <v>194.25286196895163</v>
      </c>
      <c r="X197" s="106">
        <v>143.95242987227834</v>
      </c>
      <c r="Y197" s="106">
        <v>0</v>
      </c>
      <c r="Z197" s="106">
        <v>0</v>
      </c>
      <c r="AA197" s="106">
        <v>0</v>
      </c>
      <c r="AB197" s="106">
        <v>81.079506063378915</v>
      </c>
      <c r="AC197" s="106">
        <v>215.90683545261123</v>
      </c>
      <c r="AD197" s="106">
        <v>3.2587032907713365E-2</v>
      </c>
      <c r="AE197" s="106">
        <v>552</v>
      </c>
      <c r="AF197" s="106">
        <v>342.91918197895416</v>
      </c>
      <c r="AG197" s="106">
        <v>3.2587032907770208E-2</v>
      </c>
      <c r="AH197" s="106">
        <v>458.5872078188782</v>
      </c>
      <c r="AI197" s="106">
        <v>86.605682280521734</v>
      </c>
      <c r="AJ197" s="106">
        <v>443</v>
      </c>
      <c r="AK197" s="106">
        <v>399.87367791441636</v>
      </c>
      <c r="AL197" s="106">
        <v>24.647804093509194</v>
      </c>
      <c r="AM197" s="106">
        <v>326.87079911377214</v>
      </c>
      <c r="AN197" s="106">
        <v>116.16034851881356</v>
      </c>
      <c r="AO197" s="106">
        <v>411</v>
      </c>
      <c r="AP197" s="106">
        <v>259.81500729727827</v>
      </c>
      <c r="AQ197" s="106">
        <v>395.40856293103633</v>
      </c>
      <c r="AR197" s="106">
        <v>104.09580874240879</v>
      </c>
      <c r="AS197" s="106">
        <v>3.2587032907770208E-2</v>
      </c>
      <c r="AT197" s="106">
        <v>485.30043209667332</v>
      </c>
      <c r="AU197" s="106">
        <v>3.2587032907749551E-2</v>
      </c>
      <c r="AV197" s="106">
        <v>458</v>
      </c>
      <c r="AW197" s="106">
        <v>312.81500729727816</v>
      </c>
      <c r="AX197" s="106">
        <v>0</v>
      </c>
      <c r="AY197" s="106">
        <v>3.258703290777501E-2</v>
      </c>
    </row>
    <row r="198" spans="1:51">
      <c r="A198" s="109"/>
      <c r="B198" s="119">
        <v>2</v>
      </c>
      <c r="C198" s="106">
        <v>241.88531493640386</v>
      </c>
      <c r="D198" s="106">
        <v>0</v>
      </c>
      <c r="E198" s="106">
        <v>0</v>
      </c>
      <c r="F198" s="106">
        <v>0</v>
      </c>
      <c r="G198" s="106">
        <v>0</v>
      </c>
      <c r="H198" s="106">
        <v>463</v>
      </c>
      <c r="I198" s="106">
        <v>402.39347713975837</v>
      </c>
      <c r="J198" s="106">
        <v>246.2385485298949</v>
      </c>
      <c r="K198" s="106">
        <v>425</v>
      </c>
      <c r="L198" s="106">
        <v>374.73839283725329</v>
      </c>
      <c r="M198" s="106">
        <v>317.94622361332779</v>
      </c>
      <c r="N198" s="106">
        <v>3.2587032907749551E-2</v>
      </c>
      <c r="O198" s="106">
        <v>0.60744142662269951</v>
      </c>
      <c r="P198" s="106">
        <v>166.92019561525024</v>
      </c>
      <c r="Q198" s="106">
        <v>228.90884389821645</v>
      </c>
      <c r="R198" s="106">
        <v>2.8421709430404007E-14</v>
      </c>
      <c r="S198" s="106">
        <v>0</v>
      </c>
      <c r="T198" s="106">
        <v>0</v>
      </c>
      <c r="U198" s="106">
        <v>467.3250762805817</v>
      </c>
      <c r="V198" s="106">
        <v>443</v>
      </c>
      <c r="W198" s="106">
        <v>40.056138227489633</v>
      </c>
      <c r="X198" s="106">
        <v>291.04757012772166</v>
      </c>
      <c r="Y198" s="106">
        <v>384</v>
      </c>
      <c r="Z198" s="106">
        <v>370.1790743557699</v>
      </c>
      <c r="AA198" s="106">
        <v>286.83552746772727</v>
      </c>
      <c r="AB198" s="106">
        <v>369.17267061076757</v>
      </c>
      <c r="AC198" s="106">
        <v>288.09316454738877</v>
      </c>
      <c r="AD198" s="106">
        <v>153.26583515815634</v>
      </c>
      <c r="AE198" s="106">
        <v>1.0734468869344482E-14</v>
      </c>
      <c r="AF198" s="106">
        <v>186.31275418862754</v>
      </c>
      <c r="AG198" s="106">
        <v>133.37021367342498</v>
      </c>
      <c r="AH198" s="106">
        <v>4.801714581503802E-15</v>
      </c>
      <c r="AI198" s="106">
        <v>279.72554636974934</v>
      </c>
      <c r="AJ198" s="106">
        <v>0</v>
      </c>
      <c r="AK198" s="106">
        <v>116.12632208558364</v>
      </c>
      <c r="AL198" s="106">
        <v>378.35219590649081</v>
      </c>
      <c r="AM198" s="106">
        <v>222.07564037067908</v>
      </c>
      <c r="AN198" s="106">
        <v>0</v>
      </c>
      <c r="AO198" s="106">
        <v>0</v>
      </c>
      <c r="AP198" s="106">
        <v>211.18499270272173</v>
      </c>
      <c r="AQ198" s="106">
        <v>130.59143706896367</v>
      </c>
      <c r="AR198" s="106">
        <v>342.90419125759121</v>
      </c>
      <c r="AS198" s="106">
        <v>393.30561833262021</v>
      </c>
      <c r="AT198" s="106">
        <v>4.801714581503802E-15</v>
      </c>
      <c r="AU198" s="106">
        <v>0</v>
      </c>
      <c r="AV198" s="106">
        <v>0</v>
      </c>
      <c r="AW198" s="106">
        <v>164.18499270272184</v>
      </c>
      <c r="AX198" s="106">
        <v>478.36154503371006</v>
      </c>
      <c r="AY198" s="106">
        <v>558.84534234709815</v>
      </c>
    </row>
    <row r="199" spans="1:51">
      <c r="A199" s="109"/>
      <c r="B199" s="119">
        <v>3</v>
      </c>
      <c r="C199" s="106">
        <v>0</v>
      </c>
      <c r="D199" s="106">
        <v>0</v>
      </c>
      <c r="E199" s="106">
        <v>0</v>
      </c>
      <c r="F199" s="106">
        <v>0</v>
      </c>
      <c r="G199" s="106">
        <v>0</v>
      </c>
      <c r="H199" s="106">
        <v>0</v>
      </c>
      <c r="I199" s="106">
        <v>65.35993571172412</v>
      </c>
      <c r="J199" s="106">
        <v>0</v>
      </c>
      <c r="K199" s="106">
        <v>0</v>
      </c>
      <c r="L199" s="106">
        <v>142.55130271852249</v>
      </c>
      <c r="M199" s="106">
        <v>139.2327300336915</v>
      </c>
      <c r="N199" s="106">
        <v>61.402183782947304</v>
      </c>
      <c r="O199" s="106">
        <v>0</v>
      </c>
      <c r="P199" s="106">
        <v>0</v>
      </c>
      <c r="Q199" s="106">
        <v>0</v>
      </c>
      <c r="R199" s="106">
        <v>0</v>
      </c>
      <c r="S199" s="106">
        <v>0</v>
      </c>
      <c r="T199" s="106">
        <v>0</v>
      </c>
      <c r="U199" s="106">
        <v>0</v>
      </c>
      <c r="V199" s="106">
        <v>0</v>
      </c>
      <c r="W199" s="106">
        <v>149.69099980355873</v>
      </c>
      <c r="X199" s="106">
        <v>0</v>
      </c>
      <c r="Y199" s="106">
        <v>0</v>
      </c>
      <c r="Z199" s="106">
        <v>120.8209256442301</v>
      </c>
      <c r="AA199" s="106">
        <v>143.16447253227273</v>
      </c>
      <c r="AB199" s="106">
        <v>96.644647218204284</v>
      </c>
      <c r="AC199" s="106">
        <v>0</v>
      </c>
      <c r="AD199" s="106">
        <v>0</v>
      </c>
      <c r="AE199" s="106">
        <v>0</v>
      </c>
      <c r="AF199" s="106">
        <v>0</v>
      </c>
      <c r="AG199" s="106">
        <v>0</v>
      </c>
      <c r="AH199" s="106">
        <v>0</v>
      </c>
      <c r="AI199" s="106">
        <v>0</v>
      </c>
      <c r="AJ199" s="106">
        <v>0</v>
      </c>
      <c r="AK199" s="106">
        <v>0</v>
      </c>
      <c r="AL199" s="106">
        <v>0</v>
      </c>
      <c r="AM199" s="106">
        <v>0</v>
      </c>
      <c r="AN199" s="106">
        <v>0</v>
      </c>
      <c r="AO199" s="106">
        <v>0</v>
      </c>
      <c r="AP199" s="106">
        <v>0</v>
      </c>
      <c r="AQ199" s="106">
        <v>0</v>
      </c>
      <c r="AR199" s="106">
        <v>0</v>
      </c>
      <c r="AS199" s="106">
        <v>0</v>
      </c>
      <c r="AT199" s="106">
        <v>0</v>
      </c>
      <c r="AU199" s="106">
        <v>0</v>
      </c>
      <c r="AV199" s="106">
        <v>0</v>
      </c>
      <c r="AW199" s="106">
        <v>0</v>
      </c>
      <c r="AX199" s="106">
        <v>0</v>
      </c>
      <c r="AY199" s="106">
        <v>47.058802301132459</v>
      </c>
    </row>
    <row r="200" spans="1:51">
      <c r="A200" s="109"/>
      <c r="B200" s="120">
        <v>4</v>
      </c>
      <c r="C200" s="106">
        <v>0</v>
      </c>
      <c r="D200" s="106">
        <v>0</v>
      </c>
      <c r="E200" s="106">
        <v>0</v>
      </c>
      <c r="F200" s="106">
        <v>0</v>
      </c>
      <c r="G200" s="106">
        <v>0</v>
      </c>
      <c r="H200" s="106">
        <v>0</v>
      </c>
      <c r="I200" s="106">
        <v>0</v>
      </c>
      <c r="J200" s="106">
        <v>0</v>
      </c>
      <c r="K200" s="106">
        <v>0</v>
      </c>
      <c r="L200" s="106">
        <v>0</v>
      </c>
      <c r="M200" s="106">
        <v>0</v>
      </c>
      <c r="N200" s="106">
        <v>0</v>
      </c>
      <c r="O200" s="106">
        <v>0</v>
      </c>
      <c r="P200" s="106">
        <v>0</v>
      </c>
      <c r="Q200" s="106">
        <v>0</v>
      </c>
      <c r="R200" s="106">
        <v>0</v>
      </c>
      <c r="S200" s="106">
        <v>0</v>
      </c>
      <c r="T200" s="106">
        <v>0</v>
      </c>
      <c r="U200" s="106">
        <v>0</v>
      </c>
      <c r="V200" s="106">
        <v>0</v>
      </c>
      <c r="W200" s="106">
        <v>0</v>
      </c>
      <c r="X200" s="106">
        <v>0</v>
      </c>
      <c r="Y200" s="106">
        <v>0</v>
      </c>
      <c r="Z200" s="106">
        <v>0</v>
      </c>
      <c r="AA200" s="106">
        <v>0</v>
      </c>
      <c r="AB200" s="106">
        <v>0</v>
      </c>
      <c r="AC200" s="106">
        <v>0</v>
      </c>
      <c r="AD200" s="106">
        <v>0</v>
      </c>
      <c r="AE200" s="106">
        <v>0</v>
      </c>
      <c r="AF200" s="106">
        <v>0</v>
      </c>
      <c r="AG200" s="106">
        <v>0</v>
      </c>
      <c r="AH200" s="106">
        <v>0</v>
      </c>
      <c r="AI200" s="106">
        <v>0</v>
      </c>
      <c r="AJ200" s="106">
        <v>0</v>
      </c>
      <c r="AK200" s="106">
        <v>0</v>
      </c>
      <c r="AL200" s="106">
        <v>0</v>
      </c>
      <c r="AM200" s="106">
        <v>0</v>
      </c>
      <c r="AN200" s="106">
        <v>0</v>
      </c>
      <c r="AO200" s="106">
        <v>0</v>
      </c>
      <c r="AP200" s="106">
        <v>0</v>
      </c>
      <c r="AQ200" s="106">
        <v>0</v>
      </c>
      <c r="AR200" s="106">
        <v>0</v>
      </c>
      <c r="AS200" s="106">
        <v>0</v>
      </c>
      <c r="AT200" s="106">
        <v>0</v>
      </c>
      <c r="AU200" s="106">
        <v>0</v>
      </c>
      <c r="AV200" s="106">
        <v>0</v>
      </c>
      <c r="AW200" s="106">
        <v>0</v>
      </c>
      <c r="AX200" s="106">
        <v>0</v>
      </c>
      <c r="AY200" s="106">
        <v>0</v>
      </c>
    </row>
    <row r="201" spans="1:51">
      <c r="A201" s="109"/>
      <c r="B201" s="120">
        <v>5</v>
      </c>
      <c r="C201" s="106">
        <v>0</v>
      </c>
      <c r="D201" s="106">
        <v>0</v>
      </c>
      <c r="E201" s="106">
        <v>0</v>
      </c>
      <c r="F201" s="106">
        <v>0</v>
      </c>
      <c r="G201" s="106">
        <v>0</v>
      </c>
      <c r="H201" s="106">
        <v>0</v>
      </c>
      <c r="I201" s="106">
        <v>0</v>
      </c>
      <c r="J201" s="106">
        <v>0</v>
      </c>
      <c r="K201" s="106">
        <v>0</v>
      </c>
      <c r="L201" s="106">
        <v>0</v>
      </c>
      <c r="M201" s="106">
        <v>0</v>
      </c>
      <c r="N201" s="106">
        <v>0</v>
      </c>
      <c r="O201" s="106">
        <v>0</v>
      </c>
      <c r="P201" s="106">
        <v>0</v>
      </c>
      <c r="Q201" s="106">
        <v>0</v>
      </c>
      <c r="R201" s="106">
        <v>0</v>
      </c>
      <c r="S201" s="106">
        <v>0</v>
      </c>
      <c r="T201" s="106">
        <v>0</v>
      </c>
      <c r="U201" s="106">
        <v>0</v>
      </c>
      <c r="V201" s="106">
        <v>0</v>
      </c>
      <c r="W201" s="106">
        <v>0</v>
      </c>
      <c r="X201" s="106">
        <v>0</v>
      </c>
      <c r="Y201" s="106">
        <v>0</v>
      </c>
      <c r="Z201" s="106">
        <v>0</v>
      </c>
      <c r="AA201" s="106">
        <v>0</v>
      </c>
      <c r="AB201" s="106">
        <v>0</v>
      </c>
      <c r="AC201" s="106">
        <v>0</v>
      </c>
      <c r="AD201" s="106">
        <v>0</v>
      </c>
      <c r="AE201" s="106">
        <v>0</v>
      </c>
      <c r="AF201" s="106">
        <v>0</v>
      </c>
      <c r="AG201" s="106">
        <v>0</v>
      </c>
      <c r="AH201" s="106">
        <v>0</v>
      </c>
      <c r="AI201" s="106">
        <v>0</v>
      </c>
      <c r="AJ201" s="106">
        <v>0</v>
      </c>
      <c r="AK201" s="106">
        <v>0</v>
      </c>
      <c r="AL201" s="106">
        <v>0</v>
      </c>
      <c r="AM201" s="106">
        <v>0</v>
      </c>
      <c r="AN201" s="106">
        <v>0</v>
      </c>
      <c r="AO201" s="106">
        <v>0</v>
      </c>
      <c r="AP201" s="106">
        <v>0</v>
      </c>
      <c r="AQ201" s="106">
        <v>0</v>
      </c>
      <c r="AR201" s="106">
        <v>0</v>
      </c>
      <c r="AS201" s="106">
        <v>0</v>
      </c>
      <c r="AT201" s="106">
        <v>0</v>
      </c>
      <c r="AU201" s="106">
        <v>0</v>
      </c>
      <c r="AV201" s="106">
        <v>0</v>
      </c>
      <c r="AW201" s="106">
        <v>0</v>
      </c>
      <c r="AX201" s="106">
        <v>0</v>
      </c>
      <c r="AY201" s="106">
        <v>0</v>
      </c>
    </row>
    <row r="202" spans="1:51">
      <c r="A202" s="109"/>
      <c r="B202" s="120">
        <v>6</v>
      </c>
      <c r="C202" s="106">
        <v>0</v>
      </c>
      <c r="D202" s="106">
        <v>0</v>
      </c>
      <c r="E202" s="106">
        <v>0</v>
      </c>
      <c r="F202" s="106">
        <v>0</v>
      </c>
      <c r="G202" s="106">
        <v>0</v>
      </c>
      <c r="H202" s="106">
        <v>0</v>
      </c>
      <c r="I202" s="106">
        <v>0</v>
      </c>
      <c r="J202" s="106">
        <v>0</v>
      </c>
      <c r="K202" s="106">
        <v>0</v>
      </c>
      <c r="L202" s="106">
        <v>0</v>
      </c>
      <c r="M202" s="106">
        <v>0</v>
      </c>
      <c r="N202" s="106">
        <v>0</v>
      </c>
      <c r="O202" s="106">
        <v>0</v>
      </c>
      <c r="P202" s="106">
        <v>0</v>
      </c>
      <c r="Q202" s="106">
        <v>0</v>
      </c>
      <c r="R202" s="106">
        <v>0</v>
      </c>
      <c r="S202" s="106">
        <v>0</v>
      </c>
      <c r="T202" s="106">
        <v>0</v>
      </c>
      <c r="U202" s="106">
        <v>0</v>
      </c>
      <c r="V202" s="106">
        <v>0</v>
      </c>
      <c r="W202" s="106">
        <v>0</v>
      </c>
      <c r="X202" s="106">
        <v>0</v>
      </c>
      <c r="Y202" s="106">
        <v>0</v>
      </c>
      <c r="Z202" s="106">
        <v>0</v>
      </c>
      <c r="AA202" s="106">
        <v>0</v>
      </c>
      <c r="AB202" s="106">
        <v>0</v>
      </c>
      <c r="AC202" s="106">
        <v>0</v>
      </c>
      <c r="AD202" s="106">
        <v>0</v>
      </c>
      <c r="AE202" s="106">
        <v>0</v>
      </c>
      <c r="AF202" s="106">
        <v>0</v>
      </c>
      <c r="AG202" s="106">
        <v>0</v>
      </c>
      <c r="AH202" s="106">
        <v>0</v>
      </c>
      <c r="AI202" s="106">
        <v>0</v>
      </c>
      <c r="AJ202" s="106">
        <v>0</v>
      </c>
      <c r="AK202" s="106">
        <v>0</v>
      </c>
      <c r="AL202" s="106">
        <v>0</v>
      </c>
      <c r="AM202" s="106">
        <v>0</v>
      </c>
      <c r="AN202" s="106">
        <v>0</v>
      </c>
      <c r="AO202" s="106">
        <v>0</v>
      </c>
      <c r="AP202" s="106">
        <v>0</v>
      </c>
      <c r="AQ202" s="106">
        <v>0</v>
      </c>
      <c r="AR202" s="106">
        <v>0</v>
      </c>
      <c r="AS202" s="106">
        <v>0</v>
      </c>
      <c r="AT202" s="106">
        <v>0</v>
      </c>
      <c r="AU202" s="106">
        <v>0</v>
      </c>
      <c r="AV202" s="106">
        <v>0</v>
      </c>
      <c r="AW202" s="106">
        <v>0</v>
      </c>
      <c r="AX202" s="106">
        <v>0</v>
      </c>
      <c r="AY202" s="106">
        <v>0</v>
      </c>
    </row>
    <row r="203" spans="1:51">
      <c r="A203" s="109"/>
      <c r="B203" s="127">
        <v>7</v>
      </c>
      <c r="C203" s="106">
        <v>0</v>
      </c>
      <c r="D203" s="106">
        <v>0</v>
      </c>
      <c r="E203" s="106">
        <v>0</v>
      </c>
      <c r="F203" s="106">
        <v>0</v>
      </c>
      <c r="G203" s="106">
        <v>0</v>
      </c>
      <c r="H203" s="106">
        <v>0</v>
      </c>
      <c r="I203" s="106">
        <v>0</v>
      </c>
      <c r="J203" s="106">
        <v>0</v>
      </c>
      <c r="K203" s="106">
        <v>0</v>
      </c>
      <c r="L203" s="106">
        <v>0</v>
      </c>
      <c r="M203" s="106">
        <v>0</v>
      </c>
      <c r="N203" s="106">
        <v>0</v>
      </c>
      <c r="O203" s="106">
        <v>0</v>
      </c>
      <c r="P203" s="106">
        <v>0</v>
      </c>
      <c r="Q203" s="106">
        <v>0</v>
      </c>
      <c r="R203" s="106">
        <v>0</v>
      </c>
      <c r="S203" s="106">
        <v>0</v>
      </c>
      <c r="T203" s="106">
        <v>0</v>
      </c>
      <c r="U203" s="106">
        <v>0</v>
      </c>
      <c r="V203" s="106">
        <v>0</v>
      </c>
      <c r="W203" s="106">
        <v>0</v>
      </c>
      <c r="X203" s="106">
        <v>0</v>
      </c>
      <c r="Y203" s="106">
        <v>0</v>
      </c>
      <c r="Z203" s="106">
        <v>0</v>
      </c>
      <c r="AA203" s="106">
        <v>0</v>
      </c>
      <c r="AB203" s="106">
        <v>0</v>
      </c>
      <c r="AC203" s="106">
        <v>0</v>
      </c>
      <c r="AD203" s="106">
        <v>0</v>
      </c>
      <c r="AE203" s="106">
        <v>0</v>
      </c>
      <c r="AF203" s="106">
        <v>0</v>
      </c>
      <c r="AG203" s="106">
        <v>0</v>
      </c>
      <c r="AH203" s="106">
        <v>0</v>
      </c>
      <c r="AI203" s="106">
        <v>0</v>
      </c>
      <c r="AJ203" s="106">
        <v>0</v>
      </c>
      <c r="AK203" s="106">
        <v>0</v>
      </c>
      <c r="AL203" s="106">
        <v>0</v>
      </c>
      <c r="AM203" s="106">
        <v>0</v>
      </c>
      <c r="AN203" s="106">
        <v>0</v>
      </c>
      <c r="AO203" s="106">
        <v>0</v>
      </c>
      <c r="AP203" s="106">
        <v>0</v>
      </c>
      <c r="AQ203" s="106">
        <v>0</v>
      </c>
      <c r="AR203" s="106">
        <v>0</v>
      </c>
      <c r="AS203" s="106">
        <v>0</v>
      </c>
      <c r="AT203" s="106">
        <v>0</v>
      </c>
      <c r="AU203" s="106">
        <v>0</v>
      </c>
      <c r="AV203" s="106">
        <v>0</v>
      </c>
      <c r="AW203" s="106">
        <v>0</v>
      </c>
      <c r="AX203" s="106">
        <v>0</v>
      </c>
      <c r="AY203" s="106">
        <v>0</v>
      </c>
    </row>
    <row r="204" spans="1:51">
      <c r="A204" s="109"/>
      <c r="B204" s="127">
        <v>8</v>
      </c>
      <c r="C204" s="106">
        <v>0</v>
      </c>
      <c r="D204" s="106">
        <v>0</v>
      </c>
      <c r="E204" s="106">
        <v>0</v>
      </c>
      <c r="F204" s="106">
        <v>0</v>
      </c>
      <c r="G204" s="106">
        <v>0</v>
      </c>
      <c r="H204" s="106">
        <v>0</v>
      </c>
      <c r="I204" s="106">
        <v>0</v>
      </c>
      <c r="J204" s="106">
        <v>0</v>
      </c>
      <c r="K204" s="106">
        <v>0</v>
      </c>
      <c r="L204" s="106">
        <v>0</v>
      </c>
      <c r="M204" s="106">
        <v>0</v>
      </c>
      <c r="N204" s="106">
        <v>0</v>
      </c>
      <c r="O204" s="106">
        <v>0</v>
      </c>
      <c r="P204" s="106">
        <v>0</v>
      </c>
      <c r="Q204" s="106">
        <v>0</v>
      </c>
      <c r="R204" s="106">
        <v>0</v>
      </c>
      <c r="S204" s="106">
        <v>0</v>
      </c>
      <c r="T204" s="106">
        <v>0</v>
      </c>
      <c r="U204" s="106">
        <v>0</v>
      </c>
      <c r="V204" s="106">
        <v>0</v>
      </c>
      <c r="W204" s="106">
        <v>0</v>
      </c>
      <c r="X204" s="106">
        <v>0</v>
      </c>
      <c r="Y204" s="106">
        <v>0</v>
      </c>
      <c r="Z204" s="106">
        <v>0</v>
      </c>
      <c r="AA204" s="106">
        <v>0</v>
      </c>
      <c r="AB204" s="106">
        <v>0</v>
      </c>
      <c r="AC204" s="106">
        <v>0</v>
      </c>
      <c r="AD204" s="106">
        <v>0</v>
      </c>
      <c r="AE204" s="106">
        <v>0</v>
      </c>
      <c r="AF204" s="106">
        <v>0</v>
      </c>
      <c r="AG204" s="106">
        <v>0</v>
      </c>
      <c r="AH204" s="106">
        <v>0</v>
      </c>
      <c r="AI204" s="106">
        <v>0</v>
      </c>
      <c r="AJ204" s="106">
        <v>0</v>
      </c>
      <c r="AK204" s="106">
        <v>0</v>
      </c>
      <c r="AL204" s="106">
        <v>0</v>
      </c>
      <c r="AM204" s="106">
        <v>0</v>
      </c>
      <c r="AN204" s="106">
        <v>0</v>
      </c>
      <c r="AO204" s="106">
        <v>0</v>
      </c>
      <c r="AP204" s="106">
        <v>0</v>
      </c>
      <c r="AQ204" s="106">
        <v>0</v>
      </c>
      <c r="AR204" s="106">
        <v>0</v>
      </c>
      <c r="AS204" s="106">
        <v>0</v>
      </c>
      <c r="AT204" s="106">
        <v>0</v>
      </c>
      <c r="AU204" s="106">
        <v>0</v>
      </c>
      <c r="AV204" s="106">
        <v>0</v>
      </c>
      <c r="AW204" s="106">
        <v>0</v>
      </c>
      <c r="AX204" s="106">
        <v>0</v>
      </c>
      <c r="AY204" s="106">
        <v>0</v>
      </c>
    </row>
    <row r="205" spans="1:51">
      <c r="A205" s="109"/>
      <c r="B205" s="127">
        <v>9</v>
      </c>
      <c r="C205" s="106">
        <v>0</v>
      </c>
      <c r="D205" s="106">
        <v>0</v>
      </c>
      <c r="E205" s="106">
        <v>0</v>
      </c>
      <c r="F205" s="106">
        <v>0</v>
      </c>
      <c r="G205" s="106">
        <v>0</v>
      </c>
      <c r="H205" s="106">
        <v>0</v>
      </c>
      <c r="I205" s="106">
        <v>0</v>
      </c>
      <c r="J205" s="106">
        <v>0</v>
      </c>
      <c r="K205" s="106">
        <v>0</v>
      </c>
      <c r="L205" s="106">
        <v>0</v>
      </c>
      <c r="M205" s="106">
        <v>0</v>
      </c>
      <c r="N205" s="106">
        <v>0</v>
      </c>
      <c r="O205" s="106">
        <v>0</v>
      </c>
      <c r="P205" s="106">
        <v>0</v>
      </c>
      <c r="Q205" s="106">
        <v>0</v>
      </c>
      <c r="R205" s="106">
        <v>0</v>
      </c>
      <c r="S205" s="106">
        <v>0</v>
      </c>
      <c r="T205" s="106">
        <v>0</v>
      </c>
      <c r="U205" s="106">
        <v>0</v>
      </c>
      <c r="V205" s="106">
        <v>0</v>
      </c>
      <c r="W205" s="106">
        <v>0</v>
      </c>
      <c r="X205" s="106">
        <v>0</v>
      </c>
      <c r="Y205" s="106">
        <v>0</v>
      </c>
      <c r="Z205" s="106">
        <v>0</v>
      </c>
      <c r="AA205" s="106">
        <v>0</v>
      </c>
      <c r="AB205" s="106">
        <v>0</v>
      </c>
      <c r="AC205" s="106">
        <v>0</v>
      </c>
      <c r="AD205" s="106">
        <v>0</v>
      </c>
      <c r="AE205" s="106">
        <v>0</v>
      </c>
      <c r="AF205" s="106">
        <v>0</v>
      </c>
      <c r="AG205" s="106">
        <v>0</v>
      </c>
      <c r="AH205" s="106">
        <v>0</v>
      </c>
      <c r="AI205" s="106">
        <v>0</v>
      </c>
      <c r="AJ205" s="106">
        <v>0</v>
      </c>
      <c r="AK205" s="106">
        <v>0</v>
      </c>
      <c r="AL205" s="106">
        <v>0</v>
      </c>
      <c r="AM205" s="106">
        <v>0</v>
      </c>
      <c r="AN205" s="106">
        <v>0</v>
      </c>
      <c r="AO205" s="106">
        <v>0</v>
      </c>
      <c r="AP205" s="106">
        <v>0</v>
      </c>
      <c r="AQ205" s="106">
        <v>0</v>
      </c>
      <c r="AR205" s="106">
        <v>0</v>
      </c>
      <c r="AS205" s="106">
        <v>0</v>
      </c>
      <c r="AT205" s="106">
        <v>0</v>
      </c>
      <c r="AU205" s="106">
        <v>0</v>
      </c>
      <c r="AV205" s="106">
        <v>0</v>
      </c>
      <c r="AW205" s="106">
        <v>0</v>
      </c>
      <c r="AX205" s="106">
        <v>0</v>
      </c>
      <c r="AY205" s="106">
        <v>0</v>
      </c>
    </row>
    <row r="206" spans="1:51">
      <c r="A206" s="109"/>
      <c r="B206" s="130">
        <v>10</v>
      </c>
      <c r="C206" s="106">
        <v>0</v>
      </c>
      <c r="D206" s="106">
        <v>0</v>
      </c>
      <c r="E206" s="106">
        <v>0</v>
      </c>
      <c r="F206" s="106">
        <v>0</v>
      </c>
      <c r="G206" s="106">
        <v>0</v>
      </c>
      <c r="H206" s="106">
        <v>0</v>
      </c>
      <c r="I206" s="106">
        <v>0</v>
      </c>
      <c r="J206" s="106">
        <v>0</v>
      </c>
      <c r="K206" s="106">
        <v>0</v>
      </c>
      <c r="L206" s="106">
        <v>0</v>
      </c>
      <c r="M206" s="106">
        <v>0</v>
      </c>
      <c r="N206" s="106">
        <v>0</v>
      </c>
      <c r="O206" s="106">
        <v>0</v>
      </c>
      <c r="P206" s="106">
        <v>0</v>
      </c>
      <c r="Q206" s="106">
        <v>0</v>
      </c>
      <c r="R206" s="106">
        <v>0</v>
      </c>
      <c r="S206" s="106">
        <v>0</v>
      </c>
      <c r="T206" s="106">
        <v>0</v>
      </c>
      <c r="U206" s="106">
        <v>0</v>
      </c>
      <c r="V206" s="106">
        <v>0</v>
      </c>
      <c r="W206" s="106">
        <v>0</v>
      </c>
      <c r="X206" s="106">
        <v>0</v>
      </c>
      <c r="Y206" s="106">
        <v>0</v>
      </c>
      <c r="Z206" s="106">
        <v>0</v>
      </c>
      <c r="AA206" s="106">
        <v>0</v>
      </c>
      <c r="AB206" s="106">
        <v>0</v>
      </c>
      <c r="AC206" s="106">
        <v>0</v>
      </c>
      <c r="AD206" s="106">
        <v>0</v>
      </c>
      <c r="AE206" s="106">
        <v>0</v>
      </c>
      <c r="AF206" s="106">
        <v>0</v>
      </c>
      <c r="AG206" s="106">
        <v>0</v>
      </c>
      <c r="AH206" s="106">
        <v>0</v>
      </c>
      <c r="AI206" s="106">
        <v>0</v>
      </c>
      <c r="AJ206" s="106">
        <v>0</v>
      </c>
      <c r="AK206" s="106">
        <v>0</v>
      </c>
      <c r="AL206" s="106">
        <v>0</v>
      </c>
      <c r="AM206" s="106">
        <v>0</v>
      </c>
      <c r="AN206" s="106">
        <v>0</v>
      </c>
      <c r="AO206" s="106">
        <v>0</v>
      </c>
      <c r="AP206" s="106">
        <v>0</v>
      </c>
      <c r="AQ206" s="106">
        <v>0</v>
      </c>
      <c r="AR206" s="106">
        <v>0</v>
      </c>
      <c r="AS206" s="106">
        <v>0</v>
      </c>
      <c r="AT206" s="106">
        <v>0</v>
      </c>
      <c r="AU206" s="106">
        <v>0</v>
      </c>
      <c r="AV206" s="106">
        <v>0</v>
      </c>
      <c r="AW206" s="106">
        <v>0</v>
      </c>
      <c r="AX206" s="106">
        <v>0</v>
      </c>
      <c r="AY206" s="106">
        <v>0</v>
      </c>
    </row>
    <row r="207" spans="1:51">
      <c r="A207" s="109"/>
      <c r="B207" s="130">
        <v>11</v>
      </c>
      <c r="C207" s="106">
        <v>0</v>
      </c>
      <c r="D207" s="106">
        <v>0</v>
      </c>
      <c r="E207" s="106">
        <v>0</v>
      </c>
      <c r="F207" s="106">
        <v>0</v>
      </c>
      <c r="G207" s="106">
        <v>0</v>
      </c>
      <c r="H207" s="106">
        <v>0</v>
      </c>
      <c r="I207" s="106">
        <v>0</v>
      </c>
      <c r="J207" s="106">
        <v>0</v>
      </c>
      <c r="K207" s="106">
        <v>0</v>
      </c>
      <c r="L207" s="106">
        <v>0</v>
      </c>
      <c r="M207" s="106">
        <v>0</v>
      </c>
      <c r="N207" s="106">
        <v>0</v>
      </c>
      <c r="O207" s="106">
        <v>0</v>
      </c>
      <c r="P207" s="106">
        <v>0</v>
      </c>
      <c r="Q207" s="106">
        <v>0</v>
      </c>
      <c r="R207" s="106">
        <v>0</v>
      </c>
      <c r="S207" s="106">
        <v>0</v>
      </c>
      <c r="T207" s="106">
        <v>0</v>
      </c>
      <c r="U207" s="106">
        <v>0</v>
      </c>
      <c r="V207" s="106">
        <v>0</v>
      </c>
      <c r="W207" s="106">
        <v>0</v>
      </c>
      <c r="X207" s="106">
        <v>0</v>
      </c>
      <c r="Y207" s="106">
        <v>0</v>
      </c>
      <c r="Z207" s="106">
        <v>0</v>
      </c>
      <c r="AA207" s="106">
        <v>0</v>
      </c>
      <c r="AB207" s="106">
        <v>0</v>
      </c>
      <c r="AC207" s="106">
        <v>0</v>
      </c>
      <c r="AD207" s="106">
        <v>0</v>
      </c>
      <c r="AE207" s="106">
        <v>0</v>
      </c>
      <c r="AF207" s="106">
        <v>0</v>
      </c>
      <c r="AG207" s="106">
        <v>0</v>
      </c>
      <c r="AH207" s="106">
        <v>0</v>
      </c>
      <c r="AI207" s="106">
        <v>0</v>
      </c>
      <c r="AJ207" s="106">
        <v>0</v>
      </c>
      <c r="AK207" s="106">
        <v>0</v>
      </c>
      <c r="AL207" s="106">
        <v>0</v>
      </c>
      <c r="AM207" s="106">
        <v>0</v>
      </c>
      <c r="AN207" s="106">
        <v>0</v>
      </c>
      <c r="AO207" s="106">
        <v>0</v>
      </c>
      <c r="AP207" s="106">
        <v>0</v>
      </c>
      <c r="AQ207" s="106">
        <v>0</v>
      </c>
      <c r="AR207" s="106">
        <v>0</v>
      </c>
      <c r="AS207" s="106">
        <v>0</v>
      </c>
      <c r="AT207" s="106">
        <v>0</v>
      </c>
      <c r="AU207" s="106">
        <v>0</v>
      </c>
      <c r="AV207" s="106">
        <v>0</v>
      </c>
      <c r="AW207" s="106">
        <v>0</v>
      </c>
      <c r="AX207" s="106">
        <v>0</v>
      </c>
      <c r="AY207" s="106">
        <v>0</v>
      </c>
    </row>
    <row r="208" spans="1:51">
      <c r="A208" s="109"/>
      <c r="B208" s="130">
        <v>12</v>
      </c>
      <c r="C208" s="106">
        <v>0</v>
      </c>
      <c r="D208" s="106">
        <v>0</v>
      </c>
      <c r="E208" s="106">
        <v>0</v>
      </c>
      <c r="F208" s="106">
        <v>0</v>
      </c>
      <c r="G208" s="106">
        <v>0</v>
      </c>
      <c r="H208" s="106">
        <v>0</v>
      </c>
      <c r="I208" s="106">
        <v>0</v>
      </c>
      <c r="J208" s="106">
        <v>0</v>
      </c>
      <c r="K208" s="106">
        <v>0</v>
      </c>
      <c r="L208" s="106">
        <v>0</v>
      </c>
      <c r="M208" s="106">
        <v>0</v>
      </c>
      <c r="N208" s="106">
        <v>0</v>
      </c>
      <c r="O208" s="106">
        <v>0</v>
      </c>
      <c r="P208" s="106">
        <v>0</v>
      </c>
      <c r="Q208" s="106">
        <v>0</v>
      </c>
      <c r="R208" s="106">
        <v>0</v>
      </c>
      <c r="S208" s="106">
        <v>0</v>
      </c>
      <c r="T208" s="106">
        <v>0</v>
      </c>
      <c r="U208" s="106">
        <v>0</v>
      </c>
      <c r="V208" s="106">
        <v>0</v>
      </c>
      <c r="W208" s="106">
        <v>0</v>
      </c>
      <c r="X208" s="106">
        <v>0</v>
      </c>
      <c r="Y208" s="106">
        <v>0</v>
      </c>
      <c r="Z208" s="106">
        <v>0</v>
      </c>
      <c r="AA208" s="106">
        <v>0</v>
      </c>
      <c r="AB208" s="106">
        <v>0</v>
      </c>
      <c r="AC208" s="106">
        <v>0</v>
      </c>
      <c r="AD208" s="106">
        <v>0</v>
      </c>
      <c r="AE208" s="106">
        <v>0</v>
      </c>
      <c r="AF208" s="106">
        <v>0</v>
      </c>
      <c r="AG208" s="106">
        <v>0</v>
      </c>
      <c r="AH208" s="106">
        <v>0</v>
      </c>
      <c r="AI208" s="106">
        <v>0</v>
      </c>
      <c r="AJ208" s="106">
        <v>0</v>
      </c>
      <c r="AK208" s="106">
        <v>0</v>
      </c>
      <c r="AL208" s="106">
        <v>0</v>
      </c>
      <c r="AM208" s="106">
        <v>0</v>
      </c>
      <c r="AN208" s="106">
        <v>0</v>
      </c>
      <c r="AO208" s="106">
        <v>0</v>
      </c>
      <c r="AP208" s="106">
        <v>0</v>
      </c>
      <c r="AQ208" s="106">
        <v>0</v>
      </c>
      <c r="AR208" s="106">
        <v>0</v>
      </c>
      <c r="AS208" s="106">
        <v>0</v>
      </c>
      <c r="AT208" s="106">
        <v>0</v>
      </c>
      <c r="AU208" s="106">
        <v>0</v>
      </c>
      <c r="AV208" s="106">
        <v>0</v>
      </c>
      <c r="AW208" s="106">
        <v>0</v>
      </c>
      <c r="AX208" s="106">
        <v>0</v>
      </c>
      <c r="AY208" s="106">
        <v>0</v>
      </c>
    </row>
    <row r="209" spans="1:51">
      <c r="A209" s="126" t="s">
        <v>123</v>
      </c>
      <c r="B209" s="123">
        <v>1</v>
      </c>
      <c r="C209" s="124">
        <v>4.0680279652008267E-2</v>
      </c>
      <c r="D209" s="124">
        <v>4.0179554508020569E-2</v>
      </c>
      <c r="E209" s="124">
        <v>143.22479337712437</v>
      </c>
      <c r="F209" s="124">
        <v>0</v>
      </c>
      <c r="G209" s="124">
        <v>131.07681039900675</v>
      </c>
      <c r="H209" s="124">
        <v>4.0179554508020569E-2</v>
      </c>
      <c r="I209" s="124">
        <v>587</v>
      </c>
      <c r="J209" s="124">
        <v>432.4646506253174</v>
      </c>
      <c r="K209" s="124">
        <v>455.18699059468378</v>
      </c>
      <c r="L209" s="124">
        <v>4.0179554508020569E-2</v>
      </c>
      <c r="M209" s="124">
        <v>4.0179554508020569E-2</v>
      </c>
      <c r="N209" s="124">
        <v>549</v>
      </c>
      <c r="O209" s="124">
        <v>338.48217603733883</v>
      </c>
      <c r="P209" s="124">
        <v>143.22479337712423</v>
      </c>
      <c r="Q209" s="124">
        <v>4.0179554508020569E-2</v>
      </c>
      <c r="R209" s="124">
        <v>143.22479337712423</v>
      </c>
      <c r="S209" s="124">
        <v>0</v>
      </c>
      <c r="T209" s="124">
        <v>365.81471650836295</v>
      </c>
      <c r="U209" s="124">
        <v>4.0179554508014803E-2</v>
      </c>
      <c r="V209" s="124">
        <v>83.853188959824195</v>
      </c>
      <c r="W209" s="124">
        <v>133.25456117892691</v>
      </c>
      <c r="X209" s="124">
        <v>423.23844686151801</v>
      </c>
      <c r="Y209" s="124">
        <v>455.18699059468383</v>
      </c>
      <c r="Z209" s="124">
        <v>455.18699059468378</v>
      </c>
      <c r="AA209" s="124">
        <v>455.18699059468389</v>
      </c>
      <c r="AB209" s="124">
        <v>455.18699059468383</v>
      </c>
      <c r="AC209" s="124">
        <v>4.0179554508020569E-2</v>
      </c>
      <c r="AD209" s="124">
        <v>215.99618858149478</v>
      </c>
      <c r="AE209" s="124">
        <v>455.18699059468378</v>
      </c>
      <c r="AF209" s="124">
        <v>4.0179554508020569E-2</v>
      </c>
      <c r="AG209" s="124">
        <v>717.01676289047327</v>
      </c>
      <c r="AH209" s="124">
        <v>4.0179554508020569E-2</v>
      </c>
      <c r="AI209" s="124">
        <v>124.49199670924509</v>
      </c>
      <c r="AJ209" s="124">
        <v>254.6673672840879</v>
      </c>
      <c r="AK209" s="124">
        <v>143.22479337712417</v>
      </c>
      <c r="AL209" s="124">
        <v>4.0179554508020569E-2</v>
      </c>
      <c r="AM209" s="124">
        <v>143.22479337712437</v>
      </c>
      <c r="AN209" s="124">
        <v>0</v>
      </c>
      <c r="AO209" s="124">
        <v>455.18699059468378</v>
      </c>
      <c r="AP209" s="124">
        <v>168.85318895982417</v>
      </c>
      <c r="AQ209" s="124">
        <v>455.18699059468372</v>
      </c>
      <c r="AR209" s="124">
        <v>4.0179554508020569E-2</v>
      </c>
      <c r="AS209" s="124">
        <v>143.22479337712417</v>
      </c>
      <c r="AT209" s="124">
        <v>4.0179554508020569E-2</v>
      </c>
      <c r="AU209" s="124">
        <v>232.06061205727121</v>
      </c>
      <c r="AV209" s="124">
        <v>31.649410865904684</v>
      </c>
      <c r="AW209" s="124">
        <v>455.18699059468372</v>
      </c>
      <c r="AX209" s="124">
        <v>4.0179554508020569E-2</v>
      </c>
      <c r="AY209" s="124">
        <v>223.94045455690758</v>
      </c>
    </row>
    <row r="210" spans="1:51">
      <c r="A210" s="109"/>
      <c r="B210" s="119">
        <v>2</v>
      </c>
      <c r="C210" s="106">
        <v>312.74675073343889</v>
      </c>
      <c r="D210" s="110">
        <v>455.90892141573352</v>
      </c>
      <c r="E210" s="110">
        <v>0</v>
      </c>
      <c r="F210" s="110">
        <v>584.41565414545141</v>
      </c>
      <c r="G210" s="110">
        <v>251.34077534029953</v>
      </c>
      <c r="H210" s="110">
        <v>318.66995364212664</v>
      </c>
      <c r="I210" s="110">
        <v>0</v>
      </c>
      <c r="J210" s="110">
        <v>178.5353493746826</v>
      </c>
      <c r="K210" s="110">
        <v>12.546603183858986</v>
      </c>
      <c r="L210" s="110">
        <v>3.1387252414229588E-14</v>
      </c>
      <c r="M210" s="110">
        <v>455.14681104017581</v>
      </c>
      <c r="N210" s="110">
        <v>0</v>
      </c>
      <c r="O210" s="110">
        <v>199.51782396266114</v>
      </c>
      <c r="P210" s="110">
        <v>64.440942256427391</v>
      </c>
      <c r="Q210" s="110">
        <v>311.96219721755961</v>
      </c>
      <c r="R210" s="110">
        <v>0</v>
      </c>
      <c r="S210" s="110">
        <v>201.7706514083971</v>
      </c>
      <c r="T210" s="110">
        <v>251.34077534029953</v>
      </c>
      <c r="U210" s="110">
        <v>49.34872289173898</v>
      </c>
      <c r="V210" s="110">
        <v>455.14681104017581</v>
      </c>
      <c r="W210" s="110">
        <v>344.74543882107309</v>
      </c>
      <c r="X210" s="110">
        <v>177.76155313848201</v>
      </c>
      <c r="Y210" s="110">
        <v>17.641039658001919</v>
      </c>
      <c r="Z210" s="110">
        <v>3.1387252414229588E-14</v>
      </c>
      <c r="AA210" s="110">
        <v>3.1387252414229588E-14</v>
      </c>
      <c r="AB210" s="110">
        <v>0</v>
      </c>
      <c r="AC210" s="110">
        <v>0</v>
      </c>
      <c r="AD210" s="110">
        <v>455.14681104017581</v>
      </c>
      <c r="AE210" s="110">
        <v>132.07407697157754</v>
      </c>
      <c r="AF210" s="110">
        <v>6.2774504828459177E-14</v>
      </c>
      <c r="AG210" s="110">
        <v>0</v>
      </c>
      <c r="AH210" s="110">
        <v>106.7439434967724</v>
      </c>
      <c r="AI210" s="110">
        <v>546.17355101101407</v>
      </c>
      <c r="AJ210" s="110">
        <v>413.3326327159121</v>
      </c>
      <c r="AK210" s="110">
        <v>160.98326733605927</v>
      </c>
      <c r="AL210" s="110">
        <v>402.98893718839781</v>
      </c>
      <c r="AM210" s="110">
        <v>0</v>
      </c>
      <c r="AN210" s="110">
        <v>719.73433852175651</v>
      </c>
      <c r="AO210" s="110">
        <v>2.2185960037390533E-2</v>
      </c>
      <c r="AP210" s="110">
        <v>3.1387252414229588E-14</v>
      </c>
      <c r="AQ210" s="110">
        <v>158.10504517059823</v>
      </c>
      <c r="AR210" s="110">
        <v>6.2774504828459177E-14</v>
      </c>
      <c r="AS210" s="110">
        <v>455.14681104017581</v>
      </c>
      <c r="AT210" s="110">
        <v>3.1387252414229588E-14</v>
      </c>
      <c r="AU210" s="110">
        <v>0</v>
      </c>
      <c r="AV210" s="110">
        <v>123.20377809391951</v>
      </c>
      <c r="AW210" s="110">
        <v>233.86490799244856</v>
      </c>
      <c r="AX210" s="110">
        <v>6.2774504828459177E-14</v>
      </c>
      <c r="AY210" s="110">
        <v>455.14681104017581</v>
      </c>
    </row>
    <row r="211" spans="1:51">
      <c r="A211" s="109"/>
      <c r="B211" s="119">
        <v>3</v>
      </c>
      <c r="C211" s="106">
        <v>0</v>
      </c>
      <c r="D211" s="110">
        <v>0</v>
      </c>
      <c r="E211" s="110">
        <v>0</v>
      </c>
      <c r="F211" s="110">
        <v>0</v>
      </c>
      <c r="G211" s="110">
        <v>101.58241426069374</v>
      </c>
      <c r="H211" s="110">
        <v>0</v>
      </c>
      <c r="I211" s="110">
        <v>0</v>
      </c>
      <c r="J211" s="110">
        <v>0</v>
      </c>
      <c r="K211" s="110">
        <v>0</v>
      </c>
      <c r="L211" s="110">
        <v>0</v>
      </c>
      <c r="M211" s="110">
        <v>0</v>
      </c>
      <c r="N211" s="110">
        <v>0</v>
      </c>
      <c r="O211" s="110">
        <v>0</v>
      </c>
      <c r="P211" s="110">
        <v>0</v>
      </c>
      <c r="Q211" s="110">
        <v>0</v>
      </c>
      <c r="R211" s="110">
        <v>0</v>
      </c>
      <c r="S211" s="110">
        <v>455.14681104017581</v>
      </c>
      <c r="T211" s="110">
        <v>60.844508151337521</v>
      </c>
      <c r="U211" s="110">
        <v>0</v>
      </c>
      <c r="V211" s="110">
        <v>0</v>
      </c>
      <c r="W211" s="110">
        <v>0</v>
      </c>
      <c r="X211" s="110">
        <v>0</v>
      </c>
      <c r="Y211" s="110">
        <v>0</v>
      </c>
      <c r="Z211" s="110">
        <v>0</v>
      </c>
      <c r="AA211" s="110">
        <v>0</v>
      </c>
      <c r="AB211" s="110">
        <v>0</v>
      </c>
      <c r="AC211" s="110">
        <v>0</v>
      </c>
      <c r="AD211" s="110">
        <v>0</v>
      </c>
      <c r="AE211" s="110">
        <v>0</v>
      </c>
      <c r="AF211" s="110">
        <v>0</v>
      </c>
      <c r="AG211" s="110">
        <v>0</v>
      </c>
      <c r="AH211" s="110">
        <v>0</v>
      </c>
      <c r="AI211" s="110">
        <v>0</v>
      </c>
      <c r="AJ211" s="110">
        <v>0</v>
      </c>
      <c r="AK211" s="110">
        <v>0</v>
      </c>
      <c r="AL211" s="110">
        <v>0</v>
      </c>
      <c r="AM211" s="110">
        <v>0</v>
      </c>
      <c r="AN211" s="110">
        <v>0</v>
      </c>
      <c r="AO211" s="110">
        <v>26.158889574974992</v>
      </c>
      <c r="AP211" s="110">
        <v>455.14681104017581</v>
      </c>
      <c r="AQ211" s="110">
        <v>0</v>
      </c>
      <c r="AR211" s="110">
        <v>0</v>
      </c>
      <c r="AS211" s="110">
        <v>0</v>
      </c>
      <c r="AT211" s="110">
        <v>0</v>
      </c>
      <c r="AU211" s="110">
        <v>311.96219721755961</v>
      </c>
      <c r="AV211" s="110">
        <v>455.14681104017581</v>
      </c>
      <c r="AW211" s="110">
        <v>0</v>
      </c>
      <c r="AX211" s="110">
        <v>0</v>
      </c>
      <c r="AY211" s="110">
        <v>0</v>
      </c>
    </row>
    <row r="212" spans="1:51">
      <c r="A212" s="109"/>
      <c r="B212" s="119">
        <v>4</v>
      </c>
      <c r="C212" s="106">
        <v>0</v>
      </c>
      <c r="D212" s="110">
        <v>0</v>
      </c>
      <c r="E212" s="110">
        <v>0</v>
      </c>
      <c r="F212" s="110">
        <v>0</v>
      </c>
      <c r="G212" s="110">
        <v>0</v>
      </c>
      <c r="H212" s="110">
        <v>0</v>
      </c>
      <c r="I212" s="110">
        <v>0</v>
      </c>
      <c r="J212" s="110">
        <v>0</v>
      </c>
      <c r="K212" s="110">
        <v>0</v>
      </c>
      <c r="L212" s="110">
        <v>0</v>
      </c>
      <c r="M212" s="110">
        <v>0</v>
      </c>
      <c r="N212" s="110">
        <v>0</v>
      </c>
      <c r="O212" s="110">
        <v>0</v>
      </c>
      <c r="P212" s="110">
        <v>0</v>
      </c>
      <c r="Q212" s="110">
        <v>0</v>
      </c>
      <c r="R212" s="110">
        <v>0</v>
      </c>
      <c r="S212" s="110">
        <v>0</v>
      </c>
      <c r="T212" s="110">
        <v>0</v>
      </c>
      <c r="U212" s="110">
        <v>0</v>
      </c>
      <c r="V212" s="110">
        <v>0</v>
      </c>
      <c r="W212" s="110">
        <v>0</v>
      </c>
      <c r="X212" s="110">
        <v>0</v>
      </c>
      <c r="Y212" s="110">
        <v>0</v>
      </c>
      <c r="Z212" s="110">
        <v>0</v>
      </c>
      <c r="AA212" s="110">
        <v>0</v>
      </c>
      <c r="AB212" s="110">
        <v>0</v>
      </c>
      <c r="AC212" s="110">
        <v>0</v>
      </c>
      <c r="AD212" s="110">
        <v>0</v>
      </c>
      <c r="AE212" s="110">
        <v>0</v>
      </c>
      <c r="AF212" s="110">
        <v>0</v>
      </c>
      <c r="AG212" s="110">
        <v>0</v>
      </c>
      <c r="AH212" s="110">
        <v>0</v>
      </c>
      <c r="AI212" s="110">
        <v>0</v>
      </c>
      <c r="AJ212" s="110">
        <v>0</v>
      </c>
      <c r="AK212" s="110">
        <v>0</v>
      </c>
      <c r="AL212" s="110">
        <v>0</v>
      </c>
      <c r="AM212" s="110">
        <v>0</v>
      </c>
      <c r="AN212" s="110">
        <v>0</v>
      </c>
      <c r="AO212" s="110">
        <v>0</v>
      </c>
      <c r="AP212" s="110">
        <v>0</v>
      </c>
      <c r="AQ212" s="110">
        <v>0</v>
      </c>
      <c r="AR212" s="110">
        <v>0</v>
      </c>
      <c r="AS212" s="110">
        <v>0</v>
      </c>
      <c r="AT212" s="110">
        <v>0</v>
      </c>
      <c r="AU212" s="110">
        <v>0</v>
      </c>
      <c r="AV212" s="110">
        <v>0</v>
      </c>
      <c r="AW212" s="110">
        <v>0</v>
      </c>
      <c r="AX212" s="110">
        <v>0</v>
      </c>
      <c r="AY212" s="110">
        <v>0</v>
      </c>
    </row>
    <row r="213" spans="1:51">
      <c r="A213" s="109"/>
      <c r="B213" s="119">
        <v>5</v>
      </c>
      <c r="C213" s="106">
        <v>0</v>
      </c>
      <c r="D213" s="110">
        <v>0</v>
      </c>
      <c r="E213" s="110">
        <v>0</v>
      </c>
      <c r="F213" s="110">
        <v>0</v>
      </c>
      <c r="G213" s="110">
        <v>0</v>
      </c>
      <c r="H213" s="110">
        <v>0</v>
      </c>
      <c r="I213" s="110">
        <v>0</v>
      </c>
      <c r="J213" s="110">
        <v>0</v>
      </c>
      <c r="K213" s="110">
        <v>0</v>
      </c>
      <c r="L213" s="110">
        <v>0</v>
      </c>
      <c r="M213" s="110">
        <v>0</v>
      </c>
      <c r="N213" s="110">
        <v>0</v>
      </c>
      <c r="O213" s="110">
        <v>0</v>
      </c>
      <c r="P213" s="110">
        <v>0</v>
      </c>
      <c r="Q213" s="110">
        <v>0</v>
      </c>
      <c r="R213" s="110">
        <v>0</v>
      </c>
      <c r="S213" s="110">
        <v>0</v>
      </c>
      <c r="T213" s="110">
        <v>0</v>
      </c>
      <c r="U213" s="110">
        <v>0</v>
      </c>
      <c r="V213" s="110">
        <v>0</v>
      </c>
      <c r="W213" s="110">
        <v>0</v>
      </c>
      <c r="X213" s="110">
        <v>0</v>
      </c>
      <c r="Y213" s="110">
        <v>0</v>
      </c>
      <c r="Z213" s="110">
        <v>0</v>
      </c>
      <c r="AA213" s="110">
        <v>0</v>
      </c>
      <c r="AB213" s="110">
        <v>0</v>
      </c>
      <c r="AC213" s="110">
        <v>0</v>
      </c>
      <c r="AD213" s="110">
        <v>0</v>
      </c>
      <c r="AE213" s="110">
        <v>0</v>
      </c>
      <c r="AF213" s="110">
        <v>0</v>
      </c>
      <c r="AG213" s="110">
        <v>0</v>
      </c>
      <c r="AH213" s="110">
        <v>0</v>
      </c>
      <c r="AI213" s="110">
        <v>0</v>
      </c>
      <c r="AJ213" s="110">
        <v>0</v>
      </c>
      <c r="AK213" s="110">
        <v>0</v>
      </c>
      <c r="AL213" s="110">
        <v>0</v>
      </c>
      <c r="AM213" s="110">
        <v>0</v>
      </c>
      <c r="AN213" s="110">
        <v>0</v>
      </c>
      <c r="AO213" s="110">
        <v>0</v>
      </c>
      <c r="AP213" s="110">
        <v>0</v>
      </c>
      <c r="AQ213" s="110">
        <v>0</v>
      </c>
      <c r="AR213" s="110">
        <v>0</v>
      </c>
      <c r="AS213" s="110">
        <v>0</v>
      </c>
      <c r="AT213" s="110">
        <v>0</v>
      </c>
      <c r="AU213" s="110">
        <v>0</v>
      </c>
      <c r="AV213" s="110">
        <v>0</v>
      </c>
      <c r="AW213" s="110">
        <v>0</v>
      </c>
      <c r="AX213" s="110">
        <v>0</v>
      </c>
      <c r="AY213" s="110">
        <v>0</v>
      </c>
    </row>
    <row r="214" spans="1:51">
      <c r="A214" s="109"/>
      <c r="B214" s="119">
        <v>6</v>
      </c>
      <c r="C214" s="106">
        <v>0</v>
      </c>
      <c r="D214" s="110">
        <v>0</v>
      </c>
      <c r="E214" s="110">
        <v>0</v>
      </c>
      <c r="F214" s="110">
        <v>0</v>
      </c>
      <c r="G214" s="110">
        <v>0</v>
      </c>
      <c r="H214" s="110">
        <v>0</v>
      </c>
      <c r="I214" s="110">
        <v>0</v>
      </c>
      <c r="J214" s="110">
        <v>0</v>
      </c>
      <c r="K214" s="110">
        <v>0</v>
      </c>
      <c r="L214" s="110">
        <v>0</v>
      </c>
      <c r="M214" s="110">
        <v>0</v>
      </c>
      <c r="N214" s="110">
        <v>0</v>
      </c>
      <c r="O214" s="110">
        <v>0</v>
      </c>
      <c r="P214" s="110">
        <v>0</v>
      </c>
      <c r="Q214" s="110">
        <v>0</v>
      </c>
      <c r="R214" s="110">
        <v>0</v>
      </c>
      <c r="S214" s="110">
        <v>0</v>
      </c>
      <c r="T214" s="110">
        <v>0</v>
      </c>
      <c r="U214" s="110">
        <v>0</v>
      </c>
      <c r="V214" s="110">
        <v>0</v>
      </c>
      <c r="W214" s="110">
        <v>0</v>
      </c>
      <c r="X214" s="110">
        <v>0</v>
      </c>
      <c r="Y214" s="110">
        <v>0</v>
      </c>
      <c r="Z214" s="110">
        <v>0</v>
      </c>
      <c r="AA214" s="110">
        <v>0</v>
      </c>
      <c r="AB214" s="110">
        <v>0</v>
      </c>
      <c r="AC214" s="110">
        <v>0</v>
      </c>
      <c r="AD214" s="110">
        <v>0</v>
      </c>
      <c r="AE214" s="110">
        <v>0</v>
      </c>
      <c r="AF214" s="110">
        <v>0</v>
      </c>
      <c r="AG214" s="110">
        <v>0</v>
      </c>
      <c r="AH214" s="110">
        <v>0</v>
      </c>
      <c r="AI214" s="110">
        <v>0</v>
      </c>
      <c r="AJ214" s="110">
        <v>0</v>
      </c>
      <c r="AK214" s="110">
        <v>0</v>
      </c>
      <c r="AL214" s="110">
        <v>0</v>
      </c>
      <c r="AM214" s="110">
        <v>0</v>
      </c>
      <c r="AN214" s="110">
        <v>0</v>
      </c>
      <c r="AO214" s="110">
        <v>0</v>
      </c>
      <c r="AP214" s="110">
        <v>0</v>
      </c>
      <c r="AQ214" s="110">
        <v>0</v>
      </c>
      <c r="AR214" s="110">
        <v>0</v>
      </c>
      <c r="AS214" s="110">
        <v>0</v>
      </c>
      <c r="AT214" s="110">
        <v>0</v>
      </c>
      <c r="AU214" s="110">
        <v>0</v>
      </c>
      <c r="AV214" s="110">
        <v>0</v>
      </c>
      <c r="AW214" s="110">
        <v>0</v>
      </c>
      <c r="AX214" s="110">
        <v>0</v>
      </c>
      <c r="AY214" s="110">
        <v>0</v>
      </c>
    </row>
    <row r="215" spans="1:51">
      <c r="A215" s="109"/>
      <c r="B215" s="119">
        <v>7</v>
      </c>
      <c r="C215" s="106">
        <v>0</v>
      </c>
      <c r="D215" s="110">
        <v>0</v>
      </c>
      <c r="E215" s="110">
        <v>0</v>
      </c>
      <c r="F215" s="110">
        <v>0</v>
      </c>
      <c r="G215" s="110">
        <v>0</v>
      </c>
      <c r="H215" s="110">
        <v>0</v>
      </c>
      <c r="I215" s="110">
        <v>0</v>
      </c>
      <c r="J215" s="110">
        <v>0</v>
      </c>
      <c r="K215" s="110">
        <v>0</v>
      </c>
      <c r="L215" s="110">
        <v>0</v>
      </c>
      <c r="M215" s="110">
        <v>0</v>
      </c>
      <c r="N215" s="110">
        <v>0</v>
      </c>
      <c r="O215" s="110">
        <v>0</v>
      </c>
      <c r="P215" s="110">
        <v>0</v>
      </c>
      <c r="Q215" s="110">
        <v>0</v>
      </c>
      <c r="R215" s="110">
        <v>0</v>
      </c>
      <c r="S215" s="110">
        <v>0</v>
      </c>
      <c r="T215" s="110">
        <v>0</v>
      </c>
      <c r="U215" s="110">
        <v>0</v>
      </c>
      <c r="V215" s="110">
        <v>0</v>
      </c>
      <c r="W215" s="110">
        <v>0</v>
      </c>
      <c r="X215" s="110">
        <v>0</v>
      </c>
      <c r="Y215" s="110">
        <v>0</v>
      </c>
      <c r="Z215" s="110">
        <v>0</v>
      </c>
      <c r="AA215" s="110">
        <v>0</v>
      </c>
      <c r="AB215" s="110">
        <v>0</v>
      </c>
      <c r="AC215" s="110">
        <v>0</v>
      </c>
      <c r="AD215" s="110">
        <v>0</v>
      </c>
      <c r="AE215" s="110">
        <v>0</v>
      </c>
      <c r="AF215" s="110">
        <v>0</v>
      </c>
      <c r="AG215" s="110">
        <v>0</v>
      </c>
      <c r="AH215" s="110">
        <v>0</v>
      </c>
      <c r="AI215" s="110">
        <v>0</v>
      </c>
      <c r="AJ215" s="110">
        <v>0</v>
      </c>
      <c r="AK215" s="110">
        <v>0</v>
      </c>
      <c r="AL215" s="110">
        <v>0</v>
      </c>
      <c r="AM215" s="110">
        <v>0</v>
      </c>
      <c r="AN215" s="110">
        <v>0</v>
      </c>
      <c r="AO215" s="110">
        <v>0</v>
      </c>
      <c r="AP215" s="110">
        <v>0</v>
      </c>
      <c r="AQ215" s="110">
        <v>0</v>
      </c>
      <c r="AR215" s="110">
        <v>0</v>
      </c>
      <c r="AS215" s="110">
        <v>0</v>
      </c>
      <c r="AT215" s="110">
        <v>0</v>
      </c>
      <c r="AU215" s="110">
        <v>0</v>
      </c>
      <c r="AV215" s="110">
        <v>0</v>
      </c>
      <c r="AW215" s="110">
        <v>0</v>
      </c>
      <c r="AX215" s="110">
        <v>0</v>
      </c>
      <c r="AY215" s="110">
        <v>0</v>
      </c>
    </row>
    <row r="216" spans="1:51">
      <c r="A216" s="109"/>
      <c r="B216" s="119">
        <v>8</v>
      </c>
      <c r="C216" s="106">
        <v>0</v>
      </c>
      <c r="D216" s="110">
        <v>0</v>
      </c>
      <c r="E216" s="110">
        <v>0</v>
      </c>
      <c r="F216" s="110">
        <v>0</v>
      </c>
      <c r="G216" s="110">
        <v>0</v>
      </c>
      <c r="H216" s="110">
        <v>0</v>
      </c>
      <c r="I216" s="110">
        <v>0</v>
      </c>
      <c r="J216" s="110">
        <v>0</v>
      </c>
      <c r="K216" s="110">
        <v>0</v>
      </c>
      <c r="L216" s="110">
        <v>0</v>
      </c>
      <c r="M216" s="110">
        <v>0</v>
      </c>
      <c r="N216" s="110">
        <v>0</v>
      </c>
      <c r="O216" s="110">
        <v>0</v>
      </c>
      <c r="P216" s="110">
        <v>0</v>
      </c>
      <c r="Q216" s="110">
        <v>0</v>
      </c>
      <c r="R216" s="110">
        <v>0</v>
      </c>
      <c r="S216" s="110">
        <v>0</v>
      </c>
      <c r="T216" s="110">
        <v>0</v>
      </c>
      <c r="U216" s="110">
        <v>0</v>
      </c>
      <c r="V216" s="110">
        <v>0</v>
      </c>
      <c r="W216" s="110">
        <v>0</v>
      </c>
      <c r="X216" s="110">
        <v>0</v>
      </c>
      <c r="Y216" s="110">
        <v>0</v>
      </c>
      <c r="Z216" s="110">
        <v>0</v>
      </c>
      <c r="AA216" s="110">
        <v>0</v>
      </c>
      <c r="AB216" s="110">
        <v>0</v>
      </c>
      <c r="AC216" s="110">
        <v>0</v>
      </c>
      <c r="AD216" s="110">
        <v>0</v>
      </c>
      <c r="AE216" s="110">
        <v>0</v>
      </c>
      <c r="AF216" s="110">
        <v>0</v>
      </c>
      <c r="AG216" s="110">
        <v>0</v>
      </c>
      <c r="AH216" s="110">
        <v>0</v>
      </c>
      <c r="AI216" s="110">
        <v>0</v>
      </c>
      <c r="AJ216" s="110">
        <v>0</v>
      </c>
      <c r="AK216" s="110">
        <v>0</v>
      </c>
      <c r="AL216" s="110">
        <v>0</v>
      </c>
      <c r="AM216" s="110">
        <v>0</v>
      </c>
      <c r="AN216" s="110">
        <v>0</v>
      </c>
      <c r="AO216" s="110">
        <v>0</v>
      </c>
      <c r="AP216" s="110">
        <v>0</v>
      </c>
      <c r="AQ216" s="110">
        <v>0</v>
      </c>
      <c r="AR216" s="110">
        <v>0</v>
      </c>
      <c r="AS216" s="110">
        <v>0</v>
      </c>
      <c r="AT216" s="110">
        <v>0</v>
      </c>
      <c r="AU216" s="110">
        <v>0</v>
      </c>
      <c r="AV216" s="110">
        <v>0</v>
      </c>
      <c r="AW216" s="110">
        <v>0</v>
      </c>
      <c r="AX216" s="110">
        <v>0</v>
      </c>
      <c r="AY216" s="110">
        <v>0</v>
      </c>
    </row>
    <row r="217" spans="1:51">
      <c r="A217" s="109"/>
      <c r="B217" s="119">
        <v>9</v>
      </c>
      <c r="C217" s="106">
        <v>0</v>
      </c>
      <c r="D217" s="110">
        <v>0</v>
      </c>
      <c r="E217" s="110">
        <v>0</v>
      </c>
      <c r="F217" s="110">
        <v>0</v>
      </c>
      <c r="G217" s="110">
        <v>0</v>
      </c>
      <c r="H217" s="110">
        <v>0</v>
      </c>
      <c r="I217" s="110">
        <v>0</v>
      </c>
      <c r="J217" s="110">
        <v>0</v>
      </c>
      <c r="K217" s="110">
        <v>0</v>
      </c>
      <c r="L217" s="110">
        <v>0</v>
      </c>
      <c r="M217" s="110">
        <v>0</v>
      </c>
      <c r="N217" s="110">
        <v>0</v>
      </c>
      <c r="O217" s="110">
        <v>0</v>
      </c>
      <c r="P217" s="110">
        <v>0</v>
      </c>
      <c r="Q217" s="110">
        <v>0</v>
      </c>
      <c r="R217" s="110">
        <v>0</v>
      </c>
      <c r="S217" s="110">
        <v>0</v>
      </c>
      <c r="T217" s="110">
        <v>0</v>
      </c>
      <c r="U217" s="110">
        <v>0</v>
      </c>
      <c r="V217" s="110">
        <v>0</v>
      </c>
      <c r="W217" s="110">
        <v>0</v>
      </c>
      <c r="X217" s="110">
        <v>0</v>
      </c>
      <c r="Y217" s="110">
        <v>0</v>
      </c>
      <c r="Z217" s="110">
        <v>0</v>
      </c>
      <c r="AA217" s="110">
        <v>0</v>
      </c>
      <c r="AB217" s="110">
        <v>0</v>
      </c>
      <c r="AC217" s="110">
        <v>0</v>
      </c>
      <c r="AD217" s="110">
        <v>0</v>
      </c>
      <c r="AE217" s="110">
        <v>0</v>
      </c>
      <c r="AF217" s="110">
        <v>0</v>
      </c>
      <c r="AG217" s="110">
        <v>0</v>
      </c>
      <c r="AH217" s="110">
        <v>0</v>
      </c>
      <c r="AI217" s="110">
        <v>0</v>
      </c>
      <c r="AJ217" s="110">
        <v>0</v>
      </c>
      <c r="AK217" s="110">
        <v>0</v>
      </c>
      <c r="AL217" s="110">
        <v>0</v>
      </c>
      <c r="AM217" s="110">
        <v>0</v>
      </c>
      <c r="AN217" s="110">
        <v>0</v>
      </c>
      <c r="AO217" s="110">
        <v>0</v>
      </c>
      <c r="AP217" s="110">
        <v>0</v>
      </c>
      <c r="AQ217" s="110">
        <v>0</v>
      </c>
      <c r="AR217" s="110">
        <v>0</v>
      </c>
      <c r="AS217" s="110">
        <v>0</v>
      </c>
      <c r="AT217" s="110">
        <v>0</v>
      </c>
      <c r="AU217" s="110">
        <v>0</v>
      </c>
      <c r="AV217" s="110">
        <v>0</v>
      </c>
      <c r="AW217" s="110">
        <v>0</v>
      </c>
      <c r="AX217" s="110">
        <v>0</v>
      </c>
      <c r="AY217" s="110">
        <v>0</v>
      </c>
    </row>
    <row r="218" spans="1:51">
      <c r="A218" s="109"/>
      <c r="B218" s="119">
        <v>10</v>
      </c>
      <c r="C218" s="106">
        <v>0</v>
      </c>
      <c r="D218" s="110">
        <v>0</v>
      </c>
      <c r="E218" s="110">
        <v>0</v>
      </c>
      <c r="F218" s="110">
        <v>0</v>
      </c>
      <c r="G218" s="110">
        <v>0</v>
      </c>
      <c r="H218" s="110">
        <v>0</v>
      </c>
      <c r="I218" s="110">
        <v>0</v>
      </c>
      <c r="J218" s="110">
        <v>0</v>
      </c>
      <c r="K218" s="110">
        <v>0</v>
      </c>
      <c r="L218" s="110">
        <v>0</v>
      </c>
      <c r="M218" s="110">
        <v>0</v>
      </c>
      <c r="N218" s="110">
        <v>0</v>
      </c>
      <c r="O218" s="110">
        <v>0</v>
      </c>
      <c r="P218" s="110">
        <v>0</v>
      </c>
      <c r="Q218" s="110">
        <v>0</v>
      </c>
      <c r="R218" s="110">
        <v>0</v>
      </c>
      <c r="S218" s="110">
        <v>0</v>
      </c>
      <c r="T218" s="110">
        <v>0</v>
      </c>
      <c r="U218" s="110">
        <v>0</v>
      </c>
      <c r="V218" s="110">
        <v>0</v>
      </c>
      <c r="W218" s="110">
        <v>0</v>
      </c>
      <c r="X218" s="110">
        <v>0</v>
      </c>
      <c r="Y218" s="110">
        <v>0</v>
      </c>
      <c r="Z218" s="110">
        <v>0</v>
      </c>
      <c r="AA218" s="110">
        <v>0</v>
      </c>
      <c r="AB218" s="110">
        <v>0</v>
      </c>
      <c r="AC218" s="110">
        <v>0</v>
      </c>
      <c r="AD218" s="110">
        <v>0</v>
      </c>
      <c r="AE218" s="110">
        <v>0</v>
      </c>
      <c r="AF218" s="110">
        <v>0</v>
      </c>
      <c r="AG218" s="110">
        <v>0</v>
      </c>
      <c r="AH218" s="110">
        <v>0</v>
      </c>
      <c r="AI218" s="110">
        <v>0</v>
      </c>
      <c r="AJ218" s="110">
        <v>0</v>
      </c>
      <c r="AK218" s="110">
        <v>0</v>
      </c>
      <c r="AL218" s="110">
        <v>0</v>
      </c>
      <c r="AM218" s="110">
        <v>0</v>
      </c>
      <c r="AN218" s="110">
        <v>0</v>
      </c>
      <c r="AO218" s="110">
        <v>0</v>
      </c>
      <c r="AP218" s="110">
        <v>0</v>
      </c>
      <c r="AQ218" s="110">
        <v>0</v>
      </c>
      <c r="AR218" s="110">
        <v>0</v>
      </c>
      <c r="AS218" s="110">
        <v>0</v>
      </c>
      <c r="AT218" s="110">
        <v>0</v>
      </c>
      <c r="AU218" s="110">
        <v>0</v>
      </c>
      <c r="AV218" s="110">
        <v>0</v>
      </c>
      <c r="AW218" s="110">
        <v>0</v>
      </c>
      <c r="AX218" s="110">
        <v>0</v>
      </c>
      <c r="AY218" s="110">
        <v>0</v>
      </c>
    </row>
    <row r="219" spans="1:51">
      <c r="A219" s="109"/>
      <c r="B219" s="119">
        <v>11</v>
      </c>
      <c r="C219" s="106">
        <v>0</v>
      </c>
      <c r="D219" s="110">
        <v>0</v>
      </c>
      <c r="E219" s="110">
        <v>0</v>
      </c>
      <c r="F219" s="110">
        <v>0</v>
      </c>
      <c r="G219" s="110">
        <v>0</v>
      </c>
      <c r="H219" s="110">
        <v>0</v>
      </c>
      <c r="I219" s="110">
        <v>0</v>
      </c>
      <c r="J219" s="110">
        <v>0</v>
      </c>
      <c r="K219" s="110">
        <v>0</v>
      </c>
      <c r="L219" s="110">
        <v>0</v>
      </c>
      <c r="M219" s="110">
        <v>0</v>
      </c>
      <c r="N219" s="110">
        <v>0</v>
      </c>
      <c r="O219" s="110">
        <v>0</v>
      </c>
      <c r="P219" s="110">
        <v>0</v>
      </c>
      <c r="Q219" s="110">
        <v>0</v>
      </c>
      <c r="R219" s="110">
        <v>0</v>
      </c>
      <c r="S219" s="110">
        <v>0</v>
      </c>
      <c r="T219" s="110">
        <v>0</v>
      </c>
      <c r="U219" s="110">
        <v>0</v>
      </c>
      <c r="V219" s="110">
        <v>0</v>
      </c>
      <c r="W219" s="110">
        <v>0</v>
      </c>
      <c r="X219" s="110">
        <v>0</v>
      </c>
      <c r="Y219" s="110">
        <v>0</v>
      </c>
      <c r="Z219" s="110">
        <v>0</v>
      </c>
      <c r="AA219" s="110">
        <v>0</v>
      </c>
      <c r="AB219" s="110">
        <v>0</v>
      </c>
      <c r="AC219" s="110">
        <v>0</v>
      </c>
      <c r="AD219" s="110">
        <v>0</v>
      </c>
      <c r="AE219" s="110">
        <v>0</v>
      </c>
      <c r="AF219" s="110">
        <v>0</v>
      </c>
      <c r="AG219" s="110">
        <v>0</v>
      </c>
      <c r="AH219" s="110">
        <v>0</v>
      </c>
      <c r="AI219" s="110">
        <v>0</v>
      </c>
      <c r="AJ219" s="110">
        <v>0</v>
      </c>
      <c r="AK219" s="110">
        <v>0</v>
      </c>
      <c r="AL219" s="110">
        <v>0</v>
      </c>
      <c r="AM219" s="110">
        <v>0</v>
      </c>
      <c r="AN219" s="110">
        <v>0</v>
      </c>
      <c r="AO219" s="110">
        <v>0</v>
      </c>
      <c r="AP219" s="110">
        <v>0</v>
      </c>
      <c r="AQ219" s="110">
        <v>0</v>
      </c>
      <c r="AR219" s="110">
        <v>0</v>
      </c>
      <c r="AS219" s="110">
        <v>0</v>
      </c>
      <c r="AT219" s="110">
        <v>0</v>
      </c>
      <c r="AU219" s="110">
        <v>0</v>
      </c>
      <c r="AV219" s="110">
        <v>0</v>
      </c>
      <c r="AW219" s="110">
        <v>0</v>
      </c>
      <c r="AX219" s="110">
        <v>0</v>
      </c>
      <c r="AY219" s="110">
        <v>0</v>
      </c>
    </row>
    <row r="220" spans="1:51">
      <c r="A220" s="109"/>
      <c r="B220" s="119">
        <v>12</v>
      </c>
      <c r="C220" s="106">
        <v>0</v>
      </c>
      <c r="D220" s="110">
        <v>0</v>
      </c>
      <c r="E220" s="110">
        <v>0</v>
      </c>
      <c r="F220" s="110">
        <v>0</v>
      </c>
      <c r="G220" s="110">
        <v>0</v>
      </c>
      <c r="H220" s="110">
        <v>0</v>
      </c>
      <c r="I220" s="110">
        <v>0</v>
      </c>
      <c r="J220" s="110">
        <v>0</v>
      </c>
      <c r="K220" s="110">
        <v>0</v>
      </c>
      <c r="L220" s="110">
        <v>0</v>
      </c>
      <c r="M220" s="110">
        <v>0</v>
      </c>
      <c r="N220" s="110">
        <v>0</v>
      </c>
      <c r="O220" s="110">
        <v>0</v>
      </c>
      <c r="P220" s="110">
        <v>0</v>
      </c>
      <c r="Q220" s="110">
        <v>0</v>
      </c>
      <c r="R220" s="110">
        <v>0</v>
      </c>
      <c r="S220" s="110">
        <v>0</v>
      </c>
      <c r="T220" s="110">
        <v>0</v>
      </c>
      <c r="U220" s="110">
        <v>0</v>
      </c>
      <c r="V220" s="110">
        <v>0</v>
      </c>
      <c r="W220" s="110">
        <v>0</v>
      </c>
      <c r="X220" s="110">
        <v>0</v>
      </c>
      <c r="Y220" s="110">
        <v>0</v>
      </c>
      <c r="Z220" s="110">
        <v>0</v>
      </c>
      <c r="AA220" s="110">
        <v>0</v>
      </c>
      <c r="AB220" s="110">
        <v>0</v>
      </c>
      <c r="AC220" s="110">
        <v>0</v>
      </c>
      <c r="AD220" s="110">
        <v>0</v>
      </c>
      <c r="AE220" s="110">
        <v>0</v>
      </c>
      <c r="AF220" s="110">
        <v>0</v>
      </c>
      <c r="AG220" s="110">
        <v>0</v>
      </c>
      <c r="AH220" s="110">
        <v>0</v>
      </c>
      <c r="AI220" s="110">
        <v>0</v>
      </c>
      <c r="AJ220" s="110">
        <v>0</v>
      </c>
      <c r="AK220" s="110">
        <v>0</v>
      </c>
      <c r="AL220" s="110">
        <v>0</v>
      </c>
      <c r="AM220" s="110">
        <v>0</v>
      </c>
      <c r="AN220" s="110">
        <v>0</v>
      </c>
      <c r="AO220" s="110">
        <v>0</v>
      </c>
      <c r="AP220" s="110">
        <v>0</v>
      </c>
      <c r="AQ220" s="110">
        <v>0</v>
      </c>
      <c r="AR220" s="110">
        <v>0</v>
      </c>
      <c r="AS220" s="110">
        <v>0</v>
      </c>
      <c r="AT220" s="110">
        <v>0</v>
      </c>
      <c r="AU220" s="110">
        <v>0</v>
      </c>
      <c r="AV220" s="110">
        <v>0</v>
      </c>
      <c r="AW220" s="110">
        <v>0</v>
      </c>
      <c r="AX220" s="110">
        <v>0</v>
      </c>
      <c r="AY220" s="110">
        <v>0</v>
      </c>
    </row>
    <row r="221" spans="1:51">
      <c r="A221" s="109"/>
      <c r="B221" s="120">
        <v>13</v>
      </c>
      <c r="C221" s="106">
        <v>0</v>
      </c>
      <c r="D221" s="110">
        <v>0</v>
      </c>
      <c r="E221" s="110">
        <v>0</v>
      </c>
      <c r="F221" s="110">
        <v>0</v>
      </c>
      <c r="G221" s="110">
        <v>0</v>
      </c>
      <c r="H221" s="110">
        <v>0</v>
      </c>
      <c r="I221" s="110">
        <v>0</v>
      </c>
      <c r="J221" s="110">
        <v>0</v>
      </c>
      <c r="K221" s="110">
        <v>0</v>
      </c>
      <c r="L221" s="110">
        <v>0</v>
      </c>
      <c r="M221" s="110">
        <v>0</v>
      </c>
      <c r="N221" s="110">
        <v>0</v>
      </c>
      <c r="O221" s="110">
        <v>0</v>
      </c>
      <c r="P221" s="110">
        <v>0</v>
      </c>
      <c r="Q221" s="110">
        <v>0</v>
      </c>
      <c r="R221" s="110">
        <v>0</v>
      </c>
      <c r="S221" s="110">
        <v>0</v>
      </c>
      <c r="T221" s="110">
        <v>0</v>
      </c>
      <c r="U221" s="110">
        <v>0</v>
      </c>
      <c r="V221" s="110">
        <v>0</v>
      </c>
      <c r="W221" s="110">
        <v>0</v>
      </c>
      <c r="X221" s="110">
        <v>0</v>
      </c>
      <c r="Y221" s="110">
        <v>0</v>
      </c>
      <c r="Z221" s="110">
        <v>0</v>
      </c>
      <c r="AA221" s="110">
        <v>0</v>
      </c>
      <c r="AB221" s="110">
        <v>0</v>
      </c>
      <c r="AC221" s="110">
        <v>0</v>
      </c>
      <c r="AD221" s="110">
        <v>0</v>
      </c>
      <c r="AE221" s="110">
        <v>0</v>
      </c>
      <c r="AF221" s="110">
        <v>0</v>
      </c>
      <c r="AG221" s="110">
        <v>0</v>
      </c>
      <c r="AH221" s="110">
        <v>0</v>
      </c>
      <c r="AI221" s="110">
        <v>0</v>
      </c>
      <c r="AJ221" s="110">
        <v>0</v>
      </c>
      <c r="AK221" s="110">
        <v>0</v>
      </c>
      <c r="AL221" s="110">
        <v>0</v>
      </c>
      <c r="AM221" s="110">
        <v>0</v>
      </c>
      <c r="AN221" s="110">
        <v>0</v>
      </c>
      <c r="AO221" s="110">
        <v>0</v>
      </c>
      <c r="AP221" s="110">
        <v>0</v>
      </c>
      <c r="AQ221" s="110">
        <v>0</v>
      </c>
      <c r="AR221" s="110">
        <v>0</v>
      </c>
      <c r="AS221" s="110">
        <v>0</v>
      </c>
      <c r="AT221" s="110">
        <v>0</v>
      </c>
      <c r="AU221" s="110">
        <v>0</v>
      </c>
      <c r="AV221" s="110">
        <v>0</v>
      </c>
      <c r="AW221" s="110">
        <v>0</v>
      </c>
      <c r="AX221" s="110">
        <v>0</v>
      </c>
      <c r="AY221" s="110">
        <v>0</v>
      </c>
    </row>
    <row r="222" spans="1:51">
      <c r="A222" s="109"/>
      <c r="B222" s="120">
        <v>14</v>
      </c>
      <c r="C222" s="106">
        <v>0</v>
      </c>
      <c r="D222" s="110">
        <v>0</v>
      </c>
      <c r="E222" s="110">
        <v>0</v>
      </c>
      <c r="F222" s="110">
        <v>0</v>
      </c>
      <c r="G222" s="110">
        <v>0</v>
      </c>
      <c r="H222" s="110">
        <v>0</v>
      </c>
      <c r="I222" s="110">
        <v>0</v>
      </c>
      <c r="J222" s="110">
        <v>0</v>
      </c>
      <c r="K222" s="110">
        <v>0</v>
      </c>
      <c r="L222" s="110">
        <v>0</v>
      </c>
      <c r="M222" s="110">
        <v>0</v>
      </c>
      <c r="N222" s="110">
        <v>0</v>
      </c>
      <c r="O222" s="110">
        <v>0</v>
      </c>
      <c r="P222" s="110">
        <v>0</v>
      </c>
      <c r="Q222" s="110">
        <v>0</v>
      </c>
      <c r="R222" s="110">
        <v>0</v>
      </c>
      <c r="S222" s="110">
        <v>0</v>
      </c>
      <c r="T222" s="110">
        <v>0</v>
      </c>
      <c r="U222" s="110">
        <v>0</v>
      </c>
      <c r="V222" s="110">
        <v>0</v>
      </c>
      <c r="W222" s="110">
        <v>0</v>
      </c>
      <c r="X222" s="110">
        <v>0</v>
      </c>
      <c r="Y222" s="110">
        <v>0</v>
      </c>
      <c r="Z222" s="110">
        <v>0</v>
      </c>
      <c r="AA222" s="110">
        <v>0</v>
      </c>
      <c r="AB222" s="110">
        <v>0</v>
      </c>
      <c r="AC222" s="110">
        <v>0</v>
      </c>
      <c r="AD222" s="110">
        <v>0</v>
      </c>
      <c r="AE222" s="110">
        <v>0</v>
      </c>
      <c r="AF222" s="110">
        <v>0</v>
      </c>
      <c r="AG222" s="110">
        <v>0</v>
      </c>
      <c r="AH222" s="110">
        <v>0</v>
      </c>
      <c r="AI222" s="110">
        <v>0</v>
      </c>
      <c r="AJ222" s="110">
        <v>0</v>
      </c>
      <c r="AK222" s="110">
        <v>0</v>
      </c>
      <c r="AL222" s="110">
        <v>0</v>
      </c>
      <c r="AM222" s="110">
        <v>0</v>
      </c>
      <c r="AN222" s="110">
        <v>0</v>
      </c>
      <c r="AO222" s="110">
        <v>0</v>
      </c>
      <c r="AP222" s="110">
        <v>0</v>
      </c>
      <c r="AQ222" s="110">
        <v>0</v>
      </c>
      <c r="AR222" s="110">
        <v>0</v>
      </c>
      <c r="AS222" s="110">
        <v>0</v>
      </c>
      <c r="AT222" s="110">
        <v>0</v>
      </c>
      <c r="AU222" s="110">
        <v>0</v>
      </c>
      <c r="AV222" s="110">
        <v>0</v>
      </c>
      <c r="AW222" s="110">
        <v>0</v>
      </c>
      <c r="AX222" s="110">
        <v>0</v>
      </c>
      <c r="AY222" s="110">
        <v>0</v>
      </c>
    </row>
    <row r="223" spans="1:51">
      <c r="A223" s="109"/>
      <c r="B223" s="120">
        <v>15</v>
      </c>
      <c r="C223" s="106">
        <v>0</v>
      </c>
      <c r="D223" s="110">
        <v>0</v>
      </c>
      <c r="E223" s="110">
        <v>0</v>
      </c>
      <c r="F223" s="110">
        <v>0</v>
      </c>
      <c r="G223" s="110">
        <v>0</v>
      </c>
      <c r="H223" s="110">
        <v>0</v>
      </c>
      <c r="I223" s="110">
        <v>0</v>
      </c>
      <c r="J223" s="110">
        <v>0</v>
      </c>
      <c r="K223" s="110">
        <v>0</v>
      </c>
      <c r="L223" s="110">
        <v>0</v>
      </c>
      <c r="M223" s="110">
        <v>0</v>
      </c>
      <c r="N223" s="110">
        <v>0</v>
      </c>
      <c r="O223" s="110">
        <v>0</v>
      </c>
      <c r="P223" s="110">
        <v>0</v>
      </c>
      <c r="Q223" s="110">
        <v>0</v>
      </c>
      <c r="R223" s="110">
        <v>0</v>
      </c>
      <c r="S223" s="110">
        <v>0</v>
      </c>
      <c r="T223" s="110">
        <v>0</v>
      </c>
      <c r="U223" s="110">
        <v>0</v>
      </c>
      <c r="V223" s="110">
        <v>0</v>
      </c>
      <c r="W223" s="110">
        <v>0</v>
      </c>
      <c r="X223" s="110">
        <v>0</v>
      </c>
      <c r="Y223" s="110">
        <v>0</v>
      </c>
      <c r="Z223" s="110">
        <v>0</v>
      </c>
      <c r="AA223" s="110">
        <v>0</v>
      </c>
      <c r="AB223" s="110">
        <v>0</v>
      </c>
      <c r="AC223" s="110">
        <v>0</v>
      </c>
      <c r="AD223" s="110">
        <v>0</v>
      </c>
      <c r="AE223" s="110">
        <v>0</v>
      </c>
      <c r="AF223" s="110">
        <v>0</v>
      </c>
      <c r="AG223" s="110">
        <v>0</v>
      </c>
      <c r="AH223" s="110">
        <v>0</v>
      </c>
      <c r="AI223" s="110">
        <v>0</v>
      </c>
      <c r="AJ223" s="110">
        <v>0</v>
      </c>
      <c r="AK223" s="110">
        <v>0</v>
      </c>
      <c r="AL223" s="110">
        <v>0</v>
      </c>
      <c r="AM223" s="110">
        <v>0</v>
      </c>
      <c r="AN223" s="110">
        <v>0</v>
      </c>
      <c r="AO223" s="110">
        <v>0</v>
      </c>
      <c r="AP223" s="110">
        <v>0</v>
      </c>
      <c r="AQ223" s="110">
        <v>0</v>
      </c>
      <c r="AR223" s="110">
        <v>0</v>
      </c>
      <c r="AS223" s="110">
        <v>0</v>
      </c>
      <c r="AT223" s="110">
        <v>0</v>
      </c>
      <c r="AU223" s="110">
        <v>0</v>
      </c>
      <c r="AV223" s="110">
        <v>0</v>
      </c>
      <c r="AW223" s="110">
        <v>0</v>
      </c>
      <c r="AX223" s="110">
        <v>0</v>
      </c>
      <c r="AY223" s="110">
        <v>0</v>
      </c>
    </row>
    <row r="224" spans="1:51">
      <c r="A224" s="109"/>
      <c r="B224" s="120">
        <v>16</v>
      </c>
      <c r="C224" s="106">
        <v>0</v>
      </c>
      <c r="D224" s="110">
        <v>0</v>
      </c>
      <c r="E224" s="110">
        <v>0</v>
      </c>
      <c r="F224" s="110">
        <v>0</v>
      </c>
      <c r="G224" s="110">
        <v>0</v>
      </c>
      <c r="H224" s="110">
        <v>0</v>
      </c>
      <c r="I224" s="110">
        <v>0</v>
      </c>
      <c r="J224" s="110">
        <v>0</v>
      </c>
      <c r="K224" s="110">
        <v>0</v>
      </c>
      <c r="L224" s="110">
        <v>0</v>
      </c>
      <c r="M224" s="110">
        <v>0</v>
      </c>
      <c r="N224" s="110">
        <v>0</v>
      </c>
      <c r="O224" s="110">
        <v>0</v>
      </c>
      <c r="P224" s="110">
        <v>0</v>
      </c>
      <c r="Q224" s="110">
        <v>0</v>
      </c>
      <c r="R224" s="110">
        <v>0</v>
      </c>
      <c r="S224" s="110">
        <v>0</v>
      </c>
      <c r="T224" s="110">
        <v>0</v>
      </c>
      <c r="U224" s="110">
        <v>0</v>
      </c>
      <c r="V224" s="110">
        <v>0</v>
      </c>
      <c r="W224" s="110">
        <v>0</v>
      </c>
      <c r="X224" s="110">
        <v>0</v>
      </c>
      <c r="Y224" s="110">
        <v>0</v>
      </c>
      <c r="Z224" s="110">
        <v>0</v>
      </c>
      <c r="AA224" s="110">
        <v>0</v>
      </c>
      <c r="AB224" s="110">
        <v>0</v>
      </c>
      <c r="AC224" s="110">
        <v>0</v>
      </c>
      <c r="AD224" s="110">
        <v>0</v>
      </c>
      <c r="AE224" s="110">
        <v>0</v>
      </c>
      <c r="AF224" s="110">
        <v>0</v>
      </c>
      <c r="AG224" s="110">
        <v>0</v>
      </c>
      <c r="AH224" s="110">
        <v>0</v>
      </c>
      <c r="AI224" s="110">
        <v>0</v>
      </c>
      <c r="AJ224" s="110">
        <v>0</v>
      </c>
      <c r="AK224" s="110">
        <v>0</v>
      </c>
      <c r="AL224" s="110">
        <v>0</v>
      </c>
      <c r="AM224" s="110">
        <v>0</v>
      </c>
      <c r="AN224" s="110">
        <v>0</v>
      </c>
      <c r="AO224" s="110">
        <v>0</v>
      </c>
      <c r="AP224" s="110">
        <v>0</v>
      </c>
      <c r="AQ224" s="110">
        <v>0</v>
      </c>
      <c r="AR224" s="110">
        <v>0</v>
      </c>
      <c r="AS224" s="110">
        <v>0</v>
      </c>
      <c r="AT224" s="110">
        <v>0</v>
      </c>
      <c r="AU224" s="110">
        <v>0</v>
      </c>
      <c r="AV224" s="110">
        <v>0</v>
      </c>
      <c r="AW224" s="110">
        <v>0</v>
      </c>
      <c r="AX224" s="110">
        <v>0</v>
      </c>
      <c r="AY224" s="110">
        <v>0</v>
      </c>
    </row>
    <row r="225" spans="1:51">
      <c r="A225" s="109"/>
      <c r="B225" s="120">
        <v>17</v>
      </c>
      <c r="C225" s="106">
        <v>0</v>
      </c>
      <c r="D225" s="110">
        <v>0</v>
      </c>
      <c r="E225" s="110">
        <v>0</v>
      </c>
      <c r="F225" s="110">
        <v>0</v>
      </c>
      <c r="G225" s="110">
        <v>0</v>
      </c>
      <c r="H225" s="110">
        <v>0</v>
      </c>
      <c r="I225" s="110">
        <v>0</v>
      </c>
      <c r="J225" s="110">
        <v>0</v>
      </c>
      <c r="K225" s="110">
        <v>0</v>
      </c>
      <c r="L225" s="110">
        <v>0</v>
      </c>
      <c r="M225" s="110">
        <v>0</v>
      </c>
      <c r="N225" s="110">
        <v>0</v>
      </c>
      <c r="O225" s="110">
        <v>0</v>
      </c>
      <c r="P225" s="110">
        <v>0</v>
      </c>
      <c r="Q225" s="110">
        <v>0</v>
      </c>
      <c r="R225" s="110">
        <v>0</v>
      </c>
      <c r="S225" s="110">
        <v>0</v>
      </c>
      <c r="T225" s="110">
        <v>0</v>
      </c>
      <c r="U225" s="110">
        <v>0</v>
      </c>
      <c r="V225" s="110">
        <v>0</v>
      </c>
      <c r="W225" s="110">
        <v>0</v>
      </c>
      <c r="X225" s="110">
        <v>0</v>
      </c>
      <c r="Y225" s="110">
        <v>0</v>
      </c>
      <c r="Z225" s="110">
        <v>0</v>
      </c>
      <c r="AA225" s="110">
        <v>0</v>
      </c>
      <c r="AB225" s="110">
        <v>0</v>
      </c>
      <c r="AC225" s="110">
        <v>0</v>
      </c>
      <c r="AD225" s="110">
        <v>0</v>
      </c>
      <c r="AE225" s="110">
        <v>0</v>
      </c>
      <c r="AF225" s="110">
        <v>0</v>
      </c>
      <c r="AG225" s="110">
        <v>0</v>
      </c>
      <c r="AH225" s="110">
        <v>0</v>
      </c>
      <c r="AI225" s="110">
        <v>0</v>
      </c>
      <c r="AJ225" s="110">
        <v>0</v>
      </c>
      <c r="AK225" s="110">
        <v>0</v>
      </c>
      <c r="AL225" s="110">
        <v>0</v>
      </c>
      <c r="AM225" s="110">
        <v>0</v>
      </c>
      <c r="AN225" s="110">
        <v>0</v>
      </c>
      <c r="AO225" s="110">
        <v>0</v>
      </c>
      <c r="AP225" s="110">
        <v>0</v>
      </c>
      <c r="AQ225" s="110">
        <v>0</v>
      </c>
      <c r="AR225" s="110">
        <v>0</v>
      </c>
      <c r="AS225" s="110">
        <v>0</v>
      </c>
      <c r="AT225" s="110">
        <v>0</v>
      </c>
      <c r="AU225" s="110">
        <v>0</v>
      </c>
      <c r="AV225" s="110">
        <v>0</v>
      </c>
      <c r="AW225" s="110">
        <v>0</v>
      </c>
      <c r="AX225" s="110">
        <v>0</v>
      </c>
      <c r="AY225" s="110">
        <v>0</v>
      </c>
    </row>
    <row r="226" spans="1:51">
      <c r="A226" s="109"/>
      <c r="B226" s="120">
        <v>18</v>
      </c>
      <c r="C226" s="106">
        <v>0</v>
      </c>
      <c r="D226" s="110">
        <v>0</v>
      </c>
      <c r="E226" s="110">
        <v>0</v>
      </c>
      <c r="F226" s="110">
        <v>0</v>
      </c>
      <c r="G226" s="110">
        <v>0</v>
      </c>
      <c r="H226" s="110">
        <v>0</v>
      </c>
      <c r="I226" s="110">
        <v>0</v>
      </c>
      <c r="J226" s="110">
        <v>0</v>
      </c>
      <c r="K226" s="110">
        <v>0</v>
      </c>
      <c r="L226" s="110">
        <v>0</v>
      </c>
      <c r="M226" s="110">
        <v>0</v>
      </c>
      <c r="N226" s="110">
        <v>0</v>
      </c>
      <c r="O226" s="110">
        <v>0</v>
      </c>
      <c r="P226" s="110">
        <v>0</v>
      </c>
      <c r="Q226" s="110">
        <v>0</v>
      </c>
      <c r="R226" s="110">
        <v>0</v>
      </c>
      <c r="S226" s="110">
        <v>0</v>
      </c>
      <c r="T226" s="110">
        <v>0</v>
      </c>
      <c r="U226" s="110">
        <v>0</v>
      </c>
      <c r="V226" s="110">
        <v>0</v>
      </c>
      <c r="W226" s="110">
        <v>0</v>
      </c>
      <c r="X226" s="110">
        <v>0</v>
      </c>
      <c r="Y226" s="110">
        <v>0</v>
      </c>
      <c r="Z226" s="110">
        <v>0</v>
      </c>
      <c r="AA226" s="110">
        <v>0</v>
      </c>
      <c r="AB226" s="110">
        <v>0</v>
      </c>
      <c r="AC226" s="110">
        <v>0</v>
      </c>
      <c r="AD226" s="110">
        <v>0</v>
      </c>
      <c r="AE226" s="110">
        <v>0</v>
      </c>
      <c r="AF226" s="110">
        <v>0</v>
      </c>
      <c r="AG226" s="110">
        <v>0</v>
      </c>
      <c r="AH226" s="110">
        <v>0</v>
      </c>
      <c r="AI226" s="110">
        <v>0</v>
      </c>
      <c r="AJ226" s="110">
        <v>0</v>
      </c>
      <c r="AK226" s="110">
        <v>0</v>
      </c>
      <c r="AL226" s="110">
        <v>0</v>
      </c>
      <c r="AM226" s="110">
        <v>0</v>
      </c>
      <c r="AN226" s="110">
        <v>0</v>
      </c>
      <c r="AO226" s="110">
        <v>0</v>
      </c>
      <c r="AP226" s="110">
        <v>0</v>
      </c>
      <c r="AQ226" s="110">
        <v>0</v>
      </c>
      <c r="AR226" s="110">
        <v>0</v>
      </c>
      <c r="AS226" s="110">
        <v>0</v>
      </c>
      <c r="AT226" s="110">
        <v>0</v>
      </c>
      <c r="AU226" s="110">
        <v>0</v>
      </c>
      <c r="AV226" s="110">
        <v>0</v>
      </c>
      <c r="AW226" s="110">
        <v>0</v>
      </c>
      <c r="AX226" s="110">
        <v>0</v>
      </c>
      <c r="AY226" s="110">
        <v>0</v>
      </c>
    </row>
    <row r="227" spans="1:51">
      <c r="A227" s="109"/>
      <c r="B227" s="120">
        <v>19</v>
      </c>
      <c r="C227" s="106">
        <v>0</v>
      </c>
      <c r="D227" s="110">
        <v>0</v>
      </c>
      <c r="E227" s="110">
        <v>0</v>
      </c>
      <c r="F227" s="110">
        <v>0</v>
      </c>
      <c r="G227" s="110">
        <v>0</v>
      </c>
      <c r="H227" s="110">
        <v>0</v>
      </c>
      <c r="I227" s="110">
        <v>0</v>
      </c>
      <c r="J227" s="110">
        <v>0</v>
      </c>
      <c r="K227" s="110">
        <v>0</v>
      </c>
      <c r="L227" s="110">
        <v>0</v>
      </c>
      <c r="M227" s="110">
        <v>0</v>
      </c>
      <c r="N227" s="110">
        <v>0</v>
      </c>
      <c r="O227" s="110">
        <v>0</v>
      </c>
      <c r="P227" s="110">
        <v>0</v>
      </c>
      <c r="Q227" s="110">
        <v>0</v>
      </c>
      <c r="R227" s="110">
        <v>0</v>
      </c>
      <c r="S227" s="110">
        <v>0</v>
      </c>
      <c r="T227" s="110">
        <v>0</v>
      </c>
      <c r="U227" s="110">
        <v>0</v>
      </c>
      <c r="V227" s="110">
        <v>0</v>
      </c>
      <c r="W227" s="110">
        <v>0</v>
      </c>
      <c r="X227" s="110">
        <v>0</v>
      </c>
      <c r="Y227" s="110">
        <v>0</v>
      </c>
      <c r="Z227" s="110">
        <v>0</v>
      </c>
      <c r="AA227" s="110">
        <v>0</v>
      </c>
      <c r="AB227" s="110">
        <v>0</v>
      </c>
      <c r="AC227" s="110">
        <v>0</v>
      </c>
      <c r="AD227" s="110">
        <v>0</v>
      </c>
      <c r="AE227" s="110">
        <v>0</v>
      </c>
      <c r="AF227" s="110">
        <v>0</v>
      </c>
      <c r="AG227" s="110">
        <v>0</v>
      </c>
      <c r="AH227" s="110">
        <v>0</v>
      </c>
      <c r="AI227" s="110">
        <v>0</v>
      </c>
      <c r="AJ227" s="110">
        <v>0</v>
      </c>
      <c r="AK227" s="110">
        <v>0</v>
      </c>
      <c r="AL227" s="110">
        <v>0</v>
      </c>
      <c r="AM227" s="110">
        <v>0</v>
      </c>
      <c r="AN227" s="110">
        <v>0</v>
      </c>
      <c r="AO227" s="110">
        <v>0</v>
      </c>
      <c r="AP227" s="110">
        <v>0</v>
      </c>
      <c r="AQ227" s="110">
        <v>0</v>
      </c>
      <c r="AR227" s="110">
        <v>0</v>
      </c>
      <c r="AS227" s="110">
        <v>0</v>
      </c>
      <c r="AT227" s="110">
        <v>0</v>
      </c>
      <c r="AU227" s="110">
        <v>0</v>
      </c>
      <c r="AV227" s="110">
        <v>0</v>
      </c>
      <c r="AW227" s="110">
        <v>0</v>
      </c>
      <c r="AX227" s="110">
        <v>0</v>
      </c>
      <c r="AY227" s="110">
        <v>0</v>
      </c>
    </row>
    <row r="228" spans="1:51">
      <c r="A228" s="109"/>
      <c r="B228" s="120">
        <v>20</v>
      </c>
      <c r="C228" s="106">
        <v>0</v>
      </c>
      <c r="D228" s="110">
        <v>0</v>
      </c>
      <c r="E228" s="110">
        <v>0</v>
      </c>
      <c r="F228" s="110">
        <v>0</v>
      </c>
      <c r="G228" s="110">
        <v>0</v>
      </c>
      <c r="H228" s="110">
        <v>0</v>
      </c>
      <c r="I228" s="110">
        <v>0</v>
      </c>
      <c r="J228" s="110">
        <v>0</v>
      </c>
      <c r="K228" s="110">
        <v>0</v>
      </c>
      <c r="L228" s="110">
        <v>0</v>
      </c>
      <c r="M228" s="110">
        <v>0</v>
      </c>
      <c r="N228" s="110">
        <v>0</v>
      </c>
      <c r="O228" s="110">
        <v>0</v>
      </c>
      <c r="P228" s="110">
        <v>0</v>
      </c>
      <c r="Q228" s="110">
        <v>0</v>
      </c>
      <c r="R228" s="110">
        <v>0</v>
      </c>
      <c r="S228" s="110">
        <v>0</v>
      </c>
      <c r="T228" s="110">
        <v>0</v>
      </c>
      <c r="U228" s="110">
        <v>0</v>
      </c>
      <c r="V228" s="110">
        <v>0</v>
      </c>
      <c r="W228" s="110">
        <v>0</v>
      </c>
      <c r="X228" s="110">
        <v>0</v>
      </c>
      <c r="Y228" s="110">
        <v>0</v>
      </c>
      <c r="Z228" s="110">
        <v>0</v>
      </c>
      <c r="AA228" s="110">
        <v>0</v>
      </c>
      <c r="AB228" s="110">
        <v>0</v>
      </c>
      <c r="AC228" s="110">
        <v>0</v>
      </c>
      <c r="AD228" s="110">
        <v>0</v>
      </c>
      <c r="AE228" s="110">
        <v>0</v>
      </c>
      <c r="AF228" s="110">
        <v>0</v>
      </c>
      <c r="AG228" s="110">
        <v>0</v>
      </c>
      <c r="AH228" s="110">
        <v>0</v>
      </c>
      <c r="AI228" s="110">
        <v>0</v>
      </c>
      <c r="AJ228" s="110">
        <v>0</v>
      </c>
      <c r="AK228" s="110">
        <v>0</v>
      </c>
      <c r="AL228" s="110">
        <v>0</v>
      </c>
      <c r="AM228" s="110">
        <v>0</v>
      </c>
      <c r="AN228" s="110">
        <v>0</v>
      </c>
      <c r="AO228" s="110">
        <v>0</v>
      </c>
      <c r="AP228" s="110">
        <v>0</v>
      </c>
      <c r="AQ228" s="110">
        <v>0</v>
      </c>
      <c r="AR228" s="110">
        <v>0</v>
      </c>
      <c r="AS228" s="110">
        <v>0</v>
      </c>
      <c r="AT228" s="110">
        <v>0</v>
      </c>
      <c r="AU228" s="110">
        <v>0</v>
      </c>
      <c r="AV228" s="110">
        <v>0</v>
      </c>
      <c r="AW228" s="110">
        <v>0</v>
      </c>
      <c r="AX228" s="110">
        <v>0</v>
      </c>
      <c r="AY228" s="110">
        <v>0</v>
      </c>
    </row>
    <row r="229" spans="1:51">
      <c r="A229" s="109"/>
      <c r="B229" s="120">
        <v>21</v>
      </c>
      <c r="C229" s="106">
        <v>0</v>
      </c>
      <c r="D229" s="110">
        <v>0</v>
      </c>
      <c r="E229" s="110">
        <v>0</v>
      </c>
      <c r="F229" s="110">
        <v>0</v>
      </c>
      <c r="G229" s="110">
        <v>0</v>
      </c>
      <c r="H229" s="110">
        <v>0</v>
      </c>
      <c r="I229" s="110">
        <v>0</v>
      </c>
      <c r="J229" s="110">
        <v>0</v>
      </c>
      <c r="K229" s="110">
        <v>0</v>
      </c>
      <c r="L229" s="110">
        <v>0</v>
      </c>
      <c r="M229" s="110">
        <v>0</v>
      </c>
      <c r="N229" s="110">
        <v>0</v>
      </c>
      <c r="O229" s="110">
        <v>0</v>
      </c>
      <c r="P229" s="110">
        <v>0</v>
      </c>
      <c r="Q229" s="110">
        <v>0</v>
      </c>
      <c r="R229" s="110">
        <v>0</v>
      </c>
      <c r="S229" s="110">
        <v>0</v>
      </c>
      <c r="T229" s="110">
        <v>0</v>
      </c>
      <c r="U229" s="110">
        <v>0</v>
      </c>
      <c r="V229" s="110">
        <v>0</v>
      </c>
      <c r="W229" s="110">
        <v>0</v>
      </c>
      <c r="X229" s="110">
        <v>0</v>
      </c>
      <c r="Y229" s="110">
        <v>0</v>
      </c>
      <c r="Z229" s="110">
        <v>0</v>
      </c>
      <c r="AA229" s="110">
        <v>0</v>
      </c>
      <c r="AB229" s="110">
        <v>0</v>
      </c>
      <c r="AC229" s="110">
        <v>0</v>
      </c>
      <c r="AD229" s="110">
        <v>0</v>
      </c>
      <c r="AE229" s="110">
        <v>0</v>
      </c>
      <c r="AF229" s="110">
        <v>0</v>
      </c>
      <c r="AG229" s="110">
        <v>0</v>
      </c>
      <c r="AH229" s="110">
        <v>0</v>
      </c>
      <c r="AI229" s="110">
        <v>0</v>
      </c>
      <c r="AJ229" s="110">
        <v>0</v>
      </c>
      <c r="AK229" s="110">
        <v>0</v>
      </c>
      <c r="AL229" s="110">
        <v>0</v>
      </c>
      <c r="AM229" s="110">
        <v>0</v>
      </c>
      <c r="AN229" s="110">
        <v>0</v>
      </c>
      <c r="AO229" s="110">
        <v>0</v>
      </c>
      <c r="AP229" s="110">
        <v>0</v>
      </c>
      <c r="AQ229" s="110">
        <v>0</v>
      </c>
      <c r="AR229" s="110">
        <v>0</v>
      </c>
      <c r="AS229" s="110">
        <v>0</v>
      </c>
      <c r="AT229" s="110">
        <v>0</v>
      </c>
      <c r="AU229" s="110">
        <v>0</v>
      </c>
      <c r="AV229" s="110">
        <v>0</v>
      </c>
      <c r="AW229" s="110">
        <v>0</v>
      </c>
      <c r="AX229" s="110">
        <v>0</v>
      </c>
      <c r="AY229" s="110">
        <v>0</v>
      </c>
    </row>
    <row r="230" spans="1:51">
      <c r="A230" s="109"/>
      <c r="B230" s="120">
        <v>22</v>
      </c>
      <c r="C230" s="106">
        <v>0</v>
      </c>
      <c r="D230" s="110">
        <v>0</v>
      </c>
      <c r="E230" s="110">
        <v>0</v>
      </c>
      <c r="F230" s="110">
        <v>0</v>
      </c>
      <c r="G230" s="110">
        <v>0</v>
      </c>
      <c r="H230" s="110">
        <v>0</v>
      </c>
      <c r="I230" s="110">
        <v>0</v>
      </c>
      <c r="J230" s="110">
        <v>0</v>
      </c>
      <c r="K230" s="110">
        <v>0</v>
      </c>
      <c r="L230" s="110">
        <v>0</v>
      </c>
      <c r="M230" s="110">
        <v>0</v>
      </c>
      <c r="N230" s="110">
        <v>0</v>
      </c>
      <c r="O230" s="110">
        <v>0</v>
      </c>
      <c r="P230" s="110">
        <v>0</v>
      </c>
      <c r="Q230" s="110">
        <v>0</v>
      </c>
      <c r="R230" s="110">
        <v>0</v>
      </c>
      <c r="S230" s="110">
        <v>0</v>
      </c>
      <c r="T230" s="110">
        <v>0</v>
      </c>
      <c r="U230" s="110">
        <v>0</v>
      </c>
      <c r="V230" s="110">
        <v>0</v>
      </c>
      <c r="W230" s="110">
        <v>0</v>
      </c>
      <c r="X230" s="110">
        <v>0</v>
      </c>
      <c r="Y230" s="110">
        <v>0</v>
      </c>
      <c r="Z230" s="110">
        <v>0</v>
      </c>
      <c r="AA230" s="110">
        <v>0</v>
      </c>
      <c r="AB230" s="110">
        <v>0</v>
      </c>
      <c r="AC230" s="110">
        <v>0</v>
      </c>
      <c r="AD230" s="110">
        <v>0</v>
      </c>
      <c r="AE230" s="110">
        <v>0</v>
      </c>
      <c r="AF230" s="110">
        <v>0</v>
      </c>
      <c r="AG230" s="110">
        <v>0</v>
      </c>
      <c r="AH230" s="110">
        <v>0</v>
      </c>
      <c r="AI230" s="110">
        <v>0</v>
      </c>
      <c r="AJ230" s="110">
        <v>0</v>
      </c>
      <c r="AK230" s="110">
        <v>0</v>
      </c>
      <c r="AL230" s="110">
        <v>0</v>
      </c>
      <c r="AM230" s="110">
        <v>0</v>
      </c>
      <c r="AN230" s="110">
        <v>0</v>
      </c>
      <c r="AO230" s="110">
        <v>0</v>
      </c>
      <c r="AP230" s="110">
        <v>0</v>
      </c>
      <c r="AQ230" s="110">
        <v>0</v>
      </c>
      <c r="AR230" s="110">
        <v>0</v>
      </c>
      <c r="AS230" s="110">
        <v>0</v>
      </c>
      <c r="AT230" s="110">
        <v>0</v>
      </c>
      <c r="AU230" s="110">
        <v>0</v>
      </c>
      <c r="AV230" s="110">
        <v>0</v>
      </c>
      <c r="AW230" s="110">
        <v>0</v>
      </c>
      <c r="AX230" s="110">
        <v>0</v>
      </c>
      <c r="AY230" s="110">
        <v>0</v>
      </c>
    </row>
    <row r="231" spans="1:51">
      <c r="A231" s="109"/>
      <c r="B231" s="120">
        <v>23</v>
      </c>
      <c r="C231" s="106">
        <v>0</v>
      </c>
      <c r="D231" s="110">
        <v>0</v>
      </c>
      <c r="E231" s="110">
        <v>0</v>
      </c>
      <c r="F231" s="110">
        <v>0</v>
      </c>
      <c r="G231" s="110">
        <v>0</v>
      </c>
      <c r="H231" s="110">
        <v>0</v>
      </c>
      <c r="I231" s="110">
        <v>0</v>
      </c>
      <c r="J231" s="110">
        <v>0</v>
      </c>
      <c r="K231" s="110">
        <v>0</v>
      </c>
      <c r="L231" s="110">
        <v>0</v>
      </c>
      <c r="M231" s="110">
        <v>0</v>
      </c>
      <c r="N231" s="110">
        <v>0</v>
      </c>
      <c r="O231" s="110">
        <v>0</v>
      </c>
      <c r="P231" s="110">
        <v>0</v>
      </c>
      <c r="Q231" s="110">
        <v>0</v>
      </c>
      <c r="R231" s="110">
        <v>0</v>
      </c>
      <c r="S231" s="110">
        <v>0</v>
      </c>
      <c r="T231" s="110">
        <v>0</v>
      </c>
      <c r="U231" s="110">
        <v>0</v>
      </c>
      <c r="V231" s="110">
        <v>0</v>
      </c>
      <c r="W231" s="110">
        <v>0</v>
      </c>
      <c r="X231" s="110">
        <v>0</v>
      </c>
      <c r="Y231" s="110">
        <v>0</v>
      </c>
      <c r="Z231" s="110">
        <v>0</v>
      </c>
      <c r="AA231" s="110">
        <v>0</v>
      </c>
      <c r="AB231" s="110">
        <v>0</v>
      </c>
      <c r="AC231" s="110">
        <v>0</v>
      </c>
      <c r="AD231" s="110">
        <v>0</v>
      </c>
      <c r="AE231" s="110">
        <v>0</v>
      </c>
      <c r="AF231" s="110">
        <v>0</v>
      </c>
      <c r="AG231" s="110">
        <v>0</v>
      </c>
      <c r="AH231" s="110">
        <v>0</v>
      </c>
      <c r="AI231" s="110">
        <v>0</v>
      </c>
      <c r="AJ231" s="110">
        <v>0</v>
      </c>
      <c r="AK231" s="110">
        <v>0</v>
      </c>
      <c r="AL231" s="110">
        <v>0</v>
      </c>
      <c r="AM231" s="110">
        <v>0</v>
      </c>
      <c r="AN231" s="110">
        <v>0</v>
      </c>
      <c r="AO231" s="110">
        <v>0</v>
      </c>
      <c r="AP231" s="110">
        <v>0</v>
      </c>
      <c r="AQ231" s="110">
        <v>0</v>
      </c>
      <c r="AR231" s="110">
        <v>0</v>
      </c>
      <c r="AS231" s="110">
        <v>0</v>
      </c>
      <c r="AT231" s="110">
        <v>0</v>
      </c>
      <c r="AU231" s="110">
        <v>0</v>
      </c>
      <c r="AV231" s="110">
        <v>0</v>
      </c>
      <c r="AW231" s="110">
        <v>0</v>
      </c>
      <c r="AX231" s="110">
        <v>0</v>
      </c>
      <c r="AY231" s="110">
        <v>0</v>
      </c>
    </row>
    <row r="232" spans="1:51">
      <c r="A232" s="109"/>
      <c r="B232" s="120">
        <v>24</v>
      </c>
      <c r="C232" s="106">
        <v>0</v>
      </c>
      <c r="D232" s="110">
        <v>0</v>
      </c>
      <c r="E232" s="110">
        <v>0</v>
      </c>
      <c r="F232" s="110">
        <v>0</v>
      </c>
      <c r="G232" s="110">
        <v>0</v>
      </c>
      <c r="H232" s="110">
        <v>0</v>
      </c>
      <c r="I232" s="110">
        <v>0</v>
      </c>
      <c r="J232" s="110">
        <v>0</v>
      </c>
      <c r="K232" s="110">
        <v>0</v>
      </c>
      <c r="L232" s="110">
        <v>0</v>
      </c>
      <c r="M232" s="110">
        <v>0</v>
      </c>
      <c r="N232" s="110">
        <v>0</v>
      </c>
      <c r="O232" s="110">
        <v>0</v>
      </c>
      <c r="P232" s="110">
        <v>0</v>
      </c>
      <c r="Q232" s="110">
        <v>0</v>
      </c>
      <c r="R232" s="110">
        <v>0</v>
      </c>
      <c r="S232" s="110">
        <v>0</v>
      </c>
      <c r="T232" s="110">
        <v>0</v>
      </c>
      <c r="U232" s="110">
        <v>0</v>
      </c>
      <c r="V232" s="110">
        <v>0</v>
      </c>
      <c r="W232" s="110">
        <v>0</v>
      </c>
      <c r="X232" s="110">
        <v>0</v>
      </c>
      <c r="Y232" s="110">
        <v>0</v>
      </c>
      <c r="Z232" s="110">
        <v>0</v>
      </c>
      <c r="AA232" s="110">
        <v>0</v>
      </c>
      <c r="AB232" s="110">
        <v>0</v>
      </c>
      <c r="AC232" s="110">
        <v>0</v>
      </c>
      <c r="AD232" s="110">
        <v>0</v>
      </c>
      <c r="AE232" s="110">
        <v>0</v>
      </c>
      <c r="AF232" s="110">
        <v>0</v>
      </c>
      <c r="AG232" s="110">
        <v>0</v>
      </c>
      <c r="AH232" s="110">
        <v>0</v>
      </c>
      <c r="AI232" s="110">
        <v>0</v>
      </c>
      <c r="AJ232" s="110">
        <v>0</v>
      </c>
      <c r="AK232" s="110">
        <v>0</v>
      </c>
      <c r="AL232" s="110">
        <v>0</v>
      </c>
      <c r="AM232" s="110">
        <v>0</v>
      </c>
      <c r="AN232" s="110">
        <v>0</v>
      </c>
      <c r="AO232" s="110">
        <v>0</v>
      </c>
      <c r="AP232" s="110">
        <v>0</v>
      </c>
      <c r="AQ232" s="110">
        <v>0</v>
      </c>
      <c r="AR232" s="110">
        <v>0</v>
      </c>
      <c r="AS232" s="110">
        <v>0</v>
      </c>
      <c r="AT232" s="110">
        <v>0</v>
      </c>
      <c r="AU232" s="110">
        <v>0</v>
      </c>
      <c r="AV232" s="110">
        <v>0</v>
      </c>
      <c r="AW232" s="110">
        <v>0</v>
      </c>
      <c r="AX232" s="110">
        <v>0</v>
      </c>
      <c r="AY232" s="110">
        <v>0</v>
      </c>
    </row>
    <row r="233" spans="1:51">
      <c r="A233" s="109"/>
      <c r="B233" s="127">
        <v>25</v>
      </c>
      <c r="C233" s="106">
        <v>0</v>
      </c>
      <c r="D233" s="110">
        <v>0</v>
      </c>
      <c r="E233" s="110">
        <v>0</v>
      </c>
      <c r="F233" s="110">
        <v>0</v>
      </c>
      <c r="G233" s="110">
        <v>0</v>
      </c>
      <c r="H233" s="110">
        <v>0</v>
      </c>
      <c r="I233" s="110">
        <v>0</v>
      </c>
      <c r="J233" s="110">
        <v>0</v>
      </c>
      <c r="K233" s="110">
        <v>0</v>
      </c>
      <c r="L233" s="110">
        <v>0</v>
      </c>
      <c r="M233" s="110">
        <v>0</v>
      </c>
      <c r="N233" s="110">
        <v>0</v>
      </c>
      <c r="O233" s="110">
        <v>0</v>
      </c>
      <c r="P233" s="110">
        <v>0</v>
      </c>
      <c r="Q233" s="110">
        <v>0</v>
      </c>
      <c r="R233" s="110">
        <v>0</v>
      </c>
      <c r="S233" s="110">
        <v>0</v>
      </c>
      <c r="T233" s="110">
        <v>0</v>
      </c>
      <c r="U233" s="110">
        <v>0</v>
      </c>
      <c r="V233" s="110">
        <v>0</v>
      </c>
      <c r="W233" s="110">
        <v>0</v>
      </c>
      <c r="X233" s="110">
        <v>0</v>
      </c>
      <c r="Y233" s="110">
        <v>0</v>
      </c>
      <c r="Z233" s="110">
        <v>0</v>
      </c>
      <c r="AA233" s="110">
        <v>0</v>
      </c>
      <c r="AB233" s="110">
        <v>0</v>
      </c>
      <c r="AC233" s="110">
        <v>0</v>
      </c>
      <c r="AD233" s="110">
        <v>0</v>
      </c>
      <c r="AE233" s="110">
        <v>0</v>
      </c>
      <c r="AF233" s="110">
        <v>0</v>
      </c>
      <c r="AG233" s="110">
        <v>0</v>
      </c>
      <c r="AH233" s="110">
        <v>0</v>
      </c>
      <c r="AI233" s="110">
        <v>0</v>
      </c>
      <c r="AJ233" s="110">
        <v>0</v>
      </c>
      <c r="AK233" s="110">
        <v>0</v>
      </c>
      <c r="AL233" s="110">
        <v>0</v>
      </c>
      <c r="AM233" s="110">
        <v>0</v>
      </c>
      <c r="AN233" s="110">
        <v>0</v>
      </c>
      <c r="AO233" s="110">
        <v>0</v>
      </c>
      <c r="AP233" s="110">
        <v>0</v>
      </c>
      <c r="AQ233" s="110">
        <v>0</v>
      </c>
      <c r="AR233" s="110">
        <v>0</v>
      </c>
      <c r="AS233" s="110">
        <v>0</v>
      </c>
      <c r="AT233" s="110">
        <v>0</v>
      </c>
      <c r="AU233" s="110">
        <v>0</v>
      </c>
      <c r="AV233" s="110">
        <v>0</v>
      </c>
      <c r="AW233" s="110">
        <v>0</v>
      </c>
      <c r="AX233" s="110">
        <v>0</v>
      </c>
      <c r="AY233" s="110">
        <v>0</v>
      </c>
    </row>
    <row r="234" spans="1:51">
      <c r="A234" s="109"/>
      <c r="B234" s="127">
        <v>26</v>
      </c>
      <c r="C234" s="106">
        <v>0</v>
      </c>
      <c r="D234" s="110">
        <v>0</v>
      </c>
      <c r="E234" s="110">
        <v>0</v>
      </c>
      <c r="F234" s="110">
        <v>0</v>
      </c>
      <c r="G234" s="110">
        <v>0</v>
      </c>
      <c r="H234" s="110">
        <v>0</v>
      </c>
      <c r="I234" s="110">
        <v>0</v>
      </c>
      <c r="J234" s="110">
        <v>0</v>
      </c>
      <c r="K234" s="110">
        <v>0</v>
      </c>
      <c r="L234" s="110">
        <v>0</v>
      </c>
      <c r="M234" s="110">
        <v>0</v>
      </c>
      <c r="N234" s="110">
        <v>0</v>
      </c>
      <c r="O234" s="110">
        <v>0</v>
      </c>
      <c r="P234" s="110">
        <v>0</v>
      </c>
      <c r="Q234" s="110">
        <v>0</v>
      </c>
      <c r="R234" s="110">
        <v>0</v>
      </c>
      <c r="S234" s="110">
        <v>0</v>
      </c>
      <c r="T234" s="110">
        <v>0</v>
      </c>
      <c r="U234" s="110">
        <v>0</v>
      </c>
      <c r="V234" s="110">
        <v>0</v>
      </c>
      <c r="W234" s="110">
        <v>0</v>
      </c>
      <c r="X234" s="110">
        <v>0</v>
      </c>
      <c r="Y234" s="110">
        <v>0</v>
      </c>
      <c r="Z234" s="110">
        <v>0</v>
      </c>
      <c r="AA234" s="110">
        <v>0</v>
      </c>
      <c r="AB234" s="110">
        <v>0</v>
      </c>
      <c r="AC234" s="110">
        <v>0</v>
      </c>
      <c r="AD234" s="110">
        <v>0</v>
      </c>
      <c r="AE234" s="110">
        <v>0</v>
      </c>
      <c r="AF234" s="110">
        <v>0</v>
      </c>
      <c r="AG234" s="110">
        <v>0</v>
      </c>
      <c r="AH234" s="110">
        <v>0</v>
      </c>
      <c r="AI234" s="110">
        <v>0</v>
      </c>
      <c r="AJ234" s="110">
        <v>0</v>
      </c>
      <c r="AK234" s="110">
        <v>0</v>
      </c>
      <c r="AL234" s="110">
        <v>0</v>
      </c>
      <c r="AM234" s="110">
        <v>0</v>
      </c>
      <c r="AN234" s="110">
        <v>0</v>
      </c>
      <c r="AO234" s="110">
        <v>0</v>
      </c>
      <c r="AP234" s="110">
        <v>0</v>
      </c>
      <c r="AQ234" s="110">
        <v>0</v>
      </c>
      <c r="AR234" s="110">
        <v>0</v>
      </c>
      <c r="AS234" s="110">
        <v>0</v>
      </c>
      <c r="AT234" s="110">
        <v>0</v>
      </c>
      <c r="AU234" s="110">
        <v>0</v>
      </c>
      <c r="AV234" s="110">
        <v>0</v>
      </c>
      <c r="AW234" s="110">
        <v>0</v>
      </c>
      <c r="AX234" s="110">
        <v>0</v>
      </c>
      <c r="AY234" s="110">
        <v>0</v>
      </c>
    </row>
    <row r="235" spans="1:51">
      <c r="A235" s="109"/>
      <c r="B235" s="127">
        <v>27</v>
      </c>
      <c r="C235" s="106">
        <v>0</v>
      </c>
      <c r="D235" s="110">
        <v>0</v>
      </c>
      <c r="E235" s="110">
        <v>0</v>
      </c>
      <c r="F235" s="110">
        <v>0</v>
      </c>
      <c r="G235" s="110">
        <v>0</v>
      </c>
      <c r="H235" s="110">
        <v>0</v>
      </c>
      <c r="I235" s="110">
        <v>0</v>
      </c>
      <c r="J235" s="110">
        <v>0</v>
      </c>
      <c r="K235" s="110">
        <v>0</v>
      </c>
      <c r="L235" s="110">
        <v>0</v>
      </c>
      <c r="M235" s="110">
        <v>0</v>
      </c>
      <c r="N235" s="110">
        <v>0</v>
      </c>
      <c r="O235" s="110">
        <v>0</v>
      </c>
      <c r="P235" s="110">
        <v>0</v>
      </c>
      <c r="Q235" s="110">
        <v>0</v>
      </c>
      <c r="R235" s="110">
        <v>0</v>
      </c>
      <c r="S235" s="110">
        <v>0</v>
      </c>
      <c r="T235" s="110">
        <v>0</v>
      </c>
      <c r="U235" s="110">
        <v>0</v>
      </c>
      <c r="V235" s="110">
        <v>0</v>
      </c>
      <c r="W235" s="110">
        <v>0</v>
      </c>
      <c r="X235" s="110">
        <v>0</v>
      </c>
      <c r="Y235" s="110">
        <v>0</v>
      </c>
      <c r="Z235" s="110">
        <v>0</v>
      </c>
      <c r="AA235" s="110">
        <v>0</v>
      </c>
      <c r="AB235" s="110">
        <v>0</v>
      </c>
      <c r="AC235" s="110">
        <v>0</v>
      </c>
      <c r="AD235" s="110">
        <v>0</v>
      </c>
      <c r="AE235" s="110">
        <v>0</v>
      </c>
      <c r="AF235" s="110">
        <v>0</v>
      </c>
      <c r="AG235" s="110">
        <v>0</v>
      </c>
      <c r="AH235" s="110">
        <v>0</v>
      </c>
      <c r="AI235" s="110">
        <v>0</v>
      </c>
      <c r="AJ235" s="110">
        <v>0</v>
      </c>
      <c r="AK235" s="110">
        <v>0</v>
      </c>
      <c r="AL235" s="110">
        <v>0</v>
      </c>
      <c r="AM235" s="110">
        <v>0</v>
      </c>
      <c r="AN235" s="110">
        <v>0</v>
      </c>
      <c r="AO235" s="110">
        <v>0</v>
      </c>
      <c r="AP235" s="110">
        <v>0</v>
      </c>
      <c r="AQ235" s="110">
        <v>0</v>
      </c>
      <c r="AR235" s="110">
        <v>0</v>
      </c>
      <c r="AS235" s="110">
        <v>0</v>
      </c>
      <c r="AT235" s="110">
        <v>0</v>
      </c>
      <c r="AU235" s="110">
        <v>0</v>
      </c>
      <c r="AV235" s="110">
        <v>0</v>
      </c>
      <c r="AW235" s="110">
        <v>0</v>
      </c>
      <c r="AX235" s="110">
        <v>0</v>
      </c>
      <c r="AY235" s="110">
        <v>0</v>
      </c>
    </row>
    <row r="236" spans="1:51">
      <c r="A236" s="109"/>
      <c r="B236" s="127">
        <v>28</v>
      </c>
      <c r="C236" s="106">
        <v>0</v>
      </c>
      <c r="D236" s="110">
        <v>0</v>
      </c>
      <c r="E236" s="110">
        <v>0</v>
      </c>
      <c r="F236" s="110">
        <v>0</v>
      </c>
      <c r="G236" s="110">
        <v>0</v>
      </c>
      <c r="H236" s="110">
        <v>0</v>
      </c>
      <c r="I236" s="110">
        <v>0</v>
      </c>
      <c r="J236" s="110">
        <v>0</v>
      </c>
      <c r="K236" s="110">
        <v>0</v>
      </c>
      <c r="L236" s="110">
        <v>0</v>
      </c>
      <c r="M236" s="110">
        <v>0</v>
      </c>
      <c r="N236" s="110">
        <v>0</v>
      </c>
      <c r="O236" s="110">
        <v>0</v>
      </c>
      <c r="P236" s="110">
        <v>0</v>
      </c>
      <c r="Q236" s="110">
        <v>0</v>
      </c>
      <c r="R236" s="110">
        <v>0</v>
      </c>
      <c r="S236" s="110">
        <v>0</v>
      </c>
      <c r="T236" s="110">
        <v>0</v>
      </c>
      <c r="U236" s="110">
        <v>0</v>
      </c>
      <c r="V236" s="110">
        <v>0</v>
      </c>
      <c r="W236" s="110">
        <v>0</v>
      </c>
      <c r="X236" s="110">
        <v>0</v>
      </c>
      <c r="Y236" s="110">
        <v>0</v>
      </c>
      <c r="Z236" s="110">
        <v>0</v>
      </c>
      <c r="AA236" s="110">
        <v>0</v>
      </c>
      <c r="AB236" s="110">
        <v>0</v>
      </c>
      <c r="AC236" s="110">
        <v>0</v>
      </c>
      <c r="AD236" s="110">
        <v>0</v>
      </c>
      <c r="AE236" s="110">
        <v>0</v>
      </c>
      <c r="AF236" s="110">
        <v>0</v>
      </c>
      <c r="AG236" s="110">
        <v>0</v>
      </c>
      <c r="AH236" s="110">
        <v>0</v>
      </c>
      <c r="AI236" s="110">
        <v>0</v>
      </c>
      <c r="AJ236" s="110">
        <v>0</v>
      </c>
      <c r="AK236" s="110">
        <v>0</v>
      </c>
      <c r="AL236" s="110">
        <v>0</v>
      </c>
      <c r="AM236" s="110">
        <v>0</v>
      </c>
      <c r="AN236" s="110">
        <v>0</v>
      </c>
      <c r="AO236" s="110">
        <v>0</v>
      </c>
      <c r="AP236" s="110">
        <v>0</v>
      </c>
      <c r="AQ236" s="110">
        <v>0</v>
      </c>
      <c r="AR236" s="110">
        <v>0</v>
      </c>
      <c r="AS236" s="110">
        <v>0</v>
      </c>
      <c r="AT236" s="110">
        <v>0</v>
      </c>
      <c r="AU236" s="110">
        <v>0</v>
      </c>
      <c r="AV236" s="110">
        <v>0</v>
      </c>
      <c r="AW236" s="110">
        <v>0</v>
      </c>
      <c r="AX236" s="110">
        <v>0</v>
      </c>
      <c r="AY236" s="110">
        <v>0</v>
      </c>
    </row>
    <row r="237" spans="1:51">
      <c r="A237" s="109"/>
      <c r="B237" s="127">
        <v>29</v>
      </c>
      <c r="C237" s="106">
        <v>0</v>
      </c>
      <c r="D237" s="110">
        <v>0</v>
      </c>
      <c r="E237" s="110">
        <v>0</v>
      </c>
      <c r="F237" s="110">
        <v>0</v>
      </c>
      <c r="G237" s="110">
        <v>0</v>
      </c>
      <c r="H237" s="110">
        <v>0</v>
      </c>
      <c r="I237" s="110">
        <v>0</v>
      </c>
      <c r="J237" s="110">
        <v>0</v>
      </c>
      <c r="K237" s="110">
        <v>0</v>
      </c>
      <c r="L237" s="110">
        <v>0</v>
      </c>
      <c r="M237" s="110">
        <v>0</v>
      </c>
      <c r="N237" s="110">
        <v>0</v>
      </c>
      <c r="O237" s="110">
        <v>0</v>
      </c>
      <c r="P237" s="110">
        <v>0</v>
      </c>
      <c r="Q237" s="110">
        <v>0</v>
      </c>
      <c r="R237" s="110">
        <v>0</v>
      </c>
      <c r="S237" s="110">
        <v>0</v>
      </c>
      <c r="T237" s="110">
        <v>0</v>
      </c>
      <c r="U237" s="110">
        <v>0</v>
      </c>
      <c r="V237" s="110">
        <v>0</v>
      </c>
      <c r="W237" s="110">
        <v>0</v>
      </c>
      <c r="X237" s="110">
        <v>0</v>
      </c>
      <c r="Y237" s="110">
        <v>0</v>
      </c>
      <c r="Z237" s="110">
        <v>0</v>
      </c>
      <c r="AA237" s="110">
        <v>0</v>
      </c>
      <c r="AB237" s="110">
        <v>0</v>
      </c>
      <c r="AC237" s="110">
        <v>0</v>
      </c>
      <c r="AD237" s="110">
        <v>0</v>
      </c>
      <c r="AE237" s="110">
        <v>0</v>
      </c>
      <c r="AF237" s="110">
        <v>0</v>
      </c>
      <c r="AG237" s="110">
        <v>0</v>
      </c>
      <c r="AH237" s="110">
        <v>0</v>
      </c>
      <c r="AI237" s="110">
        <v>0</v>
      </c>
      <c r="AJ237" s="110">
        <v>0</v>
      </c>
      <c r="AK237" s="110">
        <v>0</v>
      </c>
      <c r="AL237" s="110">
        <v>0</v>
      </c>
      <c r="AM237" s="110">
        <v>0</v>
      </c>
      <c r="AN237" s="110">
        <v>0</v>
      </c>
      <c r="AO237" s="110">
        <v>0</v>
      </c>
      <c r="AP237" s="110">
        <v>0</v>
      </c>
      <c r="AQ237" s="110">
        <v>0</v>
      </c>
      <c r="AR237" s="110">
        <v>0</v>
      </c>
      <c r="AS237" s="110">
        <v>0</v>
      </c>
      <c r="AT237" s="110">
        <v>0</v>
      </c>
      <c r="AU237" s="110">
        <v>0</v>
      </c>
      <c r="AV237" s="110">
        <v>0</v>
      </c>
      <c r="AW237" s="110">
        <v>0</v>
      </c>
      <c r="AX237" s="110">
        <v>0</v>
      </c>
      <c r="AY237" s="110">
        <v>0</v>
      </c>
    </row>
    <row r="238" spans="1:51">
      <c r="A238" s="109"/>
      <c r="B238" s="127">
        <v>30</v>
      </c>
      <c r="C238" s="106">
        <v>0</v>
      </c>
      <c r="D238" s="110">
        <v>0</v>
      </c>
      <c r="E238" s="110">
        <v>0</v>
      </c>
      <c r="F238" s="110">
        <v>0</v>
      </c>
      <c r="G238" s="110">
        <v>0</v>
      </c>
      <c r="H238" s="110">
        <v>0</v>
      </c>
      <c r="I238" s="110">
        <v>0</v>
      </c>
      <c r="J238" s="110">
        <v>0</v>
      </c>
      <c r="K238" s="110">
        <v>0</v>
      </c>
      <c r="L238" s="110">
        <v>0</v>
      </c>
      <c r="M238" s="110">
        <v>0</v>
      </c>
      <c r="N238" s="110">
        <v>0</v>
      </c>
      <c r="O238" s="110">
        <v>0</v>
      </c>
      <c r="P238" s="110">
        <v>0</v>
      </c>
      <c r="Q238" s="110">
        <v>0</v>
      </c>
      <c r="R238" s="110">
        <v>0</v>
      </c>
      <c r="S238" s="110">
        <v>0</v>
      </c>
      <c r="T238" s="110">
        <v>0</v>
      </c>
      <c r="U238" s="110">
        <v>0</v>
      </c>
      <c r="V238" s="110">
        <v>0</v>
      </c>
      <c r="W238" s="110">
        <v>0</v>
      </c>
      <c r="X238" s="110">
        <v>0</v>
      </c>
      <c r="Y238" s="110">
        <v>0</v>
      </c>
      <c r="Z238" s="110">
        <v>0</v>
      </c>
      <c r="AA238" s="110">
        <v>0</v>
      </c>
      <c r="AB238" s="110">
        <v>0</v>
      </c>
      <c r="AC238" s="110">
        <v>0</v>
      </c>
      <c r="AD238" s="110">
        <v>0</v>
      </c>
      <c r="AE238" s="110">
        <v>0</v>
      </c>
      <c r="AF238" s="110">
        <v>0</v>
      </c>
      <c r="AG238" s="110">
        <v>0</v>
      </c>
      <c r="AH238" s="110">
        <v>0</v>
      </c>
      <c r="AI238" s="110">
        <v>0</v>
      </c>
      <c r="AJ238" s="110">
        <v>0</v>
      </c>
      <c r="AK238" s="110">
        <v>0</v>
      </c>
      <c r="AL238" s="110">
        <v>0</v>
      </c>
      <c r="AM238" s="110">
        <v>0</v>
      </c>
      <c r="AN238" s="110">
        <v>0</v>
      </c>
      <c r="AO238" s="110">
        <v>0</v>
      </c>
      <c r="AP238" s="110">
        <v>0</v>
      </c>
      <c r="AQ238" s="110">
        <v>0</v>
      </c>
      <c r="AR238" s="110">
        <v>0</v>
      </c>
      <c r="AS238" s="110">
        <v>0</v>
      </c>
      <c r="AT238" s="110">
        <v>0</v>
      </c>
      <c r="AU238" s="110">
        <v>0</v>
      </c>
      <c r="AV238" s="110">
        <v>0</v>
      </c>
      <c r="AW238" s="110">
        <v>0</v>
      </c>
      <c r="AX238" s="110">
        <v>0</v>
      </c>
      <c r="AY238" s="110">
        <v>0</v>
      </c>
    </row>
    <row r="239" spans="1:51">
      <c r="A239" s="109"/>
      <c r="B239" s="127">
        <v>31</v>
      </c>
      <c r="C239" s="106">
        <v>0</v>
      </c>
      <c r="D239" s="110">
        <v>0</v>
      </c>
      <c r="E239" s="110">
        <v>0</v>
      </c>
      <c r="F239" s="110">
        <v>0</v>
      </c>
      <c r="G239" s="110">
        <v>0</v>
      </c>
      <c r="H239" s="110">
        <v>0</v>
      </c>
      <c r="I239" s="110">
        <v>0</v>
      </c>
      <c r="J239" s="110">
        <v>0</v>
      </c>
      <c r="K239" s="110">
        <v>0</v>
      </c>
      <c r="L239" s="110">
        <v>0</v>
      </c>
      <c r="M239" s="110">
        <v>0</v>
      </c>
      <c r="N239" s="110">
        <v>0</v>
      </c>
      <c r="O239" s="110">
        <v>0</v>
      </c>
      <c r="P239" s="110">
        <v>0</v>
      </c>
      <c r="Q239" s="110">
        <v>0</v>
      </c>
      <c r="R239" s="110">
        <v>0</v>
      </c>
      <c r="S239" s="110">
        <v>0</v>
      </c>
      <c r="T239" s="110">
        <v>0</v>
      </c>
      <c r="U239" s="110">
        <v>0</v>
      </c>
      <c r="V239" s="110">
        <v>0</v>
      </c>
      <c r="W239" s="110">
        <v>0</v>
      </c>
      <c r="X239" s="110">
        <v>0</v>
      </c>
      <c r="Y239" s="110">
        <v>0</v>
      </c>
      <c r="Z239" s="110">
        <v>0</v>
      </c>
      <c r="AA239" s="110">
        <v>0</v>
      </c>
      <c r="AB239" s="110">
        <v>0</v>
      </c>
      <c r="AC239" s="110">
        <v>0</v>
      </c>
      <c r="AD239" s="110">
        <v>0</v>
      </c>
      <c r="AE239" s="110">
        <v>0</v>
      </c>
      <c r="AF239" s="110">
        <v>0</v>
      </c>
      <c r="AG239" s="110">
        <v>0</v>
      </c>
      <c r="AH239" s="110">
        <v>0</v>
      </c>
      <c r="AI239" s="110">
        <v>0</v>
      </c>
      <c r="AJ239" s="110">
        <v>0</v>
      </c>
      <c r="AK239" s="110">
        <v>0</v>
      </c>
      <c r="AL239" s="110">
        <v>0</v>
      </c>
      <c r="AM239" s="110">
        <v>0</v>
      </c>
      <c r="AN239" s="110">
        <v>0</v>
      </c>
      <c r="AO239" s="110">
        <v>0</v>
      </c>
      <c r="AP239" s="110">
        <v>0</v>
      </c>
      <c r="AQ239" s="110">
        <v>0</v>
      </c>
      <c r="AR239" s="110">
        <v>0</v>
      </c>
      <c r="AS239" s="110">
        <v>0</v>
      </c>
      <c r="AT239" s="110">
        <v>0</v>
      </c>
      <c r="AU239" s="110">
        <v>0</v>
      </c>
      <c r="AV239" s="110">
        <v>0</v>
      </c>
      <c r="AW239" s="110">
        <v>0</v>
      </c>
      <c r="AX239" s="110">
        <v>0</v>
      </c>
      <c r="AY239" s="110">
        <v>0</v>
      </c>
    </row>
    <row r="240" spans="1:51">
      <c r="A240" s="109"/>
      <c r="B240" s="127">
        <v>32</v>
      </c>
      <c r="C240" s="106">
        <v>0</v>
      </c>
      <c r="D240" s="110">
        <v>0</v>
      </c>
      <c r="E240" s="110">
        <v>0</v>
      </c>
      <c r="F240" s="110">
        <v>0</v>
      </c>
      <c r="G240" s="110">
        <v>0</v>
      </c>
      <c r="H240" s="110">
        <v>0</v>
      </c>
      <c r="I240" s="110">
        <v>0</v>
      </c>
      <c r="J240" s="110">
        <v>0</v>
      </c>
      <c r="K240" s="110">
        <v>0</v>
      </c>
      <c r="L240" s="110">
        <v>0</v>
      </c>
      <c r="M240" s="110">
        <v>0</v>
      </c>
      <c r="N240" s="110">
        <v>0</v>
      </c>
      <c r="O240" s="110">
        <v>0</v>
      </c>
      <c r="P240" s="110">
        <v>0</v>
      </c>
      <c r="Q240" s="110">
        <v>0</v>
      </c>
      <c r="R240" s="110">
        <v>0</v>
      </c>
      <c r="S240" s="110">
        <v>0</v>
      </c>
      <c r="T240" s="110">
        <v>0</v>
      </c>
      <c r="U240" s="110">
        <v>0</v>
      </c>
      <c r="V240" s="110">
        <v>0</v>
      </c>
      <c r="W240" s="110">
        <v>0</v>
      </c>
      <c r="X240" s="110">
        <v>0</v>
      </c>
      <c r="Y240" s="110">
        <v>0</v>
      </c>
      <c r="Z240" s="110">
        <v>0</v>
      </c>
      <c r="AA240" s="110">
        <v>0</v>
      </c>
      <c r="AB240" s="110">
        <v>0</v>
      </c>
      <c r="AC240" s="110">
        <v>0</v>
      </c>
      <c r="AD240" s="110">
        <v>0</v>
      </c>
      <c r="AE240" s="110">
        <v>0</v>
      </c>
      <c r="AF240" s="110">
        <v>0</v>
      </c>
      <c r="AG240" s="110">
        <v>0</v>
      </c>
      <c r="AH240" s="110">
        <v>0</v>
      </c>
      <c r="AI240" s="110">
        <v>0</v>
      </c>
      <c r="AJ240" s="110">
        <v>0</v>
      </c>
      <c r="AK240" s="110">
        <v>0</v>
      </c>
      <c r="AL240" s="110">
        <v>0</v>
      </c>
      <c r="AM240" s="110">
        <v>0</v>
      </c>
      <c r="AN240" s="110">
        <v>0</v>
      </c>
      <c r="AO240" s="110">
        <v>0</v>
      </c>
      <c r="AP240" s="110">
        <v>0</v>
      </c>
      <c r="AQ240" s="110">
        <v>0</v>
      </c>
      <c r="AR240" s="110">
        <v>0</v>
      </c>
      <c r="AS240" s="110">
        <v>0</v>
      </c>
      <c r="AT240" s="110">
        <v>0</v>
      </c>
      <c r="AU240" s="110">
        <v>0</v>
      </c>
      <c r="AV240" s="110">
        <v>0</v>
      </c>
      <c r="AW240" s="110">
        <v>0</v>
      </c>
      <c r="AX240" s="110">
        <v>0</v>
      </c>
      <c r="AY240" s="110">
        <v>0</v>
      </c>
    </row>
    <row r="241" spans="1:51">
      <c r="A241" s="109"/>
      <c r="B241" s="127">
        <v>33</v>
      </c>
      <c r="C241" s="106">
        <v>0</v>
      </c>
      <c r="D241" s="110">
        <v>0</v>
      </c>
      <c r="E241" s="110">
        <v>0</v>
      </c>
      <c r="F241" s="110">
        <v>0</v>
      </c>
      <c r="G241" s="110">
        <v>0</v>
      </c>
      <c r="H241" s="110">
        <v>0</v>
      </c>
      <c r="I241" s="110">
        <v>0</v>
      </c>
      <c r="J241" s="110">
        <v>0</v>
      </c>
      <c r="K241" s="110">
        <v>0</v>
      </c>
      <c r="L241" s="110">
        <v>0</v>
      </c>
      <c r="M241" s="110">
        <v>0</v>
      </c>
      <c r="N241" s="110">
        <v>0</v>
      </c>
      <c r="O241" s="110">
        <v>0</v>
      </c>
      <c r="P241" s="110">
        <v>0</v>
      </c>
      <c r="Q241" s="110">
        <v>0</v>
      </c>
      <c r="R241" s="110">
        <v>0</v>
      </c>
      <c r="S241" s="110">
        <v>0</v>
      </c>
      <c r="T241" s="110">
        <v>0</v>
      </c>
      <c r="U241" s="110">
        <v>0</v>
      </c>
      <c r="V241" s="110">
        <v>0</v>
      </c>
      <c r="W241" s="110">
        <v>0</v>
      </c>
      <c r="X241" s="110">
        <v>0</v>
      </c>
      <c r="Y241" s="110">
        <v>0</v>
      </c>
      <c r="Z241" s="110">
        <v>0</v>
      </c>
      <c r="AA241" s="110">
        <v>0</v>
      </c>
      <c r="AB241" s="110">
        <v>0</v>
      </c>
      <c r="AC241" s="110">
        <v>0</v>
      </c>
      <c r="AD241" s="110">
        <v>0</v>
      </c>
      <c r="AE241" s="110">
        <v>0</v>
      </c>
      <c r="AF241" s="110">
        <v>0</v>
      </c>
      <c r="AG241" s="110">
        <v>0</v>
      </c>
      <c r="AH241" s="110">
        <v>0</v>
      </c>
      <c r="AI241" s="110">
        <v>0</v>
      </c>
      <c r="AJ241" s="110">
        <v>0</v>
      </c>
      <c r="AK241" s="110">
        <v>0</v>
      </c>
      <c r="AL241" s="110">
        <v>0</v>
      </c>
      <c r="AM241" s="110">
        <v>0</v>
      </c>
      <c r="AN241" s="110">
        <v>0</v>
      </c>
      <c r="AO241" s="110">
        <v>0</v>
      </c>
      <c r="AP241" s="110">
        <v>0</v>
      </c>
      <c r="AQ241" s="110">
        <v>0</v>
      </c>
      <c r="AR241" s="110">
        <v>0</v>
      </c>
      <c r="AS241" s="110">
        <v>0</v>
      </c>
      <c r="AT241" s="110">
        <v>0</v>
      </c>
      <c r="AU241" s="110">
        <v>0</v>
      </c>
      <c r="AV241" s="110">
        <v>0</v>
      </c>
      <c r="AW241" s="110">
        <v>0</v>
      </c>
      <c r="AX241" s="110">
        <v>0</v>
      </c>
      <c r="AY241" s="110">
        <v>0</v>
      </c>
    </row>
    <row r="242" spans="1:51">
      <c r="A242" s="109"/>
      <c r="B242" s="127">
        <v>34</v>
      </c>
      <c r="C242" s="106">
        <v>0</v>
      </c>
      <c r="D242" s="110">
        <v>0</v>
      </c>
      <c r="E242" s="110">
        <v>0</v>
      </c>
      <c r="F242" s="110">
        <v>0</v>
      </c>
      <c r="G242" s="110">
        <v>0</v>
      </c>
      <c r="H242" s="110">
        <v>0</v>
      </c>
      <c r="I242" s="110">
        <v>0</v>
      </c>
      <c r="J242" s="110">
        <v>0</v>
      </c>
      <c r="K242" s="110">
        <v>0</v>
      </c>
      <c r="L242" s="110">
        <v>0</v>
      </c>
      <c r="M242" s="110">
        <v>0</v>
      </c>
      <c r="N242" s="110">
        <v>0</v>
      </c>
      <c r="O242" s="110">
        <v>0</v>
      </c>
      <c r="P242" s="110">
        <v>0</v>
      </c>
      <c r="Q242" s="110">
        <v>0</v>
      </c>
      <c r="R242" s="110">
        <v>0</v>
      </c>
      <c r="S242" s="110">
        <v>0</v>
      </c>
      <c r="T242" s="110">
        <v>0</v>
      </c>
      <c r="U242" s="110">
        <v>0</v>
      </c>
      <c r="V242" s="110">
        <v>0</v>
      </c>
      <c r="W242" s="110">
        <v>0</v>
      </c>
      <c r="X242" s="110">
        <v>0</v>
      </c>
      <c r="Y242" s="110">
        <v>0</v>
      </c>
      <c r="Z242" s="110">
        <v>0</v>
      </c>
      <c r="AA242" s="110">
        <v>0</v>
      </c>
      <c r="AB242" s="110">
        <v>0</v>
      </c>
      <c r="AC242" s="110">
        <v>0</v>
      </c>
      <c r="AD242" s="110">
        <v>0</v>
      </c>
      <c r="AE242" s="110">
        <v>0</v>
      </c>
      <c r="AF242" s="110">
        <v>0</v>
      </c>
      <c r="AG242" s="110">
        <v>0</v>
      </c>
      <c r="AH242" s="110">
        <v>0</v>
      </c>
      <c r="AI242" s="110">
        <v>0</v>
      </c>
      <c r="AJ242" s="110">
        <v>0</v>
      </c>
      <c r="AK242" s="110">
        <v>0</v>
      </c>
      <c r="AL242" s="110">
        <v>0</v>
      </c>
      <c r="AM242" s="110">
        <v>0</v>
      </c>
      <c r="AN242" s="110">
        <v>0</v>
      </c>
      <c r="AO242" s="110">
        <v>0</v>
      </c>
      <c r="AP242" s="110">
        <v>0</v>
      </c>
      <c r="AQ242" s="110">
        <v>0</v>
      </c>
      <c r="AR242" s="110">
        <v>0</v>
      </c>
      <c r="AS242" s="110">
        <v>0</v>
      </c>
      <c r="AT242" s="110">
        <v>0</v>
      </c>
      <c r="AU242" s="110">
        <v>0</v>
      </c>
      <c r="AV242" s="110">
        <v>0</v>
      </c>
      <c r="AW242" s="110">
        <v>0</v>
      </c>
      <c r="AX242" s="110">
        <v>0</v>
      </c>
      <c r="AY242" s="110">
        <v>0</v>
      </c>
    </row>
    <row r="243" spans="1:51">
      <c r="A243" s="109"/>
      <c r="B243" s="127">
        <v>35</v>
      </c>
      <c r="C243" s="106">
        <v>0</v>
      </c>
      <c r="D243" s="110">
        <v>0</v>
      </c>
      <c r="E243" s="110">
        <v>0</v>
      </c>
      <c r="F243" s="110">
        <v>0</v>
      </c>
      <c r="G243" s="110">
        <v>0</v>
      </c>
      <c r="H243" s="110">
        <v>0</v>
      </c>
      <c r="I243" s="110">
        <v>0</v>
      </c>
      <c r="J243" s="110">
        <v>0</v>
      </c>
      <c r="K243" s="110">
        <v>0</v>
      </c>
      <c r="L243" s="110">
        <v>0</v>
      </c>
      <c r="M243" s="110">
        <v>0</v>
      </c>
      <c r="N243" s="110">
        <v>0</v>
      </c>
      <c r="O243" s="110">
        <v>0</v>
      </c>
      <c r="P243" s="110">
        <v>0</v>
      </c>
      <c r="Q243" s="110">
        <v>0</v>
      </c>
      <c r="R243" s="110">
        <v>0</v>
      </c>
      <c r="S243" s="110">
        <v>0</v>
      </c>
      <c r="T243" s="110">
        <v>0</v>
      </c>
      <c r="U243" s="110">
        <v>0</v>
      </c>
      <c r="V243" s="110">
        <v>0</v>
      </c>
      <c r="W243" s="110">
        <v>0</v>
      </c>
      <c r="X243" s="110">
        <v>0</v>
      </c>
      <c r="Y243" s="110">
        <v>0</v>
      </c>
      <c r="Z243" s="110">
        <v>0</v>
      </c>
      <c r="AA243" s="110">
        <v>0</v>
      </c>
      <c r="AB243" s="110">
        <v>0</v>
      </c>
      <c r="AC243" s="110">
        <v>0</v>
      </c>
      <c r="AD243" s="110">
        <v>0</v>
      </c>
      <c r="AE243" s="110">
        <v>0</v>
      </c>
      <c r="AF243" s="110">
        <v>0</v>
      </c>
      <c r="AG243" s="110">
        <v>0</v>
      </c>
      <c r="AH243" s="110">
        <v>0</v>
      </c>
      <c r="AI243" s="110">
        <v>0</v>
      </c>
      <c r="AJ243" s="110">
        <v>0</v>
      </c>
      <c r="AK243" s="110">
        <v>0</v>
      </c>
      <c r="AL243" s="110">
        <v>0</v>
      </c>
      <c r="AM243" s="110">
        <v>0</v>
      </c>
      <c r="AN243" s="110">
        <v>0</v>
      </c>
      <c r="AO243" s="110">
        <v>0</v>
      </c>
      <c r="AP243" s="110">
        <v>0</v>
      </c>
      <c r="AQ243" s="110">
        <v>0</v>
      </c>
      <c r="AR243" s="110">
        <v>0</v>
      </c>
      <c r="AS243" s="110">
        <v>0</v>
      </c>
      <c r="AT243" s="110">
        <v>0</v>
      </c>
      <c r="AU243" s="110">
        <v>0</v>
      </c>
      <c r="AV243" s="110">
        <v>0</v>
      </c>
      <c r="AW243" s="110">
        <v>0</v>
      </c>
      <c r="AX243" s="110">
        <v>0</v>
      </c>
      <c r="AY243" s="110">
        <v>0</v>
      </c>
    </row>
    <row r="244" spans="1:51">
      <c r="A244" s="109"/>
      <c r="B244" s="127">
        <v>36</v>
      </c>
      <c r="C244" s="106">
        <v>0</v>
      </c>
      <c r="D244" s="110">
        <v>0</v>
      </c>
      <c r="E244" s="110">
        <v>0</v>
      </c>
      <c r="F244" s="110">
        <v>0</v>
      </c>
      <c r="G244" s="110">
        <v>0</v>
      </c>
      <c r="H244" s="110">
        <v>0</v>
      </c>
      <c r="I244" s="110">
        <v>0</v>
      </c>
      <c r="J244" s="110">
        <v>0</v>
      </c>
      <c r="K244" s="110">
        <v>0</v>
      </c>
      <c r="L244" s="110">
        <v>0</v>
      </c>
      <c r="M244" s="110">
        <v>0</v>
      </c>
      <c r="N244" s="110">
        <v>0</v>
      </c>
      <c r="O244" s="110">
        <v>0</v>
      </c>
      <c r="P244" s="110">
        <v>0</v>
      </c>
      <c r="Q244" s="110">
        <v>0</v>
      </c>
      <c r="R244" s="110">
        <v>0</v>
      </c>
      <c r="S244" s="110">
        <v>0</v>
      </c>
      <c r="T244" s="110">
        <v>0</v>
      </c>
      <c r="U244" s="110">
        <v>0</v>
      </c>
      <c r="V244" s="110">
        <v>0</v>
      </c>
      <c r="W244" s="110">
        <v>0</v>
      </c>
      <c r="X244" s="110">
        <v>0</v>
      </c>
      <c r="Y244" s="110">
        <v>0</v>
      </c>
      <c r="Z244" s="110">
        <v>0</v>
      </c>
      <c r="AA244" s="110">
        <v>0</v>
      </c>
      <c r="AB244" s="110">
        <v>0</v>
      </c>
      <c r="AC244" s="110">
        <v>0</v>
      </c>
      <c r="AD244" s="110">
        <v>0</v>
      </c>
      <c r="AE244" s="110">
        <v>0</v>
      </c>
      <c r="AF244" s="110">
        <v>0</v>
      </c>
      <c r="AG244" s="110">
        <v>0</v>
      </c>
      <c r="AH244" s="110">
        <v>0</v>
      </c>
      <c r="AI244" s="110">
        <v>0</v>
      </c>
      <c r="AJ244" s="110">
        <v>0</v>
      </c>
      <c r="AK244" s="110">
        <v>0</v>
      </c>
      <c r="AL244" s="110">
        <v>0</v>
      </c>
      <c r="AM244" s="110">
        <v>0</v>
      </c>
      <c r="AN244" s="110">
        <v>0</v>
      </c>
      <c r="AO244" s="110">
        <v>0</v>
      </c>
      <c r="AP244" s="110">
        <v>0</v>
      </c>
      <c r="AQ244" s="110">
        <v>0</v>
      </c>
      <c r="AR244" s="110">
        <v>0</v>
      </c>
      <c r="AS244" s="110">
        <v>0</v>
      </c>
      <c r="AT244" s="110">
        <v>0</v>
      </c>
      <c r="AU244" s="110">
        <v>0</v>
      </c>
      <c r="AV244" s="110">
        <v>0</v>
      </c>
      <c r="AW244" s="110">
        <v>0</v>
      </c>
      <c r="AX244" s="110">
        <v>0</v>
      </c>
      <c r="AY244" s="110">
        <v>0</v>
      </c>
    </row>
    <row r="245" spans="1:51">
      <c r="A245" s="109"/>
      <c r="B245" s="130">
        <v>37</v>
      </c>
      <c r="C245" s="106">
        <v>0</v>
      </c>
      <c r="D245" s="110">
        <v>0</v>
      </c>
      <c r="E245" s="110">
        <v>0</v>
      </c>
      <c r="F245" s="110">
        <v>0</v>
      </c>
      <c r="G245" s="110">
        <v>0</v>
      </c>
      <c r="H245" s="110">
        <v>0</v>
      </c>
      <c r="I245" s="110">
        <v>0</v>
      </c>
      <c r="J245" s="110">
        <v>0</v>
      </c>
      <c r="K245" s="110">
        <v>0</v>
      </c>
      <c r="L245" s="110">
        <v>0</v>
      </c>
      <c r="M245" s="110">
        <v>0</v>
      </c>
      <c r="N245" s="110">
        <v>0</v>
      </c>
      <c r="O245" s="110">
        <v>0</v>
      </c>
      <c r="P245" s="110">
        <v>0</v>
      </c>
      <c r="Q245" s="110">
        <v>0</v>
      </c>
      <c r="R245" s="110">
        <v>0</v>
      </c>
      <c r="S245" s="110">
        <v>0</v>
      </c>
      <c r="T245" s="110">
        <v>0</v>
      </c>
      <c r="U245" s="110">
        <v>0</v>
      </c>
      <c r="V245" s="110">
        <v>0</v>
      </c>
      <c r="W245" s="110">
        <v>0</v>
      </c>
      <c r="X245" s="110">
        <v>0</v>
      </c>
      <c r="Y245" s="110">
        <v>0</v>
      </c>
      <c r="Z245" s="110">
        <v>0</v>
      </c>
      <c r="AA245" s="110">
        <v>0</v>
      </c>
      <c r="AB245" s="110">
        <v>0</v>
      </c>
      <c r="AC245" s="110">
        <v>0</v>
      </c>
      <c r="AD245" s="110">
        <v>0</v>
      </c>
      <c r="AE245" s="110">
        <v>0</v>
      </c>
      <c r="AF245" s="110">
        <v>0</v>
      </c>
      <c r="AG245" s="110">
        <v>0</v>
      </c>
      <c r="AH245" s="110">
        <v>0</v>
      </c>
      <c r="AI245" s="110">
        <v>0</v>
      </c>
      <c r="AJ245" s="110">
        <v>0</v>
      </c>
      <c r="AK245" s="110">
        <v>0</v>
      </c>
      <c r="AL245" s="110">
        <v>0</v>
      </c>
      <c r="AM245" s="110">
        <v>0</v>
      </c>
      <c r="AN245" s="110">
        <v>0</v>
      </c>
      <c r="AO245" s="110">
        <v>0</v>
      </c>
      <c r="AP245" s="110">
        <v>0</v>
      </c>
      <c r="AQ245" s="110">
        <v>0</v>
      </c>
      <c r="AR245" s="110">
        <v>0</v>
      </c>
      <c r="AS245" s="110">
        <v>0</v>
      </c>
      <c r="AT245" s="110">
        <v>0</v>
      </c>
      <c r="AU245" s="110">
        <v>0</v>
      </c>
      <c r="AV245" s="110">
        <v>0</v>
      </c>
      <c r="AW245" s="110">
        <v>0</v>
      </c>
      <c r="AX245" s="110">
        <v>0</v>
      </c>
      <c r="AY245" s="110">
        <v>0</v>
      </c>
    </row>
    <row r="246" spans="1:51">
      <c r="A246" s="109"/>
      <c r="B246" s="130">
        <v>38</v>
      </c>
      <c r="C246" s="106">
        <v>0</v>
      </c>
      <c r="D246" s="110">
        <v>0</v>
      </c>
      <c r="E246" s="110">
        <v>0</v>
      </c>
      <c r="F246" s="110">
        <v>0</v>
      </c>
      <c r="G246" s="110">
        <v>0</v>
      </c>
      <c r="H246" s="110">
        <v>0</v>
      </c>
      <c r="I246" s="110">
        <v>0</v>
      </c>
      <c r="J246" s="110">
        <v>0</v>
      </c>
      <c r="K246" s="110">
        <v>0</v>
      </c>
      <c r="L246" s="110">
        <v>0</v>
      </c>
      <c r="M246" s="110">
        <v>0</v>
      </c>
      <c r="N246" s="110">
        <v>0</v>
      </c>
      <c r="O246" s="110">
        <v>0</v>
      </c>
      <c r="P246" s="110">
        <v>0</v>
      </c>
      <c r="Q246" s="110">
        <v>0</v>
      </c>
      <c r="R246" s="110">
        <v>0</v>
      </c>
      <c r="S246" s="110">
        <v>0</v>
      </c>
      <c r="T246" s="110">
        <v>0</v>
      </c>
      <c r="U246" s="110">
        <v>0</v>
      </c>
      <c r="V246" s="110">
        <v>0</v>
      </c>
      <c r="W246" s="110">
        <v>0</v>
      </c>
      <c r="X246" s="110">
        <v>0</v>
      </c>
      <c r="Y246" s="110">
        <v>0</v>
      </c>
      <c r="Z246" s="110">
        <v>0</v>
      </c>
      <c r="AA246" s="110">
        <v>0</v>
      </c>
      <c r="AB246" s="110">
        <v>0</v>
      </c>
      <c r="AC246" s="110">
        <v>0</v>
      </c>
      <c r="AD246" s="110">
        <v>0</v>
      </c>
      <c r="AE246" s="110">
        <v>0</v>
      </c>
      <c r="AF246" s="110">
        <v>0</v>
      </c>
      <c r="AG246" s="110">
        <v>0</v>
      </c>
      <c r="AH246" s="110">
        <v>0</v>
      </c>
      <c r="AI246" s="110">
        <v>0</v>
      </c>
      <c r="AJ246" s="110">
        <v>0</v>
      </c>
      <c r="AK246" s="110">
        <v>0</v>
      </c>
      <c r="AL246" s="110">
        <v>0</v>
      </c>
      <c r="AM246" s="110">
        <v>0</v>
      </c>
      <c r="AN246" s="110">
        <v>0</v>
      </c>
      <c r="AO246" s="110">
        <v>0</v>
      </c>
      <c r="AP246" s="110">
        <v>0</v>
      </c>
      <c r="AQ246" s="110">
        <v>0</v>
      </c>
      <c r="AR246" s="110">
        <v>0</v>
      </c>
      <c r="AS246" s="110">
        <v>0</v>
      </c>
      <c r="AT246" s="110">
        <v>0</v>
      </c>
      <c r="AU246" s="110">
        <v>0</v>
      </c>
      <c r="AV246" s="110">
        <v>0</v>
      </c>
      <c r="AW246" s="110">
        <v>0</v>
      </c>
      <c r="AX246" s="110">
        <v>0</v>
      </c>
      <c r="AY246" s="110">
        <v>0</v>
      </c>
    </row>
    <row r="247" spans="1:51">
      <c r="A247" s="109"/>
      <c r="B247" s="130">
        <v>39</v>
      </c>
      <c r="C247" s="106">
        <v>0</v>
      </c>
      <c r="D247" s="110">
        <v>0</v>
      </c>
      <c r="E247" s="110">
        <v>0</v>
      </c>
      <c r="F247" s="110">
        <v>0</v>
      </c>
      <c r="G247" s="110">
        <v>0</v>
      </c>
      <c r="H247" s="110">
        <v>0</v>
      </c>
      <c r="I247" s="110">
        <v>0</v>
      </c>
      <c r="J247" s="110">
        <v>0</v>
      </c>
      <c r="K247" s="110">
        <v>0</v>
      </c>
      <c r="L247" s="110">
        <v>0</v>
      </c>
      <c r="M247" s="110">
        <v>0</v>
      </c>
      <c r="N247" s="110">
        <v>0</v>
      </c>
      <c r="O247" s="110">
        <v>0</v>
      </c>
      <c r="P247" s="110">
        <v>0</v>
      </c>
      <c r="Q247" s="110">
        <v>0</v>
      </c>
      <c r="R247" s="110">
        <v>0</v>
      </c>
      <c r="S247" s="110">
        <v>0</v>
      </c>
      <c r="T247" s="110">
        <v>0</v>
      </c>
      <c r="U247" s="110">
        <v>0</v>
      </c>
      <c r="V247" s="110">
        <v>0</v>
      </c>
      <c r="W247" s="110">
        <v>0</v>
      </c>
      <c r="X247" s="110">
        <v>0</v>
      </c>
      <c r="Y247" s="110">
        <v>0</v>
      </c>
      <c r="Z247" s="110">
        <v>0</v>
      </c>
      <c r="AA247" s="110">
        <v>0</v>
      </c>
      <c r="AB247" s="110">
        <v>0</v>
      </c>
      <c r="AC247" s="110">
        <v>0</v>
      </c>
      <c r="AD247" s="110">
        <v>0</v>
      </c>
      <c r="AE247" s="110">
        <v>0</v>
      </c>
      <c r="AF247" s="110">
        <v>0</v>
      </c>
      <c r="AG247" s="110">
        <v>0</v>
      </c>
      <c r="AH247" s="110">
        <v>0</v>
      </c>
      <c r="AI247" s="110">
        <v>0</v>
      </c>
      <c r="AJ247" s="110">
        <v>0</v>
      </c>
      <c r="AK247" s="110">
        <v>0</v>
      </c>
      <c r="AL247" s="110">
        <v>0</v>
      </c>
      <c r="AM247" s="110">
        <v>0</v>
      </c>
      <c r="AN247" s="110">
        <v>0</v>
      </c>
      <c r="AO247" s="110">
        <v>0</v>
      </c>
      <c r="AP247" s="110">
        <v>0</v>
      </c>
      <c r="AQ247" s="110">
        <v>0</v>
      </c>
      <c r="AR247" s="110">
        <v>0</v>
      </c>
      <c r="AS247" s="110">
        <v>0</v>
      </c>
      <c r="AT247" s="110">
        <v>0</v>
      </c>
      <c r="AU247" s="110">
        <v>0</v>
      </c>
      <c r="AV247" s="110">
        <v>0</v>
      </c>
      <c r="AW247" s="110">
        <v>0</v>
      </c>
      <c r="AX247" s="110">
        <v>0</v>
      </c>
      <c r="AY247" s="110">
        <v>0</v>
      </c>
    </row>
    <row r="248" spans="1:51">
      <c r="A248" s="109"/>
      <c r="B248" s="130">
        <v>40</v>
      </c>
      <c r="C248" s="106">
        <v>0</v>
      </c>
      <c r="D248" s="110">
        <v>0</v>
      </c>
      <c r="E248" s="110">
        <v>0</v>
      </c>
      <c r="F248" s="110">
        <v>0</v>
      </c>
      <c r="G248" s="110">
        <v>0</v>
      </c>
      <c r="H248" s="110">
        <v>0</v>
      </c>
      <c r="I248" s="110">
        <v>0</v>
      </c>
      <c r="J248" s="110">
        <v>0</v>
      </c>
      <c r="K248" s="110">
        <v>0</v>
      </c>
      <c r="L248" s="110">
        <v>0</v>
      </c>
      <c r="M248" s="110">
        <v>0</v>
      </c>
      <c r="N248" s="110">
        <v>0</v>
      </c>
      <c r="O248" s="110">
        <v>0</v>
      </c>
      <c r="P248" s="110">
        <v>0</v>
      </c>
      <c r="Q248" s="110">
        <v>0</v>
      </c>
      <c r="R248" s="110">
        <v>0</v>
      </c>
      <c r="S248" s="110">
        <v>0</v>
      </c>
      <c r="T248" s="110">
        <v>0</v>
      </c>
      <c r="U248" s="110">
        <v>0</v>
      </c>
      <c r="V248" s="110">
        <v>0</v>
      </c>
      <c r="W248" s="110">
        <v>0</v>
      </c>
      <c r="X248" s="110">
        <v>0</v>
      </c>
      <c r="Y248" s="110">
        <v>0</v>
      </c>
      <c r="Z248" s="110">
        <v>0</v>
      </c>
      <c r="AA248" s="110">
        <v>0</v>
      </c>
      <c r="AB248" s="110">
        <v>0</v>
      </c>
      <c r="AC248" s="110">
        <v>0</v>
      </c>
      <c r="AD248" s="110">
        <v>0</v>
      </c>
      <c r="AE248" s="110">
        <v>0</v>
      </c>
      <c r="AF248" s="110">
        <v>0</v>
      </c>
      <c r="AG248" s="110">
        <v>0</v>
      </c>
      <c r="AH248" s="110">
        <v>0</v>
      </c>
      <c r="AI248" s="110">
        <v>0</v>
      </c>
      <c r="AJ248" s="110">
        <v>0</v>
      </c>
      <c r="AK248" s="110">
        <v>0</v>
      </c>
      <c r="AL248" s="110">
        <v>0</v>
      </c>
      <c r="AM248" s="110">
        <v>0</v>
      </c>
      <c r="AN248" s="110">
        <v>0</v>
      </c>
      <c r="AO248" s="110">
        <v>0</v>
      </c>
      <c r="AP248" s="110">
        <v>0</v>
      </c>
      <c r="AQ248" s="110">
        <v>0</v>
      </c>
      <c r="AR248" s="110">
        <v>0</v>
      </c>
      <c r="AS248" s="110">
        <v>0</v>
      </c>
      <c r="AT248" s="110">
        <v>0</v>
      </c>
      <c r="AU248" s="110">
        <v>0</v>
      </c>
      <c r="AV248" s="110">
        <v>0</v>
      </c>
      <c r="AW248" s="110">
        <v>0</v>
      </c>
      <c r="AX248" s="110">
        <v>0</v>
      </c>
      <c r="AY248" s="110">
        <v>0</v>
      </c>
    </row>
    <row r="249" spans="1:51">
      <c r="A249" s="109"/>
      <c r="B249" s="130">
        <v>41</v>
      </c>
      <c r="C249" s="106">
        <v>0</v>
      </c>
      <c r="D249" s="110">
        <v>0</v>
      </c>
      <c r="E249" s="110">
        <v>0</v>
      </c>
      <c r="F249" s="110">
        <v>0</v>
      </c>
      <c r="G249" s="110">
        <v>0</v>
      </c>
      <c r="H249" s="110">
        <v>0</v>
      </c>
      <c r="I249" s="110">
        <v>0</v>
      </c>
      <c r="J249" s="110">
        <v>0</v>
      </c>
      <c r="K249" s="110">
        <v>0</v>
      </c>
      <c r="L249" s="110">
        <v>0</v>
      </c>
      <c r="M249" s="110">
        <v>0</v>
      </c>
      <c r="N249" s="110">
        <v>0</v>
      </c>
      <c r="O249" s="110">
        <v>0</v>
      </c>
      <c r="P249" s="110">
        <v>0</v>
      </c>
      <c r="Q249" s="110">
        <v>0</v>
      </c>
      <c r="R249" s="110">
        <v>0</v>
      </c>
      <c r="S249" s="110">
        <v>0</v>
      </c>
      <c r="T249" s="110">
        <v>0</v>
      </c>
      <c r="U249" s="110">
        <v>0</v>
      </c>
      <c r="V249" s="110">
        <v>0</v>
      </c>
      <c r="W249" s="110">
        <v>0</v>
      </c>
      <c r="X249" s="110">
        <v>0</v>
      </c>
      <c r="Y249" s="110">
        <v>0</v>
      </c>
      <c r="Z249" s="110">
        <v>0</v>
      </c>
      <c r="AA249" s="110">
        <v>0</v>
      </c>
      <c r="AB249" s="110">
        <v>0</v>
      </c>
      <c r="AC249" s="110">
        <v>0</v>
      </c>
      <c r="AD249" s="110">
        <v>0</v>
      </c>
      <c r="AE249" s="110">
        <v>0</v>
      </c>
      <c r="AF249" s="110">
        <v>0</v>
      </c>
      <c r="AG249" s="110">
        <v>0</v>
      </c>
      <c r="AH249" s="110">
        <v>0</v>
      </c>
      <c r="AI249" s="110">
        <v>0</v>
      </c>
      <c r="AJ249" s="110">
        <v>0</v>
      </c>
      <c r="AK249" s="110">
        <v>0</v>
      </c>
      <c r="AL249" s="110">
        <v>0</v>
      </c>
      <c r="AM249" s="110">
        <v>0</v>
      </c>
      <c r="AN249" s="110">
        <v>0</v>
      </c>
      <c r="AO249" s="110">
        <v>0</v>
      </c>
      <c r="AP249" s="110">
        <v>0</v>
      </c>
      <c r="AQ249" s="110">
        <v>0</v>
      </c>
      <c r="AR249" s="110">
        <v>0</v>
      </c>
      <c r="AS249" s="110">
        <v>0</v>
      </c>
      <c r="AT249" s="110">
        <v>0</v>
      </c>
      <c r="AU249" s="110">
        <v>0</v>
      </c>
      <c r="AV249" s="110">
        <v>0</v>
      </c>
      <c r="AW249" s="110">
        <v>0</v>
      </c>
      <c r="AX249" s="110">
        <v>0</v>
      </c>
      <c r="AY249" s="110">
        <v>0</v>
      </c>
    </row>
    <row r="250" spans="1:51">
      <c r="A250" s="109"/>
      <c r="B250" s="130">
        <v>42</v>
      </c>
      <c r="C250" s="106">
        <v>0</v>
      </c>
      <c r="D250" s="110">
        <v>0</v>
      </c>
      <c r="E250" s="110">
        <v>0</v>
      </c>
      <c r="F250" s="110">
        <v>0</v>
      </c>
      <c r="G250" s="110">
        <v>0</v>
      </c>
      <c r="H250" s="110">
        <v>0</v>
      </c>
      <c r="I250" s="110">
        <v>0</v>
      </c>
      <c r="J250" s="110">
        <v>0</v>
      </c>
      <c r="K250" s="110">
        <v>0</v>
      </c>
      <c r="L250" s="110">
        <v>0</v>
      </c>
      <c r="M250" s="110">
        <v>0</v>
      </c>
      <c r="N250" s="110">
        <v>0</v>
      </c>
      <c r="O250" s="110">
        <v>0</v>
      </c>
      <c r="P250" s="110">
        <v>0</v>
      </c>
      <c r="Q250" s="110">
        <v>0</v>
      </c>
      <c r="R250" s="110">
        <v>0</v>
      </c>
      <c r="S250" s="110">
        <v>0</v>
      </c>
      <c r="T250" s="110">
        <v>0</v>
      </c>
      <c r="U250" s="110">
        <v>0</v>
      </c>
      <c r="V250" s="110">
        <v>0</v>
      </c>
      <c r="W250" s="110">
        <v>0</v>
      </c>
      <c r="X250" s="110">
        <v>0</v>
      </c>
      <c r="Y250" s="110">
        <v>0</v>
      </c>
      <c r="Z250" s="110">
        <v>0</v>
      </c>
      <c r="AA250" s="110">
        <v>0</v>
      </c>
      <c r="AB250" s="110">
        <v>0</v>
      </c>
      <c r="AC250" s="110">
        <v>0</v>
      </c>
      <c r="AD250" s="110">
        <v>0</v>
      </c>
      <c r="AE250" s="110">
        <v>0</v>
      </c>
      <c r="AF250" s="110">
        <v>0</v>
      </c>
      <c r="AG250" s="110">
        <v>0</v>
      </c>
      <c r="AH250" s="110">
        <v>0</v>
      </c>
      <c r="AI250" s="110">
        <v>0</v>
      </c>
      <c r="AJ250" s="110">
        <v>0</v>
      </c>
      <c r="AK250" s="110">
        <v>0</v>
      </c>
      <c r="AL250" s="110">
        <v>0</v>
      </c>
      <c r="AM250" s="110">
        <v>0</v>
      </c>
      <c r="AN250" s="110">
        <v>0</v>
      </c>
      <c r="AO250" s="110">
        <v>0</v>
      </c>
      <c r="AP250" s="110">
        <v>0</v>
      </c>
      <c r="AQ250" s="110">
        <v>0</v>
      </c>
      <c r="AR250" s="110">
        <v>0</v>
      </c>
      <c r="AS250" s="110">
        <v>0</v>
      </c>
      <c r="AT250" s="110">
        <v>0</v>
      </c>
      <c r="AU250" s="110">
        <v>0</v>
      </c>
      <c r="AV250" s="110">
        <v>0</v>
      </c>
      <c r="AW250" s="110">
        <v>0</v>
      </c>
      <c r="AX250" s="110">
        <v>0</v>
      </c>
      <c r="AY250" s="110">
        <v>0</v>
      </c>
    </row>
    <row r="251" spans="1:51">
      <c r="A251" s="109"/>
      <c r="B251" s="130">
        <v>43</v>
      </c>
      <c r="C251" s="106">
        <v>0</v>
      </c>
      <c r="D251" s="110">
        <v>0</v>
      </c>
      <c r="E251" s="110">
        <v>0</v>
      </c>
      <c r="F251" s="110">
        <v>0</v>
      </c>
      <c r="G251" s="110">
        <v>0</v>
      </c>
      <c r="H251" s="110">
        <v>0</v>
      </c>
      <c r="I251" s="110">
        <v>0</v>
      </c>
      <c r="J251" s="110">
        <v>0</v>
      </c>
      <c r="K251" s="110">
        <v>0</v>
      </c>
      <c r="L251" s="110">
        <v>0</v>
      </c>
      <c r="M251" s="110">
        <v>0</v>
      </c>
      <c r="N251" s="110">
        <v>0</v>
      </c>
      <c r="O251" s="110">
        <v>0</v>
      </c>
      <c r="P251" s="110">
        <v>0</v>
      </c>
      <c r="Q251" s="110">
        <v>0</v>
      </c>
      <c r="R251" s="110">
        <v>0</v>
      </c>
      <c r="S251" s="110">
        <v>0</v>
      </c>
      <c r="T251" s="110">
        <v>0</v>
      </c>
      <c r="U251" s="110">
        <v>0</v>
      </c>
      <c r="V251" s="110">
        <v>0</v>
      </c>
      <c r="W251" s="110">
        <v>0</v>
      </c>
      <c r="X251" s="110">
        <v>0</v>
      </c>
      <c r="Y251" s="110">
        <v>0</v>
      </c>
      <c r="Z251" s="110">
        <v>0</v>
      </c>
      <c r="AA251" s="110">
        <v>0</v>
      </c>
      <c r="AB251" s="110">
        <v>0</v>
      </c>
      <c r="AC251" s="110">
        <v>0</v>
      </c>
      <c r="AD251" s="110">
        <v>0</v>
      </c>
      <c r="AE251" s="110">
        <v>0</v>
      </c>
      <c r="AF251" s="110">
        <v>0</v>
      </c>
      <c r="AG251" s="110">
        <v>0</v>
      </c>
      <c r="AH251" s="110">
        <v>0</v>
      </c>
      <c r="AI251" s="110">
        <v>0</v>
      </c>
      <c r="AJ251" s="110">
        <v>0</v>
      </c>
      <c r="AK251" s="110">
        <v>0</v>
      </c>
      <c r="AL251" s="110">
        <v>0</v>
      </c>
      <c r="AM251" s="110">
        <v>0</v>
      </c>
      <c r="AN251" s="110">
        <v>0</v>
      </c>
      <c r="AO251" s="110">
        <v>0</v>
      </c>
      <c r="AP251" s="110">
        <v>0</v>
      </c>
      <c r="AQ251" s="110">
        <v>0</v>
      </c>
      <c r="AR251" s="110">
        <v>0</v>
      </c>
      <c r="AS251" s="110">
        <v>0</v>
      </c>
      <c r="AT251" s="110">
        <v>0</v>
      </c>
      <c r="AU251" s="110">
        <v>0</v>
      </c>
      <c r="AV251" s="110">
        <v>0</v>
      </c>
      <c r="AW251" s="110">
        <v>0</v>
      </c>
      <c r="AX251" s="110">
        <v>0</v>
      </c>
      <c r="AY251" s="110">
        <v>0</v>
      </c>
    </row>
    <row r="252" spans="1:51">
      <c r="A252" s="109"/>
      <c r="B252" s="130">
        <v>44</v>
      </c>
      <c r="C252" s="106">
        <v>0</v>
      </c>
      <c r="D252" s="110">
        <v>0</v>
      </c>
      <c r="E252" s="110">
        <v>0</v>
      </c>
      <c r="F252" s="110">
        <v>0</v>
      </c>
      <c r="G252" s="110">
        <v>0</v>
      </c>
      <c r="H252" s="110">
        <v>0</v>
      </c>
      <c r="I252" s="110">
        <v>0</v>
      </c>
      <c r="J252" s="110">
        <v>0</v>
      </c>
      <c r="K252" s="110">
        <v>0</v>
      </c>
      <c r="L252" s="110">
        <v>0</v>
      </c>
      <c r="M252" s="110">
        <v>0</v>
      </c>
      <c r="N252" s="110">
        <v>0</v>
      </c>
      <c r="O252" s="110">
        <v>0</v>
      </c>
      <c r="P252" s="110">
        <v>0</v>
      </c>
      <c r="Q252" s="110">
        <v>0</v>
      </c>
      <c r="R252" s="110">
        <v>0</v>
      </c>
      <c r="S252" s="110">
        <v>0</v>
      </c>
      <c r="T252" s="110">
        <v>0</v>
      </c>
      <c r="U252" s="110">
        <v>0</v>
      </c>
      <c r="V252" s="110">
        <v>0</v>
      </c>
      <c r="W252" s="110">
        <v>0</v>
      </c>
      <c r="X252" s="110">
        <v>0</v>
      </c>
      <c r="Y252" s="110">
        <v>0</v>
      </c>
      <c r="Z252" s="110">
        <v>0</v>
      </c>
      <c r="AA252" s="110">
        <v>0</v>
      </c>
      <c r="AB252" s="110">
        <v>0</v>
      </c>
      <c r="AC252" s="110">
        <v>0</v>
      </c>
      <c r="AD252" s="110">
        <v>0</v>
      </c>
      <c r="AE252" s="110">
        <v>0</v>
      </c>
      <c r="AF252" s="110">
        <v>0</v>
      </c>
      <c r="AG252" s="110">
        <v>0</v>
      </c>
      <c r="AH252" s="110">
        <v>0</v>
      </c>
      <c r="AI252" s="110">
        <v>0</v>
      </c>
      <c r="AJ252" s="110">
        <v>0</v>
      </c>
      <c r="AK252" s="110">
        <v>0</v>
      </c>
      <c r="AL252" s="110">
        <v>0</v>
      </c>
      <c r="AM252" s="110">
        <v>0</v>
      </c>
      <c r="AN252" s="110">
        <v>0</v>
      </c>
      <c r="AO252" s="110">
        <v>0</v>
      </c>
      <c r="AP252" s="110">
        <v>0</v>
      </c>
      <c r="AQ252" s="110">
        <v>0</v>
      </c>
      <c r="AR252" s="110">
        <v>0</v>
      </c>
      <c r="AS252" s="110">
        <v>0</v>
      </c>
      <c r="AT252" s="110">
        <v>0</v>
      </c>
      <c r="AU252" s="110">
        <v>0</v>
      </c>
      <c r="AV252" s="110">
        <v>0</v>
      </c>
      <c r="AW252" s="110">
        <v>0</v>
      </c>
      <c r="AX252" s="110">
        <v>0</v>
      </c>
      <c r="AY252" s="110">
        <v>0</v>
      </c>
    </row>
    <row r="253" spans="1:51">
      <c r="A253" s="109"/>
      <c r="B253" s="130">
        <v>45</v>
      </c>
      <c r="C253" s="106">
        <v>0</v>
      </c>
      <c r="D253" s="110">
        <v>0</v>
      </c>
      <c r="E253" s="110">
        <v>0</v>
      </c>
      <c r="F253" s="110">
        <v>0</v>
      </c>
      <c r="G253" s="110">
        <v>0</v>
      </c>
      <c r="H253" s="110">
        <v>0</v>
      </c>
      <c r="I253" s="110">
        <v>0</v>
      </c>
      <c r="J253" s="110">
        <v>0</v>
      </c>
      <c r="K253" s="110">
        <v>0</v>
      </c>
      <c r="L253" s="110">
        <v>0</v>
      </c>
      <c r="M253" s="110">
        <v>0</v>
      </c>
      <c r="N253" s="110">
        <v>0</v>
      </c>
      <c r="O253" s="110">
        <v>0</v>
      </c>
      <c r="P253" s="110">
        <v>0</v>
      </c>
      <c r="Q253" s="110">
        <v>0</v>
      </c>
      <c r="R253" s="110">
        <v>0</v>
      </c>
      <c r="S253" s="110">
        <v>0</v>
      </c>
      <c r="T253" s="110">
        <v>0</v>
      </c>
      <c r="U253" s="110">
        <v>0</v>
      </c>
      <c r="V253" s="110">
        <v>0</v>
      </c>
      <c r="W253" s="110">
        <v>0</v>
      </c>
      <c r="X253" s="110">
        <v>0</v>
      </c>
      <c r="Y253" s="110">
        <v>0</v>
      </c>
      <c r="Z253" s="110">
        <v>0</v>
      </c>
      <c r="AA253" s="110">
        <v>0</v>
      </c>
      <c r="AB253" s="110">
        <v>0</v>
      </c>
      <c r="AC253" s="110">
        <v>0</v>
      </c>
      <c r="AD253" s="110">
        <v>0</v>
      </c>
      <c r="AE253" s="110">
        <v>0</v>
      </c>
      <c r="AF253" s="110">
        <v>0</v>
      </c>
      <c r="AG253" s="110">
        <v>0</v>
      </c>
      <c r="AH253" s="110">
        <v>0</v>
      </c>
      <c r="AI253" s="110">
        <v>0</v>
      </c>
      <c r="AJ253" s="110">
        <v>0</v>
      </c>
      <c r="AK253" s="110">
        <v>0</v>
      </c>
      <c r="AL253" s="110">
        <v>0</v>
      </c>
      <c r="AM253" s="110">
        <v>0</v>
      </c>
      <c r="AN253" s="110">
        <v>0</v>
      </c>
      <c r="AO253" s="110">
        <v>0</v>
      </c>
      <c r="AP253" s="110">
        <v>0</v>
      </c>
      <c r="AQ253" s="110">
        <v>0</v>
      </c>
      <c r="AR253" s="110">
        <v>0</v>
      </c>
      <c r="AS253" s="110">
        <v>0</v>
      </c>
      <c r="AT253" s="110">
        <v>0</v>
      </c>
      <c r="AU253" s="110">
        <v>0</v>
      </c>
      <c r="AV253" s="110">
        <v>0</v>
      </c>
      <c r="AW253" s="110">
        <v>0</v>
      </c>
      <c r="AX253" s="110">
        <v>0</v>
      </c>
      <c r="AY253" s="110">
        <v>0</v>
      </c>
    </row>
    <row r="254" spans="1:51">
      <c r="A254" s="109"/>
      <c r="B254" s="130">
        <v>46</v>
      </c>
      <c r="C254" s="106">
        <v>0</v>
      </c>
      <c r="D254" s="110">
        <v>0</v>
      </c>
      <c r="E254" s="110">
        <v>0</v>
      </c>
      <c r="F254" s="110">
        <v>0</v>
      </c>
      <c r="G254" s="110">
        <v>0</v>
      </c>
      <c r="H254" s="110">
        <v>0</v>
      </c>
      <c r="I254" s="110">
        <v>0</v>
      </c>
      <c r="J254" s="110">
        <v>0</v>
      </c>
      <c r="K254" s="110">
        <v>0</v>
      </c>
      <c r="L254" s="110">
        <v>0</v>
      </c>
      <c r="M254" s="110">
        <v>0</v>
      </c>
      <c r="N254" s="110">
        <v>0</v>
      </c>
      <c r="O254" s="110">
        <v>0</v>
      </c>
      <c r="P254" s="110">
        <v>0</v>
      </c>
      <c r="Q254" s="110">
        <v>0</v>
      </c>
      <c r="R254" s="110">
        <v>0</v>
      </c>
      <c r="S254" s="110">
        <v>0</v>
      </c>
      <c r="T254" s="110">
        <v>0</v>
      </c>
      <c r="U254" s="110">
        <v>0</v>
      </c>
      <c r="V254" s="110">
        <v>0</v>
      </c>
      <c r="W254" s="110">
        <v>0</v>
      </c>
      <c r="X254" s="110">
        <v>0</v>
      </c>
      <c r="Y254" s="110">
        <v>0</v>
      </c>
      <c r="Z254" s="110">
        <v>0</v>
      </c>
      <c r="AA254" s="110">
        <v>0</v>
      </c>
      <c r="AB254" s="110">
        <v>0</v>
      </c>
      <c r="AC254" s="110">
        <v>0</v>
      </c>
      <c r="AD254" s="110">
        <v>0</v>
      </c>
      <c r="AE254" s="110">
        <v>0</v>
      </c>
      <c r="AF254" s="110">
        <v>0</v>
      </c>
      <c r="AG254" s="110">
        <v>0</v>
      </c>
      <c r="AH254" s="110">
        <v>0</v>
      </c>
      <c r="AI254" s="110">
        <v>0</v>
      </c>
      <c r="AJ254" s="110">
        <v>0</v>
      </c>
      <c r="AK254" s="110">
        <v>0</v>
      </c>
      <c r="AL254" s="110">
        <v>0</v>
      </c>
      <c r="AM254" s="110">
        <v>0</v>
      </c>
      <c r="AN254" s="110">
        <v>0</v>
      </c>
      <c r="AO254" s="110">
        <v>0</v>
      </c>
      <c r="AP254" s="110">
        <v>0</v>
      </c>
      <c r="AQ254" s="110">
        <v>0</v>
      </c>
      <c r="AR254" s="110">
        <v>0</v>
      </c>
      <c r="AS254" s="110">
        <v>0</v>
      </c>
      <c r="AT254" s="110">
        <v>0</v>
      </c>
      <c r="AU254" s="110">
        <v>0</v>
      </c>
      <c r="AV254" s="110">
        <v>0</v>
      </c>
      <c r="AW254" s="110">
        <v>0</v>
      </c>
      <c r="AX254" s="110">
        <v>0</v>
      </c>
      <c r="AY254" s="110">
        <v>0</v>
      </c>
    </row>
    <row r="255" spans="1:51">
      <c r="A255" s="109"/>
      <c r="B255" s="130">
        <v>47</v>
      </c>
      <c r="C255" s="106">
        <v>0</v>
      </c>
      <c r="D255" s="110">
        <v>0</v>
      </c>
      <c r="E255" s="110">
        <v>0</v>
      </c>
      <c r="F255" s="110">
        <v>0</v>
      </c>
      <c r="G255" s="110">
        <v>0</v>
      </c>
      <c r="H255" s="110">
        <v>0</v>
      </c>
      <c r="I255" s="110">
        <v>0</v>
      </c>
      <c r="J255" s="110">
        <v>0</v>
      </c>
      <c r="K255" s="110">
        <v>0</v>
      </c>
      <c r="L255" s="110">
        <v>0</v>
      </c>
      <c r="M255" s="110">
        <v>0</v>
      </c>
      <c r="N255" s="110">
        <v>0</v>
      </c>
      <c r="O255" s="110">
        <v>0</v>
      </c>
      <c r="P255" s="110">
        <v>0</v>
      </c>
      <c r="Q255" s="110">
        <v>0</v>
      </c>
      <c r="R255" s="110">
        <v>0</v>
      </c>
      <c r="S255" s="110">
        <v>0</v>
      </c>
      <c r="T255" s="110">
        <v>0</v>
      </c>
      <c r="U255" s="110">
        <v>0</v>
      </c>
      <c r="V255" s="110">
        <v>0</v>
      </c>
      <c r="W255" s="110">
        <v>0</v>
      </c>
      <c r="X255" s="110">
        <v>0</v>
      </c>
      <c r="Y255" s="110">
        <v>0</v>
      </c>
      <c r="Z255" s="110">
        <v>0</v>
      </c>
      <c r="AA255" s="110">
        <v>0</v>
      </c>
      <c r="AB255" s="110">
        <v>0</v>
      </c>
      <c r="AC255" s="110">
        <v>0</v>
      </c>
      <c r="AD255" s="110">
        <v>0</v>
      </c>
      <c r="AE255" s="110">
        <v>0</v>
      </c>
      <c r="AF255" s="110">
        <v>0</v>
      </c>
      <c r="AG255" s="110">
        <v>0</v>
      </c>
      <c r="AH255" s="110">
        <v>0</v>
      </c>
      <c r="AI255" s="110">
        <v>0</v>
      </c>
      <c r="AJ255" s="110">
        <v>0</v>
      </c>
      <c r="AK255" s="110">
        <v>0</v>
      </c>
      <c r="AL255" s="110">
        <v>0</v>
      </c>
      <c r="AM255" s="110">
        <v>0</v>
      </c>
      <c r="AN255" s="110">
        <v>0</v>
      </c>
      <c r="AO255" s="110">
        <v>0</v>
      </c>
      <c r="AP255" s="110">
        <v>0</v>
      </c>
      <c r="AQ255" s="110">
        <v>0</v>
      </c>
      <c r="AR255" s="110">
        <v>0</v>
      </c>
      <c r="AS255" s="110">
        <v>0</v>
      </c>
      <c r="AT255" s="110">
        <v>0</v>
      </c>
      <c r="AU255" s="110">
        <v>0</v>
      </c>
      <c r="AV255" s="110">
        <v>0</v>
      </c>
      <c r="AW255" s="110">
        <v>0</v>
      </c>
      <c r="AX255" s="110">
        <v>0</v>
      </c>
      <c r="AY255" s="110">
        <v>0</v>
      </c>
    </row>
    <row r="256" spans="1:51">
      <c r="A256" s="128"/>
      <c r="B256" s="129">
        <v>48</v>
      </c>
      <c r="C256" s="114">
        <v>0</v>
      </c>
      <c r="D256" s="125">
        <v>0</v>
      </c>
      <c r="E256" s="125">
        <v>0</v>
      </c>
      <c r="F256" s="125">
        <v>0</v>
      </c>
      <c r="G256" s="125">
        <v>0</v>
      </c>
      <c r="H256" s="125">
        <v>0</v>
      </c>
      <c r="I256" s="125">
        <v>0</v>
      </c>
      <c r="J256" s="125">
        <v>0</v>
      </c>
      <c r="K256" s="125">
        <v>0</v>
      </c>
      <c r="L256" s="125">
        <v>0</v>
      </c>
      <c r="M256" s="125">
        <v>0</v>
      </c>
      <c r="N256" s="125">
        <v>0</v>
      </c>
      <c r="O256" s="125">
        <v>0</v>
      </c>
      <c r="P256" s="125">
        <v>0</v>
      </c>
      <c r="Q256" s="125">
        <v>0</v>
      </c>
      <c r="R256" s="125">
        <v>0</v>
      </c>
      <c r="S256" s="125">
        <v>0</v>
      </c>
      <c r="T256" s="125">
        <v>0</v>
      </c>
      <c r="U256" s="125">
        <v>0</v>
      </c>
      <c r="V256" s="125">
        <v>0</v>
      </c>
      <c r="W256" s="125">
        <v>0</v>
      </c>
      <c r="X256" s="125">
        <v>0</v>
      </c>
      <c r="Y256" s="125">
        <v>0</v>
      </c>
      <c r="Z256" s="125">
        <v>0</v>
      </c>
      <c r="AA256" s="125">
        <v>0</v>
      </c>
      <c r="AB256" s="125">
        <v>0</v>
      </c>
      <c r="AC256" s="125">
        <v>0</v>
      </c>
      <c r="AD256" s="125">
        <v>0</v>
      </c>
      <c r="AE256" s="125">
        <v>0</v>
      </c>
      <c r="AF256" s="125">
        <v>0</v>
      </c>
      <c r="AG256" s="125">
        <v>0</v>
      </c>
      <c r="AH256" s="125">
        <v>0</v>
      </c>
      <c r="AI256" s="125">
        <v>0</v>
      </c>
      <c r="AJ256" s="125">
        <v>0</v>
      </c>
      <c r="AK256" s="125">
        <v>0</v>
      </c>
      <c r="AL256" s="125">
        <v>0</v>
      </c>
      <c r="AM256" s="125">
        <v>0</v>
      </c>
      <c r="AN256" s="125">
        <v>0</v>
      </c>
      <c r="AO256" s="125">
        <v>0</v>
      </c>
      <c r="AP256" s="125">
        <v>0</v>
      </c>
      <c r="AQ256" s="125">
        <v>0</v>
      </c>
      <c r="AR256" s="125">
        <v>0</v>
      </c>
      <c r="AS256" s="125">
        <v>0</v>
      </c>
      <c r="AT256" s="125">
        <v>0</v>
      </c>
      <c r="AU256" s="125">
        <v>0</v>
      </c>
      <c r="AV256" s="125">
        <v>0</v>
      </c>
      <c r="AW256" s="125">
        <v>0</v>
      </c>
      <c r="AX256" s="125">
        <v>0</v>
      </c>
      <c r="AY256" s="125">
        <v>0</v>
      </c>
    </row>
    <row r="258" spans="1:52">
      <c r="A258" s="102" t="s">
        <v>301</v>
      </c>
    </row>
    <row r="259" spans="1:52">
      <c r="A259" s="137" t="s">
        <v>124</v>
      </c>
      <c r="B259" s="138">
        <v>650</v>
      </c>
      <c r="C259" s="124" t="s">
        <v>293</v>
      </c>
      <c r="D259" s="124">
        <f>E$14*$B$259</f>
        <v>240363.99981709738</v>
      </c>
      <c r="E259" s="124">
        <f t="shared" ref="E259:AX259" si="5">F$14*$B$259</f>
        <v>75504.226537228809</v>
      </c>
      <c r="F259" s="124">
        <f t="shared" si="5"/>
        <v>645033.9582126207</v>
      </c>
      <c r="G259" s="124">
        <f t="shared" si="5"/>
        <v>261555.76014084293</v>
      </c>
      <c r="H259" s="124">
        <f t="shared" si="5"/>
        <v>168015.33819096806</v>
      </c>
      <c r="I259" s="124">
        <f t="shared" si="5"/>
        <v>479903.2902226079</v>
      </c>
      <c r="J259" s="124">
        <f t="shared" si="5"/>
        <v>334081.2298661141</v>
      </c>
      <c r="K259" s="124">
        <f t="shared" si="5"/>
        <v>246576.4648075788</v>
      </c>
      <c r="L259" s="124">
        <f t="shared" si="5"/>
        <v>21.18157139003721</v>
      </c>
      <c r="M259" s="124">
        <f t="shared" si="5"/>
        <v>239962.23589699896</v>
      </c>
      <c r="N259" s="124">
        <f t="shared" si="5"/>
        <v>479903.2902226079</v>
      </c>
      <c r="O259" s="124">
        <f t="shared" si="5"/>
        <v>345142.62138392805</v>
      </c>
      <c r="P259" s="124">
        <f t="shared" si="5"/>
        <v>109475.74353282523</v>
      </c>
      <c r="Q259" s="124">
        <f t="shared" si="5"/>
        <v>164479.19093116024</v>
      </c>
      <c r="R259" s="124">
        <f t="shared" si="5"/>
        <v>75504.226537228737</v>
      </c>
      <c r="S259" s="124">
        <f t="shared" si="5"/>
        <v>644361.29958237812</v>
      </c>
      <c r="T259" s="124">
        <f t="shared" si="5"/>
        <v>404537.85028993507</v>
      </c>
      <c r="U259" s="124">
        <f t="shared" si="5"/>
        <v>26036.489847868263</v>
      </c>
      <c r="V259" s="124">
        <f t="shared" si="5"/>
        <v>315445.28086283768</v>
      </c>
      <c r="W259" s="124">
        <f t="shared" si="5"/>
        <v>421702.6810857305</v>
      </c>
      <c r="X259" s="124">
        <f t="shared" si="5"/>
        <v>333673.30547722772</v>
      </c>
      <c r="Y259" s="124">
        <f t="shared" si="5"/>
        <v>249262.11354585551</v>
      </c>
      <c r="Z259" s="124">
        <f t="shared" si="5"/>
        <v>239962.23589699893</v>
      </c>
      <c r="AA259" s="124">
        <f t="shared" si="5"/>
        <v>239962.23589699899</v>
      </c>
      <c r="AB259" s="124">
        <f t="shared" si="5"/>
        <v>239962.23589699893</v>
      </c>
      <c r="AC259" s="124">
        <f t="shared" si="5"/>
        <v>21.181571390020665</v>
      </c>
      <c r="AD259" s="124">
        <f t="shared" si="5"/>
        <v>479903.2902226079</v>
      </c>
      <c r="AE259" s="124">
        <f t="shared" si="5"/>
        <v>309588.10717404645</v>
      </c>
      <c r="AF259" s="124">
        <f t="shared" si="5"/>
        <v>21.181571390053758</v>
      </c>
      <c r="AG259" s="124">
        <f t="shared" si="5"/>
        <v>479903.2902226079</v>
      </c>
      <c r="AH259" s="124">
        <f t="shared" si="5"/>
        <v>56293.693482339128</v>
      </c>
      <c r="AI259" s="124">
        <f t="shared" si="5"/>
        <v>363432.10935562936</v>
      </c>
      <c r="AJ259" s="124">
        <f t="shared" si="5"/>
        <v>505846.81798358966</v>
      </c>
      <c r="AK259" s="124">
        <f t="shared" si="5"/>
        <v>160370.23890172239</v>
      </c>
      <c r="AL259" s="124">
        <f t="shared" si="5"/>
        <v>212466.01942395189</v>
      </c>
      <c r="AM259" s="124">
        <f t="shared" si="5"/>
        <v>75504.226537228809</v>
      </c>
      <c r="AN259" s="124">
        <f t="shared" si="5"/>
        <v>404420.24525676912</v>
      </c>
      <c r="AO259" s="124">
        <f t="shared" si="5"/>
        <v>253764.18883805725</v>
      </c>
      <c r="AP259" s="124">
        <f t="shared" si="5"/>
        <v>479903.2902226079</v>
      </c>
      <c r="AQ259" s="124">
        <f t="shared" si="5"/>
        <v>323310.92759876885</v>
      </c>
      <c r="AR259" s="124">
        <f t="shared" si="5"/>
        <v>21.181571390053758</v>
      </c>
      <c r="AS259" s="124">
        <f t="shared" si="5"/>
        <v>315445.28086283768</v>
      </c>
      <c r="AT259" s="124">
        <f t="shared" si="5"/>
        <v>21.18157139003721</v>
      </c>
      <c r="AU259" s="124">
        <f t="shared" si="5"/>
        <v>404420.24525676918</v>
      </c>
      <c r="AV259" s="124">
        <f t="shared" si="5"/>
        <v>544852.98051087849</v>
      </c>
      <c r="AW259" s="124">
        <f t="shared" si="5"/>
        <v>363249.47252561379</v>
      </c>
      <c r="AX259" s="124">
        <f t="shared" si="5"/>
        <v>21.181571390053758</v>
      </c>
      <c r="AY259" s="124">
        <f>AZ$14*$B$259</f>
        <v>479903.2902226079</v>
      </c>
      <c r="AZ259" s="139">
        <f>SUM($D259:$AY259)</f>
        <v>13193112.108709617</v>
      </c>
    </row>
    <row r="260" spans="1:52">
      <c r="A260" s="140" t="s">
        <v>302</v>
      </c>
      <c r="B260" s="114">
        <v>60</v>
      </c>
      <c r="C260" s="125" t="s">
        <v>293</v>
      </c>
      <c r="D260" s="125">
        <f>(D$175-D$176+D$177-D$178+D$179-D$180+D$181-D$182)*$B$260</f>
        <v>9603.0656912104187</v>
      </c>
      <c r="E260" s="125">
        <f t="shared" ref="E260:AY260" si="6">(E$175-E$176+E$177-E$178+E$179-E$180+E$181-E$182)*$B$260</f>
        <v>11147.729789209176</v>
      </c>
      <c r="F260" s="125">
        <f t="shared" si="6"/>
        <v>96576.463870329637</v>
      </c>
      <c r="G260" s="125">
        <f t="shared" si="6"/>
        <v>55178.817379892505</v>
      </c>
      <c r="H260" s="125">
        <f t="shared" si="6"/>
        <v>37646.710324322121</v>
      </c>
      <c r="I260" s="125">
        <f t="shared" si="6"/>
        <v>71199.062267544476</v>
      </c>
      <c r="J260" s="125">
        <f t="shared" si="6"/>
        <v>73295.56059515239</v>
      </c>
      <c r="K260" s="125">
        <f t="shared" si="6"/>
        <v>76084.908345466931</v>
      </c>
      <c r="L260" s="125">
        <f t="shared" si="6"/>
        <v>45482.997485866377</v>
      </c>
      <c r="M260" s="125">
        <f t="shared" si="6"/>
        <v>7379.8413370333756</v>
      </c>
      <c r="N260" s="125">
        <f t="shared" si="6"/>
        <v>76133.445376197036</v>
      </c>
      <c r="O260" s="125">
        <f t="shared" si="6"/>
        <v>76068.892179083647</v>
      </c>
      <c r="P260" s="125">
        <f t="shared" si="6"/>
        <v>50572.805532123282</v>
      </c>
      <c r="Q260" s="125">
        <f t="shared" si="6"/>
        <v>25016.258480136788</v>
      </c>
      <c r="R260" s="125">
        <f t="shared" si="6"/>
        <v>27841.884328150471</v>
      </c>
      <c r="S260" s="125">
        <f t="shared" si="6"/>
        <v>89015.826765121907</v>
      </c>
      <c r="T260" s="125">
        <f t="shared" si="6"/>
        <v>79629.376379125155</v>
      </c>
      <c r="U260" s="125">
        <f t="shared" si="6"/>
        <v>39374.6211933382</v>
      </c>
      <c r="V260" s="125">
        <f t="shared" si="6"/>
        <v>26271.099187931766</v>
      </c>
      <c r="W260" s="125">
        <f t="shared" si="6"/>
        <v>66799.106988563246</v>
      </c>
      <c r="X260" s="125">
        <f t="shared" si="6"/>
        <v>52580.895954818145</v>
      </c>
      <c r="Y260" s="125">
        <f t="shared" si="6"/>
        <v>55427.765224303235</v>
      </c>
      <c r="Z260" s="125">
        <f t="shared" si="6"/>
        <v>50130.996481678987</v>
      </c>
      <c r="AA260" s="125">
        <f t="shared" si="6"/>
        <v>38035.777494544884</v>
      </c>
      <c r="AB260" s="125">
        <f t="shared" si="6"/>
        <v>21322.467416884363</v>
      </c>
      <c r="AC260" s="125">
        <f t="shared" si="6"/>
        <v>21098.453501544092</v>
      </c>
      <c r="AD260" s="125">
        <f t="shared" si="6"/>
        <v>67197.167217272072</v>
      </c>
      <c r="AE260" s="125">
        <f t="shared" si="6"/>
        <v>47178.905124018231</v>
      </c>
      <c r="AF260" s="125">
        <f t="shared" si="6"/>
        <v>28130.354549097217</v>
      </c>
      <c r="AG260" s="125">
        <f t="shared" si="6"/>
        <v>61679.140550376898</v>
      </c>
      <c r="AH260" s="125">
        <f t="shared" si="6"/>
        <v>47160.447792095991</v>
      </c>
      <c r="AI260" s="125">
        <f t="shared" si="6"/>
        <v>46198.871314401316</v>
      </c>
      <c r="AJ260" s="125">
        <f t="shared" si="6"/>
        <v>75166.447570745542</v>
      </c>
      <c r="AK260" s="125">
        <f t="shared" si="6"/>
        <v>32709.422382835794</v>
      </c>
      <c r="AL260" s="125">
        <f t="shared" si="6"/>
        <v>15993.915951517638</v>
      </c>
      <c r="AM260" s="125">
        <f t="shared" si="6"/>
        <v>0</v>
      </c>
      <c r="AN260" s="125">
        <f t="shared" si="6"/>
        <v>24481.223332352885</v>
      </c>
      <c r="AO260" s="125">
        <f t="shared" si="6"/>
        <v>40441.852713306842</v>
      </c>
      <c r="AP260" s="125">
        <f t="shared" si="6"/>
        <v>84309.483177798946</v>
      </c>
      <c r="AQ260" s="125">
        <f t="shared" si="6"/>
        <v>78022.641107244883</v>
      </c>
      <c r="AR260" s="125">
        <f t="shared" si="6"/>
        <v>36532.3525797603</v>
      </c>
      <c r="AS260" s="125">
        <f t="shared" si="6"/>
        <v>9329.6937375116177</v>
      </c>
      <c r="AT260" s="125">
        <f t="shared" si="6"/>
        <v>9693.7550880820745</v>
      </c>
      <c r="AU260" s="125">
        <f t="shared" si="6"/>
        <v>35143.915087168425</v>
      </c>
      <c r="AV260" s="125">
        <f t="shared" si="6"/>
        <v>76297.27657722609</v>
      </c>
      <c r="AW260" s="125">
        <f t="shared" si="6"/>
        <v>68787.937999632733</v>
      </c>
      <c r="AX260" s="125">
        <f t="shared" si="6"/>
        <v>36354.24867889384</v>
      </c>
      <c r="AY260" s="125">
        <f t="shared" si="6"/>
        <v>45752.382018678916</v>
      </c>
      <c r="AZ260" s="141">
        <f>SUM($D260:$AY260)</f>
        <v>2245476.2641195906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baseColWidth="10" defaultColWidth="8.83203125" defaultRowHeight="12" x14ac:dyDescent="0"/>
  <cols>
    <col min="1" max="16384" width="8.83203125" style="100"/>
  </cols>
  <sheetData>
    <row r="2" spans="1:99">
      <c r="B2" s="102" t="s">
        <v>272</v>
      </c>
    </row>
    <row r="3" spans="1:99">
      <c r="B3" s="103" t="s">
        <v>283</v>
      </c>
    </row>
    <row r="4" spans="1:99">
      <c r="A4" s="101"/>
      <c r="B4" s="101"/>
      <c r="C4" s="99" t="s">
        <v>274</v>
      </c>
      <c r="D4" s="99" t="s">
        <v>92</v>
      </c>
      <c r="E4" s="101"/>
      <c r="F4" s="101"/>
      <c r="G4" s="101"/>
      <c r="H4" s="101"/>
      <c r="I4" s="101"/>
      <c r="J4" s="101"/>
      <c r="K4" s="101"/>
      <c r="L4" s="99" t="s">
        <v>93</v>
      </c>
      <c r="M4" s="101"/>
      <c r="N4" s="101"/>
      <c r="O4" s="101"/>
      <c r="P4" s="101"/>
      <c r="Q4" s="101"/>
      <c r="R4" s="101"/>
      <c r="S4" s="101"/>
      <c r="T4" s="99" t="s">
        <v>94</v>
      </c>
      <c r="U4" s="101"/>
      <c r="V4" s="101"/>
      <c r="W4" s="101"/>
      <c r="X4" s="101"/>
      <c r="Y4" s="101"/>
      <c r="Z4" s="101"/>
      <c r="AA4" s="101"/>
      <c r="AB4" s="99" t="s">
        <v>95</v>
      </c>
      <c r="AC4" s="101"/>
      <c r="AD4" s="101"/>
      <c r="AE4" s="101"/>
      <c r="AF4" s="101"/>
      <c r="AG4" s="101"/>
      <c r="AH4" s="101"/>
      <c r="AI4" s="101"/>
      <c r="AJ4" s="99" t="s">
        <v>96</v>
      </c>
      <c r="AK4" s="101"/>
      <c r="AL4" s="101"/>
      <c r="AM4" s="101"/>
      <c r="AN4" s="101"/>
      <c r="AO4" s="101"/>
      <c r="AP4" s="101"/>
      <c r="AQ4" s="101"/>
      <c r="AR4" s="99" t="s">
        <v>97</v>
      </c>
      <c r="AS4" s="101"/>
      <c r="AT4" s="101"/>
      <c r="AU4" s="101"/>
      <c r="AV4" s="101"/>
      <c r="AW4" s="101"/>
      <c r="AX4" s="101"/>
      <c r="AY4" s="101"/>
      <c r="AZ4" s="99" t="s">
        <v>98</v>
      </c>
      <c r="BA4" s="101"/>
      <c r="BB4" s="101"/>
      <c r="BC4" s="101"/>
      <c r="BD4" s="101"/>
      <c r="BE4" s="101"/>
      <c r="BF4" s="101"/>
      <c r="BG4" s="101"/>
      <c r="BH4" s="99" t="s">
        <v>99</v>
      </c>
      <c r="BI4" s="101"/>
      <c r="BJ4" s="101"/>
      <c r="BK4" s="101"/>
      <c r="BL4" s="101"/>
      <c r="BM4" s="101"/>
      <c r="BN4" s="101"/>
      <c r="BO4" s="101"/>
      <c r="BP4" s="99" t="s">
        <v>100</v>
      </c>
      <c r="BQ4" s="101"/>
      <c r="BR4" s="101"/>
      <c r="BS4" s="101"/>
      <c r="BT4" s="101"/>
      <c r="BU4" s="101"/>
      <c r="BV4" s="101"/>
      <c r="BW4" s="101"/>
      <c r="BX4" s="99" t="s">
        <v>101</v>
      </c>
      <c r="BY4" s="101"/>
      <c r="BZ4" s="101"/>
      <c r="CA4" s="101"/>
      <c r="CB4" s="101"/>
      <c r="CC4" s="101"/>
      <c r="CD4" s="101"/>
      <c r="CE4" s="101"/>
      <c r="CF4" s="99" t="s">
        <v>102</v>
      </c>
      <c r="CG4" s="101"/>
      <c r="CH4" s="101"/>
      <c r="CI4" s="101"/>
      <c r="CJ4" s="101"/>
      <c r="CK4" s="101"/>
      <c r="CL4" s="101"/>
      <c r="CM4" s="101"/>
      <c r="CN4" s="99" t="s">
        <v>103</v>
      </c>
      <c r="CO4" s="101"/>
      <c r="CP4" s="101"/>
      <c r="CQ4" s="101"/>
      <c r="CR4" s="101"/>
      <c r="CS4" s="101"/>
      <c r="CT4" s="101"/>
      <c r="CU4" s="101"/>
    </row>
    <row r="5" spans="1:99">
      <c r="B5" s="99" t="s">
        <v>167</v>
      </c>
      <c r="C5" s="99" t="s">
        <v>275</v>
      </c>
      <c r="D5" s="99">
        <v>1</v>
      </c>
      <c r="E5" s="99"/>
      <c r="F5" s="99">
        <v>2</v>
      </c>
      <c r="G5" s="99"/>
      <c r="H5" s="99">
        <v>3</v>
      </c>
      <c r="I5" s="99"/>
      <c r="J5" s="99">
        <v>4</v>
      </c>
      <c r="K5" s="99"/>
      <c r="L5" s="99">
        <v>1</v>
      </c>
      <c r="M5" s="99"/>
      <c r="N5" s="99">
        <v>2</v>
      </c>
      <c r="O5" s="99"/>
      <c r="P5" s="99">
        <v>3</v>
      </c>
      <c r="Q5" s="99"/>
      <c r="R5" s="99">
        <v>4</v>
      </c>
      <c r="S5" s="99"/>
      <c r="T5" s="99">
        <v>1</v>
      </c>
      <c r="U5" s="99"/>
      <c r="V5" s="99">
        <v>2</v>
      </c>
      <c r="W5" s="99"/>
      <c r="X5" s="99">
        <v>3</v>
      </c>
      <c r="Y5" s="99"/>
      <c r="Z5" s="99">
        <v>4</v>
      </c>
      <c r="AA5" s="99"/>
      <c r="AB5" s="99">
        <v>1</v>
      </c>
      <c r="AC5" s="99"/>
      <c r="AD5" s="99">
        <v>2</v>
      </c>
      <c r="AE5" s="99"/>
      <c r="AF5" s="99">
        <v>3</v>
      </c>
      <c r="AG5" s="99"/>
      <c r="AH5" s="99">
        <v>4</v>
      </c>
      <c r="AI5" s="99"/>
      <c r="AJ5" s="99">
        <v>1</v>
      </c>
      <c r="AK5" s="99"/>
      <c r="AL5" s="99">
        <v>2</v>
      </c>
      <c r="AM5" s="99"/>
      <c r="AN5" s="99">
        <v>3</v>
      </c>
      <c r="AO5" s="99"/>
      <c r="AP5" s="99">
        <v>4</v>
      </c>
      <c r="AQ5" s="99"/>
      <c r="AR5" s="99">
        <v>1</v>
      </c>
      <c r="AS5" s="99"/>
      <c r="AT5" s="99">
        <v>2</v>
      </c>
      <c r="AU5" s="99"/>
      <c r="AV5" s="99">
        <v>3</v>
      </c>
      <c r="AW5" s="99"/>
      <c r="AX5" s="99">
        <v>4</v>
      </c>
      <c r="AY5" s="99"/>
      <c r="AZ5" s="99">
        <v>1</v>
      </c>
      <c r="BA5" s="99"/>
      <c r="BB5" s="99">
        <v>2</v>
      </c>
      <c r="BC5" s="99"/>
      <c r="BD5" s="99">
        <v>3</v>
      </c>
      <c r="BE5" s="99"/>
      <c r="BF5" s="99">
        <v>4</v>
      </c>
      <c r="BG5" s="99"/>
      <c r="BH5" s="99">
        <v>1</v>
      </c>
      <c r="BI5" s="99"/>
      <c r="BJ5" s="99">
        <v>2</v>
      </c>
      <c r="BK5" s="99"/>
      <c r="BL5" s="99">
        <v>3</v>
      </c>
      <c r="BM5" s="99"/>
      <c r="BN5" s="99">
        <v>4</v>
      </c>
      <c r="BO5" s="99"/>
      <c r="BP5" s="99">
        <v>1</v>
      </c>
      <c r="BQ5" s="99"/>
      <c r="BR5" s="99">
        <v>2</v>
      </c>
      <c r="BS5" s="99"/>
      <c r="BT5" s="99">
        <v>3</v>
      </c>
      <c r="BU5" s="99"/>
      <c r="BV5" s="99">
        <v>4</v>
      </c>
      <c r="BW5" s="99"/>
      <c r="BX5" s="99">
        <v>1</v>
      </c>
      <c r="BY5" s="99"/>
      <c r="BZ5" s="99">
        <v>2</v>
      </c>
      <c r="CA5" s="99"/>
      <c r="CB5" s="99">
        <v>3</v>
      </c>
      <c r="CC5" s="99"/>
      <c r="CD5" s="99">
        <v>4</v>
      </c>
      <c r="CE5" s="99"/>
      <c r="CF5" s="99">
        <v>1</v>
      </c>
      <c r="CG5" s="99"/>
      <c r="CH5" s="99">
        <v>2</v>
      </c>
      <c r="CI5" s="99"/>
      <c r="CJ5" s="99">
        <v>3</v>
      </c>
      <c r="CK5" s="99"/>
      <c r="CL5" s="99">
        <v>4</v>
      </c>
      <c r="CM5" s="99"/>
      <c r="CN5" s="99">
        <v>1</v>
      </c>
      <c r="CO5" s="99"/>
      <c r="CP5" s="99">
        <v>2</v>
      </c>
      <c r="CQ5" s="99"/>
      <c r="CR5" s="99">
        <v>3</v>
      </c>
      <c r="CS5" s="99"/>
      <c r="CT5" s="99">
        <v>4</v>
      </c>
      <c r="CU5" s="99"/>
    </row>
    <row r="6" spans="1:99">
      <c r="B6" s="99" t="s">
        <v>126</v>
      </c>
      <c r="C6" s="99" t="s">
        <v>172</v>
      </c>
      <c r="D6" s="100">
        <v>21</v>
      </c>
      <c r="E6" s="100">
        <v>12146.4</v>
      </c>
      <c r="F6" s="100">
        <v>18</v>
      </c>
      <c r="G6" s="100">
        <v>10411.199999999999</v>
      </c>
      <c r="H6" s="100">
        <v>18.791114551033488</v>
      </c>
      <c r="I6" s="100">
        <v>10868.780656317769</v>
      </c>
      <c r="J6" s="100">
        <v>19.823513143967222</v>
      </c>
      <c r="K6" s="100">
        <v>11465.920002470641</v>
      </c>
      <c r="L6" s="100">
        <v>17</v>
      </c>
      <c r="M6" s="100">
        <v>9832.7999999999993</v>
      </c>
      <c r="N6" s="100">
        <v>26</v>
      </c>
      <c r="O6" s="100">
        <v>15038.4</v>
      </c>
      <c r="P6" s="100">
        <v>17</v>
      </c>
      <c r="Q6" s="100">
        <v>9832.7999999999993</v>
      </c>
      <c r="R6" s="100">
        <v>27</v>
      </c>
      <c r="S6" s="100">
        <v>15616.8</v>
      </c>
      <c r="T6" s="100">
        <v>25</v>
      </c>
      <c r="U6" s="100">
        <v>14460</v>
      </c>
      <c r="V6" s="100">
        <v>26</v>
      </c>
      <c r="W6" s="100">
        <v>15038.4</v>
      </c>
      <c r="X6" s="100">
        <v>13</v>
      </c>
      <c r="Y6" s="100">
        <v>7519.2</v>
      </c>
      <c r="Z6" s="100">
        <v>15</v>
      </c>
      <c r="AA6" s="100">
        <v>8676</v>
      </c>
      <c r="AB6" s="100">
        <v>21</v>
      </c>
      <c r="AC6" s="100">
        <v>12146.4</v>
      </c>
      <c r="AD6" s="100">
        <v>25</v>
      </c>
      <c r="AE6" s="100">
        <v>14460</v>
      </c>
      <c r="AF6" s="100">
        <v>20</v>
      </c>
      <c r="AG6" s="100">
        <v>11568</v>
      </c>
      <c r="AH6" s="100">
        <v>19</v>
      </c>
      <c r="AI6" s="100">
        <v>10989.6</v>
      </c>
      <c r="AJ6" s="100">
        <v>14</v>
      </c>
      <c r="AK6" s="100">
        <v>8097.5999999999995</v>
      </c>
      <c r="AL6" s="100">
        <v>23</v>
      </c>
      <c r="AM6" s="100">
        <v>13303.199999999999</v>
      </c>
      <c r="AN6" s="100">
        <v>21.817036991248845</v>
      </c>
      <c r="AO6" s="100">
        <v>12618.974195738332</v>
      </c>
      <c r="AP6" s="100">
        <v>24.146641292927395</v>
      </c>
      <c r="AQ6" s="100">
        <v>13966.417323829204</v>
      </c>
      <c r="AR6" s="100">
        <v>28</v>
      </c>
      <c r="AS6" s="100">
        <v>16195.199999999999</v>
      </c>
      <c r="AT6" s="100">
        <v>14.877856284950756</v>
      </c>
      <c r="AU6" s="100">
        <v>8605.3520752155164</v>
      </c>
      <c r="AV6" s="100">
        <v>24</v>
      </c>
      <c r="AW6" s="100">
        <v>13881.599999999999</v>
      </c>
      <c r="AX6" s="100">
        <v>29</v>
      </c>
      <c r="AY6" s="100">
        <v>16773.599999999999</v>
      </c>
      <c r="AZ6" s="100">
        <v>19</v>
      </c>
      <c r="BA6" s="100">
        <v>10989.6</v>
      </c>
      <c r="BB6" s="100">
        <v>19</v>
      </c>
      <c r="BC6" s="100">
        <v>10989.6</v>
      </c>
      <c r="BD6" s="100">
        <v>19</v>
      </c>
      <c r="BE6" s="100">
        <v>10989.6</v>
      </c>
      <c r="BF6" s="100">
        <v>28</v>
      </c>
      <c r="BG6" s="100">
        <v>16195.199999999999</v>
      </c>
      <c r="BH6" s="100">
        <v>27</v>
      </c>
      <c r="BI6" s="100">
        <v>15616.8</v>
      </c>
      <c r="BJ6" s="100">
        <v>24</v>
      </c>
      <c r="BK6" s="100">
        <v>13881.599999999999</v>
      </c>
      <c r="BL6" s="100">
        <v>16</v>
      </c>
      <c r="BM6" s="100">
        <v>9254.4</v>
      </c>
      <c r="BN6" s="100">
        <v>28</v>
      </c>
      <c r="BO6" s="100">
        <v>16195.199999999999</v>
      </c>
      <c r="BP6" s="100">
        <v>24</v>
      </c>
      <c r="BQ6" s="100">
        <v>13881.599999999999</v>
      </c>
      <c r="BR6" s="100">
        <v>30.536791125551584</v>
      </c>
      <c r="BS6" s="100">
        <v>17662.479987019036</v>
      </c>
      <c r="BT6" s="100">
        <v>16.658198204042236</v>
      </c>
      <c r="BU6" s="100">
        <v>9635.1018412180292</v>
      </c>
      <c r="BV6" s="100">
        <v>18.380013324037684</v>
      </c>
      <c r="BW6" s="100">
        <v>10630.999706623395</v>
      </c>
      <c r="BX6" s="100">
        <v>15.528244358986605</v>
      </c>
      <c r="BY6" s="100">
        <v>8981.536537237851</v>
      </c>
      <c r="BZ6" s="100">
        <v>18</v>
      </c>
      <c r="CA6" s="100">
        <v>10411.199999999999</v>
      </c>
      <c r="CB6" s="100">
        <v>17</v>
      </c>
      <c r="CC6" s="100">
        <v>9832.7999999999993</v>
      </c>
      <c r="CD6" s="100">
        <v>21</v>
      </c>
      <c r="CE6" s="100">
        <v>12146.4</v>
      </c>
      <c r="CF6" s="100">
        <v>21</v>
      </c>
      <c r="CG6" s="100">
        <v>12146.4</v>
      </c>
      <c r="CH6" s="100">
        <v>24</v>
      </c>
      <c r="CI6" s="100">
        <v>13881.599999999999</v>
      </c>
      <c r="CJ6" s="100">
        <v>22</v>
      </c>
      <c r="CK6" s="100">
        <v>12724.8</v>
      </c>
      <c r="CL6" s="100">
        <v>21.4814776518622</v>
      </c>
      <c r="CM6" s="100">
        <v>12424.886673837096</v>
      </c>
      <c r="CN6" s="100">
        <v>19.496301697671232</v>
      </c>
      <c r="CO6" s="100">
        <v>11276.660901933041</v>
      </c>
      <c r="CP6" s="100">
        <v>15.956007782532621</v>
      </c>
      <c r="CQ6" s="100">
        <v>9228.9549014168679</v>
      </c>
      <c r="CR6" s="100">
        <v>20.948566224876558</v>
      </c>
      <c r="CS6" s="100">
        <v>12116.6507044686</v>
      </c>
      <c r="CT6" s="100">
        <v>19.678698518727199</v>
      </c>
      <c r="CU6" s="100">
        <v>11382.159223231811</v>
      </c>
    </row>
    <row r="7" spans="1:99">
      <c r="C7" s="99" t="s">
        <v>173</v>
      </c>
      <c r="D7" s="100">
        <v>17</v>
      </c>
      <c r="E7" s="100">
        <v>13402.8</v>
      </c>
      <c r="F7" s="100">
        <v>18</v>
      </c>
      <c r="G7" s="100">
        <v>14191.199999999999</v>
      </c>
      <c r="H7" s="100">
        <v>19.780120580035252</v>
      </c>
      <c r="I7" s="100">
        <v>15594.647065299792</v>
      </c>
      <c r="J7" s="100">
        <v>17.237837516493233</v>
      </c>
      <c r="K7" s="100">
        <v>13590.311098003265</v>
      </c>
      <c r="L7" s="100">
        <v>15</v>
      </c>
      <c r="M7" s="100">
        <v>11826</v>
      </c>
      <c r="N7" s="100">
        <v>27</v>
      </c>
      <c r="O7" s="100">
        <v>21286.799999999999</v>
      </c>
      <c r="P7" s="100">
        <v>16</v>
      </c>
      <c r="Q7" s="100">
        <v>12614.4</v>
      </c>
      <c r="R7" s="100">
        <v>26</v>
      </c>
      <c r="S7" s="100">
        <v>20498.399999999998</v>
      </c>
      <c r="T7" s="100">
        <v>25</v>
      </c>
      <c r="U7" s="100">
        <v>19710</v>
      </c>
      <c r="V7" s="100">
        <v>25</v>
      </c>
      <c r="W7" s="100">
        <v>19710</v>
      </c>
      <c r="X7" s="100">
        <v>15</v>
      </c>
      <c r="Y7" s="100">
        <v>11826</v>
      </c>
      <c r="Z7" s="100">
        <v>16</v>
      </c>
      <c r="AA7" s="100">
        <v>12614.4</v>
      </c>
      <c r="AB7" s="100">
        <v>22</v>
      </c>
      <c r="AC7" s="100">
        <v>17344.8</v>
      </c>
      <c r="AD7" s="100">
        <v>25</v>
      </c>
      <c r="AE7" s="100">
        <v>19710</v>
      </c>
      <c r="AF7" s="100">
        <v>20</v>
      </c>
      <c r="AG7" s="100">
        <v>15768</v>
      </c>
      <c r="AH7" s="100">
        <v>17</v>
      </c>
      <c r="AI7" s="100">
        <v>13402.8</v>
      </c>
      <c r="AJ7" s="100">
        <v>14</v>
      </c>
      <c r="AK7" s="100">
        <v>11037.6</v>
      </c>
      <c r="AL7" s="100">
        <v>23</v>
      </c>
      <c r="AM7" s="100">
        <v>18133.2</v>
      </c>
      <c r="AN7" s="100">
        <v>21.817036991248845</v>
      </c>
      <c r="AO7" s="100">
        <v>17200.551963900587</v>
      </c>
      <c r="AP7" s="100">
        <v>21.360490374512697</v>
      </c>
      <c r="AQ7" s="100">
        <v>16840.610611265809</v>
      </c>
      <c r="AR7" s="100">
        <v>29</v>
      </c>
      <c r="AS7" s="100">
        <v>22863.599999999999</v>
      </c>
      <c r="AT7" s="100">
        <v>14.877856284950756</v>
      </c>
      <c r="AU7" s="100">
        <v>11729.701895055176</v>
      </c>
      <c r="AV7" s="100">
        <v>23</v>
      </c>
      <c r="AW7" s="100">
        <v>18133.2</v>
      </c>
      <c r="AX7" s="100">
        <v>27</v>
      </c>
      <c r="AY7" s="100">
        <v>21286.799999999999</v>
      </c>
      <c r="AZ7" s="100">
        <v>16</v>
      </c>
      <c r="BA7" s="100">
        <v>12614.4</v>
      </c>
      <c r="BB7" s="100">
        <v>17</v>
      </c>
      <c r="BC7" s="100">
        <v>13402.8</v>
      </c>
      <c r="BD7" s="100">
        <v>20</v>
      </c>
      <c r="BE7" s="100">
        <v>15768</v>
      </c>
      <c r="BF7" s="100">
        <v>25</v>
      </c>
      <c r="BG7" s="100">
        <v>19710</v>
      </c>
      <c r="BH7" s="100">
        <v>25</v>
      </c>
      <c r="BI7" s="100">
        <v>19710</v>
      </c>
      <c r="BJ7" s="100">
        <v>21</v>
      </c>
      <c r="BK7" s="100">
        <v>16556.399999999998</v>
      </c>
      <c r="BL7" s="100">
        <v>18</v>
      </c>
      <c r="BM7" s="100">
        <v>14191.199999999999</v>
      </c>
      <c r="BN7" s="100">
        <v>29</v>
      </c>
      <c r="BO7" s="100">
        <v>22863.599999999999</v>
      </c>
      <c r="BP7" s="100">
        <v>22</v>
      </c>
      <c r="BQ7" s="100">
        <v>17344.8</v>
      </c>
      <c r="BR7" s="100">
        <v>28.628241680204614</v>
      </c>
      <c r="BS7" s="100">
        <v>22570.505740673318</v>
      </c>
      <c r="BT7" s="100">
        <v>18.509109115602481</v>
      </c>
      <c r="BU7" s="100">
        <v>14592.581626740995</v>
      </c>
      <c r="BV7" s="100">
        <v>16.542011991633917</v>
      </c>
      <c r="BW7" s="100">
        <v>13041.72225420418</v>
      </c>
      <c r="BX7" s="100">
        <v>14.614818220222686</v>
      </c>
      <c r="BY7" s="100">
        <v>11522.322684823564</v>
      </c>
      <c r="BZ7" s="100">
        <v>18</v>
      </c>
      <c r="CA7" s="100">
        <v>14191.199999999999</v>
      </c>
      <c r="CB7" s="100">
        <v>14</v>
      </c>
      <c r="CC7" s="100">
        <v>11037.6</v>
      </c>
      <c r="CD7" s="100">
        <v>18</v>
      </c>
      <c r="CE7" s="100">
        <v>14191.199999999999</v>
      </c>
      <c r="CF7" s="100">
        <v>20</v>
      </c>
      <c r="CG7" s="100">
        <v>15768</v>
      </c>
      <c r="CH7" s="100">
        <v>19</v>
      </c>
      <c r="CI7" s="100">
        <v>14979.6</v>
      </c>
      <c r="CJ7" s="100">
        <v>21</v>
      </c>
      <c r="CK7" s="100">
        <v>16556.399999999998</v>
      </c>
      <c r="CL7" s="100">
        <v>21.4814776518622</v>
      </c>
      <c r="CM7" s="100">
        <v>16935.99698072816</v>
      </c>
      <c r="CN7" s="100">
        <v>17.156745493950684</v>
      </c>
      <c r="CO7" s="100">
        <v>13526.378147430718</v>
      </c>
      <c r="CP7" s="100">
        <v>15.956007782532621</v>
      </c>
      <c r="CQ7" s="100">
        <v>12579.716535748719</v>
      </c>
      <c r="CR7" s="100">
        <v>21.900773780552765</v>
      </c>
      <c r="CS7" s="100">
        <v>17266.570048587801</v>
      </c>
      <c r="CT7" s="100">
        <v>17.967507343185702</v>
      </c>
      <c r="CU7" s="100">
        <v>14165.582789367607</v>
      </c>
    </row>
    <row r="8" spans="1:99">
      <c r="C8" s="99" t="s">
        <v>174</v>
      </c>
      <c r="D8" s="100">
        <v>20</v>
      </c>
      <c r="E8" s="100">
        <v>6191.9999999999991</v>
      </c>
      <c r="F8" s="100">
        <v>19</v>
      </c>
      <c r="G8" s="100">
        <v>5882.4</v>
      </c>
      <c r="H8" s="100">
        <v>19.780120580035252</v>
      </c>
      <c r="I8" s="100">
        <v>6123.9253315789138</v>
      </c>
      <c r="J8" s="100">
        <v>22.409188771441205</v>
      </c>
      <c r="K8" s="100">
        <v>6937.8848436381959</v>
      </c>
      <c r="L8" s="100">
        <v>18</v>
      </c>
      <c r="M8" s="100">
        <v>5572.7999999999993</v>
      </c>
      <c r="N8" s="100">
        <v>30</v>
      </c>
      <c r="O8" s="100">
        <v>9287.9999999999982</v>
      </c>
      <c r="P8" s="100">
        <v>17</v>
      </c>
      <c r="Q8" s="100">
        <v>5263.2</v>
      </c>
      <c r="R8" s="100">
        <v>25</v>
      </c>
      <c r="S8" s="100">
        <v>7739.9999999999991</v>
      </c>
      <c r="T8" s="100">
        <v>25</v>
      </c>
      <c r="U8" s="100">
        <v>7739.9999999999991</v>
      </c>
      <c r="V8" s="100">
        <v>29</v>
      </c>
      <c r="W8" s="100">
        <v>8978.4</v>
      </c>
      <c r="X8" s="100">
        <v>14</v>
      </c>
      <c r="Y8" s="100">
        <v>4334.3999999999996</v>
      </c>
      <c r="Z8" s="100">
        <v>16</v>
      </c>
      <c r="AA8" s="100">
        <v>4953.5999999999995</v>
      </c>
      <c r="AB8" s="100">
        <v>21</v>
      </c>
      <c r="AC8" s="100">
        <v>6501.5999999999995</v>
      </c>
      <c r="AD8" s="100">
        <v>25</v>
      </c>
      <c r="AE8" s="100">
        <v>7739.9999999999991</v>
      </c>
      <c r="AF8" s="100">
        <v>21</v>
      </c>
      <c r="AG8" s="100">
        <v>6501.5999999999995</v>
      </c>
      <c r="AH8" s="100">
        <v>19</v>
      </c>
      <c r="AI8" s="100">
        <v>5882.4</v>
      </c>
      <c r="AJ8" s="100">
        <v>14</v>
      </c>
      <c r="AK8" s="100">
        <v>4334.3999999999996</v>
      </c>
      <c r="AL8" s="100">
        <v>21</v>
      </c>
      <c r="AM8" s="100">
        <v>6501.5999999999995</v>
      </c>
      <c r="AN8" s="100">
        <v>21.817036991248845</v>
      </c>
      <c r="AO8" s="100">
        <v>6754.5546524906413</v>
      </c>
      <c r="AP8" s="100">
        <v>22.289207347317596</v>
      </c>
      <c r="AQ8" s="100">
        <v>6900.738594729527</v>
      </c>
      <c r="AR8" s="100">
        <v>31</v>
      </c>
      <c r="AS8" s="100">
        <v>9597.5999999999985</v>
      </c>
      <c r="AT8" s="100">
        <v>15.80772230276018</v>
      </c>
      <c r="AU8" s="100">
        <v>4894.0708249345507</v>
      </c>
      <c r="AV8" s="100">
        <v>28</v>
      </c>
      <c r="AW8" s="100">
        <v>8668.7999999999993</v>
      </c>
      <c r="AX8" s="100">
        <v>29</v>
      </c>
      <c r="AY8" s="100">
        <v>8978.4</v>
      </c>
      <c r="AZ8" s="100">
        <v>20</v>
      </c>
      <c r="BA8" s="100">
        <v>6191.9999999999991</v>
      </c>
      <c r="BB8" s="100">
        <v>19</v>
      </c>
      <c r="BC8" s="100">
        <v>5882.4</v>
      </c>
      <c r="BD8" s="100">
        <v>22</v>
      </c>
      <c r="BE8" s="100">
        <v>6811.1999999999989</v>
      </c>
      <c r="BF8" s="100">
        <v>26</v>
      </c>
      <c r="BG8" s="100">
        <v>8049.5999999999995</v>
      </c>
      <c r="BH8" s="100">
        <v>26</v>
      </c>
      <c r="BI8" s="100">
        <v>8049.5999999999995</v>
      </c>
      <c r="BJ8" s="100">
        <v>21</v>
      </c>
      <c r="BK8" s="100">
        <v>6501.5999999999995</v>
      </c>
      <c r="BL8" s="100">
        <v>19</v>
      </c>
      <c r="BM8" s="100">
        <v>5882.4</v>
      </c>
      <c r="BN8" s="100">
        <v>28</v>
      </c>
      <c r="BO8" s="100">
        <v>8668.7999999999993</v>
      </c>
      <c r="BP8" s="100">
        <v>24</v>
      </c>
      <c r="BQ8" s="100">
        <v>7430.4</v>
      </c>
      <c r="BR8" s="100">
        <v>28.628241680204614</v>
      </c>
      <c r="BS8" s="100">
        <v>8863.3036241913469</v>
      </c>
      <c r="BT8" s="100">
        <v>15.732742748262108</v>
      </c>
      <c r="BU8" s="100">
        <v>4870.8571548619484</v>
      </c>
      <c r="BV8" s="100">
        <v>19.299013990239569</v>
      </c>
      <c r="BW8" s="100">
        <v>5974.97473137817</v>
      </c>
      <c r="BX8" s="100">
        <v>16.441670497750522</v>
      </c>
      <c r="BY8" s="100">
        <v>5090.3411861035611</v>
      </c>
      <c r="BZ8" s="100">
        <v>19</v>
      </c>
      <c r="CA8" s="100">
        <v>5882.4</v>
      </c>
      <c r="CB8" s="100">
        <v>16</v>
      </c>
      <c r="CC8" s="100">
        <v>4953.5999999999995</v>
      </c>
      <c r="CD8" s="100">
        <v>18</v>
      </c>
      <c r="CE8" s="100">
        <v>5572.7999999999993</v>
      </c>
      <c r="CF8" s="100">
        <v>20</v>
      </c>
      <c r="CG8" s="100">
        <v>6191.9999999999991</v>
      </c>
      <c r="CH8" s="100">
        <v>25</v>
      </c>
      <c r="CI8" s="100">
        <v>7739.9999999999991</v>
      </c>
      <c r="CJ8" s="100">
        <v>21</v>
      </c>
      <c r="CK8" s="100">
        <v>6501.5999999999995</v>
      </c>
      <c r="CL8" s="100">
        <v>24.410770058934322</v>
      </c>
      <c r="CM8" s="100">
        <v>7557.5744102460649</v>
      </c>
      <c r="CN8" s="100">
        <v>20.27615376557808</v>
      </c>
      <c r="CO8" s="100">
        <v>6277.4972058229732</v>
      </c>
      <c r="CP8" s="100">
        <v>15.956007782532621</v>
      </c>
      <c r="CQ8" s="100">
        <v>4939.9800094720995</v>
      </c>
      <c r="CR8" s="100">
        <v>19.996358669200347</v>
      </c>
      <c r="CS8" s="100">
        <v>6190.8726439844268</v>
      </c>
      <c r="CT8" s="100">
        <v>18.823102930956452</v>
      </c>
      <c r="CU8" s="100">
        <v>5827.6326674241172</v>
      </c>
    </row>
    <row r="9" spans="1:99">
      <c r="C9" s="99" t="s">
        <v>175</v>
      </c>
      <c r="D9" s="100">
        <v>18</v>
      </c>
      <c r="E9" s="100">
        <v>12636</v>
      </c>
      <c r="F9" s="100">
        <v>19</v>
      </c>
      <c r="G9" s="100">
        <v>13338</v>
      </c>
      <c r="H9" s="100">
        <v>18.791114551033488</v>
      </c>
      <c r="I9" s="100">
        <v>13191.362414825508</v>
      </c>
      <c r="J9" s="100">
        <v>19.823513143967222</v>
      </c>
      <c r="K9" s="100">
        <v>13916.106227064991</v>
      </c>
      <c r="L9" s="100">
        <v>19</v>
      </c>
      <c r="M9" s="100">
        <v>13338</v>
      </c>
      <c r="N9" s="100">
        <v>26</v>
      </c>
      <c r="O9" s="100">
        <v>18252</v>
      </c>
      <c r="P9" s="100">
        <v>16</v>
      </c>
      <c r="Q9" s="100">
        <v>11232</v>
      </c>
      <c r="R9" s="100">
        <v>26</v>
      </c>
      <c r="S9" s="100">
        <v>18252</v>
      </c>
      <c r="T9" s="100">
        <v>25</v>
      </c>
      <c r="U9" s="100">
        <v>17550</v>
      </c>
      <c r="V9" s="100">
        <v>29</v>
      </c>
      <c r="W9" s="100">
        <v>20358</v>
      </c>
      <c r="X9" s="100">
        <v>13</v>
      </c>
      <c r="Y9" s="100">
        <v>9126</v>
      </c>
      <c r="Z9" s="100">
        <v>16</v>
      </c>
      <c r="AA9" s="100">
        <v>11232</v>
      </c>
      <c r="AB9" s="100">
        <v>22</v>
      </c>
      <c r="AC9" s="100">
        <v>15444</v>
      </c>
      <c r="AD9" s="100">
        <v>27</v>
      </c>
      <c r="AE9" s="100">
        <v>18954</v>
      </c>
      <c r="AF9" s="100">
        <v>18</v>
      </c>
      <c r="AG9" s="100">
        <v>12636</v>
      </c>
      <c r="AH9" s="100">
        <v>18</v>
      </c>
      <c r="AI9" s="100">
        <v>12636</v>
      </c>
      <c r="AJ9" s="100">
        <v>15</v>
      </c>
      <c r="AK9" s="100">
        <v>10530</v>
      </c>
      <c r="AL9" s="100">
        <v>22</v>
      </c>
      <c r="AM9" s="100">
        <v>15444</v>
      </c>
      <c r="AN9" s="100">
        <v>21.817036991248845</v>
      </c>
      <c r="AO9" s="100">
        <v>15315.559967856689</v>
      </c>
      <c r="AP9" s="100">
        <v>23.217924320122496</v>
      </c>
      <c r="AQ9" s="100">
        <v>16298.982872725992</v>
      </c>
      <c r="AR9" s="100">
        <v>26</v>
      </c>
      <c r="AS9" s="100">
        <v>18252</v>
      </c>
      <c r="AT9" s="100">
        <v>15.80772230276018</v>
      </c>
      <c r="AU9" s="100">
        <v>11097.021056537646</v>
      </c>
      <c r="AV9" s="100">
        <v>26</v>
      </c>
      <c r="AW9" s="100">
        <v>18252</v>
      </c>
      <c r="AX9" s="100">
        <v>28</v>
      </c>
      <c r="AY9" s="100">
        <v>19656</v>
      </c>
      <c r="AZ9" s="100">
        <v>16</v>
      </c>
      <c r="BA9" s="100">
        <v>11232</v>
      </c>
      <c r="BB9" s="100">
        <v>19</v>
      </c>
      <c r="BC9" s="100">
        <v>13338</v>
      </c>
      <c r="BD9" s="100">
        <v>20</v>
      </c>
      <c r="BE9" s="100">
        <v>14040</v>
      </c>
      <c r="BF9" s="100">
        <v>26</v>
      </c>
      <c r="BG9" s="100">
        <v>18252</v>
      </c>
      <c r="BH9" s="100">
        <v>24</v>
      </c>
      <c r="BI9" s="100">
        <v>16848</v>
      </c>
      <c r="BJ9" s="100">
        <v>21</v>
      </c>
      <c r="BK9" s="100">
        <v>14742</v>
      </c>
      <c r="BL9" s="100">
        <v>17</v>
      </c>
      <c r="BM9" s="100">
        <v>11934</v>
      </c>
      <c r="BN9" s="100">
        <v>29</v>
      </c>
      <c r="BO9" s="100">
        <v>20358</v>
      </c>
      <c r="BP9" s="100">
        <v>24</v>
      </c>
      <c r="BQ9" s="100">
        <v>16848</v>
      </c>
      <c r="BR9" s="100">
        <v>29.582516402878099</v>
      </c>
      <c r="BS9" s="100">
        <v>20766.926514820425</v>
      </c>
      <c r="BT9" s="100">
        <v>16.658198204042236</v>
      </c>
      <c r="BU9" s="100">
        <v>11694.055139237649</v>
      </c>
      <c r="BV9" s="100">
        <v>17.461012657835802</v>
      </c>
      <c r="BW9" s="100">
        <v>12257.630885800732</v>
      </c>
      <c r="BX9" s="100">
        <v>13.701392081458769</v>
      </c>
      <c r="BY9" s="100">
        <v>9618.3772411840564</v>
      </c>
      <c r="BZ9" s="100">
        <v>16</v>
      </c>
      <c r="CA9" s="100">
        <v>11232</v>
      </c>
      <c r="CB9" s="100">
        <v>17</v>
      </c>
      <c r="CC9" s="100">
        <v>11934</v>
      </c>
      <c r="CD9" s="100">
        <v>20</v>
      </c>
      <c r="CE9" s="100">
        <v>14040</v>
      </c>
      <c r="CF9" s="100">
        <v>21</v>
      </c>
      <c r="CG9" s="100">
        <v>14742</v>
      </c>
      <c r="CH9" s="100">
        <v>20</v>
      </c>
      <c r="CI9" s="100">
        <v>14040</v>
      </c>
      <c r="CJ9" s="100">
        <v>23</v>
      </c>
      <c r="CK9" s="100">
        <v>16146</v>
      </c>
      <c r="CL9" s="100">
        <v>23.434339256576951</v>
      </c>
      <c r="CM9" s="100">
        <v>16450.906158117021</v>
      </c>
      <c r="CN9" s="100">
        <v>20.27615376557808</v>
      </c>
      <c r="CO9" s="100">
        <v>14233.859943435813</v>
      </c>
      <c r="CP9" s="100">
        <v>15.956007782532621</v>
      </c>
      <c r="CQ9" s="100">
        <v>11201.1174633379</v>
      </c>
      <c r="CR9" s="100">
        <v>21.900773780552765</v>
      </c>
      <c r="CS9" s="100">
        <v>15374.343193948042</v>
      </c>
      <c r="CT9" s="100">
        <v>18.823102930956452</v>
      </c>
      <c r="CU9" s="100">
        <v>13213.818257531429</v>
      </c>
    </row>
    <row r="10" spans="1:99">
      <c r="C10" s="99" t="s">
        <v>176</v>
      </c>
      <c r="D10" s="100">
        <v>19</v>
      </c>
      <c r="E10" s="100">
        <v>10351.199999999999</v>
      </c>
      <c r="F10" s="100">
        <v>18</v>
      </c>
      <c r="G10" s="100">
        <v>9806.4</v>
      </c>
      <c r="H10" s="100">
        <v>18.791114551033488</v>
      </c>
      <c r="I10" s="100">
        <v>10237.399207403043</v>
      </c>
      <c r="J10" s="100">
        <v>21.547296895616544</v>
      </c>
      <c r="K10" s="100">
        <v>11738.967348731892</v>
      </c>
      <c r="L10" s="100">
        <v>18</v>
      </c>
      <c r="M10" s="100">
        <v>9806.4</v>
      </c>
      <c r="N10" s="100">
        <v>29</v>
      </c>
      <c r="O10" s="100">
        <v>15799.199999999999</v>
      </c>
      <c r="P10" s="100">
        <v>17</v>
      </c>
      <c r="Q10" s="100">
        <v>9261.5999999999985</v>
      </c>
      <c r="R10" s="100">
        <v>24</v>
      </c>
      <c r="S10" s="100">
        <v>13075.199999999999</v>
      </c>
      <c r="T10" s="100">
        <v>24</v>
      </c>
      <c r="U10" s="100">
        <v>13075.199999999999</v>
      </c>
      <c r="V10" s="100">
        <v>27</v>
      </c>
      <c r="W10" s="100">
        <v>14709.599999999999</v>
      </c>
      <c r="X10" s="100">
        <v>13</v>
      </c>
      <c r="Y10" s="100">
        <v>7082.4</v>
      </c>
      <c r="Z10" s="100">
        <v>17</v>
      </c>
      <c r="AA10" s="100">
        <v>9261.5999999999985</v>
      </c>
      <c r="AB10" s="100">
        <v>23</v>
      </c>
      <c r="AC10" s="100">
        <v>12530.4</v>
      </c>
      <c r="AD10" s="100">
        <v>28</v>
      </c>
      <c r="AE10" s="100">
        <v>15254.399999999998</v>
      </c>
      <c r="AF10" s="100">
        <v>22</v>
      </c>
      <c r="AG10" s="100">
        <v>11985.599999999999</v>
      </c>
      <c r="AH10" s="100">
        <v>18</v>
      </c>
      <c r="AI10" s="100">
        <v>9806.4</v>
      </c>
      <c r="AJ10" s="100">
        <v>13</v>
      </c>
      <c r="AK10" s="100">
        <v>7082.4</v>
      </c>
      <c r="AL10" s="100">
        <v>24</v>
      </c>
      <c r="AM10" s="100">
        <v>13075.199999999999</v>
      </c>
      <c r="AN10" s="100">
        <v>21.817036991248845</v>
      </c>
      <c r="AO10" s="100">
        <v>11885.92175283237</v>
      </c>
      <c r="AP10" s="100">
        <v>23.217924320122496</v>
      </c>
      <c r="AQ10" s="100">
        <v>12649.125169602734</v>
      </c>
      <c r="AR10" s="100">
        <v>26</v>
      </c>
      <c r="AS10" s="100">
        <v>14164.8</v>
      </c>
      <c r="AT10" s="100">
        <v>14.877856284950756</v>
      </c>
      <c r="AU10" s="100">
        <v>8105.4561040411709</v>
      </c>
      <c r="AV10" s="100">
        <v>23</v>
      </c>
      <c r="AW10" s="100">
        <v>12530.4</v>
      </c>
      <c r="AX10" s="100">
        <v>30</v>
      </c>
      <c r="AY10" s="100">
        <v>16343.999999999998</v>
      </c>
      <c r="AZ10" s="100">
        <v>16</v>
      </c>
      <c r="BA10" s="100">
        <v>8716.7999999999993</v>
      </c>
      <c r="BB10" s="100">
        <v>21</v>
      </c>
      <c r="BC10" s="100">
        <v>11440.8</v>
      </c>
      <c r="BD10" s="100">
        <v>22</v>
      </c>
      <c r="BE10" s="100">
        <v>11985.599999999999</v>
      </c>
      <c r="BF10" s="100">
        <v>25</v>
      </c>
      <c r="BG10" s="100">
        <v>13619.999999999998</v>
      </c>
      <c r="BH10" s="100">
        <v>24</v>
      </c>
      <c r="BI10" s="100">
        <v>13075.199999999999</v>
      </c>
      <c r="BJ10" s="100">
        <v>24</v>
      </c>
      <c r="BK10" s="100">
        <v>13075.199999999999</v>
      </c>
      <c r="BL10" s="100">
        <v>18</v>
      </c>
      <c r="BM10" s="100">
        <v>9806.4</v>
      </c>
      <c r="BN10" s="100">
        <v>25</v>
      </c>
      <c r="BO10" s="100">
        <v>13619.999999999998</v>
      </c>
      <c r="BP10" s="100">
        <v>28</v>
      </c>
      <c r="BQ10" s="100">
        <v>15254.399999999998</v>
      </c>
      <c r="BR10" s="100">
        <v>27.673966957531121</v>
      </c>
      <c r="BS10" s="100">
        <v>15076.777198462954</v>
      </c>
      <c r="BT10" s="100">
        <v>18.509109115602481</v>
      </c>
      <c r="BU10" s="100">
        <v>10083.76264618023</v>
      </c>
      <c r="BV10" s="100">
        <v>19.299013990239569</v>
      </c>
      <c r="BW10" s="100">
        <v>10514.102821882516</v>
      </c>
      <c r="BX10" s="100">
        <v>14.614818220222686</v>
      </c>
      <c r="BY10" s="100">
        <v>7962.152966377319</v>
      </c>
      <c r="BZ10" s="100">
        <v>16</v>
      </c>
      <c r="CA10" s="100">
        <v>8716.7999999999993</v>
      </c>
      <c r="CB10" s="100">
        <v>15</v>
      </c>
      <c r="CC10" s="100">
        <v>8171.9999999999991</v>
      </c>
      <c r="CD10" s="100">
        <v>19</v>
      </c>
      <c r="CE10" s="100">
        <v>10351.199999999999</v>
      </c>
      <c r="CF10" s="100">
        <v>19</v>
      </c>
      <c r="CG10" s="100">
        <v>10351.199999999999</v>
      </c>
      <c r="CH10" s="100">
        <v>21</v>
      </c>
      <c r="CI10" s="100">
        <v>11440.8</v>
      </c>
      <c r="CJ10" s="100">
        <v>24</v>
      </c>
      <c r="CK10" s="100">
        <v>13075.199999999999</v>
      </c>
      <c r="CL10" s="100">
        <v>24.410770058934322</v>
      </c>
      <c r="CM10" s="100">
        <v>13298.987528107418</v>
      </c>
      <c r="CN10" s="100">
        <v>19.496301697671232</v>
      </c>
      <c r="CO10" s="100">
        <v>10621.585164891287</v>
      </c>
      <c r="CP10" s="100">
        <v>17.950508755349201</v>
      </c>
      <c r="CQ10" s="100">
        <v>9779.4371699142448</v>
      </c>
      <c r="CR10" s="100">
        <v>20.948566224876558</v>
      </c>
      <c r="CS10" s="100">
        <v>11412.778879312747</v>
      </c>
      <c r="CT10" s="100">
        <v>19.678698518727199</v>
      </c>
      <c r="CU10" s="100">
        <v>10720.954953002578</v>
      </c>
    </row>
    <row r="11" spans="1:99">
      <c r="C11" s="99" t="s">
        <v>177</v>
      </c>
      <c r="D11" s="100">
        <v>20</v>
      </c>
      <c r="E11" s="100">
        <v>10656</v>
      </c>
      <c r="F11" s="100">
        <v>20</v>
      </c>
      <c r="G11" s="100">
        <v>10656</v>
      </c>
      <c r="H11" s="100">
        <v>19.780120580035252</v>
      </c>
      <c r="I11" s="100">
        <v>10538.848245042782</v>
      </c>
      <c r="J11" s="100">
        <v>21.547296895616544</v>
      </c>
      <c r="K11" s="100">
        <v>11480.399785984493</v>
      </c>
      <c r="L11" s="100">
        <v>19</v>
      </c>
      <c r="M11" s="100">
        <v>10123.199999999999</v>
      </c>
      <c r="N11" s="100">
        <v>28</v>
      </c>
      <c r="O11" s="100">
        <v>14918.399999999998</v>
      </c>
      <c r="P11" s="100">
        <v>16</v>
      </c>
      <c r="Q11" s="100">
        <v>8524.7999999999993</v>
      </c>
      <c r="R11" s="100">
        <v>28</v>
      </c>
      <c r="S11" s="100">
        <v>14918.399999999998</v>
      </c>
      <c r="T11" s="100">
        <v>24</v>
      </c>
      <c r="U11" s="100">
        <v>12787.199999999999</v>
      </c>
      <c r="V11" s="100">
        <v>29</v>
      </c>
      <c r="W11" s="100">
        <v>15451.199999999999</v>
      </c>
      <c r="X11" s="100">
        <v>13</v>
      </c>
      <c r="Y11" s="100">
        <v>6926.4</v>
      </c>
      <c r="Z11" s="100">
        <v>15</v>
      </c>
      <c r="AA11" s="100">
        <v>7991.9999999999991</v>
      </c>
      <c r="AB11" s="100">
        <v>22</v>
      </c>
      <c r="AC11" s="100">
        <v>11721.599999999999</v>
      </c>
      <c r="AD11" s="100">
        <v>24</v>
      </c>
      <c r="AE11" s="100">
        <v>12787.199999999999</v>
      </c>
      <c r="AF11" s="100">
        <v>18</v>
      </c>
      <c r="AG11" s="100">
        <v>9590.4</v>
      </c>
      <c r="AH11" s="100">
        <v>19</v>
      </c>
      <c r="AI11" s="100">
        <v>10123.199999999999</v>
      </c>
      <c r="AJ11" s="100">
        <v>15</v>
      </c>
      <c r="AK11" s="100">
        <v>7991.9999999999991</v>
      </c>
      <c r="AL11" s="100">
        <v>24</v>
      </c>
      <c r="AM11" s="100">
        <v>12787.199999999999</v>
      </c>
      <c r="AN11" s="100">
        <v>21.817036991248845</v>
      </c>
      <c r="AO11" s="100">
        <v>11624.117308937384</v>
      </c>
      <c r="AP11" s="100">
        <v>25.075358265732298</v>
      </c>
      <c r="AQ11" s="100">
        <v>13360.150883982167</v>
      </c>
      <c r="AR11" s="100">
        <v>29</v>
      </c>
      <c r="AS11" s="100">
        <v>15451.199999999999</v>
      </c>
      <c r="AT11" s="100">
        <v>13.947990267141336</v>
      </c>
      <c r="AU11" s="100">
        <v>7431.4892143329034</v>
      </c>
      <c r="AV11" s="100">
        <v>24</v>
      </c>
      <c r="AW11" s="100">
        <v>12787.199999999999</v>
      </c>
      <c r="AX11" s="100">
        <v>32</v>
      </c>
      <c r="AY11" s="100">
        <v>17049.599999999999</v>
      </c>
      <c r="AZ11" s="100">
        <v>16</v>
      </c>
      <c r="BA11" s="100">
        <v>8524.7999999999993</v>
      </c>
      <c r="BB11" s="100">
        <v>20</v>
      </c>
      <c r="BC11" s="100">
        <v>10656</v>
      </c>
      <c r="BD11" s="100">
        <v>20</v>
      </c>
      <c r="BE11" s="100">
        <v>10656</v>
      </c>
      <c r="BF11" s="100">
        <v>25</v>
      </c>
      <c r="BG11" s="100">
        <v>13319.999999999998</v>
      </c>
      <c r="BH11" s="100">
        <v>25</v>
      </c>
      <c r="BI11" s="100">
        <v>13319.999999999998</v>
      </c>
      <c r="BJ11" s="100">
        <v>24</v>
      </c>
      <c r="BK11" s="100">
        <v>12787.199999999999</v>
      </c>
      <c r="BL11" s="100">
        <v>17</v>
      </c>
      <c r="BM11" s="100">
        <v>9057.5999999999985</v>
      </c>
      <c r="BN11" s="100">
        <v>25</v>
      </c>
      <c r="BO11" s="100">
        <v>13319.999999999998</v>
      </c>
      <c r="BP11" s="100">
        <v>24</v>
      </c>
      <c r="BQ11" s="100">
        <v>12787.199999999999</v>
      </c>
      <c r="BR11" s="100">
        <v>26.719692234857636</v>
      </c>
      <c r="BS11" s="100">
        <v>14236.252022732147</v>
      </c>
      <c r="BT11" s="100">
        <v>15.732742748262108</v>
      </c>
      <c r="BU11" s="100">
        <v>8382.4053362740506</v>
      </c>
      <c r="BV11" s="100">
        <v>18.380013324037684</v>
      </c>
      <c r="BW11" s="100">
        <v>9792.8710990472773</v>
      </c>
      <c r="BX11" s="100">
        <v>15.528244358986605</v>
      </c>
      <c r="BY11" s="100">
        <v>8273.4485944680619</v>
      </c>
      <c r="BZ11" s="100">
        <v>16</v>
      </c>
      <c r="CA11" s="100">
        <v>8524.7999999999993</v>
      </c>
      <c r="CB11" s="100">
        <v>16</v>
      </c>
      <c r="CC11" s="100">
        <v>8524.7999999999993</v>
      </c>
      <c r="CD11" s="100">
        <v>19</v>
      </c>
      <c r="CE11" s="100">
        <v>10123.199999999999</v>
      </c>
      <c r="CF11" s="100">
        <v>20</v>
      </c>
      <c r="CG11" s="100">
        <v>10656</v>
      </c>
      <c r="CH11" s="100">
        <v>22</v>
      </c>
      <c r="CI11" s="100">
        <v>11721.599999999999</v>
      </c>
      <c r="CJ11" s="100">
        <v>20</v>
      </c>
      <c r="CK11" s="100">
        <v>10656</v>
      </c>
      <c r="CL11" s="100">
        <v>23.434339256576951</v>
      </c>
      <c r="CM11" s="100">
        <v>12485.815955904198</v>
      </c>
      <c r="CN11" s="100">
        <v>18.716449629764384</v>
      </c>
      <c r="CO11" s="100">
        <v>9972.1243627384629</v>
      </c>
      <c r="CP11" s="100">
        <v>17.950508755349201</v>
      </c>
      <c r="CQ11" s="100">
        <v>9564.0310648500526</v>
      </c>
      <c r="CR11" s="100">
        <v>21.900773780552765</v>
      </c>
      <c r="CS11" s="100">
        <v>11668.732270278511</v>
      </c>
      <c r="CT11" s="100">
        <v>17.967507343185702</v>
      </c>
      <c r="CU11" s="100">
        <v>9573.0879124493404</v>
      </c>
    </row>
    <row r="12" spans="1:99">
      <c r="C12" s="99" t="s">
        <v>178</v>
      </c>
      <c r="D12" s="100">
        <v>19</v>
      </c>
      <c r="E12" s="100">
        <v>10693.199999999999</v>
      </c>
      <c r="F12" s="100">
        <v>20</v>
      </c>
      <c r="G12" s="100">
        <v>11256</v>
      </c>
      <c r="H12" s="100">
        <v>19.780120580035252</v>
      </c>
      <c r="I12" s="100">
        <v>11132.251862443838</v>
      </c>
      <c r="J12" s="100">
        <v>19.823513143967222</v>
      </c>
      <c r="K12" s="100">
        <v>11156.673197424752</v>
      </c>
      <c r="L12" s="100">
        <v>17</v>
      </c>
      <c r="M12" s="100">
        <v>9567.5999999999985</v>
      </c>
      <c r="N12" s="100">
        <v>29</v>
      </c>
      <c r="O12" s="100">
        <v>16321.199999999999</v>
      </c>
      <c r="P12" s="100">
        <v>14</v>
      </c>
      <c r="Q12" s="100">
        <v>7879.1999999999989</v>
      </c>
      <c r="R12" s="100">
        <v>26</v>
      </c>
      <c r="S12" s="100">
        <v>14632.8</v>
      </c>
      <c r="T12" s="100">
        <v>24</v>
      </c>
      <c r="U12" s="100">
        <v>13507.199999999999</v>
      </c>
      <c r="V12" s="100">
        <v>26</v>
      </c>
      <c r="W12" s="100">
        <v>14632.8</v>
      </c>
      <c r="X12" s="100">
        <v>14</v>
      </c>
      <c r="Y12" s="100">
        <v>7879.1999999999989</v>
      </c>
      <c r="Z12" s="100">
        <v>16</v>
      </c>
      <c r="AA12" s="100">
        <v>9004.7999999999993</v>
      </c>
      <c r="AB12" s="100">
        <v>22</v>
      </c>
      <c r="AC12" s="100">
        <v>12381.599999999999</v>
      </c>
      <c r="AD12" s="100">
        <v>26</v>
      </c>
      <c r="AE12" s="100">
        <v>14632.8</v>
      </c>
      <c r="AF12" s="100">
        <v>18</v>
      </c>
      <c r="AG12" s="100">
        <v>10130.4</v>
      </c>
      <c r="AH12" s="100">
        <v>19</v>
      </c>
      <c r="AI12" s="100">
        <v>10693.199999999999</v>
      </c>
      <c r="AJ12" s="100">
        <v>14</v>
      </c>
      <c r="AK12" s="100">
        <v>7879.1999999999989</v>
      </c>
      <c r="AL12" s="100">
        <v>22</v>
      </c>
      <c r="AM12" s="100">
        <v>12381.599999999999</v>
      </c>
      <c r="AN12" s="100">
        <v>19.29968656918167</v>
      </c>
      <c r="AO12" s="100">
        <v>10861.863601135443</v>
      </c>
      <c r="AP12" s="100">
        <v>22.289207347317596</v>
      </c>
      <c r="AQ12" s="100">
        <v>12544.365895070343</v>
      </c>
      <c r="AR12" s="100">
        <v>29</v>
      </c>
      <c r="AS12" s="100">
        <v>16321.199999999999</v>
      </c>
      <c r="AT12" s="100">
        <v>16.737588320569603</v>
      </c>
      <c r="AU12" s="100">
        <v>9419.9147068165712</v>
      </c>
      <c r="AV12" s="100">
        <v>27</v>
      </c>
      <c r="AW12" s="100">
        <v>15195.599999999999</v>
      </c>
      <c r="AX12" s="100">
        <v>32</v>
      </c>
      <c r="AY12" s="100">
        <v>18009.599999999999</v>
      </c>
      <c r="AZ12" s="100">
        <v>17</v>
      </c>
      <c r="BA12" s="100">
        <v>9567.5999999999985</v>
      </c>
      <c r="BB12" s="100">
        <v>19</v>
      </c>
      <c r="BC12" s="100">
        <v>10693.199999999999</v>
      </c>
      <c r="BD12" s="100">
        <v>20</v>
      </c>
      <c r="BE12" s="100">
        <v>11256</v>
      </c>
      <c r="BF12" s="100">
        <v>25</v>
      </c>
      <c r="BG12" s="100">
        <v>14069.999999999998</v>
      </c>
      <c r="BH12" s="100">
        <v>23</v>
      </c>
      <c r="BI12" s="100">
        <v>12944.4</v>
      </c>
      <c r="BJ12" s="100">
        <v>20</v>
      </c>
      <c r="BK12" s="100">
        <v>11256</v>
      </c>
      <c r="BL12" s="100">
        <v>17</v>
      </c>
      <c r="BM12" s="100">
        <v>9567.5999999999985</v>
      </c>
      <c r="BN12" s="100">
        <v>26</v>
      </c>
      <c r="BO12" s="100">
        <v>14632.8</v>
      </c>
      <c r="BP12" s="100">
        <v>28</v>
      </c>
      <c r="BQ12" s="100">
        <v>15758.399999999998</v>
      </c>
      <c r="BR12" s="100">
        <v>28.628241680204614</v>
      </c>
      <c r="BS12" s="100">
        <v>16111.974417619154</v>
      </c>
      <c r="BT12" s="100">
        <v>16.658198204042236</v>
      </c>
      <c r="BU12" s="100">
        <v>9375.2339492349693</v>
      </c>
      <c r="BV12" s="100">
        <v>20.218014656441458</v>
      </c>
      <c r="BW12" s="100">
        <v>11378.698648645252</v>
      </c>
      <c r="BX12" s="100">
        <v>15.528244358986605</v>
      </c>
      <c r="BY12" s="100">
        <v>8739.2959252376604</v>
      </c>
      <c r="BZ12" s="100">
        <v>17</v>
      </c>
      <c r="CA12" s="100">
        <v>9567.5999999999985</v>
      </c>
      <c r="CB12" s="100">
        <v>15</v>
      </c>
      <c r="CC12" s="100">
        <v>8442</v>
      </c>
      <c r="CD12" s="100">
        <v>17</v>
      </c>
      <c r="CE12" s="100">
        <v>9567.5999999999985</v>
      </c>
      <c r="CF12" s="100">
        <v>19</v>
      </c>
      <c r="CG12" s="100">
        <v>10693.199999999999</v>
      </c>
      <c r="CH12" s="100">
        <v>24</v>
      </c>
      <c r="CI12" s="100">
        <v>13507.199999999999</v>
      </c>
      <c r="CJ12" s="100">
        <v>22</v>
      </c>
      <c r="CK12" s="100">
        <v>12381.599999999999</v>
      </c>
      <c r="CL12" s="100">
        <v>20.505046849504829</v>
      </c>
      <c r="CM12" s="100">
        <v>11540.240366901317</v>
      </c>
      <c r="CN12" s="100">
        <v>18.716449629764384</v>
      </c>
      <c r="CO12" s="100">
        <v>10533.617851631394</v>
      </c>
      <c r="CP12" s="100">
        <v>15.956007782532621</v>
      </c>
      <c r="CQ12" s="100">
        <v>8980.0411800093589</v>
      </c>
      <c r="CR12" s="100">
        <v>20.948566224876558</v>
      </c>
      <c r="CS12" s="100">
        <v>11789.853071360525</v>
      </c>
      <c r="CT12" s="100">
        <v>21.389889694268696</v>
      </c>
      <c r="CU12" s="100">
        <v>12038.229919934422</v>
      </c>
    </row>
    <row r="13" spans="1:99">
      <c r="C13" s="99" t="s">
        <v>179</v>
      </c>
      <c r="D13" s="100">
        <v>19</v>
      </c>
      <c r="E13" s="100">
        <v>1618.8</v>
      </c>
      <c r="F13" s="100">
        <v>23</v>
      </c>
      <c r="G13" s="100">
        <v>1959.6000000000001</v>
      </c>
      <c r="H13" s="100">
        <v>19.780120580035252</v>
      </c>
      <c r="I13" s="100">
        <v>1685.2662734190035</v>
      </c>
      <c r="J13" s="100">
        <v>19.823513143967222</v>
      </c>
      <c r="K13" s="100">
        <v>1688.9633198660074</v>
      </c>
      <c r="L13" s="100">
        <v>19</v>
      </c>
      <c r="M13" s="100">
        <v>1618.8</v>
      </c>
      <c r="N13" s="100">
        <v>31</v>
      </c>
      <c r="O13" s="100">
        <v>2641.2000000000003</v>
      </c>
      <c r="P13" s="100">
        <v>17</v>
      </c>
      <c r="Q13" s="100">
        <v>1448.4</v>
      </c>
      <c r="R13" s="100">
        <v>28</v>
      </c>
      <c r="S13" s="100">
        <v>2385.6</v>
      </c>
      <c r="T13" s="100">
        <v>27</v>
      </c>
      <c r="U13" s="100">
        <v>2300.4</v>
      </c>
      <c r="V13" s="100">
        <v>31</v>
      </c>
      <c r="W13" s="100">
        <v>2641.2000000000003</v>
      </c>
      <c r="X13" s="100">
        <v>15</v>
      </c>
      <c r="Y13" s="100">
        <v>1278</v>
      </c>
      <c r="Z13" s="100">
        <v>18</v>
      </c>
      <c r="AA13" s="100">
        <v>1533.6000000000001</v>
      </c>
      <c r="AB13" s="100">
        <v>25</v>
      </c>
      <c r="AC13" s="100">
        <v>2130</v>
      </c>
      <c r="AD13" s="100">
        <v>30</v>
      </c>
      <c r="AE13" s="100">
        <v>2556</v>
      </c>
      <c r="AF13" s="100">
        <v>20</v>
      </c>
      <c r="AG13" s="100">
        <v>1704</v>
      </c>
      <c r="AH13" s="100">
        <v>22</v>
      </c>
      <c r="AI13" s="100">
        <v>1874.4</v>
      </c>
      <c r="AJ13" s="100">
        <v>15</v>
      </c>
      <c r="AK13" s="100">
        <v>1278</v>
      </c>
      <c r="AL13" s="100">
        <v>26</v>
      </c>
      <c r="AM13" s="100">
        <v>2215.2000000000003</v>
      </c>
      <c r="AN13" s="100">
        <v>21.817036991248845</v>
      </c>
      <c r="AO13" s="100">
        <v>1858.8115516544017</v>
      </c>
      <c r="AP13" s="100">
        <v>26.932792211342093</v>
      </c>
      <c r="AQ13" s="100">
        <v>2294.6738964063466</v>
      </c>
      <c r="AR13" s="100">
        <v>32</v>
      </c>
      <c r="AS13" s="100">
        <v>2726.4</v>
      </c>
      <c r="AT13" s="100">
        <v>17.667454338379024</v>
      </c>
      <c r="AU13" s="100">
        <v>1505.267109629893</v>
      </c>
      <c r="AV13" s="100">
        <v>27</v>
      </c>
      <c r="AW13" s="100">
        <v>2300.4</v>
      </c>
      <c r="AX13" s="100">
        <v>33</v>
      </c>
      <c r="AY13" s="100">
        <v>2811.6</v>
      </c>
      <c r="AZ13" s="100">
        <v>19</v>
      </c>
      <c r="BA13" s="100">
        <v>1618.8</v>
      </c>
      <c r="BB13" s="100">
        <v>21</v>
      </c>
      <c r="BC13" s="100">
        <v>1789.2</v>
      </c>
      <c r="BD13" s="100">
        <v>24</v>
      </c>
      <c r="BE13" s="100">
        <v>2044.8000000000002</v>
      </c>
      <c r="BF13" s="100">
        <v>30</v>
      </c>
      <c r="BG13" s="100">
        <v>2556</v>
      </c>
      <c r="BH13" s="100">
        <v>25</v>
      </c>
      <c r="BI13" s="100">
        <v>2130</v>
      </c>
      <c r="BJ13" s="100">
        <v>23</v>
      </c>
      <c r="BK13" s="100">
        <v>1959.6000000000001</v>
      </c>
      <c r="BL13" s="100">
        <v>19</v>
      </c>
      <c r="BM13" s="100">
        <v>1618.8</v>
      </c>
      <c r="BN13" s="100">
        <v>31</v>
      </c>
      <c r="BO13" s="100">
        <v>2641.2000000000003</v>
      </c>
      <c r="BP13" s="100">
        <v>29</v>
      </c>
      <c r="BQ13" s="100">
        <v>2470.8000000000002</v>
      </c>
      <c r="BR13" s="100">
        <v>30.536791125551584</v>
      </c>
      <c r="BS13" s="100">
        <v>2601.7346038969949</v>
      </c>
      <c r="BT13" s="100">
        <v>16.658198204042236</v>
      </c>
      <c r="BU13" s="100">
        <v>1419.2784869843986</v>
      </c>
      <c r="BV13" s="100">
        <v>17.461012657835802</v>
      </c>
      <c r="BW13" s="100">
        <v>1487.6782784476104</v>
      </c>
      <c r="BX13" s="100">
        <v>16.441670497750522</v>
      </c>
      <c r="BY13" s="100">
        <v>1400.8303264083445</v>
      </c>
      <c r="BZ13" s="100">
        <v>19</v>
      </c>
      <c r="CA13" s="100">
        <v>1618.8</v>
      </c>
      <c r="CB13" s="100">
        <v>17</v>
      </c>
      <c r="CC13" s="100">
        <v>1448.4</v>
      </c>
      <c r="CD13" s="100">
        <v>20</v>
      </c>
      <c r="CE13" s="100">
        <v>1704</v>
      </c>
      <c r="CF13" s="100">
        <v>22</v>
      </c>
      <c r="CG13" s="100">
        <v>1874.4</v>
      </c>
      <c r="CH13" s="100">
        <v>24</v>
      </c>
      <c r="CI13" s="100">
        <v>2044.8000000000002</v>
      </c>
      <c r="CJ13" s="100">
        <v>26</v>
      </c>
      <c r="CK13" s="100">
        <v>2215.2000000000003</v>
      </c>
      <c r="CL13" s="100">
        <v>21.4814776518622</v>
      </c>
      <c r="CM13" s="100">
        <v>1830.2218959386594</v>
      </c>
      <c r="CN13" s="100">
        <v>21.83585790139178</v>
      </c>
      <c r="CO13" s="100">
        <v>1860.4150931985796</v>
      </c>
      <c r="CP13" s="100">
        <v>16.95325826894091</v>
      </c>
      <c r="CQ13" s="100">
        <v>1444.4176045137656</v>
      </c>
      <c r="CR13" s="100">
        <v>24.757396447581385</v>
      </c>
      <c r="CS13" s="100">
        <v>2109.330177333934</v>
      </c>
      <c r="CT13" s="100">
        <v>18.823102930956452</v>
      </c>
      <c r="CU13" s="100">
        <v>1603.7283697174898</v>
      </c>
    </row>
    <row r="14" spans="1:99">
      <c r="C14" s="99" t="s">
        <v>180</v>
      </c>
      <c r="D14" s="100">
        <v>18</v>
      </c>
      <c r="E14" s="100">
        <v>8791.1999999999989</v>
      </c>
      <c r="F14" s="100">
        <v>20</v>
      </c>
      <c r="G14" s="100">
        <v>9768</v>
      </c>
      <c r="H14" s="100">
        <v>18.791114551033488</v>
      </c>
      <c r="I14" s="100">
        <v>9177.5803467247551</v>
      </c>
      <c r="J14" s="100">
        <v>21.547296895616544</v>
      </c>
      <c r="K14" s="100">
        <v>10523.69980381912</v>
      </c>
      <c r="L14" s="100">
        <v>18</v>
      </c>
      <c r="M14" s="100">
        <v>8791.1999999999989</v>
      </c>
      <c r="N14" s="100">
        <v>27</v>
      </c>
      <c r="O14" s="100">
        <v>13186.8</v>
      </c>
      <c r="P14" s="100">
        <v>15</v>
      </c>
      <c r="Q14" s="100">
        <v>7326</v>
      </c>
      <c r="R14" s="100">
        <v>25</v>
      </c>
      <c r="S14" s="100">
        <v>12210</v>
      </c>
      <c r="T14" s="100">
        <v>23</v>
      </c>
      <c r="U14" s="100">
        <v>11233.199999999999</v>
      </c>
      <c r="V14" s="100">
        <v>27</v>
      </c>
      <c r="W14" s="100">
        <v>13186.8</v>
      </c>
      <c r="X14" s="100">
        <v>15</v>
      </c>
      <c r="Y14" s="100">
        <v>7326</v>
      </c>
      <c r="Z14" s="100">
        <v>16</v>
      </c>
      <c r="AA14" s="100">
        <v>7814.4</v>
      </c>
      <c r="AB14" s="100">
        <v>21</v>
      </c>
      <c r="AC14" s="100">
        <v>10256.4</v>
      </c>
      <c r="AD14" s="100">
        <v>25</v>
      </c>
      <c r="AE14" s="100">
        <v>12210</v>
      </c>
      <c r="AF14" s="100">
        <v>19</v>
      </c>
      <c r="AG14" s="100">
        <v>9279.6</v>
      </c>
      <c r="AH14" s="100">
        <v>18</v>
      </c>
      <c r="AI14" s="100">
        <v>8791.1999999999989</v>
      </c>
      <c r="AJ14" s="100">
        <v>14</v>
      </c>
      <c r="AK14" s="100">
        <v>6837.5999999999995</v>
      </c>
      <c r="AL14" s="100">
        <v>24</v>
      </c>
      <c r="AM14" s="100">
        <v>11721.599999999999</v>
      </c>
      <c r="AN14" s="100">
        <v>20.977920183893119</v>
      </c>
      <c r="AO14" s="100">
        <v>10245.616217813398</v>
      </c>
      <c r="AP14" s="100">
        <v>25.075358265732298</v>
      </c>
      <c r="AQ14" s="100">
        <v>12246.804976983654</v>
      </c>
      <c r="AR14" s="100">
        <v>29</v>
      </c>
      <c r="AS14" s="100">
        <v>14163.599999999999</v>
      </c>
      <c r="AT14" s="100">
        <v>16.737588320569603</v>
      </c>
      <c r="AU14" s="100">
        <v>8174.638135766194</v>
      </c>
      <c r="AV14" s="100">
        <v>24</v>
      </c>
      <c r="AW14" s="100">
        <v>11721.599999999999</v>
      </c>
      <c r="AX14" s="100">
        <v>31</v>
      </c>
      <c r="AY14" s="100">
        <v>15140.4</v>
      </c>
      <c r="AZ14" s="100">
        <v>19</v>
      </c>
      <c r="BA14" s="100">
        <v>9279.6</v>
      </c>
      <c r="BB14" s="100">
        <v>21</v>
      </c>
      <c r="BC14" s="100">
        <v>10256.4</v>
      </c>
      <c r="BD14" s="100">
        <v>20</v>
      </c>
      <c r="BE14" s="100">
        <v>9768</v>
      </c>
      <c r="BF14" s="100">
        <v>27</v>
      </c>
      <c r="BG14" s="100">
        <v>13186.8</v>
      </c>
      <c r="BH14" s="100">
        <v>26</v>
      </c>
      <c r="BI14" s="100">
        <v>12698.4</v>
      </c>
      <c r="BJ14" s="100">
        <v>22</v>
      </c>
      <c r="BK14" s="100">
        <v>10744.8</v>
      </c>
      <c r="BL14" s="100">
        <v>18</v>
      </c>
      <c r="BM14" s="100">
        <v>8791.1999999999989</v>
      </c>
      <c r="BN14" s="100">
        <v>25</v>
      </c>
      <c r="BO14" s="100">
        <v>12210</v>
      </c>
      <c r="BP14" s="100">
        <v>24</v>
      </c>
      <c r="BQ14" s="100">
        <v>11721.599999999999</v>
      </c>
      <c r="BR14" s="100">
        <v>28.628241680204614</v>
      </c>
      <c r="BS14" s="100">
        <v>13982.033236611933</v>
      </c>
      <c r="BT14" s="100">
        <v>18.509109115602481</v>
      </c>
      <c r="BU14" s="100">
        <v>9039.8488920602522</v>
      </c>
      <c r="BV14" s="100">
        <v>17.461012657835802</v>
      </c>
      <c r="BW14" s="100">
        <v>8527.9585820870052</v>
      </c>
      <c r="BX14" s="100">
        <v>14.614818220222686</v>
      </c>
      <c r="BY14" s="100">
        <v>7137.8772187567592</v>
      </c>
      <c r="BZ14" s="100">
        <v>16</v>
      </c>
      <c r="CA14" s="100">
        <v>7814.4</v>
      </c>
      <c r="CB14" s="100">
        <v>14</v>
      </c>
      <c r="CC14" s="100">
        <v>6837.5999999999995</v>
      </c>
      <c r="CD14" s="100">
        <v>19</v>
      </c>
      <c r="CE14" s="100">
        <v>9279.6</v>
      </c>
      <c r="CF14" s="100">
        <v>20</v>
      </c>
      <c r="CG14" s="100">
        <v>9768</v>
      </c>
      <c r="CH14" s="100">
        <v>24</v>
      </c>
      <c r="CI14" s="100">
        <v>11721.599999999999</v>
      </c>
      <c r="CJ14" s="100">
        <v>21</v>
      </c>
      <c r="CK14" s="100">
        <v>10256.4</v>
      </c>
      <c r="CL14" s="100">
        <v>20.505046849504829</v>
      </c>
      <c r="CM14" s="100">
        <v>10014.664881298158</v>
      </c>
      <c r="CN14" s="100">
        <v>17.936597561857532</v>
      </c>
      <c r="CO14" s="100">
        <v>8760.2342492112184</v>
      </c>
      <c r="CP14" s="100">
        <v>16.95325826894091</v>
      </c>
      <c r="CQ14" s="100">
        <v>8279.9713385507403</v>
      </c>
      <c r="CR14" s="100">
        <v>20.948566224876558</v>
      </c>
      <c r="CS14" s="100">
        <v>10231.279744229711</v>
      </c>
      <c r="CT14" s="100">
        <v>17.967507343185702</v>
      </c>
      <c r="CU14" s="100">
        <v>8775.3305864118956</v>
      </c>
    </row>
    <row r="15" spans="1:99">
      <c r="C15" s="99" t="s">
        <v>181</v>
      </c>
      <c r="D15" s="100">
        <v>17</v>
      </c>
      <c r="E15" s="100">
        <v>12974.4</v>
      </c>
      <c r="F15" s="100">
        <v>19</v>
      </c>
      <c r="G15" s="100">
        <v>14500.8</v>
      </c>
      <c r="H15" s="100">
        <v>16.813102493029959</v>
      </c>
      <c r="I15" s="100">
        <v>12831.759822680464</v>
      </c>
      <c r="J15" s="100">
        <v>18.961621268142562</v>
      </c>
      <c r="K15" s="100">
        <v>14471.509351846402</v>
      </c>
      <c r="L15" s="100">
        <v>18</v>
      </c>
      <c r="M15" s="100">
        <v>13737.599999999999</v>
      </c>
      <c r="N15" s="100">
        <v>27</v>
      </c>
      <c r="O15" s="100">
        <v>20606.399999999998</v>
      </c>
      <c r="P15" s="100">
        <v>17</v>
      </c>
      <c r="Q15" s="100">
        <v>12974.4</v>
      </c>
      <c r="R15" s="100">
        <v>26</v>
      </c>
      <c r="S15" s="100">
        <v>19843.199999999997</v>
      </c>
      <c r="T15" s="100">
        <v>22</v>
      </c>
      <c r="U15" s="100">
        <v>16790.399999999998</v>
      </c>
      <c r="V15" s="100">
        <v>25</v>
      </c>
      <c r="W15" s="100">
        <v>19080</v>
      </c>
      <c r="X15" s="100">
        <v>12</v>
      </c>
      <c r="Y15" s="100">
        <v>9158.4</v>
      </c>
      <c r="Z15" s="100">
        <v>16</v>
      </c>
      <c r="AA15" s="100">
        <v>12211.199999999999</v>
      </c>
      <c r="AB15" s="100">
        <v>20</v>
      </c>
      <c r="AC15" s="100">
        <v>15263.999999999998</v>
      </c>
      <c r="AD15" s="100">
        <v>27</v>
      </c>
      <c r="AE15" s="100">
        <v>20606.399999999998</v>
      </c>
      <c r="AF15" s="100">
        <v>18</v>
      </c>
      <c r="AG15" s="100">
        <v>13737.599999999999</v>
      </c>
      <c r="AH15" s="100">
        <v>19</v>
      </c>
      <c r="AI15" s="100">
        <v>14500.8</v>
      </c>
      <c r="AJ15" s="100">
        <v>15</v>
      </c>
      <c r="AK15" s="100">
        <v>11447.999999999998</v>
      </c>
      <c r="AL15" s="100">
        <v>23</v>
      </c>
      <c r="AM15" s="100">
        <v>17553.599999999999</v>
      </c>
      <c r="AN15" s="100">
        <v>19.29968656918167</v>
      </c>
      <c r="AO15" s="100">
        <v>14729.52078959945</v>
      </c>
      <c r="AP15" s="100">
        <v>24.146641292927395</v>
      </c>
      <c r="AQ15" s="100">
        <v>18428.716634762186</v>
      </c>
      <c r="AR15" s="100">
        <v>26</v>
      </c>
      <c r="AS15" s="100">
        <v>19843.199999999997</v>
      </c>
      <c r="AT15" s="100">
        <v>14.877856284950756</v>
      </c>
      <c r="AU15" s="100">
        <v>11354.779916674415</v>
      </c>
      <c r="AV15" s="100">
        <v>26</v>
      </c>
      <c r="AW15" s="100">
        <v>19843.199999999997</v>
      </c>
      <c r="AX15" s="100">
        <v>29</v>
      </c>
      <c r="AY15" s="100">
        <v>22132.799999999999</v>
      </c>
      <c r="AZ15" s="100">
        <v>17</v>
      </c>
      <c r="BA15" s="100">
        <v>12974.4</v>
      </c>
      <c r="BB15" s="100">
        <v>19</v>
      </c>
      <c r="BC15" s="100">
        <v>14500.8</v>
      </c>
      <c r="BD15" s="100">
        <v>21</v>
      </c>
      <c r="BE15" s="100">
        <v>16027.199999999999</v>
      </c>
      <c r="BF15" s="100">
        <v>23</v>
      </c>
      <c r="BG15" s="100">
        <v>17553.599999999999</v>
      </c>
      <c r="BH15" s="100">
        <v>23</v>
      </c>
      <c r="BI15" s="100">
        <v>17553.599999999999</v>
      </c>
      <c r="BJ15" s="100">
        <v>20</v>
      </c>
      <c r="BK15" s="100">
        <v>15263.999999999998</v>
      </c>
      <c r="BL15" s="100">
        <v>18</v>
      </c>
      <c r="BM15" s="100">
        <v>13737.599999999999</v>
      </c>
      <c r="BN15" s="100">
        <v>27</v>
      </c>
      <c r="BO15" s="100">
        <v>20606.399999999998</v>
      </c>
      <c r="BP15" s="100">
        <v>25</v>
      </c>
      <c r="BQ15" s="100">
        <v>19080</v>
      </c>
      <c r="BR15" s="100">
        <v>26.719692234857636</v>
      </c>
      <c r="BS15" s="100">
        <v>20392.469113643347</v>
      </c>
      <c r="BT15" s="100">
        <v>16.658198204042236</v>
      </c>
      <c r="BU15" s="100">
        <v>12713.536869325033</v>
      </c>
      <c r="BV15" s="100">
        <v>18.380013324037684</v>
      </c>
      <c r="BW15" s="100">
        <v>14027.626168905559</v>
      </c>
      <c r="BX15" s="100">
        <v>14.614818220222686</v>
      </c>
      <c r="BY15" s="100">
        <v>11154.029265673953</v>
      </c>
      <c r="BZ15" s="100">
        <v>17</v>
      </c>
      <c r="CA15" s="100">
        <v>12974.4</v>
      </c>
      <c r="CB15" s="100">
        <v>16</v>
      </c>
      <c r="CC15" s="100">
        <v>12211.199999999999</v>
      </c>
      <c r="CD15" s="100">
        <v>19</v>
      </c>
      <c r="CE15" s="100">
        <v>14500.8</v>
      </c>
      <c r="CF15" s="100">
        <v>22</v>
      </c>
      <c r="CG15" s="100">
        <v>16790.399999999998</v>
      </c>
      <c r="CH15" s="100">
        <v>20</v>
      </c>
      <c r="CI15" s="100">
        <v>15263.999999999998</v>
      </c>
      <c r="CJ15" s="100">
        <v>21</v>
      </c>
      <c r="CK15" s="100">
        <v>16027.199999999999</v>
      </c>
      <c r="CL15" s="100">
        <v>22.457908454219574</v>
      </c>
      <c r="CM15" s="100">
        <v>17139.875732260378</v>
      </c>
      <c r="CN15" s="100">
        <v>18.716449629764384</v>
      </c>
      <c r="CO15" s="100">
        <v>14284.394357436177</v>
      </c>
      <c r="CP15" s="100">
        <v>15.956007782532621</v>
      </c>
      <c r="CQ15" s="100">
        <v>12177.625139628895</v>
      </c>
      <c r="CR15" s="100">
        <v>20.948566224876558</v>
      </c>
      <c r="CS15" s="100">
        <v>15987.945742825788</v>
      </c>
      <c r="CT15" s="100">
        <v>20.534294106497946</v>
      </c>
      <c r="CU15" s="100">
        <v>15671.77326207923</v>
      </c>
    </row>
    <row r="16" spans="1:99">
      <c r="C16" s="99" t="s">
        <v>182</v>
      </c>
      <c r="D16" s="100">
        <v>19</v>
      </c>
      <c r="E16" s="100">
        <v>6475.2</v>
      </c>
      <c r="F16" s="100">
        <v>22</v>
      </c>
      <c r="G16" s="100">
        <v>7497.6</v>
      </c>
      <c r="H16" s="100">
        <v>19.780120580035252</v>
      </c>
      <c r="I16" s="100">
        <v>6741.0650936760139</v>
      </c>
      <c r="J16" s="100">
        <v>18.961621268142562</v>
      </c>
      <c r="K16" s="100">
        <v>6462.1205281829853</v>
      </c>
      <c r="L16" s="100">
        <v>19</v>
      </c>
      <c r="M16" s="100">
        <v>6475.2</v>
      </c>
      <c r="N16" s="100">
        <v>27</v>
      </c>
      <c r="O16" s="100">
        <v>9201.6</v>
      </c>
      <c r="P16" s="100">
        <v>15</v>
      </c>
      <c r="Q16" s="100">
        <v>5112</v>
      </c>
      <c r="R16" s="100">
        <v>25</v>
      </c>
      <c r="S16" s="100">
        <v>8520</v>
      </c>
      <c r="T16" s="100">
        <v>24</v>
      </c>
      <c r="U16" s="100">
        <v>8179.2000000000007</v>
      </c>
      <c r="V16" s="100">
        <v>26</v>
      </c>
      <c r="W16" s="100">
        <v>8860.8000000000011</v>
      </c>
      <c r="X16" s="100">
        <v>14</v>
      </c>
      <c r="Y16" s="100">
        <v>4771.2</v>
      </c>
      <c r="Z16" s="100">
        <v>16</v>
      </c>
      <c r="AA16" s="100">
        <v>5452.8</v>
      </c>
      <c r="AB16" s="100">
        <v>22</v>
      </c>
      <c r="AC16" s="100">
        <v>7497.6</v>
      </c>
      <c r="AD16" s="100">
        <v>26</v>
      </c>
      <c r="AE16" s="100">
        <v>8860.8000000000011</v>
      </c>
      <c r="AF16" s="100">
        <v>21</v>
      </c>
      <c r="AG16" s="100">
        <v>7156.8</v>
      </c>
      <c r="AH16" s="100">
        <v>18</v>
      </c>
      <c r="AI16" s="100">
        <v>6134.4000000000005</v>
      </c>
      <c r="AJ16" s="100">
        <v>14</v>
      </c>
      <c r="AK16" s="100">
        <v>4771.2</v>
      </c>
      <c r="AL16" s="100">
        <v>21</v>
      </c>
      <c r="AM16" s="100">
        <v>7156.8</v>
      </c>
      <c r="AN16" s="100">
        <v>20.138803376537396</v>
      </c>
      <c r="AO16" s="100">
        <v>6863.3041907239449</v>
      </c>
      <c r="AP16" s="100">
        <v>21.360490374512697</v>
      </c>
      <c r="AQ16" s="100">
        <v>7279.6551196339269</v>
      </c>
      <c r="AR16" s="100">
        <v>26</v>
      </c>
      <c r="AS16" s="100">
        <v>8860.8000000000011</v>
      </c>
      <c r="AT16" s="100">
        <v>16.737588320569603</v>
      </c>
      <c r="AU16" s="100">
        <v>5704.1700996501213</v>
      </c>
      <c r="AV16" s="100">
        <v>24</v>
      </c>
      <c r="AW16" s="100">
        <v>8179.2000000000007</v>
      </c>
      <c r="AX16" s="100">
        <v>27</v>
      </c>
      <c r="AY16" s="100">
        <v>9201.6</v>
      </c>
      <c r="AZ16" s="100">
        <v>16</v>
      </c>
      <c r="BA16" s="100">
        <v>5452.8</v>
      </c>
      <c r="BB16" s="100">
        <v>19</v>
      </c>
      <c r="BC16" s="100">
        <v>6475.2</v>
      </c>
      <c r="BD16" s="100">
        <v>22</v>
      </c>
      <c r="BE16" s="100">
        <v>7497.6</v>
      </c>
      <c r="BF16" s="100">
        <v>28</v>
      </c>
      <c r="BG16" s="100">
        <v>9542.4</v>
      </c>
      <c r="BH16" s="100">
        <v>25</v>
      </c>
      <c r="BI16" s="100">
        <v>8520</v>
      </c>
      <c r="BJ16" s="100">
        <v>23</v>
      </c>
      <c r="BK16" s="100">
        <v>7838.4000000000005</v>
      </c>
      <c r="BL16" s="100">
        <v>19</v>
      </c>
      <c r="BM16" s="100">
        <v>6475.2</v>
      </c>
      <c r="BN16" s="100">
        <v>30</v>
      </c>
      <c r="BO16" s="100">
        <v>10224</v>
      </c>
      <c r="BP16" s="100">
        <v>24</v>
      </c>
      <c r="BQ16" s="100">
        <v>8179.2000000000007</v>
      </c>
      <c r="BR16" s="100">
        <v>31.491065848225073</v>
      </c>
      <c r="BS16" s="100">
        <v>10732.155241075105</v>
      </c>
      <c r="BT16" s="100">
        <v>18.509109115602481</v>
      </c>
      <c r="BU16" s="100">
        <v>6307.9043865973254</v>
      </c>
      <c r="BV16" s="100">
        <v>18.380013324037684</v>
      </c>
      <c r="BW16" s="100">
        <v>6263.9085408320425</v>
      </c>
      <c r="BX16" s="100">
        <v>14.614818220222686</v>
      </c>
      <c r="BY16" s="100">
        <v>4980.7300494518913</v>
      </c>
      <c r="BZ16" s="100">
        <v>16</v>
      </c>
      <c r="CA16" s="100">
        <v>5452.8</v>
      </c>
      <c r="CB16" s="100">
        <v>16</v>
      </c>
      <c r="CC16" s="100">
        <v>5452.8</v>
      </c>
      <c r="CD16" s="100">
        <v>20</v>
      </c>
      <c r="CE16" s="100">
        <v>6816</v>
      </c>
      <c r="CF16" s="100">
        <v>20</v>
      </c>
      <c r="CG16" s="100">
        <v>6816</v>
      </c>
      <c r="CH16" s="100">
        <v>25</v>
      </c>
      <c r="CI16" s="100">
        <v>8520</v>
      </c>
      <c r="CJ16" s="100">
        <v>21</v>
      </c>
      <c r="CK16" s="100">
        <v>7156.8</v>
      </c>
      <c r="CL16" s="100">
        <v>22.457908454219574</v>
      </c>
      <c r="CM16" s="100">
        <v>7653.6552011980311</v>
      </c>
      <c r="CN16" s="100">
        <v>20.27615376557808</v>
      </c>
      <c r="CO16" s="100">
        <v>6910.1132033090098</v>
      </c>
      <c r="CP16" s="100">
        <v>15.956007782532621</v>
      </c>
      <c r="CQ16" s="100">
        <v>5437.8074522871175</v>
      </c>
      <c r="CR16" s="100">
        <v>19.996358669200347</v>
      </c>
      <c r="CS16" s="100">
        <v>6814.7590344634782</v>
      </c>
      <c r="CT16" s="100">
        <v>17.967507343185702</v>
      </c>
      <c r="CU16" s="100">
        <v>6123.3265025576875</v>
      </c>
    </row>
    <row r="17" spans="2:99">
      <c r="C17" s="99" t="s">
        <v>183</v>
      </c>
      <c r="D17" s="100">
        <v>21</v>
      </c>
      <c r="E17" s="100">
        <v>8870.4</v>
      </c>
      <c r="F17" s="100">
        <v>19</v>
      </c>
      <c r="G17" s="100">
        <v>8025.5999999999995</v>
      </c>
      <c r="H17" s="100">
        <v>17.802108522031727</v>
      </c>
      <c r="I17" s="100">
        <v>7519.6106397062013</v>
      </c>
      <c r="J17" s="100">
        <v>18.099729392317894</v>
      </c>
      <c r="K17" s="100">
        <v>7645.3256953150776</v>
      </c>
      <c r="L17" s="100">
        <v>18</v>
      </c>
      <c r="M17" s="100">
        <v>7603.2</v>
      </c>
      <c r="N17" s="100">
        <v>26</v>
      </c>
      <c r="O17" s="100">
        <v>10982.4</v>
      </c>
      <c r="P17" s="100">
        <v>16</v>
      </c>
      <c r="Q17" s="100">
        <v>6758.4</v>
      </c>
      <c r="R17" s="100">
        <v>26</v>
      </c>
      <c r="S17" s="100">
        <v>10982.4</v>
      </c>
      <c r="T17" s="100">
        <v>25</v>
      </c>
      <c r="U17" s="100">
        <v>10560</v>
      </c>
      <c r="V17" s="100">
        <v>28</v>
      </c>
      <c r="W17" s="100">
        <v>11827.199999999999</v>
      </c>
      <c r="X17" s="100">
        <v>13</v>
      </c>
      <c r="Y17" s="100">
        <v>5491.2</v>
      </c>
      <c r="Z17" s="100">
        <v>17</v>
      </c>
      <c r="AA17" s="100">
        <v>7180.7999999999993</v>
      </c>
      <c r="AB17" s="100">
        <v>22</v>
      </c>
      <c r="AC17" s="100">
        <v>9292.7999999999993</v>
      </c>
      <c r="AD17" s="100">
        <v>24</v>
      </c>
      <c r="AE17" s="100">
        <v>10137.599999999999</v>
      </c>
      <c r="AF17" s="100">
        <v>18</v>
      </c>
      <c r="AG17" s="100">
        <v>7603.2</v>
      </c>
      <c r="AH17" s="100">
        <v>21</v>
      </c>
      <c r="AI17" s="100">
        <v>8870.4</v>
      </c>
      <c r="AJ17" s="100">
        <v>13</v>
      </c>
      <c r="AK17" s="100">
        <v>5491.2</v>
      </c>
      <c r="AL17" s="100">
        <v>23</v>
      </c>
      <c r="AM17" s="100">
        <v>9715.1999999999989</v>
      </c>
      <c r="AN17" s="100">
        <v>20.977920183893119</v>
      </c>
      <c r="AO17" s="100">
        <v>8861.073485676452</v>
      </c>
      <c r="AP17" s="100">
        <v>23.217924320122496</v>
      </c>
      <c r="AQ17" s="100">
        <v>9807.2512328197408</v>
      </c>
      <c r="AR17" s="100">
        <v>31</v>
      </c>
      <c r="AS17" s="100">
        <v>13094.4</v>
      </c>
      <c r="AT17" s="100">
        <v>15.80772230276018</v>
      </c>
      <c r="AU17" s="100">
        <v>6677.1819006858996</v>
      </c>
      <c r="AV17" s="100">
        <v>27</v>
      </c>
      <c r="AW17" s="100">
        <v>11404.8</v>
      </c>
      <c r="AX17" s="100">
        <v>29</v>
      </c>
      <c r="AY17" s="100">
        <v>12249.599999999999</v>
      </c>
      <c r="AZ17" s="100">
        <v>17</v>
      </c>
      <c r="BA17" s="100">
        <v>7180.7999999999993</v>
      </c>
      <c r="BB17" s="100">
        <v>19</v>
      </c>
      <c r="BC17" s="100">
        <v>8025.5999999999995</v>
      </c>
      <c r="BD17" s="100">
        <v>21</v>
      </c>
      <c r="BE17" s="100">
        <v>8870.4</v>
      </c>
      <c r="BF17" s="100">
        <v>29</v>
      </c>
      <c r="BG17" s="100">
        <v>12249.599999999999</v>
      </c>
      <c r="BH17" s="100">
        <v>23</v>
      </c>
      <c r="BI17" s="100">
        <v>9715.1999999999989</v>
      </c>
      <c r="BJ17" s="100">
        <v>22</v>
      </c>
      <c r="BK17" s="100">
        <v>9292.7999999999993</v>
      </c>
      <c r="BL17" s="100">
        <v>17</v>
      </c>
      <c r="BM17" s="100">
        <v>7180.7999999999993</v>
      </c>
      <c r="BN17" s="100">
        <v>29</v>
      </c>
      <c r="BO17" s="100">
        <v>12249.599999999999</v>
      </c>
      <c r="BP17" s="100">
        <v>24</v>
      </c>
      <c r="BQ17" s="100">
        <v>10137.599999999999</v>
      </c>
      <c r="BR17" s="100">
        <v>27.673966957531121</v>
      </c>
      <c r="BS17" s="100">
        <v>11689.483642861145</v>
      </c>
      <c r="BT17" s="100">
        <v>17.583653659822357</v>
      </c>
      <c r="BU17" s="100">
        <v>7427.3353059089632</v>
      </c>
      <c r="BV17" s="100">
        <v>16.542011991633917</v>
      </c>
      <c r="BW17" s="100">
        <v>6987.3458652661657</v>
      </c>
      <c r="BX17" s="100">
        <v>15.528244358986605</v>
      </c>
      <c r="BY17" s="100">
        <v>6559.1304172359414</v>
      </c>
      <c r="BZ17" s="100">
        <v>16</v>
      </c>
      <c r="CA17" s="100">
        <v>6758.4</v>
      </c>
      <c r="CB17" s="100">
        <v>17</v>
      </c>
      <c r="CC17" s="100">
        <v>7180.7999999999993</v>
      </c>
      <c r="CD17" s="100">
        <v>21</v>
      </c>
      <c r="CE17" s="100">
        <v>8870.4</v>
      </c>
      <c r="CF17" s="100">
        <v>21</v>
      </c>
      <c r="CG17" s="100">
        <v>8870.4</v>
      </c>
      <c r="CH17" s="100">
        <v>20</v>
      </c>
      <c r="CI17" s="100">
        <v>8448</v>
      </c>
      <c r="CJ17" s="100">
        <v>24</v>
      </c>
      <c r="CK17" s="100">
        <v>10137.599999999999</v>
      </c>
      <c r="CL17" s="100">
        <v>23.434339256576951</v>
      </c>
      <c r="CM17" s="100">
        <v>9898.6649019781034</v>
      </c>
      <c r="CN17" s="100">
        <v>17.936597561857532</v>
      </c>
      <c r="CO17" s="100">
        <v>7576.4188101286209</v>
      </c>
      <c r="CP17" s="100">
        <v>16.95325826894091</v>
      </c>
      <c r="CQ17" s="100">
        <v>7161.0562928006402</v>
      </c>
      <c r="CR17" s="100">
        <v>20.948566224876558</v>
      </c>
      <c r="CS17" s="100">
        <v>8848.6743733878575</v>
      </c>
      <c r="CT17" s="100">
        <v>18.823102930956452</v>
      </c>
      <c r="CU17" s="100">
        <v>7950.8786780360051</v>
      </c>
    </row>
    <row r="18" spans="2:99">
      <c r="C18" s="99" t="s">
        <v>184</v>
      </c>
      <c r="D18" s="100">
        <v>19</v>
      </c>
      <c r="E18" s="100">
        <v>12403.199999999999</v>
      </c>
      <c r="F18" s="100">
        <v>21</v>
      </c>
      <c r="G18" s="100">
        <v>13708.8</v>
      </c>
      <c r="H18" s="100">
        <v>18.791114551033488</v>
      </c>
      <c r="I18" s="100">
        <v>12266.83957891466</v>
      </c>
      <c r="J18" s="100">
        <v>19.823513143967222</v>
      </c>
      <c r="K18" s="100">
        <v>12940.789380381802</v>
      </c>
      <c r="L18" s="100">
        <v>16</v>
      </c>
      <c r="M18" s="100">
        <v>10444.799999999999</v>
      </c>
      <c r="N18" s="100">
        <v>26</v>
      </c>
      <c r="O18" s="100">
        <v>16972.8</v>
      </c>
      <c r="P18" s="100">
        <v>16</v>
      </c>
      <c r="Q18" s="100">
        <v>10444.799999999999</v>
      </c>
      <c r="R18" s="100">
        <v>27</v>
      </c>
      <c r="S18" s="100">
        <v>17625.599999999999</v>
      </c>
      <c r="T18" s="100">
        <v>25</v>
      </c>
      <c r="U18" s="100">
        <v>16319.999999999998</v>
      </c>
      <c r="V18" s="100">
        <v>25</v>
      </c>
      <c r="W18" s="100">
        <v>16319.999999999998</v>
      </c>
      <c r="X18" s="100">
        <v>15</v>
      </c>
      <c r="Y18" s="100">
        <v>9792</v>
      </c>
      <c r="Z18" s="100">
        <v>18</v>
      </c>
      <c r="AA18" s="100">
        <v>11750.4</v>
      </c>
      <c r="AB18" s="100">
        <v>21</v>
      </c>
      <c r="AC18" s="100">
        <v>13708.8</v>
      </c>
      <c r="AD18" s="100">
        <v>27</v>
      </c>
      <c r="AE18" s="100">
        <v>17625.599999999999</v>
      </c>
      <c r="AF18" s="100">
        <v>19</v>
      </c>
      <c r="AG18" s="100">
        <v>12403.199999999999</v>
      </c>
      <c r="AH18" s="100">
        <v>20</v>
      </c>
      <c r="AI18" s="100">
        <v>13056</v>
      </c>
      <c r="AJ18" s="100">
        <v>13</v>
      </c>
      <c r="AK18" s="100">
        <v>8486.4</v>
      </c>
      <c r="AL18" s="100">
        <v>21</v>
      </c>
      <c r="AM18" s="100">
        <v>13708.8</v>
      </c>
      <c r="AN18" s="100">
        <v>20.977920183893119</v>
      </c>
      <c r="AO18" s="100">
        <v>13694.386296045426</v>
      </c>
      <c r="AP18" s="100">
        <v>23.217924320122496</v>
      </c>
      <c r="AQ18" s="100">
        <v>15156.660996175964</v>
      </c>
      <c r="AR18" s="100">
        <v>26</v>
      </c>
      <c r="AS18" s="100">
        <v>16972.8</v>
      </c>
      <c r="AT18" s="100">
        <v>13.947990267141336</v>
      </c>
      <c r="AU18" s="100">
        <v>9105.2480463898628</v>
      </c>
      <c r="AV18" s="100">
        <v>25</v>
      </c>
      <c r="AW18" s="100">
        <v>16319.999999999998</v>
      </c>
      <c r="AX18" s="100">
        <v>28</v>
      </c>
      <c r="AY18" s="100">
        <v>18278.399999999998</v>
      </c>
      <c r="AZ18" s="100">
        <v>16</v>
      </c>
      <c r="BA18" s="100">
        <v>10444.799999999999</v>
      </c>
      <c r="BB18" s="100">
        <v>20</v>
      </c>
      <c r="BC18" s="100">
        <v>13056</v>
      </c>
      <c r="BD18" s="100">
        <v>22</v>
      </c>
      <c r="BE18" s="100">
        <v>14361.599999999999</v>
      </c>
      <c r="BF18" s="100">
        <v>27</v>
      </c>
      <c r="BG18" s="100">
        <v>17625.599999999999</v>
      </c>
      <c r="BH18" s="100">
        <v>23</v>
      </c>
      <c r="BI18" s="100">
        <v>15014.4</v>
      </c>
      <c r="BJ18" s="100">
        <v>20</v>
      </c>
      <c r="BK18" s="100">
        <v>13056</v>
      </c>
      <c r="BL18" s="100">
        <v>19</v>
      </c>
      <c r="BM18" s="100">
        <v>12403.199999999999</v>
      </c>
      <c r="BN18" s="100">
        <v>28</v>
      </c>
      <c r="BO18" s="100">
        <v>18278.399999999998</v>
      </c>
      <c r="BP18" s="100">
        <v>26</v>
      </c>
      <c r="BQ18" s="100">
        <v>16972.8</v>
      </c>
      <c r="BR18" s="100">
        <v>29.582516402878099</v>
      </c>
      <c r="BS18" s="100">
        <v>19311.466707798823</v>
      </c>
      <c r="BT18" s="100">
        <v>17.583653659822357</v>
      </c>
      <c r="BU18" s="100">
        <v>11478.609109132034</v>
      </c>
      <c r="BV18" s="100">
        <v>19.299013990239569</v>
      </c>
      <c r="BW18" s="100">
        <v>12598.39633282839</v>
      </c>
      <c r="BX18" s="100">
        <v>13.701392081458769</v>
      </c>
      <c r="BY18" s="100">
        <v>8944.2687507762839</v>
      </c>
      <c r="BZ18" s="100">
        <v>15</v>
      </c>
      <c r="CA18" s="100">
        <v>9792</v>
      </c>
      <c r="CB18" s="100">
        <v>17</v>
      </c>
      <c r="CC18" s="100">
        <v>11097.599999999999</v>
      </c>
      <c r="CD18" s="100">
        <v>18</v>
      </c>
      <c r="CE18" s="100">
        <v>11750.4</v>
      </c>
      <c r="CF18" s="100">
        <v>20</v>
      </c>
      <c r="CG18" s="100">
        <v>13056</v>
      </c>
      <c r="CH18" s="100">
        <v>21</v>
      </c>
      <c r="CI18" s="100">
        <v>13708.8</v>
      </c>
      <c r="CJ18" s="100">
        <v>24</v>
      </c>
      <c r="CK18" s="100">
        <v>15667.199999999999</v>
      </c>
      <c r="CL18" s="100">
        <v>23.434339256576951</v>
      </c>
      <c r="CM18" s="100">
        <v>15297.936666693433</v>
      </c>
      <c r="CN18" s="100">
        <v>17.156745493950684</v>
      </c>
      <c r="CO18" s="100">
        <v>11199.923458451005</v>
      </c>
      <c r="CP18" s="100">
        <v>17.950508755349201</v>
      </c>
      <c r="CQ18" s="100">
        <v>11718.092115491958</v>
      </c>
      <c r="CR18" s="100">
        <v>20.948566224876558</v>
      </c>
      <c r="CS18" s="100">
        <v>13675.224031599417</v>
      </c>
      <c r="CT18" s="100">
        <v>19.678698518727199</v>
      </c>
      <c r="CU18" s="100">
        <v>12846.254393025114</v>
      </c>
    </row>
    <row r="19" spans="2:99">
      <c r="C19" s="99" t="s">
        <v>185</v>
      </c>
      <c r="D19" s="100">
        <v>20</v>
      </c>
      <c r="E19" s="100">
        <v>6600</v>
      </c>
      <c r="F19" s="100">
        <v>22</v>
      </c>
      <c r="G19" s="100">
        <v>7260</v>
      </c>
      <c r="H19" s="100">
        <v>18.791114551033488</v>
      </c>
      <c r="I19" s="100">
        <v>6201.0678018410508</v>
      </c>
      <c r="J19" s="100">
        <v>19.823513143967222</v>
      </c>
      <c r="K19" s="100">
        <v>6541.7593375091838</v>
      </c>
      <c r="L19" s="100">
        <v>18</v>
      </c>
      <c r="M19" s="100">
        <v>5940</v>
      </c>
      <c r="N19" s="100">
        <v>25</v>
      </c>
      <c r="O19" s="100">
        <v>8250</v>
      </c>
      <c r="P19" s="100">
        <v>17</v>
      </c>
      <c r="Q19" s="100">
        <v>5610</v>
      </c>
      <c r="R19" s="100">
        <v>29</v>
      </c>
      <c r="S19" s="100">
        <v>9570</v>
      </c>
      <c r="T19" s="100">
        <v>25</v>
      </c>
      <c r="U19" s="100">
        <v>8250</v>
      </c>
      <c r="V19" s="100">
        <v>28</v>
      </c>
      <c r="W19" s="100">
        <v>9240</v>
      </c>
      <c r="X19" s="100">
        <v>16</v>
      </c>
      <c r="Y19" s="100">
        <v>5280</v>
      </c>
      <c r="Z19" s="100">
        <v>18</v>
      </c>
      <c r="AA19" s="100">
        <v>5940</v>
      </c>
      <c r="AB19" s="100">
        <v>20</v>
      </c>
      <c r="AC19" s="100">
        <v>6600</v>
      </c>
      <c r="AD19" s="100">
        <v>28</v>
      </c>
      <c r="AE19" s="100">
        <v>9240</v>
      </c>
      <c r="AF19" s="100">
        <v>22</v>
      </c>
      <c r="AG19" s="100">
        <v>7260</v>
      </c>
      <c r="AH19" s="100">
        <v>19</v>
      </c>
      <c r="AI19" s="100">
        <v>6270</v>
      </c>
      <c r="AJ19" s="100">
        <v>15</v>
      </c>
      <c r="AK19" s="100">
        <v>4950</v>
      </c>
      <c r="AL19" s="100">
        <v>21</v>
      </c>
      <c r="AM19" s="100">
        <v>6930</v>
      </c>
      <c r="AN19" s="100">
        <v>20.977920183893119</v>
      </c>
      <c r="AO19" s="100">
        <v>6922.7136606847289</v>
      </c>
      <c r="AP19" s="100">
        <v>25.075358265732298</v>
      </c>
      <c r="AQ19" s="100">
        <v>8274.8682276916588</v>
      </c>
      <c r="AR19" s="100">
        <v>26</v>
      </c>
      <c r="AS19" s="100">
        <v>8580</v>
      </c>
      <c r="AT19" s="100">
        <v>14.877856284950756</v>
      </c>
      <c r="AU19" s="100">
        <v>4909.6925740337492</v>
      </c>
      <c r="AV19" s="100">
        <v>28</v>
      </c>
      <c r="AW19" s="100">
        <v>9240</v>
      </c>
      <c r="AX19" s="100">
        <v>30</v>
      </c>
      <c r="AY19" s="100">
        <v>9900</v>
      </c>
      <c r="AZ19" s="100">
        <v>18</v>
      </c>
      <c r="BA19" s="100">
        <v>5940</v>
      </c>
      <c r="BB19" s="100">
        <v>20</v>
      </c>
      <c r="BC19" s="100">
        <v>6600</v>
      </c>
      <c r="BD19" s="100">
        <v>23</v>
      </c>
      <c r="BE19" s="100">
        <v>7590</v>
      </c>
      <c r="BF19" s="100">
        <v>25</v>
      </c>
      <c r="BG19" s="100">
        <v>8250</v>
      </c>
      <c r="BH19" s="100">
        <v>27</v>
      </c>
      <c r="BI19" s="100">
        <v>8910</v>
      </c>
      <c r="BJ19" s="100">
        <v>25</v>
      </c>
      <c r="BK19" s="100">
        <v>8250</v>
      </c>
      <c r="BL19" s="100">
        <v>17</v>
      </c>
      <c r="BM19" s="100">
        <v>5610</v>
      </c>
      <c r="BN19" s="100">
        <v>29</v>
      </c>
      <c r="BO19" s="100">
        <v>9570</v>
      </c>
      <c r="BP19" s="100">
        <v>24</v>
      </c>
      <c r="BQ19" s="100">
        <v>7920</v>
      </c>
      <c r="BR19" s="100">
        <v>27.673966957531121</v>
      </c>
      <c r="BS19" s="100">
        <v>9132.4090959852692</v>
      </c>
      <c r="BT19" s="100">
        <v>16.658198204042236</v>
      </c>
      <c r="BU19" s="100">
        <v>5497.2054073339377</v>
      </c>
      <c r="BV19" s="100">
        <v>19.299013990239569</v>
      </c>
      <c r="BW19" s="100">
        <v>6368.6746167790579</v>
      </c>
      <c r="BX19" s="100">
        <v>15.528244358986605</v>
      </c>
      <c r="BY19" s="100">
        <v>5124.3206384655796</v>
      </c>
      <c r="BZ19" s="100">
        <v>17</v>
      </c>
      <c r="CA19" s="100">
        <v>5610</v>
      </c>
      <c r="CB19" s="100">
        <v>15</v>
      </c>
      <c r="CC19" s="100">
        <v>4950</v>
      </c>
      <c r="CD19" s="100">
        <v>21</v>
      </c>
      <c r="CE19" s="100">
        <v>6930</v>
      </c>
      <c r="CF19" s="100">
        <v>23</v>
      </c>
      <c r="CG19" s="100">
        <v>7590</v>
      </c>
      <c r="CH19" s="100">
        <v>24</v>
      </c>
      <c r="CI19" s="100">
        <v>7920</v>
      </c>
      <c r="CJ19" s="100">
        <v>23</v>
      </c>
      <c r="CK19" s="100">
        <v>7590</v>
      </c>
      <c r="CL19" s="100">
        <v>22.457908454219574</v>
      </c>
      <c r="CM19" s="100">
        <v>7411.109789892459</v>
      </c>
      <c r="CN19" s="100">
        <v>17.936597561857532</v>
      </c>
      <c r="CO19" s="100">
        <v>5919.0771954129859</v>
      </c>
      <c r="CP19" s="100">
        <v>18.947759241757488</v>
      </c>
      <c r="CQ19" s="100">
        <v>6252.7605497799714</v>
      </c>
      <c r="CR19" s="100">
        <v>22.852981336228972</v>
      </c>
      <c r="CS19" s="100">
        <v>7541.4838409555605</v>
      </c>
      <c r="CT19" s="100">
        <v>21.389889694268696</v>
      </c>
      <c r="CU19" s="100">
        <v>7058.6635991086696</v>
      </c>
    </row>
    <row r="20" spans="2:99">
      <c r="B20" s="99" t="s">
        <v>127</v>
      </c>
      <c r="C20" s="99" t="s">
        <v>186</v>
      </c>
      <c r="D20" s="100">
        <v>26</v>
      </c>
      <c r="E20" s="100">
        <v>7456.8</v>
      </c>
      <c r="F20" s="100">
        <v>23</v>
      </c>
      <c r="G20" s="100">
        <v>6596.4000000000005</v>
      </c>
      <c r="H20" s="100">
        <v>19.780120580035252</v>
      </c>
      <c r="I20" s="100">
        <v>5672.9385823541106</v>
      </c>
      <c r="J20" s="100">
        <v>19.823513143967222</v>
      </c>
      <c r="K20" s="100">
        <v>5685.3835696897995</v>
      </c>
      <c r="L20" s="100">
        <v>22</v>
      </c>
      <c r="M20" s="100">
        <v>6309.6</v>
      </c>
      <c r="N20" s="100">
        <v>19</v>
      </c>
      <c r="O20" s="100">
        <v>5449.2</v>
      </c>
      <c r="P20" s="100">
        <v>28</v>
      </c>
      <c r="Q20" s="100">
        <v>8030.4000000000005</v>
      </c>
      <c r="R20" s="100">
        <v>16</v>
      </c>
      <c r="S20" s="100">
        <v>4588.8</v>
      </c>
      <c r="T20" s="100">
        <v>17</v>
      </c>
      <c r="U20" s="100">
        <v>4875.6000000000004</v>
      </c>
      <c r="V20" s="100">
        <v>26</v>
      </c>
      <c r="W20" s="100">
        <v>7456.8</v>
      </c>
      <c r="X20" s="100">
        <v>17</v>
      </c>
      <c r="Y20" s="100">
        <v>4875.6000000000004</v>
      </c>
      <c r="Z20" s="100">
        <v>17</v>
      </c>
      <c r="AA20" s="100">
        <v>4875.6000000000004</v>
      </c>
      <c r="AB20" s="100">
        <v>18</v>
      </c>
      <c r="AC20" s="100">
        <v>5162.4000000000005</v>
      </c>
      <c r="AD20" s="100">
        <v>22</v>
      </c>
      <c r="AE20" s="100">
        <v>6309.6</v>
      </c>
      <c r="AF20" s="100">
        <v>22</v>
      </c>
      <c r="AG20" s="100">
        <v>6309.6</v>
      </c>
      <c r="AH20" s="100">
        <v>20</v>
      </c>
      <c r="AI20" s="100">
        <v>5736</v>
      </c>
      <c r="AJ20" s="100">
        <v>26</v>
      </c>
      <c r="AK20" s="100">
        <v>7456.8</v>
      </c>
      <c r="AL20" s="100">
        <v>17</v>
      </c>
      <c r="AM20" s="100">
        <v>4875.6000000000004</v>
      </c>
      <c r="AN20" s="100">
        <v>25.173504220671745</v>
      </c>
      <c r="AO20" s="100">
        <v>7219.7610104886571</v>
      </c>
      <c r="AP20" s="100">
        <v>16.7169055104882</v>
      </c>
      <c r="AQ20" s="100">
        <v>4794.4085004080162</v>
      </c>
      <c r="AR20" s="100">
        <v>17</v>
      </c>
      <c r="AS20" s="100">
        <v>4875.6000000000004</v>
      </c>
      <c r="AT20" s="100">
        <v>23.246650445235559</v>
      </c>
      <c r="AU20" s="100">
        <v>6667.1393476935591</v>
      </c>
      <c r="AV20" s="100">
        <v>18</v>
      </c>
      <c r="AW20" s="100">
        <v>5162.4000000000005</v>
      </c>
      <c r="AX20" s="100">
        <v>18</v>
      </c>
      <c r="AY20" s="100">
        <v>5162.4000000000005</v>
      </c>
      <c r="AZ20" s="100">
        <v>26</v>
      </c>
      <c r="BA20" s="100">
        <v>7456.8</v>
      </c>
      <c r="BB20" s="100">
        <v>17</v>
      </c>
      <c r="BC20" s="100">
        <v>4875.6000000000004</v>
      </c>
      <c r="BD20" s="100">
        <v>27</v>
      </c>
      <c r="BE20" s="100">
        <v>7743.6</v>
      </c>
      <c r="BF20" s="100">
        <v>21</v>
      </c>
      <c r="BG20" s="100">
        <v>6022.8</v>
      </c>
      <c r="BH20" s="100">
        <v>21</v>
      </c>
      <c r="BI20" s="100">
        <v>6022.8</v>
      </c>
      <c r="BJ20" s="100">
        <v>28</v>
      </c>
      <c r="BK20" s="100">
        <v>8030.4000000000005</v>
      </c>
      <c r="BL20" s="100">
        <v>23</v>
      </c>
      <c r="BM20" s="100">
        <v>6596.4000000000005</v>
      </c>
      <c r="BN20" s="100">
        <v>28</v>
      </c>
      <c r="BO20" s="100">
        <v>8030.4000000000005</v>
      </c>
      <c r="BP20" s="100">
        <v>25</v>
      </c>
      <c r="BQ20" s="100">
        <v>7170</v>
      </c>
      <c r="BR20" s="100">
        <v>20.039769176143224</v>
      </c>
      <c r="BS20" s="100">
        <v>5747.405799717877</v>
      </c>
      <c r="BT20" s="100">
        <v>24.987297306063351</v>
      </c>
      <c r="BU20" s="100">
        <v>7166.3568673789696</v>
      </c>
      <c r="BV20" s="100">
        <v>22.97501665504711</v>
      </c>
      <c r="BW20" s="100">
        <v>6589.2347766675111</v>
      </c>
      <c r="BX20" s="100">
        <v>29.229636440445372</v>
      </c>
      <c r="BY20" s="100">
        <v>8383.0597311197325</v>
      </c>
      <c r="BZ20" s="100">
        <v>16</v>
      </c>
      <c r="CA20" s="100">
        <v>4588.8</v>
      </c>
      <c r="CB20" s="100">
        <v>20</v>
      </c>
      <c r="CC20" s="100">
        <v>5736</v>
      </c>
      <c r="CD20" s="100">
        <v>20</v>
      </c>
      <c r="CE20" s="100">
        <v>5736</v>
      </c>
      <c r="CF20" s="100">
        <v>30</v>
      </c>
      <c r="CG20" s="100">
        <v>8604</v>
      </c>
      <c r="CH20" s="100">
        <v>20</v>
      </c>
      <c r="CI20" s="100">
        <v>5736</v>
      </c>
      <c r="CJ20" s="100">
        <v>17</v>
      </c>
      <c r="CK20" s="100">
        <v>4875.6000000000004</v>
      </c>
      <c r="CL20" s="100">
        <v>30.269354873078555</v>
      </c>
      <c r="CM20" s="100">
        <v>8681.2509775989292</v>
      </c>
      <c r="CN20" s="100">
        <v>21.056005833484932</v>
      </c>
      <c r="CO20" s="100">
        <v>6038.8624730434785</v>
      </c>
      <c r="CP20" s="100">
        <v>24.931262160207222</v>
      </c>
      <c r="CQ20" s="100">
        <v>7150.2859875474314</v>
      </c>
      <c r="CR20" s="100">
        <v>24.757396447581385</v>
      </c>
      <c r="CS20" s="100">
        <v>7100.4213011663414</v>
      </c>
      <c r="CT20" s="100">
        <v>23.10108086981019</v>
      </c>
      <c r="CU20" s="100">
        <v>6625.3899934615629</v>
      </c>
    </row>
    <row r="21" spans="2:99">
      <c r="C21" s="99" t="s">
        <v>187</v>
      </c>
      <c r="D21" s="100">
        <v>26</v>
      </c>
      <c r="E21" s="100">
        <v>1622.3999999999999</v>
      </c>
      <c r="F21" s="100">
        <v>21</v>
      </c>
      <c r="G21" s="100">
        <v>1310.3999999999999</v>
      </c>
      <c r="H21" s="100">
        <v>20.769126609037013</v>
      </c>
      <c r="I21" s="100">
        <v>1295.9935004039096</v>
      </c>
      <c r="J21" s="100">
        <v>23.271080647265865</v>
      </c>
      <c r="K21" s="100">
        <v>1452.11543238939</v>
      </c>
      <c r="L21" s="100">
        <v>22</v>
      </c>
      <c r="M21" s="100">
        <v>1372.8</v>
      </c>
      <c r="N21" s="100">
        <v>19</v>
      </c>
      <c r="O21" s="100">
        <v>1185.5999999999999</v>
      </c>
      <c r="P21" s="100">
        <v>29</v>
      </c>
      <c r="Q21" s="100">
        <v>1809.6</v>
      </c>
      <c r="R21" s="100">
        <v>19</v>
      </c>
      <c r="S21" s="100">
        <v>1185.5999999999999</v>
      </c>
      <c r="T21" s="100">
        <v>17</v>
      </c>
      <c r="U21" s="100">
        <v>1060.8</v>
      </c>
      <c r="V21" s="100">
        <v>28</v>
      </c>
      <c r="W21" s="100">
        <v>1747.2</v>
      </c>
      <c r="X21" s="100">
        <v>17</v>
      </c>
      <c r="Y21" s="100">
        <v>1060.8</v>
      </c>
      <c r="Z21" s="100">
        <v>19</v>
      </c>
      <c r="AA21" s="100">
        <v>1185.5999999999999</v>
      </c>
      <c r="AB21" s="100">
        <v>16</v>
      </c>
      <c r="AC21" s="100">
        <v>998.4</v>
      </c>
      <c r="AD21" s="100">
        <v>21</v>
      </c>
      <c r="AE21" s="100">
        <v>1310.3999999999999</v>
      </c>
      <c r="AF21" s="100">
        <v>24</v>
      </c>
      <c r="AG21" s="100">
        <v>1497.6</v>
      </c>
      <c r="AH21" s="100">
        <v>21</v>
      </c>
      <c r="AI21" s="100">
        <v>1310.3999999999999</v>
      </c>
      <c r="AJ21" s="100">
        <v>30</v>
      </c>
      <c r="AK21" s="100">
        <v>1872</v>
      </c>
      <c r="AL21" s="100">
        <v>19</v>
      </c>
      <c r="AM21" s="100">
        <v>1185.5999999999999</v>
      </c>
      <c r="AN21" s="100">
        <v>25.173504220671745</v>
      </c>
      <c r="AO21" s="100">
        <v>1570.8266633699168</v>
      </c>
      <c r="AP21" s="100">
        <v>16.7169055104882</v>
      </c>
      <c r="AQ21" s="100">
        <v>1043.1349038544636</v>
      </c>
      <c r="AR21" s="100">
        <v>18</v>
      </c>
      <c r="AS21" s="100">
        <v>1123.2</v>
      </c>
      <c r="AT21" s="100">
        <v>22.316784427426136</v>
      </c>
      <c r="AU21" s="100">
        <v>1392.5673482713908</v>
      </c>
      <c r="AV21" s="100">
        <v>19</v>
      </c>
      <c r="AW21" s="100">
        <v>1185.5999999999999</v>
      </c>
      <c r="AX21" s="100">
        <v>16</v>
      </c>
      <c r="AY21" s="100">
        <v>998.4</v>
      </c>
      <c r="AZ21" s="100">
        <v>26</v>
      </c>
      <c r="BA21" s="100">
        <v>1622.3999999999999</v>
      </c>
      <c r="BB21" s="100">
        <v>18</v>
      </c>
      <c r="BC21" s="100">
        <v>1123.2</v>
      </c>
      <c r="BD21" s="100">
        <v>31</v>
      </c>
      <c r="BE21" s="100">
        <v>1934.3999999999999</v>
      </c>
      <c r="BF21" s="100">
        <v>21</v>
      </c>
      <c r="BG21" s="100">
        <v>1310.3999999999999</v>
      </c>
      <c r="BH21" s="100">
        <v>22</v>
      </c>
      <c r="BI21" s="100">
        <v>1372.8</v>
      </c>
      <c r="BJ21" s="100">
        <v>30</v>
      </c>
      <c r="BK21" s="100">
        <v>1872</v>
      </c>
      <c r="BL21" s="100">
        <v>24</v>
      </c>
      <c r="BM21" s="100">
        <v>1497.6</v>
      </c>
      <c r="BN21" s="100">
        <v>28</v>
      </c>
      <c r="BO21" s="100">
        <v>1747.2</v>
      </c>
      <c r="BP21" s="100">
        <v>28</v>
      </c>
      <c r="BQ21" s="100">
        <v>1747.2</v>
      </c>
      <c r="BR21" s="100">
        <v>20.994043898816717</v>
      </c>
      <c r="BS21" s="100">
        <v>1310.0283392861631</v>
      </c>
      <c r="BT21" s="100">
        <v>25.912752761843475</v>
      </c>
      <c r="BU21" s="100">
        <v>1616.9557723390328</v>
      </c>
      <c r="BV21" s="100">
        <v>25.732018653652759</v>
      </c>
      <c r="BW21" s="100">
        <v>1605.6779639879321</v>
      </c>
      <c r="BX21" s="100">
        <v>31.05648871797321</v>
      </c>
      <c r="BY21" s="100">
        <v>1937.9248960015282</v>
      </c>
      <c r="BZ21" s="100">
        <v>16</v>
      </c>
      <c r="CA21" s="100">
        <v>998.4</v>
      </c>
      <c r="CB21" s="100">
        <v>19</v>
      </c>
      <c r="CC21" s="100">
        <v>1185.5999999999999</v>
      </c>
      <c r="CD21" s="100">
        <v>20</v>
      </c>
      <c r="CE21" s="100">
        <v>1248</v>
      </c>
      <c r="CF21" s="100">
        <v>30</v>
      </c>
      <c r="CG21" s="100">
        <v>1872</v>
      </c>
      <c r="CH21" s="100">
        <v>19</v>
      </c>
      <c r="CI21" s="100">
        <v>1185.5999999999999</v>
      </c>
      <c r="CJ21" s="100">
        <v>19</v>
      </c>
      <c r="CK21" s="100">
        <v>1185.5999999999999</v>
      </c>
      <c r="CL21" s="100">
        <v>28.316493268363811</v>
      </c>
      <c r="CM21" s="100">
        <v>1766.9491799459017</v>
      </c>
      <c r="CN21" s="100">
        <v>20.27615376557808</v>
      </c>
      <c r="CO21" s="100">
        <v>1265.2319949720722</v>
      </c>
      <c r="CP21" s="100">
        <v>26.925763133023796</v>
      </c>
      <c r="CQ21" s="100">
        <v>1680.1676195006849</v>
      </c>
      <c r="CR21" s="100">
        <v>23.805188891905178</v>
      </c>
      <c r="CS21" s="100">
        <v>1485.443786854883</v>
      </c>
      <c r="CT21" s="100">
        <v>26.523463220893184</v>
      </c>
      <c r="CU21" s="100">
        <v>1655.0641049837348</v>
      </c>
    </row>
    <row r="22" spans="2:99">
      <c r="C22" s="99" t="s">
        <v>188</v>
      </c>
      <c r="D22" s="100">
        <v>27</v>
      </c>
      <c r="E22" s="100">
        <v>5054.3999999999996</v>
      </c>
      <c r="F22" s="100">
        <v>23</v>
      </c>
      <c r="G22" s="100">
        <v>4305.5999999999995</v>
      </c>
      <c r="H22" s="100">
        <v>18.791114551033488</v>
      </c>
      <c r="I22" s="100">
        <v>3517.6966439534685</v>
      </c>
      <c r="J22" s="100">
        <v>22.409188771441205</v>
      </c>
      <c r="K22" s="100">
        <v>4195.0001380137928</v>
      </c>
      <c r="L22" s="100">
        <v>24</v>
      </c>
      <c r="M22" s="100">
        <v>4492.7999999999993</v>
      </c>
      <c r="N22" s="100">
        <v>19</v>
      </c>
      <c r="O22" s="100">
        <v>3556.7999999999997</v>
      </c>
      <c r="P22" s="100">
        <v>28</v>
      </c>
      <c r="Q22" s="100">
        <v>5241.5999999999995</v>
      </c>
      <c r="R22" s="100">
        <v>18</v>
      </c>
      <c r="S22" s="100">
        <v>3369.6</v>
      </c>
      <c r="T22" s="100">
        <v>20</v>
      </c>
      <c r="U22" s="100">
        <v>3744</v>
      </c>
      <c r="V22" s="100">
        <v>25</v>
      </c>
      <c r="W22" s="100">
        <v>4680</v>
      </c>
      <c r="X22" s="100">
        <v>15</v>
      </c>
      <c r="Y22" s="100">
        <v>2808</v>
      </c>
      <c r="Z22" s="100">
        <v>18</v>
      </c>
      <c r="AA22" s="100">
        <v>3369.6</v>
      </c>
      <c r="AB22" s="100">
        <v>18</v>
      </c>
      <c r="AC22" s="100">
        <v>3369.6</v>
      </c>
      <c r="AD22" s="100">
        <v>25</v>
      </c>
      <c r="AE22" s="100">
        <v>4680</v>
      </c>
      <c r="AF22" s="100">
        <v>20</v>
      </c>
      <c r="AG22" s="100">
        <v>3744</v>
      </c>
      <c r="AH22" s="100">
        <v>20</v>
      </c>
      <c r="AI22" s="100">
        <v>3744</v>
      </c>
      <c r="AJ22" s="100">
        <v>26</v>
      </c>
      <c r="AK22" s="100">
        <v>4867.2</v>
      </c>
      <c r="AL22" s="100">
        <v>19</v>
      </c>
      <c r="AM22" s="100">
        <v>3556.7999999999997</v>
      </c>
      <c r="AN22" s="100">
        <v>23.495270605960293</v>
      </c>
      <c r="AO22" s="100">
        <v>4398.314657435767</v>
      </c>
      <c r="AP22" s="100">
        <v>15.788188537683297</v>
      </c>
      <c r="AQ22" s="100">
        <v>2955.5488942543129</v>
      </c>
      <c r="AR22" s="100">
        <v>17</v>
      </c>
      <c r="AS22" s="100">
        <v>3182.3999999999996</v>
      </c>
      <c r="AT22" s="100">
        <v>26.036248498663824</v>
      </c>
      <c r="AU22" s="100">
        <v>4873.9857189498671</v>
      </c>
      <c r="AV22" s="100">
        <v>19</v>
      </c>
      <c r="AW22" s="100">
        <v>3556.7999999999997</v>
      </c>
      <c r="AX22" s="100">
        <v>18</v>
      </c>
      <c r="AY22" s="100">
        <v>3369.6</v>
      </c>
      <c r="AZ22" s="100">
        <v>26</v>
      </c>
      <c r="BA22" s="100">
        <v>4867.2</v>
      </c>
      <c r="BB22" s="100">
        <v>17</v>
      </c>
      <c r="BC22" s="100">
        <v>3182.3999999999996</v>
      </c>
      <c r="BD22" s="100">
        <v>30</v>
      </c>
      <c r="BE22" s="100">
        <v>5616</v>
      </c>
      <c r="BF22" s="100">
        <v>21</v>
      </c>
      <c r="BG22" s="100">
        <v>3931.2</v>
      </c>
      <c r="BH22" s="100">
        <v>22</v>
      </c>
      <c r="BI22" s="100">
        <v>4118.3999999999996</v>
      </c>
      <c r="BJ22" s="100">
        <v>32</v>
      </c>
      <c r="BK22" s="100">
        <v>5990.4</v>
      </c>
      <c r="BL22" s="100">
        <v>24</v>
      </c>
      <c r="BM22" s="100">
        <v>4492.7999999999993</v>
      </c>
      <c r="BN22" s="100">
        <v>30</v>
      </c>
      <c r="BO22" s="100">
        <v>5616</v>
      </c>
      <c r="BP22" s="100">
        <v>23</v>
      </c>
      <c r="BQ22" s="100">
        <v>4305.5999999999995</v>
      </c>
      <c r="BR22" s="100">
        <v>18.131219730796253</v>
      </c>
      <c r="BS22" s="100">
        <v>3394.1643336050583</v>
      </c>
      <c r="BT22" s="100">
        <v>24.987297306063351</v>
      </c>
      <c r="BU22" s="100">
        <v>4677.6220556950593</v>
      </c>
      <c r="BV22" s="100">
        <v>27.570019986056529</v>
      </c>
      <c r="BW22" s="100">
        <v>5161.1077413897819</v>
      </c>
      <c r="BX22" s="100">
        <v>25.575931885389704</v>
      </c>
      <c r="BY22" s="100">
        <v>4787.8144489449523</v>
      </c>
      <c r="BZ22" s="100">
        <v>15</v>
      </c>
      <c r="CA22" s="100">
        <v>2808</v>
      </c>
      <c r="CB22" s="100">
        <v>22</v>
      </c>
      <c r="CC22" s="100">
        <v>4118.3999999999996</v>
      </c>
      <c r="CD22" s="100">
        <v>21</v>
      </c>
      <c r="CE22" s="100">
        <v>3931.2</v>
      </c>
      <c r="CF22" s="100">
        <v>30</v>
      </c>
      <c r="CG22" s="100">
        <v>5616</v>
      </c>
      <c r="CH22" s="100">
        <v>19</v>
      </c>
      <c r="CI22" s="100">
        <v>3556.7999999999997</v>
      </c>
      <c r="CJ22" s="100">
        <v>19</v>
      </c>
      <c r="CK22" s="100">
        <v>3556.7999999999997</v>
      </c>
      <c r="CL22" s="100">
        <v>31.245785675435933</v>
      </c>
      <c r="CM22" s="100">
        <v>5849.2110784416063</v>
      </c>
      <c r="CN22" s="100">
        <v>23.39556203720548</v>
      </c>
      <c r="CO22" s="100">
        <v>4379.6492133648653</v>
      </c>
      <c r="CP22" s="100">
        <v>27.923013619432087</v>
      </c>
      <c r="CQ22" s="100">
        <v>5227.1881495576863</v>
      </c>
      <c r="CR22" s="100">
        <v>22.852981336228972</v>
      </c>
      <c r="CS22" s="100">
        <v>4278.078106142063</v>
      </c>
      <c r="CT22" s="100">
        <v>23.95667645758094</v>
      </c>
      <c r="CU22" s="100">
        <v>4484.6898328591515</v>
      </c>
    </row>
    <row r="23" spans="2:99">
      <c r="C23" s="99" t="s">
        <v>189</v>
      </c>
      <c r="D23" s="100">
        <v>29</v>
      </c>
      <c r="E23" s="100">
        <v>8526</v>
      </c>
      <c r="F23" s="100">
        <v>21</v>
      </c>
      <c r="G23" s="100">
        <v>6174</v>
      </c>
      <c r="H23" s="100">
        <v>22.747138667040538</v>
      </c>
      <c r="I23" s="100">
        <v>6687.6587681099181</v>
      </c>
      <c r="J23" s="100">
        <v>22.409188771441205</v>
      </c>
      <c r="K23" s="100">
        <v>6588.3014988037139</v>
      </c>
      <c r="L23" s="100">
        <v>24</v>
      </c>
      <c r="M23" s="100">
        <v>7056</v>
      </c>
      <c r="N23" s="100">
        <v>18</v>
      </c>
      <c r="O23" s="100">
        <v>5292</v>
      </c>
      <c r="P23" s="100">
        <v>24</v>
      </c>
      <c r="Q23" s="100">
        <v>7056</v>
      </c>
      <c r="R23" s="100">
        <v>17</v>
      </c>
      <c r="S23" s="100">
        <v>4998</v>
      </c>
      <c r="T23" s="100">
        <v>17</v>
      </c>
      <c r="U23" s="100">
        <v>4998</v>
      </c>
      <c r="V23" s="100">
        <v>26</v>
      </c>
      <c r="W23" s="100">
        <v>7644</v>
      </c>
      <c r="X23" s="100">
        <v>16</v>
      </c>
      <c r="Y23" s="100">
        <v>4704</v>
      </c>
      <c r="Z23" s="100">
        <v>17</v>
      </c>
      <c r="AA23" s="100">
        <v>4998</v>
      </c>
      <c r="AB23" s="100">
        <v>16</v>
      </c>
      <c r="AC23" s="100">
        <v>4704</v>
      </c>
      <c r="AD23" s="100">
        <v>24</v>
      </c>
      <c r="AE23" s="100">
        <v>7056</v>
      </c>
      <c r="AF23" s="100">
        <v>24</v>
      </c>
      <c r="AG23" s="100">
        <v>7056</v>
      </c>
      <c r="AH23" s="100">
        <v>17</v>
      </c>
      <c r="AI23" s="100">
        <v>4998</v>
      </c>
      <c r="AJ23" s="100">
        <v>26</v>
      </c>
      <c r="AK23" s="100">
        <v>7644</v>
      </c>
      <c r="AL23" s="100">
        <v>18</v>
      </c>
      <c r="AM23" s="100">
        <v>5292</v>
      </c>
      <c r="AN23" s="100">
        <v>24.334387413316019</v>
      </c>
      <c r="AO23" s="100">
        <v>7154.3098995149094</v>
      </c>
      <c r="AP23" s="100">
        <v>15.788188537683297</v>
      </c>
      <c r="AQ23" s="100">
        <v>4641.7274300788895</v>
      </c>
      <c r="AR23" s="100">
        <v>17</v>
      </c>
      <c r="AS23" s="100">
        <v>4998</v>
      </c>
      <c r="AT23" s="100">
        <v>25.106382480854403</v>
      </c>
      <c r="AU23" s="100">
        <v>7381.2764493711948</v>
      </c>
      <c r="AV23" s="100">
        <v>19</v>
      </c>
      <c r="AW23" s="100">
        <v>5586</v>
      </c>
      <c r="AX23" s="100">
        <v>15</v>
      </c>
      <c r="AY23" s="100">
        <v>4410</v>
      </c>
      <c r="AZ23" s="100">
        <v>29</v>
      </c>
      <c r="BA23" s="100">
        <v>8526</v>
      </c>
      <c r="BB23" s="100">
        <v>16</v>
      </c>
      <c r="BC23" s="100">
        <v>4704</v>
      </c>
      <c r="BD23" s="100">
        <v>26</v>
      </c>
      <c r="BE23" s="100">
        <v>7644</v>
      </c>
      <c r="BF23" s="100">
        <v>19</v>
      </c>
      <c r="BG23" s="100">
        <v>5586</v>
      </c>
      <c r="BH23" s="100">
        <v>21</v>
      </c>
      <c r="BI23" s="100">
        <v>6174</v>
      </c>
      <c r="BJ23" s="100">
        <v>33</v>
      </c>
      <c r="BK23" s="100">
        <v>9702</v>
      </c>
      <c r="BL23" s="100">
        <v>25</v>
      </c>
      <c r="BM23" s="100">
        <v>7350</v>
      </c>
      <c r="BN23" s="100">
        <v>30</v>
      </c>
      <c r="BO23" s="100">
        <v>8820</v>
      </c>
      <c r="BP23" s="100">
        <v>22</v>
      </c>
      <c r="BQ23" s="100">
        <v>6468</v>
      </c>
      <c r="BR23" s="100">
        <v>20.039769176143224</v>
      </c>
      <c r="BS23" s="100">
        <v>5891.6921377861081</v>
      </c>
      <c r="BT23" s="100">
        <v>28.689119129183847</v>
      </c>
      <c r="BU23" s="100">
        <v>8434.6010239800507</v>
      </c>
      <c r="BV23" s="100">
        <v>23.894017321248992</v>
      </c>
      <c r="BW23" s="100">
        <v>7024.8410924472037</v>
      </c>
      <c r="BX23" s="100">
        <v>26.489358024153621</v>
      </c>
      <c r="BY23" s="100">
        <v>7787.8712591011645</v>
      </c>
      <c r="BZ23" s="100">
        <v>17</v>
      </c>
      <c r="CA23" s="100">
        <v>4998</v>
      </c>
      <c r="CB23" s="100">
        <v>20</v>
      </c>
      <c r="CC23" s="100">
        <v>5880</v>
      </c>
      <c r="CD23" s="100">
        <v>22</v>
      </c>
      <c r="CE23" s="100">
        <v>6468</v>
      </c>
      <c r="CF23" s="100">
        <v>29</v>
      </c>
      <c r="CG23" s="100">
        <v>8526</v>
      </c>
      <c r="CH23" s="100">
        <v>22</v>
      </c>
      <c r="CI23" s="100">
        <v>6468</v>
      </c>
      <c r="CJ23" s="100">
        <v>18</v>
      </c>
      <c r="CK23" s="100">
        <v>5292</v>
      </c>
      <c r="CL23" s="100">
        <v>27.34006246600644</v>
      </c>
      <c r="CM23" s="100">
        <v>8037.9783650058935</v>
      </c>
      <c r="CN23" s="100">
        <v>22.615709969298628</v>
      </c>
      <c r="CO23" s="100">
        <v>6649.0187309737967</v>
      </c>
      <c r="CP23" s="100">
        <v>24.931262160207222</v>
      </c>
      <c r="CQ23" s="100">
        <v>7329.7910751009231</v>
      </c>
      <c r="CR23" s="100">
        <v>23.805188891905178</v>
      </c>
      <c r="CS23" s="100">
        <v>6998.7255342201224</v>
      </c>
      <c r="CT23" s="100">
        <v>27.379058808663931</v>
      </c>
      <c r="CU23" s="100">
        <v>8049.4432897471961</v>
      </c>
    </row>
    <row r="24" spans="2:99">
      <c r="C24" s="99" t="s">
        <v>190</v>
      </c>
      <c r="D24" s="100">
        <v>25</v>
      </c>
      <c r="E24" s="100">
        <v>9180</v>
      </c>
      <c r="F24" s="100">
        <v>22</v>
      </c>
      <c r="G24" s="100">
        <v>8078.4</v>
      </c>
      <c r="H24" s="100">
        <v>21.758132638038774</v>
      </c>
      <c r="I24" s="100">
        <v>7989.5863046878376</v>
      </c>
      <c r="J24" s="100">
        <v>20.685405019791883</v>
      </c>
      <c r="K24" s="100">
        <v>7595.6807232675792</v>
      </c>
      <c r="L24" s="100">
        <v>22</v>
      </c>
      <c r="M24" s="100">
        <v>8078.4</v>
      </c>
      <c r="N24" s="100">
        <v>18</v>
      </c>
      <c r="O24" s="100">
        <v>6609.5999999999995</v>
      </c>
      <c r="P24" s="100">
        <v>26</v>
      </c>
      <c r="Q24" s="100">
        <v>9547.1999999999989</v>
      </c>
      <c r="R24" s="100">
        <v>16</v>
      </c>
      <c r="S24" s="100">
        <v>5875.2</v>
      </c>
      <c r="T24" s="100">
        <v>19</v>
      </c>
      <c r="U24" s="100">
        <v>6976.8</v>
      </c>
      <c r="V24" s="100">
        <v>26</v>
      </c>
      <c r="W24" s="100">
        <v>9547.1999999999989</v>
      </c>
      <c r="X24" s="100">
        <v>16</v>
      </c>
      <c r="Y24" s="100">
        <v>5875.2</v>
      </c>
      <c r="Z24" s="100">
        <v>18</v>
      </c>
      <c r="AA24" s="100">
        <v>6609.5999999999995</v>
      </c>
      <c r="AB24" s="100">
        <v>18</v>
      </c>
      <c r="AC24" s="100">
        <v>6609.5999999999995</v>
      </c>
      <c r="AD24" s="100">
        <v>21</v>
      </c>
      <c r="AE24" s="100">
        <v>7711.2</v>
      </c>
      <c r="AF24" s="100">
        <v>22</v>
      </c>
      <c r="AG24" s="100">
        <v>8078.4</v>
      </c>
      <c r="AH24" s="100">
        <v>19</v>
      </c>
      <c r="AI24" s="100">
        <v>6976.8</v>
      </c>
      <c r="AJ24" s="100">
        <v>26</v>
      </c>
      <c r="AK24" s="100">
        <v>9547.1999999999989</v>
      </c>
      <c r="AL24" s="100">
        <v>18</v>
      </c>
      <c r="AM24" s="100">
        <v>6609.5999999999995</v>
      </c>
      <c r="AN24" s="100">
        <v>24.334387413316019</v>
      </c>
      <c r="AO24" s="100">
        <v>8935.5870581696418</v>
      </c>
      <c r="AP24" s="100">
        <v>16.7169055104882</v>
      </c>
      <c r="AQ24" s="100">
        <v>6138.4477034512665</v>
      </c>
      <c r="AR24" s="100">
        <v>16</v>
      </c>
      <c r="AS24" s="100">
        <v>5875.2</v>
      </c>
      <c r="AT24" s="100">
        <v>23.246650445235559</v>
      </c>
      <c r="AU24" s="100">
        <v>8536.1700434904978</v>
      </c>
      <c r="AV24" s="100">
        <v>16</v>
      </c>
      <c r="AW24" s="100">
        <v>5875.2</v>
      </c>
      <c r="AX24" s="100">
        <v>18</v>
      </c>
      <c r="AY24" s="100">
        <v>6609.5999999999995</v>
      </c>
      <c r="AZ24" s="100">
        <v>28</v>
      </c>
      <c r="BA24" s="100">
        <v>10281.6</v>
      </c>
      <c r="BB24" s="100">
        <v>17</v>
      </c>
      <c r="BC24" s="100">
        <v>6242.4</v>
      </c>
      <c r="BD24" s="100">
        <v>25</v>
      </c>
      <c r="BE24" s="100">
        <v>9180</v>
      </c>
      <c r="BF24" s="100">
        <v>20</v>
      </c>
      <c r="BG24" s="100">
        <v>7344</v>
      </c>
      <c r="BH24" s="100">
        <v>22</v>
      </c>
      <c r="BI24" s="100">
        <v>8078.4</v>
      </c>
      <c r="BJ24" s="100">
        <v>27</v>
      </c>
      <c r="BK24" s="100">
        <v>9914.4</v>
      </c>
      <c r="BL24" s="100">
        <v>26</v>
      </c>
      <c r="BM24" s="100">
        <v>9547.1999999999989</v>
      </c>
      <c r="BN24" s="100">
        <v>28</v>
      </c>
      <c r="BO24" s="100">
        <v>10281.6</v>
      </c>
      <c r="BP24" s="100">
        <v>23</v>
      </c>
      <c r="BQ24" s="100">
        <v>8445.6</v>
      </c>
      <c r="BR24" s="100">
        <v>20.994043898816717</v>
      </c>
      <c r="BS24" s="100">
        <v>7709.0129196454982</v>
      </c>
      <c r="BT24" s="100">
        <v>25.912752761843475</v>
      </c>
      <c r="BU24" s="100">
        <v>9515.1628141489236</v>
      </c>
      <c r="BV24" s="100">
        <v>24.813017987450877</v>
      </c>
      <c r="BW24" s="100">
        <v>9111.3402049919623</v>
      </c>
      <c r="BX24" s="100">
        <v>29.229636440445372</v>
      </c>
      <c r="BY24" s="100">
        <v>10733.12250093154</v>
      </c>
      <c r="BZ24" s="100">
        <v>17</v>
      </c>
      <c r="CA24" s="100">
        <v>6242.4</v>
      </c>
      <c r="CB24" s="100">
        <v>19</v>
      </c>
      <c r="CC24" s="100">
        <v>6976.8</v>
      </c>
      <c r="CD24" s="100">
        <v>20</v>
      </c>
      <c r="CE24" s="100">
        <v>7344</v>
      </c>
      <c r="CF24" s="100">
        <v>28</v>
      </c>
      <c r="CG24" s="100">
        <v>10281.6</v>
      </c>
      <c r="CH24" s="100">
        <v>19</v>
      </c>
      <c r="CI24" s="100">
        <v>6976.8</v>
      </c>
      <c r="CJ24" s="100">
        <v>19</v>
      </c>
      <c r="CK24" s="100">
        <v>6976.8</v>
      </c>
      <c r="CL24" s="100">
        <v>28.316493268363811</v>
      </c>
      <c r="CM24" s="100">
        <v>10397.816328143192</v>
      </c>
      <c r="CN24" s="100">
        <v>19.496301697671232</v>
      </c>
      <c r="CO24" s="100">
        <v>7159.0419833848764</v>
      </c>
      <c r="CP24" s="100">
        <v>24.931262160207222</v>
      </c>
      <c r="CQ24" s="100">
        <v>9154.7594652280914</v>
      </c>
      <c r="CR24" s="100">
        <v>22.852981336228972</v>
      </c>
      <c r="CS24" s="100">
        <v>8391.6147466632774</v>
      </c>
      <c r="CT24" s="100">
        <v>25.667867633122437</v>
      </c>
      <c r="CU24" s="100">
        <v>9425.2409948825589</v>
      </c>
    </row>
    <row r="25" spans="2:99">
      <c r="C25" s="99" t="s">
        <v>191</v>
      </c>
      <c r="D25" s="100">
        <v>26</v>
      </c>
      <c r="E25" s="100">
        <v>13790.4</v>
      </c>
      <c r="F25" s="100">
        <v>23</v>
      </c>
      <c r="G25" s="100">
        <v>12199.199999999999</v>
      </c>
      <c r="H25" s="100">
        <v>17.802108522031727</v>
      </c>
      <c r="I25" s="100">
        <v>9442.2383600856283</v>
      </c>
      <c r="J25" s="100">
        <v>20.685405019791883</v>
      </c>
      <c r="K25" s="100">
        <v>10971.538822497614</v>
      </c>
      <c r="L25" s="100">
        <v>20</v>
      </c>
      <c r="M25" s="100">
        <v>10608</v>
      </c>
      <c r="N25" s="100">
        <v>17</v>
      </c>
      <c r="O25" s="100">
        <v>9016.7999999999993</v>
      </c>
      <c r="P25" s="100">
        <v>26</v>
      </c>
      <c r="Q25" s="100">
        <v>13790.4</v>
      </c>
      <c r="R25" s="100">
        <v>17</v>
      </c>
      <c r="S25" s="100">
        <v>9016.7999999999993</v>
      </c>
      <c r="T25" s="100">
        <v>20</v>
      </c>
      <c r="U25" s="100">
        <v>10608</v>
      </c>
      <c r="V25" s="100">
        <v>26</v>
      </c>
      <c r="W25" s="100">
        <v>13790.4</v>
      </c>
      <c r="X25" s="100">
        <v>16</v>
      </c>
      <c r="Y25" s="100">
        <v>8486.4</v>
      </c>
      <c r="Z25" s="100">
        <v>19</v>
      </c>
      <c r="AA25" s="100">
        <v>10077.6</v>
      </c>
      <c r="AB25" s="100">
        <v>17</v>
      </c>
      <c r="AC25" s="100">
        <v>9016.7999999999993</v>
      </c>
      <c r="AD25" s="100">
        <v>22</v>
      </c>
      <c r="AE25" s="100">
        <v>11668.8</v>
      </c>
      <c r="AF25" s="100">
        <v>21</v>
      </c>
      <c r="AG25" s="100">
        <v>11138.4</v>
      </c>
      <c r="AH25" s="100">
        <v>18</v>
      </c>
      <c r="AI25" s="100">
        <v>9547.1999999999989</v>
      </c>
      <c r="AJ25" s="100">
        <v>26</v>
      </c>
      <c r="AK25" s="100">
        <v>13790.4</v>
      </c>
      <c r="AL25" s="100">
        <v>19</v>
      </c>
      <c r="AM25" s="100">
        <v>10077.6</v>
      </c>
      <c r="AN25" s="100">
        <v>23.495270605960293</v>
      </c>
      <c r="AO25" s="100">
        <v>12461.891529401339</v>
      </c>
      <c r="AP25" s="100">
        <v>17.645622483293096</v>
      </c>
      <c r="AQ25" s="100">
        <v>9359.2381651386568</v>
      </c>
      <c r="AR25" s="100">
        <v>17</v>
      </c>
      <c r="AS25" s="100">
        <v>9016.7999999999993</v>
      </c>
      <c r="AT25" s="100">
        <v>22.316784427426136</v>
      </c>
      <c r="AU25" s="100">
        <v>11836.822460306821</v>
      </c>
      <c r="AV25" s="100">
        <v>18</v>
      </c>
      <c r="AW25" s="100">
        <v>9547.1999999999989</v>
      </c>
      <c r="AX25" s="100">
        <v>15</v>
      </c>
      <c r="AY25" s="100">
        <v>7956</v>
      </c>
      <c r="AZ25" s="100">
        <v>28</v>
      </c>
      <c r="BA25" s="100">
        <v>14851.199999999999</v>
      </c>
      <c r="BB25" s="100">
        <v>15</v>
      </c>
      <c r="BC25" s="100">
        <v>7956</v>
      </c>
      <c r="BD25" s="100">
        <v>28</v>
      </c>
      <c r="BE25" s="100">
        <v>14851.199999999999</v>
      </c>
      <c r="BF25" s="100">
        <v>17</v>
      </c>
      <c r="BG25" s="100">
        <v>9016.7999999999993</v>
      </c>
      <c r="BH25" s="100">
        <v>20</v>
      </c>
      <c r="BI25" s="100">
        <v>10608</v>
      </c>
      <c r="BJ25" s="100">
        <v>29</v>
      </c>
      <c r="BK25" s="100">
        <v>15381.599999999999</v>
      </c>
      <c r="BL25" s="100">
        <v>23</v>
      </c>
      <c r="BM25" s="100">
        <v>12199.199999999999</v>
      </c>
      <c r="BN25" s="100">
        <v>30</v>
      </c>
      <c r="BO25" s="100">
        <v>15912</v>
      </c>
      <c r="BP25" s="100">
        <v>26</v>
      </c>
      <c r="BQ25" s="100">
        <v>13790.4</v>
      </c>
      <c r="BR25" s="100">
        <v>18.131219730796253</v>
      </c>
      <c r="BS25" s="100">
        <v>9616.798945214332</v>
      </c>
      <c r="BT25" s="100">
        <v>24.987297306063351</v>
      </c>
      <c r="BU25" s="100">
        <v>13253.262491136</v>
      </c>
      <c r="BV25" s="100">
        <v>22.97501665504711</v>
      </c>
      <c r="BW25" s="100">
        <v>12185.948833836987</v>
      </c>
      <c r="BX25" s="100">
        <v>29.229636440445372</v>
      </c>
      <c r="BY25" s="100">
        <v>15503.399168012225</v>
      </c>
      <c r="BZ25" s="100">
        <v>15</v>
      </c>
      <c r="CA25" s="100">
        <v>7956</v>
      </c>
      <c r="CB25" s="100">
        <v>19</v>
      </c>
      <c r="CC25" s="100">
        <v>10077.6</v>
      </c>
      <c r="CD25" s="100">
        <v>22</v>
      </c>
      <c r="CE25" s="100">
        <v>11668.8</v>
      </c>
      <c r="CF25" s="100">
        <v>31</v>
      </c>
      <c r="CG25" s="100">
        <v>16442.399999999998</v>
      </c>
      <c r="CH25" s="100">
        <v>21</v>
      </c>
      <c r="CI25" s="100">
        <v>11138.4</v>
      </c>
      <c r="CJ25" s="100">
        <v>17</v>
      </c>
      <c r="CK25" s="100">
        <v>9016.7999999999993</v>
      </c>
      <c r="CL25" s="100">
        <v>30.269354873078555</v>
      </c>
      <c r="CM25" s="100">
        <v>16054.865824680865</v>
      </c>
      <c r="CN25" s="100">
        <v>19.496301697671232</v>
      </c>
      <c r="CO25" s="100">
        <v>10340.838420444821</v>
      </c>
      <c r="CP25" s="100">
        <v>26.925763133023796</v>
      </c>
      <c r="CQ25" s="100">
        <v>14281.424765755821</v>
      </c>
      <c r="CR25" s="100">
        <v>21.900773780552765</v>
      </c>
      <c r="CS25" s="100">
        <v>11616.170413205185</v>
      </c>
      <c r="CT25" s="100">
        <v>23.10108086981019</v>
      </c>
      <c r="CU25" s="100">
        <v>12252.813293347324</v>
      </c>
    </row>
    <row r="26" spans="2:99">
      <c r="C26" s="99" t="s">
        <v>192</v>
      </c>
      <c r="D26" s="100">
        <v>27</v>
      </c>
      <c r="E26" s="100">
        <v>13122</v>
      </c>
      <c r="F26" s="100">
        <v>20</v>
      </c>
      <c r="G26" s="100">
        <v>9720</v>
      </c>
      <c r="H26" s="100">
        <v>20.769126609037013</v>
      </c>
      <c r="I26" s="100">
        <v>10093.795531991987</v>
      </c>
      <c r="J26" s="100">
        <v>20.685405019791883</v>
      </c>
      <c r="K26" s="100">
        <v>10053.106839618855</v>
      </c>
      <c r="L26" s="100">
        <v>23</v>
      </c>
      <c r="M26" s="100">
        <v>11178</v>
      </c>
      <c r="N26" s="100">
        <v>17</v>
      </c>
      <c r="O26" s="100">
        <v>8262</v>
      </c>
      <c r="P26" s="100">
        <v>26</v>
      </c>
      <c r="Q26" s="100">
        <v>12636</v>
      </c>
      <c r="R26" s="100">
        <v>17</v>
      </c>
      <c r="S26" s="100">
        <v>8262</v>
      </c>
      <c r="T26" s="100">
        <v>17</v>
      </c>
      <c r="U26" s="100">
        <v>8262</v>
      </c>
      <c r="V26" s="100">
        <v>27</v>
      </c>
      <c r="W26" s="100">
        <v>13122</v>
      </c>
      <c r="X26" s="100">
        <v>15</v>
      </c>
      <c r="Y26" s="100">
        <v>7290</v>
      </c>
      <c r="Z26" s="100">
        <v>18</v>
      </c>
      <c r="AA26" s="100">
        <v>8748</v>
      </c>
      <c r="AB26" s="100">
        <v>18</v>
      </c>
      <c r="AC26" s="100">
        <v>8748</v>
      </c>
      <c r="AD26" s="100">
        <v>21</v>
      </c>
      <c r="AE26" s="100">
        <v>10206</v>
      </c>
      <c r="AF26" s="100">
        <v>20</v>
      </c>
      <c r="AG26" s="100">
        <v>9720</v>
      </c>
      <c r="AH26" s="100">
        <v>17</v>
      </c>
      <c r="AI26" s="100">
        <v>8262</v>
      </c>
      <c r="AJ26" s="100">
        <v>27</v>
      </c>
      <c r="AK26" s="100">
        <v>13122</v>
      </c>
      <c r="AL26" s="100">
        <v>19</v>
      </c>
      <c r="AM26" s="100">
        <v>9234</v>
      </c>
      <c r="AN26" s="100">
        <v>20.977920183893119</v>
      </c>
      <c r="AO26" s="100">
        <v>10195.269209372056</v>
      </c>
      <c r="AP26" s="100">
        <v>18.574339456097999</v>
      </c>
      <c r="AQ26" s="100">
        <v>9027.128975663627</v>
      </c>
      <c r="AR26" s="100">
        <v>16</v>
      </c>
      <c r="AS26" s="100">
        <v>7776</v>
      </c>
      <c r="AT26" s="100">
        <v>22.316784427426136</v>
      </c>
      <c r="AU26" s="100">
        <v>10845.957231729102</v>
      </c>
      <c r="AV26" s="100">
        <v>17</v>
      </c>
      <c r="AW26" s="100">
        <v>8262</v>
      </c>
      <c r="AX26" s="100">
        <v>17</v>
      </c>
      <c r="AY26" s="100">
        <v>8262</v>
      </c>
      <c r="AZ26" s="100">
        <v>26</v>
      </c>
      <c r="BA26" s="100">
        <v>12636</v>
      </c>
      <c r="BB26" s="100">
        <v>16</v>
      </c>
      <c r="BC26" s="100">
        <v>7776</v>
      </c>
      <c r="BD26" s="100">
        <v>28</v>
      </c>
      <c r="BE26" s="100">
        <v>13608</v>
      </c>
      <c r="BF26" s="100">
        <v>20</v>
      </c>
      <c r="BG26" s="100">
        <v>9720</v>
      </c>
      <c r="BH26" s="100">
        <v>22</v>
      </c>
      <c r="BI26" s="100">
        <v>10692</v>
      </c>
      <c r="BJ26" s="100">
        <v>30</v>
      </c>
      <c r="BK26" s="100">
        <v>14580</v>
      </c>
      <c r="BL26" s="100">
        <v>27</v>
      </c>
      <c r="BM26" s="100">
        <v>13122</v>
      </c>
      <c r="BN26" s="100">
        <v>26</v>
      </c>
      <c r="BO26" s="100">
        <v>12636</v>
      </c>
      <c r="BP26" s="100">
        <v>24</v>
      </c>
      <c r="BQ26" s="100">
        <v>11664</v>
      </c>
      <c r="BR26" s="100">
        <v>17.176945008122765</v>
      </c>
      <c r="BS26" s="100">
        <v>8347.995273947663</v>
      </c>
      <c r="BT26" s="100">
        <v>27.763663673403723</v>
      </c>
      <c r="BU26" s="100">
        <v>13493.140545274209</v>
      </c>
      <c r="BV26" s="100">
        <v>23.894017321248992</v>
      </c>
      <c r="BW26" s="100">
        <v>11612.492418127011</v>
      </c>
      <c r="BX26" s="100">
        <v>28.316210301681455</v>
      </c>
      <c r="BY26" s="100">
        <v>13761.678206617187</v>
      </c>
      <c r="BZ26" s="100">
        <v>15</v>
      </c>
      <c r="CA26" s="100">
        <v>7290</v>
      </c>
      <c r="CB26" s="100">
        <v>18</v>
      </c>
      <c r="CC26" s="100">
        <v>8748</v>
      </c>
      <c r="CD26" s="100">
        <v>21</v>
      </c>
      <c r="CE26" s="100">
        <v>10206</v>
      </c>
      <c r="CF26" s="100">
        <v>27</v>
      </c>
      <c r="CG26" s="100">
        <v>13122</v>
      </c>
      <c r="CH26" s="100">
        <v>19</v>
      </c>
      <c r="CI26" s="100">
        <v>9234</v>
      </c>
      <c r="CJ26" s="100">
        <v>17</v>
      </c>
      <c r="CK26" s="100">
        <v>8262</v>
      </c>
      <c r="CL26" s="100">
        <v>29.292924070721185</v>
      </c>
      <c r="CM26" s="100">
        <v>14236.361098370497</v>
      </c>
      <c r="CN26" s="100">
        <v>20.27615376557808</v>
      </c>
      <c r="CO26" s="100">
        <v>9854.2107300709467</v>
      </c>
      <c r="CP26" s="100">
        <v>25.928512646615513</v>
      </c>
      <c r="CQ26" s="100">
        <v>12601.257146255139</v>
      </c>
      <c r="CR26" s="100">
        <v>24.757396447581385</v>
      </c>
      <c r="CS26" s="100">
        <v>12032.094673524552</v>
      </c>
      <c r="CT26" s="100">
        <v>24.812272045351687</v>
      </c>
      <c r="CU26" s="100">
        <v>12058.764214040921</v>
      </c>
    </row>
    <row r="27" spans="2:99">
      <c r="C27" s="99" t="s">
        <v>193</v>
      </c>
      <c r="D27" s="100">
        <v>26</v>
      </c>
      <c r="E27" s="100">
        <v>11107.199999999999</v>
      </c>
      <c r="F27" s="100">
        <v>21</v>
      </c>
      <c r="G27" s="100">
        <v>8971.1999999999989</v>
      </c>
      <c r="H27" s="100">
        <v>21.758132638038774</v>
      </c>
      <c r="I27" s="100">
        <v>9295.0742629701635</v>
      </c>
      <c r="J27" s="100">
        <v>19.823513143967222</v>
      </c>
      <c r="K27" s="100">
        <v>8468.6048151027971</v>
      </c>
      <c r="L27" s="100">
        <v>24</v>
      </c>
      <c r="M27" s="100">
        <v>10252.799999999999</v>
      </c>
      <c r="N27" s="100">
        <v>18</v>
      </c>
      <c r="O27" s="100">
        <v>7689.5999999999995</v>
      </c>
      <c r="P27" s="100">
        <v>25</v>
      </c>
      <c r="Q27" s="100">
        <v>10680</v>
      </c>
      <c r="R27" s="100">
        <v>16</v>
      </c>
      <c r="S27" s="100">
        <v>6835.2</v>
      </c>
      <c r="T27" s="100">
        <v>19</v>
      </c>
      <c r="U27" s="100">
        <v>8116.8</v>
      </c>
      <c r="V27" s="100">
        <v>27</v>
      </c>
      <c r="W27" s="100">
        <v>11534.4</v>
      </c>
      <c r="X27" s="100">
        <v>15</v>
      </c>
      <c r="Y27" s="100">
        <v>6408</v>
      </c>
      <c r="Z27" s="100">
        <v>19</v>
      </c>
      <c r="AA27" s="100">
        <v>8116.8</v>
      </c>
      <c r="AB27" s="100">
        <v>18</v>
      </c>
      <c r="AC27" s="100">
        <v>7689.5999999999995</v>
      </c>
      <c r="AD27" s="100">
        <v>24</v>
      </c>
      <c r="AE27" s="100">
        <v>10252.799999999999</v>
      </c>
      <c r="AF27" s="100">
        <v>20</v>
      </c>
      <c r="AG27" s="100">
        <v>8544</v>
      </c>
      <c r="AH27" s="100">
        <v>16</v>
      </c>
      <c r="AI27" s="100">
        <v>6835.2</v>
      </c>
      <c r="AJ27" s="100">
        <v>25</v>
      </c>
      <c r="AK27" s="100">
        <v>10680</v>
      </c>
      <c r="AL27" s="100">
        <v>18</v>
      </c>
      <c r="AM27" s="100">
        <v>7689.5999999999995</v>
      </c>
      <c r="AN27" s="100">
        <v>24.334387413316019</v>
      </c>
      <c r="AO27" s="100">
        <v>10395.650302968603</v>
      </c>
      <c r="AP27" s="100">
        <v>17.645622483293096</v>
      </c>
      <c r="AQ27" s="100">
        <v>7538.2099248628101</v>
      </c>
      <c r="AR27" s="100">
        <v>17</v>
      </c>
      <c r="AS27" s="100">
        <v>7262.4</v>
      </c>
      <c r="AT27" s="100">
        <v>22.316784427426136</v>
      </c>
      <c r="AU27" s="100">
        <v>9533.7303073964449</v>
      </c>
      <c r="AV27" s="100">
        <v>18</v>
      </c>
      <c r="AW27" s="100">
        <v>7689.5999999999995</v>
      </c>
      <c r="AX27" s="100">
        <v>17</v>
      </c>
      <c r="AY27" s="100">
        <v>7262.4</v>
      </c>
      <c r="AZ27" s="100">
        <v>28</v>
      </c>
      <c r="BA27" s="100">
        <v>11961.6</v>
      </c>
      <c r="BB27" s="100">
        <v>15</v>
      </c>
      <c r="BC27" s="100">
        <v>6408</v>
      </c>
      <c r="BD27" s="100">
        <v>27</v>
      </c>
      <c r="BE27" s="100">
        <v>11534.4</v>
      </c>
      <c r="BF27" s="100">
        <v>19</v>
      </c>
      <c r="BG27" s="100">
        <v>8116.8</v>
      </c>
      <c r="BH27" s="100">
        <v>20</v>
      </c>
      <c r="BI27" s="100">
        <v>8544</v>
      </c>
      <c r="BJ27" s="100">
        <v>33</v>
      </c>
      <c r="BK27" s="100">
        <v>14097.6</v>
      </c>
      <c r="BL27" s="100">
        <v>25</v>
      </c>
      <c r="BM27" s="100">
        <v>10680</v>
      </c>
      <c r="BN27" s="100">
        <v>26</v>
      </c>
      <c r="BO27" s="100">
        <v>11107.199999999999</v>
      </c>
      <c r="BP27" s="100">
        <v>26</v>
      </c>
      <c r="BQ27" s="100">
        <v>11107.199999999999</v>
      </c>
      <c r="BR27" s="100">
        <v>20.039769176143224</v>
      </c>
      <c r="BS27" s="100">
        <v>8560.9893920483846</v>
      </c>
      <c r="BT27" s="100">
        <v>26.838208217623599</v>
      </c>
      <c r="BU27" s="100">
        <v>11465.282550568802</v>
      </c>
      <c r="BV27" s="100">
        <v>24.813017987450877</v>
      </c>
      <c r="BW27" s="100">
        <v>10600.121284239014</v>
      </c>
      <c r="BX27" s="100">
        <v>28.316210301681455</v>
      </c>
      <c r="BY27" s="100">
        <v>12096.685040878318</v>
      </c>
      <c r="BZ27" s="100">
        <v>15</v>
      </c>
      <c r="CA27" s="100">
        <v>6408</v>
      </c>
      <c r="CB27" s="100">
        <v>19</v>
      </c>
      <c r="CC27" s="100">
        <v>8116.8</v>
      </c>
      <c r="CD27" s="100">
        <v>19</v>
      </c>
      <c r="CE27" s="100">
        <v>8116.8</v>
      </c>
      <c r="CF27" s="100">
        <v>28</v>
      </c>
      <c r="CG27" s="100">
        <v>11961.6</v>
      </c>
      <c r="CH27" s="100">
        <v>20</v>
      </c>
      <c r="CI27" s="100">
        <v>8544</v>
      </c>
      <c r="CJ27" s="100">
        <v>18</v>
      </c>
      <c r="CK27" s="100">
        <v>7689.5999999999995</v>
      </c>
      <c r="CL27" s="100">
        <v>28.316493268363811</v>
      </c>
      <c r="CM27" s="100">
        <v>12096.80592424502</v>
      </c>
      <c r="CN27" s="100">
        <v>22.615709969298628</v>
      </c>
      <c r="CO27" s="100">
        <v>9661.431298884374</v>
      </c>
      <c r="CP27" s="100">
        <v>25.928512646615513</v>
      </c>
      <c r="CQ27" s="100">
        <v>11076.660602634147</v>
      </c>
      <c r="CR27" s="100">
        <v>24.757396447581385</v>
      </c>
      <c r="CS27" s="100">
        <v>10576.359762406768</v>
      </c>
      <c r="CT27" s="100">
        <v>27.379058808663931</v>
      </c>
      <c r="CU27" s="100">
        <v>11696.333923061231</v>
      </c>
    </row>
    <row r="28" spans="2:99">
      <c r="C28" s="99" t="s">
        <v>194</v>
      </c>
      <c r="D28" s="100">
        <v>26</v>
      </c>
      <c r="E28" s="100">
        <v>19188</v>
      </c>
      <c r="F28" s="100">
        <v>20</v>
      </c>
      <c r="G28" s="100">
        <v>14760</v>
      </c>
      <c r="H28" s="100">
        <v>17.802108522031727</v>
      </c>
      <c r="I28" s="100">
        <v>13137.956089259415</v>
      </c>
      <c r="J28" s="100">
        <v>18.961621268142562</v>
      </c>
      <c r="K28" s="100">
        <v>13993.676495889211</v>
      </c>
      <c r="L28" s="100">
        <v>20</v>
      </c>
      <c r="M28" s="100">
        <v>14760</v>
      </c>
      <c r="N28" s="100">
        <v>17</v>
      </c>
      <c r="O28" s="100">
        <v>12546</v>
      </c>
      <c r="P28" s="100">
        <v>25</v>
      </c>
      <c r="Q28" s="100">
        <v>18450</v>
      </c>
      <c r="R28" s="100">
        <v>17</v>
      </c>
      <c r="S28" s="100">
        <v>12546</v>
      </c>
      <c r="T28" s="100">
        <v>16</v>
      </c>
      <c r="U28" s="100">
        <v>11808</v>
      </c>
      <c r="V28" s="100">
        <v>24</v>
      </c>
      <c r="W28" s="100">
        <v>17712</v>
      </c>
      <c r="X28" s="100">
        <v>14</v>
      </c>
      <c r="Y28" s="100">
        <v>10332</v>
      </c>
      <c r="Z28" s="100">
        <v>18</v>
      </c>
      <c r="AA28" s="100">
        <v>13284</v>
      </c>
      <c r="AB28" s="100">
        <v>17</v>
      </c>
      <c r="AC28" s="100">
        <v>12546</v>
      </c>
      <c r="AD28" s="100">
        <v>23</v>
      </c>
      <c r="AE28" s="100">
        <v>16974</v>
      </c>
      <c r="AF28" s="100">
        <v>21</v>
      </c>
      <c r="AG28" s="100">
        <v>15498</v>
      </c>
      <c r="AH28" s="100">
        <v>17</v>
      </c>
      <c r="AI28" s="100">
        <v>12546</v>
      </c>
      <c r="AJ28" s="100">
        <v>25</v>
      </c>
      <c r="AK28" s="100">
        <v>18450</v>
      </c>
      <c r="AL28" s="100">
        <v>16</v>
      </c>
      <c r="AM28" s="100">
        <v>11808</v>
      </c>
      <c r="AN28" s="100">
        <v>23.495270605960293</v>
      </c>
      <c r="AO28" s="100">
        <v>17339.509707198697</v>
      </c>
      <c r="AP28" s="100">
        <v>17.645622483293096</v>
      </c>
      <c r="AQ28" s="100">
        <v>13022.469392670304</v>
      </c>
      <c r="AR28" s="100">
        <v>14</v>
      </c>
      <c r="AS28" s="100">
        <v>10332</v>
      </c>
      <c r="AT28" s="100">
        <v>21.386918409616715</v>
      </c>
      <c r="AU28" s="100">
        <v>15783.545786297136</v>
      </c>
      <c r="AV28" s="100">
        <v>17</v>
      </c>
      <c r="AW28" s="100">
        <v>12546</v>
      </c>
      <c r="AX28" s="100">
        <v>17</v>
      </c>
      <c r="AY28" s="100">
        <v>12546</v>
      </c>
      <c r="AZ28" s="100">
        <v>28</v>
      </c>
      <c r="BA28" s="100">
        <v>20664</v>
      </c>
      <c r="BB28" s="100">
        <v>15</v>
      </c>
      <c r="BC28" s="100">
        <v>11070</v>
      </c>
      <c r="BD28" s="100">
        <v>26</v>
      </c>
      <c r="BE28" s="100">
        <v>19188</v>
      </c>
      <c r="BF28" s="100">
        <v>17</v>
      </c>
      <c r="BG28" s="100">
        <v>12546</v>
      </c>
      <c r="BH28" s="100">
        <v>20</v>
      </c>
      <c r="BI28" s="100">
        <v>14760</v>
      </c>
      <c r="BJ28" s="100">
        <v>31</v>
      </c>
      <c r="BK28" s="100">
        <v>22878</v>
      </c>
      <c r="BL28" s="100">
        <v>26</v>
      </c>
      <c r="BM28" s="100">
        <v>19188</v>
      </c>
      <c r="BN28" s="100">
        <v>27</v>
      </c>
      <c r="BO28" s="100">
        <v>19926</v>
      </c>
      <c r="BP28" s="100">
        <v>25</v>
      </c>
      <c r="BQ28" s="100">
        <v>18450</v>
      </c>
      <c r="BR28" s="100">
        <v>19.085494453469739</v>
      </c>
      <c r="BS28" s="100">
        <v>14085.094906660668</v>
      </c>
      <c r="BT28" s="100">
        <v>24.987297306063351</v>
      </c>
      <c r="BU28" s="100">
        <v>18440.625411874753</v>
      </c>
      <c r="BV28" s="100">
        <v>24.813017987450877</v>
      </c>
      <c r="BW28" s="100">
        <v>18312.007274738746</v>
      </c>
      <c r="BX28" s="100">
        <v>28.316210301681455</v>
      </c>
      <c r="BY28" s="100">
        <v>20897.363202640914</v>
      </c>
      <c r="BZ28" s="100">
        <v>17</v>
      </c>
      <c r="CA28" s="100">
        <v>12546</v>
      </c>
      <c r="CB28" s="100">
        <v>21</v>
      </c>
      <c r="CC28" s="100">
        <v>15498</v>
      </c>
      <c r="CD28" s="100">
        <v>21</v>
      </c>
      <c r="CE28" s="100">
        <v>15498</v>
      </c>
      <c r="CF28" s="100">
        <v>27</v>
      </c>
      <c r="CG28" s="100">
        <v>19926</v>
      </c>
      <c r="CH28" s="100">
        <v>18</v>
      </c>
      <c r="CI28" s="100">
        <v>13284</v>
      </c>
      <c r="CJ28" s="100">
        <v>19</v>
      </c>
      <c r="CK28" s="100">
        <v>14022</v>
      </c>
      <c r="CL28" s="100">
        <v>29.292924070721185</v>
      </c>
      <c r="CM28" s="100">
        <v>21618.177964192233</v>
      </c>
      <c r="CN28" s="100">
        <v>21.056005833484932</v>
      </c>
      <c r="CO28" s="100">
        <v>15539.332305111879</v>
      </c>
      <c r="CP28" s="100">
        <v>23.934011673798931</v>
      </c>
      <c r="CQ28" s="100">
        <v>17663.300615263612</v>
      </c>
      <c r="CR28" s="100">
        <v>24.757396447581385</v>
      </c>
      <c r="CS28" s="100">
        <v>18270.958578315061</v>
      </c>
      <c r="CT28" s="100">
        <v>26.523463220893184</v>
      </c>
      <c r="CU28" s="100">
        <v>19574.31585701917</v>
      </c>
    </row>
    <row r="29" spans="2:99">
      <c r="C29" s="99" t="s">
        <v>195</v>
      </c>
      <c r="D29" s="100">
        <v>27</v>
      </c>
      <c r="E29" s="100">
        <v>9136.7999999999993</v>
      </c>
      <c r="F29" s="100">
        <v>20</v>
      </c>
      <c r="G29" s="100">
        <v>6768</v>
      </c>
      <c r="H29" s="100">
        <v>20.769126609037013</v>
      </c>
      <c r="I29" s="100">
        <v>7028.272444498125</v>
      </c>
      <c r="J29" s="100">
        <v>21.547296895616544</v>
      </c>
      <c r="K29" s="100">
        <v>7291.6052694766377</v>
      </c>
      <c r="L29" s="100">
        <v>23</v>
      </c>
      <c r="M29" s="100">
        <v>7783.2</v>
      </c>
      <c r="N29" s="100">
        <v>17</v>
      </c>
      <c r="O29" s="100">
        <v>5752.7999999999993</v>
      </c>
      <c r="P29" s="100">
        <v>25</v>
      </c>
      <c r="Q29" s="100">
        <v>8460</v>
      </c>
      <c r="R29" s="100">
        <v>16</v>
      </c>
      <c r="S29" s="100">
        <v>5414.4</v>
      </c>
      <c r="T29" s="100">
        <v>20</v>
      </c>
      <c r="U29" s="100">
        <v>6768</v>
      </c>
      <c r="V29" s="100">
        <v>29</v>
      </c>
      <c r="W29" s="100">
        <v>9813.5999999999985</v>
      </c>
      <c r="X29" s="100">
        <v>16</v>
      </c>
      <c r="Y29" s="100">
        <v>5414.4</v>
      </c>
      <c r="Z29" s="100">
        <v>17</v>
      </c>
      <c r="AA29" s="100">
        <v>5752.7999999999993</v>
      </c>
      <c r="AB29" s="100">
        <v>17</v>
      </c>
      <c r="AC29" s="100">
        <v>5752.7999999999993</v>
      </c>
      <c r="AD29" s="100">
        <v>22</v>
      </c>
      <c r="AE29" s="100">
        <v>7444.7999999999993</v>
      </c>
      <c r="AF29" s="100">
        <v>20</v>
      </c>
      <c r="AG29" s="100">
        <v>6768</v>
      </c>
      <c r="AH29" s="100">
        <v>18</v>
      </c>
      <c r="AI29" s="100">
        <v>6091.2</v>
      </c>
      <c r="AJ29" s="100">
        <v>25</v>
      </c>
      <c r="AK29" s="100">
        <v>8460</v>
      </c>
      <c r="AL29" s="100">
        <v>19</v>
      </c>
      <c r="AM29" s="100">
        <v>6429.5999999999995</v>
      </c>
      <c r="AN29" s="100">
        <v>22.656153798604571</v>
      </c>
      <c r="AO29" s="100">
        <v>7666.8424454477863</v>
      </c>
      <c r="AP29" s="100">
        <v>17.645622483293096</v>
      </c>
      <c r="AQ29" s="100">
        <v>5971.2786483463833</v>
      </c>
      <c r="AR29" s="100">
        <v>17</v>
      </c>
      <c r="AS29" s="100">
        <v>5752.7999999999993</v>
      </c>
      <c r="AT29" s="100">
        <v>25.106382480854403</v>
      </c>
      <c r="AU29" s="100">
        <v>8495.9998315211287</v>
      </c>
      <c r="AV29" s="100">
        <v>17</v>
      </c>
      <c r="AW29" s="100">
        <v>5752.7999999999993</v>
      </c>
      <c r="AX29" s="100">
        <v>17</v>
      </c>
      <c r="AY29" s="100">
        <v>5752.7999999999993</v>
      </c>
      <c r="AZ29" s="100">
        <v>27</v>
      </c>
      <c r="BA29" s="100">
        <v>9136.7999999999993</v>
      </c>
      <c r="BB29" s="100">
        <v>17</v>
      </c>
      <c r="BC29" s="100">
        <v>5752.7999999999993</v>
      </c>
      <c r="BD29" s="100">
        <v>25</v>
      </c>
      <c r="BE29" s="100">
        <v>8460</v>
      </c>
      <c r="BF29" s="100">
        <v>20</v>
      </c>
      <c r="BG29" s="100">
        <v>6768</v>
      </c>
      <c r="BH29" s="100">
        <v>22</v>
      </c>
      <c r="BI29" s="100">
        <v>7444.7999999999993</v>
      </c>
      <c r="BJ29" s="100">
        <v>32</v>
      </c>
      <c r="BK29" s="100">
        <v>10828.8</v>
      </c>
      <c r="BL29" s="100">
        <v>26</v>
      </c>
      <c r="BM29" s="100">
        <v>8798.4</v>
      </c>
      <c r="BN29" s="100">
        <v>26</v>
      </c>
      <c r="BO29" s="100">
        <v>8798.4</v>
      </c>
      <c r="BP29" s="100">
        <v>23</v>
      </c>
      <c r="BQ29" s="100">
        <v>7783.2</v>
      </c>
      <c r="BR29" s="100">
        <v>18.131219730796253</v>
      </c>
      <c r="BS29" s="100">
        <v>6135.6047569014518</v>
      </c>
      <c r="BT29" s="100">
        <v>25.912752761843475</v>
      </c>
      <c r="BU29" s="100">
        <v>8768.8755346078306</v>
      </c>
      <c r="BV29" s="100">
        <v>27.570019986056529</v>
      </c>
      <c r="BW29" s="100">
        <v>9329.6947632815281</v>
      </c>
      <c r="BX29" s="100">
        <v>26.489358024153621</v>
      </c>
      <c r="BY29" s="100">
        <v>8963.9987553735846</v>
      </c>
      <c r="BZ29" s="100">
        <v>17</v>
      </c>
      <c r="CA29" s="100">
        <v>5752.7999999999993</v>
      </c>
      <c r="CB29" s="100">
        <v>20</v>
      </c>
      <c r="CC29" s="100">
        <v>6768</v>
      </c>
      <c r="CD29" s="100">
        <v>19</v>
      </c>
      <c r="CE29" s="100">
        <v>6429.5999999999995</v>
      </c>
      <c r="CF29" s="100">
        <v>29</v>
      </c>
      <c r="CG29" s="100">
        <v>9813.5999999999985</v>
      </c>
      <c r="CH29" s="100">
        <v>19</v>
      </c>
      <c r="CI29" s="100">
        <v>6429.5999999999995</v>
      </c>
      <c r="CJ29" s="100">
        <v>20</v>
      </c>
      <c r="CK29" s="100">
        <v>6768</v>
      </c>
      <c r="CL29" s="100">
        <v>30.269354873078555</v>
      </c>
      <c r="CM29" s="100">
        <v>10243.149689049782</v>
      </c>
      <c r="CN29" s="100">
        <v>21.056005833484932</v>
      </c>
      <c r="CO29" s="100">
        <v>7125.3523740513001</v>
      </c>
      <c r="CP29" s="100">
        <v>26.925763133023796</v>
      </c>
      <c r="CQ29" s="100">
        <v>9111.6782442152526</v>
      </c>
      <c r="CR29" s="100">
        <v>22.852981336228972</v>
      </c>
      <c r="CS29" s="100">
        <v>7733.4488841798839</v>
      </c>
      <c r="CT29" s="100">
        <v>24.812272045351687</v>
      </c>
      <c r="CU29" s="100">
        <v>8396.4728601470106</v>
      </c>
    </row>
    <row r="30" spans="2:99">
      <c r="C30" s="99" t="s">
        <v>196</v>
      </c>
      <c r="D30" s="100">
        <v>29</v>
      </c>
      <c r="E30" s="100">
        <v>4036.7999999999997</v>
      </c>
      <c r="F30" s="100">
        <v>20</v>
      </c>
      <c r="G30" s="100">
        <v>2784</v>
      </c>
      <c r="H30" s="100">
        <v>18.791114551033488</v>
      </c>
      <c r="I30" s="100">
        <v>2615.7231455038614</v>
      </c>
      <c r="J30" s="100">
        <v>23.271080647265865</v>
      </c>
      <c r="K30" s="100">
        <v>3239.3344260994081</v>
      </c>
      <c r="L30" s="100">
        <v>24</v>
      </c>
      <c r="M30" s="100">
        <v>3340.7999999999997</v>
      </c>
      <c r="N30" s="100">
        <v>20</v>
      </c>
      <c r="O30" s="100">
        <v>2784</v>
      </c>
      <c r="P30" s="100">
        <v>26</v>
      </c>
      <c r="Q30" s="100">
        <v>3619.2</v>
      </c>
      <c r="R30" s="100">
        <v>20</v>
      </c>
      <c r="S30" s="100">
        <v>2784</v>
      </c>
      <c r="T30" s="100">
        <v>20</v>
      </c>
      <c r="U30" s="100">
        <v>2784</v>
      </c>
      <c r="V30" s="100">
        <v>24</v>
      </c>
      <c r="W30" s="100">
        <v>3340.7999999999997</v>
      </c>
      <c r="X30" s="100">
        <v>15</v>
      </c>
      <c r="Y30" s="100">
        <v>2088</v>
      </c>
      <c r="Z30" s="100">
        <v>17</v>
      </c>
      <c r="AA30" s="100">
        <v>2366.3999999999996</v>
      </c>
      <c r="AB30" s="100">
        <v>16</v>
      </c>
      <c r="AC30" s="100">
        <v>2227.1999999999998</v>
      </c>
      <c r="AD30" s="100">
        <v>25</v>
      </c>
      <c r="AE30" s="100">
        <v>3479.9999999999995</v>
      </c>
      <c r="AF30" s="100">
        <v>22</v>
      </c>
      <c r="AG30" s="100">
        <v>3062.3999999999996</v>
      </c>
      <c r="AH30" s="100">
        <v>20</v>
      </c>
      <c r="AI30" s="100">
        <v>2784</v>
      </c>
      <c r="AJ30" s="100">
        <v>27</v>
      </c>
      <c r="AK30" s="100">
        <v>3758.3999999999996</v>
      </c>
      <c r="AL30" s="100">
        <v>18</v>
      </c>
      <c r="AM30" s="100">
        <v>2505.6</v>
      </c>
      <c r="AN30" s="100">
        <v>25.173504220671745</v>
      </c>
      <c r="AO30" s="100">
        <v>3504.1517875175068</v>
      </c>
      <c r="AP30" s="100">
        <v>18.574339456097999</v>
      </c>
      <c r="AQ30" s="100">
        <v>2585.5480522888411</v>
      </c>
      <c r="AR30" s="100">
        <v>15</v>
      </c>
      <c r="AS30" s="100">
        <v>2088</v>
      </c>
      <c r="AT30" s="100">
        <v>24.176516463044983</v>
      </c>
      <c r="AU30" s="100">
        <v>3365.3710916558612</v>
      </c>
      <c r="AV30" s="100">
        <v>19</v>
      </c>
      <c r="AW30" s="100">
        <v>2644.7999999999997</v>
      </c>
      <c r="AX30" s="100">
        <v>16</v>
      </c>
      <c r="AY30" s="100">
        <v>2227.1999999999998</v>
      </c>
      <c r="AZ30" s="100">
        <v>26</v>
      </c>
      <c r="BA30" s="100">
        <v>3619.2</v>
      </c>
      <c r="BB30" s="100">
        <v>15</v>
      </c>
      <c r="BC30" s="100">
        <v>2088</v>
      </c>
      <c r="BD30" s="100">
        <v>27</v>
      </c>
      <c r="BE30" s="100">
        <v>3758.3999999999996</v>
      </c>
      <c r="BF30" s="100">
        <v>18</v>
      </c>
      <c r="BG30" s="100">
        <v>2505.6</v>
      </c>
      <c r="BH30" s="100">
        <v>22</v>
      </c>
      <c r="BI30" s="100">
        <v>3062.3999999999996</v>
      </c>
      <c r="BJ30" s="100">
        <v>32</v>
      </c>
      <c r="BK30" s="100">
        <v>4454.3999999999996</v>
      </c>
      <c r="BL30" s="100">
        <v>28</v>
      </c>
      <c r="BM30" s="100">
        <v>3897.5999999999995</v>
      </c>
      <c r="BN30" s="100">
        <v>28</v>
      </c>
      <c r="BO30" s="100">
        <v>3897.5999999999995</v>
      </c>
      <c r="BP30" s="100">
        <v>25</v>
      </c>
      <c r="BQ30" s="100">
        <v>3479.9999999999995</v>
      </c>
      <c r="BR30" s="100">
        <v>20.994043898816717</v>
      </c>
      <c r="BS30" s="100">
        <v>2922.3709107152868</v>
      </c>
      <c r="BT30" s="100">
        <v>24.987297306063351</v>
      </c>
      <c r="BU30" s="100">
        <v>3478.2317850040181</v>
      </c>
      <c r="BV30" s="100">
        <v>25.732018653652759</v>
      </c>
      <c r="BW30" s="100">
        <v>3581.8969965884639</v>
      </c>
      <c r="BX30" s="100">
        <v>28.316210301681455</v>
      </c>
      <c r="BY30" s="100">
        <v>3941.6164739940582</v>
      </c>
      <c r="BZ30" s="100">
        <v>15</v>
      </c>
      <c r="CA30" s="100">
        <v>2088</v>
      </c>
      <c r="CB30" s="100">
        <v>20</v>
      </c>
      <c r="CC30" s="100">
        <v>2784</v>
      </c>
      <c r="CD30" s="100">
        <v>22</v>
      </c>
      <c r="CE30" s="100">
        <v>3062.3999999999996</v>
      </c>
      <c r="CF30" s="100">
        <v>29</v>
      </c>
      <c r="CG30" s="100">
        <v>4036.7999999999997</v>
      </c>
      <c r="CH30" s="100">
        <v>20</v>
      </c>
      <c r="CI30" s="100">
        <v>2784</v>
      </c>
      <c r="CJ30" s="100">
        <v>18</v>
      </c>
      <c r="CK30" s="100">
        <v>2505.6</v>
      </c>
      <c r="CL30" s="100">
        <v>33.198647280150674</v>
      </c>
      <c r="CM30" s="100">
        <v>4621.2517013969737</v>
      </c>
      <c r="CN30" s="100">
        <v>24.175414105112328</v>
      </c>
      <c r="CO30" s="100">
        <v>3365.2176434316357</v>
      </c>
      <c r="CP30" s="100">
        <v>24.931262160207222</v>
      </c>
      <c r="CQ30" s="100">
        <v>3470.4316927008449</v>
      </c>
      <c r="CR30" s="100">
        <v>22.852981336228972</v>
      </c>
      <c r="CS30" s="100">
        <v>3181.1350020030727</v>
      </c>
      <c r="CT30" s="100">
        <v>24.812272045351687</v>
      </c>
      <c r="CU30" s="100">
        <v>3453.8682687129544</v>
      </c>
    </row>
    <row r="31" spans="2:99">
      <c r="C31" s="99" t="s">
        <v>197</v>
      </c>
      <c r="D31" s="100">
        <v>24</v>
      </c>
      <c r="E31" s="100">
        <v>8179.2000000000007</v>
      </c>
      <c r="F31" s="100">
        <v>21</v>
      </c>
      <c r="G31" s="100">
        <v>7156.8</v>
      </c>
      <c r="H31" s="100">
        <v>18.791114551033488</v>
      </c>
      <c r="I31" s="100">
        <v>6404.0118389922127</v>
      </c>
      <c r="J31" s="100">
        <v>24.132972523090526</v>
      </c>
      <c r="K31" s="100">
        <v>8224.5170358692521</v>
      </c>
      <c r="L31" s="100">
        <v>24</v>
      </c>
      <c r="M31" s="100">
        <v>8179.2000000000007</v>
      </c>
      <c r="N31" s="100">
        <v>19</v>
      </c>
      <c r="O31" s="100">
        <v>6475.2</v>
      </c>
      <c r="P31" s="100">
        <v>28</v>
      </c>
      <c r="Q31" s="100">
        <v>9542.4</v>
      </c>
      <c r="R31" s="100">
        <v>19</v>
      </c>
      <c r="S31" s="100">
        <v>6475.2</v>
      </c>
      <c r="T31" s="100">
        <v>19</v>
      </c>
      <c r="U31" s="100">
        <v>6475.2</v>
      </c>
      <c r="V31" s="100">
        <v>26</v>
      </c>
      <c r="W31" s="100">
        <v>8860.8000000000011</v>
      </c>
      <c r="X31" s="100">
        <v>15</v>
      </c>
      <c r="Y31" s="100">
        <v>5112</v>
      </c>
      <c r="Z31" s="100">
        <v>19</v>
      </c>
      <c r="AA31" s="100">
        <v>6475.2</v>
      </c>
      <c r="AB31" s="100">
        <v>17</v>
      </c>
      <c r="AC31" s="100">
        <v>5793.6</v>
      </c>
      <c r="AD31" s="100">
        <v>23</v>
      </c>
      <c r="AE31" s="100">
        <v>7838.4000000000005</v>
      </c>
      <c r="AF31" s="100">
        <v>22</v>
      </c>
      <c r="AG31" s="100">
        <v>7497.6</v>
      </c>
      <c r="AH31" s="100">
        <v>19</v>
      </c>
      <c r="AI31" s="100">
        <v>6475.2</v>
      </c>
      <c r="AJ31" s="100">
        <v>27</v>
      </c>
      <c r="AK31" s="100">
        <v>9201.6</v>
      </c>
      <c r="AL31" s="100">
        <v>20</v>
      </c>
      <c r="AM31" s="100">
        <v>6816</v>
      </c>
      <c r="AN31" s="100">
        <v>24.334387413316019</v>
      </c>
      <c r="AO31" s="100">
        <v>8293.159230458099</v>
      </c>
      <c r="AP31" s="100">
        <v>17.645622483293096</v>
      </c>
      <c r="AQ31" s="100">
        <v>6013.6281423062874</v>
      </c>
      <c r="AR31" s="100">
        <v>15</v>
      </c>
      <c r="AS31" s="100">
        <v>5112</v>
      </c>
      <c r="AT31" s="100">
        <v>26.036248498663824</v>
      </c>
      <c r="AU31" s="100">
        <v>8873.1534883446311</v>
      </c>
      <c r="AV31" s="100">
        <v>17</v>
      </c>
      <c r="AW31" s="100">
        <v>5793.6</v>
      </c>
      <c r="AX31" s="100">
        <v>18</v>
      </c>
      <c r="AY31" s="100">
        <v>6134.4000000000005</v>
      </c>
      <c r="AZ31" s="100">
        <v>30</v>
      </c>
      <c r="BA31" s="100">
        <v>10224</v>
      </c>
      <c r="BB31" s="100">
        <v>17</v>
      </c>
      <c r="BC31" s="100">
        <v>5793.6</v>
      </c>
      <c r="BD31" s="100">
        <v>29</v>
      </c>
      <c r="BE31" s="100">
        <v>9883.2000000000007</v>
      </c>
      <c r="BF31" s="100">
        <v>21</v>
      </c>
      <c r="BG31" s="100">
        <v>7156.8</v>
      </c>
      <c r="BH31" s="100">
        <v>22</v>
      </c>
      <c r="BI31" s="100">
        <v>7497.6</v>
      </c>
      <c r="BJ31" s="100">
        <v>30</v>
      </c>
      <c r="BK31" s="100">
        <v>10224</v>
      </c>
      <c r="BL31" s="100">
        <v>23</v>
      </c>
      <c r="BM31" s="100">
        <v>7838.4000000000005</v>
      </c>
      <c r="BN31" s="100">
        <v>31</v>
      </c>
      <c r="BO31" s="100">
        <v>10564.800000000001</v>
      </c>
      <c r="BP31" s="100">
        <v>23</v>
      </c>
      <c r="BQ31" s="100">
        <v>7838.4000000000005</v>
      </c>
      <c r="BR31" s="100">
        <v>17.176945008122765</v>
      </c>
      <c r="BS31" s="100">
        <v>5853.9028587682387</v>
      </c>
      <c r="BT31" s="100">
        <v>27.763663673403723</v>
      </c>
      <c r="BU31" s="100">
        <v>9461.8565798959899</v>
      </c>
      <c r="BV31" s="100">
        <v>23.894017321248992</v>
      </c>
      <c r="BW31" s="100">
        <v>8143.0811030816567</v>
      </c>
      <c r="BX31" s="100">
        <v>25.575931885389704</v>
      </c>
      <c r="BY31" s="100">
        <v>8716.2775865408112</v>
      </c>
      <c r="BZ31" s="100">
        <v>17</v>
      </c>
      <c r="CA31" s="100">
        <v>5793.6</v>
      </c>
      <c r="CB31" s="100">
        <v>19</v>
      </c>
      <c r="CC31" s="100">
        <v>6475.2</v>
      </c>
      <c r="CD31" s="100">
        <v>21</v>
      </c>
      <c r="CE31" s="100">
        <v>7156.8</v>
      </c>
      <c r="CF31" s="100">
        <v>29</v>
      </c>
      <c r="CG31" s="100">
        <v>9883.2000000000007</v>
      </c>
      <c r="CH31" s="100">
        <v>18</v>
      </c>
      <c r="CI31" s="100">
        <v>6134.4000000000005</v>
      </c>
      <c r="CJ31" s="100">
        <v>20</v>
      </c>
      <c r="CK31" s="100">
        <v>6816</v>
      </c>
      <c r="CL31" s="100">
        <v>30.269354873078555</v>
      </c>
      <c r="CM31" s="100">
        <v>10315.796140745171</v>
      </c>
      <c r="CN31" s="100">
        <v>22.615709969298628</v>
      </c>
      <c r="CO31" s="100">
        <v>7707.4339575369722</v>
      </c>
      <c r="CP31" s="100">
        <v>26.925763133023796</v>
      </c>
      <c r="CQ31" s="100">
        <v>9176.3000757345108</v>
      </c>
      <c r="CR31" s="100">
        <v>26.661811558933803</v>
      </c>
      <c r="CS31" s="100">
        <v>9086.3453792846394</v>
      </c>
      <c r="CT31" s="100">
        <v>26.523463220893184</v>
      </c>
      <c r="CU31" s="100">
        <v>9039.1962656803971</v>
      </c>
    </row>
    <row r="32" spans="2:99">
      <c r="C32" s="99" t="s">
        <v>198</v>
      </c>
      <c r="D32" s="100">
        <v>24</v>
      </c>
      <c r="E32" s="100">
        <v>20160</v>
      </c>
      <c r="F32" s="100">
        <v>19</v>
      </c>
      <c r="G32" s="100">
        <v>15960</v>
      </c>
      <c r="H32" s="100">
        <v>19.780120580035252</v>
      </c>
      <c r="I32" s="100">
        <v>16615.301287229613</v>
      </c>
      <c r="J32" s="100">
        <v>20.685405019791883</v>
      </c>
      <c r="K32" s="100">
        <v>17375.740216625181</v>
      </c>
      <c r="L32" s="100">
        <v>19</v>
      </c>
      <c r="M32" s="100">
        <v>15960</v>
      </c>
      <c r="N32" s="100">
        <v>16</v>
      </c>
      <c r="O32" s="100">
        <v>13440</v>
      </c>
      <c r="P32" s="100">
        <v>23</v>
      </c>
      <c r="Q32" s="100">
        <v>19320</v>
      </c>
      <c r="R32" s="100">
        <v>18</v>
      </c>
      <c r="S32" s="100">
        <v>15120</v>
      </c>
      <c r="T32" s="100">
        <v>18</v>
      </c>
      <c r="U32" s="100">
        <v>15120</v>
      </c>
      <c r="V32" s="100">
        <v>26</v>
      </c>
      <c r="W32" s="100">
        <v>21840</v>
      </c>
      <c r="X32" s="100">
        <v>16</v>
      </c>
      <c r="Y32" s="100">
        <v>13440</v>
      </c>
      <c r="Z32" s="100">
        <v>18</v>
      </c>
      <c r="AA32" s="100">
        <v>15120</v>
      </c>
      <c r="AB32" s="100">
        <v>17</v>
      </c>
      <c r="AC32" s="100">
        <v>14280</v>
      </c>
      <c r="AD32" s="100">
        <v>20</v>
      </c>
      <c r="AE32" s="100">
        <v>16800</v>
      </c>
      <c r="AF32" s="100">
        <v>21</v>
      </c>
      <c r="AG32" s="100">
        <v>17640</v>
      </c>
      <c r="AH32" s="100">
        <v>16</v>
      </c>
      <c r="AI32" s="100">
        <v>13440</v>
      </c>
      <c r="AJ32" s="100">
        <v>24</v>
      </c>
      <c r="AK32" s="100">
        <v>20160</v>
      </c>
      <c r="AL32" s="100">
        <v>17</v>
      </c>
      <c r="AM32" s="100">
        <v>14280</v>
      </c>
      <c r="AN32" s="100">
        <v>23.495270605960293</v>
      </c>
      <c r="AO32" s="100">
        <v>19736.027309006648</v>
      </c>
      <c r="AP32" s="100">
        <v>15.788188537683297</v>
      </c>
      <c r="AQ32" s="100">
        <v>13262.07837165397</v>
      </c>
      <c r="AR32" s="100">
        <v>15</v>
      </c>
      <c r="AS32" s="100">
        <v>12600</v>
      </c>
      <c r="AT32" s="100">
        <v>24.176516463044983</v>
      </c>
      <c r="AU32" s="100">
        <v>20308.273828957786</v>
      </c>
      <c r="AV32" s="100">
        <v>16</v>
      </c>
      <c r="AW32" s="100">
        <v>13440</v>
      </c>
      <c r="AX32" s="100">
        <v>15</v>
      </c>
      <c r="AY32" s="100">
        <v>12600</v>
      </c>
      <c r="AZ32" s="100">
        <v>28</v>
      </c>
      <c r="BA32" s="100">
        <v>23520</v>
      </c>
      <c r="BB32" s="100">
        <v>17</v>
      </c>
      <c r="BC32" s="100">
        <v>14280</v>
      </c>
      <c r="BD32" s="100">
        <v>25</v>
      </c>
      <c r="BE32" s="100">
        <v>21000</v>
      </c>
      <c r="BF32" s="100">
        <v>19</v>
      </c>
      <c r="BG32" s="100">
        <v>15960</v>
      </c>
      <c r="BH32" s="100">
        <v>21</v>
      </c>
      <c r="BI32" s="100">
        <v>17640</v>
      </c>
      <c r="BJ32" s="100">
        <v>30</v>
      </c>
      <c r="BK32" s="100">
        <v>25200</v>
      </c>
      <c r="BL32" s="100">
        <v>24</v>
      </c>
      <c r="BM32" s="100">
        <v>20160</v>
      </c>
      <c r="BN32" s="100">
        <v>26</v>
      </c>
      <c r="BO32" s="100">
        <v>21840</v>
      </c>
      <c r="BP32" s="100">
        <v>25</v>
      </c>
      <c r="BQ32" s="100">
        <v>21000</v>
      </c>
      <c r="BR32" s="100">
        <v>18.131219730796253</v>
      </c>
      <c r="BS32" s="100">
        <v>15230.224573868853</v>
      </c>
      <c r="BT32" s="100">
        <v>24.061841850283223</v>
      </c>
      <c r="BU32" s="100">
        <v>20211.947154237907</v>
      </c>
      <c r="BV32" s="100">
        <v>22.97501665504711</v>
      </c>
      <c r="BW32" s="100">
        <v>19299.013990239571</v>
      </c>
      <c r="BX32" s="100">
        <v>25.575931885389704</v>
      </c>
      <c r="BY32" s="100">
        <v>21483.782783727351</v>
      </c>
      <c r="BZ32" s="100">
        <v>16</v>
      </c>
      <c r="CA32" s="100">
        <v>13440</v>
      </c>
      <c r="CB32" s="100">
        <v>20</v>
      </c>
      <c r="CC32" s="100">
        <v>16800</v>
      </c>
      <c r="CD32" s="100">
        <v>21</v>
      </c>
      <c r="CE32" s="100">
        <v>17640</v>
      </c>
      <c r="CF32" s="100">
        <v>28</v>
      </c>
      <c r="CG32" s="100">
        <v>23520</v>
      </c>
      <c r="CH32" s="100">
        <v>17</v>
      </c>
      <c r="CI32" s="100">
        <v>14280</v>
      </c>
      <c r="CJ32" s="100">
        <v>18</v>
      </c>
      <c r="CK32" s="100">
        <v>15120</v>
      </c>
      <c r="CL32" s="100">
        <v>28.316493268363811</v>
      </c>
      <c r="CM32" s="100">
        <v>23785.8543454256</v>
      </c>
      <c r="CN32" s="100">
        <v>22.615709969298628</v>
      </c>
      <c r="CO32" s="100">
        <v>18997.196374210849</v>
      </c>
      <c r="CP32" s="100">
        <v>26.925763133023796</v>
      </c>
      <c r="CQ32" s="100">
        <v>22617.64103173999</v>
      </c>
      <c r="CR32" s="100">
        <v>22.852981336228972</v>
      </c>
      <c r="CS32" s="100">
        <v>19196.504322432334</v>
      </c>
      <c r="CT32" s="100">
        <v>23.95667645758094</v>
      </c>
      <c r="CU32" s="100">
        <v>20123.608224367988</v>
      </c>
    </row>
    <row r="33" spans="2:99">
      <c r="C33" s="99" t="s">
        <v>199</v>
      </c>
      <c r="D33" s="100">
        <v>28</v>
      </c>
      <c r="E33" s="100">
        <v>13272</v>
      </c>
      <c r="F33" s="100">
        <v>21</v>
      </c>
      <c r="G33" s="100">
        <v>9954</v>
      </c>
      <c r="H33" s="100">
        <v>17.802108522031727</v>
      </c>
      <c r="I33" s="100">
        <v>8438.1994394430385</v>
      </c>
      <c r="J33" s="100">
        <v>20.685405019791883</v>
      </c>
      <c r="K33" s="100">
        <v>9804.8819793813527</v>
      </c>
      <c r="L33" s="100">
        <v>22</v>
      </c>
      <c r="M33" s="100">
        <v>10428</v>
      </c>
      <c r="N33" s="100">
        <v>20</v>
      </c>
      <c r="O33" s="100">
        <v>9480</v>
      </c>
      <c r="P33" s="100">
        <v>27</v>
      </c>
      <c r="Q33" s="100">
        <v>12798</v>
      </c>
      <c r="R33" s="100">
        <v>19</v>
      </c>
      <c r="S33" s="100">
        <v>9006</v>
      </c>
      <c r="T33" s="100">
        <v>18</v>
      </c>
      <c r="U33" s="100">
        <v>8532</v>
      </c>
      <c r="V33" s="100">
        <v>28</v>
      </c>
      <c r="W33" s="100">
        <v>13272</v>
      </c>
      <c r="X33" s="100">
        <v>16</v>
      </c>
      <c r="Y33" s="100">
        <v>7584</v>
      </c>
      <c r="Z33" s="100">
        <v>16</v>
      </c>
      <c r="AA33" s="100">
        <v>7584</v>
      </c>
      <c r="AB33" s="100">
        <v>16</v>
      </c>
      <c r="AC33" s="100">
        <v>7584</v>
      </c>
      <c r="AD33" s="100">
        <v>24</v>
      </c>
      <c r="AE33" s="100">
        <v>11376</v>
      </c>
      <c r="AF33" s="100">
        <v>23</v>
      </c>
      <c r="AG33" s="100">
        <v>10902</v>
      </c>
      <c r="AH33" s="100">
        <v>17</v>
      </c>
      <c r="AI33" s="100">
        <v>8058</v>
      </c>
      <c r="AJ33" s="100">
        <v>27</v>
      </c>
      <c r="AK33" s="100">
        <v>12798</v>
      </c>
      <c r="AL33" s="100">
        <v>20</v>
      </c>
      <c r="AM33" s="100">
        <v>9480</v>
      </c>
      <c r="AN33" s="100">
        <v>23.495270605960293</v>
      </c>
      <c r="AO33" s="100">
        <v>11136.758267225179</v>
      </c>
      <c r="AP33" s="100">
        <v>18.574339456097999</v>
      </c>
      <c r="AQ33" s="100">
        <v>8804.2369021904506</v>
      </c>
      <c r="AR33" s="100">
        <v>17</v>
      </c>
      <c r="AS33" s="100">
        <v>8058</v>
      </c>
      <c r="AT33" s="100">
        <v>23.246650445235559</v>
      </c>
      <c r="AU33" s="100">
        <v>11018.912311041655</v>
      </c>
      <c r="AV33" s="100">
        <v>16</v>
      </c>
      <c r="AW33" s="100">
        <v>7584</v>
      </c>
      <c r="AX33" s="100">
        <v>18</v>
      </c>
      <c r="AY33" s="100">
        <v>8532</v>
      </c>
      <c r="AZ33" s="100">
        <v>27</v>
      </c>
      <c r="BA33" s="100">
        <v>12798</v>
      </c>
      <c r="BB33" s="100">
        <v>16</v>
      </c>
      <c r="BC33" s="100">
        <v>7584</v>
      </c>
      <c r="BD33" s="100">
        <v>27</v>
      </c>
      <c r="BE33" s="100">
        <v>12798</v>
      </c>
      <c r="BF33" s="100">
        <v>19</v>
      </c>
      <c r="BG33" s="100">
        <v>9006</v>
      </c>
      <c r="BH33" s="100">
        <v>20</v>
      </c>
      <c r="BI33" s="100">
        <v>9480</v>
      </c>
      <c r="BJ33" s="100">
        <v>32</v>
      </c>
      <c r="BK33" s="100">
        <v>15168</v>
      </c>
      <c r="BL33" s="100">
        <v>27</v>
      </c>
      <c r="BM33" s="100">
        <v>12798</v>
      </c>
      <c r="BN33" s="100">
        <v>29</v>
      </c>
      <c r="BO33" s="100">
        <v>13746</v>
      </c>
      <c r="BP33" s="100">
        <v>23</v>
      </c>
      <c r="BQ33" s="100">
        <v>10902</v>
      </c>
      <c r="BR33" s="100">
        <v>18.131219730796253</v>
      </c>
      <c r="BS33" s="100">
        <v>8594.1981523974246</v>
      </c>
      <c r="BT33" s="100">
        <v>25.912752761843475</v>
      </c>
      <c r="BU33" s="100">
        <v>12282.644809113806</v>
      </c>
      <c r="BV33" s="100">
        <v>23.894017321248992</v>
      </c>
      <c r="BW33" s="100">
        <v>11325.764210272022</v>
      </c>
      <c r="BX33" s="100">
        <v>28.316210301681455</v>
      </c>
      <c r="BY33" s="100">
        <v>13421.88368299701</v>
      </c>
      <c r="BZ33" s="100">
        <v>15</v>
      </c>
      <c r="CA33" s="100">
        <v>7110</v>
      </c>
      <c r="CB33" s="100">
        <v>20</v>
      </c>
      <c r="CC33" s="100">
        <v>9480</v>
      </c>
      <c r="CD33" s="100">
        <v>20</v>
      </c>
      <c r="CE33" s="100">
        <v>9480</v>
      </c>
      <c r="CF33" s="100">
        <v>27</v>
      </c>
      <c r="CG33" s="100">
        <v>12798</v>
      </c>
      <c r="CH33" s="100">
        <v>19</v>
      </c>
      <c r="CI33" s="100">
        <v>9006</v>
      </c>
      <c r="CJ33" s="100">
        <v>17</v>
      </c>
      <c r="CK33" s="100">
        <v>8058</v>
      </c>
      <c r="CL33" s="100">
        <v>26.363631663649066</v>
      </c>
      <c r="CM33" s="100">
        <v>12496.361408569657</v>
      </c>
      <c r="CN33" s="100">
        <v>19.496301697671232</v>
      </c>
      <c r="CO33" s="100">
        <v>9241.2470046961644</v>
      </c>
      <c r="CP33" s="100">
        <v>26.925763133023796</v>
      </c>
      <c r="CQ33" s="100">
        <v>12762.81172505328</v>
      </c>
      <c r="CR33" s="100">
        <v>24.757396447581385</v>
      </c>
      <c r="CS33" s="100">
        <v>11735.005916153577</v>
      </c>
      <c r="CT33" s="100">
        <v>23.95667645758094</v>
      </c>
      <c r="CU33" s="100">
        <v>11355.464640893366</v>
      </c>
    </row>
    <row r="34" spans="2:99">
      <c r="C34" s="99" t="s">
        <v>200</v>
      </c>
      <c r="D34" s="100">
        <v>25</v>
      </c>
      <c r="E34" s="100">
        <v>13710</v>
      </c>
      <c r="F34" s="100">
        <v>21</v>
      </c>
      <c r="G34" s="100">
        <v>11516.4</v>
      </c>
      <c r="H34" s="100">
        <v>17.802108522031727</v>
      </c>
      <c r="I34" s="100">
        <v>9762.6763134821977</v>
      </c>
      <c r="J34" s="100">
        <v>19.823513143967222</v>
      </c>
      <c r="K34" s="100">
        <v>10871.214608151624</v>
      </c>
      <c r="L34" s="100">
        <v>22</v>
      </c>
      <c r="M34" s="100">
        <v>12064.8</v>
      </c>
      <c r="N34" s="100">
        <v>17</v>
      </c>
      <c r="O34" s="100">
        <v>9322.7999999999993</v>
      </c>
      <c r="P34" s="100">
        <v>25</v>
      </c>
      <c r="Q34" s="100">
        <v>13710</v>
      </c>
      <c r="R34" s="100">
        <v>18</v>
      </c>
      <c r="S34" s="100">
        <v>9871.1999999999989</v>
      </c>
      <c r="T34" s="100">
        <v>19</v>
      </c>
      <c r="U34" s="100">
        <v>10419.6</v>
      </c>
      <c r="V34" s="100">
        <v>28</v>
      </c>
      <c r="W34" s="100">
        <v>15355.199999999999</v>
      </c>
      <c r="X34" s="100">
        <v>15</v>
      </c>
      <c r="Y34" s="100">
        <v>8226</v>
      </c>
      <c r="Z34" s="100">
        <v>16</v>
      </c>
      <c r="AA34" s="100">
        <v>8774.4</v>
      </c>
      <c r="AB34" s="100">
        <v>17</v>
      </c>
      <c r="AC34" s="100">
        <v>9322.7999999999993</v>
      </c>
      <c r="AD34" s="100">
        <v>20</v>
      </c>
      <c r="AE34" s="100">
        <v>10968</v>
      </c>
      <c r="AF34" s="100">
        <v>22</v>
      </c>
      <c r="AG34" s="100">
        <v>12064.8</v>
      </c>
      <c r="AH34" s="100">
        <v>16</v>
      </c>
      <c r="AI34" s="100">
        <v>8774.4</v>
      </c>
      <c r="AJ34" s="100">
        <v>27</v>
      </c>
      <c r="AK34" s="100">
        <v>14806.8</v>
      </c>
      <c r="AL34" s="100">
        <v>18</v>
      </c>
      <c r="AM34" s="100">
        <v>9871.1999999999989</v>
      </c>
      <c r="AN34" s="100">
        <v>22.656153798604571</v>
      </c>
      <c r="AO34" s="100">
        <v>12424.634743154746</v>
      </c>
      <c r="AP34" s="100">
        <v>17.645622483293096</v>
      </c>
      <c r="AQ34" s="100">
        <v>9676.8593698379336</v>
      </c>
      <c r="AR34" s="100">
        <v>14</v>
      </c>
      <c r="AS34" s="100">
        <v>7677.5999999999995</v>
      </c>
      <c r="AT34" s="100">
        <v>23.246650445235559</v>
      </c>
      <c r="AU34" s="100">
        <v>12748.46310416718</v>
      </c>
      <c r="AV34" s="100">
        <v>15</v>
      </c>
      <c r="AW34" s="100">
        <v>8226</v>
      </c>
      <c r="AX34" s="100">
        <v>17</v>
      </c>
      <c r="AY34" s="100">
        <v>9322.7999999999993</v>
      </c>
      <c r="AZ34" s="100">
        <v>29</v>
      </c>
      <c r="BA34" s="100">
        <v>15903.599999999999</v>
      </c>
      <c r="BB34" s="100">
        <v>16</v>
      </c>
      <c r="BC34" s="100">
        <v>8774.4</v>
      </c>
      <c r="BD34" s="100">
        <v>29</v>
      </c>
      <c r="BE34" s="100">
        <v>15903.599999999999</v>
      </c>
      <c r="BF34" s="100">
        <v>19</v>
      </c>
      <c r="BG34" s="100">
        <v>10419.6</v>
      </c>
      <c r="BH34" s="100">
        <v>20</v>
      </c>
      <c r="BI34" s="100">
        <v>10968</v>
      </c>
      <c r="BJ34" s="100">
        <v>28</v>
      </c>
      <c r="BK34" s="100">
        <v>15355.199999999999</v>
      </c>
      <c r="BL34" s="100">
        <v>27</v>
      </c>
      <c r="BM34" s="100">
        <v>14806.8</v>
      </c>
      <c r="BN34" s="100">
        <v>30</v>
      </c>
      <c r="BO34" s="100">
        <v>16452</v>
      </c>
      <c r="BP34" s="100">
        <v>25</v>
      </c>
      <c r="BQ34" s="100">
        <v>13710</v>
      </c>
      <c r="BR34" s="100">
        <v>20.994043898816717</v>
      </c>
      <c r="BS34" s="100">
        <v>11513.133674111086</v>
      </c>
      <c r="BT34" s="100">
        <v>24.061841850283223</v>
      </c>
      <c r="BU34" s="100">
        <v>13195.514070695319</v>
      </c>
      <c r="BV34" s="100">
        <v>25.732018653652759</v>
      </c>
      <c r="BW34" s="100">
        <v>14111.439029663172</v>
      </c>
      <c r="BX34" s="100">
        <v>28.316210301681455</v>
      </c>
      <c r="BY34" s="100">
        <v>15528.609729442109</v>
      </c>
      <c r="BZ34" s="100">
        <v>15</v>
      </c>
      <c r="CA34" s="100">
        <v>8226</v>
      </c>
      <c r="CB34" s="100">
        <v>22</v>
      </c>
      <c r="CC34" s="100">
        <v>12064.8</v>
      </c>
      <c r="CD34" s="100">
        <v>20</v>
      </c>
      <c r="CE34" s="100">
        <v>10968</v>
      </c>
      <c r="CF34" s="100">
        <v>32</v>
      </c>
      <c r="CG34" s="100">
        <v>17548.8</v>
      </c>
      <c r="CH34" s="100">
        <v>19</v>
      </c>
      <c r="CI34" s="100">
        <v>10419.6</v>
      </c>
      <c r="CJ34" s="100">
        <v>19</v>
      </c>
      <c r="CK34" s="100">
        <v>10419.6</v>
      </c>
      <c r="CL34" s="100">
        <v>29.292924070721185</v>
      </c>
      <c r="CM34" s="100">
        <v>16064.239560383498</v>
      </c>
      <c r="CN34" s="100">
        <v>23.39556203720548</v>
      </c>
      <c r="CO34" s="100">
        <v>12830.126221203485</v>
      </c>
      <c r="CP34" s="100">
        <v>25.928512646615513</v>
      </c>
      <c r="CQ34" s="100">
        <v>14219.196335403947</v>
      </c>
      <c r="CR34" s="100">
        <v>23.805188891905178</v>
      </c>
      <c r="CS34" s="100">
        <v>13054.765588320799</v>
      </c>
      <c r="CT34" s="100">
        <v>25.667867633122437</v>
      </c>
      <c r="CU34" s="100">
        <v>14076.258610004345</v>
      </c>
    </row>
    <row r="35" spans="2:99">
      <c r="C35" s="99" t="s">
        <v>201</v>
      </c>
      <c r="D35" s="100">
        <v>27</v>
      </c>
      <c r="E35" s="100">
        <v>13575.599999999997</v>
      </c>
      <c r="F35" s="100">
        <v>21</v>
      </c>
      <c r="G35" s="100">
        <v>10558.799999999997</v>
      </c>
      <c r="H35" s="100">
        <v>18.791114551033488</v>
      </c>
      <c r="I35" s="100">
        <v>9448.1723962596352</v>
      </c>
      <c r="J35" s="100">
        <v>22.409188771441205</v>
      </c>
      <c r="K35" s="100">
        <v>11267.340114280636</v>
      </c>
      <c r="L35" s="100">
        <v>24</v>
      </c>
      <c r="M35" s="100">
        <v>12067.199999999997</v>
      </c>
      <c r="N35" s="100">
        <v>20</v>
      </c>
      <c r="O35" s="100">
        <v>10055.999999999998</v>
      </c>
      <c r="P35" s="100">
        <v>28</v>
      </c>
      <c r="Q35" s="100">
        <v>14078.399999999998</v>
      </c>
      <c r="R35" s="100">
        <v>17</v>
      </c>
      <c r="S35" s="100">
        <v>8547.5999999999985</v>
      </c>
      <c r="T35" s="100">
        <v>17</v>
      </c>
      <c r="U35" s="100">
        <v>8547.5999999999985</v>
      </c>
      <c r="V35" s="100">
        <v>28</v>
      </c>
      <c r="W35" s="100">
        <v>14078.399999999998</v>
      </c>
      <c r="X35" s="100">
        <v>15</v>
      </c>
      <c r="Y35" s="100">
        <v>7541.9999999999982</v>
      </c>
      <c r="Z35" s="100">
        <v>18</v>
      </c>
      <c r="AA35" s="100">
        <v>9050.3999999999978</v>
      </c>
      <c r="AB35" s="100">
        <v>18</v>
      </c>
      <c r="AC35" s="100">
        <v>9050.3999999999978</v>
      </c>
      <c r="AD35" s="100">
        <v>24</v>
      </c>
      <c r="AE35" s="100">
        <v>12067.199999999997</v>
      </c>
      <c r="AF35" s="100">
        <v>23</v>
      </c>
      <c r="AG35" s="100">
        <v>11564.399999999998</v>
      </c>
      <c r="AH35" s="100">
        <v>19</v>
      </c>
      <c r="AI35" s="100">
        <v>9553.1999999999989</v>
      </c>
      <c r="AJ35" s="100">
        <v>27</v>
      </c>
      <c r="AK35" s="100">
        <v>13575.599999999997</v>
      </c>
      <c r="AL35" s="100">
        <v>18</v>
      </c>
      <c r="AM35" s="100">
        <v>9050.3999999999978</v>
      </c>
      <c r="AN35" s="100">
        <v>25.173504220671745</v>
      </c>
      <c r="AO35" s="100">
        <v>12657.23792215375</v>
      </c>
      <c r="AP35" s="100">
        <v>18.574339456097999</v>
      </c>
      <c r="AQ35" s="100">
        <v>9339.1778785260722</v>
      </c>
      <c r="AR35" s="100">
        <v>16</v>
      </c>
      <c r="AS35" s="100">
        <v>8044.7999999999984</v>
      </c>
      <c r="AT35" s="100">
        <v>23.246650445235559</v>
      </c>
      <c r="AU35" s="100">
        <v>11688.415843864437</v>
      </c>
      <c r="AV35" s="100">
        <v>18</v>
      </c>
      <c r="AW35" s="100">
        <v>9050.3999999999978</v>
      </c>
      <c r="AX35" s="100">
        <v>18</v>
      </c>
      <c r="AY35" s="100">
        <v>9050.3999999999978</v>
      </c>
      <c r="AZ35" s="100">
        <v>25</v>
      </c>
      <c r="BA35" s="100">
        <v>12569.999999999998</v>
      </c>
      <c r="BB35" s="100">
        <v>16</v>
      </c>
      <c r="BC35" s="100">
        <v>8044.7999999999984</v>
      </c>
      <c r="BD35" s="100">
        <v>28</v>
      </c>
      <c r="BE35" s="100">
        <v>14078.399999999998</v>
      </c>
      <c r="BF35" s="100">
        <v>18</v>
      </c>
      <c r="BG35" s="100">
        <v>9050.3999999999978</v>
      </c>
      <c r="BH35" s="100">
        <v>22</v>
      </c>
      <c r="BI35" s="100">
        <v>11061.599999999999</v>
      </c>
      <c r="BJ35" s="100">
        <v>31</v>
      </c>
      <c r="BK35" s="100">
        <v>15586.799999999997</v>
      </c>
      <c r="BL35" s="100">
        <v>26</v>
      </c>
      <c r="BM35" s="100">
        <v>13072.799999999997</v>
      </c>
      <c r="BN35" s="100">
        <v>28</v>
      </c>
      <c r="BO35" s="100">
        <v>14078.399999999998</v>
      </c>
      <c r="BP35" s="100">
        <v>24</v>
      </c>
      <c r="BQ35" s="100">
        <v>12067.199999999997</v>
      </c>
      <c r="BR35" s="100">
        <v>17.176945008122765</v>
      </c>
      <c r="BS35" s="100">
        <v>8636.5679500841252</v>
      </c>
      <c r="BT35" s="100">
        <v>27.763663673403723</v>
      </c>
      <c r="BU35" s="100">
        <v>13959.57009498739</v>
      </c>
      <c r="BV35" s="100">
        <v>24.813017987450877</v>
      </c>
      <c r="BW35" s="100">
        <v>12475.985444090298</v>
      </c>
      <c r="BX35" s="100">
        <v>27.402784162917538</v>
      </c>
      <c r="BY35" s="100">
        <v>13778.119877114936</v>
      </c>
      <c r="BZ35" s="100">
        <v>16</v>
      </c>
      <c r="CA35" s="100">
        <v>8044.7999999999984</v>
      </c>
      <c r="CB35" s="100">
        <v>21</v>
      </c>
      <c r="CC35" s="100">
        <v>10558.799999999997</v>
      </c>
      <c r="CD35" s="100">
        <v>20</v>
      </c>
      <c r="CE35" s="100">
        <v>10055.999999999998</v>
      </c>
      <c r="CF35" s="100">
        <v>29</v>
      </c>
      <c r="CG35" s="100">
        <v>14581.199999999997</v>
      </c>
      <c r="CH35" s="100">
        <v>20</v>
      </c>
      <c r="CI35" s="100">
        <v>10055.999999999998</v>
      </c>
      <c r="CJ35" s="100">
        <v>17</v>
      </c>
      <c r="CK35" s="100">
        <v>8547.5999999999985</v>
      </c>
      <c r="CL35" s="100">
        <v>31.245785675435933</v>
      </c>
      <c r="CM35" s="100">
        <v>15710.381037609184</v>
      </c>
      <c r="CN35" s="100">
        <v>23.39556203720548</v>
      </c>
      <c r="CO35" s="100">
        <v>11763.288592306913</v>
      </c>
      <c r="CP35" s="100">
        <v>27.923013619432087</v>
      </c>
      <c r="CQ35" s="100">
        <v>14039.691247850451</v>
      </c>
      <c r="CR35" s="100">
        <v>22.852981336228972</v>
      </c>
      <c r="CS35" s="100">
        <v>11490.479015855924</v>
      </c>
      <c r="CT35" s="100">
        <v>24.812272045351687</v>
      </c>
      <c r="CU35" s="100">
        <v>12475.610384402826</v>
      </c>
    </row>
    <row r="36" spans="2:99">
      <c r="C36" s="99" t="s">
        <v>202</v>
      </c>
      <c r="D36" s="100">
        <v>28</v>
      </c>
      <c r="E36" s="100">
        <v>21302.399999999998</v>
      </c>
      <c r="F36" s="100">
        <v>19</v>
      </c>
      <c r="G36" s="100">
        <v>14455.199999999999</v>
      </c>
      <c r="H36" s="100">
        <v>20.769126609037013</v>
      </c>
      <c r="I36" s="100">
        <v>15801.151524155359</v>
      </c>
      <c r="J36" s="100">
        <v>18.961621268142562</v>
      </c>
      <c r="K36" s="100">
        <v>14426.00146080286</v>
      </c>
      <c r="L36" s="100">
        <v>21</v>
      </c>
      <c r="M36" s="100">
        <v>15976.8</v>
      </c>
      <c r="N36" s="100">
        <v>19</v>
      </c>
      <c r="O36" s="100">
        <v>14455.199999999999</v>
      </c>
      <c r="P36" s="100">
        <v>24</v>
      </c>
      <c r="Q36" s="100">
        <v>18259.199999999997</v>
      </c>
      <c r="R36" s="100">
        <v>16</v>
      </c>
      <c r="S36" s="100">
        <v>12172.8</v>
      </c>
      <c r="T36" s="100">
        <v>18</v>
      </c>
      <c r="U36" s="100">
        <v>13694.4</v>
      </c>
      <c r="V36" s="100">
        <v>26</v>
      </c>
      <c r="W36" s="100">
        <v>19780.8</v>
      </c>
      <c r="X36" s="100">
        <v>15</v>
      </c>
      <c r="Y36" s="100">
        <v>11412</v>
      </c>
      <c r="Z36" s="100">
        <v>17</v>
      </c>
      <c r="AA36" s="100">
        <v>12933.599999999999</v>
      </c>
      <c r="AB36" s="100">
        <v>18</v>
      </c>
      <c r="AC36" s="100">
        <v>13694.4</v>
      </c>
      <c r="AD36" s="100">
        <v>22</v>
      </c>
      <c r="AE36" s="100">
        <v>16737.599999999999</v>
      </c>
      <c r="AF36" s="100">
        <v>23</v>
      </c>
      <c r="AG36" s="100">
        <v>17498.399999999998</v>
      </c>
      <c r="AH36" s="100">
        <v>19</v>
      </c>
      <c r="AI36" s="100">
        <v>14455.199999999999</v>
      </c>
      <c r="AJ36" s="100">
        <v>23</v>
      </c>
      <c r="AK36" s="100">
        <v>17498.399999999998</v>
      </c>
      <c r="AL36" s="100">
        <v>18</v>
      </c>
      <c r="AM36" s="100">
        <v>13694.4</v>
      </c>
      <c r="AN36" s="100">
        <v>24.334387413316019</v>
      </c>
      <c r="AO36" s="100">
        <v>18513.601944050828</v>
      </c>
      <c r="AP36" s="100">
        <v>17.645622483293096</v>
      </c>
      <c r="AQ36" s="100">
        <v>13424.789585289387</v>
      </c>
      <c r="AR36" s="100">
        <v>15</v>
      </c>
      <c r="AS36" s="100">
        <v>11412</v>
      </c>
      <c r="AT36" s="100">
        <v>22.316784427426136</v>
      </c>
      <c r="AU36" s="100">
        <v>16978.609592385805</v>
      </c>
      <c r="AV36" s="100">
        <v>17</v>
      </c>
      <c r="AW36" s="100">
        <v>12933.599999999999</v>
      </c>
      <c r="AX36" s="100">
        <v>15</v>
      </c>
      <c r="AY36" s="100">
        <v>11412</v>
      </c>
      <c r="AZ36" s="100">
        <v>29</v>
      </c>
      <c r="BA36" s="100">
        <v>22063.199999999997</v>
      </c>
      <c r="BB36" s="100">
        <v>14</v>
      </c>
      <c r="BC36" s="100">
        <v>10651.199999999999</v>
      </c>
      <c r="BD36" s="100">
        <v>24</v>
      </c>
      <c r="BE36" s="100">
        <v>18259.199999999997</v>
      </c>
      <c r="BF36" s="100">
        <v>18</v>
      </c>
      <c r="BG36" s="100">
        <v>13694.4</v>
      </c>
      <c r="BH36" s="100">
        <v>19</v>
      </c>
      <c r="BI36" s="100">
        <v>14455.199999999999</v>
      </c>
      <c r="BJ36" s="100">
        <v>28</v>
      </c>
      <c r="BK36" s="100">
        <v>21302.399999999998</v>
      </c>
      <c r="BL36" s="100">
        <v>24</v>
      </c>
      <c r="BM36" s="100">
        <v>18259.199999999997</v>
      </c>
      <c r="BN36" s="100">
        <v>27</v>
      </c>
      <c r="BO36" s="100">
        <v>20541.599999999999</v>
      </c>
      <c r="BP36" s="100">
        <v>23</v>
      </c>
      <c r="BQ36" s="100">
        <v>17498.399999999998</v>
      </c>
      <c r="BR36" s="100">
        <v>19.085494453469739</v>
      </c>
      <c r="BS36" s="100">
        <v>14520.244180199776</v>
      </c>
      <c r="BT36" s="100">
        <v>24.987297306063351</v>
      </c>
      <c r="BU36" s="100">
        <v>19010.335790452995</v>
      </c>
      <c r="BV36" s="100">
        <v>22.97501665504711</v>
      </c>
      <c r="BW36" s="100">
        <v>17479.39267115984</v>
      </c>
      <c r="BX36" s="100">
        <v>28.316210301681455</v>
      </c>
      <c r="BY36" s="100">
        <v>21542.972797519251</v>
      </c>
      <c r="BZ36" s="100">
        <v>14</v>
      </c>
      <c r="CA36" s="100">
        <v>10651.199999999999</v>
      </c>
      <c r="CB36" s="100">
        <v>18</v>
      </c>
      <c r="CC36" s="100">
        <v>13694.4</v>
      </c>
      <c r="CD36" s="100">
        <v>21</v>
      </c>
      <c r="CE36" s="100">
        <v>15976.8</v>
      </c>
      <c r="CF36" s="100">
        <v>27</v>
      </c>
      <c r="CG36" s="100">
        <v>20541.599999999999</v>
      </c>
      <c r="CH36" s="100">
        <v>19</v>
      </c>
      <c r="CI36" s="100">
        <v>14455.199999999999</v>
      </c>
      <c r="CJ36" s="100">
        <v>16</v>
      </c>
      <c r="CK36" s="100">
        <v>12172.8</v>
      </c>
      <c r="CL36" s="100">
        <v>27.34006246600644</v>
      </c>
      <c r="CM36" s="100">
        <v>20800.3195241377</v>
      </c>
      <c r="CN36" s="100">
        <v>21.83585790139178</v>
      </c>
      <c r="CO36" s="100">
        <v>16612.720691378865</v>
      </c>
      <c r="CP36" s="100">
        <v>22.936761187390644</v>
      </c>
      <c r="CQ36" s="100">
        <v>17450.287911366802</v>
      </c>
      <c r="CR36" s="100">
        <v>23.805188891905178</v>
      </c>
      <c r="CS36" s="100">
        <v>18110.98770896146</v>
      </c>
      <c r="CT36" s="100">
        <v>22.245485282039443</v>
      </c>
      <c r="CU36" s="100">
        <v>16924.365202575606</v>
      </c>
    </row>
    <row r="37" spans="2:99">
      <c r="B37" s="99" t="s">
        <v>128</v>
      </c>
      <c r="C37" s="99" t="s">
        <v>203</v>
      </c>
      <c r="D37" s="100">
        <v>9</v>
      </c>
      <c r="E37" s="100">
        <v>7743.5999999999995</v>
      </c>
      <c r="F37" s="100">
        <v>14</v>
      </c>
      <c r="G37" s="100">
        <v>12045.6</v>
      </c>
      <c r="H37" s="100">
        <v>12.857078377022912</v>
      </c>
      <c r="I37" s="100">
        <v>11062.230235590514</v>
      </c>
      <c r="J37" s="100">
        <v>14.652161889019249</v>
      </c>
      <c r="K37" s="100">
        <v>12606.720089312161</v>
      </c>
      <c r="L37" s="100">
        <v>12</v>
      </c>
      <c r="M37" s="100">
        <v>10324.799999999999</v>
      </c>
      <c r="N37" s="100">
        <v>11</v>
      </c>
      <c r="O37" s="100">
        <v>9464.4</v>
      </c>
      <c r="P37" s="100">
        <v>12</v>
      </c>
      <c r="Q37" s="100">
        <v>10324.799999999999</v>
      </c>
      <c r="R37" s="100">
        <v>13</v>
      </c>
      <c r="S37" s="100">
        <v>11185.199999999999</v>
      </c>
      <c r="T37" s="100">
        <v>14</v>
      </c>
      <c r="U37" s="100">
        <v>12045.6</v>
      </c>
      <c r="V37" s="100">
        <v>16</v>
      </c>
      <c r="W37" s="100">
        <v>13766.4</v>
      </c>
      <c r="X37" s="100">
        <v>12</v>
      </c>
      <c r="Y37" s="100">
        <v>10324.799999999999</v>
      </c>
      <c r="Z37" s="100">
        <v>11</v>
      </c>
      <c r="AA37" s="100">
        <v>9464.4</v>
      </c>
      <c r="AB37" s="100">
        <v>10</v>
      </c>
      <c r="AC37" s="100">
        <v>8604</v>
      </c>
      <c r="AD37" s="100">
        <v>18</v>
      </c>
      <c r="AE37" s="100">
        <v>15487.199999999999</v>
      </c>
      <c r="AF37" s="100">
        <v>16</v>
      </c>
      <c r="AG37" s="100">
        <v>13766.4</v>
      </c>
      <c r="AH37" s="100">
        <v>10</v>
      </c>
      <c r="AI37" s="100">
        <v>8604</v>
      </c>
      <c r="AJ37" s="100">
        <v>14</v>
      </c>
      <c r="AK37" s="100">
        <v>12045.6</v>
      </c>
      <c r="AL37" s="100">
        <v>16</v>
      </c>
      <c r="AM37" s="100">
        <v>13766.4</v>
      </c>
      <c r="AN37" s="100">
        <v>15.104102532403045</v>
      </c>
      <c r="AO37" s="100">
        <v>12995.56981887958</v>
      </c>
      <c r="AP37" s="100">
        <v>12.073320646463698</v>
      </c>
      <c r="AQ37" s="100">
        <v>10387.885084217365</v>
      </c>
      <c r="AR37" s="100">
        <v>12</v>
      </c>
      <c r="AS37" s="100">
        <v>10324.799999999999</v>
      </c>
      <c r="AT37" s="100">
        <v>15.80772230276018</v>
      </c>
      <c r="AU37" s="100">
        <v>13600.964269294858</v>
      </c>
      <c r="AV37" s="100">
        <v>16</v>
      </c>
      <c r="AW37" s="100">
        <v>13766.4</v>
      </c>
      <c r="AX37" s="100">
        <v>16</v>
      </c>
      <c r="AY37" s="100">
        <v>13766.4</v>
      </c>
      <c r="AZ37" s="100">
        <v>10</v>
      </c>
      <c r="BA37" s="100">
        <v>8604</v>
      </c>
      <c r="BB37" s="100">
        <v>11</v>
      </c>
      <c r="BC37" s="100">
        <v>9464.4</v>
      </c>
      <c r="BD37" s="100">
        <v>11</v>
      </c>
      <c r="BE37" s="100">
        <v>9464.4</v>
      </c>
      <c r="BF37" s="100">
        <v>15</v>
      </c>
      <c r="BG37" s="100">
        <v>12906</v>
      </c>
      <c r="BH37" s="100">
        <v>10</v>
      </c>
      <c r="BI37" s="100">
        <v>8604</v>
      </c>
      <c r="BJ37" s="100">
        <v>20</v>
      </c>
      <c r="BK37" s="100">
        <v>17208</v>
      </c>
      <c r="BL37" s="100">
        <v>11</v>
      </c>
      <c r="BM37" s="100">
        <v>9464.4</v>
      </c>
      <c r="BN37" s="100">
        <v>16</v>
      </c>
      <c r="BO37" s="100">
        <v>13766.4</v>
      </c>
      <c r="BP37" s="100">
        <v>10</v>
      </c>
      <c r="BQ37" s="100">
        <v>8604</v>
      </c>
      <c r="BR37" s="100">
        <v>13.359846117428818</v>
      </c>
      <c r="BS37" s="100">
        <v>11494.811599435754</v>
      </c>
      <c r="BT37" s="100">
        <v>12.030920925141611</v>
      </c>
      <c r="BU37" s="100">
        <v>10351.404363991842</v>
      </c>
      <c r="BV37" s="100">
        <v>11.947008660624496</v>
      </c>
      <c r="BW37" s="100">
        <v>10279.206251601316</v>
      </c>
      <c r="BX37" s="100">
        <v>18.26852277527836</v>
      </c>
      <c r="BY37" s="100">
        <v>15718.2369958495</v>
      </c>
      <c r="BZ37" s="100">
        <v>20</v>
      </c>
      <c r="CA37" s="100">
        <v>17208</v>
      </c>
      <c r="CB37" s="100">
        <v>16</v>
      </c>
      <c r="CC37" s="100">
        <v>13766.4</v>
      </c>
      <c r="CD37" s="100">
        <v>15</v>
      </c>
      <c r="CE37" s="100">
        <v>12906</v>
      </c>
      <c r="CF37" s="100">
        <v>9</v>
      </c>
      <c r="CG37" s="100">
        <v>7743.5999999999995</v>
      </c>
      <c r="CH37" s="100">
        <v>14</v>
      </c>
      <c r="CI37" s="100">
        <v>12045.6</v>
      </c>
      <c r="CJ37" s="100">
        <v>12</v>
      </c>
      <c r="CK37" s="100">
        <v>10324.799999999999</v>
      </c>
      <c r="CL37" s="100">
        <v>12.693600430645848</v>
      </c>
      <c r="CM37" s="100">
        <v>10921.573810527687</v>
      </c>
      <c r="CN37" s="100">
        <v>10.13807688278904</v>
      </c>
      <c r="CO37" s="100">
        <v>8722.8013499516892</v>
      </c>
      <c r="CP37" s="100">
        <v>15.956007782532621</v>
      </c>
      <c r="CQ37" s="100">
        <v>13728.549096091067</v>
      </c>
      <c r="CR37" s="100">
        <v>12.378698223790693</v>
      </c>
      <c r="CS37" s="100">
        <v>10650.631951749512</v>
      </c>
      <c r="CT37" s="100">
        <v>13.689529404331966</v>
      </c>
      <c r="CU37" s="100">
        <v>11778.471099487222</v>
      </c>
    </row>
    <row r="38" spans="2:99">
      <c r="C38" s="99" t="s">
        <v>204</v>
      </c>
      <c r="D38" s="100">
        <v>9</v>
      </c>
      <c r="E38" s="100">
        <v>11178</v>
      </c>
      <c r="F38" s="100">
        <v>13</v>
      </c>
      <c r="G38" s="100">
        <v>16146</v>
      </c>
      <c r="H38" s="100">
        <v>12.857078377022912</v>
      </c>
      <c r="I38" s="100">
        <v>15968.491344262457</v>
      </c>
      <c r="J38" s="100">
        <v>12.928378137369927</v>
      </c>
      <c r="K38" s="100">
        <v>16057.045646613449</v>
      </c>
      <c r="L38" s="100">
        <v>14</v>
      </c>
      <c r="M38" s="100">
        <v>17388</v>
      </c>
      <c r="N38" s="100">
        <v>12</v>
      </c>
      <c r="O38" s="100">
        <v>14904</v>
      </c>
      <c r="P38" s="100">
        <v>12</v>
      </c>
      <c r="Q38" s="100">
        <v>14904</v>
      </c>
      <c r="R38" s="100">
        <v>13</v>
      </c>
      <c r="S38" s="100">
        <v>16146</v>
      </c>
      <c r="T38" s="100">
        <v>12</v>
      </c>
      <c r="U38" s="100">
        <v>14904</v>
      </c>
      <c r="V38" s="100">
        <v>15</v>
      </c>
      <c r="W38" s="100">
        <v>18630</v>
      </c>
      <c r="X38" s="100">
        <v>12</v>
      </c>
      <c r="Y38" s="100">
        <v>14904</v>
      </c>
      <c r="Z38" s="100">
        <v>12</v>
      </c>
      <c r="AA38" s="100">
        <v>14904</v>
      </c>
      <c r="AB38" s="100">
        <v>9</v>
      </c>
      <c r="AC38" s="100">
        <v>11178</v>
      </c>
      <c r="AD38" s="100">
        <v>17</v>
      </c>
      <c r="AE38" s="100">
        <v>21114</v>
      </c>
      <c r="AF38" s="100">
        <v>15</v>
      </c>
      <c r="AG38" s="100">
        <v>18630</v>
      </c>
      <c r="AH38" s="100">
        <v>10</v>
      </c>
      <c r="AI38" s="100">
        <v>12420</v>
      </c>
      <c r="AJ38" s="100">
        <v>12</v>
      </c>
      <c r="AK38" s="100">
        <v>14904</v>
      </c>
      <c r="AL38" s="100">
        <v>16</v>
      </c>
      <c r="AM38" s="100">
        <v>19872</v>
      </c>
      <c r="AN38" s="100">
        <v>15.943219339758771</v>
      </c>
      <c r="AO38" s="100">
        <v>19801.478419980394</v>
      </c>
      <c r="AP38" s="100">
        <v>11.144603673658798</v>
      </c>
      <c r="AQ38" s="100">
        <v>13841.597762684227</v>
      </c>
      <c r="AR38" s="100">
        <v>11</v>
      </c>
      <c r="AS38" s="100">
        <v>13662</v>
      </c>
      <c r="AT38" s="100">
        <v>16.737588320569603</v>
      </c>
      <c r="AU38" s="100">
        <v>20788.084694147448</v>
      </c>
      <c r="AV38" s="100">
        <v>15</v>
      </c>
      <c r="AW38" s="100">
        <v>18630</v>
      </c>
      <c r="AX38" s="100">
        <v>15</v>
      </c>
      <c r="AY38" s="100">
        <v>18630</v>
      </c>
      <c r="AZ38" s="100">
        <v>10</v>
      </c>
      <c r="BA38" s="100">
        <v>12420</v>
      </c>
      <c r="BB38" s="100">
        <v>11</v>
      </c>
      <c r="BC38" s="100">
        <v>13662</v>
      </c>
      <c r="BD38" s="100">
        <v>10</v>
      </c>
      <c r="BE38" s="100">
        <v>12420</v>
      </c>
      <c r="BF38" s="100">
        <v>15</v>
      </c>
      <c r="BG38" s="100">
        <v>18630</v>
      </c>
      <c r="BH38" s="100">
        <v>10</v>
      </c>
      <c r="BI38" s="100">
        <v>12420</v>
      </c>
      <c r="BJ38" s="100">
        <v>19</v>
      </c>
      <c r="BK38" s="100">
        <v>23598</v>
      </c>
      <c r="BL38" s="100">
        <v>12</v>
      </c>
      <c r="BM38" s="100">
        <v>14904</v>
      </c>
      <c r="BN38" s="100">
        <v>13</v>
      </c>
      <c r="BO38" s="100">
        <v>16146</v>
      </c>
      <c r="BP38" s="100">
        <v>10</v>
      </c>
      <c r="BQ38" s="100">
        <v>12420</v>
      </c>
      <c r="BR38" s="100">
        <v>12.405571394755331</v>
      </c>
      <c r="BS38" s="100">
        <v>15407.719672286121</v>
      </c>
      <c r="BT38" s="100">
        <v>12.030920925141611</v>
      </c>
      <c r="BU38" s="100">
        <v>14942.403789025881</v>
      </c>
      <c r="BV38" s="100">
        <v>12.866009326826379</v>
      </c>
      <c r="BW38" s="100">
        <v>15979.583583918364</v>
      </c>
      <c r="BX38" s="100">
        <v>16.441670497750522</v>
      </c>
      <c r="BY38" s="100">
        <v>20420.554758206148</v>
      </c>
      <c r="BZ38" s="100">
        <v>16</v>
      </c>
      <c r="CA38" s="100">
        <v>19872</v>
      </c>
      <c r="CB38" s="100">
        <v>14</v>
      </c>
      <c r="CC38" s="100">
        <v>17388</v>
      </c>
      <c r="CD38" s="100">
        <v>16</v>
      </c>
      <c r="CE38" s="100">
        <v>19872</v>
      </c>
      <c r="CF38" s="100">
        <v>10</v>
      </c>
      <c r="CG38" s="100">
        <v>12420</v>
      </c>
      <c r="CH38" s="100">
        <v>14</v>
      </c>
      <c r="CI38" s="100">
        <v>17388</v>
      </c>
      <c r="CJ38" s="100">
        <v>12</v>
      </c>
      <c r="CK38" s="100">
        <v>14904</v>
      </c>
      <c r="CL38" s="100">
        <v>10.7407388259311</v>
      </c>
      <c r="CM38" s="100">
        <v>13339.997621806426</v>
      </c>
      <c r="CN38" s="100">
        <v>10.91792895069589</v>
      </c>
      <c r="CO38" s="100">
        <v>13560.067756764296</v>
      </c>
      <c r="CP38" s="100">
        <v>13.961506809716044</v>
      </c>
      <c r="CQ38" s="100">
        <v>17340.191457667326</v>
      </c>
      <c r="CR38" s="100">
        <v>12.378698223790693</v>
      </c>
      <c r="CS38" s="100">
        <v>15374.34319394804</v>
      </c>
      <c r="CT38" s="100">
        <v>12.833933816561219</v>
      </c>
      <c r="CU38" s="100">
        <v>15939.745800169034</v>
      </c>
    </row>
    <row r="39" spans="2:99">
      <c r="C39" s="99" t="s">
        <v>205</v>
      </c>
      <c r="D39" s="100">
        <v>9</v>
      </c>
      <c r="E39" s="100">
        <v>12808.800000000001</v>
      </c>
      <c r="F39" s="100">
        <v>13</v>
      </c>
      <c r="G39" s="100">
        <v>18501.600000000002</v>
      </c>
      <c r="H39" s="100">
        <v>13.846084406024675</v>
      </c>
      <c r="I39" s="100">
        <v>19705.747326654317</v>
      </c>
      <c r="J39" s="100">
        <v>12.928378137369927</v>
      </c>
      <c r="K39" s="100">
        <v>18399.667765104881</v>
      </c>
      <c r="L39" s="100">
        <v>13</v>
      </c>
      <c r="M39" s="100">
        <v>18501.600000000002</v>
      </c>
      <c r="N39" s="100">
        <v>11</v>
      </c>
      <c r="O39" s="100">
        <v>15655.2</v>
      </c>
      <c r="P39" s="100">
        <v>13</v>
      </c>
      <c r="Q39" s="100">
        <v>18501.600000000002</v>
      </c>
      <c r="R39" s="100">
        <v>12</v>
      </c>
      <c r="S39" s="100">
        <v>17078.400000000001</v>
      </c>
      <c r="T39" s="100">
        <v>13</v>
      </c>
      <c r="U39" s="100">
        <v>18501.600000000002</v>
      </c>
      <c r="V39" s="100">
        <v>15</v>
      </c>
      <c r="W39" s="100">
        <v>21348</v>
      </c>
      <c r="X39" s="100">
        <v>11</v>
      </c>
      <c r="Y39" s="100">
        <v>15655.2</v>
      </c>
      <c r="Z39" s="100">
        <v>10</v>
      </c>
      <c r="AA39" s="100">
        <v>14232</v>
      </c>
      <c r="AB39" s="100">
        <v>10</v>
      </c>
      <c r="AC39" s="100">
        <v>14232</v>
      </c>
      <c r="AD39" s="100">
        <v>17</v>
      </c>
      <c r="AE39" s="100">
        <v>24194.400000000001</v>
      </c>
      <c r="AF39" s="100">
        <v>13</v>
      </c>
      <c r="AG39" s="100">
        <v>18501.600000000002</v>
      </c>
      <c r="AH39" s="100">
        <v>10</v>
      </c>
      <c r="AI39" s="100">
        <v>14232</v>
      </c>
      <c r="AJ39" s="100">
        <v>12</v>
      </c>
      <c r="AK39" s="100">
        <v>17078.400000000001</v>
      </c>
      <c r="AL39" s="100">
        <v>16</v>
      </c>
      <c r="AM39" s="100">
        <v>22771.200000000001</v>
      </c>
      <c r="AN39" s="100">
        <v>14.264985725047321</v>
      </c>
      <c r="AO39" s="100">
        <v>20301.927683887348</v>
      </c>
      <c r="AP39" s="100">
        <v>12.073320646463698</v>
      </c>
      <c r="AQ39" s="100">
        <v>17182.749944047137</v>
      </c>
      <c r="AR39" s="100">
        <v>11</v>
      </c>
      <c r="AS39" s="100">
        <v>15655.2</v>
      </c>
      <c r="AT39" s="100">
        <v>16.737588320569603</v>
      </c>
      <c r="AU39" s="100">
        <v>23820.935697834659</v>
      </c>
      <c r="AV39" s="100">
        <v>13</v>
      </c>
      <c r="AW39" s="100">
        <v>18501.600000000002</v>
      </c>
      <c r="AX39" s="100">
        <v>13</v>
      </c>
      <c r="AY39" s="100">
        <v>18501.600000000002</v>
      </c>
      <c r="AZ39" s="100">
        <v>10</v>
      </c>
      <c r="BA39" s="100">
        <v>14232</v>
      </c>
      <c r="BB39" s="100">
        <v>11</v>
      </c>
      <c r="BC39" s="100">
        <v>15655.2</v>
      </c>
      <c r="BD39" s="100">
        <v>11</v>
      </c>
      <c r="BE39" s="100">
        <v>15655.2</v>
      </c>
      <c r="BF39" s="100">
        <v>15</v>
      </c>
      <c r="BG39" s="100">
        <v>21348</v>
      </c>
      <c r="BH39" s="100">
        <v>11</v>
      </c>
      <c r="BI39" s="100">
        <v>15655.2</v>
      </c>
      <c r="BJ39" s="100">
        <v>17</v>
      </c>
      <c r="BK39" s="100">
        <v>24194.400000000001</v>
      </c>
      <c r="BL39" s="100">
        <v>11</v>
      </c>
      <c r="BM39" s="100">
        <v>15655.2</v>
      </c>
      <c r="BN39" s="100">
        <v>15</v>
      </c>
      <c r="BO39" s="100">
        <v>21348</v>
      </c>
      <c r="BP39" s="100">
        <v>11</v>
      </c>
      <c r="BQ39" s="100">
        <v>15655.2</v>
      </c>
      <c r="BR39" s="100">
        <v>12.405571394755331</v>
      </c>
      <c r="BS39" s="100">
        <v>17655.609209015787</v>
      </c>
      <c r="BT39" s="100">
        <v>11.105465469361489</v>
      </c>
      <c r="BU39" s="100">
        <v>15805.298455995271</v>
      </c>
      <c r="BV39" s="100">
        <v>11.947008660624496</v>
      </c>
      <c r="BW39" s="100">
        <v>17002.982725800783</v>
      </c>
      <c r="BX39" s="100">
        <v>17.355096636514443</v>
      </c>
      <c r="BY39" s="100">
        <v>24699.773533087355</v>
      </c>
      <c r="BZ39" s="100">
        <v>16</v>
      </c>
      <c r="CA39" s="100">
        <v>22771.200000000001</v>
      </c>
      <c r="CB39" s="100">
        <v>15</v>
      </c>
      <c r="CC39" s="100">
        <v>21348</v>
      </c>
      <c r="CD39" s="100">
        <v>14</v>
      </c>
      <c r="CE39" s="100">
        <v>19924.8</v>
      </c>
      <c r="CF39" s="100">
        <v>10</v>
      </c>
      <c r="CG39" s="100">
        <v>14232</v>
      </c>
      <c r="CH39" s="100">
        <v>16</v>
      </c>
      <c r="CI39" s="100">
        <v>22771.200000000001</v>
      </c>
      <c r="CJ39" s="100">
        <v>11</v>
      </c>
      <c r="CK39" s="100">
        <v>15655.2</v>
      </c>
      <c r="CL39" s="100">
        <v>11.717169628288476</v>
      </c>
      <c r="CM39" s="100">
        <v>16675.875814980158</v>
      </c>
      <c r="CN39" s="100">
        <v>11.69778101860274</v>
      </c>
      <c r="CO39" s="100">
        <v>16648.281945675419</v>
      </c>
      <c r="CP39" s="100">
        <v>14.958757296124334</v>
      </c>
      <c r="CQ39" s="100">
        <v>21289.303383844152</v>
      </c>
      <c r="CR39" s="100">
        <v>13.330905779466901</v>
      </c>
      <c r="CS39" s="100">
        <v>18972.545105337296</v>
      </c>
      <c r="CT39" s="100">
        <v>15.400720579873461</v>
      </c>
      <c r="CU39" s="100">
        <v>21918.305529275909</v>
      </c>
    </row>
    <row r="40" spans="2:99">
      <c r="C40" s="99" t="s">
        <v>206</v>
      </c>
      <c r="D40" s="100">
        <v>10</v>
      </c>
      <c r="E40" s="100">
        <v>7248</v>
      </c>
      <c r="F40" s="100">
        <v>12</v>
      </c>
      <c r="G40" s="100">
        <v>8697.5999999999985</v>
      </c>
      <c r="H40" s="100">
        <v>14.835090435026437</v>
      </c>
      <c r="I40" s="100">
        <v>10752.473547307161</v>
      </c>
      <c r="J40" s="100">
        <v>13.790270013194588</v>
      </c>
      <c r="K40" s="100">
        <v>9995.1877055634377</v>
      </c>
      <c r="L40" s="100">
        <v>13</v>
      </c>
      <c r="M40" s="100">
        <v>9422.4</v>
      </c>
      <c r="N40" s="100">
        <v>13</v>
      </c>
      <c r="O40" s="100">
        <v>9422.4</v>
      </c>
      <c r="P40" s="100">
        <v>15</v>
      </c>
      <c r="Q40" s="100">
        <v>10872</v>
      </c>
      <c r="R40" s="100">
        <v>14</v>
      </c>
      <c r="S40" s="100">
        <v>10147.199999999999</v>
      </c>
      <c r="T40" s="100">
        <v>14</v>
      </c>
      <c r="U40" s="100">
        <v>10147.199999999999</v>
      </c>
      <c r="V40" s="100">
        <v>17</v>
      </c>
      <c r="W40" s="100">
        <v>12321.599999999999</v>
      </c>
      <c r="X40" s="100">
        <v>11</v>
      </c>
      <c r="Y40" s="100">
        <v>7972.7999999999993</v>
      </c>
      <c r="Z40" s="100">
        <v>11</v>
      </c>
      <c r="AA40" s="100">
        <v>7972.7999999999993</v>
      </c>
      <c r="AB40" s="100">
        <v>10</v>
      </c>
      <c r="AC40" s="100">
        <v>7248</v>
      </c>
      <c r="AD40" s="100">
        <v>21</v>
      </c>
      <c r="AE40" s="100">
        <v>15220.8</v>
      </c>
      <c r="AF40" s="100">
        <v>14</v>
      </c>
      <c r="AG40" s="100">
        <v>10147.199999999999</v>
      </c>
      <c r="AH40" s="100">
        <v>11</v>
      </c>
      <c r="AI40" s="100">
        <v>7972.7999999999993</v>
      </c>
      <c r="AJ40" s="100">
        <v>13</v>
      </c>
      <c r="AK40" s="100">
        <v>9422.4</v>
      </c>
      <c r="AL40" s="100">
        <v>14</v>
      </c>
      <c r="AM40" s="100">
        <v>10147.199999999999</v>
      </c>
      <c r="AN40" s="100">
        <v>15.104102532403045</v>
      </c>
      <c r="AO40" s="100">
        <v>10947.453515485726</v>
      </c>
      <c r="AP40" s="100">
        <v>11.144603673658798</v>
      </c>
      <c r="AQ40" s="100">
        <v>8077.608742667896</v>
      </c>
      <c r="AR40" s="100">
        <v>11</v>
      </c>
      <c r="AS40" s="100">
        <v>7972.7999999999993</v>
      </c>
      <c r="AT40" s="100">
        <v>16.737588320569603</v>
      </c>
      <c r="AU40" s="100">
        <v>12131.404014748849</v>
      </c>
      <c r="AV40" s="100">
        <v>15</v>
      </c>
      <c r="AW40" s="100">
        <v>10872</v>
      </c>
      <c r="AX40" s="100">
        <v>14</v>
      </c>
      <c r="AY40" s="100">
        <v>10147.199999999999</v>
      </c>
      <c r="AZ40" s="100">
        <v>11</v>
      </c>
      <c r="BA40" s="100">
        <v>7972.7999999999993</v>
      </c>
      <c r="BB40" s="100">
        <v>11</v>
      </c>
      <c r="BC40" s="100">
        <v>7972.7999999999993</v>
      </c>
      <c r="BD40" s="100">
        <v>12</v>
      </c>
      <c r="BE40" s="100">
        <v>8697.5999999999985</v>
      </c>
      <c r="BF40" s="100">
        <v>15</v>
      </c>
      <c r="BG40" s="100">
        <v>10872</v>
      </c>
      <c r="BH40" s="100">
        <v>12</v>
      </c>
      <c r="BI40" s="100">
        <v>8697.5999999999985</v>
      </c>
      <c r="BJ40" s="100">
        <v>18</v>
      </c>
      <c r="BK40" s="100">
        <v>13046.4</v>
      </c>
      <c r="BL40" s="100">
        <v>13</v>
      </c>
      <c r="BM40" s="100">
        <v>9422.4</v>
      </c>
      <c r="BN40" s="100">
        <v>15</v>
      </c>
      <c r="BO40" s="100">
        <v>10872</v>
      </c>
      <c r="BP40" s="100">
        <v>12</v>
      </c>
      <c r="BQ40" s="100">
        <v>8697.5999999999985</v>
      </c>
      <c r="BR40" s="100">
        <v>12.405571394755331</v>
      </c>
      <c r="BS40" s="100">
        <v>8991.5581469186636</v>
      </c>
      <c r="BT40" s="100">
        <v>11.105465469361489</v>
      </c>
      <c r="BU40" s="100">
        <v>8049.2413721932071</v>
      </c>
      <c r="BV40" s="100">
        <v>11.028007994422612</v>
      </c>
      <c r="BW40" s="100">
        <v>7993.1001943575093</v>
      </c>
      <c r="BX40" s="100">
        <v>16.441670497750522</v>
      </c>
      <c r="BY40" s="100">
        <v>11916.922776769577</v>
      </c>
      <c r="BZ40" s="100">
        <v>18</v>
      </c>
      <c r="CA40" s="100">
        <v>13046.4</v>
      </c>
      <c r="CB40" s="100">
        <v>14</v>
      </c>
      <c r="CC40" s="100">
        <v>10147.199999999999</v>
      </c>
      <c r="CD40" s="100">
        <v>17</v>
      </c>
      <c r="CE40" s="100">
        <v>12321.599999999999</v>
      </c>
      <c r="CF40" s="100">
        <v>11</v>
      </c>
      <c r="CG40" s="100">
        <v>7972.7999999999993</v>
      </c>
      <c r="CH40" s="100">
        <v>16</v>
      </c>
      <c r="CI40" s="100">
        <v>11596.8</v>
      </c>
      <c r="CJ40" s="100">
        <v>12</v>
      </c>
      <c r="CK40" s="100">
        <v>8697.5999999999985</v>
      </c>
      <c r="CL40" s="100">
        <v>12.693600430645848</v>
      </c>
      <c r="CM40" s="100">
        <v>9200.3215921321098</v>
      </c>
      <c r="CN40" s="100">
        <v>10.91792895069589</v>
      </c>
      <c r="CO40" s="100">
        <v>7913.3149034643802</v>
      </c>
      <c r="CP40" s="100">
        <v>16.95325826894091</v>
      </c>
      <c r="CQ40" s="100">
        <v>12287.721593328371</v>
      </c>
      <c r="CR40" s="100">
        <v>12.378698223790693</v>
      </c>
      <c r="CS40" s="100">
        <v>8972.080472603493</v>
      </c>
      <c r="CT40" s="100">
        <v>13.689529404331966</v>
      </c>
      <c r="CU40" s="100">
        <v>9922.1709122598077</v>
      </c>
    </row>
    <row r="41" spans="2:99">
      <c r="C41" s="99" t="s">
        <v>207</v>
      </c>
      <c r="D41" s="100">
        <v>9</v>
      </c>
      <c r="E41" s="100">
        <v>5940</v>
      </c>
      <c r="F41" s="100">
        <v>15</v>
      </c>
      <c r="G41" s="100">
        <v>9900</v>
      </c>
      <c r="H41" s="100">
        <v>12.857078377022912</v>
      </c>
      <c r="I41" s="100">
        <v>8485.671728835121</v>
      </c>
      <c r="J41" s="100">
        <v>13.790270013194588</v>
      </c>
      <c r="K41" s="100">
        <v>9101.5782087084281</v>
      </c>
      <c r="L41" s="100">
        <v>13</v>
      </c>
      <c r="M41" s="100">
        <v>8580</v>
      </c>
      <c r="N41" s="100">
        <v>11</v>
      </c>
      <c r="O41" s="100">
        <v>7260</v>
      </c>
      <c r="P41" s="100">
        <v>14</v>
      </c>
      <c r="Q41" s="100">
        <v>9240</v>
      </c>
      <c r="R41" s="100">
        <v>15</v>
      </c>
      <c r="S41" s="100">
        <v>9900</v>
      </c>
      <c r="T41" s="100">
        <v>13</v>
      </c>
      <c r="U41" s="100">
        <v>8580</v>
      </c>
      <c r="V41" s="100">
        <v>16</v>
      </c>
      <c r="W41" s="100">
        <v>10560</v>
      </c>
      <c r="X41" s="100">
        <v>12</v>
      </c>
      <c r="Y41" s="100">
        <v>7920</v>
      </c>
      <c r="Z41" s="100">
        <v>11</v>
      </c>
      <c r="AA41" s="100">
        <v>7260</v>
      </c>
      <c r="AB41" s="100">
        <v>11</v>
      </c>
      <c r="AC41" s="100">
        <v>7260</v>
      </c>
      <c r="AD41" s="100">
        <v>20</v>
      </c>
      <c r="AE41" s="100">
        <v>13200</v>
      </c>
      <c r="AF41" s="100">
        <v>15</v>
      </c>
      <c r="AG41" s="100">
        <v>9900</v>
      </c>
      <c r="AH41" s="100">
        <v>10</v>
      </c>
      <c r="AI41" s="100">
        <v>6600</v>
      </c>
      <c r="AJ41" s="100">
        <v>13</v>
      </c>
      <c r="AK41" s="100">
        <v>8580</v>
      </c>
      <c r="AL41" s="100">
        <v>15</v>
      </c>
      <c r="AM41" s="100">
        <v>9900</v>
      </c>
      <c r="AN41" s="100">
        <v>15.104102532403045</v>
      </c>
      <c r="AO41" s="100">
        <v>9968.7076713860097</v>
      </c>
      <c r="AP41" s="100">
        <v>13.002037619268597</v>
      </c>
      <c r="AQ41" s="100">
        <v>8581.3448287172741</v>
      </c>
      <c r="AR41" s="100">
        <v>12</v>
      </c>
      <c r="AS41" s="100">
        <v>7920</v>
      </c>
      <c r="AT41" s="100">
        <v>16.737588320569603</v>
      </c>
      <c r="AU41" s="100">
        <v>11046.808291575939</v>
      </c>
      <c r="AV41" s="100">
        <v>14</v>
      </c>
      <c r="AW41" s="100">
        <v>9240</v>
      </c>
      <c r="AX41" s="100">
        <v>14</v>
      </c>
      <c r="AY41" s="100">
        <v>9240</v>
      </c>
      <c r="AZ41" s="100">
        <v>10</v>
      </c>
      <c r="BA41" s="100">
        <v>6600</v>
      </c>
      <c r="BB41" s="100">
        <v>12</v>
      </c>
      <c r="BC41" s="100">
        <v>7920</v>
      </c>
      <c r="BD41" s="100">
        <v>10</v>
      </c>
      <c r="BE41" s="100">
        <v>6600</v>
      </c>
      <c r="BF41" s="100">
        <v>14</v>
      </c>
      <c r="BG41" s="100">
        <v>9240</v>
      </c>
      <c r="BH41" s="100">
        <v>10</v>
      </c>
      <c r="BI41" s="100">
        <v>6600</v>
      </c>
      <c r="BJ41" s="100">
        <v>19</v>
      </c>
      <c r="BK41" s="100">
        <v>12540</v>
      </c>
      <c r="BL41" s="100">
        <v>12</v>
      </c>
      <c r="BM41" s="100">
        <v>7920</v>
      </c>
      <c r="BN41" s="100">
        <v>17</v>
      </c>
      <c r="BO41" s="100">
        <v>11220</v>
      </c>
      <c r="BP41" s="100">
        <v>12</v>
      </c>
      <c r="BQ41" s="100">
        <v>7920</v>
      </c>
      <c r="BR41" s="100">
        <v>12.405571394755331</v>
      </c>
      <c r="BS41" s="100">
        <v>8187.6771205385185</v>
      </c>
      <c r="BT41" s="100">
        <v>10.180010013581365</v>
      </c>
      <c r="BU41" s="100">
        <v>6718.8066089637005</v>
      </c>
      <c r="BV41" s="100">
        <v>12.866009326826379</v>
      </c>
      <c r="BW41" s="100">
        <v>8491.56615570541</v>
      </c>
      <c r="BX41" s="100">
        <v>19.181948914042277</v>
      </c>
      <c r="BY41" s="100">
        <v>12660.086283267903</v>
      </c>
      <c r="BZ41" s="100">
        <v>19</v>
      </c>
      <c r="CA41" s="100">
        <v>12540</v>
      </c>
      <c r="CB41" s="100">
        <v>15</v>
      </c>
      <c r="CC41" s="100">
        <v>9900</v>
      </c>
      <c r="CD41" s="100">
        <v>15</v>
      </c>
      <c r="CE41" s="100">
        <v>9900</v>
      </c>
      <c r="CF41" s="100">
        <v>10</v>
      </c>
      <c r="CG41" s="100">
        <v>6600</v>
      </c>
      <c r="CH41" s="100">
        <v>15</v>
      </c>
      <c r="CI41" s="100">
        <v>9900</v>
      </c>
      <c r="CJ41" s="100">
        <v>13</v>
      </c>
      <c r="CK41" s="100">
        <v>8580</v>
      </c>
      <c r="CL41" s="100">
        <v>11.717169628288476</v>
      </c>
      <c r="CM41" s="100">
        <v>7733.3319546703942</v>
      </c>
      <c r="CN41" s="100">
        <v>11.69778101860274</v>
      </c>
      <c r="CO41" s="100">
        <v>7720.5354722778084</v>
      </c>
      <c r="CP41" s="100">
        <v>14.958757296124334</v>
      </c>
      <c r="CQ41" s="100">
        <v>9872.7798154420598</v>
      </c>
      <c r="CR41" s="100">
        <v>13.330905779466901</v>
      </c>
      <c r="CS41" s="100">
        <v>8798.3978144481553</v>
      </c>
      <c r="CT41" s="100">
        <v>15.400720579873461</v>
      </c>
      <c r="CU41" s="100">
        <v>10164.475582716484</v>
      </c>
    </row>
    <row r="42" spans="2:99">
      <c r="C42" s="99" t="s">
        <v>208</v>
      </c>
      <c r="D42" s="100">
        <v>10</v>
      </c>
      <c r="E42" s="100">
        <v>8460</v>
      </c>
      <c r="F42" s="100">
        <v>13</v>
      </c>
      <c r="G42" s="100">
        <v>10998</v>
      </c>
      <c r="H42" s="100">
        <v>14.835090435026437</v>
      </c>
      <c r="I42" s="100">
        <v>12550.486508032365</v>
      </c>
      <c r="J42" s="100">
        <v>14.652161889019249</v>
      </c>
      <c r="K42" s="100">
        <v>12395.728958110285</v>
      </c>
      <c r="L42" s="100">
        <v>13</v>
      </c>
      <c r="M42" s="100">
        <v>10998</v>
      </c>
      <c r="N42" s="100">
        <v>12</v>
      </c>
      <c r="O42" s="100">
        <v>10152</v>
      </c>
      <c r="P42" s="100">
        <v>15</v>
      </c>
      <c r="Q42" s="100">
        <v>12690</v>
      </c>
      <c r="R42" s="100">
        <v>14</v>
      </c>
      <c r="S42" s="100">
        <v>11844</v>
      </c>
      <c r="T42" s="100">
        <v>13</v>
      </c>
      <c r="U42" s="100">
        <v>10998</v>
      </c>
      <c r="V42" s="100">
        <v>18</v>
      </c>
      <c r="W42" s="100">
        <v>15228</v>
      </c>
      <c r="X42" s="100">
        <v>12</v>
      </c>
      <c r="Y42" s="100">
        <v>10152</v>
      </c>
      <c r="Z42" s="100">
        <v>12</v>
      </c>
      <c r="AA42" s="100">
        <v>10152</v>
      </c>
      <c r="AB42" s="100">
        <v>11</v>
      </c>
      <c r="AC42" s="100">
        <v>9306</v>
      </c>
      <c r="AD42" s="100">
        <v>19</v>
      </c>
      <c r="AE42" s="100">
        <v>16074</v>
      </c>
      <c r="AF42" s="100">
        <v>13</v>
      </c>
      <c r="AG42" s="100">
        <v>10998</v>
      </c>
      <c r="AH42" s="100">
        <v>10</v>
      </c>
      <c r="AI42" s="100">
        <v>8460</v>
      </c>
      <c r="AJ42" s="100">
        <v>12</v>
      </c>
      <c r="AK42" s="100">
        <v>10152</v>
      </c>
      <c r="AL42" s="100">
        <v>14</v>
      </c>
      <c r="AM42" s="100">
        <v>11844</v>
      </c>
      <c r="AN42" s="100">
        <v>13.425868917691597</v>
      </c>
      <c r="AO42" s="100">
        <v>11358.285104367091</v>
      </c>
      <c r="AP42" s="100">
        <v>11.144603673658798</v>
      </c>
      <c r="AQ42" s="100">
        <v>9428.3347079153427</v>
      </c>
      <c r="AR42" s="100">
        <v>10</v>
      </c>
      <c r="AS42" s="100">
        <v>8460</v>
      </c>
      <c r="AT42" s="100">
        <v>15.80772230276018</v>
      </c>
      <c r="AU42" s="100">
        <v>13373.333068135113</v>
      </c>
      <c r="AV42" s="100">
        <v>14</v>
      </c>
      <c r="AW42" s="100">
        <v>11844</v>
      </c>
      <c r="AX42" s="100">
        <v>14</v>
      </c>
      <c r="AY42" s="100">
        <v>11844</v>
      </c>
      <c r="AZ42" s="100">
        <v>10</v>
      </c>
      <c r="BA42" s="100">
        <v>8460</v>
      </c>
      <c r="BB42" s="100">
        <v>11</v>
      </c>
      <c r="BC42" s="100">
        <v>9306</v>
      </c>
      <c r="BD42" s="100">
        <v>10</v>
      </c>
      <c r="BE42" s="100">
        <v>8460</v>
      </c>
      <c r="BF42" s="100">
        <v>16</v>
      </c>
      <c r="BG42" s="100">
        <v>13536</v>
      </c>
      <c r="BH42" s="100">
        <v>10</v>
      </c>
      <c r="BI42" s="100">
        <v>8460</v>
      </c>
      <c r="BJ42" s="100">
        <v>19</v>
      </c>
      <c r="BK42" s="100">
        <v>16074</v>
      </c>
      <c r="BL42" s="100">
        <v>11</v>
      </c>
      <c r="BM42" s="100">
        <v>9306</v>
      </c>
      <c r="BN42" s="100">
        <v>16</v>
      </c>
      <c r="BO42" s="100">
        <v>13536</v>
      </c>
      <c r="BP42" s="100">
        <v>11</v>
      </c>
      <c r="BQ42" s="100">
        <v>9306</v>
      </c>
      <c r="BR42" s="100">
        <v>13.359846117428818</v>
      </c>
      <c r="BS42" s="100">
        <v>11302.42981534478</v>
      </c>
      <c r="BT42" s="100">
        <v>11.105465469361489</v>
      </c>
      <c r="BU42" s="100">
        <v>9395.2237870798199</v>
      </c>
      <c r="BV42" s="100">
        <v>11.028007994422612</v>
      </c>
      <c r="BW42" s="100">
        <v>9329.69476328153</v>
      </c>
      <c r="BX42" s="100">
        <v>16.441670497750522</v>
      </c>
      <c r="BY42" s="100">
        <v>13909.653241096941</v>
      </c>
      <c r="BZ42" s="100">
        <v>17</v>
      </c>
      <c r="CA42" s="100">
        <v>14382</v>
      </c>
      <c r="CB42" s="100">
        <v>15</v>
      </c>
      <c r="CC42" s="100">
        <v>12690</v>
      </c>
      <c r="CD42" s="100">
        <v>16</v>
      </c>
      <c r="CE42" s="100">
        <v>13536</v>
      </c>
      <c r="CF42" s="100">
        <v>11</v>
      </c>
      <c r="CG42" s="100">
        <v>9306</v>
      </c>
      <c r="CH42" s="100">
        <v>14</v>
      </c>
      <c r="CI42" s="100">
        <v>11844</v>
      </c>
      <c r="CJ42" s="100">
        <v>12</v>
      </c>
      <c r="CK42" s="100">
        <v>10152</v>
      </c>
      <c r="CL42" s="100">
        <v>10.7407388259311</v>
      </c>
      <c r="CM42" s="100">
        <v>9086.6650467377112</v>
      </c>
      <c r="CN42" s="100">
        <v>11.69778101860274</v>
      </c>
      <c r="CO42" s="100">
        <v>9896.3227417379185</v>
      </c>
      <c r="CP42" s="100">
        <v>15.956007782532621</v>
      </c>
      <c r="CQ42" s="100">
        <v>13498.782584022598</v>
      </c>
      <c r="CR42" s="100">
        <v>14.283113335143108</v>
      </c>
      <c r="CS42" s="100">
        <v>12083.513881531069</v>
      </c>
      <c r="CT42" s="100">
        <v>14.545124992102712</v>
      </c>
      <c r="CU42" s="100">
        <v>12305.175743318894</v>
      </c>
    </row>
    <row r="43" spans="2:99">
      <c r="C43" s="99" t="s">
        <v>209</v>
      </c>
      <c r="D43" s="100">
        <v>9</v>
      </c>
      <c r="E43" s="100">
        <v>9201.6</v>
      </c>
      <c r="F43" s="100">
        <v>14</v>
      </c>
      <c r="G43" s="100">
        <v>14313.6</v>
      </c>
      <c r="H43" s="100">
        <v>13.846084406024675</v>
      </c>
      <c r="I43" s="100">
        <v>14156.236696719627</v>
      </c>
      <c r="J43" s="100">
        <v>12.928378137369927</v>
      </c>
      <c r="K43" s="100">
        <v>13217.973807647013</v>
      </c>
      <c r="L43" s="100">
        <v>13</v>
      </c>
      <c r="M43" s="100">
        <v>13291.199999999999</v>
      </c>
      <c r="N43" s="100">
        <v>10</v>
      </c>
      <c r="O43" s="100">
        <v>10224</v>
      </c>
      <c r="P43" s="100">
        <v>14</v>
      </c>
      <c r="Q43" s="100">
        <v>14313.6</v>
      </c>
      <c r="R43" s="100">
        <v>12</v>
      </c>
      <c r="S43" s="100">
        <v>12268.8</v>
      </c>
      <c r="T43" s="100">
        <v>13</v>
      </c>
      <c r="U43" s="100">
        <v>13291.199999999999</v>
      </c>
      <c r="V43" s="100">
        <v>15</v>
      </c>
      <c r="W43" s="100">
        <v>15336</v>
      </c>
      <c r="X43" s="100">
        <v>12</v>
      </c>
      <c r="Y43" s="100">
        <v>12268.8</v>
      </c>
      <c r="Z43" s="100">
        <v>10</v>
      </c>
      <c r="AA43" s="100">
        <v>10224</v>
      </c>
      <c r="AB43" s="100">
        <v>11</v>
      </c>
      <c r="AC43" s="100">
        <v>11246.4</v>
      </c>
      <c r="AD43" s="100">
        <v>18</v>
      </c>
      <c r="AE43" s="100">
        <v>18403.2</v>
      </c>
      <c r="AF43" s="100">
        <v>16</v>
      </c>
      <c r="AG43" s="100">
        <v>16358.4</v>
      </c>
      <c r="AH43" s="100">
        <v>10</v>
      </c>
      <c r="AI43" s="100">
        <v>10224</v>
      </c>
      <c r="AJ43" s="100">
        <v>14</v>
      </c>
      <c r="AK43" s="100">
        <v>14313.6</v>
      </c>
      <c r="AL43" s="100">
        <v>16</v>
      </c>
      <c r="AM43" s="100">
        <v>16358.4</v>
      </c>
      <c r="AN43" s="100">
        <v>13.425868917691597</v>
      </c>
      <c r="AO43" s="100">
        <v>13726.608381447888</v>
      </c>
      <c r="AP43" s="100">
        <v>12.073320646463698</v>
      </c>
      <c r="AQ43" s="100">
        <v>12343.763028944484</v>
      </c>
      <c r="AR43" s="100">
        <v>11</v>
      </c>
      <c r="AS43" s="100">
        <v>11246.4</v>
      </c>
      <c r="AT43" s="100">
        <v>15.80772230276018</v>
      </c>
      <c r="AU43" s="100">
        <v>16161.815282342008</v>
      </c>
      <c r="AV43" s="100">
        <v>13</v>
      </c>
      <c r="AW43" s="100">
        <v>13291.199999999999</v>
      </c>
      <c r="AX43" s="100">
        <v>15</v>
      </c>
      <c r="AY43" s="100">
        <v>15336</v>
      </c>
      <c r="AZ43" s="100">
        <v>10</v>
      </c>
      <c r="BA43" s="100">
        <v>10224</v>
      </c>
      <c r="BB43" s="100">
        <v>12</v>
      </c>
      <c r="BC43" s="100">
        <v>12268.8</v>
      </c>
      <c r="BD43" s="100">
        <v>10</v>
      </c>
      <c r="BE43" s="100">
        <v>10224</v>
      </c>
      <c r="BF43" s="100">
        <v>14</v>
      </c>
      <c r="BG43" s="100">
        <v>14313.6</v>
      </c>
      <c r="BH43" s="100">
        <v>11</v>
      </c>
      <c r="BI43" s="100">
        <v>11246.4</v>
      </c>
      <c r="BJ43" s="100">
        <v>18</v>
      </c>
      <c r="BK43" s="100">
        <v>18403.2</v>
      </c>
      <c r="BL43" s="100">
        <v>12</v>
      </c>
      <c r="BM43" s="100">
        <v>12268.8</v>
      </c>
      <c r="BN43" s="100">
        <v>14</v>
      </c>
      <c r="BO43" s="100">
        <v>14313.6</v>
      </c>
      <c r="BP43" s="100">
        <v>10</v>
      </c>
      <c r="BQ43" s="100">
        <v>10224</v>
      </c>
      <c r="BR43" s="100">
        <v>12.405571394755331</v>
      </c>
      <c r="BS43" s="100">
        <v>12683.45619399785</v>
      </c>
      <c r="BT43" s="100">
        <v>11.105465469361489</v>
      </c>
      <c r="BU43" s="100">
        <v>11354.227895875187</v>
      </c>
      <c r="BV43" s="100">
        <v>12.866009326826379</v>
      </c>
      <c r="BW43" s="100">
        <v>13154.20793574729</v>
      </c>
      <c r="BX43" s="100">
        <v>16.441670497750522</v>
      </c>
      <c r="BY43" s="100">
        <v>16809.963916900135</v>
      </c>
      <c r="BZ43" s="100">
        <v>17</v>
      </c>
      <c r="CA43" s="100">
        <v>17380.8</v>
      </c>
      <c r="CB43" s="100">
        <v>15</v>
      </c>
      <c r="CC43" s="100">
        <v>15336</v>
      </c>
      <c r="CD43" s="100">
        <v>16</v>
      </c>
      <c r="CE43" s="100">
        <v>16358.4</v>
      </c>
      <c r="CF43" s="100">
        <v>10</v>
      </c>
      <c r="CG43" s="100">
        <v>10224</v>
      </c>
      <c r="CH43" s="100">
        <v>14</v>
      </c>
      <c r="CI43" s="100">
        <v>14313.6</v>
      </c>
      <c r="CJ43" s="100">
        <v>12</v>
      </c>
      <c r="CK43" s="100">
        <v>12268.8</v>
      </c>
      <c r="CL43" s="100">
        <v>11.717169628288476</v>
      </c>
      <c r="CM43" s="100">
        <v>11979.634227962137</v>
      </c>
      <c r="CN43" s="100">
        <v>11.69778101860274</v>
      </c>
      <c r="CO43" s="100">
        <v>11959.811313419441</v>
      </c>
      <c r="CP43" s="100">
        <v>15.956007782532621</v>
      </c>
      <c r="CQ43" s="100">
        <v>16313.422356861352</v>
      </c>
      <c r="CR43" s="100">
        <v>12.378698223790693</v>
      </c>
      <c r="CS43" s="100">
        <v>12655.981064003603</v>
      </c>
      <c r="CT43" s="100">
        <v>13.689529404331966</v>
      </c>
      <c r="CU43" s="100">
        <v>13996.174862989001</v>
      </c>
    </row>
    <row r="44" spans="2:99">
      <c r="C44" s="99" t="s">
        <v>210</v>
      </c>
      <c r="D44" s="100">
        <v>10</v>
      </c>
      <c r="E44" s="100">
        <v>10224</v>
      </c>
      <c r="F44" s="100">
        <v>13</v>
      </c>
      <c r="G44" s="100">
        <v>13291.199999999999</v>
      </c>
      <c r="H44" s="100">
        <v>13.846084406024675</v>
      </c>
      <c r="I44" s="100">
        <v>14156.236696719627</v>
      </c>
      <c r="J44" s="100">
        <v>13.790270013194588</v>
      </c>
      <c r="K44" s="100">
        <v>14099.172061490146</v>
      </c>
      <c r="L44" s="100">
        <v>12</v>
      </c>
      <c r="M44" s="100">
        <v>12268.8</v>
      </c>
      <c r="N44" s="100">
        <v>12</v>
      </c>
      <c r="O44" s="100">
        <v>12268.8</v>
      </c>
      <c r="P44" s="100">
        <v>14</v>
      </c>
      <c r="Q44" s="100">
        <v>14313.6</v>
      </c>
      <c r="R44" s="100">
        <v>13</v>
      </c>
      <c r="S44" s="100">
        <v>13291.199999999999</v>
      </c>
      <c r="T44" s="100">
        <v>13</v>
      </c>
      <c r="U44" s="100">
        <v>13291.199999999999</v>
      </c>
      <c r="V44" s="100">
        <v>18</v>
      </c>
      <c r="W44" s="100">
        <v>18403.2</v>
      </c>
      <c r="X44" s="100">
        <v>13</v>
      </c>
      <c r="Y44" s="100">
        <v>13291.199999999999</v>
      </c>
      <c r="Z44" s="100">
        <v>11</v>
      </c>
      <c r="AA44" s="100">
        <v>11246.4</v>
      </c>
      <c r="AB44" s="100">
        <v>11</v>
      </c>
      <c r="AC44" s="100">
        <v>11246.4</v>
      </c>
      <c r="AD44" s="100">
        <v>18</v>
      </c>
      <c r="AE44" s="100">
        <v>18403.2</v>
      </c>
      <c r="AF44" s="100">
        <v>14</v>
      </c>
      <c r="AG44" s="100">
        <v>14313.6</v>
      </c>
      <c r="AH44" s="100">
        <v>10</v>
      </c>
      <c r="AI44" s="100">
        <v>10224</v>
      </c>
      <c r="AJ44" s="100">
        <v>13</v>
      </c>
      <c r="AK44" s="100">
        <v>13291.199999999999</v>
      </c>
      <c r="AL44" s="100">
        <v>17</v>
      </c>
      <c r="AM44" s="100">
        <v>17380.8</v>
      </c>
      <c r="AN44" s="100">
        <v>15.943219339758771</v>
      </c>
      <c r="AO44" s="100">
        <v>16300.347452969367</v>
      </c>
      <c r="AP44" s="100">
        <v>12.073320646463698</v>
      </c>
      <c r="AQ44" s="100">
        <v>12343.763028944484</v>
      </c>
      <c r="AR44" s="100">
        <v>11</v>
      </c>
      <c r="AS44" s="100">
        <v>11246.4</v>
      </c>
      <c r="AT44" s="100">
        <v>16.737588320569603</v>
      </c>
      <c r="AU44" s="100">
        <v>17112.510298950361</v>
      </c>
      <c r="AV44" s="100">
        <v>15</v>
      </c>
      <c r="AW44" s="100">
        <v>15336</v>
      </c>
      <c r="AX44" s="100">
        <v>14</v>
      </c>
      <c r="AY44" s="100">
        <v>14313.6</v>
      </c>
      <c r="AZ44" s="100">
        <v>12</v>
      </c>
      <c r="BA44" s="100">
        <v>12268.8</v>
      </c>
      <c r="BB44" s="100">
        <v>10</v>
      </c>
      <c r="BC44" s="100">
        <v>10224</v>
      </c>
      <c r="BD44" s="100">
        <v>10</v>
      </c>
      <c r="BE44" s="100">
        <v>10224</v>
      </c>
      <c r="BF44" s="100">
        <v>15</v>
      </c>
      <c r="BG44" s="100">
        <v>15336</v>
      </c>
      <c r="BH44" s="100">
        <v>10</v>
      </c>
      <c r="BI44" s="100">
        <v>10224</v>
      </c>
      <c r="BJ44" s="100">
        <v>18</v>
      </c>
      <c r="BK44" s="100">
        <v>18403.2</v>
      </c>
      <c r="BL44" s="100">
        <v>12</v>
      </c>
      <c r="BM44" s="100">
        <v>12268.8</v>
      </c>
      <c r="BN44" s="100">
        <v>16</v>
      </c>
      <c r="BO44" s="100">
        <v>16358.4</v>
      </c>
      <c r="BP44" s="100">
        <v>10</v>
      </c>
      <c r="BQ44" s="100">
        <v>10224</v>
      </c>
      <c r="BR44" s="100">
        <v>13.359846117428818</v>
      </c>
      <c r="BS44" s="100">
        <v>13659.106670459223</v>
      </c>
      <c r="BT44" s="100">
        <v>10.180010013581365</v>
      </c>
      <c r="BU44" s="100">
        <v>10408.042237885587</v>
      </c>
      <c r="BV44" s="100">
        <v>11.947008660624496</v>
      </c>
      <c r="BW44" s="100">
        <v>12214.621654622484</v>
      </c>
      <c r="BX44" s="100">
        <v>17.355096636514443</v>
      </c>
      <c r="BY44" s="100">
        <v>17743.850801172364</v>
      </c>
      <c r="BZ44" s="100">
        <v>19</v>
      </c>
      <c r="CA44" s="100">
        <v>19425.599999999999</v>
      </c>
      <c r="CB44" s="100">
        <v>15</v>
      </c>
      <c r="CC44" s="100">
        <v>15336</v>
      </c>
      <c r="CD44" s="100">
        <v>15</v>
      </c>
      <c r="CE44" s="100">
        <v>15336</v>
      </c>
      <c r="CF44" s="100">
        <v>10</v>
      </c>
      <c r="CG44" s="100">
        <v>10224</v>
      </c>
      <c r="CH44" s="100">
        <v>15</v>
      </c>
      <c r="CI44" s="100">
        <v>15336</v>
      </c>
      <c r="CJ44" s="100">
        <v>14</v>
      </c>
      <c r="CK44" s="100">
        <v>14313.6</v>
      </c>
      <c r="CL44" s="100">
        <v>12.693600430645848</v>
      </c>
      <c r="CM44" s="100">
        <v>12977.937080292315</v>
      </c>
      <c r="CN44" s="100">
        <v>10.13807688278904</v>
      </c>
      <c r="CO44" s="100">
        <v>10365.169804963514</v>
      </c>
      <c r="CP44" s="100">
        <v>15.956007782532621</v>
      </c>
      <c r="CQ44" s="100">
        <v>16313.422356861352</v>
      </c>
      <c r="CR44" s="100">
        <v>14.283113335143108</v>
      </c>
      <c r="CS44" s="100">
        <v>14603.055073850313</v>
      </c>
      <c r="CT44" s="100">
        <v>12.833933816561219</v>
      </c>
      <c r="CU44" s="100">
        <v>13121.413934052189</v>
      </c>
    </row>
    <row r="45" spans="2:99">
      <c r="C45" s="99" t="s">
        <v>211</v>
      </c>
      <c r="D45" s="100">
        <v>9</v>
      </c>
      <c r="E45" s="100">
        <v>11242.800000000001</v>
      </c>
      <c r="F45" s="100">
        <v>13</v>
      </c>
      <c r="G45" s="100">
        <v>16239.6</v>
      </c>
      <c r="H45" s="100">
        <v>11.868072348021149</v>
      </c>
      <c r="I45" s="100">
        <v>14825.595977148021</v>
      </c>
      <c r="J45" s="100">
        <v>12.066486261545263</v>
      </c>
      <c r="K45" s="100">
        <v>15073.454637922343</v>
      </c>
      <c r="L45" s="100">
        <v>13</v>
      </c>
      <c r="M45" s="100">
        <v>16239.6</v>
      </c>
      <c r="N45" s="100">
        <v>12</v>
      </c>
      <c r="O45" s="100">
        <v>14990.400000000001</v>
      </c>
      <c r="P45" s="100">
        <v>13</v>
      </c>
      <c r="Q45" s="100">
        <v>16239.6</v>
      </c>
      <c r="R45" s="100">
        <v>14</v>
      </c>
      <c r="S45" s="100">
        <v>17488.8</v>
      </c>
      <c r="T45" s="100">
        <v>13</v>
      </c>
      <c r="U45" s="100">
        <v>16239.6</v>
      </c>
      <c r="V45" s="100">
        <v>15</v>
      </c>
      <c r="W45" s="100">
        <v>18738</v>
      </c>
      <c r="X45" s="100">
        <v>12</v>
      </c>
      <c r="Y45" s="100">
        <v>14990.400000000001</v>
      </c>
      <c r="Z45" s="100">
        <v>10</v>
      </c>
      <c r="AA45" s="100">
        <v>12492</v>
      </c>
      <c r="AB45" s="100">
        <v>9</v>
      </c>
      <c r="AC45" s="100">
        <v>11242.800000000001</v>
      </c>
      <c r="AD45" s="100">
        <v>19</v>
      </c>
      <c r="AE45" s="100">
        <v>23734.799999999999</v>
      </c>
      <c r="AF45" s="100">
        <v>14</v>
      </c>
      <c r="AG45" s="100">
        <v>17488.8</v>
      </c>
      <c r="AH45" s="100">
        <v>9</v>
      </c>
      <c r="AI45" s="100">
        <v>11242.800000000001</v>
      </c>
      <c r="AJ45" s="100">
        <v>13</v>
      </c>
      <c r="AK45" s="100">
        <v>16239.6</v>
      </c>
      <c r="AL45" s="100">
        <v>14</v>
      </c>
      <c r="AM45" s="100">
        <v>17488.8</v>
      </c>
      <c r="AN45" s="100">
        <v>14.264985725047321</v>
      </c>
      <c r="AO45" s="100">
        <v>17819.820167729114</v>
      </c>
      <c r="AP45" s="100">
        <v>13.002037619268597</v>
      </c>
      <c r="AQ45" s="100">
        <v>16242.145393990331</v>
      </c>
      <c r="AR45" s="100">
        <v>11</v>
      </c>
      <c r="AS45" s="100">
        <v>13741.2</v>
      </c>
      <c r="AT45" s="100">
        <v>15.80772230276018</v>
      </c>
      <c r="AU45" s="100">
        <v>19747.006700608017</v>
      </c>
      <c r="AV45" s="100">
        <v>14</v>
      </c>
      <c r="AW45" s="100">
        <v>17488.8</v>
      </c>
      <c r="AX45" s="100">
        <v>14</v>
      </c>
      <c r="AY45" s="100">
        <v>17488.8</v>
      </c>
      <c r="AZ45" s="100">
        <v>10</v>
      </c>
      <c r="BA45" s="100">
        <v>12492</v>
      </c>
      <c r="BB45" s="100">
        <v>11</v>
      </c>
      <c r="BC45" s="100">
        <v>13741.2</v>
      </c>
      <c r="BD45" s="100">
        <v>11</v>
      </c>
      <c r="BE45" s="100">
        <v>13741.2</v>
      </c>
      <c r="BF45" s="100">
        <v>15</v>
      </c>
      <c r="BG45" s="100">
        <v>18738</v>
      </c>
      <c r="BH45" s="100">
        <v>11</v>
      </c>
      <c r="BI45" s="100">
        <v>13741.2</v>
      </c>
      <c r="BJ45" s="100">
        <v>19</v>
      </c>
      <c r="BK45" s="100">
        <v>23734.799999999999</v>
      </c>
      <c r="BL45" s="100">
        <v>10</v>
      </c>
      <c r="BM45" s="100">
        <v>12492</v>
      </c>
      <c r="BN45" s="100">
        <v>16</v>
      </c>
      <c r="BO45" s="100">
        <v>19987.2</v>
      </c>
      <c r="BP45" s="100">
        <v>11</v>
      </c>
      <c r="BQ45" s="100">
        <v>13741.2</v>
      </c>
      <c r="BR45" s="100">
        <v>11.451296672081845</v>
      </c>
      <c r="BS45" s="100">
        <v>14304.959802764643</v>
      </c>
      <c r="BT45" s="100">
        <v>10.180010013581365</v>
      </c>
      <c r="BU45" s="100">
        <v>12716.868508965841</v>
      </c>
      <c r="BV45" s="100">
        <v>12.866009326826379</v>
      </c>
      <c r="BW45" s="100">
        <v>16072.218851071513</v>
      </c>
      <c r="BX45" s="100">
        <v>18.26852277527836</v>
      </c>
      <c r="BY45" s="100">
        <v>22821.038650877726</v>
      </c>
      <c r="BZ45" s="100">
        <v>17</v>
      </c>
      <c r="CA45" s="100">
        <v>21236.400000000001</v>
      </c>
      <c r="CB45" s="100">
        <v>14</v>
      </c>
      <c r="CC45" s="100">
        <v>17488.8</v>
      </c>
      <c r="CD45" s="100">
        <v>16</v>
      </c>
      <c r="CE45" s="100">
        <v>19987.2</v>
      </c>
      <c r="CF45" s="100">
        <v>10</v>
      </c>
      <c r="CG45" s="100">
        <v>12492</v>
      </c>
      <c r="CH45" s="100">
        <v>16</v>
      </c>
      <c r="CI45" s="100">
        <v>19987.2</v>
      </c>
      <c r="CJ45" s="100">
        <v>12</v>
      </c>
      <c r="CK45" s="100">
        <v>14990.400000000001</v>
      </c>
      <c r="CL45" s="100">
        <v>11.717169628288476</v>
      </c>
      <c r="CM45" s="100">
        <v>14637.088299657964</v>
      </c>
      <c r="CN45" s="100">
        <v>11.69778101860274</v>
      </c>
      <c r="CO45" s="100">
        <v>14612.868048438542</v>
      </c>
      <c r="CP45" s="100">
        <v>13.961506809716044</v>
      </c>
      <c r="CQ45" s="100">
        <v>17440.714306697282</v>
      </c>
      <c r="CR45" s="100">
        <v>12.378698223790693</v>
      </c>
      <c r="CS45" s="100">
        <v>15463.469821159333</v>
      </c>
      <c r="CT45" s="100">
        <v>14.545124992102712</v>
      </c>
      <c r="CU45" s="100">
        <v>18169.770140134708</v>
      </c>
    </row>
    <row r="46" spans="2:99">
      <c r="C46" s="99" t="s">
        <v>212</v>
      </c>
      <c r="D46" s="100">
        <v>8</v>
      </c>
      <c r="E46" s="100">
        <v>9696</v>
      </c>
      <c r="F46" s="100">
        <v>13</v>
      </c>
      <c r="G46" s="100">
        <v>15756</v>
      </c>
      <c r="H46" s="100">
        <v>13.846084406024675</v>
      </c>
      <c r="I46" s="100">
        <v>16781.454300101905</v>
      </c>
      <c r="J46" s="100">
        <v>13.790270013194588</v>
      </c>
      <c r="K46" s="100">
        <v>16713.80725599184</v>
      </c>
      <c r="L46" s="100">
        <v>14</v>
      </c>
      <c r="M46" s="100">
        <v>16968</v>
      </c>
      <c r="N46" s="100">
        <v>12</v>
      </c>
      <c r="O46" s="100">
        <v>14544</v>
      </c>
      <c r="P46" s="100">
        <v>12</v>
      </c>
      <c r="Q46" s="100">
        <v>14544</v>
      </c>
      <c r="R46" s="100">
        <v>13</v>
      </c>
      <c r="S46" s="100">
        <v>15756</v>
      </c>
      <c r="T46" s="100">
        <v>13</v>
      </c>
      <c r="U46" s="100">
        <v>15756</v>
      </c>
      <c r="V46" s="100">
        <v>18</v>
      </c>
      <c r="W46" s="100">
        <v>21816</v>
      </c>
      <c r="X46" s="100">
        <v>12</v>
      </c>
      <c r="Y46" s="100">
        <v>14544</v>
      </c>
      <c r="Z46" s="100">
        <v>10</v>
      </c>
      <c r="AA46" s="100">
        <v>12120</v>
      </c>
      <c r="AB46" s="100">
        <v>10</v>
      </c>
      <c r="AC46" s="100">
        <v>12120</v>
      </c>
      <c r="AD46" s="100">
        <v>19</v>
      </c>
      <c r="AE46" s="100">
        <v>23028</v>
      </c>
      <c r="AF46" s="100">
        <v>14</v>
      </c>
      <c r="AG46" s="100">
        <v>16968</v>
      </c>
      <c r="AH46" s="100">
        <v>9</v>
      </c>
      <c r="AI46" s="100">
        <v>10908</v>
      </c>
      <c r="AJ46" s="100">
        <v>14</v>
      </c>
      <c r="AK46" s="100">
        <v>16968</v>
      </c>
      <c r="AL46" s="100">
        <v>14</v>
      </c>
      <c r="AM46" s="100">
        <v>16968</v>
      </c>
      <c r="AN46" s="100">
        <v>13.425868917691597</v>
      </c>
      <c r="AO46" s="100">
        <v>16272.153128242215</v>
      </c>
      <c r="AP46" s="100">
        <v>12.073320646463698</v>
      </c>
      <c r="AQ46" s="100">
        <v>14632.864623514002</v>
      </c>
      <c r="AR46" s="100">
        <v>11</v>
      </c>
      <c r="AS46" s="100">
        <v>13332</v>
      </c>
      <c r="AT46" s="100">
        <v>15.80772230276018</v>
      </c>
      <c r="AU46" s="100">
        <v>19158.959430945339</v>
      </c>
      <c r="AV46" s="100">
        <v>15</v>
      </c>
      <c r="AW46" s="100">
        <v>18180</v>
      </c>
      <c r="AX46" s="100">
        <v>14</v>
      </c>
      <c r="AY46" s="100">
        <v>16968</v>
      </c>
      <c r="AZ46" s="100">
        <v>11</v>
      </c>
      <c r="BA46" s="100">
        <v>13332</v>
      </c>
      <c r="BB46" s="100">
        <v>10</v>
      </c>
      <c r="BC46" s="100">
        <v>12120</v>
      </c>
      <c r="BD46" s="100">
        <v>10</v>
      </c>
      <c r="BE46" s="100">
        <v>12120</v>
      </c>
      <c r="BF46" s="100">
        <v>15</v>
      </c>
      <c r="BG46" s="100">
        <v>18180</v>
      </c>
      <c r="BH46" s="100">
        <v>10</v>
      </c>
      <c r="BI46" s="100">
        <v>12120</v>
      </c>
      <c r="BJ46" s="100">
        <v>19</v>
      </c>
      <c r="BK46" s="100">
        <v>23028</v>
      </c>
      <c r="BL46" s="100">
        <v>12</v>
      </c>
      <c r="BM46" s="100">
        <v>14544</v>
      </c>
      <c r="BN46" s="100">
        <v>14</v>
      </c>
      <c r="BO46" s="100">
        <v>16968</v>
      </c>
      <c r="BP46" s="100">
        <v>10</v>
      </c>
      <c r="BQ46" s="100">
        <v>12120</v>
      </c>
      <c r="BR46" s="100">
        <v>11.451296672081845</v>
      </c>
      <c r="BS46" s="100">
        <v>13878.971566563197</v>
      </c>
      <c r="BT46" s="100">
        <v>11.105465469361489</v>
      </c>
      <c r="BU46" s="100">
        <v>13459.824148866124</v>
      </c>
      <c r="BV46" s="100">
        <v>11.947008660624496</v>
      </c>
      <c r="BW46" s="100">
        <v>14479.77449667689</v>
      </c>
      <c r="BX46" s="100">
        <v>16.441670497750522</v>
      </c>
      <c r="BY46" s="100">
        <v>19927.304643273634</v>
      </c>
      <c r="BZ46" s="100">
        <v>18</v>
      </c>
      <c r="CA46" s="100">
        <v>21816</v>
      </c>
      <c r="CB46" s="100">
        <v>15</v>
      </c>
      <c r="CC46" s="100">
        <v>18180</v>
      </c>
      <c r="CD46" s="100">
        <v>15</v>
      </c>
      <c r="CE46" s="100">
        <v>18180</v>
      </c>
      <c r="CF46" s="100">
        <v>9</v>
      </c>
      <c r="CG46" s="100">
        <v>10908</v>
      </c>
      <c r="CH46" s="100">
        <v>16</v>
      </c>
      <c r="CI46" s="100">
        <v>19392</v>
      </c>
      <c r="CJ46" s="100">
        <v>13</v>
      </c>
      <c r="CK46" s="100">
        <v>15756</v>
      </c>
      <c r="CL46" s="100">
        <v>10.7407388259311</v>
      </c>
      <c r="CM46" s="100">
        <v>13017.775457028492</v>
      </c>
      <c r="CN46" s="100">
        <v>10.91792895069589</v>
      </c>
      <c r="CO46" s="100">
        <v>13232.529888243418</v>
      </c>
      <c r="CP46" s="100">
        <v>15.956007782532621</v>
      </c>
      <c r="CQ46" s="100">
        <v>19338.681432429537</v>
      </c>
      <c r="CR46" s="100">
        <v>13.330905779466901</v>
      </c>
      <c r="CS46" s="100">
        <v>16157.057804713884</v>
      </c>
      <c r="CT46" s="100">
        <v>13.689529404331966</v>
      </c>
      <c r="CU46" s="100">
        <v>16591.709638050343</v>
      </c>
    </row>
    <row r="47" spans="2:99">
      <c r="C47" s="99" t="s">
        <v>213</v>
      </c>
      <c r="D47" s="100">
        <v>9</v>
      </c>
      <c r="E47" s="100">
        <v>13748.4</v>
      </c>
      <c r="F47" s="100">
        <v>13</v>
      </c>
      <c r="G47" s="100">
        <v>19858.8</v>
      </c>
      <c r="H47" s="100">
        <v>11.868072348021149</v>
      </c>
      <c r="I47" s="100">
        <v>18129.667318837106</v>
      </c>
      <c r="J47" s="100">
        <v>12.066486261545263</v>
      </c>
      <c r="K47" s="100">
        <v>18432.764413136541</v>
      </c>
      <c r="L47" s="100">
        <v>11</v>
      </c>
      <c r="M47" s="100">
        <v>16803.599999999999</v>
      </c>
      <c r="N47" s="100">
        <v>11</v>
      </c>
      <c r="O47" s="100">
        <v>16803.599999999999</v>
      </c>
      <c r="P47" s="100">
        <v>12</v>
      </c>
      <c r="Q47" s="100">
        <v>18331.199999999997</v>
      </c>
      <c r="R47" s="100">
        <v>13</v>
      </c>
      <c r="S47" s="100">
        <v>19858.8</v>
      </c>
      <c r="T47" s="100">
        <v>12</v>
      </c>
      <c r="U47" s="100">
        <v>18331.199999999997</v>
      </c>
      <c r="V47" s="100">
        <v>17</v>
      </c>
      <c r="W47" s="100">
        <v>25969.199999999997</v>
      </c>
      <c r="X47" s="100">
        <v>12</v>
      </c>
      <c r="Y47" s="100">
        <v>18331.199999999997</v>
      </c>
      <c r="Z47" s="100">
        <v>11</v>
      </c>
      <c r="AA47" s="100">
        <v>16803.599999999999</v>
      </c>
      <c r="AB47" s="100">
        <v>10</v>
      </c>
      <c r="AC47" s="100">
        <v>15276</v>
      </c>
      <c r="AD47" s="100">
        <v>18</v>
      </c>
      <c r="AE47" s="100">
        <v>27496.799999999999</v>
      </c>
      <c r="AF47" s="100">
        <v>13</v>
      </c>
      <c r="AG47" s="100">
        <v>19858.8</v>
      </c>
      <c r="AH47" s="100">
        <v>8</v>
      </c>
      <c r="AI47" s="100">
        <v>12220.8</v>
      </c>
      <c r="AJ47" s="100">
        <v>12</v>
      </c>
      <c r="AK47" s="100">
        <v>18331.199999999997</v>
      </c>
      <c r="AL47" s="100">
        <v>16</v>
      </c>
      <c r="AM47" s="100">
        <v>24441.599999999999</v>
      </c>
      <c r="AN47" s="100">
        <v>14.264985725047321</v>
      </c>
      <c r="AO47" s="100">
        <v>21791.192193582287</v>
      </c>
      <c r="AP47" s="100">
        <v>11.144603673658798</v>
      </c>
      <c r="AQ47" s="100">
        <v>17024.49657188118</v>
      </c>
      <c r="AR47" s="100">
        <v>11</v>
      </c>
      <c r="AS47" s="100">
        <v>16803.599999999999</v>
      </c>
      <c r="AT47" s="100">
        <v>15.80772230276018</v>
      </c>
      <c r="AU47" s="100">
        <v>24147.876589696451</v>
      </c>
      <c r="AV47" s="100">
        <v>14</v>
      </c>
      <c r="AW47" s="100">
        <v>21386.399999999998</v>
      </c>
      <c r="AX47" s="100">
        <v>15</v>
      </c>
      <c r="AY47" s="100">
        <v>22914</v>
      </c>
      <c r="AZ47" s="100">
        <v>11</v>
      </c>
      <c r="BA47" s="100">
        <v>16803.599999999999</v>
      </c>
      <c r="BB47" s="100">
        <v>11</v>
      </c>
      <c r="BC47" s="100">
        <v>16803.599999999999</v>
      </c>
      <c r="BD47" s="100">
        <v>11</v>
      </c>
      <c r="BE47" s="100">
        <v>16803.599999999999</v>
      </c>
      <c r="BF47" s="100">
        <v>15</v>
      </c>
      <c r="BG47" s="100">
        <v>22914</v>
      </c>
      <c r="BH47" s="100">
        <v>11</v>
      </c>
      <c r="BI47" s="100">
        <v>16803.599999999999</v>
      </c>
      <c r="BJ47" s="100">
        <v>17</v>
      </c>
      <c r="BK47" s="100">
        <v>25969.199999999997</v>
      </c>
      <c r="BL47" s="100">
        <v>10</v>
      </c>
      <c r="BM47" s="100">
        <v>15276</v>
      </c>
      <c r="BN47" s="100">
        <v>15</v>
      </c>
      <c r="BO47" s="100">
        <v>22914</v>
      </c>
      <c r="BP47" s="100">
        <v>10</v>
      </c>
      <c r="BQ47" s="100">
        <v>15276</v>
      </c>
      <c r="BR47" s="100">
        <v>10.497021949408358</v>
      </c>
      <c r="BS47" s="100">
        <v>16035.250729916208</v>
      </c>
      <c r="BT47" s="100">
        <v>10.180010013581365</v>
      </c>
      <c r="BU47" s="100">
        <v>15550.983296746892</v>
      </c>
      <c r="BV47" s="100">
        <v>11.028007994422612</v>
      </c>
      <c r="BW47" s="100">
        <v>16846.385012279981</v>
      </c>
      <c r="BX47" s="100">
        <v>15.528244358986605</v>
      </c>
      <c r="BY47" s="100">
        <v>23720.946082787937</v>
      </c>
      <c r="BZ47" s="100">
        <v>18</v>
      </c>
      <c r="CA47" s="100">
        <v>27496.799999999999</v>
      </c>
      <c r="CB47" s="100">
        <v>14</v>
      </c>
      <c r="CC47" s="100">
        <v>21386.399999999998</v>
      </c>
      <c r="CD47" s="100">
        <v>14</v>
      </c>
      <c r="CE47" s="100">
        <v>21386.399999999998</v>
      </c>
      <c r="CF47" s="100">
        <v>10</v>
      </c>
      <c r="CG47" s="100">
        <v>15276</v>
      </c>
      <c r="CH47" s="100">
        <v>15</v>
      </c>
      <c r="CI47" s="100">
        <v>22914</v>
      </c>
      <c r="CJ47" s="100">
        <v>12</v>
      </c>
      <c r="CK47" s="100">
        <v>18331.199999999997</v>
      </c>
      <c r="CL47" s="100">
        <v>9.7643080235737276</v>
      </c>
      <c r="CM47" s="100">
        <v>14915.956936811226</v>
      </c>
      <c r="CN47" s="100">
        <v>10.91792895069589</v>
      </c>
      <c r="CO47" s="100">
        <v>16678.228265083042</v>
      </c>
      <c r="CP47" s="100">
        <v>15.956007782532621</v>
      </c>
      <c r="CQ47" s="100">
        <v>24374.397488596831</v>
      </c>
      <c r="CR47" s="100">
        <v>12.378698223790693</v>
      </c>
      <c r="CS47" s="100">
        <v>18909.699406662661</v>
      </c>
      <c r="CT47" s="100">
        <v>12.833933816561219</v>
      </c>
      <c r="CU47" s="100">
        <v>19605.117298178917</v>
      </c>
    </row>
    <row r="48" spans="2:99">
      <c r="C48" s="99" t="s">
        <v>214</v>
      </c>
      <c r="D48" s="100">
        <v>10</v>
      </c>
      <c r="E48" s="100">
        <v>8676</v>
      </c>
      <c r="F48" s="100">
        <v>12</v>
      </c>
      <c r="G48" s="100">
        <v>10411.200000000001</v>
      </c>
      <c r="H48" s="100">
        <v>14.835090435026437</v>
      </c>
      <c r="I48" s="100">
        <v>12870.924461428936</v>
      </c>
      <c r="J48" s="100">
        <v>13.790270013194588</v>
      </c>
      <c r="K48" s="100">
        <v>11964.438263447624</v>
      </c>
      <c r="L48" s="100">
        <v>13</v>
      </c>
      <c r="M48" s="100">
        <v>11278.800000000001</v>
      </c>
      <c r="N48" s="100">
        <v>12</v>
      </c>
      <c r="O48" s="100">
        <v>10411.200000000001</v>
      </c>
      <c r="P48" s="100">
        <v>13</v>
      </c>
      <c r="Q48" s="100">
        <v>11278.800000000001</v>
      </c>
      <c r="R48" s="100">
        <v>13</v>
      </c>
      <c r="S48" s="100">
        <v>11278.800000000001</v>
      </c>
      <c r="T48" s="100">
        <v>14</v>
      </c>
      <c r="U48" s="100">
        <v>12146.4</v>
      </c>
      <c r="V48" s="100">
        <v>17</v>
      </c>
      <c r="W48" s="100">
        <v>14749.2</v>
      </c>
      <c r="X48" s="100">
        <v>11</v>
      </c>
      <c r="Y48" s="100">
        <v>9543.6</v>
      </c>
      <c r="Z48" s="100">
        <v>12</v>
      </c>
      <c r="AA48" s="100">
        <v>10411.200000000001</v>
      </c>
      <c r="AB48" s="100">
        <v>11</v>
      </c>
      <c r="AC48" s="100">
        <v>9543.6</v>
      </c>
      <c r="AD48" s="100">
        <v>18</v>
      </c>
      <c r="AE48" s="100">
        <v>15616.800000000001</v>
      </c>
      <c r="AF48" s="100">
        <v>13</v>
      </c>
      <c r="AG48" s="100">
        <v>11278.800000000001</v>
      </c>
      <c r="AH48" s="100">
        <v>11</v>
      </c>
      <c r="AI48" s="100">
        <v>9543.6</v>
      </c>
      <c r="AJ48" s="100">
        <v>14</v>
      </c>
      <c r="AK48" s="100">
        <v>12146.4</v>
      </c>
      <c r="AL48" s="100">
        <v>16</v>
      </c>
      <c r="AM48" s="100">
        <v>13881.6</v>
      </c>
      <c r="AN48" s="100">
        <v>15.943219339758771</v>
      </c>
      <c r="AO48" s="100">
        <v>13832.337099174711</v>
      </c>
      <c r="AP48" s="100">
        <v>12.073320646463698</v>
      </c>
      <c r="AQ48" s="100">
        <v>10474.812992871904</v>
      </c>
      <c r="AR48" s="100">
        <v>12</v>
      </c>
      <c r="AS48" s="100">
        <v>10411.200000000001</v>
      </c>
      <c r="AT48" s="100">
        <v>17.667454338379024</v>
      </c>
      <c r="AU48" s="100">
        <v>15328.283383977641</v>
      </c>
      <c r="AV48" s="100">
        <v>14</v>
      </c>
      <c r="AW48" s="100">
        <v>12146.4</v>
      </c>
      <c r="AX48" s="100">
        <v>15</v>
      </c>
      <c r="AY48" s="100">
        <v>13014</v>
      </c>
      <c r="AZ48" s="100">
        <v>10</v>
      </c>
      <c r="BA48" s="100">
        <v>8676</v>
      </c>
      <c r="BB48" s="100">
        <v>12</v>
      </c>
      <c r="BC48" s="100">
        <v>10411.200000000001</v>
      </c>
      <c r="BD48" s="100">
        <v>10</v>
      </c>
      <c r="BE48" s="100">
        <v>8676</v>
      </c>
      <c r="BF48" s="100">
        <v>15</v>
      </c>
      <c r="BG48" s="100">
        <v>13014</v>
      </c>
      <c r="BH48" s="100">
        <v>11</v>
      </c>
      <c r="BI48" s="100">
        <v>9543.6</v>
      </c>
      <c r="BJ48" s="100">
        <v>18</v>
      </c>
      <c r="BK48" s="100">
        <v>15616.800000000001</v>
      </c>
      <c r="BL48" s="100">
        <v>12</v>
      </c>
      <c r="BM48" s="100">
        <v>10411.200000000001</v>
      </c>
      <c r="BN48" s="100">
        <v>15</v>
      </c>
      <c r="BO48" s="100">
        <v>13014</v>
      </c>
      <c r="BP48" s="100">
        <v>12</v>
      </c>
      <c r="BQ48" s="100">
        <v>10411.200000000001</v>
      </c>
      <c r="BR48" s="100">
        <v>12.405571394755331</v>
      </c>
      <c r="BS48" s="100">
        <v>10763.073742089726</v>
      </c>
      <c r="BT48" s="100">
        <v>12.030920925141611</v>
      </c>
      <c r="BU48" s="100">
        <v>10438.026994652862</v>
      </c>
      <c r="BV48" s="100">
        <v>11.947008660624496</v>
      </c>
      <c r="BW48" s="100">
        <v>10365.224713957812</v>
      </c>
      <c r="BX48" s="100">
        <v>18.26852277527836</v>
      </c>
      <c r="BY48" s="100">
        <v>15849.770359831506</v>
      </c>
      <c r="BZ48" s="100">
        <v>19</v>
      </c>
      <c r="CA48" s="100">
        <v>16484.400000000001</v>
      </c>
      <c r="CB48" s="100">
        <v>16</v>
      </c>
      <c r="CC48" s="100">
        <v>13881.6</v>
      </c>
      <c r="CD48" s="100">
        <v>16</v>
      </c>
      <c r="CE48" s="100">
        <v>13881.6</v>
      </c>
      <c r="CF48" s="100">
        <v>10</v>
      </c>
      <c r="CG48" s="100">
        <v>8676</v>
      </c>
      <c r="CH48" s="100">
        <v>15</v>
      </c>
      <c r="CI48" s="100">
        <v>13014</v>
      </c>
      <c r="CJ48" s="100">
        <v>14</v>
      </c>
      <c r="CK48" s="100">
        <v>12146.4</v>
      </c>
      <c r="CL48" s="100">
        <v>12.693600430645848</v>
      </c>
      <c r="CM48" s="100">
        <v>11012.967733628338</v>
      </c>
      <c r="CN48" s="100">
        <v>10.91792895069589</v>
      </c>
      <c r="CO48" s="100">
        <v>9472.3951576237541</v>
      </c>
      <c r="CP48" s="100">
        <v>15.956007782532621</v>
      </c>
      <c r="CQ48" s="100">
        <v>13843.432352125303</v>
      </c>
      <c r="CR48" s="100">
        <v>14.283113335143108</v>
      </c>
      <c r="CS48" s="100">
        <v>12392.029129570161</v>
      </c>
      <c r="CT48" s="100">
        <v>13.689529404331966</v>
      </c>
      <c r="CU48" s="100">
        <v>11877.035711198414</v>
      </c>
    </row>
    <row r="49" spans="2:99">
      <c r="B49" s="99" t="s">
        <v>129</v>
      </c>
      <c r="C49" s="99" t="s">
        <v>215</v>
      </c>
      <c r="D49" s="100">
        <v>11</v>
      </c>
      <c r="E49" s="100">
        <v>10837.199999999999</v>
      </c>
      <c r="F49" s="100">
        <v>12</v>
      </c>
      <c r="G49" s="100">
        <v>11822.4</v>
      </c>
      <c r="H49" s="100">
        <v>15</v>
      </c>
      <c r="I49" s="100">
        <v>14777.999999999998</v>
      </c>
      <c r="J49" s="100">
        <v>17</v>
      </c>
      <c r="K49" s="100">
        <v>16748.399999999998</v>
      </c>
      <c r="L49" s="100">
        <v>10</v>
      </c>
      <c r="M49" s="100">
        <v>9852</v>
      </c>
      <c r="N49" s="100">
        <v>8</v>
      </c>
      <c r="O49" s="100">
        <v>7881.5999999999995</v>
      </c>
      <c r="P49" s="100">
        <v>8</v>
      </c>
      <c r="Q49" s="100">
        <v>7881.5999999999995</v>
      </c>
      <c r="R49" s="100">
        <v>12</v>
      </c>
      <c r="S49" s="100">
        <v>11822.4</v>
      </c>
      <c r="T49" s="100">
        <v>13</v>
      </c>
      <c r="U49" s="100">
        <v>12807.599999999999</v>
      </c>
      <c r="V49" s="100">
        <v>12</v>
      </c>
      <c r="W49" s="100">
        <v>11822.4</v>
      </c>
      <c r="X49" s="100">
        <v>10</v>
      </c>
      <c r="Y49" s="100">
        <v>9852</v>
      </c>
      <c r="Z49" s="100">
        <v>12.939105937615704</v>
      </c>
      <c r="AA49" s="100">
        <v>12747.607169738991</v>
      </c>
      <c r="AB49" s="100">
        <v>14.189189189189189</v>
      </c>
      <c r="AC49" s="100">
        <v>13979.189189189188</v>
      </c>
      <c r="AD49" s="100">
        <v>10.547945205479451</v>
      </c>
      <c r="AE49" s="100">
        <v>10391.835616438355</v>
      </c>
      <c r="AF49" s="100">
        <v>9.2715231788079482</v>
      </c>
      <c r="AG49" s="100">
        <v>9134.3046357615895</v>
      </c>
      <c r="AH49" s="100">
        <v>14.4</v>
      </c>
      <c r="AI49" s="100">
        <v>14186.88</v>
      </c>
      <c r="AJ49" s="100">
        <v>11.011235955056179</v>
      </c>
      <c r="AK49" s="100">
        <v>10848.269662921346</v>
      </c>
      <c r="AL49" s="100">
        <v>14.583333333333334</v>
      </c>
      <c r="AM49" s="100">
        <v>14367.5</v>
      </c>
      <c r="AN49" s="100">
        <v>14</v>
      </c>
      <c r="AO49" s="100">
        <v>13792.8</v>
      </c>
      <c r="AP49" s="100">
        <v>18</v>
      </c>
      <c r="AQ49" s="100">
        <v>17733.599999999999</v>
      </c>
      <c r="AR49" s="100">
        <v>15</v>
      </c>
      <c r="AS49" s="100">
        <v>14777.999999999998</v>
      </c>
      <c r="AT49" s="100">
        <v>15</v>
      </c>
      <c r="AU49" s="100">
        <v>14777.999999999998</v>
      </c>
      <c r="AV49" s="100">
        <v>13</v>
      </c>
      <c r="AW49" s="100">
        <v>12807.599999999999</v>
      </c>
      <c r="AX49" s="100">
        <v>8</v>
      </c>
      <c r="AY49" s="100">
        <v>7881.5999999999995</v>
      </c>
      <c r="AZ49" s="100">
        <v>10</v>
      </c>
      <c r="BA49" s="100">
        <v>9852</v>
      </c>
      <c r="BB49" s="100">
        <v>12.218181818181819</v>
      </c>
      <c r="BC49" s="100">
        <v>12037.352727272726</v>
      </c>
      <c r="BD49" s="100">
        <v>11</v>
      </c>
      <c r="BE49" s="100">
        <v>10837.199999999999</v>
      </c>
      <c r="BF49" s="100">
        <v>17</v>
      </c>
      <c r="BG49" s="100">
        <v>16748.399999999998</v>
      </c>
      <c r="BH49" s="100">
        <v>10</v>
      </c>
      <c r="BI49" s="100">
        <v>9852</v>
      </c>
      <c r="BJ49" s="100">
        <v>14</v>
      </c>
      <c r="BK49" s="100">
        <v>13792.8</v>
      </c>
      <c r="BL49" s="100">
        <v>13</v>
      </c>
      <c r="BM49" s="100">
        <v>12807.599999999999</v>
      </c>
      <c r="BN49" s="100">
        <v>11</v>
      </c>
      <c r="BO49" s="100">
        <v>10837.199999999999</v>
      </c>
      <c r="BP49" s="100">
        <v>12</v>
      </c>
      <c r="BQ49" s="100">
        <v>11822.4</v>
      </c>
      <c r="BR49" s="100">
        <v>17</v>
      </c>
      <c r="BS49" s="100">
        <v>16748.399999999998</v>
      </c>
      <c r="BT49" s="100">
        <v>15</v>
      </c>
      <c r="BU49" s="100">
        <v>14777.999999999998</v>
      </c>
      <c r="BV49" s="100">
        <v>13.090909090909092</v>
      </c>
      <c r="BW49" s="100">
        <v>12897.163636363637</v>
      </c>
      <c r="BX49" s="100">
        <v>9</v>
      </c>
      <c r="BY49" s="100">
        <v>8866.7999999999993</v>
      </c>
      <c r="BZ49" s="100">
        <v>10.754098360655739</v>
      </c>
      <c r="CA49" s="100">
        <v>10594.937704918033</v>
      </c>
      <c r="CB49" s="100">
        <v>11.234567901234568</v>
      </c>
      <c r="CC49" s="100">
        <v>11068.296296296296</v>
      </c>
      <c r="CD49" s="100">
        <v>12.25</v>
      </c>
      <c r="CE49" s="100">
        <v>12068.699999999999</v>
      </c>
      <c r="CF49" s="100">
        <v>11.951219512195124</v>
      </c>
      <c r="CG49" s="100">
        <v>11774.341463414636</v>
      </c>
      <c r="CH49" s="100">
        <v>12.465753424657533</v>
      </c>
      <c r="CI49" s="100">
        <v>12281.260273972601</v>
      </c>
      <c r="CJ49" s="100">
        <v>9.7109826589595372</v>
      </c>
      <c r="CK49" s="100">
        <v>9567.2601156069359</v>
      </c>
      <c r="CL49" s="100">
        <v>13.517241379310345</v>
      </c>
      <c r="CM49" s="100">
        <v>13317.186206896551</v>
      </c>
      <c r="CN49" s="100">
        <v>11</v>
      </c>
      <c r="CO49" s="100">
        <v>10837.199999999999</v>
      </c>
      <c r="CP49" s="100">
        <v>7.604166666666667</v>
      </c>
      <c r="CQ49" s="100">
        <v>7491.625</v>
      </c>
      <c r="CR49" s="100">
        <v>11.830985915492958</v>
      </c>
      <c r="CS49" s="100">
        <v>11655.887323943662</v>
      </c>
      <c r="CT49" s="100">
        <v>12.297297297297298</v>
      </c>
      <c r="CU49" s="100">
        <v>12115.297297297297</v>
      </c>
    </row>
    <row r="50" spans="2:99">
      <c r="C50" s="99" t="s">
        <v>216</v>
      </c>
      <c r="D50" s="100">
        <v>13</v>
      </c>
      <c r="E50" s="100">
        <v>3666</v>
      </c>
      <c r="F50" s="100">
        <v>12</v>
      </c>
      <c r="G50" s="100">
        <v>3384</v>
      </c>
      <c r="H50" s="100">
        <v>17.802108522031727</v>
      </c>
      <c r="I50" s="100">
        <v>5020.1946032129472</v>
      </c>
      <c r="J50" s="100">
        <v>13.790270013194588</v>
      </c>
      <c r="K50" s="100">
        <v>3888.8561437208737</v>
      </c>
      <c r="L50" s="100">
        <v>11</v>
      </c>
      <c r="M50" s="100">
        <v>3102</v>
      </c>
      <c r="N50" s="100">
        <v>9</v>
      </c>
      <c r="O50" s="100">
        <v>2538</v>
      </c>
      <c r="P50" s="100">
        <v>10</v>
      </c>
      <c r="Q50" s="100">
        <v>2820</v>
      </c>
      <c r="R50" s="100">
        <v>12</v>
      </c>
      <c r="S50" s="100">
        <v>3384</v>
      </c>
      <c r="T50" s="100">
        <v>14</v>
      </c>
      <c r="U50" s="100">
        <v>3948</v>
      </c>
      <c r="V50" s="100">
        <v>11</v>
      </c>
      <c r="W50" s="100">
        <v>3102</v>
      </c>
      <c r="X50" s="100">
        <v>10</v>
      </c>
      <c r="Y50" s="100">
        <v>2820</v>
      </c>
      <c r="Z50" s="100">
        <v>15</v>
      </c>
      <c r="AA50" s="100">
        <v>4230</v>
      </c>
      <c r="AB50" s="100">
        <v>16</v>
      </c>
      <c r="AC50" s="100">
        <v>4512</v>
      </c>
      <c r="AD50" s="100">
        <v>12</v>
      </c>
      <c r="AE50" s="100">
        <v>3384</v>
      </c>
      <c r="AF50" s="100">
        <v>12</v>
      </c>
      <c r="AG50" s="100">
        <v>3384</v>
      </c>
      <c r="AH50" s="100">
        <v>18</v>
      </c>
      <c r="AI50" s="100">
        <v>5076</v>
      </c>
      <c r="AJ50" s="100">
        <v>17</v>
      </c>
      <c r="AK50" s="100">
        <v>4794</v>
      </c>
      <c r="AL50" s="100">
        <v>16</v>
      </c>
      <c r="AM50" s="100">
        <v>4512</v>
      </c>
      <c r="AN50" s="100">
        <v>10.908518495624422</v>
      </c>
      <c r="AO50" s="100">
        <v>3076.2022157660872</v>
      </c>
      <c r="AP50" s="100">
        <v>16.7169055104882</v>
      </c>
      <c r="AQ50" s="100">
        <v>4714.1673539576723</v>
      </c>
      <c r="AR50" s="100">
        <v>13</v>
      </c>
      <c r="AS50" s="100">
        <v>3666</v>
      </c>
      <c r="AT50" s="100">
        <v>14.877856284950756</v>
      </c>
      <c r="AU50" s="100">
        <v>4195.5554723561136</v>
      </c>
      <c r="AV50" s="100">
        <v>12</v>
      </c>
      <c r="AW50" s="100">
        <v>3384</v>
      </c>
      <c r="AX50" s="100">
        <v>9</v>
      </c>
      <c r="AY50" s="100">
        <v>2538</v>
      </c>
      <c r="AZ50" s="100">
        <v>11</v>
      </c>
      <c r="BA50" s="100">
        <v>3102</v>
      </c>
      <c r="BB50" s="100">
        <v>14</v>
      </c>
      <c r="BC50" s="100">
        <v>3948</v>
      </c>
      <c r="BD50" s="100">
        <v>10</v>
      </c>
      <c r="BE50" s="100">
        <v>2820</v>
      </c>
      <c r="BF50" s="100">
        <v>17</v>
      </c>
      <c r="BG50" s="100">
        <v>4794</v>
      </c>
      <c r="BH50" s="100">
        <v>9</v>
      </c>
      <c r="BI50" s="100">
        <v>2538</v>
      </c>
      <c r="BJ50" s="100">
        <v>16</v>
      </c>
      <c r="BK50" s="100">
        <v>4512</v>
      </c>
      <c r="BL50" s="100">
        <v>13</v>
      </c>
      <c r="BM50" s="100">
        <v>3666</v>
      </c>
      <c r="BN50" s="100">
        <v>12</v>
      </c>
      <c r="BO50" s="100">
        <v>3384</v>
      </c>
      <c r="BP50" s="100">
        <v>11</v>
      </c>
      <c r="BQ50" s="100">
        <v>3102</v>
      </c>
      <c r="BR50" s="100">
        <v>18.131219730796253</v>
      </c>
      <c r="BS50" s="100">
        <v>5113.0039640845434</v>
      </c>
      <c r="BT50" s="100">
        <v>13.881831836701862</v>
      </c>
      <c r="BU50" s="100">
        <v>3914.6765779499251</v>
      </c>
      <c r="BV50" s="100">
        <v>12.866009326826379</v>
      </c>
      <c r="BW50" s="100">
        <v>3628.2146301650391</v>
      </c>
      <c r="BX50" s="100">
        <v>10.047687526403097</v>
      </c>
      <c r="BY50" s="100">
        <v>2833.4478824456733</v>
      </c>
      <c r="BZ50" s="100">
        <v>13</v>
      </c>
      <c r="CA50" s="100">
        <v>3666</v>
      </c>
      <c r="CB50" s="100">
        <v>14</v>
      </c>
      <c r="CC50" s="100">
        <v>3948</v>
      </c>
      <c r="CD50" s="100">
        <v>14</v>
      </c>
      <c r="CE50" s="100">
        <v>3948</v>
      </c>
      <c r="CF50" s="100">
        <v>16</v>
      </c>
      <c r="CG50" s="100">
        <v>4512</v>
      </c>
      <c r="CH50" s="100">
        <v>14</v>
      </c>
      <c r="CI50" s="100">
        <v>3948</v>
      </c>
      <c r="CJ50" s="100">
        <v>13</v>
      </c>
      <c r="CK50" s="100">
        <v>3666</v>
      </c>
      <c r="CL50" s="100">
        <v>15.622892837717966</v>
      </c>
      <c r="CM50" s="100">
        <v>4405.6557802364669</v>
      </c>
      <c r="CN50" s="100">
        <v>9.3582248148821918</v>
      </c>
      <c r="CO50" s="100">
        <v>2639.0193977967783</v>
      </c>
      <c r="CP50" s="100">
        <v>11.967005836899466</v>
      </c>
      <c r="CQ50" s="100">
        <v>3374.6956460056495</v>
      </c>
      <c r="CR50" s="100">
        <v>10.474283112438279</v>
      </c>
      <c r="CS50" s="100">
        <v>2953.7478377075945</v>
      </c>
      <c r="CT50" s="100">
        <v>11.97833822879047</v>
      </c>
      <c r="CU50" s="100">
        <v>3377.8913805189127</v>
      </c>
    </row>
    <row r="51" spans="2:99">
      <c r="C51" s="99" t="s">
        <v>217</v>
      </c>
      <c r="D51" s="100">
        <v>14</v>
      </c>
      <c r="E51" s="100">
        <v>11961.6</v>
      </c>
      <c r="F51" s="100">
        <v>12</v>
      </c>
      <c r="G51" s="100">
        <v>10252.799999999999</v>
      </c>
      <c r="H51" s="100">
        <v>16.813102493029959</v>
      </c>
      <c r="I51" s="100">
        <v>14365.114770044796</v>
      </c>
      <c r="J51" s="100">
        <v>12.928378137369927</v>
      </c>
      <c r="K51" s="100">
        <v>11046.006280568865</v>
      </c>
      <c r="L51" s="100">
        <v>11</v>
      </c>
      <c r="M51" s="100">
        <v>9398.4</v>
      </c>
      <c r="N51" s="100">
        <v>9</v>
      </c>
      <c r="O51" s="100">
        <v>7689.5999999999995</v>
      </c>
      <c r="P51" s="100">
        <v>9</v>
      </c>
      <c r="Q51" s="100">
        <v>7689.5999999999995</v>
      </c>
      <c r="R51" s="100">
        <v>11</v>
      </c>
      <c r="S51" s="100">
        <v>9398.4</v>
      </c>
      <c r="T51" s="100">
        <v>14</v>
      </c>
      <c r="U51" s="100">
        <v>11961.6</v>
      </c>
      <c r="V51" s="100">
        <v>12</v>
      </c>
      <c r="W51" s="100">
        <v>10252.799999999999</v>
      </c>
      <c r="X51" s="100">
        <v>11</v>
      </c>
      <c r="Y51" s="100">
        <v>9398.4</v>
      </c>
      <c r="Z51" s="100">
        <v>13</v>
      </c>
      <c r="AA51" s="100">
        <v>11107.199999999999</v>
      </c>
      <c r="AB51" s="100">
        <v>16</v>
      </c>
      <c r="AC51" s="100">
        <v>13670.4</v>
      </c>
      <c r="AD51" s="100">
        <v>10</v>
      </c>
      <c r="AE51" s="100">
        <v>8544</v>
      </c>
      <c r="AF51" s="100">
        <v>12</v>
      </c>
      <c r="AG51" s="100">
        <v>10252.799999999999</v>
      </c>
      <c r="AH51" s="100">
        <v>18</v>
      </c>
      <c r="AI51" s="100">
        <v>15379.199999999999</v>
      </c>
      <c r="AJ51" s="100">
        <v>13</v>
      </c>
      <c r="AK51" s="100">
        <v>11107.199999999999</v>
      </c>
      <c r="AL51" s="100">
        <v>15</v>
      </c>
      <c r="AM51" s="100">
        <v>12816</v>
      </c>
      <c r="AN51" s="100">
        <v>10.908518495624422</v>
      </c>
      <c r="AO51" s="100">
        <v>9320.2382026615069</v>
      </c>
      <c r="AP51" s="100">
        <v>16.7169055104882</v>
      </c>
      <c r="AQ51" s="100">
        <v>14282.924068161117</v>
      </c>
      <c r="AR51" s="100">
        <v>14</v>
      </c>
      <c r="AS51" s="100">
        <v>11961.6</v>
      </c>
      <c r="AT51" s="100">
        <v>13.018124249331912</v>
      </c>
      <c r="AU51" s="100">
        <v>11122.685358629185</v>
      </c>
      <c r="AV51" s="100">
        <v>12</v>
      </c>
      <c r="AW51" s="100">
        <v>10252.799999999999</v>
      </c>
      <c r="AX51" s="100">
        <v>8</v>
      </c>
      <c r="AY51" s="100">
        <v>6835.2</v>
      </c>
      <c r="AZ51" s="100">
        <v>10</v>
      </c>
      <c r="BA51" s="100">
        <v>8544</v>
      </c>
      <c r="BB51" s="100">
        <v>13</v>
      </c>
      <c r="BC51" s="100">
        <v>11107.199999999999</v>
      </c>
      <c r="BD51" s="100">
        <v>10</v>
      </c>
      <c r="BE51" s="100">
        <v>8544</v>
      </c>
      <c r="BF51" s="100">
        <v>17</v>
      </c>
      <c r="BG51" s="100">
        <v>14524.8</v>
      </c>
      <c r="BH51" s="100">
        <v>8</v>
      </c>
      <c r="BI51" s="100">
        <v>6835.2</v>
      </c>
      <c r="BJ51" s="100">
        <v>14</v>
      </c>
      <c r="BK51" s="100">
        <v>11961.6</v>
      </c>
      <c r="BL51" s="100">
        <v>12</v>
      </c>
      <c r="BM51" s="100">
        <v>10252.799999999999</v>
      </c>
      <c r="BN51" s="100">
        <v>11</v>
      </c>
      <c r="BO51" s="100">
        <v>9398.4</v>
      </c>
      <c r="BP51" s="100">
        <v>12</v>
      </c>
      <c r="BQ51" s="100">
        <v>10252.799999999999</v>
      </c>
      <c r="BR51" s="100">
        <v>17.176945008122765</v>
      </c>
      <c r="BS51" s="100">
        <v>14675.981814940089</v>
      </c>
      <c r="BT51" s="100">
        <v>13.881831836701862</v>
      </c>
      <c r="BU51" s="100">
        <v>11860.63712127807</v>
      </c>
      <c r="BV51" s="100">
        <v>13.785009993028265</v>
      </c>
      <c r="BW51" s="100">
        <v>11777.912538043349</v>
      </c>
      <c r="BX51" s="100">
        <v>9.1342613876391798</v>
      </c>
      <c r="BY51" s="100">
        <v>7804.3129295989147</v>
      </c>
      <c r="BZ51" s="100">
        <v>12</v>
      </c>
      <c r="CA51" s="100">
        <v>10252.799999999999</v>
      </c>
      <c r="CB51" s="100">
        <v>13</v>
      </c>
      <c r="CC51" s="100">
        <v>11107.199999999999</v>
      </c>
      <c r="CD51" s="100">
        <v>12</v>
      </c>
      <c r="CE51" s="100">
        <v>10252.799999999999</v>
      </c>
      <c r="CF51" s="100">
        <v>16</v>
      </c>
      <c r="CG51" s="100">
        <v>13670.4</v>
      </c>
      <c r="CH51" s="100">
        <v>13</v>
      </c>
      <c r="CI51" s="100">
        <v>11107.199999999999</v>
      </c>
      <c r="CJ51" s="100">
        <v>12</v>
      </c>
      <c r="CK51" s="100">
        <v>10252.799999999999</v>
      </c>
      <c r="CL51" s="100">
        <v>15.622892837717966</v>
      </c>
      <c r="CM51" s="100">
        <v>13348.199640546231</v>
      </c>
      <c r="CN51" s="100">
        <v>9.3582248148821918</v>
      </c>
      <c r="CO51" s="100">
        <v>7995.6672818353445</v>
      </c>
      <c r="CP51" s="100">
        <v>9.9725048640828877</v>
      </c>
      <c r="CQ51" s="100">
        <v>8520.5081558724196</v>
      </c>
      <c r="CR51" s="100">
        <v>11.426490668114486</v>
      </c>
      <c r="CS51" s="100">
        <v>9762.7936268370158</v>
      </c>
      <c r="CT51" s="100">
        <v>11.122742641019721</v>
      </c>
      <c r="CU51" s="100">
        <v>9503.2713124872498</v>
      </c>
    </row>
    <row r="52" spans="2:99">
      <c r="C52" s="99" t="s">
        <v>218</v>
      </c>
      <c r="D52" s="100">
        <v>12</v>
      </c>
      <c r="E52" s="100">
        <v>6480</v>
      </c>
      <c r="F52" s="100">
        <v>13</v>
      </c>
      <c r="G52" s="100">
        <v>7020</v>
      </c>
      <c r="H52" s="100">
        <v>13.846084406024675</v>
      </c>
      <c r="I52" s="100">
        <v>7476.8855792533241</v>
      </c>
      <c r="J52" s="100">
        <v>15.514053764843911</v>
      </c>
      <c r="K52" s="100">
        <v>8377.5890330157126</v>
      </c>
      <c r="L52" s="100">
        <v>11</v>
      </c>
      <c r="M52" s="100">
        <v>5940</v>
      </c>
      <c r="N52" s="100">
        <v>9</v>
      </c>
      <c r="O52" s="100">
        <v>4860</v>
      </c>
      <c r="P52" s="100">
        <v>10</v>
      </c>
      <c r="Q52" s="100">
        <v>5400</v>
      </c>
      <c r="R52" s="100">
        <v>11</v>
      </c>
      <c r="S52" s="100">
        <v>5940</v>
      </c>
      <c r="T52" s="100">
        <v>12</v>
      </c>
      <c r="U52" s="100">
        <v>6480</v>
      </c>
      <c r="V52" s="100">
        <v>12</v>
      </c>
      <c r="W52" s="100">
        <v>6480</v>
      </c>
      <c r="X52" s="100">
        <v>10</v>
      </c>
      <c r="Y52" s="100">
        <v>5400</v>
      </c>
      <c r="Z52" s="100">
        <v>14</v>
      </c>
      <c r="AA52" s="100">
        <v>7560</v>
      </c>
      <c r="AB52" s="100">
        <v>17</v>
      </c>
      <c r="AC52" s="100">
        <v>9180</v>
      </c>
      <c r="AD52" s="100">
        <v>12</v>
      </c>
      <c r="AE52" s="100">
        <v>6480</v>
      </c>
      <c r="AF52" s="100">
        <v>12</v>
      </c>
      <c r="AG52" s="100">
        <v>6480</v>
      </c>
      <c r="AH52" s="100">
        <v>19</v>
      </c>
      <c r="AI52" s="100">
        <v>10260</v>
      </c>
      <c r="AJ52" s="100">
        <v>14</v>
      </c>
      <c r="AK52" s="100">
        <v>7560</v>
      </c>
      <c r="AL52" s="100">
        <v>14</v>
      </c>
      <c r="AM52" s="100">
        <v>7560</v>
      </c>
      <c r="AN52" s="100">
        <v>11.747635302980147</v>
      </c>
      <c r="AO52" s="100">
        <v>6343.7230636092791</v>
      </c>
      <c r="AP52" s="100">
        <v>16.7169055104882</v>
      </c>
      <c r="AQ52" s="100">
        <v>9027.1289756636288</v>
      </c>
      <c r="AR52" s="100">
        <v>14</v>
      </c>
      <c r="AS52" s="100">
        <v>7560</v>
      </c>
      <c r="AT52" s="100">
        <v>13.947990267141336</v>
      </c>
      <c r="AU52" s="100">
        <v>7531.9147442563208</v>
      </c>
      <c r="AV52" s="100">
        <v>13</v>
      </c>
      <c r="AW52" s="100">
        <v>7020</v>
      </c>
      <c r="AX52" s="100">
        <v>10</v>
      </c>
      <c r="AY52" s="100">
        <v>5400</v>
      </c>
      <c r="AZ52" s="100">
        <v>12</v>
      </c>
      <c r="BA52" s="100">
        <v>6480</v>
      </c>
      <c r="BB52" s="100">
        <v>14</v>
      </c>
      <c r="BC52" s="100">
        <v>7560</v>
      </c>
      <c r="BD52" s="100">
        <v>11</v>
      </c>
      <c r="BE52" s="100">
        <v>5940</v>
      </c>
      <c r="BF52" s="100">
        <v>15</v>
      </c>
      <c r="BG52" s="100">
        <v>8100</v>
      </c>
      <c r="BH52" s="100">
        <v>10</v>
      </c>
      <c r="BI52" s="100">
        <v>5400</v>
      </c>
      <c r="BJ52" s="100">
        <v>15</v>
      </c>
      <c r="BK52" s="100">
        <v>8100</v>
      </c>
      <c r="BL52" s="100">
        <v>14</v>
      </c>
      <c r="BM52" s="100">
        <v>7560</v>
      </c>
      <c r="BN52" s="100">
        <v>11</v>
      </c>
      <c r="BO52" s="100">
        <v>5940</v>
      </c>
      <c r="BP52" s="100">
        <v>11</v>
      </c>
      <c r="BQ52" s="100">
        <v>5940</v>
      </c>
      <c r="BR52" s="100">
        <v>16.222670285449279</v>
      </c>
      <c r="BS52" s="100">
        <v>8760.2419541426116</v>
      </c>
      <c r="BT52" s="100">
        <v>12.956376380921737</v>
      </c>
      <c r="BU52" s="100">
        <v>6996.4432456977383</v>
      </c>
      <c r="BV52" s="100">
        <v>13.785009993028265</v>
      </c>
      <c r="BW52" s="100">
        <v>7443.9053962352627</v>
      </c>
      <c r="BX52" s="100">
        <v>10.047687526403097</v>
      </c>
      <c r="BY52" s="100">
        <v>5425.7512642576721</v>
      </c>
      <c r="BZ52" s="100">
        <v>11</v>
      </c>
      <c r="CA52" s="100">
        <v>5940</v>
      </c>
      <c r="CB52" s="100">
        <v>14</v>
      </c>
      <c r="CC52" s="100">
        <v>7560</v>
      </c>
      <c r="CD52" s="100">
        <v>14</v>
      </c>
      <c r="CE52" s="100">
        <v>7560</v>
      </c>
      <c r="CF52" s="100">
        <v>16</v>
      </c>
      <c r="CG52" s="100">
        <v>8640</v>
      </c>
      <c r="CH52" s="100">
        <v>15</v>
      </c>
      <c r="CI52" s="100">
        <v>8100</v>
      </c>
      <c r="CJ52" s="100">
        <v>12</v>
      </c>
      <c r="CK52" s="100">
        <v>6480</v>
      </c>
      <c r="CL52" s="100">
        <v>14.646462035360592</v>
      </c>
      <c r="CM52" s="100">
        <v>7909.0894990947199</v>
      </c>
      <c r="CN52" s="100">
        <v>10.13807688278904</v>
      </c>
      <c r="CO52" s="100">
        <v>5474.5615167060814</v>
      </c>
      <c r="CP52" s="100">
        <v>10.969755350491178</v>
      </c>
      <c r="CQ52" s="100">
        <v>5923.6678892652362</v>
      </c>
      <c r="CR52" s="100">
        <v>11.426490668114486</v>
      </c>
      <c r="CS52" s="100">
        <v>6170.304960781822</v>
      </c>
      <c r="CT52" s="100">
        <v>10.267147053248973</v>
      </c>
      <c r="CU52" s="100">
        <v>5544.2594087544458</v>
      </c>
    </row>
    <row r="53" spans="2:99">
      <c r="C53" s="99" t="s">
        <v>219</v>
      </c>
      <c r="D53" s="100">
        <v>13</v>
      </c>
      <c r="E53" s="100">
        <v>5288.4000000000005</v>
      </c>
      <c r="F53" s="100">
        <v>12</v>
      </c>
      <c r="G53" s="100">
        <v>4881.6000000000004</v>
      </c>
      <c r="H53" s="100">
        <v>15.8240964640282</v>
      </c>
      <c r="I53" s="100">
        <v>6437.2424415666719</v>
      </c>
      <c r="J53" s="100">
        <v>14.652161889019249</v>
      </c>
      <c r="K53" s="100">
        <v>5960.4994564530307</v>
      </c>
      <c r="L53" s="100">
        <v>13</v>
      </c>
      <c r="M53" s="100">
        <v>5288.4000000000005</v>
      </c>
      <c r="N53" s="100">
        <v>10</v>
      </c>
      <c r="O53" s="100">
        <v>4068</v>
      </c>
      <c r="P53" s="100">
        <v>9</v>
      </c>
      <c r="Q53" s="100">
        <v>3661.2000000000003</v>
      </c>
      <c r="R53" s="100">
        <v>11</v>
      </c>
      <c r="S53" s="100">
        <v>4474.8</v>
      </c>
      <c r="T53" s="100">
        <v>15</v>
      </c>
      <c r="U53" s="100">
        <v>6102</v>
      </c>
      <c r="V53" s="100">
        <v>12</v>
      </c>
      <c r="W53" s="100">
        <v>4881.6000000000004</v>
      </c>
      <c r="X53" s="100">
        <v>10</v>
      </c>
      <c r="Y53" s="100">
        <v>4068</v>
      </c>
      <c r="Z53" s="100">
        <v>13</v>
      </c>
      <c r="AA53" s="100">
        <v>5288.4000000000005</v>
      </c>
      <c r="AB53" s="100">
        <v>18</v>
      </c>
      <c r="AC53" s="100">
        <v>7322.4000000000005</v>
      </c>
      <c r="AD53" s="100">
        <v>11</v>
      </c>
      <c r="AE53" s="100">
        <v>4474.8</v>
      </c>
      <c r="AF53" s="100">
        <v>11</v>
      </c>
      <c r="AG53" s="100">
        <v>4474.8</v>
      </c>
      <c r="AH53" s="100">
        <v>17</v>
      </c>
      <c r="AI53" s="100">
        <v>6915.6</v>
      </c>
      <c r="AJ53" s="100">
        <v>15</v>
      </c>
      <c r="AK53" s="100">
        <v>6102</v>
      </c>
      <c r="AL53" s="100">
        <v>16</v>
      </c>
      <c r="AM53" s="100">
        <v>6508.8</v>
      </c>
      <c r="AN53" s="100">
        <v>10.908518495624422</v>
      </c>
      <c r="AO53" s="100">
        <v>4437.5853240200149</v>
      </c>
      <c r="AP53" s="100">
        <v>17.645622483293096</v>
      </c>
      <c r="AQ53" s="100">
        <v>7178.2392262036319</v>
      </c>
      <c r="AR53" s="100">
        <v>15</v>
      </c>
      <c r="AS53" s="100">
        <v>6102</v>
      </c>
      <c r="AT53" s="100">
        <v>13.018124249331912</v>
      </c>
      <c r="AU53" s="100">
        <v>5295.7729446282219</v>
      </c>
      <c r="AV53" s="100">
        <v>12</v>
      </c>
      <c r="AW53" s="100">
        <v>4881.6000000000004</v>
      </c>
      <c r="AX53" s="100">
        <v>9</v>
      </c>
      <c r="AY53" s="100">
        <v>3661.2000000000003</v>
      </c>
      <c r="AZ53" s="100">
        <v>10</v>
      </c>
      <c r="BA53" s="100">
        <v>4068</v>
      </c>
      <c r="BB53" s="100">
        <v>15</v>
      </c>
      <c r="BC53" s="100">
        <v>6102</v>
      </c>
      <c r="BD53" s="100">
        <v>10</v>
      </c>
      <c r="BE53" s="100">
        <v>4068</v>
      </c>
      <c r="BF53" s="100">
        <v>17</v>
      </c>
      <c r="BG53" s="100">
        <v>6915.6</v>
      </c>
      <c r="BH53" s="100">
        <v>10</v>
      </c>
      <c r="BI53" s="100">
        <v>4068</v>
      </c>
      <c r="BJ53" s="100">
        <v>16</v>
      </c>
      <c r="BK53" s="100">
        <v>6508.8</v>
      </c>
      <c r="BL53" s="100">
        <v>13</v>
      </c>
      <c r="BM53" s="100">
        <v>5288.4000000000005</v>
      </c>
      <c r="BN53" s="100">
        <v>11</v>
      </c>
      <c r="BO53" s="100">
        <v>4474.8</v>
      </c>
      <c r="BP53" s="100">
        <v>11</v>
      </c>
      <c r="BQ53" s="100">
        <v>4474.8</v>
      </c>
      <c r="BR53" s="100">
        <v>17.176945008122765</v>
      </c>
      <c r="BS53" s="100">
        <v>6987.5812293043409</v>
      </c>
      <c r="BT53" s="100">
        <v>14.807287292481986</v>
      </c>
      <c r="BU53" s="100">
        <v>6023.6044705816721</v>
      </c>
      <c r="BV53" s="100">
        <v>11.947008660624496</v>
      </c>
      <c r="BW53" s="100">
        <v>4860.0431231420453</v>
      </c>
      <c r="BX53" s="100">
        <v>9.1342613876391798</v>
      </c>
      <c r="BY53" s="100">
        <v>3715.8175324916183</v>
      </c>
      <c r="BZ53" s="100">
        <v>12</v>
      </c>
      <c r="CA53" s="100">
        <v>4881.6000000000004</v>
      </c>
      <c r="CB53" s="100">
        <v>13</v>
      </c>
      <c r="CC53" s="100">
        <v>5288.4000000000005</v>
      </c>
      <c r="CD53" s="100">
        <v>13</v>
      </c>
      <c r="CE53" s="100">
        <v>5288.4000000000005</v>
      </c>
      <c r="CF53" s="100">
        <v>16</v>
      </c>
      <c r="CG53" s="100">
        <v>6508.8</v>
      </c>
      <c r="CH53" s="100">
        <v>15</v>
      </c>
      <c r="CI53" s="100">
        <v>6102</v>
      </c>
      <c r="CJ53" s="100">
        <v>12</v>
      </c>
      <c r="CK53" s="100">
        <v>4881.6000000000004</v>
      </c>
      <c r="CL53" s="100">
        <v>16.599323640075337</v>
      </c>
      <c r="CM53" s="100">
        <v>6752.6048567826474</v>
      </c>
      <c r="CN53" s="100">
        <v>10.13807688278904</v>
      </c>
      <c r="CO53" s="100">
        <v>4124.1696759185816</v>
      </c>
      <c r="CP53" s="100">
        <v>9.9725048640828877</v>
      </c>
      <c r="CQ53" s="100">
        <v>4056.8149787089187</v>
      </c>
      <c r="CR53" s="100">
        <v>10.474283112438279</v>
      </c>
      <c r="CS53" s="100">
        <v>4260.938370139892</v>
      </c>
      <c r="CT53" s="100">
        <v>11.122742641019721</v>
      </c>
      <c r="CU53" s="100">
        <v>4524.7317063668224</v>
      </c>
    </row>
    <row r="54" spans="2:99">
      <c r="C54" s="99" t="s">
        <v>220</v>
      </c>
      <c r="D54" s="100">
        <v>13</v>
      </c>
      <c r="E54" s="100">
        <v>4352.4000000000005</v>
      </c>
      <c r="F54" s="100">
        <v>13</v>
      </c>
      <c r="G54" s="100">
        <v>4352.4000000000005</v>
      </c>
      <c r="H54" s="100">
        <v>16.813102493029959</v>
      </c>
      <c r="I54" s="100">
        <v>5629.0267146664301</v>
      </c>
      <c r="J54" s="100">
        <v>14.652161889019249</v>
      </c>
      <c r="K54" s="100">
        <v>4905.5438004436446</v>
      </c>
      <c r="L54" s="100">
        <v>13</v>
      </c>
      <c r="M54" s="100">
        <v>4352.4000000000005</v>
      </c>
      <c r="N54" s="100">
        <v>9</v>
      </c>
      <c r="O54" s="100">
        <v>3013.2000000000003</v>
      </c>
      <c r="P54" s="100">
        <v>10</v>
      </c>
      <c r="Q54" s="100">
        <v>3348</v>
      </c>
      <c r="R54" s="100">
        <v>11</v>
      </c>
      <c r="S54" s="100">
        <v>3682.8</v>
      </c>
      <c r="T54" s="100">
        <v>13</v>
      </c>
      <c r="U54" s="100">
        <v>4352.4000000000005</v>
      </c>
      <c r="V54" s="100">
        <v>11</v>
      </c>
      <c r="W54" s="100">
        <v>3682.8</v>
      </c>
      <c r="X54" s="100">
        <v>10</v>
      </c>
      <c r="Y54" s="100">
        <v>3348</v>
      </c>
      <c r="Z54" s="100">
        <v>14</v>
      </c>
      <c r="AA54" s="100">
        <v>4687.2</v>
      </c>
      <c r="AB54" s="100">
        <v>17</v>
      </c>
      <c r="AC54" s="100">
        <v>5691.6</v>
      </c>
      <c r="AD54" s="100">
        <v>12</v>
      </c>
      <c r="AE54" s="100">
        <v>4017.6000000000004</v>
      </c>
      <c r="AF54" s="100">
        <v>11</v>
      </c>
      <c r="AG54" s="100">
        <v>3682.8</v>
      </c>
      <c r="AH54" s="100">
        <v>17</v>
      </c>
      <c r="AI54" s="100">
        <v>5691.6</v>
      </c>
      <c r="AJ54" s="100">
        <v>16</v>
      </c>
      <c r="AK54" s="100">
        <v>5356.8</v>
      </c>
      <c r="AL54" s="100">
        <v>15</v>
      </c>
      <c r="AM54" s="100">
        <v>5022</v>
      </c>
      <c r="AN54" s="100">
        <v>12.586752110335873</v>
      </c>
      <c r="AO54" s="100">
        <v>4214.0446065404503</v>
      </c>
      <c r="AP54" s="100">
        <v>14.859471564878397</v>
      </c>
      <c r="AQ54" s="100">
        <v>4974.9510799212876</v>
      </c>
      <c r="AR54" s="100">
        <v>15</v>
      </c>
      <c r="AS54" s="100">
        <v>5022</v>
      </c>
      <c r="AT54" s="100">
        <v>13.018124249331912</v>
      </c>
      <c r="AU54" s="100">
        <v>4358.467998676324</v>
      </c>
      <c r="AV54" s="100">
        <v>13</v>
      </c>
      <c r="AW54" s="100">
        <v>4352.4000000000005</v>
      </c>
      <c r="AX54" s="100">
        <v>8</v>
      </c>
      <c r="AY54" s="100">
        <v>2678.4</v>
      </c>
      <c r="AZ54" s="100">
        <v>11</v>
      </c>
      <c r="BA54" s="100">
        <v>3682.8</v>
      </c>
      <c r="BB54" s="100">
        <v>15</v>
      </c>
      <c r="BC54" s="100">
        <v>5022</v>
      </c>
      <c r="BD54" s="100">
        <v>10</v>
      </c>
      <c r="BE54" s="100">
        <v>3348</v>
      </c>
      <c r="BF54" s="100">
        <v>16</v>
      </c>
      <c r="BG54" s="100">
        <v>5356.8</v>
      </c>
      <c r="BH54" s="100">
        <v>10</v>
      </c>
      <c r="BI54" s="100">
        <v>3348</v>
      </c>
      <c r="BJ54" s="100">
        <v>13</v>
      </c>
      <c r="BK54" s="100">
        <v>4352.4000000000005</v>
      </c>
      <c r="BL54" s="100">
        <v>14</v>
      </c>
      <c r="BM54" s="100">
        <v>4687.2</v>
      </c>
      <c r="BN54" s="100">
        <v>12</v>
      </c>
      <c r="BO54" s="100">
        <v>4017.6000000000004</v>
      </c>
      <c r="BP54" s="100">
        <v>12</v>
      </c>
      <c r="BQ54" s="100">
        <v>4017.6000000000004</v>
      </c>
      <c r="BR54" s="100">
        <v>17.176945008122765</v>
      </c>
      <c r="BS54" s="100">
        <v>5750.8411887195016</v>
      </c>
      <c r="BT54" s="100">
        <v>12.956376380921737</v>
      </c>
      <c r="BU54" s="100">
        <v>4337.7948123325978</v>
      </c>
      <c r="BV54" s="100">
        <v>12.866009326826379</v>
      </c>
      <c r="BW54" s="100">
        <v>4307.5399226214722</v>
      </c>
      <c r="BX54" s="100">
        <v>9.1342613876391798</v>
      </c>
      <c r="BY54" s="100">
        <v>3058.1507125815974</v>
      </c>
      <c r="BZ54" s="100">
        <v>13</v>
      </c>
      <c r="CA54" s="100">
        <v>4352.4000000000005</v>
      </c>
      <c r="CB54" s="100">
        <v>14</v>
      </c>
      <c r="CC54" s="100">
        <v>4687.2</v>
      </c>
      <c r="CD54" s="100">
        <v>13</v>
      </c>
      <c r="CE54" s="100">
        <v>4352.4000000000005</v>
      </c>
      <c r="CF54" s="100">
        <v>15</v>
      </c>
      <c r="CG54" s="100">
        <v>5022</v>
      </c>
      <c r="CH54" s="100">
        <v>15</v>
      </c>
      <c r="CI54" s="100">
        <v>5022</v>
      </c>
      <c r="CJ54" s="100">
        <v>13</v>
      </c>
      <c r="CK54" s="100">
        <v>4352.4000000000005</v>
      </c>
      <c r="CL54" s="100">
        <v>15.622892837717966</v>
      </c>
      <c r="CM54" s="100">
        <v>5230.5445220679749</v>
      </c>
      <c r="CN54" s="100">
        <v>8.5783727469753419</v>
      </c>
      <c r="CO54" s="100">
        <v>2872.0391956873445</v>
      </c>
      <c r="CP54" s="100">
        <v>9.9725048640828877</v>
      </c>
      <c r="CQ54" s="100">
        <v>3338.7946284949508</v>
      </c>
      <c r="CR54" s="100">
        <v>10.474283112438279</v>
      </c>
      <c r="CS54" s="100">
        <v>3506.7899860443358</v>
      </c>
      <c r="CT54" s="100">
        <v>10.267147053248973</v>
      </c>
      <c r="CU54" s="100">
        <v>3437.4408334277564</v>
      </c>
    </row>
    <row r="55" spans="2:99">
      <c r="C55" s="99" t="s">
        <v>221</v>
      </c>
      <c r="D55" s="100">
        <v>12</v>
      </c>
      <c r="E55" s="100">
        <v>7963.2000000000007</v>
      </c>
      <c r="F55" s="100">
        <v>12</v>
      </c>
      <c r="G55" s="100">
        <v>7963.2000000000007</v>
      </c>
      <c r="H55" s="100">
        <v>13.846084406024675</v>
      </c>
      <c r="I55" s="100">
        <v>9188.2616118379738</v>
      </c>
      <c r="J55" s="100">
        <v>15.514053764843911</v>
      </c>
      <c r="K55" s="100">
        <v>10295.12607835042</v>
      </c>
      <c r="L55" s="100">
        <v>12</v>
      </c>
      <c r="M55" s="100">
        <v>7963.2000000000007</v>
      </c>
      <c r="N55" s="100">
        <v>8</v>
      </c>
      <c r="O55" s="100">
        <v>5308.8</v>
      </c>
      <c r="P55" s="100">
        <v>8</v>
      </c>
      <c r="Q55" s="100">
        <v>5308.8</v>
      </c>
      <c r="R55" s="100">
        <v>10</v>
      </c>
      <c r="S55" s="100">
        <v>6636</v>
      </c>
      <c r="T55" s="100">
        <v>14</v>
      </c>
      <c r="U55" s="100">
        <v>9290.4</v>
      </c>
      <c r="V55" s="100">
        <v>11</v>
      </c>
      <c r="W55" s="100">
        <v>7299.6</v>
      </c>
      <c r="X55" s="100">
        <v>10</v>
      </c>
      <c r="Y55" s="100">
        <v>6636</v>
      </c>
      <c r="Z55" s="100">
        <v>15</v>
      </c>
      <c r="AA55" s="100">
        <v>9954</v>
      </c>
      <c r="AB55" s="100">
        <v>15</v>
      </c>
      <c r="AC55" s="100">
        <v>9954</v>
      </c>
      <c r="AD55" s="100">
        <v>11</v>
      </c>
      <c r="AE55" s="100">
        <v>7299.6</v>
      </c>
      <c r="AF55" s="100">
        <v>10</v>
      </c>
      <c r="AG55" s="100">
        <v>6636</v>
      </c>
      <c r="AH55" s="100">
        <v>17</v>
      </c>
      <c r="AI55" s="100">
        <v>11281.2</v>
      </c>
      <c r="AJ55" s="100">
        <v>14</v>
      </c>
      <c r="AK55" s="100">
        <v>9290.4</v>
      </c>
      <c r="AL55" s="100">
        <v>16</v>
      </c>
      <c r="AM55" s="100">
        <v>10617.6</v>
      </c>
      <c r="AN55" s="100">
        <v>11.747635302980147</v>
      </c>
      <c r="AO55" s="100">
        <v>7795.7307870576251</v>
      </c>
      <c r="AP55" s="100">
        <v>15.788188537683297</v>
      </c>
      <c r="AQ55" s="100">
        <v>10477.041913606636</v>
      </c>
      <c r="AR55" s="100">
        <v>14</v>
      </c>
      <c r="AS55" s="100">
        <v>9290.4</v>
      </c>
      <c r="AT55" s="100">
        <v>13.947990267141336</v>
      </c>
      <c r="AU55" s="100">
        <v>9255.8863412749906</v>
      </c>
      <c r="AV55" s="100">
        <v>13</v>
      </c>
      <c r="AW55" s="100">
        <v>8626.8000000000011</v>
      </c>
      <c r="AX55" s="100">
        <v>10</v>
      </c>
      <c r="AY55" s="100">
        <v>6636</v>
      </c>
      <c r="AZ55" s="100">
        <v>11</v>
      </c>
      <c r="BA55" s="100">
        <v>7299.6</v>
      </c>
      <c r="BB55" s="100">
        <v>15</v>
      </c>
      <c r="BC55" s="100">
        <v>9954</v>
      </c>
      <c r="BD55" s="100">
        <v>10</v>
      </c>
      <c r="BE55" s="100">
        <v>6636</v>
      </c>
      <c r="BF55" s="100">
        <v>17</v>
      </c>
      <c r="BG55" s="100">
        <v>11281.2</v>
      </c>
      <c r="BH55" s="100">
        <v>9</v>
      </c>
      <c r="BI55" s="100">
        <v>5972.4000000000005</v>
      </c>
      <c r="BJ55" s="100">
        <v>14</v>
      </c>
      <c r="BK55" s="100">
        <v>9290.4</v>
      </c>
      <c r="BL55" s="100">
        <v>14</v>
      </c>
      <c r="BM55" s="100">
        <v>9290.4</v>
      </c>
      <c r="BN55" s="100">
        <v>12</v>
      </c>
      <c r="BO55" s="100">
        <v>7963.2000000000007</v>
      </c>
      <c r="BP55" s="100">
        <v>12</v>
      </c>
      <c r="BQ55" s="100">
        <v>7963.2000000000007</v>
      </c>
      <c r="BR55" s="100">
        <v>18.131219730796253</v>
      </c>
      <c r="BS55" s="100">
        <v>12031.877413356395</v>
      </c>
      <c r="BT55" s="100">
        <v>14.807287292481986</v>
      </c>
      <c r="BU55" s="100">
        <v>9826.1158472910465</v>
      </c>
      <c r="BV55" s="100">
        <v>12.866009326826379</v>
      </c>
      <c r="BW55" s="100">
        <v>8537.8837892819847</v>
      </c>
      <c r="BX55" s="100">
        <v>9.1342613876391798</v>
      </c>
      <c r="BY55" s="100">
        <v>6061.4958568373595</v>
      </c>
      <c r="BZ55" s="100">
        <v>12</v>
      </c>
      <c r="CA55" s="100">
        <v>7963.2000000000007</v>
      </c>
      <c r="CB55" s="100">
        <v>13</v>
      </c>
      <c r="CC55" s="100">
        <v>8626.8000000000011</v>
      </c>
      <c r="CD55" s="100">
        <v>13</v>
      </c>
      <c r="CE55" s="100">
        <v>8626.8000000000011</v>
      </c>
      <c r="CF55" s="100">
        <v>15</v>
      </c>
      <c r="CG55" s="100">
        <v>9954</v>
      </c>
      <c r="CH55" s="100">
        <v>14</v>
      </c>
      <c r="CI55" s="100">
        <v>9290.4</v>
      </c>
      <c r="CJ55" s="100">
        <v>11</v>
      </c>
      <c r="CK55" s="100">
        <v>7299.6</v>
      </c>
      <c r="CL55" s="100">
        <v>15.622892837717966</v>
      </c>
      <c r="CM55" s="100">
        <v>10367.351687109644</v>
      </c>
      <c r="CN55" s="100">
        <v>9.3582248148821918</v>
      </c>
      <c r="CO55" s="100">
        <v>6210.1179871558224</v>
      </c>
      <c r="CP55" s="100">
        <v>9.9725048640828877</v>
      </c>
      <c r="CQ55" s="100">
        <v>6617.7542278054043</v>
      </c>
      <c r="CR55" s="100">
        <v>10.474283112438279</v>
      </c>
      <c r="CS55" s="100">
        <v>6950.734273414042</v>
      </c>
      <c r="CT55" s="100">
        <v>11.122742641019721</v>
      </c>
      <c r="CU55" s="100">
        <v>7381.0520165806875</v>
      </c>
    </row>
    <row r="56" spans="2:99">
      <c r="C56" s="99" t="s">
        <v>222</v>
      </c>
      <c r="D56" s="100">
        <v>11</v>
      </c>
      <c r="E56" s="100">
        <v>10797.599999999999</v>
      </c>
      <c r="F56" s="100">
        <v>11</v>
      </c>
      <c r="G56" s="100">
        <v>10797.599999999999</v>
      </c>
      <c r="H56" s="100">
        <v>16</v>
      </c>
      <c r="I56" s="100">
        <v>15705.599999999999</v>
      </c>
      <c r="J56" s="100">
        <v>17</v>
      </c>
      <c r="K56" s="100">
        <v>16687.199999999997</v>
      </c>
      <c r="L56" s="100">
        <v>10</v>
      </c>
      <c r="M56" s="100">
        <v>9816</v>
      </c>
      <c r="N56" s="100">
        <v>9</v>
      </c>
      <c r="O56" s="100">
        <v>8834.4</v>
      </c>
      <c r="P56" s="100">
        <v>8</v>
      </c>
      <c r="Q56" s="100">
        <v>7852.7999999999993</v>
      </c>
      <c r="R56" s="100">
        <v>10</v>
      </c>
      <c r="S56" s="100">
        <v>9816</v>
      </c>
      <c r="T56" s="100">
        <v>14</v>
      </c>
      <c r="U56" s="100">
        <v>13742.399999999998</v>
      </c>
      <c r="V56" s="100">
        <v>12</v>
      </c>
      <c r="W56" s="100">
        <v>11779.199999999999</v>
      </c>
      <c r="X56" s="100">
        <v>10</v>
      </c>
      <c r="Y56" s="100">
        <v>9816</v>
      </c>
      <c r="Z56" s="100">
        <v>14</v>
      </c>
      <c r="AA56" s="100">
        <v>13742.399999999998</v>
      </c>
      <c r="AB56" s="100">
        <v>14</v>
      </c>
      <c r="AC56" s="100">
        <v>13742.399999999998</v>
      </c>
      <c r="AD56" s="100">
        <v>12</v>
      </c>
      <c r="AE56" s="100">
        <v>11779.199999999999</v>
      </c>
      <c r="AF56" s="100">
        <v>10</v>
      </c>
      <c r="AG56" s="100">
        <v>9816</v>
      </c>
      <c r="AH56" s="100">
        <v>18</v>
      </c>
      <c r="AI56" s="100">
        <v>17668.8</v>
      </c>
      <c r="AJ56" s="100">
        <v>15</v>
      </c>
      <c r="AK56" s="100">
        <v>14723.999999999998</v>
      </c>
      <c r="AL56" s="100">
        <v>15</v>
      </c>
      <c r="AM56" s="100">
        <v>14723.999999999998</v>
      </c>
      <c r="AN56" s="100">
        <v>13</v>
      </c>
      <c r="AO56" s="100">
        <v>12760.8</v>
      </c>
      <c r="AP56" s="100">
        <v>16</v>
      </c>
      <c r="AQ56" s="100">
        <v>15705.599999999999</v>
      </c>
      <c r="AR56" s="100">
        <v>12</v>
      </c>
      <c r="AS56" s="100">
        <v>11779.199999999999</v>
      </c>
      <c r="AT56" s="100">
        <v>14</v>
      </c>
      <c r="AU56" s="100">
        <v>13742.399999999998</v>
      </c>
      <c r="AV56" s="100">
        <v>12</v>
      </c>
      <c r="AW56" s="100">
        <v>11779.199999999999</v>
      </c>
      <c r="AX56" s="100">
        <v>9</v>
      </c>
      <c r="AY56" s="100">
        <v>8834.4</v>
      </c>
      <c r="AZ56" s="100">
        <v>11</v>
      </c>
      <c r="BA56" s="100">
        <v>10797.599999999999</v>
      </c>
      <c r="BB56" s="100">
        <v>12</v>
      </c>
      <c r="BC56" s="100">
        <v>11779.199999999999</v>
      </c>
      <c r="BD56" s="100">
        <v>10</v>
      </c>
      <c r="BE56" s="100">
        <v>9816</v>
      </c>
      <c r="BF56" s="100">
        <v>16</v>
      </c>
      <c r="BG56" s="100">
        <v>15705.599999999999</v>
      </c>
      <c r="BH56" s="100">
        <v>8</v>
      </c>
      <c r="BI56" s="100">
        <v>7852.7999999999993</v>
      </c>
      <c r="BJ56" s="100">
        <v>13</v>
      </c>
      <c r="BK56" s="100">
        <v>12760.8</v>
      </c>
      <c r="BL56" s="100">
        <v>13</v>
      </c>
      <c r="BM56" s="100">
        <v>12760.8</v>
      </c>
      <c r="BN56" s="100">
        <v>6.6986340719253237</v>
      </c>
      <c r="BO56" s="100">
        <v>6575.3792050018974</v>
      </c>
      <c r="BP56" s="100">
        <v>10</v>
      </c>
      <c r="BQ56" s="100">
        <v>9816</v>
      </c>
      <c r="BR56" s="100">
        <v>15</v>
      </c>
      <c r="BS56" s="100">
        <v>14723.999999999998</v>
      </c>
      <c r="BT56" s="100">
        <v>15</v>
      </c>
      <c r="BU56" s="100">
        <v>14723.999999999998</v>
      </c>
      <c r="BV56" s="100">
        <v>15</v>
      </c>
      <c r="BW56" s="100">
        <v>14723.999999999998</v>
      </c>
      <c r="BX56" s="100">
        <v>10</v>
      </c>
      <c r="BY56" s="100">
        <v>9816</v>
      </c>
      <c r="BZ56" s="100">
        <v>10</v>
      </c>
      <c r="CA56" s="100">
        <v>9816</v>
      </c>
      <c r="CB56" s="100">
        <v>14</v>
      </c>
      <c r="CC56" s="100">
        <v>13742.399999999998</v>
      </c>
      <c r="CD56" s="100">
        <v>14</v>
      </c>
      <c r="CE56" s="100">
        <v>13742.399999999998</v>
      </c>
      <c r="CF56" s="100">
        <v>15</v>
      </c>
      <c r="CG56" s="100">
        <v>14723.999999999998</v>
      </c>
      <c r="CH56" s="100">
        <v>13</v>
      </c>
      <c r="CI56" s="100">
        <v>12760.8</v>
      </c>
      <c r="CJ56" s="100">
        <v>12.54296875</v>
      </c>
      <c r="CK56" s="100">
        <v>12312.178124999999</v>
      </c>
      <c r="CL56" s="100">
        <v>14.921465968586388</v>
      </c>
      <c r="CM56" s="100">
        <v>14646.910994764397</v>
      </c>
      <c r="CN56" s="100">
        <v>10.363636363636363</v>
      </c>
      <c r="CO56" s="100">
        <v>10172.945454545454</v>
      </c>
      <c r="CP56" s="100">
        <v>9.6759259259259256</v>
      </c>
      <c r="CQ56" s="100">
        <v>9497.8888888888869</v>
      </c>
      <c r="CR56" s="100">
        <v>8.1322957198443575</v>
      </c>
      <c r="CS56" s="100">
        <v>7982.6614785992206</v>
      </c>
      <c r="CT56" s="100">
        <v>12.474747474747476</v>
      </c>
      <c r="CU56" s="100">
        <v>12245.212121212122</v>
      </c>
    </row>
    <row r="57" spans="2:99">
      <c r="C57" s="99" t="s">
        <v>223</v>
      </c>
      <c r="D57" s="100">
        <v>11</v>
      </c>
      <c r="E57" s="100">
        <v>15523.2</v>
      </c>
      <c r="F57" s="100">
        <v>12</v>
      </c>
      <c r="G57" s="100">
        <v>16934.400000000001</v>
      </c>
      <c r="H57" s="100">
        <v>14.835090435026437</v>
      </c>
      <c r="I57" s="100">
        <v>20935.279621909311</v>
      </c>
      <c r="J57" s="100">
        <v>14.652161889019249</v>
      </c>
      <c r="K57" s="100">
        <v>20677.130857783966</v>
      </c>
      <c r="L57" s="100">
        <v>11</v>
      </c>
      <c r="M57" s="100">
        <v>15523.2</v>
      </c>
      <c r="N57" s="100">
        <v>8</v>
      </c>
      <c r="O57" s="100">
        <v>11289.6</v>
      </c>
      <c r="P57" s="100">
        <v>8</v>
      </c>
      <c r="Q57" s="100">
        <v>11289.6</v>
      </c>
      <c r="R57" s="100">
        <v>10</v>
      </c>
      <c r="S57" s="100">
        <v>14112</v>
      </c>
      <c r="T57" s="100">
        <v>13</v>
      </c>
      <c r="U57" s="100">
        <v>18345.600000000002</v>
      </c>
      <c r="V57" s="100">
        <v>11</v>
      </c>
      <c r="W57" s="100">
        <v>15523.2</v>
      </c>
      <c r="X57" s="100">
        <v>10</v>
      </c>
      <c r="Y57" s="100">
        <v>14112</v>
      </c>
      <c r="Z57" s="100">
        <v>12</v>
      </c>
      <c r="AA57" s="100">
        <v>16934.400000000001</v>
      </c>
      <c r="AB57" s="100">
        <v>14</v>
      </c>
      <c r="AC57" s="100">
        <v>19756.8</v>
      </c>
      <c r="AD57" s="100">
        <v>11</v>
      </c>
      <c r="AE57" s="100">
        <v>15523.2</v>
      </c>
      <c r="AF57" s="100">
        <v>10</v>
      </c>
      <c r="AG57" s="100">
        <v>14112</v>
      </c>
      <c r="AH57" s="100">
        <v>16</v>
      </c>
      <c r="AI57" s="100">
        <v>22579.200000000001</v>
      </c>
      <c r="AJ57" s="100">
        <v>14</v>
      </c>
      <c r="AK57" s="100">
        <v>19756.8</v>
      </c>
      <c r="AL57" s="100">
        <v>13</v>
      </c>
      <c r="AM57" s="100">
        <v>18345.600000000002</v>
      </c>
      <c r="AN57" s="100">
        <v>10.908518495624422</v>
      </c>
      <c r="AO57" s="100">
        <v>15394.101301025185</v>
      </c>
      <c r="AP57" s="100">
        <v>14.859471564878397</v>
      </c>
      <c r="AQ57" s="100">
        <v>20969.686272356394</v>
      </c>
      <c r="AR57" s="100">
        <v>14</v>
      </c>
      <c r="AS57" s="100">
        <v>19756.8</v>
      </c>
      <c r="AT57" s="100">
        <v>13.018124249331912</v>
      </c>
      <c r="AU57" s="100">
        <v>18371.176940657195</v>
      </c>
      <c r="AV57" s="100">
        <v>12</v>
      </c>
      <c r="AW57" s="100">
        <v>16934.400000000001</v>
      </c>
      <c r="AX57" s="100">
        <v>7</v>
      </c>
      <c r="AY57" s="100">
        <v>9878.4</v>
      </c>
      <c r="AZ57" s="100">
        <v>9</v>
      </c>
      <c r="BA57" s="100">
        <v>12700.800000000001</v>
      </c>
      <c r="BB57" s="100">
        <v>12</v>
      </c>
      <c r="BC57" s="100">
        <v>16934.400000000001</v>
      </c>
      <c r="BD57" s="100">
        <v>10</v>
      </c>
      <c r="BE57" s="100">
        <v>14112</v>
      </c>
      <c r="BF57" s="100">
        <v>16</v>
      </c>
      <c r="BG57" s="100">
        <v>22579.200000000001</v>
      </c>
      <c r="BH57" s="100">
        <v>9</v>
      </c>
      <c r="BI57" s="100">
        <v>12700.800000000001</v>
      </c>
      <c r="BJ57" s="100">
        <v>14</v>
      </c>
      <c r="BK57" s="100">
        <v>19756.8</v>
      </c>
      <c r="BL57" s="100">
        <v>12</v>
      </c>
      <c r="BM57" s="100">
        <v>16934.400000000001</v>
      </c>
      <c r="BN57" s="100">
        <v>11</v>
      </c>
      <c r="BO57" s="100">
        <v>15523.2</v>
      </c>
      <c r="BP57" s="100">
        <v>10</v>
      </c>
      <c r="BQ57" s="100">
        <v>14112</v>
      </c>
      <c r="BR57" s="100">
        <v>16.222670285449279</v>
      </c>
      <c r="BS57" s="100">
        <v>22893.432306826024</v>
      </c>
      <c r="BT57" s="100">
        <v>11.105465469361489</v>
      </c>
      <c r="BU57" s="100">
        <v>15672.032870362933</v>
      </c>
      <c r="BV57" s="100">
        <v>12.866009326826379</v>
      </c>
      <c r="BW57" s="100">
        <v>18156.512362017387</v>
      </c>
      <c r="BX57" s="100">
        <v>8.220835248875261</v>
      </c>
      <c r="BY57" s="100">
        <v>11601.242703212769</v>
      </c>
      <c r="BZ57" s="100">
        <v>11</v>
      </c>
      <c r="CA57" s="100">
        <v>15523.2</v>
      </c>
      <c r="CB57" s="100">
        <v>13</v>
      </c>
      <c r="CC57" s="100">
        <v>18345.600000000002</v>
      </c>
      <c r="CD57" s="100">
        <v>12</v>
      </c>
      <c r="CE57" s="100">
        <v>16934.400000000001</v>
      </c>
      <c r="CF57" s="100">
        <v>14</v>
      </c>
      <c r="CG57" s="100">
        <v>19756.8</v>
      </c>
      <c r="CH57" s="100">
        <v>14</v>
      </c>
      <c r="CI57" s="100">
        <v>19756.8</v>
      </c>
      <c r="CJ57" s="100">
        <v>12</v>
      </c>
      <c r="CK57" s="100">
        <v>16934.400000000001</v>
      </c>
      <c r="CL57" s="100">
        <v>13.67003123300322</v>
      </c>
      <c r="CM57" s="100">
        <v>19291.148076014146</v>
      </c>
      <c r="CN57" s="100">
        <v>7.798520679068492</v>
      </c>
      <c r="CO57" s="100">
        <v>11005.272382301457</v>
      </c>
      <c r="CP57" s="100">
        <v>9.9725048640828877</v>
      </c>
      <c r="CQ57" s="100">
        <v>14073.198864193771</v>
      </c>
      <c r="CR57" s="100">
        <v>9.5220755567620703</v>
      </c>
      <c r="CS57" s="100">
        <v>13437.553025702635</v>
      </c>
      <c r="CT57" s="100">
        <v>10.267147053248973</v>
      </c>
      <c r="CU57" s="100">
        <v>14488.997921544951</v>
      </c>
    </row>
    <row r="58" spans="2:99">
      <c r="C58" s="99" t="s">
        <v>224</v>
      </c>
      <c r="D58" s="100">
        <v>12</v>
      </c>
      <c r="E58" s="100">
        <v>14126.400000000001</v>
      </c>
      <c r="F58" s="100">
        <v>12</v>
      </c>
      <c r="G58" s="100">
        <v>14126.400000000001</v>
      </c>
      <c r="H58" s="100">
        <v>14</v>
      </c>
      <c r="I58" s="100">
        <v>16480.8</v>
      </c>
      <c r="J58" s="100">
        <v>16</v>
      </c>
      <c r="K58" s="100">
        <v>18835.2</v>
      </c>
      <c r="L58" s="100">
        <v>11</v>
      </c>
      <c r="M58" s="100">
        <v>12949.2</v>
      </c>
      <c r="N58" s="100">
        <v>8</v>
      </c>
      <c r="O58" s="100">
        <v>9417.6</v>
      </c>
      <c r="P58" s="100">
        <v>8</v>
      </c>
      <c r="Q58" s="100">
        <v>9417.6</v>
      </c>
      <c r="R58" s="100">
        <v>10</v>
      </c>
      <c r="S58" s="100">
        <v>11772</v>
      </c>
      <c r="T58" s="100">
        <v>13</v>
      </c>
      <c r="U58" s="100">
        <v>15303.6</v>
      </c>
      <c r="V58" s="100">
        <v>11</v>
      </c>
      <c r="W58" s="100">
        <v>12949.2</v>
      </c>
      <c r="X58" s="100">
        <v>9</v>
      </c>
      <c r="Y58" s="100">
        <v>10594.800000000001</v>
      </c>
      <c r="Z58" s="100">
        <v>12.939105937615704</v>
      </c>
      <c r="AA58" s="100">
        <v>15231.915509761207</v>
      </c>
      <c r="AB58" s="100">
        <v>14.189189189189189</v>
      </c>
      <c r="AC58" s="100">
        <v>16703.513513513513</v>
      </c>
      <c r="AD58" s="100">
        <v>10.547945205479451</v>
      </c>
      <c r="AE58" s="100">
        <v>12417.04109589041</v>
      </c>
      <c r="AF58" s="100">
        <v>10.198675496688741</v>
      </c>
      <c r="AG58" s="100">
        <v>12005.880794701987</v>
      </c>
      <c r="AH58" s="100">
        <v>12.8</v>
      </c>
      <c r="AI58" s="100">
        <v>15068.160000000002</v>
      </c>
      <c r="AJ58" s="100">
        <v>10.224719101123595</v>
      </c>
      <c r="AK58" s="100">
        <v>12036.539325842698</v>
      </c>
      <c r="AL58" s="100">
        <v>13.611111111111111</v>
      </c>
      <c r="AM58" s="100">
        <v>16023</v>
      </c>
      <c r="AN58" s="100">
        <v>13</v>
      </c>
      <c r="AO58" s="100">
        <v>15303.6</v>
      </c>
      <c r="AP58" s="100">
        <v>15</v>
      </c>
      <c r="AQ58" s="100">
        <v>17658</v>
      </c>
      <c r="AR58" s="100">
        <v>14</v>
      </c>
      <c r="AS58" s="100">
        <v>16480.8</v>
      </c>
      <c r="AT58" s="100">
        <v>13</v>
      </c>
      <c r="AU58" s="100">
        <v>15303.6</v>
      </c>
      <c r="AV58" s="100">
        <v>11</v>
      </c>
      <c r="AW58" s="100">
        <v>12949.2</v>
      </c>
      <c r="AX58" s="100">
        <v>9</v>
      </c>
      <c r="AY58" s="100">
        <v>10594.800000000001</v>
      </c>
      <c r="AZ58" s="100">
        <v>10</v>
      </c>
      <c r="BA58" s="100">
        <v>11772</v>
      </c>
      <c r="BB58" s="100">
        <v>10.472727272727273</v>
      </c>
      <c r="BC58" s="100">
        <v>12328.494545454545</v>
      </c>
      <c r="BD58" s="100">
        <v>9</v>
      </c>
      <c r="BE58" s="100">
        <v>10594.800000000001</v>
      </c>
      <c r="BF58" s="100">
        <v>16</v>
      </c>
      <c r="BG58" s="100">
        <v>18835.2</v>
      </c>
      <c r="BH58" s="100">
        <v>9</v>
      </c>
      <c r="BI58" s="100">
        <v>10594.800000000001</v>
      </c>
      <c r="BJ58" s="100">
        <v>13</v>
      </c>
      <c r="BK58" s="100">
        <v>15303.6</v>
      </c>
      <c r="BL58" s="100">
        <v>13</v>
      </c>
      <c r="BM58" s="100">
        <v>15303.6</v>
      </c>
      <c r="BN58" s="100">
        <v>11</v>
      </c>
      <c r="BO58" s="100">
        <v>12949.2</v>
      </c>
      <c r="BP58" s="100">
        <v>11</v>
      </c>
      <c r="BQ58" s="100">
        <v>12949.2</v>
      </c>
      <c r="BR58" s="100">
        <v>17</v>
      </c>
      <c r="BS58" s="100">
        <v>20012.400000000001</v>
      </c>
      <c r="BT58" s="100">
        <v>13</v>
      </c>
      <c r="BU58" s="100">
        <v>15303.6</v>
      </c>
      <c r="BV58" s="100">
        <v>12.218181818181819</v>
      </c>
      <c r="BW58" s="100">
        <v>14383.243636363637</v>
      </c>
      <c r="BX58" s="100">
        <v>10</v>
      </c>
      <c r="BY58" s="100">
        <v>11772</v>
      </c>
      <c r="BZ58" s="100">
        <v>8.9617486338797807</v>
      </c>
      <c r="CA58" s="100">
        <v>10549.770491803278</v>
      </c>
      <c r="CB58" s="100">
        <v>11.234567901234568</v>
      </c>
      <c r="CC58" s="100">
        <v>13225.333333333334</v>
      </c>
      <c r="CD58" s="100">
        <v>10.5</v>
      </c>
      <c r="CE58" s="100">
        <v>12360.6</v>
      </c>
      <c r="CF58" s="100">
        <v>11.951219512195124</v>
      </c>
      <c r="CG58" s="100">
        <v>14068.9756097561</v>
      </c>
      <c r="CH58" s="100">
        <v>11.506849315068493</v>
      </c>
      <c r="CI58" s="100">
        <v>13545.86301369863</v>
      </c>
      <c r="CJ58" s="100">
        <v>8.901734104046243</v>
      </c>
      <c r="CK58" s="100">
        <v>10479.121387283238</v>
      </c>
      <c r="CL58" s="100">
        <v>12.551724137931034</v>
      </c>
      <c r="CM58" s="100">
        <v>14775.889655172414</v>
      </c>
      <c r="CN58" s="100">
        <v>11</v>
      </c>
      <c r="CO58" s="100">
        <v>12949.2</v>
      </c>
      <c r="CP58" s="100">
        <v>7.604166666666667</v>
      </c>
      <c r="CQ58" s="100">
        <v>8951.625</v>
      </c>
      <c r="CR58" s="100">
        <v>11.830985915492958</v>
      </c>
      <c r="CS58" s="100">
        <v>13927.43661971831</v>
      </c>
      <c r="CT58" s="100">
        <v>11.351351351351353</v>
      </c>
      <c r="CU58" s="100">
        <v>13362.810810810814</v>
      </c>
    </row>
    <row r="59" spans="2:99">
      <c r="C59" s="99" t="s">
        <v>225</v>
      </c>
      <c r="D59" s="100">
        <v>13</v>
      </c>
      <c r="E59" s="100">
        <v>3946.7999999999997</v>
      </c>
      <c r="F59" s="100">
        <v>13</v>
      </c>
      <c r="G59" s="100">
        <v>3946.7999999999997</v>
      </c>
      <c r="H59" s="100">
        <v>16.813102493029959</v>
      </c>
      <c r="I59" s="100">
        <v>5104.4579168838945</v>
      </c>
      <c r="J59" s="100">
        <v>13.790270013194588</v>
      </c>
      <c r="K59" s="100">
        <v>4186.7259760058769</v>
      </c>
      <c r="L59" s="100">
        <v>12</v>
      </c>
      <c r="M59" s="100">
        <v>3643.2</v>
      </c>
      <c r="N59" s="100">
        <v>8</v>
      </c>
      <c r="O59" s="100">
        <v>2428.7999999999997</v>
      </c>
      <c r="P59" s="100">
        <v>9</v>
      </c>
      <c r="Q59" s="100">
        <v>2732.3999999999996</v>
      </c>
      <c r="R59" s="100">
        <v>11</v>
      </c>
      <c r="S59" s="100">
        <v>3339.5999999999995</v>
      </c>
      <c r="T59" s="100">
        <v>12</v>
      </c>
      <c r="U59" s="100">
        <v>3643.2</v>
      </c>
      <c r="V59" s="100">
        <v>13</v>
      </c>
      <c r="W59" s="100">
        <v>3946.7999999999997</v>
      </c>
      <c r="X59" s="100">
        <v>10</v>
      </c>
      <c r="Y59" s="100">
        <v>3035.9999999999995</v>
      </c>
      <c r="Z59" s="100">
        <v>13</v>
      </c>
      <c r="AA59" s="100">
        <v>3946.7999999999997</v>
      </c>
      <c r="AB59" s="100">
        <v>15</v>
      </c>
      <c r="AC59" s="100">
        <v>4553.9999999999991</v>
      </c>
      <c r="AD59" s="100">
        <v>11</v>
      </c>
      <c r="AE59" s="100">
        <v>3339.5999999999995</v>
      </c>
      <c r="AF59" s="100">
        <v>11</v>
      </c>
      <c r="AG59" s="100">
        <v>3339.5999999999995</v>
      </c>
      <c r="AH59" s="100">
        <v>17</v>
      </c>
      <c r="AI59" s="100">
        <v>5161.2</v>
      </c>
      <c r="AJ59" s="100">
        <v>14</v>
      </c>
      <c r="AK59" s="100">
        <v>4250.3999999999996</v>
      </c>
      <c r="AL59" s="100">
        <v>15</v>
      </c>
      <c r="AM59" s="100">
        <v>4553.9999999999991</v>
      </c>
      <c r="AN59" s="100">
        <v>11.747635302980147</v>
      </c>
      <c r="AO59" s="100">
        <v>3566.5820779847722</v>
      </c>
      <c r="AP59" s="100">
        <v>15.788188537683297</v>
      </c>
      <c r="AQ59" s="100">
        <v>4793.2940400406487</v>
      </c>
      <c r="AR59" s="100">
        <v>15</v>
      </c>
      <c r="AS59" s="100">
        <v>4553.9999999999991</v>
      </c>
      <c r="AT59" s="100">
        <v>13.018124249331912</v>
      </c>
      <c r="AU59" s="100">
        <v>3952.3025220971681</v>
      </c>
      <c r="AV59" s="100">
        <v>12</v>
      </c>
      <c r="AW59" s="100">
        <v>3643.2</v>
      </c>
      <c r="AX59" s="100">
        <v>10</v>
      </c>
      <c r="AY59" s="100">
        <v>3035.9999999999995</v>
      </c>
      <c r="AZ59" s="100">
        <v>12</v>
      </c>
      <c r="BA59" s="100">
        <v>3643.2</v>
      </c>
      <c r="BB59" s="100">
        <v>14</v>
      </c>
      <c r="BC59" s="100">
        <v>4250.3999999999996</v>
      </c>
      <c r="BD59" s="100">
        <v>10</v>
      </c>
      <c r="BE59" s="100">
        <v>3035.9999999999995</v>
      </c>
      <c r="BF59" s="100">
        <v>18</v>
      </c>
      <c r="BG59" s="100">
        <v>5464.7999999999993</v>
      </c>
      <c r="BH59" s="100">
        <v>10</v>
      </c>
      <c r="BI59" s="100">
        <v>3035.9999999999995</v>
      </c>
      <c r="BJ59" s="100">
        <v>15</v>
      </c>
      <c r="BK59" s="100">
        <v>4553.9999999999991</v>
      </c>
      <c r="BL59" s="100">
        <v>13</v>
      </c>
      <c r="BM59" s="100">
        <v>3946.7999999999997</v>
      </c>
      <c r="BN59" s="100">
        <v>11</v>
      </c>
      <c r="BO59" s="100">
        <v>3339.5999999999995</v>
      </c>
      <c r="BP59" s="100">
        <v>12</v>
      </c>
      <c r="BQ59" s="100">
        <v>3643.2</v>
      </c>
      <c r="BR59" s="100">
        <v>18.131219730796253</v>
      </c>
      <c r="BS59" s="100">
        <v>5504.6383102697419</v>
      </c>
      <c r="BT59" s="100">
        <v>13.881831836701862</v>
      </c>
      <c r="BU59" s="100">
        <v>4214.524145622685</v>
      </c>
      <c r="BV59" s="100">
        <v>13.785009993028265</v>
      </c>
      <c r="BW59" s="100">
        <v>4185.1290338833805</v>
      </c>
      <c r="BX59" s="100">
        <v>9.1342613876391798</v>
      </c>
      <c r="BY59" s="100">
        <v>2773.1617572872547</v>
      </c>
      <c r="BZ59" s="100">
        <v>11</v>
      </c>
      <c r="CA59" s="100">
        <v>3339.5999999999995</v>
      </c>
      <c r="CB59" s="100">
        <v>15</v>
      </c>
      <c r="CC59" s="100">
        <v>4553.9999999999991</v>
      </c>
      <c r="CD59" s="100">
        <v>12</v>
      </c>
      <c r="CE59" s="100">
        <v>3643.2</v>
      </c>
      <c r="CF59" s="100">
        <v>16</v>
      </c>
      <c r="CG59" s="100">
        <v>4857.5999999999995</v>
      </c>
      <c r="CH59" s="100">
        <v>15</v>
      </c>
      <c r="CI59" s="100">
        <v>4553.9999999999991</v>
      </c>
      <c r="CJ59" s="100">
        <v>13</v>
      </c>
      <c r="CK59" s="100">
        <v>3946.7999999999997</v>
      </c>
      <c r="CL59" s="100">
        <v>13.67003123300322</v>
      </c>
      <c r="CM59" s="100">
        <v>4150.2214823397771</v>
      </c>
      <c r="CN59" s="100">
        <v>8.5783727469753419</v>
      </c>
      <c r="CO59" s="100">
        <v>2604.3939659817133</v>
      </c>
      <c r="CP59" s="100">
        <v>10.969755350491178</v>
      </c>
      <c r="CQ59" s="100">
        <v>3330.4177244091215</v>
      </c>
      <c r="CR59" s="100">
        <v>11.426490668114486</v>
      </c>
      <c r="CS59" s="100">
        <v>3469.0825668395573</v>
      </c>
      <c r="CT59" s="100">
        <v>10.267147053248973</v>
      </c>
      <c r="CU59" s="100">
        <v>3117.1058453663877</v>
      </c>
    </row>
    <row r="60" spans="2:99">
      <c r="C60" s="99" t="s">
        <v>226</v>
      </c>
      <c r="D60" s="100">
        <v>12</v>
      </c>
      <c r="E60" s="100">
        <v>7819.2000000000007</v>
      </c>
      <c r="F60" s="100">
        <v>12</v>
      </c>
      <c r="G60" s="100">
        <v>7819.2000000000007</v>
      </c>
      <c r="H60" s="100">
        <v>16.813102493029959</v>
      </c>
      <c r="I60" s="100">
        <v>10955.417584458322</v>
      </c>
      <c r="J60" s="100">
        <v>15.514053764843911</v>
      </c>
      <c r="K60" s="100">
        <v>10108.957433172292</v>
      </c>
      <c r="L60" s="100">
        <v>12</v>
      </c>
      <c r="M60" s="100">
        <v>7819.2000000000007</v>
      </c>
      <c r="N60" s="100">
        <v>9</v>
      </c>
      <c r="O60" s="100">
        <v>5864.4000000000005</v>
      </c>
      <c r="P60" s="100">
        <v>10</v>
      </c>
      <c r="Q60" s="100">
        <v>6516</v>
      </c>
      <c r="R60" s="100">
        <v>10</v>
      </c>
      <c r="S60" s="100">
        <v>6516</v>
      </c>
      <c r="T60" s="100">
        <v>13</v>
      </c>
      <c r="U60" s="100">
        <v>8470.8000000000011</v>
      </c>
      <c r="V60" s="100">
        <v>11</v>
      </c>
      <c r="W60" s="100">
        <v>7167.6</v>
      </c>
      <c r="X60" s="100">
        <v>9</v>
      </c>
      <c r="Y60" s="100">
        <v>5864.4000000000005</v>
      </c>
      <c r="Z60" s="100">
        <v>13</v>
      </c>
      <c r="AA60" s="100">
        <v>8470.8000000000011</v>
      </c>
      <c r="AB60" s="100">
        <v>16</v>
      </c>
      <c r="AC60" s="100">
        <v>10425.6</v>
      </c>
      <c r="AD60" s="100">
        <v>11</v>
      </c>
      <c r="AE60" s="100">
        <v>7167.6</v>
      </c>
      <c r="AF60" s="100">
        <v>11</v>
      </c>
      <c r="AG60" s="100">
        <v>7167.6</v>
      </c>
      <c r="AH60" s="100">
        <v>17</v>
      </c>
      <c r="AI60" s="100">
        <v>11077.2</v>
      </c>
      <c r="AJ60" s="100">
        <v>15</v>
      </c>
      <c r="AK60" s="100">
        <v>9774</v>
      </c>
      <c r="AL60" s="100">
        <v>16</v>
      </c>
      <c r="AM60" s="100">
        <v>10425.6</v>
      </c>
      <c r="AN60" s="100">
        <v>10.908518495624422</v>
      </c>
      <c r="AO60" s="100">
        <v>7107.9906517488735</v>
      </c>
      <c r="AP60" s="100">
        <v>16.7169055104882</v>
      </c>
      <c r="AQ60" s="100">
        <v>10892.735630634112</v>
      </c>
      <c r="AR60" s="100">
        <v>14</v>
      </c>
      <c r="AS60" s="100">
        <v>9122.4</v>
      </c>
      <c r="AT60" s="100">
        <v>14.877856284950756</v>
      </c>
      <c r="AU60" s="100">
        <v>9694.4111552739123</v>
      </c>
      <c r="AV60" s="100">
        <v>12</v>
      </c>
      <c r="AW60" s="100">
        <v>7819.2000000000007</v>
      </c>
      <c r="AX60" s="100">
        <v>9</v>
      </c>
      <c r="AY60" s="100">
        <v>5864.4000000000005</v>
      </c>
      <c r="AZ60" s="100">
        <v>11</v>
      </c>
      <c r="BA60" s="100">
        <v>7167.6</v>
      </c>
      <c r="BB60" s="100">
        <v>13</v>
      </c>
      <c r="BC60" s="100">
        <v>8470.8000000000011</v>
      </c>
      <c r="BD60" s="100">
        <v>10</v>
      </c>
      <c r="BE60" s="100">
        <v>6516</v>
      </c>
      <c r="BF60" s="100">
        <v>16</v>
      </c>
      <c r="BG60" s="100">
        <v>10425.6</v>
      </c>
      <c r="BH60" s="100">
        <v>9</v>
      </c>
      <c r="BI60" s="100">
        <v>5864.4000000000005</v>
      </c>
      <c r="BJ60" s="100">
        <v>16</v>
      </c>
      <c r="BK60" s="100">
        <v>10425.6</v>
      </c>
      <c r="BL60" s="100">
        <v>13</v>
      </c>
      <c r="BM60" s="100">
        <v>8470.8000000000011</v>
      </c>
      <c r="BN60" s="100">
        <v>12</v>
      </c>
      <c r="BO60" s="100">
        <v>7819.2000000000007</v>
      </c>
      <c r="BP60" s="100">
        <v>12</v>
      </c>
      <c r="BQ60" s="100">
        <v>7819.2000000000007</v>
      </c>
      <c r="BR60" s="100">
        <v>15.268395562775792</v>
      </c>
      <c r="BS60" s="100">
        <v>9948.886548704706</v>
      </c>
      <c r="BT60" s="100">
        <v>13.881831836701862</v>
      </c>
      <c r="BU60" s="100">
        <v>9045.401624794933</v>
      </c>
      <c r="BV60" s="100">
        <v>13.785009993028265</v>
      </c>
      <c r="BW60" s="100">
        <v>8982.3125114572176</v>
      </c>
      <c r="BX60" s="100">
        <v>10.047687526403097</v>
      </c>
      <c r="BY60" s="100">
        <v>6547.0731922042578</v>
      </c>
      <c r="BZ60" s="100">
        <v>11</v>
      </c>
      <c r="CA60" s="100">
        <v>7167.6</v>
      </c>
      <c r="CB60" s="100">
        <v>15</v>
      </c>
      <c r="CC60" s="100">
        <v>9774</v>
      </c>
      <c r="CD60" s="100">
        <v>12</v>
      </c>
      <c r="CE60" s="100">
        <v>7819.2000000000007</v>
      </c>
      <c r="CF60" s="100">
        <v>15</v>
      </c>
      <c r="CG60" s="100">
        <v>9774</v>
      </c>
      <c r="CH60" s="100">
        <v>15</v>
      </c>
      <c r="CI60" s="100">
        <v>9774</v>
      </c>
      <c r="CJ60" s="100">
        <v>12</v>
      </c>
      <c r="CK60" s="100">
        <v>7819.2000000000007</v>
      </c>
      <c r="CL60" s="100">
        <v>14.646462035360592</v>
      </c>
      <c r="CM60" s="100">
        <v>9543.6346622409619</v>
      </c>
      <c r="CN60" s="100">
        <v>7.798520679068492</v>
      </c>
      <c r="CO60" s="100">
        <v>5081.5160744810291</v>
      </c>
      <c r="CP60" s="100">
        <v>9.9725048640828877</v>
      </c>
      <c r="CQ60" s="100">
        <v>6498.0841694364099</v>
      </c>
      <c r="CR60" s="100">
        <v>11.426490668114486</v>
      </c>
      <c r="CS60" s="100">
        <v>7445.5013193433988</v>
      </c>
      <c r="CT60" s="100">
        <v>10.267147053248973</v>
      </c>
      <c r="CU60" s="100">
        <v>6690.0730198970305</v>
      </c>
    </row>
    <row r="61" spans="2:99">
      <c r="C61" s="99" t="s">
        <v>227</v>
      </c>
      <c r="D61" s="100">
        <v>12</v>
      </c>
      <c r="E61" s="100">
        <v>11419.199999999999</v>
      </c>
      <c r="F61" s="100">
        <v>12</v>
      </c>
      <c r="G61" s="100">
        <v>11419.199999999999</v>
      </c>
      <c r="H61" s="100">
        <v>14.835090435026437</v>
      </c>
      <c r="I61" s="100">
        <v>14117.072057971156</v>
      </c>
      <c r="J61" s="100">
        <v>14.652161889019249</v>
      </c>
      <c r="K61" s="100">
        <v>13942.997253590716</v>
      </c>
      <c r="L61" s="100">
        <v>11</v>
      </c>
      <c r="M61" s="100">
        <v>10467.599999999999</v>
      </c>
      <c r="N61" s="100">
        <v>9</v>
      </c>
      <c r="O61" s="100">
        <v>8564.4</v>
      </c>
      <c r="P61" s="100">
        <v>8</v>
      </c>
      <c r="Q61" s="100">
        <v>7612.7999999999993</v>
      </c>
      <c r="R61" s="100">
        <v>10</v>
      </c>
      <c r="S61" s="100">
        <v>9516</v>
      </c>
      <c r="T61" s="100">
        <v>12</v>
      </c>
      <c r="U61" s="100">
        <v>11419.199999999999</v>
      </c>
      <c r="V61" s="100">
        <v>10</v>
      </c>
      <c r="W61" s="100">
        <v>9516</v>
      </c>
      <c r="X61" s="100">
        <v>10</v>
      </c>
      <c r="Y61" s="100">
        <v>9516</v>
      </c>
      <c r="Z61" s="100">
        <v>15</v>
      </c>
      <c r="AA61" s="100">
        <v>14273.999999999998</v>
      </c>
      <c r="AB61" s="100">
        <v>16</v>
      </c>
      <c r="AC61" s="100">
        <v>15225.599999999999</v>
      </c>
      <c r="AD61" s="100">
        <v>10</v>
      </c>
      <c r="AE61" s="100">
        <v>9516</v>
      </c>
      <c r="AF61" s="100">
        <v>10</v>
      </c>
      <c r="AG61" s="100">
        <v>9516</v>
      </c>
      <c r="AH61" s="100">
        <v>17</v>
      </c>
      <c r="AI61" s="100">
        <v>16177.199999999999</v>
      </c>
      <c r="AJ61" s="100">
        <v>13</v>
      </c>
      <c r="AK61" s="100">
        <v>12370.8</v>
      </c>
      <c r="AL61" s="100">
        <v>13</v>
      </c>
      <c r="AM61" s="100">
        <v>12370.8</v>
      </c>
      <c r="AN61" s="100">
        <v>10.069401688268698</v>
      </c>
      <c r="AO61" s="100">
        <v>9582.0426465564924</v>
      </c>
      <c r="AP61" s="100">
        <v>14.859471564878397</v>
      </c>
      <c r="AQ61" s="100">
        <v>14140.273141138281</v>
      </c>
      <c r="AR61" s="100">
        <v>14</v>
      </c>
      <c r="AS61" s="100">
        <v>13322.399999999998</v>
      </c>
      <c r="AT61" s="100">
        <v>13.018124249331912</v>
      </c>
      <c r="AU61" s="100">
        <v>12388.047035664245</v>
      </c>
      <c r="AV61" s="100">
        <v>12</v>
      </c>
      <c r="AW61" s="100">
        <v>11419.199999999999</v>
      </c>
      <c r="AX61" s="100">
        <v>8</v>
      </c>
      <c r="AY61" s="100">
        <v>7612.7999999999993</v>
      </c>
      <c r="AZ61" s="100">
        <v>10</v>
      </c>
      <c r="BA61" s="100">
        <v>9516</v>
      </c>
      <c r="BB61" s="100">
        <v>13</v>
      </c>
      <c r="BC61" s="100">
        <v>12370.8</v>
      </c>
      <c r="BD61" s="100">
        <v>11</v>
      </c>
      <c r="BE61" s="100">
        <v>10467.599999999999</v>
      </c>
      <c r="BF61" s="100">
        <v>16</v>
      </c>
      <c r="BG61" s="100">
        <v>15225.599999999999</v>
      </c>
      <c r="BH61" s="100">
        <v>9</v>
      </c>
      <c r="BI61" s="100">
        <v>8564.4</v>
      </c>
      <c r="BJ61" s="100">
        <v>15</v>
      </c>
      <c r="BK61" s="100">
        <v>14273.999999999998</v>
      </c>
      <c r="BL61" s="100">
        <v>14</v>
      </c>
      <c r="BM61" s="100">
        <v>13322.399999999998</v>
      </c>
      <c r="BN61" s="100">
        <v>10</v>
      </c>
      <c r="BO61" s="100">
        <v>9516</v>
      </c>
      <c r="BP61" s="100">
        <v>12</v>
      </c>
      <c r="BQ61" s="100">
        <v>11419.199999999999</v>
      </c>
      <c r="BR61" s="100">
        <v>16.222670285449279</v>
      </c>
      <c r="BS61" s="100">
        <v>15437.493043633533</v>
      </c>
      <c r="BT61" s="100">
        <v>12.030920925141611</v>
      </c>
      <c r="BU61" s="100">
        <v>11448.624352364755</v>
      </c>
      <c r="BV61" s="100">
        <v>12.866009326826379</v>
      </c>
      <c r="BW61" s="100">
        <v>12243.294475407982</v>
      </c>
      <c r="BX61" s="100">
        <v>9.1342613876391798</v>
      </c>
      <c r="BY61" s="100">
        <v>8692.1631364774421</v>
      </c>
      <c r="BZ61" s="100">
        <v>11</v>
      </c>
      <c r="CA61" s="100">
        <v>10467.599999999999</v>
      </c>
      <c r="CB61" s="100">
        <v>13</v>
      </c>
      <c r="CC61" s="100">
        <v>12370.8</v>
      </c>
      <c r="CD61" s="100">
        <v>12</v>
      </c>
      <c r="CE61" s="100">
        <v>11419.199999999999</v>
      </c>
      <c r="CF61" s="100">
        <v>16</v>
      </c>
      <c r="CG61" s="100">
        <v>15225.599999999999</v>
      </c>
      <c r="CH61" s="100">
        <v>13</v>
      </c>
      <c r="CI61" s="100">
        <v>12370.8</v>
      </c>
      <c r="CJ61" s="100">
        <v>11</v>
      </c>
      <c r="CK61" s="100">
        <v>10467.599999999999</v>
      </c>
      <c r="CL61" s="100">
        <v>14.646462035360592</v>
      </c>
      <c r="CM61" s="100">
        <v>13937.573272849138</v>
      </c>
      <c r="CN61" s="100">
        <v>9.3582248148821918</v>
      </c>
      <c r="CO61" s="100">
        <v>8905.2867338418928</v>
      </c>
      <c r="CP61" s="100">
        <v>10.969755350491178</v>
      </c>
      <c r="CQ61" s="100">
        <v>10438.819191527404</v>
      </c>
      <c r="CR61" s="100">
        <v>10.474283112438279</v>
      </c>
      <c r="CS61" s="100">
        <v>9967.3278097962648</v>
      </c>
      <c r="CT61" s="100">
        <v>11.122742641019721</v>
      </c>
      <c r="CU61" s="100">
        <v>10584.401897194366</v>
      </c>
    </row>
    <row r="62" spans="2:99">
      <c r="C62" s="99" t="s">
        <v>228</v>
      </c>
      <c r="D62" s="100">
        <v>12</v>
      </c>
      <c r="E62" s="100">
        <v>20030.400000000001</v>
      </c>
      <c r="F62" s="100">
        <v>10</v>
      </c>
      <c r="G62" s="100">
        <v>16692</v>
      </c>
      <c r="H62" s="100">
        <v>13</v>
      </c>
      <c r="I62" s="100">
        <v>21699.600000000002</v>
      </c>
      <c r="J62" s="100">
        <v>15</v>
      </c>
      <c r="K62" s="100">
        <v>25038</v>
      </c>
      <c r="L62" s="100">
        <v>11</v>
      </c>
      <c r="M62" s="100">
        <v>18361.2</v>
      </c>
      <c r="N62" s="100">
        <v>8</v>
      </c>
      <c r="O62" s="100">
        <v>13353.6</v>
      </c>
      <c r="P62" s="100">
        <v>8</v>
      </c>
      <c r="Q62" s="100">
        <v>13353.6</v>
      </c>
      <c r="R62" s="100">
        <v>9</v>
      </c>
      <c r="S62" s="100">
        <v>15022.800000000001</v>
      </c>
      <c r="T62" s="100">
        <v>12</v>
      </c>
      <c r="U62" s="100">
        <v>20030.400000000001</v>
      </c>
      <c r="V62" s="100">
        <v>11</v>
      </c>
      <c r="W62" s="100">
        <v>18361.2</v>
      </c>
      <c r="X62" s="100">
        <v>8</v>
      </c>
      <c r="Y62" s="100">
        <v>13353.6</v>
      </c>
      <c r="Z62" s="100">
        <v>13</v>
      </c>
      <c r="AA62" s="100">
        <v>21699.600000000002</v>
      </c>
      <c r="AB62" s="100">
        <v>13</v>
      </c>
      <c r="AC62" s="100">
        <v>21699.600000000002</v>
      </c>
      <c r="AD62" s="100">
        <v>10</v>
      </c>
      <c r="AE62" s="100">
        <v>16692</v>
      </c>
      <c r="AF62" s="100">
        <v>9</v>
      </c>
      <c r="AG62" s="100">
        <v>15022.800000000001</v>
      </c>
      <c r="AH62" s="100">
        <v>16</v>
      </c>
      <c r="AI62" s="100">
        <v>26707.200000000001</v>
      </c>
      <c r="AJ62" s="100">
        <v>12</v>
      </c>
      <c r="AK62" s="100">
        <v>20030.400000000001</v>
      </c>
      <c r="AL62" s="100">
        <v>13</v>
      </c>
      <c r="AM62" s="100">
        <v>21699.600000000002</v>
      </c>
      <c r="AN62" s="100">
        <v>11</v>
      </c>
      <c r="AO62" s="100">
        <v>18361.2</v>
      </c>
      <c r="AP62" s="100">
        <v>16</v>
      </c>
      <c r="AQ62" s="100">
        <v>26707.200000000001</v>
      </c>
      <c r="AR62" s="100">
        <v>13</v>
      </c>
      <c r="AS62" s="100">
        <v>21699.600000000002</v>
      </c>
      <c r="AT62" s="100">
        <v>12</v>
      </c>
      <c r="AU62" s="100">
        <v>20030.400000000001</v>
      </c>
      <c r="AV62" s="100">
        <v>11</v>
      </c>
      <c r="AW62" s="100">
        <v>18361.2</v>
      </c>
      <c r="AX62" s="100">
        <v>8</v>
      </c>
      <c r="AY62" s="100">
        <v>13353.6</v>
      </c>
      <c r="AZ62" s="100">
        <v>9</v>
      </c>
      <c r="BA62" s="100">
        <v>15022.800000000001</v>
      </c>
      <c r="BB62" s="100">
        <v>12</v>
      </c>
      <c r="BC62" s="100">
        <v>20030.400000000001</v>
      </c>
      <c r="BD62" s="100">
        <v>10</v>
      </c>
      <c r="BE62" s="100">
        <v>16692</v>
      </c>
      <c r="BF62" s="100">
        <v>14</v>
      </c>
      <c r="BG62" s="100">
        <v>23368.799999999999</v>
      </c>
      <c r="BH62" s="100">
        <v>8</v>
      </c>
      <c r="BI62" s="100">
        <v>13353.6</v>
      </c>
      <c r="BJ62" s="100">
        <v>13</v>
      </c>
      <c r="BK62" s="100">
        <v>21699.600000000002</v>
      </c>
      <c r="BL62" s="100">
        <v>13</v>
      </c>
      <c r="BM62" s="100">
        <v>21699.600000000002</v>
      </c>
      <c r="BN62" s="100">
        <v>6.6986340719253237</v>
      </c>
      <c r="BO62" s="100">
        <v>11181.359992857751</v>
      </c>
      <c r="BP62" s="100">
        <v>10</v>
      </c>
      <c r="BQ62" s="100">
        <v>16692</v>
      </c>
      <c r="BR62" s="100">
        <v>14</v>
      </c>
      <c r="BS62" s="100">
        <v>23368.799999999999</v>
      </c>
      <c r="BT62" s="100">
        <v>14</v>
      </c>
      <c r="BU62" s="100">
        <v>23368.799999999999</v>
      </c>
      <c r="BV62" s="100">
        <v>14</v>
      </c>
      <c r="BW62" s="100">
        <v>23368.799999999999</v>
      </c>
      <c r="BX62" s="100">
        <v>9</v>
      </c>
      <c r="BY62" s="100">
        <v>15022.800000000001</v>
      </c>
      <c r="BZ62" s="100">
        <v>11</v>
      </c>
      <c r="CA62" s="100">
        <v>18361.2</v>
      </c>
      <c r="CB62" s="100">
        <v>12</v>
      </c>
      <c r="CC62" s="100">
        <v>20030.400000000001</v>
      </c>
      <c r="CD62" s="100">
        <v>11</v>
      </c>
      <c r="CE62" s="100">
        <v>18361.2</v>
      </c>
      <c r="CF62" s="100">
        <v>14</v>
      </c>
      <c r="CG62" s="100">
        <v>23368.799999999999</v>
      </c>
      <c r="CH62" s="100">
        <v>12</v>
      </c>
      <c r="CI62" s="100">
        <v>20030.400000000001</v>
      </c>
      <c r="CJ62" s="100">
        <v>11.578125</v>
      </c>
      <c r="CK62" s="100">
        <v>19326.206249999999</v>
      </c>
      <c r="CL62" s="100">
        <v>12.93193717277487</v>
      </c>
      <c r="CM62" s="100">
        <v>21585.989528795813</v>
      </c>
      <c r="CN62" s="100">
        <v>10.363636363636363</v>
      </c>
      <c r="CO62" s="100">
        <v>17298.981818181819</v>
      </c>
      <c r="CP62" s="100">
        <v>8.7962962962962958</v>
      </c>
      <c r="CQ62" s="100">
        <v>14682.777777777777</v>
      </c>
      <c r="CR62" s="100">
        <v>7.3929961089494167</v>
      </c>
      <c r="CS62" s="100">
        <v>12340.389105058366</v>
      </c>
      <c r="CT62" s="100">
        <v>10.555555555555555</v>
      </c>
      <c r="CU62" s="100">
        <v>17619.333333333332</v>
      </c>
    </row>
    <row r="63" spans="2:99">
      <c r="C63" s="99" t="s">
        <v>229</v>
      </c>
      <c r="D63" s="100">
        <v>13</v>
      </c>
      <c r="E63" s="100">
        <v>10342.800000000001</v>
      </c>
      <c r="F63" s="100">
        <v>12</v>
      </c>
      <c r="G63" s="100">
        <v>9547.2000000000007</v>
      </c>
      <c r="H63" s="100">
        <v>13.846084406024675</v>
      </c>
      <c r="I63" s="100">
        <v>11015.944753433232</v>
      </c>
      <c r="J63" s="100">
        <v>13.790270013194588</v>
      </c>
      <c r="K63" s="100">
        <v>10971.538822497614</v>
      </c>
      <c r="L63" s="100">
        <v>11</v>
      </c>
      <c r="M63" s="100">
        <v>8751.6</v>
      </c>
      <c r="N63" s="100">
        <v>8</v>
      </c>
      <c r="O63" s="100">
        <v>6364.8</v>
      </c>
      <c r="P63" s="100">
        <v>9</v>
      </c>
      <c r="Q63" s="100">
        <v>7160.4000000000005</v>
      </c>
      <c r="R63" s="100">
        <v>12</v>
      </c>
      <c r="S63" s="100">
        <v>9547.2000000000007</v>
      </c>
      <c r="T63" s="100">
        <v>13</v>
      </c>
      <c r="U63" s="100">
        <v>10342.800000000001</v>
      </c>
      <c r="V63" s="100">
        <v>12</v>
      </c>
      <c r="W63" s="100">
        <v>9547.2000000000007</v>
      </c>
      <c r="X63" s="100">
        <v>10</v>
      </c>
      <c r="Y63" s="100">
        <v>7956</v>
      </c>
      <c r="Z63" s="100">
        <v>14</v>
      </c>
      <c r="AA63" s="100">
        <v>11138.4</v>
      </c>
      <c r="AB63" s="100">
        <v>15</v>
      </c>
      <c r="AC63" s="100">
        <v>11934</v>
      </c>
      <c r="AD63" s="100">
        <v>11</v>
      </c>
      <c r="AE63" s="100">
        <v>8751.6</v>
      </c>
      <c r="AF63" s="100">
        <v>10</v>
      </c>
      <c r="AG63" s="100">
        <v>7956</v>
      </c>
      <c r="AH63" s="100">
        <v>17</v>
      </c>
      <c r="AI63" s="100">
        <v>13525.2</v>
      </c>
      <c r="AJ63" s="100">
        <v>14</v>
      </c>
      <c r="AK63" s="100">
        <v>11138.4</v>
      </c>
      <c r="AL63" s="100">
        <v>15</v>
      </c>
      <c r="AM63" s="100">
        <v>11934</v>
      </c>
      <c r="AN63" s="100">
        <v>10.069401688268698</v>
      </c>
      <c r="AO63" s="100">
        <v>8011.2159831865765</v>
      </c>
      <c r="AP63" s="100">
        <v>16.7169055104882</v>
      </c>
      <c r="AQ63" s="100">
        <v>13299.970024144412</v>
      </c>
      <c r="AR63" s="100">
        <v>13</v>
      </c>
      <c r="AS63" s="100">
        <v>10342.800000000001</v>
      </c>
      <c r="AT63" s="100">
        <v>13.947990267141336</v>
      </c>
      <c r="AU63" s="100">
        <v>11097.021056537647</v>
      </c>
      <c r="AV63" s="100">
        <v>11</v>
      </c>
      <c r="AW63" s="100">
        <v>8751.6</v>
      </c>
      <c r="AX63" s="100">
        <v>9</v>
      </c>
      <c r="AY63" s="100">
        <v>7160.4000000000005</v>
      </c>
      <c r="AZ63" s="100">
        <v>11</v>
      </c>
      <c r="BA63" s="100">
        <v>8751.6</v>
      </c>
      <c r="BB63" s="100">
        <v>13</v>
      </c>
      <c r="BC63" s="100">
        <v>10342.800000000001</v>
      </c>
      <c r="BD63" s="100">
        <v>9</v>
      </c>
      <c r="BE63" s="100">
        <v>7160.4000000000005</v>
      </c>
      <c r="BF63" s="100">
        <v>15</v>
      </c>
      <c r="BG63" s="100">
        <v>11934</v>
      </c>
      <c r="BH63" s="100">
        <v>9</v>
      </c>
      <c r="BI63" s="100">
        <v>7160.4000000000005</v>
      </c>
      <c r="BJ63" s="100">
        <v>16</v>
      </c>
      <c r="BK63" s="100">
        <v>12729.6</v>
      </c>
      <c r="BL63" s="100">
        <v>14</v>
      </c>
      <c r="BM63" s="100">
        <v>11138.4</v>
      </c>
      <c r="BN63" s="100">
        <v>12</v>
      </c>
      <c r="BO63" s="100">
        <v>9547.2000000000007</v>
      </c>
      <c r="BP63" s="100">
        <v>12</v>
      </c>
      <c r="BQ63" s="100">
        <v>9547.2000000000007</v>
      </c>
      <c r="BR63" s="100">
        <v>15.268395562775792</v>
      </c>
      <c r="BS63" s="100">
        <v>12147.535509744421</v>
      </c>
      <c r="BT63" s="100">
        <v>13.881831836701862</v>
      </c>
      <c r="BU63" s="100">
        <v>11044.385409280001</v>
      </c>
      <c r="BV63" s="100">
        <v>12.866009326826379</v>
      </c>
      <c r="BW63" s="100">
        <v>10236.197020423067</v>
      </c>
      <c r="BX63" s="100">
        <v>8.220835248875261</v>
      </c>
      <c r="BY63" s="100">
        <v>6540.4965240051579</v>
      </c>
      <c r="BZ63" s="100">
        <v>10</v>
      </c>
      <c r="CA63" s="100">
        <v>7956</v>
      </c>
      <c r="CB63" s="100">
        <v>13</v>
      </c>
      <c r="CC63" s="100">
        <v>10342.800000000001</v>
      </c>
      <c r="CD63" s="100">
        <v>14</v>
      </c>
      <c r="CE63" s="100">
        <v>11138.4</v>
      </c>
      <c r="CF63" s="100">
        <v>14</v>
      </c>
      <c r="CG63" s="100">
        <v>11138.4</v>
      </c>
      <c r="CH63" s="100">
        <v>12</v>
      </c>
      <c r="CI63" s="100">
        <v>9547.2000000000007</v>
      </c>
      <c r="CJ63" s="100">
        <v>11</v>
      </c>
      <c r="CK63" s="100">
        <v>8751.6</v>
      </c>
      <c r="CL63" s="100">
        <v>14.646462035360592</v>
      </c>
      <c r="CM63" s="100">
        <v>11652.725195332887</v>
      </c>
      <c r="CN63" s="100">
        <v>8.5783727469753419</v>
      </c>
      <c r="CO63" s="100">
        <v>6824.9533574935822</v>
      </c>
      <c r="CP63" s="100">
        <v>9.9725048640828877</v>
      </c>
      <c r="CQ63" s="100">
        <v>7934.1248698643458</v>
      </c>
      <c r="CR63" s="100">
        <v>10.474283112438279</v>
      </c>
      <c r="CS63" s="100">
        <v>8333.3396442558951</v>
      </c>
      <c r="CT63" s="100">
        <v>10.267147053248973</v>
      </c>
      <c r="CU63" s="100">
        <v>8168.5421955648826</v>
      </c>
    </row>
    <row r="64" spans="2:99">
      <c r="C64" s="99" t="s">
        <v>230</v>
      </c>
      <c r="D64" s="100">
        <v>12</v>
      </c>
      <c r="E64" s="100">
        <v>12110.399999999998</v>
      </c>
      <c r="F64" s="100">
        <v>11</v>
      </c>
      <c r="G64" s="100">
        <v>11101.199999999997</v>
      </c>
      <c r="H64" s="100">
        <v>13.846084406024675</v>
      </c>
      <c r="I64" s="100">
        <v>13973.468382560099</v>
      </c>
      <c r="J64" s="100">
        <v>14.652161889019249</v>
      </c>
      <c r="K64" s="100">
        <v>14786.961778398223</v>
      </c>
      <c r="L64" s="100">
        <v>12</v>
      </c>
      <c r="M64" s="100">
        <v>12110.399999999998</v>
      </c>
      <c r="N64" s="100">
        <v>9</v>
      </c>
      <c r="O64" s="100">
        <v>9082.7999999999993</v>
      </c>
      <c r="P64" s="100">
        <v>8</v>
      </c>
      <c r="Q64" s="100">
        <v>8073.5999999999985</v>
      </c>
      <c r="R64" s="100">
        <v>11</v>
      </c>
      <c r="S64" s="100">
        <v>11101.199999999997</v>
      </c>
      <c r="T64" s="100">
        <v>14</v>
      </c>
      <c r="U64" s="100">
        <v>14128.799999999997</v>
      </c>
      <c r="V64" s="100">
        <v>11</v>
      </c>
      <c r="W64" s="100">
        <v>11101.199999999997</v>
      </c>
      <c r="X64" s="100">
        <v>9</v>
      </c>
      <c r="Y64" s="100">
        <v>9082.7999999999993</v>
      </c>
      <c r="Z64" s="100">
        <v>13</v>
      </c>
      <c r="AA64" s="100">
        <v>13119.599999999999</v>
      </c>
      <c r="AB64" s="100">
        <v>17</v>
      </c>
      <c r="AC64" s="100">
        <v>17156.399999999998</v>
      </c>
      <c r="AD64" s="100">
        <v>10</v>
      </c>
      <c r="AE64" s="100">
        <v>10091.999999999998</v>
      </c>
      <c r="AF64" s="100">
        <v>10</v>
      </c>
      <c r="AG64" s="100">
        <v>10091.999999999998</v>
      </c>
      <c r="AH64" s="100">
        <v>17</v>
      </c>
      <c r="AI64" s="100">
        <v>17156.399999999998</v>
      </c>
      <c r="AJ64" s="100">
        <v>13</v>
      </c>
      <c r="AK64" s="100">
        <v>13119.599999999999</v>
      </c>
      <c r="AL64" s="100">
        <v>14</v>
      </c>
      <c r="AM64" s="100">
        <v>14128.799999999997</v>
      </c>
      <c r="AN64" s="100">
        <v>10.908518495624422</v>
      </c>
      <c r="AO64" s="100">
        <v>11008.876865784165</v>
      </c>
      <c r="AP64" s="100">
        <v>14.859471564878397</v>
      </c>
      <c r="AQ64" s="100">
        <v>14996.178703275276</v>
      </c>
      <c r="AR64" s="100">
        <v>15</v>
      </c>
      <c r="AS64" s="100">
        <v>15137.999999999996</v>
      </c>
      <c r="AT64" s="100">
        <v>13.947990267141336</v>
      </c>
      <c r="AU64" s="100">
        <v>14076.311777599034</v>
      </c>
      <c r="AV64" s="100">
        <v>12</v>
      </c>
      <c r="AW64" s="100">
        <v>12110.399999999998</v>
      </c>
      <c r="AX64" s="100">
        <v>9</v>
      </c>
      <c r="AY64" s="100">
        <v>9082.7999999999993</v>
      </c>
      <c r="AZ64" s="100">
        <v>11</v>
      </c>
      <c r="BA64" s="100">
        <v>11101.199999999997</v>
      </c>
      <c r="BB64" s="100">
        <v>12</v>
      </c>
      <c r="BC64" s="100">
        <v>12110.399999999998</v>
      </c>
      <c r="BD64" s="100">
        <v>10</v>
      </c>
      <c r="BE64" s="100">
        <v>10091.999999999998</v>
      </c>
      <c r="BF64" s="100">
        <v>17</v>
      </c>
      <c r="BG64" s="100">
        <v>17156.399999999998</v>
      </c>
      <c r="BH64" s="100">
        <v>10</v>
      </c>
      <c r="BI64" s="100">
        <v>10091.999999999998</v>
      </c>
      <c r="BJ64" s="100">
        <v>15</v>
      </c>
      <c r="BK64" s="100">
        <v>15137.999999999996</v>
      </c>
      <c r="BL64" s="100">
        <v>14</v>
      </c>
      <c r="BM64" s="100">
        <v>14128.799999999997</v>
      </c>
      <c r="BN64" s="100">
        <v>12</v>
      </c>
      <c r="BO64" s="100">
        <v>12110.399999999998</v>
      </c>
      <c r="BP64" s="100">
        <v>12</v>
      </c>
      <c r="BQ64" s="100">
        <v>12110.399999999998</v>
      </c>
      <c r="BR64" s="100">
        <v>16.222670285449279</v>
      </c>
      <c r="BS64" s="100">
        <v>16371.918852075411</v>
      </c>
      <c r="BT64" s="100">
        <v>12.030920925141611</v>
      </c>
      <c r="BU64" s="100">
        <v>12141.605397652913</v>
      </c>
      <c r="BV64" s="100">
        <v>11.947008660624496</v>
      </c>
      <c r="BW64" s="100">
        <v>12056.921140302238</v>
      </c>
      <c r="BX64" s="100">
        <v>8.220835248875261</v>
      </c>
      <c r="BY64" s="100">
        <v>8296.4669331649111</v>
      </c>
      <c r="BZ64" s="100">
        <v>12</v>
      </c>
      <c r="CA64" s="100">
        <v>12110.399999999998</v>
      </c>
      <c r="CB64" s="100">
        <v>15</v>
      </c>
      <c r="CC64" s="100">
        <v>15137.999999999996</v>
      </c>
      <c r="CD64" s="100">
        <v>13</v>
      </c>
      <c r="CE64" s="100">
        <v>13119.599999999999</v>
      </c>
      <c r="CF64" s="100">
        <v>15</v>
      </c>
      <c r="CG64" s="100">
        <v>15137.999999999996</v>
      </c>
      <c r="CH64" s="100">
        <v>13</v>
      </c>
      <c r="CI64" s="100">
        <v>13119.599999999999</v>
      </c>
      <c r="CJ64" s="100">
        <v>13</v>
      </c>
      <c r="CK64" s="100">
        <v>13119.599999999999</v>
      </c>
      <c r="CL64" s="100">
        <v>13.67003123300322</v>
      </c>
      <c r="CM64" s="100">
        <v>13795.795520346846</v>
      </c>
      <c r="CN64" s="100">
        <v>9.3582248148821918</v>
      </c>
      <c r="CO64" s="100">
        <v>9444.3204831791063</v>
      </c>
      <c r="CP64" s="100">
        <v>10.969755350491178</v>
      </c>
      <c r="CQ64" s="100">
        <v>11070.677099715695</v>
      </c>
      <c r="CR64" s="100">
        <v>11.426490668114486</v>
      </c>
      <c r="CS64" s="100">
        <v>11531.614382261138</v>
      </c>
      <c r="CT64" s="100">
        <v>9.411551465478226</v>
      </c>
      <c r="CU64" s="100">
        <v>9498.1377389606241</v>
      </c>
    </row>
    <row r="65" spans="2:99">
      <c r="C65" s="99" t="s">
        <v>231</v>
      </c>
      <c r="D65" s="100">
        <v>12</v>
      </c>
      <c r="E65" s="100">
        <v>12312</v>
      </c>
      <c r="F65" s="100">
        <v>11</v>
      </c>
      <c r="G65" s="100">
        <v>11286</v>
      </c>
      <c r="H65" s="100">
        <v>14.835090435026437</v>
      </c>
      <c r="I65" s="100">
        <v>15220.802786337124</v>
      </c>
      <c r="J65" s="100">
        <v>12.928378137369927</v>
      </c>
      <c r="K65" s="100">
        <v>13264.515968941545</v>
      </c>
      <c r="L65" s="100">
        <v>12</v>
      </c>
      <c r="M65" s="100">
        <v>12312</v>
      </c>
      <c r="N65" s="100">
        <v>8</v>
      </c>
      <c r="O65" s="100">
        <v>8208</v>
      </c>
      <c r="P65" s="100">
        <v>8</v>
      </c>
      <c r="Q65" s="100">
        <v>8208</v>
      </c>
      <c r="R65" s="100">
        <v>10</v>
      </c>
      <c r="S65" s="100">
        <v>10260</v>
      </c>
      <c r="T65" s="100">
        <v>12</v>
      </c>
      <c r="U65" s="100">
        <v>12312</v>
      </c>
      <c r="V65" s="100">
        <v>11</v>
      </c>
      <c r="W65" s="100">
        <v>11286</v>
      </c>
      <c r="X65" s="100">
        <v>10</v>
      </c>
      <c r="Y65" s="100">
        <v>10260</v>
      </c>
      <c r="Z65" s="100">
        <v>15</v>
      </c>
      <c r="AA65" s="100">
        <v>15390</v>
      </c>
      <c r="AB65" s="100">
        <v>16</v>
      </c>
      <c r="AC65" s="100">
        <v>16416</v>
      </c>
      <c r="AD65" s="100">
        <v>11</v>
      </c>
      <c r="AE65" s="100">
        <v>11286</v>
      </c>
      <c r="AF65" s="100">
        <v>11</v>
      </c>
      <c r="AG65" s="100">
        <v>11286</v>
      </c>
      <c r="AH65" s="100">
        <v>17</v>
      </c>
      <c r="AI65" s="100">
        <v>17442</v>
      </c>
      <c r="AJ65" s="100">
        <v>13</v>
      </c>
      <c r="AK65" s="100">
        <v>13338</v>
      </c>
      <c r="AL65" s="100">
        <v>13</v>
      </c>
      <c r="AM65" s="100">
        <v>13338</v>
      </c>
      <c r="AN65" s="100">
        <v>10.069401688268698</v>
      </c>
      <c r="AO65" s="100">
        <v>10331.206132163685</v>
      </c>
      <c r="AP65" s="100">
        <v>14.859471564878397</v>
      </c>
      <c r="AQ65" s="100">
        <v>15245.817825565236</v>
      </c>
      <c r="AR65" s="100">
        <v>14</v>
      </c>
      <c r="AS65" s="100">
        <v>14364</v>
      </c>
      <c r="AT65" s="100">
        <v>13.947990267141336</v>
      </c>
      <c r="AU65" s="100">
        <v>14310.63801408701</v>
      </c>
      <c r="AV65" s="100">
        <v>11</v>
      </c>
      <c r="AW65" s="100">
        <v>11286</v>
      </c>
      <c r="AX65" s="100">
        <v>9</v>
      </c>
      <c r="AY65" s="100">
        <v>9234</v>
      </c>
      <c r="AZ65" s="100">
        <v>9</v>
      </c>
      <c r="BA65" s="100">
        <v>9234</v>
      </c>
      <c r="BB65" s="100">
        <v>14</v>
      </c>
      <c r="BC65" s="100">
        <v>14364</v>
      </c>
      <c r="BD65" s="100">
        <v>10</v>
      </c>
      <c r="BE65" s="100">
        <v>10260</v>
      </c>
      <c r="BF65" s="100">
        <v>16</v>
      </c>
      <c r="BG65" s="100">
        <v>16416</v>
      </c>
      <c r="BH65" s="100">
        <v>9</v>
      </c>
      <c r="BI65" s="100">
        <v>9234</v>
      </c>
      <c r="BJ65" s="100">
        <v>14</v>
      </c>
      <c r="BK65" s="100">
        <v>14364</v>
      </c>
      <c r="BL65" s="100">
        <v>14</v>
      </c>
      <c r="BM65" s="100">
        <v>14364</v>
      </c>
      <c r="BN65" s="100">
        <v>11</v>
      </c>
      <c r="BO65" s="100">
        <v>11286</v>
      </c>
      <c r="BP65" s="100">
        <v>11</v>
      </c>
      <c r="BQ65" s="100">
        <v>11286</v>
      </c>
      <c r="BR65" s="100">
        <v>14.314120840102307</v>
      </c>
      <c r="BS65" s="100">
        <v>14686.287981944966</v>
      </c>
      <c r="BT65" s="100">
        <v>13.881831836701862</v>
      </c>
      <c r="BU65" s="100">
        <v>14242.75946445611</v>
      </c>
      <c r="BV65" s="100">
        <v>11.947008660624496</v>
      </c>
      <c r="BW65" s="100">
        <v>12257.630885800732</v>
      </c>
      <c r="BX65" s="100">
        <v>8.220835248875261</v>
      </c>
      <c r="BY65" s="100">
        <v>8434.5769653460175</v>
      </c>
      <c r="BZ65" s="100">
        <v>11</v>
      </c>
      <c r="CA65" s="100">
        <v>11286</v>
      </c>
      <c r="CB65" s="100">
        <v>12</v>
      </c>
      <c r="CC65" s="100">
        <v>12312</v>
      </c>
      <c r="CD65" s="100">
        <v>13</v>
      </c>
      <c r="CE65" s="100">
        <v>13338</v>
      </c>
      <c r="CF65" s="100">
        <v>15</v>
      </c>
      <c r="CG65" s="100">
        <v>15390</v>
      </c>
      <c r="CH65" s="100">
        <v>13</v>
      </c>
      <c r="CI65" s="100">
        <v>13338</v>
      </c>
      <c r="CJ65" s="100">
        <v>13</v>
      </c>
      <c r="CK65" s="100">
        <v>13338</v>
      </c>
      <c r="CL65" s="100">
        <v>13.67003123300322</v>
      </c>
      <c r="CM65" s="100">
        <v>14025.452045061304</v>
      </c>
      <c r="CN65" s="100">
        <v>8.5783727469753419</v>
      </c>
      <c r="CO65" s="100">
        <v>8801.4104383967006</v>
      </c>
      <c r="CP65" s="100">
        <v>10.969755350491178</v>
      </c>
      <c r="CQ65" s="100">
        <v>11254.968989603949</v>
      </c>
      <c r="CR65" s="100">
        <v>10.474283112438279</v>
      </c>
      <c r="CS65" s="100">
        <v>10746.614473361675</v>
      </c>
      <c r="CT65" s="100">
        <v>11.122742641019721</v>
      </c>
      <c r="CU65" s="100">
        <v>11411.933949686234</v>
      </c>
    </row>
    <row r="66" spans="2:99">
      <c r="C66" s="99" t="s">
        <v>232</v>
      </c>
      <c r="D66" s="100">
        <v>12</v>
      </c>
      <c r="E66" s="100">
        <v>14284.8</v>
      </c>
      <c r="F66" s="100">
        <v>10</v>
      </c>
      <c r="G66" s="100">
        <v>11903.999999999998</v>
      </c>
      <c r="H66" s="100">
        <v>15.8240964640282</v>
      </c>
      <c r="I66" s="100">
        <v>18837.004430779169</v>
      </c>
      <c r="J66" s="100">
        <v>12.066486261545263</v>
      </c>
      <c r="K66" s="100">
        <v>14363.94524574348</v>
      </c>
      <c r="L66" s="100">
        <v>12</v>
      </c>
      <c r="M66" s="100">
        <v>14284.8</v>
      </c>
      <c r="N66" s="100">
        <v>8</v>
      </c>
      <c r="O66" s="100">
        <v>9523.1999999999989</v>
      </c>
      <c r="P66" s="100">
        <v>8</v>
      </c>
      <c r="Q66" s="100">
        <v>9523.1999999999989</v>
      </c>
      <c r="R66" s="100">
        <v>10</v>
      </c>
      <c r="S66" s="100">
        <v>11903.999999999998</v>
      </c>
      <c r="T66" s="100">
        <v>11</v>
      </c>
      <c r="U66" s="100">
        <v>13094.399999999998</v>
      </c>
      <c r="V66" s="100">
        <v>11</v>
      </c>
      <c r="W66" s="100">
        <v>13094.399999999998</v>
      </c>
      <c r="X66" s="100">
        <v>10</v>
      </c>
      <c r="Y66" s="100">
        <v>11903.999999999998</v>
      </c>
      <c r="Z66" s="100">
        <v>15</v>
      </c>
      <c r="AA66" s="100">
        <v>17855.999999999996</v>
      </c>
      <c r="AB66" s="100">
        <v>14</v>
      </c>
      <c r="AC66" s="100">
        <v>16665.599999999999</v>
      </c>
      <c r="AD66" s="100">
        <v>10</v>
      </c>
      <c r="AE66" s="100">
        <v>11903.999999999998</v>
      </c>
      <c r="AF66" s="100">
        <v>11</v>
      </c>
      <c r="AG66" s="100">
        <v>13094.399999999998</v>
      </c>
      <c r="AH66" s="100">
        <v>17</v>
      </c>
      <c r="AI66" s="100">
        <v>20236.8</v>
      </c>
      <c r="AJ66" s="100">
        <v>14</v>
      </c>
      <c r="AK66" s="100">
        <v>16665.599999999999</v>
      </c>
      <c r="AL66" s="100">
        <v>13</v>
      </c>
      <c r="AM66" s="100">
        <v>15475.199999999999</v>
      </c>
      <c r="AN66" s="100">
        <v>10.908518495624422</v>
      </c>
      <c r="AO66" s="100">
        <v>12985.500417191311</v>
      </c>
      <c r="AP66" s="100">
        <v>15.788188537683297</v>
      </c>
      <c r="AQ66" s="100">
        <v>18794.259635258193</v>
      </c>
      <c r="AR66" s="100">
        <v>12</v>
      </c>
      <c r="AS66" s="100">
        <v>14284.8</v>
      </c>
      <c r="AT66" s="100">
        <v>13.947990267141336</v>
      </c>
      <c r="AU66" s="100">
        <v>16603.687614005044</v>
      </c>
      <c r="AV66" s="100">
        <v>12</v>
      </c>
      <c r="AW66" s="100">
        <v>14284.8</v>
      </c>
      <c r="AX66" s="100">
        <v>8</v>
      </c>
      <c r="AY66" s="100">
        <v>9523.1999999999989</v>
      </c>
      <c r="AZ66" s="100">
        <v>9</v>
      </c>
      <c r="BA66" s="100">
        <v>10713.599999999999</v>
      </c>
      <c r="BB66" s="100">
        <v>13</v>
      </c>
      <c r="BC66" s="100">
        <v>15475.199999999999</v>
      </c>
      <c r="BD66" s="100">
        <v>11</v>
      </c>
      <c r="BE66" s="100">
        <v>13094.399999999998</v>
      </c>
      <c r="BF66" s="100">
        <v>15</v>
      </c>
      <c r="BG66" s="100">
        <v>17855.999999999996</v>
      </c>
      <c r="BH66" s="100">
        <v>9</v>
      </c>
      <c r="BI66" s="100">
        <v>10713.599999999999</v>
      </c>
      <c r="BJ66" s="100">
        <v>12</v>
      </c>
      <c r="BK66" s="100">
        <v>14284.8</v>
      </c>
      <c r="BL66" s="100">
        <v>13</v>
      </c>
      <c r="BM66" s="100">
        <v>15475.199999999999</v>
      </c>
      <c r="BN66" s="100">
        <v>10</v>
      </c>
      <c r="BO66" s="100">
        <v>11903.999999999998</v>
      </c>
      <c r="BP66" s="100">
        <v>12</v>
      </c>
      <c r="BQ66" s="100">
        <v>14284.8</v>
      </c>
      <c r="BR66" s="100">
        <v>14.314120840102307</v>
      </c>
      <c r="BS66" s="100">
        <v>17039.529448057783</v>
      </c>
      <c r="BT66" s="100">
        <v>13.881831836701862</v>
      </c>
      <c r="BU66" s="100">
        <v>16524.932618409894</v>
      </c>
      <c r="BV66" s="100">
        <v>12.866009326826379</v>
      </c>
      <c r="BW66" s="100">
        <v>15315.69750265412</v>
      </c>
      <c r="BX66" s="100">
        <v>8.220835248875261</v>
      </c>
      <c r="BY66" s="100">
        <v>9786.0822802611092</v>
      </c>
      <c r="BZ66" s="100">
        <v>11</v>
      </c>
      <c r="CA66" s="100">
        <v>13094.399999999998</v>
      </c>
      <c r="CB66" s="100">
        <v>13</v>
      </c>
      <c r="CC66" s="100">
        <v>15475.199999999999</v>
      </c>
      <c r="CD66" s="100">
        <v>12</v>
      </c>
      <c r="CE66" s="100">
        <v>14284.8</v>
      </c>
      <c r="CF66" s="100">
        <v>13</v>
      </c>
      <c r="CG66" s="100">
        <v>15475.199999999999</v>
      </c>
      <c r="CH66" s="100">
        <v>12</v>
      </c>
      <c r="CI66" s="100">
        <v>14284.8</v>
      </c>
      <c r="CJ66" s="100">
        <v>12</v>
      </c>
      <c r="CK66" s="100">
        <v>14284.8</v>
      </c>
      <c r="CL66" s="100">
        <v>12.693600430645848</v>
      </c>
      <c r="CM66" s="100">
        <v>15110.461952640815</v>
      </c>
      <c r="CN66" s="100">
        <v>9.3582248148821918</v>
      </c>
      <c r="CO66" s="100">
        <v>11140.03081963576</v>
      </c>
      <c r="CP66" s="100">
        <v>10.969755350491178</v>
      </c>
      <c r="CQ66" s="100">
        <v>13058.396769224697</v>
      </c>
      <c r="CR66" s="100">
        <v>10.474283112438279</v>
      </c>
      <c r="CS66" s="100">
        <v>12468.586617046525</v>
      </c>
      <c r="CT66" s="100">
        <v>11.122742641019721</v>
      </c>
      <c r="CU66" s="100">
        <v>13240.512839869874</v>
      </c>
    </row>
    <row r="67" spans="2:99">
      <c r="C67" s="99" t="s">
        <v>233</v>
      </c>
      <c r="D67" s="100">
        <v>13</v>
      </c>
      <c r="E67" s="100">
        <v>14601.6</v>
      </c>
      <c r="F67" s="100">
        <v>10</v>
      </c>
      <c r="G67" s="100">
        <v>11232</v>
      </c>
      <c r="H67" s="100">
        <v>13.846084406024675</v>
      </c>
      <c r="I67" s="100">
        <v>15551.922004846916</v>
      </c>
      <c r="J67" s="100">
        <v>12.066486261545263</v>
      </c>
      <c r="K67" s="100">
        <v>13553.077368967641</v>
      </c>
      <c r="L67" s="100">
        <v>11</v>
      </c>
      <c r="M67" s="100">
        <v>12355.2</v>
      </c>
      <c r="N67" s="100">
        <v>9</v>
      </c>
      <c r="O67" s="100">
        <v>10108.800000000001</v>
      </c>
      <c r="P67" s="100">
        <v>9</v>
      </c>
      <c r="Q67" s="100">
        <v>10108.800000000001</v>
      </c>
      <c r="R67" s="100">
        <v>10</v>
      </c>
      <c r="S67" s="100">
        <v>11232</v>
      </c>
      <c r="T67" s="100">
        <v>13</v>
      </c>
      <c r="U67" s="100">
        <v>14601.6</v>
      </c>
      <c r="V67" s="100">
        <v>10</v>
      </c>
      <c r="W67" s="100">
        <v>11232</v>
      </c>
      <c r="X67" s="100">
        <v>8</v>
      </c>
      <c r="Y67" s="100">
        <v>8985.6</v>
      </c>
      <c r="Z67" s="100">
        <v>12</v>
      </c>
      <c r="AA67" s="100">
        <v>13478.400000000001</v>
      </c>
      <c r="AB67" s="100">
        <v>14</v>
      </c>
      <c r="AC67" s="100">
        <v>15724.800000000001</v>
      </c>
      <c r="AD67" s="100">
        <v>12</v>
      </c>
      <c r="AE67" s="100">
        <v>13478.400000000001</v>
      </c>
      <c r="AF67" s="100">
        <v>10</v>
      </c>
      <c r="AG67" s="100">
        <v>11232</v>
      </c>
      <c r="AH67" s="100">
        <v>16</v>
      </c>
      <c r="AI67" s="100">
        <v>17971.2</v>
      </c>
      <c r="AJ67" s="100">
        <v>14</v>
      </c>
      <c r="AK67" s="100">
        <v>15724.800000000001</v>
      </c>
      <c r="AL67" s="100">
        <v>14</v>
      </c>
      <c r="AM67" s="100">
        <v>15724.800000000001</v>
      </c>
      <c r="AN67" s="100">
        <v>10.069401688268698</v>
      </c>
      <c r="AO67" s="100">
        <v>11309.951976263403</v>
      </c>
      <c r="AP67" s="100">
        <v>14.859471564878397</v>
      </c>
      <c r="AQ67" s="100">
        <v>16690.158461671417</v>
      </c>
      <c r="AR67" s="100">
        <v>13</v>
      </c>
      <c r="AS67" s="100">
        <v>14601.6</v>
      </c>
      <c r="AT67" s="100">
        <v>13.018124249331912</v>
      </c>
      <c r="AU67" s="100">
        <v>14621.957156849603</v>
      </c>
      <c r="AV67" s="100">
        <v>13</v>
      </c>
      <c r="AW67" s="100">
        <v>14601.6</v>
      </c>
      <c r="AX67" s="100">
        <v>8</v>
      </c>
      <c r="AY67" s="100">
        <v>8985.6</v>
      </c>
      <c r="AZ67" s="100">
        <v>10</v>
      </c>
      <c r="BA67" s="100">
        <v>11232</v>
      </c>
      <c r="BB67" s="100">
        <v>14</v>
      </c>
      <c r="BC67" s="100">
        <v>15724.800000000001</v>
      </c>
      <c r="BD67" s="100">
        <v>10</v>
      </c>
      <c r="BE67" s="100">
        <v>11232</v>
      </c>
      <c r="BF67" s="100">
        <v>16</v>
      </c>
      <c r="BG67" s="100">
        <v>17971.2</v>
      </c>
      <c r="BH67" s="100">
        <v>9</v>
      </c>
      <c r="BI67" s="100">
        <v>10108.800000000001</v>
      </c>
      <c r="BJ67" s="100">
        <v>14</v>
      </c>
      <c r="BK67" s="100">
        <v>15724.800000000001</v>
      </c>
      <c r="BL67" s="100">
        <v>13</v>
      </c>
      <c r="BM67" s="100">
        <v>14601.6</v>
      </c>
      <c r="BN67" s="100">
        <v>10</v>
      </c>
      <c r="BO67" s="100">
        <v>11232</v>
      </c>
      <c r="BP67" s="100">
        <v>10</v>
      </c>
      <c r="BQ67" s="100">
        <v>11232</v>
      </c>
      <c r="BR67" s="100">
        <v>14.314120840102307</v>
      </c>
      <c r="BS67" s="100">
        <v>16077.620527602912</v>
      </c>
      <c r="BT67" s="100">
        <v>12.956376380921737</v>
      </c>
      <c r="BU67" s="100">
        <v>14552.601951051296</v>
      </c>
      <c r="BV67" s="100">
        <v>12.866009326826379</v>
      </c>
      <c r="BW67" s="100">
        <v>14451.10167589139</v>
      </c>
      <c r="BX67" s="100">
        <v>9.1342613876391798</v>
      </c>
      <c r="BY67" s="100">
        <v>10259.602390596327</v>
      </c>
      <c r="BZ67" s="100">
        <v>12</v>
      </c>
      <c r="CA67" s="100">
        <v>13478.400000000001</v>
      </c>
      <c r="CB67" s="100">
        <v>12</v>
      </c>
      <c r="CC67" s="100">
        <v>13478.400000000001</v>
      </c>
      <c r="CD67" s="100">
        <v>11</v>
      </c>
      <c r="CE67" s="100">
        <v>12355.2</v>
      </c>
      <c r="CF67" s="100">
        <v>15</v>
      </c>
      <c r="CG67" s="100">
        <v>16848</v>
      </c>
      <c r="CH67" s="100">
        <v>12</v>
      </c>
      <c r="CI67" s="100">
        <v>13478.400000000001</v>
      </c>
      <c r="CJ67" s="100">
        <v>13</v>
      </c>
      <c r="CK67" s="100">
        <v>14601.6</v>
      </c>
      <c r="CL67" s="100">
        <v>12.693600430645848</v>
      </c>
      <c r="CM67" s="100">
        <v>14257.452003701417</v>
      </c>
      <c r="CN67" s="100">
        <v>9.3582248148821918</v>
      </c>
      <c r="CO67" s="100">
        <v>10511.158112075678</v>
      </c>
      <c r="CP67" s="100">
        <v>10.969755350491178</v>
      </c>
      <c r="CQ67" s="100">
        <v>12321.229209671692</v>
      </c>
      <c r="CR67" s="100">
        <v>11.426490668114486</v>
      </c>
      <c r="CS67" s="100">
        <v>12834.234318426192</v>
      </c>
      <c r="CT67" s="100">
        <v>9.411551465478226</v>
      </c>
      <c r="CU67" s="100">
        <v>10571.054606025144</v>
      </c>
    </row>
    <row r="68" spans="2:99">
      <c r="C68" s="99" t="s">
        <v>234</v>
      </c>
      <c r="D68" s="100">
        <v>13</v>
      </c>
      <c r="E68" s="100">
        <v>13431.6</v>
      </c>
      <c r="F68" s="100">
        <v>12</v>
      </c>
      <c r="G68" s="100">
        <v>12398.400000000001</v>
      </c>
      <c r="H68" s="100">
        <v>13.846084406024675</v>
      </c>
      <c r="I68" s="100">
        <v>14305.774408304695</v>
      </c>
      <c r="J68" s="100">
        <v>13.790270013194588</v>
      </c>
      <c r="K68" s="100">
        <v>14248.106977632649</v>
      </c>
      <c r="L68" s="100">
        <v>12</v>
      </c>
      <c r="M68" s="100">
        <v>12398.400000000001</v>
      </c>
      <c r="N68" s="100">
        <v>9</v>
      </c>
      <c r="O68" s="100">
        <v>9298.8000000000011</v>
      </c>
      <c r="P68" s="100">
        <v>8</v>
      </c>
      <c r="Q68" s="100">
        <v>8265.6</v>
      </c>
      <c r="R68" s="100">
        <v>11</v>
      </c>
      <c r="S68" s="100">
        <v>11365.2</v>
      </c>
      <c r="T68" s="100">
        <v>12</v>
      </c>
      <c r="U68" s="100">
        <v>12398.400000000001</v>
      </c>
      <c r="V68" s="100">
        <v>12</v>
      </c>
      <c r="W68" s="100">
        <v>12398.400000000001</v>
      </c>
      <c r="X68" s="100">
        <v>10</v>
      </c>
      <c r="Y68" s="100">
        <v>10332</v>
      </c>
      <c r="Z68" s="100">
        <v>15</v>
      </c>
      <c r="AA68" s="100">
        <v>15498</v>
      </c>
      <c r="AB68" s="100">
        <v>15</v>
      </c>
      <c r="AC68" s="100">
        <v>15498</v>
      </c>
      <c r="AD68" s="100">
        <v>10</v>
      </c>
      <c r="AE68" s="100">
        <v>10332</v>
      </c>
      <c r="AF68" s="100">
        <v>11</v>
      </c>
      <c r="AG68" s="100">
        <v>11365.2</v>
      </c>
      <c r="AH68" s="100">
        <v>17</v>
      </c>
      <c r="AI68" s="100">
        <v>17564.400000000001</v>
      </c>
      <c r="AJ68" s="100">
        <v>14</v>
      </c>
      <c r="AK68" s="100">
        <v>14464.800000000001</v>
      </c>
      <c r="AL68" s="100">
        <v>14</v>
      </c>
      <c r="AM68" s="100">
        <v>14464.800000000001</v>
      </c>
      <c r="AN68" s="100">
        <v>10.908518495624422</v>
      </c>
      <c r="AO68" s="100">
        <v>11270.681309679154</v>
      </c>
      <c r="AP68" s="100">
        <v>15.788188537683297</v>
      </c>
      <c r="AQ68" s="100">
        <v>16312.356397134383</v>
      </c>
      <c r="AR68" s="100">
        <v>12</v>
      </c>
      <c r="AS68" s="100">
        <v>12398.400000000001</v>
      </c>
      <c r="AT68" s="100">
        <v>13.018124249331912</v>
      </c>
      <c r="AU68" s="100">
        <v>13450.325974409732</v>
      </c>
      <c r="AV68" s="100">
        <v>12</v>
      </c>
      <c r="AW68" s="100">
        <v>12398.400000000001</v>
      </c>
      <c r="AX68" s="100">
        <v>8</v>
      </c>
      <c r="AY68" s="100">
        <v>8265.6</v>
      </c>
      <c r="AZ68" s="100">
        <v>11</v>
      </c>
      <c r="BA68" s="100">
        <v>11365.2</v>
      </c>
      <c r="BB68" s="100">
        <v>12</v>
      </c>
      <c r="BC68" s="100">
        <v>12398.400000000001</v>
      </c>
      <c r="BD68" s="100">
        <v>11</v>
      </c>
      <c r="BE68" s="100">
        <v>11365.2</v>
      </c>
      <c r="BF68" s="100">
        <v>17</v>
      </c>
      <c r="BG68" s="100">
        <v>17564.400000000001</v>
      </c>
      <c r="BH68" s="100">
        <v>9</v>
      </c>
      <c r="BI68" s="100">
        <v>9298.8000000000011</v>
      </c>
      <c r="BJ68" s="100">
        <v>13</v>
      </c>
      <c r="BK68" s="100">
        <v>13431.6</v>
      </c>
      <c r="BL68" s="100">
        <v>12</v>
      </c>
      <c r="BM68" s="100">
        <v>12398.400000000001</v>
      </c>
      <c r="BN68" s="100">
        <v>11</v>
      </c>
      <c r="BO68" s="100">
        <v>11365.2</v>
      </c>
      <c r="BP68" s="100">
        <v>10</v>
      </c>
      <c r="BQ68" s="100">
        <v>10332</v>
      </c>
      <c r="BR68" s="100">
        <v>14.314120840102307</v>
      </c>
      <c r="BS68" s="100">
        <v>14789.349651993703</v>
      </c>
      <c r="BT68" s="100">
        <v>13.881831836701862</v>
      </c>
      <c r="BU68" s="100">
        <v>14342.708653680364</v>
      </c>
      <c r="BV68" s="100">
        <v>11.947008660624496</v>
      </c>
      <c r="BW68" s="100">
        <v>12343.649348157229</v>
      </c>
      <c r="BX68" s="100">
        <v>8.220835248875261</v>
      </c>
      <c r="BY68" s="100">
        <v>8493.7669791379194</v>
      </c>
      <c r="BZ68" s="100">
        <v>10</v>
      </c>
      <c r="CA68" s="100">
        <v>10332</v>
      </c>
      <c r="CB68" s="100">
        <v>12</v>
      </c>
      <c r="CC68" s="100">
        <v>12398.400000000001</v>
      </c>
      <c r="CD68" s="100">
        <v>13</v>
      </c>
      <c r="CE68" s="100">
        <v>13431.6</v>
      </c>
      <c r="CF68" s="100">
        <v>14</v>
      </c>
      <c r="CG68" s="100">
        <v>14464.800000000001</v>
      </c>
      <c r="CH68" s="100">
        <v>14</v>
      </c>
      <c r="CI68" s="100">
        <v>14464.800000000001</v>
      </c>
      <c r="CJ68" s="100">
        <v>12</v>
      </c>
      <c r="CK68" s="100">
        <v>12398.400000000001</v>
      </c>
      <c r="CL68" s="100">
        <v>14.646462035360592</v>
      </c>
      <c r="CM68" s="100">
        <v>15132.724574934564</v>
      </c>
      <c r="CN68" s="100">
        <v>9.3582248148821918</v>
      </c>
      <c r="CO68" s="100">
        <v>9668.9178787362816</v>
      </c>
      <c r="CP68" s="100">
        <v>10.969755350491178</v>
      </c>
      <c r="CQ68" s="100">
        <v>11333.951228127486</v>
      </c>
      <c r="CR68" s="100">
        <v>9.5220755567620703</v>
      </c>
      <c r="CS68" s="100">
        <v>9838.208465246571</v>
      </c>
      <c r="CT68" s="100">
        <v>10.267147053248973</v>
      </c>
      <c r="CU68" s="100">
        <v>10608.01633541684</v>
      </c>
    </row>
    <row r="69" spans="2:99">
      <c r="C69" s="99" t="s">
        <v>235</v>
      </c>
      <c r="D69" s="100">
        <v>12</v>
      </c>
      <c r="E69" s="100">
        <v>9100.7999999999993</v>
      </c>
      <c r="F69" s="100">
        <v>11</v>
      </c>
      <c r="G69" s="100">
        <v>8342.4</v>
      </c>
      <c r="H69" s="100">
        <v>14.835090435026437</v>
      </c>
      <c r="I69" s="100">
        <v>11250.932585924049</v>
      </c>
      <c r="J69" s="100">
        <v>14.652161889019249</v>
      </c>
      <c r="K69" s="100">
        <v>11112.199576632198</v>
      </c>
      <c r="L69" s="100">
        <v>11</v>
      </c>
      <c r="M69" s="100">
        <v>8342.4</v>
      </c>
      <c r="N69" s="100">
        <v>9</v>
      </c>
      <c r="O69" s="100">
        <v>6825.5999999999995</v>
      </c>
      <c r="P69" s="100">
        <v>8</v>
      </c>
      <c r="Q69" s="100">
        <v>6067.2</v>
      </c>
      <c r="R69" s="100">
        <v>11</v>
      </c>
      <c r="S69" s="100">
        <v>8342.4</v>
      </c>
      <c r="T69" s="100">
        <v>14</v>
      </c>
      <c r="U69" s="100">
        <v>10617.6</v>
      </c>
      <c r="V69" s="100">
        <v>11</v>
      </c>
      <c r="W69" s="100">
        <v>8342.4</v>
      </c>
      <c r="X69" s="100">
        <v>9</v>
      </c>
      <c r="Y69" s="100">
        <v>6825.5999999999995</v>
      </c>
      <c r="Z69" s="100">
        <v>14</v>
      </c>
      <c r="AA69" s="100">
        <v>10617.6</v>
      </c>
      <c r="AB69" s="100">
        <v>15</v>
      </c>
      <c r="AC69" s="100">
        <v>11376</v>
      </c>
      <c r="AD69" s="100">
        <v>11</v>
      </c>
      <c r="AE69" s="100">
        <v>8342.4</v>
      </c>
      <c r="AF69" s="100">
        <v>10</v>
      </c>
      <c r="AG69" s="100">
        <v>7584</v>
      </c>
      <c r="AH69" s="100">
        <v>18</v>
      </c>
      <c r="AI69" s="100">
        <v>13651.199999999999</v>
      </c>
      <c r="AJ69" s="100">
        <v>15</v>
      </c>
      <c r="AK69" s="100">
        <v>11376</v>
      </c>
      <c r="AL69" s="100">
        <v>14</v>
      </c>
      <c r="AM69" s="100">
        <v>10617.6</v>
      </c>
      <c r="AN69" s="100">
        <v>10.069401688268698</v>
      </c>
      <c r="AO69" s="100">
        <v>7636.6342403829804</v>
      </c>
      <c r="AP69" s="100">
        <v>14.859471564878397</v>
      </c>
      <c r="AQ69" s="100">
        <v>11269.423234803777</v>
      </c>
      <c r="AR69" s="100">
        <v>14</v>
      </c>
      <c r="AS69" s="100">
        <v>10617.6</v>
      </c>
      <c r="AT69" s="100">
        <v>13.947990267141336</v>
      </c>
      <c r="AU69" s="100">
        <v>10578.155818599989</v>
      </c>
      <c r="AV69" s="100">
        <v>13</v>
      </c>
      <c r="AW69" s="100">
        <v>9859.1999999999989</v>
      </c>
      <c r="AX69" s="100">
        <v>9</v>
      </c>
      <c r="AY69" s="100">
        <v>6825.5999999999995</v>
      </c>
      <c r="AZ69" s="100">
        <v>11</v>
      </c>
      <c r="BA69" s="100">
        <v>8342.4</v>
      </c>
      <c r="BB69" s="100">
        <v>14</v>
      </c>
      <c r="BC69" s="100">
        <v>10617.6</v>
      </c>
      <c r="BD69" s="100">
        <v>11</v>
      </c>
      <c r="BE69" s="100">
        <v>8342.4</v>
      </c>
      <c r="BF69" s="100">
        <v>16</v>
      </c>
      <c r="BG69" s="100">
        <v>12134.4</v>
      </c>
      <c r="BH69" s="100">
        <v>10</v>
      </c>
      <c r="BI69" s="100">
        <v>7584</v>
      </c>
      <c r="BJ69" s="100">
        <v>13</v>
      </c>
      <c r="BK69" s="100">
        <v>9859.1999999999989</v>
      </c>
      <c r="BL69" s="100">
        <v>13</v>
      </c>
      <c r="BM69" s="100">
        <v>9859.1999999999989</v>
      </c>
      <c r="BN69" s="100">
        <v>11</v>
      </c>
      <c r="BO69" s="100">
        <v>8342.4</v>
      </c>
      <c r="BP69" s="100">
        <v>11</v>
      </c>
      <c r="BQ69" s="100">
        <v>8342.4</v>
      </c>
      <c r="BR69" s="100">
        <v>15.268395562775792</v>
      </c>
      <c r="BS69" s="100">
        <v>11579.551194809161</v>
      </c>
      <c r="BT69" s="100">
        <v>12.030920925141611</v>
      </c>
      <c r="BU69" s="100">
        <v>9124.2504296273983</v>
      </c>
      <c r="BV69" s="100">
        <v>13.785009993028265</v>
      </c>
      <c r="BW69" s="100">
        <v>10454.551578712635</v>
      </c>
      <c r="BX69" s="100">
        <v>9.1342613876391798</v>
      </c>
      <c r="BY69" s="100">
        <v>6927.4238363855538</v>
      </c>
      <c r="BZ69" s="100">
        <v>11</v>
      </c>
      <c r="CA69" s="100">
        <v>8342.4</v>
      </c>
      <c r="CB69" s="100">
        <v>13</v>
      </c>
      <c r="CC69" s="100">
        <v>9859.1999999999989</v>
      </c>
      <c r="CD69" s="100">
        <v>13</v>
      </c>
      <c r="CE69" s="100">
        <v>9859.1999999999989</v>
      </c>
      <c r="CF69" s="100">
        <v>15</v>
      </c>
      <c r="CG69" s="100">
        <v>11376</v>
      </c>
      <c r="CH69" s="100">
        <v>13</v>
      </c>
      <c r="CI69" s="100">
        <v>9859.1999999999989</v>
      </c>
      <c r="CJ69" s="100">
        <v>13</v>
      </c>
      <c r="CK69" s="100">
        <v>9859.1999999999989</v>
      </c>
      <c r="CL69" s="100">
        <v>13.67003123300322</v>
      </c>
      <c r="CM69" s="100">
        <v>10367.351687109642</v>
      </c>
      <c r="CN69" s="100">
        <v>9.3582248148821918</v>
      </c>
      <c r="CO69" s="100">
        <v>7097.2776996066541</v>
      </c>
      <c r="CP69" s="100">
        <v>10.969755350491178</v>
      </c>
      <c r="CQ69" s="100">
        <v>8319.4624578125095</v>
      </c>
      <c r="CR69" s="100">
        <v>10.474283112438279</v>
      </c>
      <c r="CS69" s="100">
        <v>7943.6963124731901</v>
      </c>
      <c r="CT69" s="100">
        <v>11.122742641019721</v>
      </c>
      <c r="CU69" s="100">
        <v>8435.488018949356</v>
      </c>
    </row>
    <row r="70" spans="2:99">
      <c r="C70" s="99" t="s">
        <v>236</v>
      </c>
      <c r="D70" s="100">
        <v>14</v>
      </c>
      <c r="E70" s="100">
        <v>7492.7999999999993</v>
      </c>
      <c r="F70" s="100">
        <v>12</v>
      </c>
      <c r="G70" s="100">
        <v>6422.4</v>
      </c>
      <c r="H70" s="100">
        <v>15.8240964640282</v>
      </c>
      <c r="I70" s="100">
        <v>8469.0564275478919</v>
      </c>
      <c r="J70" s="100">
        <v>13.790270013194588</v>
      </c>
      <c r="K70" s="100">
        <v>7380.5525110617427</v>
      </c>
      <c r="L70" s="100">
        <v>11</v>
      </c>
      <c r="M70" s="100">
        <v>5887.1999999999989</v>
      </c>
      <c r="N70" s="100">
        <v>10</v>
      </c>
      <c r="O70" s="100">
        <v>5351.9999999999991</v>
      </c>
      <c r="P70" s="100">
        <v>9</v>
      </c>
      <c r="Q70" s="100">
        <v>4816.7999999999993</v>
      </c>
      <c r="R70" s="100">
        <v>12</v>
      </c>
      <c r="S70" s="100">
        <v>6422.4</v>
      </c>
      <c r="T70" s="100">
        <v>13</v>
      </c>
      <c r="U70" s="100">
        <v>6957.5999999999995</v>
      </c>
      <c r="V70" s="100">
        <v>12</v>
      </c>
      <c r="W70" s="100">
        <v>6422.4</v>
      </c>
      <c r="X70" s="100">
        <v>11</v>
      </c>
      <c r="Y70" s="100">
        <v>5887.1999999999989</v>
      </c>
      <c r="Z70" s="100">
        <v>14</v>
      </c>
      <c r="AA70" s="100">
        <v>7492.7999999999993</v>
      </c>
      <c r="AB70" s="100">
        <v>17</v>
      </c>
      <c r="AC70" s="100">
        <v>9098.4</v>
      </c>
      <c r="AD70" s="100">
        <v>12</v>
      </c>
      <c r="AE70" s="100">
        <v>6422.4</v>
      </c>
      <c r="AF70" s="100">
        <v>10</v>
      </c>
      <c r="AG70" s="100">
        <v>5351.9999999999991</v>
      </c>
      <c r="AH70" s="100">
        <v>18</v>
      </c>
      <c r="AI70" s="100">
        <v>9633.5999999999985</v>
      </c>
      <c r="AJ70" s="100">
        <v>13</v>
      </c>
      <c r="AK70" s="100">
        <v>6957.5999999999995</v>
      </c>
      <c r="AL70" s="100">
        <v>14</v>
      </c>
      <c r="AM70" s="100">
        <v>7492.7999999999993</v>
      </c>
      <c r="AN70" s="100">
        <v>12.586752110335873</v>
      </c>
      <c r="AO70" s="100">
        <v>6736.4297294517582</v>
      </c>
      <c r="AP70" s="100">
        <v>16.7169055104882</v>
      </c>
      <c r="AQ70" s="100">
        <v>8946.8878292132831</v>
      </c>
      <c r="AR70" s="100">
        <v>14</v>
      </c>
      <c r="AS70" s="100">
        <v>7492.7999999999993</v>
      </c>
      <c r="AT70" s="100">
        <v>13.018124249331912</v>
      </c>
      <c r="AU70" s="100">
        <v>6967.3000982424383</v>
      </c>
      <c r="AV70" s="100">
        <v>12</v>
      </c>
      <c r="AW70" s="100">
        <v>6422.4</v>
      </c>
      <c r="AX70" s="100">
        <v>10</v>
      </c>
      <c r="AY70" s="100">
        <v>5351.9999999999991</v>
      </c>
      <c r="AZ70" s="100">
        <v>10</v>
      </c>
      <c r="BA70" s="100">
        <v>5351.9999999999991</v>
      </c>
      <c r="BB70" s="100">
        <v>13</v>
      </c>
      <c r="BC70" s="100">
        <v>6957.5999999999995</v>
      </c>
      <c r="BD70" s="100">
        <v>11</v>
      </c>
      <c r="BE70" s="100">
        <v>5887.1999999999989</v>
      </c>
      <c r="BF70" s="100">
        <v>17</v>
      </c>
      <c r="BG70" s="100">
        <v>9098.4</v>
      </c>
      <c r="BH70" s="100">
        <v>9</v>
      </c>
      <c r="BI70" s="100">
        <v>4816.7999999999993</v>
      </c>
      <c r="BJ70" s="100">
        <v>14</v>
      </c>
      <c r="BK70" s="100">
        <v>7492.7999999999993</v>
      </c>
      <c r="BL70" s="100">
        <v>13</v>
      </c>
      <c r="BM70" s="100">
        <v>6957.5999999999995</v>
      </c>
      <c r="BN70" s="100">
        <v>12</v>
      </c>
      <c r="BO70" s="100">
        <v>6422.4</v>
      </c>
      <c r="BP70" s="100">
        <v>10</v>
      </c>
      <c r="BQ70" s="100">
        <v>5351.9999999999991</v>
      </c>
      <c r="BR70" s="100">
        <v>18.131219730796253</v>
      </c>
      <c r="BS70" s="100">
        <v>9703.8287999221538</v>
      </c>
      <c r="BT70" s="100">
        <v>13.881831836701862</v>
      </c>
      <c r="BU70" s="100">
        <v>7429.556399002835</v>
      </c>
      <c r="BV70" s="100">
        <v>14.70401065923015</v>
      </c>
      <c r="BW70" s="100">
        <v>7869.5865048199748</v>
      </c>
      <c r="BX70" s="100">
        <v>10.047687526403097</v>
      </c>
      <c r="BY70" s="100">
        <v>5377.5223641309367</v>
      </c>
      <c r="BZ70" s="100">
        <v>12</v>
      </c>
      <c r="CA70" s="100">
        <v>6422.4</v>
      </c>
      <c r="CB70" s="100">
        <v>15</v>
      </c>
      <c r="CC70" s="100">
        <v>8027.9999999999991</v>
      </c>
      <c r="CD70" s="100">
        <v>14</v>
      </c>
      <c r="CE70" s="100">
        <v>7492.7999999999993</v>
      </c>
      <c r="CF70" s="100">
        <v>14</v>
      </c>
      <c r="CG70" s="100">
        <v>7492.7999999999993</v>
      </c>
      <c r="CH70" s="100">
        <v>14</v>
      </c>
      <c r="CI70" s="100">
        <v>7492.7999999999993</v>
      </c>
      <c r="CJ70" s="100">
        <v>12</v>
      </c>
      <c r="CK70" s="100">
        <v>6422.4</v>
      </c>
      <c r="CL70" s="100">
        <v>15.622892837717966</v>
      </c>
      <c r="CM70" s="100">
        <v>8361.3722467466541</v>
      </c>
      <c r="CN70" s="100">
        <v>8.5783727469753419</v>
      </c>
      <c r="CO70" s="100">
        <v>4591.1450941812027</v>
      </c>
      <c r="CP70" s="100">
        <v>9.9725048640828877</v>
      </c>
      <c r="CQ70" s="100">
        <v>5337.2846032571606</v>
      </c>
      <c r="CR70" s="100">
        <v>10.474283112438279</v>
      </c>
      <c r="CS70" s="100">
        <v>5605.8363217769665</v>
      </c>
      <c r="CT70" s="100">
        <v>11.97833822879047</v>
      </c>
      <c r="CU70" s="100">
        <v>6410.8066200486592</v>
      </c>
    </row>
    <row r="71" spans="2:99">
      <c r="B71" s="99" t="s">
        <v>130</v>
      </c>
      <c r="C71" s="99" t="s">
        <v>237</v>
      </c>
      <c r="D71" s="100">
        <v>7</v>
      </c>
      <c r="E71" s="100">
        <v>3948</v>
      </c>
      <c r="F71" s="100">
        <v>5</v>
      </c>
      <c r="G71" s="100">
        <v>2820</v>
      </c>
      <c r="H71" s="100">
        <v>5</v>
      </c>
      <c r="I71" s="100">
        <v>2820</v>
      </c>
      <c r="J71" s="100">
        <v>8</v>
      </c>
      <c r="K71" s="100">
        <v>4512</v>
      </c>
      <c r="L71" s="100">
        <v>7</v>
      </c>
      <c r="M71" s="100">
        <v>3948</v>
      </c>
      <c r="N71" s="100">
        <v>7</v>
      </c>
      <c r="O71" s="100">
        <v>3948</v>
      </c>
      <c r="P71" s="100">
        <v>7</v>
      </c>
      <c r="Q71" s="100">
        <v>3948</v>
      </c>
      <c r="R71" s="100">
        <v>9</v>
      </c>
      <c r="S71" s="100">
        <v>5076</v>
      </c>
      <c r="T71" s="100">
        <v>9</v>
      </c>
      <c r="U71" s="100">
        <v>5076</v>
      </c>
      <c r="V71" s="100">
        <v>10</v>
      </c>
      <c r="W71" s="100">
        <v>5640</v>
      </c>
      <c r="X71" s="100">
        <v>7</v>
      </c>
      <c r="Y71" s="100">
        <v>3948</v>
      </c>
      <c r="Z71" s="100">
        <v>7.9625267308404339</v>
      </c>
      <c r="AA71" s="100">
        <v>4490.8650761940044</v>
      </c>
      <c r="AB71" s="100">
        <v>6.6216216216216219</v>
      </c>
      <c r="AC71" s="100">
        <v>3734.5945945945946</v>
      </c>
      <c r="AD71" s="100">
        <v>7.6712328767123283</v>
      </c>
      <c r="AE71" s="100">
        <v>4326.5753424657532</v>
      </c>
      <c r="AF71" s="100">
        <v>7.4172185430463573</v>
      </c>
      <c r="AG71" s="100">
        <v>4183.3112582781459</v>
      </c>
      <c r="AH71" s="100">
        <v>7.2</v>
      </c>
      <c r="AI71" s="100">
        <v>4060.8</v>
      </c>
      <c r="AJ71" s="100">
        <v>7.8651685393258424</v>
      </c>
      <c r="AK71" s="100">
        <v>4435.9550561797751</v>
      </c>
      <c r="AL71" s="100">
        <v>6.8055555555555554</v>
      </c>
      <c r="AM71" s="100">
        <v>3838.333333333333</v>
      </c>
      <c r="AN71" s="100">
        <v>5</v>
      </c>
      <c r="AO71" s="100">
        <v>2820</v>
      </c>
      <c r="AP71" s="100">
        <v>6</v>
      </c>
      <c r="AQ71" s="100">
        <v>3384</v>
      </c>
      <c r="AR71" s="100">
        <v>8</v>
      </c>
      <c r="AS71" s="100">
        <v>4512</v>
      </c>
      <c r="AT71" s="100">
        <v>7</v>
      </c>
      <c r="AU71" s="100">
        <v>3948</v>
      </c>
      <c r="AV71" s="100">
        <v>7</v>
      </c>
      <c r="AW71" s="100">
        <v>3948</v>
      </c>
      <c r="AX71" s="100">
        <v>10</v>
      </c>
      <c r="AY71" s="100">
        <v>5640</v>
      </c>
      <c r="AZ71" s="100">
        <v>8</v>
      </c>
      <c r="BA71" s="100">
        <v>4512</v>
      </c>
      <c r="BB71" s="100">
        <v>7.8545454545454545</v>
      </c>
      <c r="BC71" s="100">
        <v>4429.9636363636364</v>
      </c>
      <c r="BD71" s="100">
        <v>6</v>
      </c>
      <c r="BE71" s="100">
        <v>3384</v>
      </c>
      <c r="BF71" s="100">
        <v>5</v>
      </c>
      <c r="BG71" s="100">
        <v>2820</v>
      </c>
      <c r="BH71" s="100">
        <v>7</v>
      </c>
      <c r="BI71" s="100">
        <v>3948</v>
      </c>
      <c r="BJ71" s="100">
        <v>7</v>
      </c>
      <c r="BK71" s="100">
        <v>3948</v>
      </c>
      <c r="BL71" s="100">
        <v>8</v>
      </c>
      <c r="BM71" s="100">
        <v>4512</v>
      </c>
      <c r="BN71" s="100">
        <v>7</v>
      </c>
      <c r="BO71" s="100">
        <v>3948</v>
      </c>
      <c r="BP71" s="100">
        <v>5</v>
      </c>
      <c r="BQ71" s="100">
        <v>2820</v>
      </c>
      <c r="BR71" s="100">
        <v>9</v>
      </c>
      <c r="BS71" s="100">
        <v>5076</v>
      </c>
      <c r="BT71" s="100">
        <v>8</v>
      </c>
      <c r="BU71" s="100">
        <v>4512</v>
      </c>
      <c r="BV71" s="100">
        <v>6.9818181818181815</v>
      </c>
      <c r="BW71" s="100">
        <v>3937.7454545454543</v>
      </c>
      <c r="BX71" s="100">
        <v>6</v>
      </c>
      <c r="BY71" s="100">
        <v>3384</v>
      </c>
      <c r="BZ71" s="100">
        <v>9.857923497267759</v>
      </c>
      <c r="CA71" s="100">
        <v>5559.8688524590161</v>
      </c>
      <c r="CB71" s="100">
        <v>7.7777777777777777</v>
      </c>
      <c r="CC71" s="100">
        <v>4386.666666666667</v>
      </c>
      <c r="CD71" s="100">
        <v>7.875</v>
      </c>
      <c r="CE71" s="100">
        <v>4441.5</v>
      </c>
      <c r="CF71" s="100">
        <v>7.6829268292682924</v>
      </c>
      <c r="CG71" s="100">
        <v>4333.1707317073169</v>
      </c>
      <c r="CH71" s="100">
        <v>7.6712328767123283</v>
      </c>
      <c r="CI71" s="100">
        <v>4326.5753424657532</v>
      </c>
      <c r="CJ71" s="100">
        <v>8.092485549132947</v>
      </c>
      <c r="CK71" s="100">
        <v>4564.1618497109821</v>
      </c>
      <c r="CL71" s="100">
        <v>6.7586206896551726</v>
      </c>
      <c r="CM71" s="100">
        <v>3811.8620689655172</v>
      </c>
      <c r="CN71" s="100">
        <v>7</v>
      </c>
      <c r="CO71" s="100">
        <v>3948</v>
      </c>
      <c r="CP71" s="100">
        <v>8.3645833333333321</v>
      </c>
      <c r="CQ71" s="100">
        <v>4717.6249999999991</v>
      </c>
      <c r="CR71" s="100">
        <v>7.887323943661972</v>
      </c>
      <c r="CS71" s="100">
        <v>4448.4507042253526</v>
      </c>
      <c r="CT71" s="100">
        <v>7.5675675675675684</v>
      </c>
      <c r="CU71" s="100">
        <v>4268.1081081081084</v>
      </c>
    </row>
    <row r="72" spans="2:99">
      <c r="C72" s="99" t="s">
        <v>238</v>
      </c>
      <c r="D72" s="100">
        <v>8</v>
      </c>
      <c r="E72" s="100">
        <v>595.19999999999993</v>
      </c>
      <c r="F72" s="100">
        <v>6</v>
      </c>
      <c r="G72" s="100">
        <v>446.4</v>
      </c>
      <c r="H72" s="100">
        <v>6</v>
      </c>
      <c r="I72" s="100">
        <v>446.4</v>
      </c>
      <c r="J72" s="100">
        <v>8</v>
      </c>
      <c r="K72" s="100">
        <v>595.19999999999993</v>
      </c>
      <c r="L72" s="100">
        <v>7</v>
      </c>
      <c r="M72" s="100">
        <v>520.79999999999995</v>
      </c>
      <c r="N72" s="100">
        <v>6</v>
      </c>
      <c r="O72" s="100">
        <v>446.4</v>
      </c>
      <c r="P72" s="100">
        <v>8</v>
      </c>
      <c r="Q72" s="100">
        <v>595.19999999999993</v>
      </c>
      <c r="R72" s="100">
        <v>10</v>
      </c>
      <c r="S72" s="100">
        <v>743.99999999999989</v>
      </c>
      <c r="T72" s="100">
        <v>8</v>
      </c>
      <c r="U72" s="100">
        <v>595.19999999999993</v>
      </c>
      <c r="V72" s="100">
        <v>9</v>
      </c>
      <c r="W72" s="100">
        <v>669.59999999999991</v>
      </c>
      <c r="X72" s="100">
        <v>6</v>
      </c>
      <c r="Y72" s="100">
        <v>446.4</v>
      </c>
      <c r="Z72" s="100">
        <v>7.9625267308404339</v>
      </c>
      <c r="AA72" s="100">
        <v>592.41198877452825</v>
      </c>
      <c r="AB72" s="100">
        <v>6.6216216216216219</v>
      </c>
      <c r="AC72" s="100">
        <v>492.64864864864859</v>
      </c>
      <c r="AD72" s="100">
        <v>6.712328767123287</v>
      </c>
      <c r="AE72" s="100">
        <v>499.39726027397251</v>
      </c>
      <c r="AF72" s="100">
        <v>8.3443708609271514</v>
      </c>
      <c r="AG72" s="100">
        <v>620.82119205298</v>
      </c>
      <c r="AH72" s="100">
        <v>7.2</v>
      </c>
      <c r="AI72" s="100">
        <v>535.67999999999995</v>
      </c>
      <c r="AJ72" s="100">
        <v>7.8651685393258424</v>
      </c>
      <c r="AK72" s="100">
        <v>585.16853932584263</v>
      </c>
      <c r="AL72" s="100">
        <v>7.7777777777777777</v>
      </c>
      <c r="AM72" s="100">
        <v>578.66666666666663</v>
      </c>
      <c r="AN72" s="100">
        <v>5</v>
      </c>
      <c r="AO72" s="100">
        <v>371.99999999999994</v>
      </c>
      <c r="AP72" s="100">
        <v>6</v>
      </c>
      <c r="AQ72" s="100">
        <v>446.4</v>
      </c>
      <c r="AR72" s="100">
        <v>8</v>
      </c>
      <c r="AS72" s="100">
        <v>595.19999999999993</v>
      </c>
      <c r="AT72" s="100">
        <v>7</v>
      </c>
      <c r="AU72" s="100">
        <v>520.79999999999995</v>
      </c>
      <c r="AV72" s="100">
        <v>7</v>
      </c>
      <c r="AW72" s="100">
        <v>520.79999999999995</v>
      </c>
      <c r="AX72" s="100">
        <v>11</v>
      </c>
      <c r="AY72" s="100">
        <v>818.39999999999986</v>
      </c>
      <c r="AZ72" s="100">
        <v>8</v>
      </c>
      <c r="BA72" s="100">
        <v>595.19999999999993</v>
      </c>
      <c r="BB72" s="100">
        <v>8.7272727272727266</v>
      </c>
      <c r="BC72" s="100">
        <v>649.30909090909074</v>
      </c>
      <c r="BD72" s="100">
        <v>6</v>
      </c>
      <c r="BE72" s="100">
        <v>446.4</v>
      </c>
      <c r="BF72" s="100">
        <v>6</v>
      </c>
      <c r="BG72" s="100">
        <v>446.4</v>
      </c>
      <c r="BH72" s="100">
        <v>8</v>
      </c>
      <c r="BI72" s="100">
        <v>595.19999999999993</v>
      </c>
      <c r="BJ72" s="100">
        <v>7</v>
      </c>
      <c r="BK72" s="100">
        <v>520.79999999999995</v>
      </c>
      <c r="BL72" s="100">
        <v>8</v>
      </c>
      <c r="BM72" s="100">
        <v>595.19999999999993</v>
      </c>
      <c r="BN72" s="100">
        <v>8</v>
      </c>
      <c r="BO72" s="100">
        <v>595.19999999999993</v>
      </c>
      <c r="BP72" s="100">
        <v>5</v>
      </c>
      <c r="BQ72" s="100">
        <v>371.99999999999994</v>
      </c>
      <c r="BR72" s="100">
        <v>10</v>
      </c>
      <c r="BS72" s="100">
        <v>743.99999999999989</v>
      </c>
      <c r="BT72" s="100">
        <v>9</v>
      </c>
      <c r="BU72" s="100">
        <v>669.59999999999991</v>
      </c>
      <c r="BV72" s="100">
        <v>7.8545454545454545</v>
      </c>
      <c r="BW72" s="100">
        <v>584.3781818181817</v>
      </c>
      <c r="BX72" s="100">
        <v>6</v>
      </c>
      <c r="BY72" s="100">
        <v>446.4</v>
      </c>
      <c r="BZ72" s="100">
        <v>8.9617486338797807</v>
      </c>
      <c r="CA72" s="100">
        <v>666.75409836065558</v>
      </c>
      <c r="CB72" s="100">
        <v>6.9135802469135799</v>
      </c>
      <c r="CC72" s="100">
        <v>514.37037037037032</v>
      </c>
      <c r="CD72" s="100">
        <v>7.875</v>
      </c>
      <c r="CE72" s="100">
        <v>585.9</v>
      </c>
      <c r="CF72" s="100">
        <v>7.6829268292682924</v>
      </c>
      <c r="CG72" s="100">
        <v>571.60975609756088</v>
      </c>
      <c r="CH72" s="100">
        <v>7.6712328767123283</v>
      </c>
      <c r="CI72" s="100">
        <v>570.73972602739718</v>
      </c>
      <c r="CJ72" s="100">
        <v>8.092485549132947</v>
      </c>
      <c r="CK72" s="100">
        <v>602.08092485549116</v>
      </c>
      <c r="CL72" s="100">
        <v>7.7241379310344822</v>
      </c>
      <c r="CM72" s="100">
        <v>574.67586206896544</v>
      </c>
      <c r="CN72" s="100">
        <v>7</v>
      </c>
      <c r="CO72" s="100">
        <v>520.79999999999995</v>
      </c>
      <c r="CP72" s="100">
        <v>9.125</v>
      </c>
      <c r="CQ72" s="100">
        <v>678.9</v>
      </c>
      <c r="CR72" s="100">
        <v>7.887323943661972</v>
      </c>
      <c r="CS72" s="100">
        <v>586.81690140845069</v>
      </c>
      <c r="CT72" s="100">
        <v>8.513513513513514</v>
      </c>
      <c r="CU72" s="100">
        <v>633.40540540540542</v>
      </c>
    </row>
    <row r="73" spans="2:99">
      <c r="C73" s="99" t="s">
        <v>239</v>
      </c>
      <c r="D73" s="100">
        <v>8</v>
      </c>
      <c r="E73" s="100">
        <v>4473.5999999999995</v>
      </c>
      <c r="F73" s="100">
        <v>6</v>
      </c>
      <c r="G73" s="100">
        <v>3355.2</v>
      </c>
      <c r="H73" s="100">
        <v>6</v>
      </c>
      <c r="I73" s="100">
        <v>3355.2</v>
      </c>
      <c r="J73" s="100">
        <v>9</v>
      </c>
      <c r="K73" s="100">
        <v>5032.7999999999993</v>
      </c>
      <c r="L73" s="100">
        <v>6</v>
      </c>
      <c r="M73" s="100">
        <v>3355.2</v>
      </c>
      <c r="N73" s="100">
        <v>7</v>
      </c>
      <c r="O73" s="100">
        <v>3914.3999999999996</v>
      </c>
      <c r="P73" s="100">
        <v>7</v>
      </c>
      <c r="Q73" s="100">
        <v>3914.3999999999996</v>
      </c>
      <c r="R73" s="100">
        <v>9</v>
      </c>
      <c r="S73" s="100">
        <v>5032.7999999999993</v>
      </c>
      <c r="T73" s="100">
        <v>9</v>
      </c>
      <c r="U73" s="100">
        <v>5032.7999999999993</v>
      </c>
      <c r="V73" s="100">
        <v>9</v>
      </c>
      <c r="W73" s="100">
        <v>5032.7999999999993</v>
      </c>
      <c r="X73" s="100">
        <v>7</v>
      </c>
      <c r="Y73" s="100">
        <v>3914.3999999999996</v>
      </c>
      <c r="Z73" s="100">
        <v>7.9625267308404339</v>
      </c>
      <c r="AA73" s="100">
        <v>4452.6449478859704</v>
      </c>
      <c r="AB73" s="100">
        <v>6.6216216216216219</v>
      </c>
      <c r="AC73" s="100">
        <v>3702.8108108108104</v>
      </c>
      <c r="AD73" s="100">
        <v>7.6712328767123283</v>
      </c>
      <c r="AE73" s="100">
        <v>4289.7534246575333</v>
      </c>
      <c r="AF73" s="100">
        <v>7.4172185430463573</v>
      </c>
      <c r="AG73" s="100">
        <v>4147.7086092715226</v>
      </c>
      <c r="AH73" s="100">
        <v>7.2</v>
      </c>
      <c r="AI73" s="100">
        <v>4026.24</v>
      </c>
      <c r="AJ73" s="100">
        <v>7.0786516853932584</v>
      </c>
      <c r="AK73" s="100">
        <v>3958.3820224719097</v>
      </c>
      <c r="AL73" s="100">
        <v>6.8055555555555554</v>
      </c>
      <c r="AM73" s="100">
        <v>3805.6666666666661</v>
      </c>
      <c r="AN73" s="100">
        <v>5</v>
      </c>
      <c r="AO73" s="100">
        <v>2795.9999999999995</v>
      </c>
      <c r="AP73" s="100">
        <v>5</v>
      </c>
      <c r="AQ73" s="100">
        <v>2795.9999999999995</v>
      </c>
      <c r="AR73" s="100">
        <v>7</v>
      </c>
      <c r="AS73" s="100">
        <v>3914.3999999999996</v>
      </c>
      <c r="AT73" s="100">
        <v>7</v>
      </c>
      <c r="AU73" s="100">
        <v>3914.3999999999996</v>
      </c>
      <c r="AV73" s="100">
        <v>7</v>
      </c>
      <c r="AW73" s="100">
        <v>3914.3999999999996</v>
      </c>
      <c r="AX73" s="100">
        <v>9</v>
      </c>
      <c r="AY73" s="100">
        <v>5032.7999999999993</v>
      </c>
      <c r="AZ73" s="100">
        <v>8</v>
      </c>
      <c r="BA73" s="100">
        <v>4473.5999999999995</v>
      </c>
      <c r="BB73" s="100">
        <v>6.9818181818181815</v>
      </c>
      <c r="BC73" s="100">
        <v>3904.2327272727266</v>
      </c>
      <c r="BD73" s="100">
        <v>6</v>
      </c>
      <c r="BE73" s="100">
        <v>3355.2</v>
      </c>
      <c r="BF73" s="100">
        <v>6</v>
      </c>
      <c r="BG73" s="100">
        <v>3355.2</v>
      </c>
      <c r="BH73" s="100">
        <v>8</v>
      </c>
      <c r="BI73" s="100">
        <v>4473.5999999999995</v>
      </c>
      <c r="BJ73" s="100">
        <v>7</v>
      </c>
      <c r="BK73" s="100">
        <v>3914.3999999999996</v>
      </c>
      <c r="BL73" s="100">
        <v>8</v>
      </c>
      <c r="BM73" s="100">
        <v>4473.5999999999995</v>
      </c>
      <c r="BN73" s="100">
        <v>8</v>
      </c>
      <c r="BO73" s="100">
        <v>4473.5999999999995</v>
      </c>
      <c r="BP73" s="100">
        <v>5</v>
      </c>
      <c r="BQ73" s="100">
        <v>2795.9999999999995</v>
      </c>
      <c r="BR73" s="100">
        <v>10</v>
      </c>
      <c r="BS73" s="100">
        <v>5591.9999999999991</v>
      </c>
      <c r="BT73" s="100">
        <v>8</v>
      </c>
      <c r="BU73" s="100">
        <v>4473.5999999999995</v>
      </c>
      <c r="BV73" s="100">
        <v>6.9818181818181815</v>
      </c>
      <c r="BW73" s="100">
        <v>3904.2327272727266</v>
      </c>
      <c r="BX73" s="100">
        <v>6</v>
      </c>
      <c r="BY73" s="100">
        <v>3355.2</v>
      </c>
      <c r="BZ73" s="100">
        <v>8.0655737704918025</v>
      </c>
      <c r="CA73" s="100">
        <v>4510.2688524590158</v>
      </c>
      <c r="CB73" s="100">
        <v>7.7777777777777777</v>
      </c>
      <c r="CC73" s="100">
        <v>4349.333333333333</v>
      </c>
      <c r="CD73" s="100">
        <v>7</v>
      </c>
      <c r="CE73" s="100">
        <v>3914.3999999999996</v>
      </c>
      <c r="CF73" s="100">
        <v>7.6829268292682924</v>
      </c>
      <c r="CG73" s="100">
        <v>4296.292682926829</v>
      </c>
      <c r="CH73" s="100">
        <v>6.712328767123287</v>
      </c>
      <c r="CI73" s="100">
        <v>3753.5342465753415</v>
      </c>
      <c r="CJ73" s="100">
        <v>7.2832369942196538</v>
      </c>
      <c r="CK73" s="100">
        <v>4072.7861271676297</v>
      </c>
      <c r="CL73" s="100">
        <v>7.7241379310344822</v>
      </c>
      <c r="CM73" s="100">
        <v>4319.3379310344817</v>
      </c>
      <c r="CN73" s="100">
        <v>7</v>
      </c>
      <c r="CO73" s="100">
        <v>3914.3999999999996</v>
      </c>
      <c r="CP73" s="100">
        <v>8.3645833333333321</v>
      </c>
      <c r="CQ73" s="100">
        <v>4677.4749999999985</v>
      </c>
      <c r="CR73" s="100">
        <v>7.887323943661972</v>
      </c>
      <c r="CS73" s="100">
        <v>4410.5915492957738</v>
      </c>
      <c r="CT73" s="100">
        <v>6.6216216216216219</v>
      </c>
      <c r="CU73" s="100">
        <v>3702.8108108108104</v>
      </c>
    </row>
    <row r="74" spans="2:99">
      <c r="C74" s="99" t="s">
        <v>240</v>
      </c>
      <c r="D74" s="100">
        <v>7</v>
      </c>
      <c r="E74" s="100">
        <v>2822.4</v>
      </c>
      <c r="F74" s="100">
        <v>5</v>
      </c>
      <c r="G74" s="100">
        <v>2016</v>
      </c>
      <c r="H74" s="100">
        <v>6</v>
      </c>
      <c r="I74" s="100">
        <v>2419.1999999999998</v>
      </c>
      <c r="J74" s="100">
        <v>8</v>
      </c>
      <c r="K74" s="100">
        <v>3225.6</v>
      </c>
      <c r="L74" s="100">
        <v>7</v>
      </c>
      <c r="M74" s="100">
        <v>2822.4</v>
      </c>
      <c r="N74" s="100">
        <v>6</v>
      </c>
      <c r="O74" s="100">
        <v>2419.1999999999998</v>
      </c>
      <c r="P74" s="100">
        <v>7</v>
      </c>
      <c r="Q74" s="100">
        <v>2822.4</v>
      </c>
      <c r="R74" s="100">
        <v>9</v>
      </c>
      <c r="S74" s="100">
        <v>3628.7999999999997</v>
      </c>
      <c r="T74" s="100">
        <v>9</v>
      </c>
      <c r="U74" s="100">
        <v>3628.7999999999997</v>
      </c>
      <c r="V74" s="100">
        <v>9</v>
      </c>
      <c r="W74" s="100">
        <v>3628.7999999999997</v>
      </c>
      <c r="X74" s="100">
        <v>6</v>
      </c>
      <c r="Y74" s="100">
        <v>2419.1999999999998</v>
      </c>
      <c r="Z74" s="100">
        <v>8.9578425721954886</v>
      </c>
      <c r="AA74" s="100">
        <v>3611.8021251092209</v>
      </c>
      <c r="AB74" s="100">
        <v>7.5675675675675684</v>
      </c>
      <c r="AC74" s="100">
        <v>3051.2432432432433</v>
      </c>
      <c r="AD74" s="100">
        <v>7.6712328767123283</v>
      </c>
      <c r="AE74" s="100">
        <v>3093.0410958904108</v>
      </c>
      <c r="AF74" s="100">
        <v>8.3443708609271514</v>
      </c>
      <c r="AG74" s="100">
        <v>3364.4503311258272</v>
      </c>
      <c r="AH74" s="100">
        <v>7.2</v>
      </c>
      <c r="AI74" s="100">
        <v>2903.04</v>
      </c>
      <c r="AJ74" s="100">
        <v>7.0786516853932584</v>
      </c>
      <c r="AK74" s="100">
        <v>2854.1123595505619</v>
      </c>
      <c r="AL74" s="100">
        <v>6.8055555555555554</v>
      </c>
      <c r="AM74" s="100">
        <v>2744</v>
      </c>
      <c r="AN74" s="100">
        <v>5</v>
      </c>
      <c r="AO74" s="100">
        <v>2016</v>
      </c>
      <c r="AP74" s="100">
        <v>5</v>
      </c>
      <c r="AQ74" s="100">
        <v>2016</v>
      </c>
      <c r="AR74" s="100">
        <v>8</v>
      </c>
      <c r="AS74" s="100">
        <v>3225.6</v>
      </c>
      <c r="AT74" s="100">
        <v>7</v>
      </c>
      <c r="AU74" s="100">
        <v>2822.4</v>
      </c>
      <c r="AV74" s="100">
        <v>6</v>
      </c>
      <c r="AW74" s="100">
        <v>2419.1999999999998</v>
      </c>
      <c r="AX74" s="100">
        <v>11</v>
      </c>
      <c r="AY74" s="100">
        <v>4435.2</v>
      </c>
      <c r="AZ74" s="100">
        <v>8</v>
      </c>
      <c r="BA74" s="100">
        <v>3225.6</v>
      </c>
      <c r="BB74" s="100">
        <v>7.8545454545454545</v>
      </c>
      <c r="BC74" s="100">
        <v>3166.9527272727273</v>
      </c>
      <c r="BD74" s="100">
        <v>6</v>
      </c>
      <c r="BE74" s="100">
        <v>2419.1999999999998</v>
      </c>
      <c r="BF74" s="100">
        <v>6</v>
      </c>
      <c r="BG74" s="100">
        <v>2419.1999999999998</v>
      </c>
      <c r="BH74" s="100">
        <v>7</v>
      </c>
      <c r="BI74" s="100">
        <v>2822.4</v>
      </c>
      <c r="BJ74" s="100">
        <v>7</v>
      </c>
      <c r="BK74" s="100">
        <v>2822.4</v>
      </c>
      <c r="BL74" s="100">
        <v>7</v>
      </c>
      <c r="BM74" s="100">
        <v>2822.4</v>
      </c>
      <c r="BN74" s="100">
        <v>7</v>
      </c>
      <c r="BO74" s="100">
        <v>2822.4</v>
      </c>
      <c r="BP74" s="100">
        <v>5</v>
      </c>
      <c r="BQ74" s="100">
        <v>2016</v>
      </c>
      <c r="BR74" s="100">
        <v>9</v>
      </c>
      <c r="BS74" s="100">
        <v>3628.7999999999997</v>
      </c>
      <c r="BT74" s="100">
        <v>8</v>
      </c>
      <c r="BU74" s="100">
        <v>3225.6</v>
      </c>
      <c r="BV74" s="100">
        <v>7.8545454545454545</v>
      </c>
      <c r="BW74" s="100">
        <v>3166.9527272727273</v>
      </c>
      <c r="BX74" s="100">
        <v>6</v>
      </c>
      <c r="BY74" s="100">
        <v>2419.1999999999998</v>
      </c>
      <c r="BZ74" s="100">
        <v>9.857923497267759</v>
      </c>
      <c r="CA74" s="100">
        <v>3974.7147540983601</v>
      </c>
      <c r="CB74" s="100">
        <v>7.7777777777777777</v>
      </c>
      <c r="CC74" s="100">
        <v>3136</v>
      </c>
      <c r="CD74" s="100">
        <v>7</v>
      </c>
      <c r="CE74" s="100">
        <v>2822.4</v>
      </c>
      <c r="CF74" s="100">
        <v>7.6829268292682924</v>
      </c>
      <c r="CG74" s="100">
        <v>3097.7560975609754</v>
      </c>
      <c r="CH74" s="100">
        <v>6.712328767123287</v>
      </c>
      <c r="CI74" s="100">
        <v>2706.4109589041091</v>
      </c>
      <c r="CJ74" s="100">
        <v>7.2832369942196538</v>
      </c>
      <c r="CK74" s="100">
        <v>2936.6011560693642</v>
      </c>
      <c r="CL74" s="100">
        <v>6.7586206896551726</v>
      </c>
      <c r="CM74" s="100">
        <v>2725.0758620689653</v>
      </c>
      <c r="CN74" s="100">
        <v>7</v>
      </c>
      <c r="CO74" s="100">
        <v>2822.4</v>
      </c>
      <c r="CP74" s="100">
        <v>7.604166666666667</v>
      </c>
      <c r="CQ74" s="100">
        <v>3066</v>
      </c>
      <c r="CR74" s="100">
        <v>6.901408450704225</v>
      </c>
      <c r="CS74" s="100">
        <v>2782.6478873239435</v>
      </c>
      <c r="CT74" s="100">
        <v>6.6216216216216219</v>
      </c>
      <c r="CU74" s="100">
        <v>2669.8378378378379</v>
      </c>
    </row>
    <row r="75" spans="2:99">
      <c r="C75" s="99" t="s">
        <v>241</v>
      </c>
      <c r="D75" s="100">
        <v>8</v>
      </c>
      <c r="E75" s="100">
        <v>5145.5999999999995</v>
      </c>
      <c r="F75" s="100">
        <v>6</v>
      </c>
      <c r="G75" s="100">
        <v>3859.2</v>
      </c>
      <c r="H75" s="100">
        <v>5</v>
      </c>
      <c r="I75" s="100">
        <v>3215.9999999999995</v>
      </c>
      <c r="J75" s="100">
        <v>8</v>
      </c>
      <c r="K75" s="100">
        <v>5145.5999999999995</v>
      </c>
      <c r="L75" s="100">
        <v>7</v>
      </c>
      <c r="M75" s="100">
        <v>4502.3999999999996</v>
      </c>
      <c r="N75" s="100">
        <v>6</v>
      </c>
      <c r="O75" s="100">
        <v>3859.2</v>
      </c>
      <c r="P75" s="100">
        <v>7</v>
      </c>
      <c r="Q75" s="100">
        <v>4502.3999999999996</v>
      </c>
      <c r="R75" s="100">
        <v>9</v>
      </c>
      <c r="S75" s="100">
        <v>5788.7999999999993</v>
      </c>
      <c r="T75" s="100">
        <v>9</v>
      </c>
      <c r="U75" s="100">
        <v>5788.7999999999993</v>
      </c>
      <c r="V75" s="100">
        <v>9</v>
      </c>
      <c r="W75" s="100">
        <v>5788.7999999999993</v>
      </c>
      <c r="X75" s="100">
        <v>6</v>
      </c>
      <c r="Y75" s="100">
        <v>3859.2</v>
      </c>
      <c r="Z75" s="100">
        <v>7.9625267308404339</v>
      </c>
      <c r="AA75" s="100">
        <v>5121.4971932765666</v>
      </c>
      <c r="AB75" s="100">
        <v>7.5675675675675684</v>
      </c>
      <c r="AC75" s="100">
        <v>4867.4594594594591</v>
      </c>
      <c r="AD75" s="100">
        <v>6.712328767123287</v>
      </c>
      <c r="AE75" s="100">
        <v>4317.3698630136978</v>
      </c>
      <c r="AF75" s="100">
        <v>6.4900662251655632</v>
      </c>
      <c r="AG75" s="100">
        <v>4174.4105960264897</v>
      </c>
      <c r="AH75" s="100">
        <v>7.2</v>
      </c>
      <c r="AI75" s="100">
        <v>4631.04</v>
      </c>
      <c r="AJ75" s="100">
        <v>7.0786516853932584</v>
      </c>
      <c r="AK75" s="100">
        <v>4552.9887640449433</v>
      </c>
      <c r="AL75" s="100">
        <v>6.8055555555555554</v>
      </c>
      <c r="AM75" s="100">
        <v>4377.333333333333</v>
      </c>
      <c r="AN75" s="100">
        <v>5</v>
      </c>
      <c r="AO75" s="100">
        <v>3215.9999999999995</v>
      </c>
      <c r="AP75" s="100">
        <v>6</v>
      </c>
      <c r="AQ75" s="100">
        <v>3859.2</v>
      </c>
      <c r="AR75" s="100">
        <v>8</v>
      </c>
      <c r="AS75" s="100">
        <v>5145.5999999999995</v>
      </c>
      <c r="AT75" s="100">
        <v>7</v>
      </c>
      <c r="AU75" s="100">
        <v>4502.3999999999996</v>
      </c>
      <c r="AV75" s="100">
        <v>6</v>
      </c>
      <c r="AW75" s="100">
        <v>3859.2</v>
      </c>
      <c r="AX75" s="100">
        <v>10</v>
      </c>
      <c r="AY75" s="100">
        <v>6431.9999999999991</v>
      </c>
      <c r="AZ75" s="100">
        <v>9</v>
      </c>
      <c r="BA75" s="100">
        <v>5788.7999999999993</v>
      </c>
      <c r="BB75" s="100">
        <v>6.9818181818181815</v>
      </c>
      <c r="BC75" s="100">
        <v>4490.7054545454539</v>
      </c>
      <c r="BD75" s="100">
        <v>6</v>
      </c>
      <c r="BE75" s="100">
        <v>3859.2</v>
      </c>
      <c r="BF75" s="100">
        <v>5</v>
      </c>
      <c r="BG75" s="100">
        <v>3215.9999999999995</v>
      </c>
      <c r="BH75" s="100">
        <v>8</v>
      </c>
      <c r="BI75" s="100">
        <v>5145.5999999999995</v>
      </c>
      <c r="BJ75" s="100">
        <v>8</v>
      </c>
      <c r="BK75" s="100">
        <v>5145.5999999999995</v>
      </c>
      <c r="BL75" s="100">
        <v>8</v>
      </c>
      <c r="BM75" s="100">
        <v>5145.5999999999995</v>
      </c>
      <c r="BN75" s="100">
        <v>8</v>
      </c>
      <c r="BO75" s="100">
        <v>5145.5999999999995</v>
      </c>
      <c r="BP75" s="100">
        <v>6</v>
      </c>
      <c r="BQ75" s="100">
        <v>3859.2</v>
      </c>
      <c r="BR75" s="100">
        <v>9</v>
      </c>
      <c r="BS75" s="100">
        <v>5788.7999999999993</v>
      </c>
      <c r="BT75" s="100">
        <v>8</v>
      </c>
      <c r="BU75" s="100">
        <v>5145.5999999999995</v>
      </c>
      <c r="BV75" s="100">
        <v>7.8545454545454545</v>
      </c>
      <c r="BW75" s="100">
        <v>5052.0436363636354</v>
      </c>
      <c r="BX75" s="100">
        <v>6</v>
      </c>
      <c r="BY75" s="100">
        <v>3859.2</v>
      </c>
      <c r="BZ75" s="100">
        <v>8.0655737704918025</v>
      </c>
      <c r="CA75" s="100">
        <v>5187.7770491803267</v>
      </c>
      <c r="CB75" s="100">
        <v>7.7777777777777777</v>
      </c>
      <c r="CC75" s="100">
        <v>5002.6666666666661</v>
      </c>
      <c r="CD75" s="100">
        <v>7</v>
      </c>
      <c r="CE75" s="100">
        <v>4502.3999999999996</v>
      </c>
      <c r="CF75" s="100">
        <v>6.8292682926829267</v>
      </c>
      <c r="CG75" s="100">
        <v>4392.585365853658</v>
      </c>
      <c r="CH75" s="100">
        <v>7.6712328767123283</v>
      </c>
      <c r="CI75" s="100">
        <v>4934.1369863013688</v>
      </c>
      <c r="CJ75" s="100">
        <v>8.092485549132947</v>
      </c>
      <c r="CK75" s="100">
        <v>5205.0867052023114</v>
      </c>
      <c r="CL75" s="100">
        <v>6.7586206896551726</v>
      </c>
      <c r="CM75" s="100">
        <v>4347.1448275862067</v>
      </c>
      <c r="CN75" s="100">
        <v>7</v>
      </c>
      <c r="CO75" s="100">
        <v>4502.3999999999996</v>
      </c>
      <c r="CP75" s="100">
        <v>8.3645833333333321</v>
      </c>
      <c r="CQ75" s="100">
        <v>5380.0999999999985</v>
      </c>
      <c r="CR75" s="100">
        <v>7.887323943661972</v>
      </c>
      <c r="CS75" s="100">
        <v>5073.1267605633802</v>
      </c>
      <c r="CT75" s="100">
        <v>6.6216216216216219</v>
      </c>
      <c r="CU75" s="100">
        <v>4259.0270270270266</v>
      </c>
    </row>
    <row r="76" spans="2:99">
      <c r="C76" s="99" t="s">
        <v>242</v>
      </c>
      <c r="D76" s="100">
        <v>7</v>
      </c>
      <c r="E76" s="100">
        <v>5451.5999999999995</v>
      </c>
      <c r="F76" s="100">
        <v>5</v>
      </c>
      <c r="G76" s="100">
        <v>3894</v>
      </c>
      <c r="H76" s="100">
        <v>5</v>
      </c>
      <c r="I76" s="100">
        <v>3894</v>
      </c>
      <c r="J76" s="100">
        <v>9</v>
      </c>
      <c r="K76" s="100">
        <v>7009.2</v>
      </c>
      <c r="L76" s="100">
        <v>7</v>
      </c>
      <c r="M76" s="100">
        <v>5451.5999999999995</v>
      </c>
      <c r="N76" s="100">
        <v>6</v>
      </c>
      <c r="O76" s="100">
        <v>4672.7999999999993</v>
      </c>
      <c r="P76" s="100">
        <v>7</v>
      </c>
      <c r="Q76" s="100">
        <v>5451.5999999999995</v>
      </c>
      <c r="R76" s="100">
        <v>8</v>
      </c>
      <c r="S76" s="100">
        <v>6230.4</v>
      </c>
      <c r="T76" s="100">
        <v>7</v>
      </c>
      <c r="U76" s="100">
        <v>5451.5999999999995</v>
      </c>
      <c r="V76" s="100">
        <v>9</v>
      </c>
      <c r="W76" s="100">
        <v>7009.2</v>
      </c>
      <c r="X76" s="100">
        <v>6</v>
      </c>
      <c r="Y76" s="100">
        <v>4672.7999999999993</v>
      </c>
      <c r="Z76" s="100">
        <v>7.9625267308404339</v>
      </c>
      <c r="AA76" s="100">
        <v>6201.2158179785292</v>
      </c>
      <c r="AB76" s="100">
        <v>6.6216216216216219</v>
      </c>
      <c r="AC76" s="100">
        <v>5156.9189189189192</v>
      </c>
      <c r="AD76" s="100">
        <v>7.6712328767123283</v>
      </c>
      <c r="AE76" s="100">
        <v>5974.356164383561</v>
      </c>
      <c r="AF76" s="100">
        <v>7.4172185430463573</v>
      </c>
      <c r="AG76" s="100">
        <v>5776.5298013245028</v>
      </c>
      <c r="AH76" s="100">
        <v>7.2</v>
      </c>
      <c r="AI76" s="100">
        <v>5607.36</v>
      </c>
      <c r="AJ76" s="100">
        <v>7.0786516853932584</v>
      </c>
      <c r="AK76" s="100">
        <v>5512.8539325842694</v>
      </c>
      <c r="AL76" s="100">
        <v>7.7777777777777777</v>
      </c>
      <c r="AM76" s="100">
        <v>6057.333333333333</v>
      </c>
      <c r="AN76" s="100">
        <v>5</v>
      </c>
      <c r="AO76" s="100">
        <v>3894</v>
      </c>
      <c r="AP76" s="100">
        <v>5</v>
      </c>
      <c r="AQ76" s="100">
        <v>3894</v>
      </c>
      <c r="AR76" s="100">
        <v>8</v>
      </c>
      <c r="AS76" s="100">
        <v>6230.4</v>
      </c>
      <c r="AT76" s="100">
        <v>7</v>
      </c>
      <c r="AU76" s="100">
        <v>5451.5999999999995</v>
      </c>
      <c r="AV76" s="100">
        <v>7</v>
      </c>
      <c r="AW76" s="100">
        <v>5451.5999999999995</v>
      </c>
      <c r="AX76" s="100">
        <v>9</v>
      </c>
      <c r="AY76" s="100">
        <v>7009.2</v>
      </c>
      <c r="AZ76" s="100">
        <v>9</v>
      </c>
      <c r="BA76" s="100">
        <v>7009.2</v>
      </c>
      <c r="BB76" s="100">
        <v>7.8545454545454545</v>
      </c>
      <c r="BC76" s="100">
        <v>6117.12</v>
      </c>
      <c r="BD76" s="100">
        <v>6</v>
      </c>
      <c r="BE76" s="100">
        <v>4672.7999999999993</v>
      </c>
      <c r="BF76" s="100">
        <v>5</v>
      </c>
      <c r="BG76" s="100">
        <v>3894</v>
      </c>
      <c r="BH76" s="100">
        <v>7</v>
      </c>
      <c r="BI76" s="100">
        <v>5451.5999999999995</v>
      </c>
      <c r="BJ76" s="100">
        <v>6</v>
      </c>
      <c r="BK76" s="100">
        <v>4672.7999999999993</v>
      </c>
      <c r="BL76" s="100">
        <v>7</v>
      </c>
      <c r="BM76" s="100">
        <v>5451.5999999999995</v>
      </c>
      <c r="BN76" s="100">
        <v>7</v>
      </c>
      <c r="BO76" s="100">
        <v>5451.5999999999995</v>
      </c>
      <c r="BP76" s="100">
        <v>5</v>
      </c>
      <c r="BQ76" s="100">
        <v>3894</v>
      </c>
      <c r="BR76" s="100">
        <v>9</v>
      </c>
      <c r="BS76" s="100">
        <v>7009.2</v>
      </c>
      <c r="BT76" s="100">
        <v>8</v>
      </c>
      <c r="BU76" s="100">
        <v>6230.4</v>
      </c>
      <c r="BV76" s="100">
        <v>6.9818181818181815</v>
      </c>
      <c r="BW76" s="100">
        <v>5437.44</v>
      </c>
      <c r="BX76" s="100">
        <v>6</v>
      </c>
      <c r="BY76" s="100">
        <v>4672.7999999999993</v>
      </c>
      <c r="BZ76" s="100">
        <v>8.9617486338797807</v>
      </c>
      <c r="CA76" s="100">
        <v>6979.4098360655726</v>
      </c>
      <c r="CB76" s="100">
        <v>6.9135802469135799</v>
      </c>
      <c r="CC76" s="100">
        <v>5384.2962962962956</v>
      </c>
      <c r="CD76" s="100">
        <v>7</v>
      </c>
      <c r="CE76" s="100">
        <v>5451.5999999999995</v>
      </c>
      <c r="CF76" s="100">
        <v>6.8292682926829267</v>
      </c>
      <c r="CG76" s="100">
        <v>5318.6341463414628</v>
      </c>
      <c r="CH76" s="100">
        <v>6.712328767123287</v>
      </c>
      <c r="CI76" s="100">
        <v>5227.5616438356155</v>
      </c>
      <c r="CJ76" s="100">
        <v>7.2832369942196538</v>
      </c>
      <c r="CK76" s="100">
        <v>5672.184971098266</v>
      </c>
      <c r="CL76" s="100">
        <v>6.7586206896551726</v>
      </c>
      <c r="CM76" s="100">
        <v>5263.6137931034482</v>
      </c>
      <c r="CN76" s="100">
        <v>7</v>
      </c>
      <c r="CO76" s="100">
        <v>5451.5999999999995</v>
      </c>
      <c r="CP76" s="100">
        <v>8.3645833333333321</v>
      </c>
      <c r="CQ76" s="100">
        <v>6514.3374999999987</v>
      </c>
      <c r="CR76" s="100">
        <v>7.887323943661972</v>
      </c>
      <c r="CS76" s="100">
        <v>6142.647887323943</v>
      </c>
      <c r="CT76" s="100">
        <v>6.6216216216216219</v>
      </c>
      <c r="CU76" s="100">
        <v>5156.9189189189192</v>
      </c>
    </row>
    <row r="77" spans="2:99">
      <c r="C77" s="99" t="s">
        <v>243</v>
      </c>
      <c r="D77" s="100">
        <v>7</v>
      </c>
      <c r="E77" s="100">
        <v>1948.7999999999997</v>
      </c>
      <c r="F77" s="100">
        <v>5</v>
      </c>
      <c r="G77" s="100">
        <v>1392</v>
      </c>
      <c r="H77" s="100">
        <v>5</v>
      </c>
      <c r="I77" s="100">
        <v>1392</v>
      </c>
      <c r="J77" s="100">
        <v>9</v>
      </c>
      <c r="K77" s="100">
        <v>2505.6</v>
      </c>
      <c r="L77" s="100">
        <v>8</v>
      </c>
      <c r="M77" s="100">
        <v>2227.1999999999998</v>
      </c>
      <c r="N77" s="100">
        <v>7</v>
      </c>
      <c r="O77" s="100">
        <v>1948.7999999999997</v>
      </c>
      <c r="P77" s="100">
        <v>7</v>
      </c>
      <c r="Q77" s="100">
        <v>1948.7999999999997</v>
      </c>
      <c r="R77" s="100">
        <v>9</v>
      </c>
      <c r="S77" s="100">
        <v>2505.6</v>
      </c>
      <c r="T77" s="100">
        <v>9</v>
      </c>
      <c r="U77" s="100">
        <v>2505.6</v>
      </c>
      <c r="V77" s="100">
        <v>9</v>
      </c>
      <c r="W77" s="100">
        <v>2505.6</v>
      </c>
      <c r="X77" s="100">
        <v>6</v>
      </c>
      <c r="Y77" s="100">
        <v>1670.3999999999999</v>
      </c>
      <c r="Z77" s="100">
        <v>8.9578425721954886</v>
      </c>
      <c r="AA77" s="100">
        <v>2493.8633720992239</v>
      </c>
      <c r="AB77" s="100">
        <v>7.5675675675675684</v>
      </c>
      <c r="AC77" s="100">
        <v>2106.8108108108108</v>
      </c>
      <c r="AD77" s="100">
        <v>6.712328767123287</v>
      </c>
      <c r="AE77" s="100">
        <v>1868.7123287671229</v>
      </c>
      <c r="AF77" s="100">
        <v>7.4172185430463573</v>
      </c>
      <c r="AG77" s="100">
        <v>2064.9536423841055</v>
      </c>
      <c r="AH77" s="100">
        <v>6.4</v>
      </c>
      <c r="AI77" s="100">
        <v>1781.76</v>
      </c>
      <c r="AJ77" s="100">
        <v>7.8651685393258424</v>
      </c>
      <c r="AK77" s="100">
        <v>2189.6629213483143</v>
      </c>
      <c r="AL77" s="100">
        <v>7.7777777777777777</v>
      </c>
      <c r="AM77" s="100">
        <v>2165.333333333333</v>
      </c>
      <c r="AN77" s="100">
        <v>5</v>
      </c>
      <c r="AO77" s="100">
        <v>1392</v>
      </c>
      <c r="AP77" s="100">
        <v>6</v>
      </c>
      <c r="AQ77" s="100">
        <v>1670.3999999999999</v>
      </c>
      <c r="AR77" s="100">
        <v>8</v>
      </c>
      <c r="AS77" s="100">
        <v>2227.1999999999998</v>
      </c>
      <c r="AT77" s="100">
        <v>7</v>
      </c>
      <c r="AU77" s="100">
        <v>1948.7999999999997</v>
      </c>
      <c r="AV77" s="100">
        <v>7</v>
      </c>
      <c r="AW77" s="100">
        <v>1948.7999999999997</v>
      </c>
      <c r="AX77" s="100">
        <v>9</v>
      </c>
      <c r="AY77" s="100">
        <v>2505.6</v>
      </c>
      <c r="AZ77" s="100">
        <v>9</v>
      </c>
      <c r="BA77" s="100">
        <v>2505.6</v>
      </c>
      <c r="BB77" s="100">
        <v>6.9818181818181815</v>
      </c>
      <c r="BC77" s="100">
        <v>1943.7381818181816</v>
      </c>
      <c r="BD77" s="100">
        <v>7</v>
      </c>
      <c r="BE77" s="100">
        <v>1948.7999999999997</v>
      </c>
      <c r="BF77" s="100">
        <v>6</v>
      </c>
      <c r="BG77" s="100">
        <v>1670.3999999999999</v>
      </c>
      <c r="BH77" s="100">
        <v>9</v>
      </c>
      <c r="BI77" s="100">
        <v>2505.6</v>
      </c>
      <c r="BJ77" s="100">
        <v>7</v>
      </c>
      <c r="BK77" s="100">
        <v>1948.7999999999997</v>
      </c>
      <c r="BL77" s="100">
        <v>7</v>
      </c>
      <c r="BM77" s="100">
        <v>1948.7999999999997</v>
      </c>
      <c r="BN77" s="100">
        <v>7</v>
      </c>
      <c r="BO77" s="100">
        <v>1948.7999999999997</v>
      </c>
      <c r="BP77" s="100">
        <v>6</v>
      </c>
      <c r="BQ77" s="100">
        <v>1670.3999999999999</v>
      </c>
      <c r="BR77" s="100">
        <v>10</v>
      </c>
      <c r="BS77" s="100">
        <v>2784</v>
      </c>
      <c r="BT77" s="100">
        <v>9</v>
      </c>
      <c r="BU77" s="100">
        <v>2505.6</v>
      </c>
      <c r="BV77" s="100">
        <v>7.8545454545454545</v>
      </c>
      <c r="BW77" s="100">
        <v>2186.7054545454544</v>
      </c>
      <c r="BX77" s="100">
        <v>6</v>
      </c>
      <c r="BY77" s="100">
        <v>1670.3999999999999</v>
      </c>
      <c r="BZ77" s="100">
        <v>9.857923497267759</v>
      </c>
      <c r="CA77" s="100">
        <v>2744.4459016393439</v>
      </c>
      <c r="CB77" s="100">
        <v>6.9135802469135799</v>
      </c>
      <c r="CC77" s="100">
        <v>1924.7407407407404</v>
      </c>
      <c r="CD77" s="100">
        <v>7</v>
      </c>
      <c r="CE77" s="100">
        <v>1948.7999999999997</v>
      </c>
      <c r="CF77" s="100">
        <v>6.8292682926829267</v>
      </c>
      <c r="CG77" s="100">
        <v>1901.2682926829266</v>
      </c>
      <c r="CH77" s="100">
        <v>6.712328767123287</v>
      </c>
      <c r="CI77" s="100">
        <v>1868.7123287671229</v>
      </c>
      <c r="CJ77" s="100">
        <v>7.2832369942196538</v>
      </c>
      <c r="CK77" s="100">
        <v>2027.6531791907514</v>
      </c>
      <c r="CL77" s="100">
        <v>7.7241379310344822</v>
      </c>
      <c r="CM77" s="100">
        <v>2150.3999999999996</v>
      </c>
      <c r="CN77" s="100">
        <v>7</v>
      </c>
      <c r="CO77" s="100">
        <v>1948.7999999999997</v>
      </c>
      <c r="CP77" s="100">
        <v>9.125</v>
      </c>
      <c r="CQ77" s="100">
        <v>2540.3999999999996</v>
      </c>
      <c r="CR77" s="100">
        <v>7.887323943661972</v>
      </c>
      <c r="CS77" s="100">
        <v>2195.8309859154929</v>
      </c>
      <c r="CT77" s="100">
        <v>7.5675675675675684</v>
      </c>
      <c r="CU77" s="100">
        <v>2106.8108108108108</v>
      </c>
    </row>
    <row r="78" spans="2:99">
      <c r="C78" s="99" t="s">
        <v>244</v>
      </c>
      <c r="D78" s="100">
        <v>8</v>
      </c>
      <c r="E78" s="100">
        <v>4416</v>
      </c>
      <c r="F78" s="100">
        <v>6</v>
      </c>
      <c r="G78" s="100">
        <v>3312</v>
      </c>
      <c r="H78" s="100">
        <v>6</v>
      </c>
      <c r="I78" s="100">
        <v>3312</v>
      </c>
      <c r="J78" s="100">
        <v>9</v>
      </c>
      <c r="K78" s="100">
        <v>4968</v>
      </c>
      <c r="L78" s="100">
        <v>6</v>
      </c>
      <c r="M78" s="100">
        <v>3312</v>
      </c>
      <c r="N78" s="100">
        <v>7</v>
      </c>
      <c r="O78" s="100">
        <v>3864</v>
      </c>
      <c r="P78" s="100">
        <v>7</v>
      </c>
      <c r="Q78" s="100">
        <v>3864</v>
      </c>
      <c r="R78" s="100">
        <v>8</v>
      </c>
      <c r="S78" s="100">
        <v>4416</v>
      </c>
      <c r="T78" s="100">
        <v>8</v>
      </c>
      <c r="U78" s="100">
        <v>4416</v>
      </c>
      <c r="V78" s="100">
        <v>8</v>
      </c>
      <c r="W78" s="100">
        <v>4416</v>
      </c>
      <c r="X78" s="100">
        <v>6</v>
      </c>
      <c r="Y78" s="100">
        <v>3312</v>
      </c>
      <c r="Z78" s="100">
        <v>7.9625267308404339</v>
      </c>
      <c r="AA78" s="100">
        <v>4395.3147554239195</v>
      </c>
      <c r="AB78" s="100">
        <v>6.6216216216216219</v>
      </c>
      <c r="AC78" s="100">
        <v>3655.1351351351354</v>
      </c>
      <c r="AD78" s="100">
        <v>7.6712328767123283</v>
      </c>
      <c r="AE78" s="100">
        <v>4234.5205479452052</v>
      </c>
      <c r="AF78" s="100">
        <v>8.3443708609271514</v>
      </c>
      <c r="AG78" s="100">
        <v>4606.0927152317872</v>
      </c>
      <c r="AH78" s="100">
        <v>6.4</v>
      </c>
      <c r="AI78" s="100">
        <v>3532.8</v>
      </c>
      <c r="AJ78" s="100">
        <v>7.8651685393258424</v>
      </c>
      <c r="AK78" s="100">
        <v>4341.5730337078649</v>
      </c>
      <c r="AL78" s="100">
        <v>6.8055555555555554</v>
      </c>
      <c r="AM78" s="100">
        <v>3756.6666666666665</v>
      </c>
      <c r="AN78" s="100">
        <v>5</v>
      </c>
      <c r="AO78" s="100">
        <v>2760</v>
      </c>
      <c r="AP78" s="100">
        <v>6</v>
      </c>
      <c r="AQ78" s="100">
        <v>3312</v>
      </c>
      <c r="AR78" s="100">
        <v>7</v>
      </c>
      <c r="AS78" s="100">
        <v>3864</v>
      </c>
      <c r="AT78" s="100">
        <v>7</v>
      </c>
      <c r="AU78" s="100">
        <v>3864</v>
      </c>
      <c r="AV78" s="100">
        <v>7</v>
      </c>
      <c r="AW78" s="100">
        <v>3864</v>
      </c>
      <c r="AX78" s="100">
        <v>10</v>
      </c>
      <c r="AY78" s="100">
        <v>5520</v>
      </c>
      <c r="AZ78" s="100">
        <v>8</v>
      </c>
      <c r="BA78" s="100">
        <v>4416</v>
      </c>
      <c r="BB78" s="100">
        <v>7.8545454545454545</v>
      </c>
      <c r="BC78" s="100">
        <v>4335.7090909090912</v>
      </c>
      <c r="BD78" s="100">
        <v>6</v>
      </c>
      <c r="BE78" s="100">
        <v>3312</v>
      </c>
      <c r="BF78" s="100">
        <v>5</v>
      </c>
      <c r="BG78" s="100">
        <v>2760</v>
      </c>
      <c r="BH78" s="100">
        <v>7</v>
      </c>
      <c r="BI78" s="100">
        <v>3864</v>
      </c>
      <c r="BJ78" s="100">
        <v>7</v>
      </c>
      <c r="BK78" s="100">
        <v>3864</v>
      </c>
      <c r="BL78" s="100">
        <v>8</v>
      </c>
      <c r="BM78" s="100">
        <v>4416</v>
      </c>
      <c r="BN78" s="100">
        <v>7</v>
      </c>
      <c r="BO78" s="100">
        <v>3864</v>
      </c>
      <c r="BP78" s="100">
        <v>6</v>
      </c>
      <c r="BQ78" s="100">
        <v>3312</v>
      </c>
      <c r="BR78" s="100">
        <v>10</v>
      </c>
      <c r="BS78" s="100">
        <v>5520</v>
      </c>
      <c r="BT78" s="100">
        <v>8</v>
      </c>
      <c r="BU78" s="100">
        <v>4416</v>
      </c>
      <c r="BV78" s="100">
        <v>6.9818181818181815</v>
      </c>
      <c r="BW78" s="100">
        <v>3853.9636363636364</v>
      </c>
      <c r="BX78" s="100">
        <v>6</v>
      </c>
      <c r="BY78" s="100">
        <v>3312</v>
      </c>
      <c r="BZ78" s="100">
        <v>8.9617486338797807</v>
      </c>
      <c r="CA78" s="100">
        <v>4946.8852459016389</v>
      </c>
      <c r="CB78" s="100">
        <v>7.7777777777777777</v>
      </c>
      <c r="CC78" s="100">
        <v>4293.333333333333</v>
      </c>
      <c r="CD78" s="100">
        <v>7</v>
      </c>
      <c r="CE78" s="100">
        <v>3864</v>
      </c>
      <c r="CF78" s="100">
        <v>6.8292682926829267</v>
      </c>
      <c r="CG78" s="100">
        <v>3769.7560975609754</v>
      </c>
      <c r="CH78" s="100">
        <v>7.6712328767123283</v>
      </c>
      <c r="CI78" s="100">
        <v>4234.5205479452052</v>
      </c>
      <c r="CJ78" s="100">
        <v>7.2832369942196538</v>
      </c>
      <c r="CK78" s="100">
        <v>4020.346820809249</v>
      </c>
      <c r="CL78" s="100">
        <v>6.7586206896551726</v>
      </c>
      <c r="CM78" s="100">
        <v>3730.7586206896553</v>
      </c>
      <c r="CN78" s="100">
        <v>7</v>
      </c>
      <c r="CO78" s="100">
        <v>3864</v>
      </c>
      <c r="CP78" s="100">
        <v>7.604166666666667</v>
      </c>
      <c r="CQ78" s="100">
        <v>4197.5</v>
      </c>
      <c r="CR78" s="100">
        <v>6.901408450704225</v>
      </c>
      <c r="CS78" s="100">
        <v>3809.5774647887324</v>
      </c>
      <c r="CT78" s="100">
        <v>6.6216216216216219</v>
      </c>
      <c r="CU78" s="100">
        <v>3655.1351351351354</v>
      </c>
    </row>
    <row r="79" spans="2:99">
      <c r="C79" s="99" t="s">
        <v>245</v>
      </c>
      <c r="D79" s="100">
        <v>8</v>
      </c>
      <c r="E79" s="100">
        <v>6057.5999999999995</v>
      </c>
      <c r="F79" s="100">
        <v>5</v>
      </c>
      <c r="G79" s="100">
        <v>3785.9999999999995</v>
      </c>
      <c r="H79" s="100">
        <v>5</v>
      </c>
      <c r="I79" s="100">
        <v>3785.9999999999995</v>
      </c>
      <c r="J79" s="100">
        <v>9</v>
      </c>
      <c r="K79" s="100">
        <v>6814.7999999999993</v>
      </c>
      <c r="L79" s="100">
        <v>7</v>
      </c>
      <c r="M79" s="100">
        <v>5300.4</v>
      </c>
      <c r="N79" s="100">
        <v>7</v>
      </c>
      <c r="O79" s="100">
        <v>5300.4</v>
      </c>
      <c r="P79" s="100">
        <v>7</v>
      </c>
      <c r="Q79" s="100">
        <v>5300.4</v>
      </c>
      <c r="R79" s="100">
        <v>8</v>
      </c>
      <c r="S79" s="100">
        <v>6057.5999999999995</v>
      </c>
      <c r="T79" s="100">
        <v>9</v>
      </c>
      <c r="U79" s="100">
        <v>6814.7999999999993</v>
      </c>
      <c r="V79" s="100">
        <v>9</v>
      </c>
      <c r="W79" s="100">
        <v>6814.7999999999993</v>
      </c>
      <c r="X79" s="100">
        <v>6</v>
      </c>
      <c r="Y79" s="100">
        <v>4543.2</v>
      </c>
      <c r="Z79" s="100">
        <v>7.9625267308404339</v>
      </c>
      <c r="AA79" s="100">
        <v>6029.2252405923764</v>
      </c>
      <c r="AB79" s="100">
        <v>6.6216216216216219</v>
      </c>
      <c r="AC79" s="100">
        <v>5013.8918918918916</v>
      </c>
      <c r="AD79" s="100">
        <v>6.712328767123287</v>
      </c>
      <c r="AE79" s="100">
        <v>5082.5753424657523</v>
      </c>
      <c r="AF79" s="100">
        <v>7.4172185430463573</v>
      </c>
      <c r="AG79" s="100">
        <v>5616.3178807947015</v>
      </c>
      <c r="AH79" s="100">
        <v>7.2</v>
      </c>
      <c r="AI79" s="100">
        <v>5451.8399999999992</v>
      </c>
      <c r="AJ79" s="100">
        <v>7.8651685393258424</v>
      </c>
      <c r="AK79" s="100">
        <v>5955.5056179775274</v>
      </c>
      <c r="AL79" s="100">
        <v>6.8055555555555554</v>
      </c>
      <c r="AM79" s="100">
        <v>5153.1666666666661</v>
      </c>
      <c r="AN79" s="100">
        <v>5</v>
      </c>
      <c r="AO79" s="100">
        <v>3785.9999999999995</v>
      </c>
      <c r="AP79" s="100">
        <v>5</v>
      </c>
      <c r="AQ79" s="100">
        <v>3785.9999999999995</v>
      </c>
      <c r="AR79" s="100">
        <v>7</v>
      </c>
      <c r="AS79" s="100">
        <v>5300.4</v>
      </c>
      <c r="AT79" s="100">
        <v>6</v>
      </c>
      <c r="AU79" s="100">
        <v>4543.2</v>
      </c>
      <c r="AV79" s="100">
        <v>6</v>
      </c>
      <c r="AW79" s="100">
        <v>4543.2</v>
      </c>
      <c r="AX79" s="100">
        <v>9</v>
      </c>
      <c r="AY79" s="100">
        <v>6814.7999999999993</v>
      </c>
      <c r="AZ79" s="100">
        <v>7</v>
      </c>
      <c r="BA79" s="100">
        <v>5300.4</v>
      </c>
      <c r="BB79" s="100">
        <v>6.9818181818181815</v>
      </c>
      <c r="BC79" s="100">
        <v>5286.6327272727267</v>
      </c>
      <c r="BD79" s="100">
        <v>6</v>
      </c>
      <c r="BE79" s="100">
        <v>4543.2</v>
      </c>
      <c r="BF79" s="100">
        <v>6</v>
      </c>
      <c r="BG79" s="100">
        <v>4543.2</v>
      </c>
      <c r="BH79" s="100">
        <v>8</v>
      </c>
      <c r="BI79" s="100">
        <v>6057.5999999999995</v>
      </c>
      <c r="BJ79" s="100">
        <v>6</v>
      </c>
      <c r="BK79" s="100">
        <v>4543.2</v>
      </c>
      <c r="BL79" s="100">
        <v>7</v>
      </c>
      <c r="BM79" s="100">
        <v>5300.4</v>
      </c>
      <c r="BN79" s="100">
        <v>7</v>
      </c>
      <c r="BO79" s="100">
        <v>5300.4</v>
      </c>
      <c r="BP79" s="100">
        <v>5</v>
      </c>
      <c r="BQ79" s="100">
        <v>3785.9999999999995</v>
      </c>
      <c r="BR79" s="100">
        <v>10</v>
      </c>
      <c r="BS79" s="100">
        <v>7571.9999999999991</v>
      </c>
      <c r="BT79" s="100">
        <v>7</v>
      </c>
      <c r="BU79" s="100">
        <v>5300.4</v>
      </c>
      <c r="BV79" s="100">
        <v>7.8545454545454545</v>
      </c>
      <c r="BW79" s="100">
        <v>5947.4618181818178</v>
      </c>
      <c r="BX79" s="100">
        <v>6</v>
      </c>
      <c r="BY79" s="100">
        <v>4543.2</v>
      </c>
      <c r="BZ79" s="100">
        <v>8.9617486338797807</v>
      </c>
      <c r="CA79" s="100">
        <v>6785.8360655737697</v>
      </c>
      <c r="CB79" s="100">
        <v>6.9135802469135799</v>
      </c>
      <c r="CC79" s="100">
        <v>5234.9629629629626</v>
      </c>
      <c r="CD79" s="100">
        <v>7.875</v>
      </c>
      <c r="CE79" s="100">
        <v>5962.95</v>
      </c>
      <c r="CF79" s="100">
        <v>7.6829268292682924</v>
      </c>
      <c r="CG79" s="100">
        <v>5817.5121951219508</v>
      </c>
      <c r="CH79" s="100">
        <v>6.712328767123287</v>
      </c>
      <c r="CI79" s="100">
        <v>5082.5753424657523</v>
      </c>
      <c r="CJ79" s="100">
        <v>7.2832369942196538</v>
      </c>
      <c r="CK79" s="100">
        <v>5514.8670520231217</v>
      </c>
      <c r="CL79" s="100">
        <v>7.7241379310344822</v>
      </c>
      <c r="CM79" s="100">
        <v>5848.7172413793096</v>
      </c>
      <c r="CN79" s="100">
        <v>6</v>
      </c>
      <c r="CO79" s="100">
        <v>4543.2</v>
      </c>
      <c r="CP79" s="100">
        <v>8.3645833333333321</v>
      </c>
      <c r="CQ79" s="100">
        <v>6333.6624999999985</v>
      </c>
      <c r="CR79" s="100">
        <v>6.901408450704225</v>
      </c>
      <c r="CS79" s="100">
        <v>5225.7464788732386</v>
      </c>
      <c r="CT79" s="100">
        <v>7.5675675675675684</v>
      </c>
      <c r="CU79" s="100">
        <v>5730.1621621621625</v>
      </c>
    </row>
    <row r="80" spans="2:99">
      <c r="C80" s="99" t="s">
        <v>246</v>
      </c>
      <c r="D80" s="100">
        <v>7</v>
      </c>
      <c r="E80" s="100">
        <v>5636.4</v>
      </c>
      <c r="F80" s="100">
        <v>6</v>
      </c>
      <c r="G80" s="100">
        <v>4831.2</v>
      </c>
      <c r="H80" s="100">
        <v>5</v>
      </c>
      <c r="I80" s="100">
        <v>4025.9999999999995</v>
      </c>
      <c r="J80" s="100">
        <v>9</v>
      </c>
      <c r="K80" s="100">
        <v>7246.7999999999993</v>
      </c>
      <c r="L80" s="100">
        <v>7</v>
      </c>
      <c r="M80" s="100">
        <v>5636.4</v>
      </c>
      <c r="N80" s="100">
        <v>6</v>
      </c>
      <c r="O80" s="100">
        <v>4831.2</v>
      </c>
      <c r="P80" s="100">
        <v>7</v>
      </c>
      <c r="Q80" s="100">
        <v>5636.4</v>
      </c>
      <c r="R80" s="100">
        <v>8</v>
      </c>
      <c r="S80" s="100">
        <v>6441.5999999999995</v>
      </c>
      <c r="T80" s="100">
        <v>8</v>
      </c>
      <c r="U80" s="100">
        <v>6441.5999999999995</v>
      </c>
      <c r="V80" s="100">
        <v>10</v>
      </c>
      <c r="W80" s="100">
        <v>8051.9999999999991</v>
      </c>
      <c r="X80" s="100">
        <v>7</v>
      </c>
      <c r="Y80" s="100">
        <v>5636.4</v>
      </c>
      <c r="Z80" s="100">
        <v>7.9625267308404339</v>
      </c>
      <c r="AA80" s="100">
        <v>6411.4265236727169</v>
      </c>
      <c r="AB80" s="100">
        <v>6.6216216216216219</v>
      </c>
      <c r="AC80" s="100">
        <v>5331.7297297297291</v>
      </c>
      <c r="AD80" s="100">
        <v>7.6712328767123283</v>
      </c>
      <c r="AE80" s="100">
        <v>6176.8767123287662</v>
      </c>
      <c r="AF80" s="100">
        <v>7.4172185430463573</v>
      </c>
      <c r="AG80" s="100">
        <v>5972.3443708609266</v>
      </c>
      <c r="AH80" s="100">
        <v>6.4</v>
      </c>
      <c r="AI80" s="100">
        <v>5153.28</v>
      </c>
      <c r="AJ80" s="100">
        <v>7.0786516853932584</v>
      </c>
      <c r="AK80" s="100">
        <v>5699.7303370786512</v>
      </c>
      <c r="AL80" s="100">
        <v>5.833333333333333</v>
      </c>
      <c r="AM80" s="100">
        <v>4696.9999999999991</v>
      </c>
      <c r="AN80" s="100">
        <v>5</v>
      </c>
      <c r="AO80" s="100">
        <v>4025.9999999999995</v>
      </c>
      <c r="AP80" s="100">
        <v>6</v>
      </c>
      <c r="AQ80" s="100">
        <v>4831.2</v>
      </c>
      <c r="AR80" s="100">
        <v>7</v>
      </c>
      <c r="AS80" s="100">
        <v>5636.4</v>
      </c>
      <c r="AT80" s="100">
        <v>7</v>
      </c>
      <c r="AU80" s="100">
        <v>5636.4</v>
      </c>
      <c r="AV80" s="100">
        <v>7</v>
      </c>
      <c r="AW80" s="100">
        <v>5636.4</v>
      </c>
      <c r="AX80" s="100">
        <v>10</v>
      </c>
      <c r="AY80" s="100">
        <v>8051.9999999999991</v>
      </c>
      <c r="AZ80" s="100">
        <v>8</v>
      </c>
      <c r="BA80" s="100">
        <v>6441.5999999999995</v>
      </c>
      <c r="BB80" s="100">
        <v>6.9818181818181815</v>
      </c>
      <c r="BC80" s="100">
        <v>5621.7599999999993</v>
      </c>
      <c r="BD80" s="100">
        <v>6</v>
      </c>
      <c r="BE80" s="100">
        <v>4831.2</v>
      </c>
      <c r="BF80" s="100">
        <v>5</v>
      </c>
      <c r="BG80" s="100">
        <v>4025.9999999999995</v>
      </c>
      <c r="BH80" s="100">
        <v>7</v>
      </c>
      <c r="BI80" s="100">
        <v>5636.4</v>
      </c>
      <c r="BJ80" s="100">
        <v>6</v>
      </c>
      <c r="BK80" s="100">
        <v>4831.2</v>
      </c>
      <c r="BL80" s="100">
        <v>8</v>
      </c>
      <c r="BM80" s="100">
        <v>6441.5999999999995</v>
      </c>
      <c r="BN80" s="100">
        <v>7</v>
      </c>
      <c r="BO80" s="100">
        <v>5636.4</v>
      </c>
      <c r="BP80" s="100">
        <v>5</v>
      </c>
      <c r="BQ80" s="100">
        <v>4025.9999999999995</v>
      </c>
      <c r="BR80" s="100">
        <v>9</v>
      </c>
      <c r="BS80" s="100">
        <v>7246.7999999999993</v>
      </c>
      <c r="BT80" s="100">
        <v>8</v>
      </c>
      <c r="BU80" s="100">
        <v>6441.5999999999995</v>
      </c>
      <c r="BV80" s="100">
        <v>7.8545454545454545</v>
      </c>
      <c r="BW80" s="100">
        <v>6324.48</v>
      </c>
      <c r="BX80" s="100">
        <v>5</v>
      </c>
      <c r="BY80" s="100">
        <v>4025.9999999999995</v>
      </c>
      <c r="BZ80" s="100">
        <v>8.0655737704918025</v>
      </c>
      <c r="CA80" s="100">
        <v>6494.3999999999987</v>
      </c>
      <c r="CB80" s="100">
        <v>7.7777777777777777</v>
      </c>
      <c r="CC80" s="100">
        <v>6262.6666666666661</v>
      </c>
      <c r="CD80" s="100">
        <v>7</v>
      </c>
      <c r="CE80" s="100">
        <v>5636.4</v>
      </c>
      <c r="CF80" s="100">
        <v>7.6829268292682924</v>
      </c>
      <c r="CG80" s="100">
        <v>6186.2926829268281</v>
      </c>
      <c r="CH80" s="100">
        <v>7.6712328767123283</v>
      </c>
      <c r="CI80" s="100">
        <v>6176.8767123287662</v>
      </c>
      <c r="CJ80" s="100">
        <v>7.2832369942196538</v>
      </c>
      <c r="CK80" s="100">
        <v>5864.4624277456651</v>
      </c>
      <c r="CL80" s="100">
        <v>6.7586206896551726</v>
      </c>
      <c r="CM80" s="100">
        <v>5442.0413793103444</v>
      </c>
      <c r="CN80" s="100">
        <v>7</v>
      </c>
      <c r="CO80" s="100">
        <v>5636.4</v>
      </c>
      <c r="CP80" s="100">
        <v>7.604166666666667</v>
      </c>
      <c r="CQ80" s="100">
        <v>6122.875</v>
      </c>
      <c r="CR80" s="100">
        <v>6.901408450704225</v>
      </c>
      <c r="CS80" s="100">
        <v>5557.0140845070418</v>
      </c>
      <c r="CT80" s="100">
        <v>7.5675675675675684</v>
      </c>
      <c r="CU80" s="100">
        <v>6093.4054054054059</v>
      </c>
    </row>
    <row r="81" spans="2:99">
      <c r="C81" s="99" t="s">
        <v>247</v>
      </c>
      <c r="D81" s="100">
        <v>8</v>
      </c>
      <c r="E81" s="100">
        <v>6028.8</v>
      </c>
      <c r="F81" s="100">
        <v>5</v>
      </c>
      <c r="G81" s="100">
        <v>3768</v>
      </c>
      <c r="H81" s="100">
        <v>6</v>
      </c>
      <c r="I81" s="100">
        <v>4521.6000000000004</v>
      </c>
      <c r="J81" s="100">
        <v>9</v>
      </c>
      <c r="K81" s="100">
        <v>6782.4000000000005</v>
      </c>
      <c r="L81" s="100">
        <v>7</v>
      </c>
      <c r="M81" s="100">
        <v>5275.2</v>
      </c>
      <c r="N81" s="100">
        <v>6</v>
      </c>
      <c r="O81" s="100">
        <v>4521.6000000000004</v>
      </c>
      <c r="P81" s="100">
        <v>7</v>
      </c>
      <c r="Q81" s="100">
        <v>5275.2</v>
      </c>
      <c r="R81" s="100">
        <v>8</v>
      </c>
      <c r="S81" s="100">
        <v>6028.8</v>
      </c>
      <c r="T81" s="100">
        <v>9</v>
      </c>
      <c r="U81" s="100">
        <v>6782.4000000000005</v>
      </c>
      <c r="V81" s="100">
        <v>9</v>
      </c>
      <c r="W81" s="100">
        <v>6782.4000000000005</v>
      </c>
      <c r="X81" s="100">
        <v>6</v>
      </c>
      <c r="Y81" s="100">
        <v>4521.6000000000004</v>
      </c>
      <c r="Z81" s="100">
        <v>7.9625267308404339</v>
      </c>
      <c r="AA81" s="100">
        <v>6000.5601443613514</v>
      </c>
      <c r="AB81" s="100">
        <v>7.5675675675675684</v>
      </c>
      <c r="AC81" s="100">
        <v>5702.9189189189201</v>
      </c>
      <c r="AD81" s="100">
        <v>7.6712328767123283</v>
      </c>
      <c r="AE81" s="100">
        <v>5781.0410958904104</v>
      </c>
      <c r="AF81" s="100">
        <v>6.4900662251655632</v>
      </c>
      <c r="AG81" s="100">
        <v>4890.9139072847684</v>
      </c>
      <c r="AH81" s="100">
        <v>7.2</v>
      </c>
      <c r="AI81" s="100">
        <v>5425.92</v>
      </c>
      <c r="AJ81" s="100">
        <v>7.8651685393258424</v>
      </c>
      <c r="AK81" s="100">
        <v>5927.1910112359546</v>
      </c>
      <c r="AL81" s="100">
        <v>6.8055555555555554</v>
      </c>
      <c r="AM81" s="100">
        <v>5128.666666666667</v>
      </c>
      <c r="AN81" s="100">
        <v>5</v>
      </c>
      <c r="AO81" s="100">
        <v>3768</v>
      </c>
      <c r="AP81" s="100">
        <v>5</v>
      </c>
      <c r="AQ81" s="100">
        <v>3768</v>
      </c>
      <c r="AR81" s="100">
        <v>8</v>
      </c>
      <c r="AS81" s="100">
        <v>6028.8</v>
      </c>
      <c r="AT81" s="100">
        <v>7</v>
      </c>
      <c r="AU81" s="100">
        <v>5275.2</v>
      </c>
      <c r="AV81" s="100">
        <v>7</v>
      </c>
      <c r="AW81" s="100">
        <v>5275.2</v>
      </c>
      <c r="AX81" s="100">
        <v>10</v>
      </c>
      <c r="AY81" s="100">
        <v>7536</v>
      </c>
      <c r="AZ81" s="100">
        <v>9</v>
      </c>
      <c r="BA81" s="100">
        <v>6782.4000000000005</v>
      </c>
      <c r="BB81" s="100">
        <v>6.9818181818181815</v>
      </c>
      <c r="BC81" s="100">
        <v>5261.4981818181814</v>
      </c>
      <c r="BD81" s="100">
        <v>7</v>
      </c>
      <c r="BE81" s="100">
        <v>5275.2</v>
      </c>
      <c r="BF81" s="100">
        <v>5</v>
      </c>
      <c r="BG81" s="100">
        <v>3768</v>
      </c>
      <c r="BH81" s="100">
        <v>7</v>
      </c>
      <c r="BI81" s="100">
        <v>5275.2</v>
      </c>
      <c r="BJ81" s="100">
        <v>6</v>
      </c>
      <c r="BK81" s="100">
        <v>4521.6000000000004</v>
      </c>
      <c r="BL81" s="100">
        <v>8</v>
      </c>
      <c r="BM81" s="100">
        <v>6028.8</v>
      </c>
      <c r="BN81" s="100">
        <v>8</v>
      </c>
      <c r="BO81" s="100">
        <v>6028.8</v>
      </c>
      <c r="BP81" s="100">
        <v>5</v>
      </c>
      <c r="BQ81" s="100">
        <v>3768</v>
      </c>
      <c r="BR81" s="100">
        <v>9</v>
      </c>
      <c r="BS81" s="100">
        <v>6782.4000000000005</v>
      </c>
      <c r="BT81" s="100">
        <v>8</v>
      </c>
      <c r="BU81" s="100">
        <v>6028.8</v>
      </c>
      <c r="BV81" s="100">
        <v>6.9818181818181815</v>
      </c>
      <c r="BW81" s="100">
        <v>5261.4981818181814</v>
      </c>
      <c r="BX81" s="100">
        <v>6</v>
      </c>
      <c r="BY81" s="100">
        <v>4521.6000000000004</v>
      </c>
      <c r="BZ81" s="100">
        <v>8.9617486338797807</v>
      </c>
      <c r="CA81" s="100">
        <v>6753.5737704918029</v>
      </c>
      <c r="CB81" s="100">
        <v>7.7777777777777777</v>
      </c>
      <c r="CC81" s="100">
        <v>5861.333333333333</v>
      </c>
      <c r="CD81" s="100">
        <v>7.875</v>
      </c>
      <c r="CE81" s="100">
        <v>5934.6</v>
      </c>
      <c r="CF81" s="100">
        <v>6.8292682926829267</v>
      </c>
      <c r="CG81" s="100">
        <v>5146.5365853658541</v>
      </c>
      <c r="CH81" s="100">
        <v>7.6712328767123283</v>
      </c>
      <c r="CI81" s="100">
        <v>5781.0410958904104</v>
      </c>
      <c r="CJ81" s="100">
        <v>7.2832369942196538</v>
      </c>
      <c r="CK81" s="100">
        <v>5488.6473988439311</v>
      </c>
      <c r="CL81" s="100">
        <v>6.7586206896551726</v>
      </c>
      <c r="CM81" s="100">
        <v>5093.2965517241382</v>
      </c>
      <c r="CN81" s="100">
        <v>7</v>
      </c>
      <c r="CO81" s="100">
        <v>5275.2</v>
      </c>
      <c r="CP81" s="100">
        <v>8.3645833333333321</v>
      </c>
      <c r="CQ81" s="100">
        <v>6303.5499999999993</v>
      </c>
      <c r="CR81" s="100">
        <v>6.901408450704225</v>
      </c>
      <c r="CS81" s="100">
        <v>5200.9014084507044</v>
      </c>
      <c r="CT81" s="100">
        <v>6.6216216216216219</v>
      </c>
      <c r="CU81" s="100">
        <v>4990.0540540540542</v>
      </c>
    </row>
    <row r="82" spans="2:99">
      <c r="C82" s="99" t="s">
        <v>248</v>
      </c>
      <c r="D82" s="100">
        <v>8</v>
      </c>
      <c r="E82" s="100">
        <v>4070.3999999999992</v>
      </c>
      <c r="F82" s="100">
        <v>6</v>
      </c>
      <c r="G82" s="100">
        <v>3052.7999999999993</v>
      </c>
      <c r="H82" s="100">
        <v>5</v>
      </c>
      <c r="I82" s="100">
        <v>2543.9999999999995</v>
      </c>
      <c r="J82" s="100">
        <v>8</v>
      </c>
      <c r="K82" s="100">
        <v>4070.3999999999992</v>
      </c>
      <c r="L82" s="100">
        <v>8</v>
      </c>
      <c r="M82" s="100">
        <v>4070.3999999999992</v>
      </c>
      <c r="N82" s="100">
        <v>6</v>
      </c>
      <c r="O82" s="100">
        <v>3052.7999999999993</v>
      </c>
      <c r="P82" s="100">
        <v>7</v>
      </c>
      <c r="Q82" s="100">
        <v>3561.5999999999995</v>
      </c>
      <c r="R82" s="100">
        <v>9</v>
      </c>
      <c r="S82" s="100">
        <v>4579.1999999999989</v>
      </c>
      <c r="T82" s="100">
        <v>9</v>
      </c>
      <c r="U82" s="100">
        <v>4579.1999999999989</v>
      </c>
      <c r="V82" s="100">
        <v>10</v>
      </c>
      <c r="W82" s="100">
        <v>5087.9999999999991</v>
      </c>
      <c r="X82" s="100">
        <v>7</v>
      </c>
      <c r="Y82" s="100">
        <v>3561.5999999999995</v>
      </c>
      <c r="Z82" s="100">
        <v>7.9625267308404339</v>
      </c>
      <c r="AA82" s="100">
        <v>4051.333600651612</v>
      </c>
      <c r="AB82" s="100">
        <v>6.6216216216216219</v>
      </c>
      <c r="AC82" s="100">
        <v>3369.0810810810804</v>
      </c>
      <c r="AD82" s="100">
        <v>7.6712328767123283</v>
      </c>
      <c r="AE82" s="100">
        <v>3903.123287671232</v>
      </c>
      <c r="AF82" s="100">
        <v>8.3443708609271514</v>
      </c>
      <c r="AG82" s="100">
        <v>4245.6158940397336</v>
      </c>
      <c r="AH82" s="100">
        <v>8</v>
      </c>
      <c r="AI82" s="100">
        <v>4070.3999999999992</v>
      </c>
      <c r="AJ82" s="100">
        <v>7.0786516853932584</v>
      </c>
      <c r="AK82" s="100">
        <v>3601.6179775280893</v>
      </c>
      <c r="AL82" s="100">
        <v>6.8055555555555554</v>
      </c>
      <c r="AM82" s="100">
        <v>3462.6666666666661</v>
      </c>
      <c r="AN82" s="100">
        <v>5</v>
      </c>
      <c r="AO82" s="100">
        <v>2543.9999999999995</v>
      </c>
      <c r="AP82" s="100">
        <v>5</v>
      </c>
      <c r="AQ82" s="100">
        <v>2543.9999999999995</v>
      </c>
      <c r="AR82" s="100">
        <v>7</v>
      </c>
      <c r="AS82" s="100">
        <v>3561.5999999999995</v>
      </c>
      <c r="AT82" s="100">
        <v>8</v>
      </c>
      <c r="AU82" s="100">
        <v>4070.3999999999992</v>
      </c>
      <c r="AV82" s="100">
        <v>6</v>
      </c>
      <c r="AW82" s="100">
        <v>3052.7999999999993</v>
      </c>
      <c r="AX82" s="100">
        <v>10</v>
      </c>
      <c r="AY82" s="100">
        <v>5087.9999999999991</v>
      </c>
      <c r="AZ82" s="100">
        <v>9</v>
      </c>
      <c r="BA82" s="100">
        <v>4579.1999999999989</v>
      </c>
      <c r="BB82" s="100">
        <v>8.7272727272727266</v>
      </c>
      <c r="BC82" s="100">
        <v>4440.4363636363623</v>
      </c>
      <c r="BD82" s="100">
        <v>7</v>
      </c>
      <c r="BE82" s="100">
        <v>3561.5999999999995</v>
      </c>
      <c r="BF82" s="100">
        <v>5</v>
      </c>
      <c r="BG82" s="100">
        <v>2543.9999999999995</v>
      </c>
      <c r="BH82" s="100">
        <v>8</v>
      </c>
      <c r="BI82" s="100">
        <v>4070.3999999999992</v>
      </c>
      <c r="BJ82" s="100">
        <v>7</v>
      </c>
      <c r="BK82" s="100">
        <v>3561.5999999999995</v>
      </c>
      <c r="BL82" s="100">
        <v>7</v>
      </c>
      <c r="BM82" s="100">
        <v>3561.5999999999995</v>
      </c>
      <c r="BN82" s="100">
        <v>7</v>
      </c>
      <c r="BO82" s="100">
        <v>3561.5999999999995</v>
      </c>
      <c r="BP82" s="100">
        <v>5</v>
      </c>
      <c r="BQ82" s="100">
        <v>2543.9999999999995</v>
      </c>
      <c r="BR82" s="100">
        <v>10</v>
      </c>
      <c r="BS82" s="100">
        <v>5087.9999999999991</v>
      </c>
      <c r="BT82" s="100">
        <v>7</v>
      </c>
      <c r="BU82" s="100">
        <v>3561.5999999999995</v>
      </c>
      <c r="BV82" s="100">
        <v>7.8545454545454545</v>
      </c>
      <c r="BW82" s="100">
        <v>3996.3927272727265</v>
      </c>
      <c r="BX82" s="100">
        <v>6</v>
      </c>
      <c r="BY82" s="100">
        <v>3052.7999999999993</v>
      </c>
      <c r="BZ82" s="100">
        <v>8.9617486338797807</v>
      </c>
      <c r="CA82" s="100">
        <v>4559.7377049180313</v>
      </c>
      <c r="CB82" s="100">
        <v>6.9135802469135799</v>
      </c>
      <c r="CC82" s="100">
        <v>3517.6296296296287</v>
      </c>
      <c r="CD82" s="100">
        <v>7.875</v>
      </c>
      <c r="CE82" s="100">
        <v>4006.7999999999993</v>
      </c>
      <c r="CF82" s="100">
        <v>7.6829268292682924</v>
      </c>
      <c r="CG82" s="100">
        <v>3909.0731707317063</v>
      </c>
      <c r="CH82" s="100">
        <v>6.712328767123287</v>
      </c>
      <c r="CI82" s="100">
        <v>3415.2328767123277</v>
      </c>
      <c r="CJ82" s="100">
        <v>8.092485549132947</v>
      </c>
      <c r="CK82" s="100">
        <v>4117.4566473988425</v>
      </c>
      <c r="CL82" s="100">
        <v>6.7586206896551726</v>
      </c>
      <c r="CM82" s="100">
        <v>3438.786206896551</v>
      </c>
      <c r="CN82" s="100">
        <v>8</v>
      </c>
      <c r="CO82" s="100">
        <v>4070.3999999999992</v>
      </c>
      <c r="CP82" s="100">
        <v>7.604166666666667</v>
      </c>
      <c r="CQ82" s="100">
        <v>3868.9999999999995</v>
      </c>
      <c r="CR82" s="100">
        <v>6.901408450704225</v>
      </c>
      <c r="CS82" s="100">
        <v>3511.436619718309</v>
      </c>
      <c r="CT82" s="100">
        <v>7.5675675675675684</v>
      </c>
      <c r="CU82" s="100">
        <v>3850.3783783783779</v>
      </c>
    </row>
    <row r="83" spans="2:99">
      <c r="C83" s="99" t="s">
        <v>249</v>
      </c>
      <c r="D83" s="100">
        <v>8</v>
      </c>
      <c r="E83" s="100">
        <v>6883.2</v>
      </c>
      <c r="F83" s="100">
        <v>5</v>
      </c>
      <c r="G83" s="100">
        <v>4302</v>
      </c>
      <c r="H83" s="100">
        <v>6</v>
      </c>
      <c r="I83" s="100">
        <v>5162.3999999999996</v>
      </c>
      <c r="J83" s="100">
        <v>8</v>
      </c>
      <c r="K83" s="100">
        <v>6883.2</v>
      </c>
      <c r="L83" s="100">
        <v>7</v>
      </c>
      <c r="M83" s="100">
        <v>6022.8</v>
      </c>
      <c r="N83" s="100">
        <v>7</v>
      </c>
      <c r="O83" s="100">
        <v>6022.8</v>
      </c>
      <c r="P83" s="100">
        <v>7</v>
      </c>
      <c r="Q83" s="100">
        <v>6022.8</v>
      </c>
      <c r="R83" s="100">
        <v>9</v>
      </c>
      <c r="S83" s="100">
        <v>7743.5999999999995</v>
      </c>
      <c r="T83" s="100">
        <v>8</v>
      </c>
      <c r="U83" s="100">
        <v>6883.2</v>
      </c>
      <c r="V83" s="100">
        <v>9</v>
      </c>
      <c r="W83" s="100">
        <v>7743.5999999999995</v>
      </c>
      <c r="X83" s="100">
        <v>7</v>
      </c>
      <c r="Y83" s="100">
        <v>6022.8</v>
      </c>
      <c r="Z83" s="100">
        <v>8.9578425721954886</v>
      </c>
      <c r="AA83" s="100">
        <v>7707.3277491169983</v>
      </c>
      <c r="AB83" s="100">
        <v>6.6216216216216219</v>
      </c>
      <c r="AC83" s="100">
        <v>5697.2432432432433</v>
      </c>
      <c r="AD83" s="100">
        <v>7.6712328767123283</v>
      </c>
      <c r="AE83" s="100">
        <v>6600.3287671232874</v>
      </c>
      <c r="AF83" s="100">
        <v>7.4172185430463573</v>
      </c>
      <c r="AG83" s="100">
        <v>6381.7748344370857</v>
      </c>
      <c r="AH83" s="100">
        <v>6.4</v>
      </c>
      <c r="AI83" s="100">
        <v>5506.56</v>
      </c>
      <c r="AJ83" s="100">
        <v>7.0786516853932584</v>
      </c>
      <c r="AK83" s="100">
        <v>6090.4719101123592</v>
      </c>
      <c r="AL83" s="100">
        <v>6.8055555555555554</v>
      </c>
      <c r="AM83" s="100">
        <v>5855.5</v>
      </c>
      <c r="AN83" s="100">
        <v>5</v>
      </c>
      <c r="AO83" s="100">
        <v>4302</v>
      </c>
      <c r="AP83" s="100">
        <v>5</v>
      </c>
      <c r="AQ83" s="100">
        <v>4302</v>
      </c>
      <c r="AR83" s="100">
        <v>8</v>
      </c>
      <c r="AS83" s="100">
        <v>6883.2</v>
      </c>
      <c r="AT83" s="100">
        <v>7</v>
      </c>
      <c r="AU83" s="100">
        <v>6022.8</v>
      </c>
      <c r="AV83" s="100">
        <v>6</v>
      </c>
      <c r="AW83" s="100">
        <v>5162.3999999999996</v>
      </c>
      <c r="AX83" s="100">
        <v>10</v>
      </c>
      <c r="AY83" s="100">
        <v>8604</v>
      </c>
      <c r="AZ83" s="100">
        <v>8</v>
      </c>
      <c r="BA83" s="100">
        <v>6883.2</v>
      </c>
      <c r="BB83" s="100">
        <v>7.8545454545454545</v>
      </c>
      <c r="BC83" s="100">
        <v>6758.050909090909</v>
      </c>
      <c r="BD83" s="100">
        <v>6</v>
      </c>
      <c r="BE83" s="100">
        <v>5162.3999999999996</v>
      </c>
      <c r="BF83" s="100">
        <v>6</v>
      </c>
      <c r="BG83" s="100">
        <v>5162.3999999999996</v>
      </c>
      <c r="BH83" s="100">
        <v>7</v>
      </c>
      <c r="BI83" s="100">
        <v>6022.8</v>
      </c>
      <c r="BJ83" s="100">
        <v>7</v>
      </c>
      <c r="BK83" s="100">
        <v>6022.8</v>
      </c>
      <c r="BL83" s="100">
        <v>7</v>
      </c>
      <c r="BM83" s="100">
        <v>6022.8</v>
      </c>
      <c r="BN83" s="100">
        <v>8</v>
      </c>
      <c r="BO83" s="100">
        <v>6883.2</v>
      </c>
      <c r="BP83" s="100">
        <v>6</v>
      </c>
      <c r="BQ83" s="100">
        <v>5162.3999999999996</v>
      </c>
      <c r="BR83" s="100">
        <v>10</v>
      </c>
      <c r="BS83" s="100">
        <v>8604</v>
      </c>
      <c r="BT83" s="100">
        <v>8</v>
      </c>
      <c r="BU83" s="100">
        <v>6883.2</v>
      </c>
      <c r="BV83" s="100">
        <v>7.8545454545454545</v>
      </c>
      <c r="BW83" s="100">
        <v>6758.050909090909</v>
      </c>
      <c r="BX83" s="100">
        <v>6</v>
      </c>
      <c r="BY83" s="100">
        <v>5162.3999999999996</v>
      </c>
      <c r="BZ83" s="100">
        <v>8.0655737704918025</v>
      </c>
      <c r="CA83" s="100">
        <v>6939.6196721311462</v>
      </c>
      <c r="CB83" s="100">
        <v>7.7777777777777777</v>
      </c>
      <c r="CC83" s="100">
        <v>6692</v>
      </c>
      <c r="CD83" s="100">
        <v>6.125</v>
      </c>
      <c r="CE83" s="100">
        <v>5269.95</v>
      </c>
      <c r="CF83" s="100">
        <v>6.8292682926829267</v>
      </c>
      <c r="CG83" s="100">
        <v>5875.9024390243903</v>
      </c>
      <c r="CH83" s="100">
        <v>6.712328767123287</v>
      </c>
      <c r="CI83" s="100">
        <v>5775.2876712328762</v>
      </c>
      <c r="CJ83" s="100">
        <v>7.2832369942196538</v>
      </c>
      <c r="CK83" s="100">
        <v>6266.4971098265896</v>
      </c>
      <c r="CL83" s="100">
        <v>6.7586206896551726</v>
      </c>
      <c r="CM83" s="100">
        <v>5815.1172413793101</v>
      </c>
      <c r="CN83" s="100">
        <v>7</v>
      </c>
      <c r="CO83" s="100">
        <v>6022.8</v>
      </c>
      <c r="CP83" s="100">
        <v>7.604166666666667</v>
      </c>
      <c r="CQ83" s="100">
        <v>6542.625</v>
      </c>
      <c r="CR83" s="100">
        <v>6.901408450704225</v>
      </c>
      <c r="CS83" s="100">
        <v>5937.9718309859154</v>
      </c>
      <c r="CT83" s="100">
        <v>7.5675675675675684</v>
      </c>
      <c r="CU83" s="100">
        <v>6511.1351351351359</v>
      </c>
    </row>
    <row r="84" spans="2:99">
      <c r="C84" s="99" t="s">
        <v>250</v>
      </c>
      <c r="D84" s="100">
        <v>8</v>
      </c>
      <c r="E84" s="100">
        <v>6249.5999999999995</v>
      </c>
      <c r="F84" s="100">
        <v>6</v>
      </c>
      <c r="G84" s="100">
        <v>4687.2</v>
      </c>
      <c r="H84" s="100">
        <v>6</v>
      </c>
      <c r="I84" s="100">
        <v>4687.2</v>
      </c>
      <c r="J84" s="100">
        <v>8</v>
      </c>
      <c r="K84" s="100">
        <v>6249.5999999999995</v>
      </c>
      <c r="L84" s="100">
        <v>7</v>
      </c>
      <c r="M84" s="100">
        <v>5468.4</v>
      </c>
      <c r="N84" s="100">
        <v>6</v>
      </c>
      <c r="O84" s="100">
        <v>4687.2</v>
      </c>
      <c r="P84" s="100">
        <v>7</v>
      </c>
      <c r="Q84" s="100">
        <v>5468.4</v>
      </c>
      <c r="R84" s="100">
        <v>8</v>
      </c>
      <c r="S84" s="100">
        <v>6249.5999999999995</v>
      </c>
      <c r="T84" s="100">
        <v>9</v>
      </c>
      <c r="U84" s="100">
        <v>7030.7999999999993</v>
      </c>
      <c r="V84" s="100">
        <v>10</v>
      </c>
      <c r="W84" s="100">
        <v>7811.9999999999991</v>
      </c>
      <c r="X84" s="100">
        <v>6</v>
      </c>
      <c r="Y84" s="100">
        <v>4687.2</v>
      </c>
      <c r="Z84" s="100">
        <v>8.9578425721954886</v>
      </c>
      <c r="AA84" s="100">
        <v>6997.8666173991151</v>
      </c>
      <c r="AB84" s="100">
        <v>6.6216216216216219</v>
      </c>
      <c r="AC84" s="100">
        <v>5172.8108108108108</v>
      </c>
      <c r="AD84" s="100">
        <v>7.6712328767123283</v>
      </c>
      <c r="AE84" s="100">
        <v>5992.7671232876701</v>
      </c>
      <c r="AF84" s="100">
        <v>7.4172185430463573</v>
      </c>
      <c r="AG84" s="100">
        <v>5794.3311258278136</v>
      </c>
      <c r="AH84" s="100">
        <v>7.2</v>
      </c>
      <c r="AI84" s="100">
        <v>5624.6399999999994</v>
      </c>
      <c r="AJ84" s="100">
        <v>7.8651685393258424</v>
      </c>
      <c r="AK84" s="100">
        <v>6144.2696629213478</v>
      </c>
      <c r="AL84" s="100">
        <v>6.8055555555555554</v>
      </c>
      <c r="AM84" s="100">
        <v>5316.4999999999991</v>
      </c>
      <c r="AN84" s="100">
        <v>5</v>
      </c>
      <c r="AO84" s="100">
        <v>3905.9999999999995</v>
      </c>
      <c r="AP84" s="100">
        <v>5</v>
      </c>
      <c r="AQ84" s="100">
        <v>3905.9999999999995</v>
      </c>
      <c r="AR84" s="100">
        <v>7</v>
      </c>
      <c r="AS84" s="100">
        <v>5468.4</v>
      </c>
      <c r="AT84" s="100">
        <v>7</v>
      </c>
      <c r="AU84" s="100">
        <v>5468.4</v>
      </c>
      <c r="AV84" s="100">
        <v>6</v>
      </c>
      <c r="AW84" s="100">
        <v>4687.2</v>
      </c>
      <c r="AX84" s="100">
        <v>10</v>
      </c>
      <c r="AY84" s="100">
        <v>7811.9999999999991</v>
      </c>
      <c r="AZ84" s="100">
        <v>8</v>
      </c>
      <c r="BA84" s="100">
        <v>6249.5999999999995</v>
      </c>
      <c r="BB84" s="100">
        <v>6.9818181818181815</v>
      </c>
      <c r="BC84" s="100">
        <v>5454.1963636363625</v>
      </c>
      <c r="BD84" s="100">
        <v>6</v>
      </c>
      <c r="BE84" s="100">
        <v>4687.2</v>
      </c>
      <c r="BF84" s="100">
        <v>5</v>
      </c>
      <c r="BG84" s="100">
        <v>3905.9999999999995</v>
      </c>
      <c r="BH84" s="100">
        <v>7</v>
      </c>
      <c r="BI84" s="100">
        <v>5468.4</v>
      </c>
      <c r="BJ84" s="100">
        <v>7</v>
      </c>
      <c r="BK84" s="100">
        <v>5468.4</v>
      </c>
      <c r="BL84" s="100">
        <v>7</v>
      </c>
      <c r="BM84" s="100">
        <v>5468.4</v>
      </c>
      <c r="BN84" s="100">
        <v>7</v>
      </c>
      <c r="BO84" s="100">
        <v>5468.4</v>
      </c>
      <c r="BP84" s="100">
        <v>5</v>
      </c>
      <c r="BQ84" s="100">
        <v>3905.9999999999995</v>
      </c>
      <c r="BR84" s="100">
        <v>10</v>
      </c>
      <c r="BS84" s="100">
        <v>7811.9999999999991</v>
      </c>
      <c r="BT84" s="100">
        <v>8</v>
      </c>
      <c r="BU84" s="100">
        <v>6249.5999999999995</v>
      </c>
      <c r="BV84" s="100">
        <v>6.9818181818181815</v>
      </c>
      <c r="BW84" s="100">
        <v>5454.1963636363625</v>
      </c>
      <c r="BX84" s="100">
        <v>7</v>
      </c>
      <c r="BY84" s="100">
        <v>5468.4</v>
      </c>
      <c r="BZ84" s="100">
        <v>9.857923497267759</v>
      </c>
      <c r="CA84" s="100">
        <v>7701.0098360655729</v>
      </c>
      <c r="CB84" s="100">
        <v>6.9135802469135799</v>
      </c>
      <c r="CC84" s="100">
        <v>5400.8888888888878</v>
      </c>
      <c r="CD84" s="100">
        <v>7</v>
      </c>
      <c r="CE84" s="100">
        <v>5468.4</v>
      </c>
      <c r="CF84" s="100">
        <v>6.8292682926829267</v>
      </c>
      <c r="CG84" s="100">
        <v>5335.0243902439015</v>
      </c>
      <c r="CH84" s="100">
        <v>7.6712328767123283</v>
      </c>
      <c r="CI84" s="100">
        <v>5992.7671232876701</v>
      </c>
      <c r="CJ84" s="100">
        <v>7.2832369942196538</v>
      </c>
      <c r="CK84" s="100">
        <v>5689.6647398843934</v>
      </c>
      <c r="CL84" s="100">
        <v>7.7241379310344822</v>
      </c>
      <c r="CM84" s="100">
        <v>6034.0965517241366</v>
      </c>
      <c r="CN84" s="100">
        <v>7</v>
      </c>
      <c r="CO84" s="100">
        <v>5468.4</v>
      </c>
      <c r="CP84" s="100">
        <v>8.3645833333333321</v>
      </c>
      <c r="CQ84" s="100">
        <v>6534.4124999999985</v>
      </c>
      <c r="CR84" s="100">
        <v>6.901408450704225</v>
      </c>
      <c r="CS84" s="100">
        <v>5391.3802816901398</v>
      </c>
      <c r="CT84" s="100">
        <v>7.5675675675675684</v>
      </c>
      <c r="CU84" s="100">
        <v>5911.7837837837842</v>
      </c>
    </row>
    <row r="85" spans="2:99">
      <c r="C85" s="99" t="s">
        <v>251</v>
      </c>
      <c r="D85" s="100">
        <v>8</v>
      </c>
      <c r="E85" s="100">
        <v>1200</v>
      </c>
      <c r="F85" s="100">
        <v>6</v>
      </c>
      <c r="G85" s="100">
        <v>900</v>
      </c>
      <c r="H85" s="100">
        <v>6</v>
      </c>
      <c r="I85" s="100">
        <v>900</v>
      </c>
      <c r="J85" s="100">
        <v>8</v>
      </c>
      <c r="K85" s="100">
        <v>1200</v>
      </c>
      <c r="L85" s="100">
        <v>7</v>
      </c>
      <c r="M85" s="100">
        <v>1050</v>
      </c>
      <c r="N85" s="100">
        <v>7</v>
      </c>
      <c r="O85" s="100">
        <v>1050</v>
      </c>
      <c r="P85" s="100">
        <v>7</v>
      </c>
      <c r="Q85" s="100">
        <v>1050</v>
      </c>
      <c r="R85" s="100">
        <v>8</v>
      </c>
      <c r="S85" s="100">
        <v>1200</v>
      </c>
      <c r="T85" s="100">
        <v>9</v>
      </c>
      <c r="U85" s="100">
        <v>1350</v>
      </c>
      <c r="V85" s="100">
        <v>11</v>
      </c>
      <c r="W85" s="100">
        <v>1650</v>
      </c>
      <c r="X85" s="100">
        <v>7</v>
      </c>
      <c r="Y85" s="100">
        <v>1050</v>
      </c>
      <c r="Z85" s="100">
        <v>8.9578425721954886</v>
      </c>
      <c r="AA85" s="100">
        <v>1343.6763858293234</v>
      </c>
      <c r="AB85" s="100">
        <v>7.5675675675675684</v>
      </c>
      <c r="AC85" s="100">
        <v>1135.1351351351352</v>
      </c>
      <c r="AD85" s="100">
        <v>7.6712328767123283</v>
      </c>
      <c r="AE85" s="100">
        <v>1150.6849315068494</v>
      </c>
      <c r="AF85" s="100">
        <v>7.4172185430463573</v>
      </c>
      <c r="AG85" s="100">
        <v>1112.5827814569536</v>
      </c>
      <c r="AH85" s="100">
        <v>8</v>
      </c>
      <c r="AI85" s="100">
        <v>1200</v>
      </c>
      <c r="AJ85" s="100">
        <v>7.0786516853932584</v>
      </c>
      <c r="AK85" s="100">
        <v>1061.7977528089887</v>
      </c>
      <c r="AL85" s="100">
        <v>6.8055555555555554</v>
      </c>
      <c r="AM85" s="100">
        <v>1020.8333333333333</v>
      </c>
      <c r="AN85" s="100">
        <v>6</v>
      </c>
      <c r="AO85" s="100">
        <v>900</v>
      </c>
      <c r="AP85" s="100">
        <v>5</v>
      </c>
      <c r="AQ85" s="100">
        <v>750</v>
      </c>
      <c r="AR85" s="100">
        <v>7</v>
      </c>
      <c r="AS85" s="100">
        <v>1050</v>
      </c>
      <c r="AT85" s="100">
        <v>8</v>
      </c>
      <c r="AU85" s="100">
        <v>1200</v>
      </c>
      <c r="AV85" s="100">
        <v>6</v>
      </c>
      <c r="AW85" s="100">
        <v>900</v>
      </c>
      <c r="AX85" s="100">
        <v>10</v>
      </c>
      <c r="AY85" s="100">
        <v>1500</v>
      </c>
      <c r="AZ85" s="100">
        <v>9</v>
      </c>
      <c r="BA85" s="100">
        <v>1350</v>
      </c>
      <c r="BB85" s="100">
        <v>7.8545454545454545</v>
      </c>
      <c r="BC85" s="100">
        <v>1178.1818181818182</v>
      </c>
      <c r="BD85" s="100">
        <v>6</v>
      </c>
      <c r="BE85" s="100">
        <v>900</v>
      </c>
      <c r="BF85" s="100">
        <v>5</v>
      </c>
      <c r="BG85" s="100">
        <v>750</v>
      </c>
      <c r="BH85" s="100">
        <v>8</v>
      </c>
      <c r="BI85" s="100">
        <v>1200</v>
      </c>
      <c r="BJ85" s="100">
        <v>8</v>
      </c>
      <c r="BK85" s="100">
        <v>1200</v>
      </c>
      <c r="BL85" s="100">
        <v>7</v>
      </c>
      <c r="BM85" s="100">
        <v>1050</v>
      </c>
      <c r="BN85" s="100">
        <v>8</v>
      </c>
      <c r="BO85" s="100">
        <v>1200</v>
      </c>
      <c r="BP85" s="100">
        <v>6</v>
      </c>
      <c r="BQ85" s="100">
        <v>900</v>
      </c>
      <c r="BR85" s="100">
        <v>10</v>
      </c>
      <c r="BS85" s="100">
        <v>1500</v>
      </c>
      <c r="BT85" s="100">
        <v>9</v>
      </c>
      <c r="BU85" s="100">
        <v>1350</v>
      </c>
      <c r="BV85" s="100">
        <v>6.9818181818181815</v>
      </c>
      <c r="BW85" s="100">
        <v>1047.2727272727273</v>
      </c>
      <c r="BX85" s="100">
        <v>7</v>
      </c>
      <c r="BY85" s="100">
        <v>1050</v>
      </c>
      <c r="BZ85" s="100">
        <v>9.857923497267759</v>
      </c>
      <c r="CA85" s="100">
        <v>1478.6885245901638</v>
      </c>
      <c r="CB85" s="100">
        <v>6.9135802469135799</v>
      </c>
      <c r="CC85" s="100">
        <v>1037.037037037037</v>
      </c>
      <c r="CD85" s="100">
        <v>7.875</v>
      </c>
      <c r="CE85" s="100">
        <v>1181.25</v>
      </c>
      <c r="CF85" s="100">
        <v>6.8292682926829267</v>
      </c>
      <c r="CG85" s="100">
        <v>1024.3902439024389</v>
      </c>
      <c r="CH85" s="100">
        <v>7.6712328767123283</v>
      </c>
      <c r="CI85" s="100">
        <v>1150.6849315068494</v>
      </c>
      <c r="CJ85" s="100">
        <v>8.901734104046243</v>
      </c>
      <c r="CK85" s="100">
        <v>1335.2601156069366</v>
      </c>
      <c r="CL85" s="100">
        <v>7.7241379310344822</v>
      </c>
      <c r="CM85" s="100">
        <v>1158.6206896551723</v>
      </c>
      <c r="CN85" s="100">
        <v>7</v>
      </c>
      <c r="CO85" s="100">
        <v>1050</v>
      </c>
      <c r="CP85" s="100">
        <v>8.3645833333333321</v>
      </c>
      <c r="CQ85" s="100">
        <v>1254.6874999999998</v>
      </c>
      <c r="CR85" s="100">
        <v>6.901408450704225</v>
      </c>
      <c r="CS85" s="100">
        <v>1035.2112676056338</v>
      </c>
      <c r="CT85" s="100">
        <v>7.5675675675675684</v>
      </c>
      <c r="CU85" s="100">
        <v>1135.1351351351352</v>
      </c>
    </row>
    <row r="86" spans="2:99">
      <c r="C86" s="99" t="s">
        <v>252</v>
      </c>
      <c r="D86" s="100">
        <v>7</v>
      </c>
      <c r="E86" s="100">
        <v>3780</v>
      </c>
      <c r="F86" s="100">
        <v>6</v>
      </c>
      <c r="G86" s="100">
        <v>3240</v>
      </c>
      <c r="H86" s="100">
        <v>6</v>
      </c>
      <c r="I86" s="100">
        <v>3240</v>
      </c>
      <c r="J86" s="100">
        <v>9</v>
      </c>
      <c r="K86" s="100">
        <v>4860</v>
      </c>
      <c r="L86" s="100">
        <v>7</v>
      </c>
      <c r="M86" s="100">
        <v>3780</v>
      </c>
      <c r="N86" s="100">
        <v>6</v>
      </c>
      <c r="O86" s="100">
        <v>3240</v>
      </c>
      <c r="P86" s="100">
        <v>7</v>
      </c>
      <c r="Q86" s="100">
        <v>3780</v>
      </c>
      <c r="R86" s="100">
        <v>9</v>
      </c>
      <c r="S86" s="100">
        <v>4860</v>
      </c>
      <c r="T86" s="100">
        <v>9</v>
      </c>
      <c r="U86" s="100">
        <v>4860</v>
      </c>
      <c r="V86" s="100">
        <v>9</v>
      </c>
      <c r="W86" s="100">
        <v>4860</v>
      </c>
      <c r="X86" s="100">
        <v>7</v>
      </c>
      <c r="Y86" s="100">
        <v>3780</v>
      </c>
      <c r="Z86" s="100">
        <v>7.9625267308404339</v>
      </c>
      <c r="AA86" s="100">
        <v>4299.7644346538345</v>
      </c>
      <c r="AB86" s="100">
        <v>7.5675675675675684</v>
      </c>
      <c r="AC86" s="100">
        <v>4086.4864864864871</v>
      </c>
      <c r="AD86" s="100">
        <v>7.6712328767123283</v>
      </c>
      <c r="AE86" s="100">
        <v>4142.4657534246571</v>
      </c>
      <c r="AF86" s="100">
        <v>7.4172185430463573</v>
      </c>
      <c r="AG86" s="100">
        <v>4005.298013245033</v>
      </c>
      <c r="AH86" s="100">
        <v>6.4</v>
      </c>
      <c r="AI86" s="100">
        <v>3456</v>
      </c>
      <c r="AJ86" s="100">
        <v>7.0786516853932584</v>
      </c>
      <c r="AK86" s="100">
        <v>3822.4719101123596</v>
      </c>
      <c r="AL86" s="100">
        <v>7.7777777777777777</v>
      </c>
      <c r="AM86" s="100">
        <v>4200</v>
      </c>
      <c r="AN86" s="100">
        <v>5</v>
      </c>
      <c r="AO86" s="100">
        <v>2700</v>
      </c>
      <c r="AP86" s="100">
        <v>5</v>
      </c>
      <c r="AQ86" s="100">
        <v>2700</v>
      </c>
      <c r="AR86" s="100">
        <v>8</v>
      </c>
      <c r="AS86" s="100">
        <v>4320</v>
      </c>
      <c r="AT86" s="100">
        <v>7</v>
      </c>
      <c r="AU86" s="100">
        <v>3780</v>
      </c>
      <c r="AV86" s="100">
        <v>7</v>
      </c>
      <c r="AW86" s="100">
        <v>3780</v>
      </c>
      <c r="AX86" s="100">
        <v>10</v>
      </c>
      <c r="AY86" s="100">
        <v>5400</v>
      </c>
      <c r="AZ86" s="100">
        <v>9</v>
      </c>
      <c r="BA86" s="100">
        <v>4860</v>
      </c>
      <c r="BB86" s="100">
        <v>7.8545454545454545</v>
      </c>
      <c r="BC86" s="100">
        <v>4241.454545454545</v>
      </c>
      <c r="BD86" s="100">
        <v>7</v>
      </c>
      <c r="BE86" s="100">
        <v>3780</v>
      </c>
      <c r="BF86" s="100">
        <v>6</v>
      </c>
      <c r="BG86" s="100">
        <v>3240</v>
      </c>
      <c r="BH86" s="100">
        <v>8</v>
      </c>
      <c r="BI86" s="100">
        <v>4320</v>
      </c>
      <c r="BJ86" s="100">
        <v>7</v>
      </c>
      <c r="BK86" s="100">
        <v>3780</v>
      </c>
      <c r="BL86" s="100">
        <v>7</v>
      </c>
      <c r="BM86" s="100">
        <v>3780</v>
      </c>
      <c r="BN86" s="100">
        <v>8</v>
      </c>
      <c r="BO86" s="100">
        <v>4320</v>
      </c>
      <c r="BP86" s="100">
        <v>5</v>
      </c>
      <c r="BQ86" s="100">
        <v>2700</v>
      </c>
      <c r="BR86" s="100">
        <v>10</v>
      </c>
      <c r="BS86" s="100">
        <v>5400</v>
      </c>
      <c r="BT86" s="100">
        <v>8</v>
      </c>
      <c r="BU86" s="100">
        <v>4320</v>
      </c>
      <c r="BV86" s="100">
        <v>6.9818181818181815</v>
      </c>
      <c r="BW86" s="100">
        <v>3770.181818181818</v>
      </c>
      <c r="BX86" s="100">
        <v>6</v>
      </c>
      <c r="BY86" s="100">
        <v>3240</v>
      </c>
      <c r="BZ86" s="100">
        <v>8.9617486338797807</v>
      </c>
      <c r="CA86" s="100">
        <v>4839.3442622950815</v>
      </c>
      <c r="CB86" s="100">
        <v>6.9135802469135799</v>
      </c>
      <c r="CC86" s="100">
        <v>3733.333333333333</v>
      </c>
      <c r="CD86" s="100">
        <v>7.875</v>
      </c>
      <c r="CE86" s="100">
        <v>4252.5</v>
      </c>
      <c r="CF86" s="100">
        <v>7.6829268292682924</v>
      </c>
      <c r="CG86" s="100">
        <v>4148.7804878048782</v>
      </c>
      <c r="CH86" s="100">
        <v>7.6712328767123283</v>
      </c>
      <c r="CI86" s="100">
        <v>4142.4657534246571</v>
      </c>
      <c r="CJ86" s="100">
        <v>7.2832369942196538</v>
      </c>
      <c r="CK86" s="100">
        <v>3932.9479768786132</v>
      </c>
      <c r="CL86" s="100">
        <v>6.7586206896551726</v>
      </c>
      <c r="CM86" s="100">
        <v>3649.655172413793</v>
      </c>
      <c r="CN86" s="100">
        <v>7</v>
      </c>
      <c r="CO86" s="100">
        <v>3780</v>
      </c>
      <c r="CP86" s="100">
        <v>7.604166666666667</v>
      </c>
      <c r="CQ86" s="100">
        <v>4106.25</v>
      </c>
      <c r="CR86" s="100">
        <v>6.901408450704225</v>
      </c>
      <c r="CS86" s="100">
        <v>3726.7605633802814</v>
      </c>
      <c r="CT86" s="100">
        <v>7.5675675675675684</v>
      </c>
      <c r="CU86" s="100">
        <v>4086.4864864864871</v>
      </c>
    </row>
    <row r="87" spans="2:99">
      <c r="B87" s="99" t="s">
        <v>131</v>
      </c>
      <c r="C87" s="99" t="s">
        <v>253</v>
      </c>
      <c r="D87" s="100">
        <v>6</v>
      </c>
      <c r="E87" s="100">
        <v>6444</v>
      </c>
      <c r="F87" s="100">
        <v>5</v>
      </c>
      <c r="G87" s="100">
        <v>5370</v>
      </c>
      <c r="H87" s="100">
        <v>8</v>
      </c>
      <c r="I87" s="100">
        <v>8592</v>
      </c>
      <c r="J87" s="100">
        <v>7</v>
      </c>
      <c r="K87" s="100">
        <v>7518</v>
      </c>
      <c r="L87" s="100">
        <v>8</v>
      </c>
      <c r="M87" s="100">
        <v>8592</v>
      </c>
      <c r="N87" s="100">
        <v>6</v>
      </c>
      <c r="O87" s="100">
        <v>6444</v>
      </c>
      <c r="P87" s="100">
        <v>10</v>
      </c>
      <c r="Q87" s="100">
        <v>10740</v>
      </c>
      <c r="R87" s="100">
        <v>8</v>
      </c>
      <c r="S87" s="100">
        <v>8592</v>
      </c>
      <c r="T87" s="100">
        <v>9</v>
      </c>
      <c r="U87" s="100">
        <v>9666</v>
      </c>
      <c r="V87" s="100">
        <v>11</v>
      </c>
      <c r="W87" s="100">
        <v>11814</v>
      </c>
      <c r="X87" s="100">
        <v>10</v>
      </c>
      <c r="Y87" s="100">
        <v>10740</v>
      </c>
      <c r="Z87" s="100">
        <v>8</v>
      </c>
      <c r="AA87" s="100">
        <v>8592</v>
      </c>
      <c r="AB87" s="100">
        <v>10</v>
      </c>
      <c r="AC87" s="100">
        <v>10740</v>
      </c>
      <c r="AD87" s="100">
        <v>11</v>
      </c>
      <c r="AE87" s="100">
        <v>11814</v>
      </c>
      <c r="AF87" s="100">
        <v>10</v>
      </c>
      <c r="AG87" s="100">
        <v>10740</v>
      </c>
      <c r="AH87" s="100">
        <v>10</v>
      </c>
      <c r="AI87" s="100">
        <v>10740</v>
      </c>
      <c r="AJ87" s="100">
        <v>7</v>
      </c>
      <c r="AK87" s="100">
        <v>7518</v>
      </c>
      <c r="AL87" s="100">
        <v>10</v>
      </c>
      <c r="AM87" s="100">
        <v>10740</v>
      </c>
      <c r="AN87" s="100">
        <v>9</v>
      </c>
      <c r="AO87" s="100">
        <v>9666</v>
      </c>
      <c r="AP87" s="100">
        <v>12</v>
      </c>
      <c r="AQ87" s="100">
        <v>12888</v>
      </c>
      <c r="AR87" s="100">
        <v>10</v>
      </c>
      <c r="AS87" s="100">
        <v>10740</v>
      </c>
      <c r="AT87" s="100">
        <v>8</v>
      </c>
      <c r="AU87" s="100">
        <v>8592</v>
      </c>
      <c r="AV87" s="100">
        <v>11</v>
      </c>
      <c r="AW87" s="100">
        <v>11814</v>
      </c>
      <c r="AX87" s="100">
        <v>11</v>
      </c>
      <c r="AY87" s="100">
        <v>11814</v>
      </c>
      <c r="AZ87" s="100">
        <v>11</v>
      </c>
      <c r="BA87" s="100">
        <v>11814</v>
      </c>
      <c r="BB87" s="100">
        <v>12</v>
      </c>
      <c r="BC87" s="100">
        <v>12888</v>
      </c>
      <c r="BD87" s="100">
        <v>11</v>
      </c>
      <c r="BE87" s="100">
        <v>11814</v>
      </c>
      <c r="BF87" s="100">
        <v>10</v>
      </c>
      <c r="BG87" s="100">
        <v>10740</v>
      </c>
      <c r="BH87" s="100">
        <v>9</v>
      </c>
      <c r="BI87" s="100">
        <v>9666</v>
      </c>
      <c r="BJ87" s="100">
        <v>8</v>
      </c>
      <c r="BK87" s="100">
        <v>8592</v>
      </c>
      <c r="BL87" s="100">
        <v>9</v>
      </c>
      <c r="BM87" s="100">
        <v>9666</v>
      </c>
      <c r="BN87" s="100">
        <v>6.6986340719253237</v>
      </c>
      <c r="BO87" s="100">
        <v>7194.3329932477973</v>
      </c>
      <c r="BP87" s="100">
        <v>9</v>
      </c>
      <c r="BQ87" s="100">
        <v>9666</v>
      </c>
      <c r="BR87" s="100">
        <v>11</v>
      </c>
      <c r="BS87" s="100">
        <v>11814</v>
      </c>
      <c r="BT87" s="100">
        <v>10</v>
      </c>
      <c r="BU87" s="100">
        <v>10740</v>
      </c>
      <c r="BV87" s="100">
        <v>8</v>
      </c>
      <c r="BW87" s="100">
        <v>8592</v>
      </c>
      <c r="BX87" s="100">
        <v>12</v>
      </c>
      <c r="BY87" s="100">
        <v>12888</v>
      </c>
      <c r="BZ87" s="100">
        <v>10</v>
      </c>
      <c r="CA87" s="100">
        <v>10740</v>
      </c>
      <c r="CB87" s="100">
        <v>6</v>
      </c>
      <c r="CC87" s="100">
        <v>6444</v>
      </c>
      <c r="CD87" s="100">
        <v>6</v>
      </c>
      <c r="CE87" s="100">
        <v>6444</v>
      </c>
      <c r="CF87" s="100">
        <v>13</v>
      </c>
      <c r="CG87" s="100">
        <v>13962</v>
      </c>
      <c r="CH87" s="100">
        <v>8</v>
      </c>
      <c r="CI87" s="100">
        <v>8592</v>
      </c>
      <c r="CJ87" s="100">
        <v>12.54296875</v>
      </c>
      <c r="CK87" s="100">
        <v>13471.1484375</v>
      </c>
      <c r="CL87" s="100">
        <v>11.93717277486911</v>
      </c>
      <c r="CM87" s="100">
        <v>12820.523560209424</v>
      </c>
      <c r="CN87" s="100">
        <v>6.9090909090909092</v>
      </c>
      <c r="CO87" s="100">
        <v>7420.363636363636</v>
      </c>
      <c r="CP87" s="100">
        <v>9.6759259259259256</v>
      </c>
      <c r="CQ87" s="100">
        <v>10391.944444444443</v>
      </c>
      <c r="CR87" s="100">
        <v>10.350194552529183</v>
      </c>
      <c r="CS87" s="100">
        <v>11116.108949416343</v>
      </c>
      <c r="CT87" s="100">
        <v>10.555555555555555</v>
      </c>
      <c r="CU87" s="100">
        <v>11336.666666666666</v>
      </c>
    </row>
    <row r="88" spans="2:99">
      <c r="C88" s="99" t="s">
        <v>254</v>
      </c>
      <c r="D88" s="100">
        <v>6</v>
      </c>
      <c r="E88" s="100">
        <v>5954.4</v>
      </c>
      <c r="F88" s="100">
        <v>5</v>
      </c>
      <c r="G88" s="100">
        <v>4962</v>
      </c>
      <c r="H88" s="100">
        <v>10</v>
      </c>
      <c r="I88" s="100">
        <v>9924</v>
      </c>
      <c r="J88" s="100">
        <v>6</v>
      </c>
      <c r="K88" s="100">
        <v>5954.4</v>
      </c>
      <c r="L88" s="100">
        <v>9</v>
      </c>
      <c r="M88" s="100">
        <v>8931.6</v>
      </c>
      <c r="N88" s="100">
        <v>6</v>
      </c>
      <c r="O88" s="100">
        <v>5954.4</v>
      </c>
      <c r="P88" s="100">
        <v>10</v>
      </c>
      <c r="Q88" s="100">
        <v>9924</v>
      </c>
      <c r="R88" s="100">
        <v>8</v>
      </c>
      <c r="S88" s="100">
        <v>7939.2</v>
      </c>
      <c r="T88" s="100">
        <v>8</v>
      </c>
      <c r="U88" s="100">
        <v>7939.2</v>
      </c>
      <c r="V88" s="100">
        <v>11</v>
      </c>
      <c r="W88" s="100">
        <v>10916.4</v>
      </c>
      <c r="X88" s="100">
        <v>11</v>
      </c>
      <c r="Y88" s="100">
        <v>10916.4</v>
      </c>
      <c r="Z88" s="100">
        <v>8</v>
      </c>
      <c r="AA88" s="100">
        <v>7939.2</v>
      </c>
      <c r="AB88" s="100">
        <v>10</v>
      </c>
      <c r="AC88" s="100">
        <v>9924</v>
      </c>
      <c r="AD88" s="100">
        <v>11</v>
      </c>
      <c r="AE88" s="100">
        <v>10916.4</v>
      </c>
      <c r="AF88" s="100">
        <v>11</v>
      </c>
      <c r="AG88" s="100">
        <v>10916.4</v>
      </c>
      <c r="AH88" s="100">
        <v>10</v>
      </c>
      <c r="AI88" s="100">
        <v>9924</v>
      </c>
      <c r="AJ88" s="100">
        <v>6</v>
      </c>
      <c r="AK88" s="100">
        <v>5954.4</v>
      </c>
      <c r="AL88" s="100">
        <v>11</v>
      </c>
      <c r="AM88" s="100">
        <v>10916.4</v>
      </c>
      <c r="AN88" s="100">
        <v>10</v>
      </c>
      <c r="AO88" s="100">
        <v>9924</v>
      </c>
      <c r="AP88" s="100">
        <v>13</v>
      </c>
      <c r="AQ88" s="100">
        <v>12901.199999999999</v>
      </c>
      <c r="AR88" s="100">
        <v>10</v>
      </c>
      <c r="AS88" s="100">
        <v>9924</v>
      </c>
      <c r="AT88" s="100">
        <v>8</v>
      </c>
      <c r="AU88" s="100">
        <v>7939.2</v>
      </c>
      <c r="AV88" s="100">
        <v>10</v>
      </c>
      <c r="AW88" s="100">
        <v>9924</v>
      </c>
      <c r="AX88" s="100">
        <v>10</v>
      </c>
      <c r="AY88" s="100">
        <v>9924</v>
      </c>
      <c r="AZ88" s="100">
        <v>12</v>
      </c>
      <c r="BA88" s="100">
        <v>11908.8</v>
      </c>
      <c r="BB88" s="100">
        <v>11</v>
      </c>
      <c r="BC88" s="100">
        <v>10916.4</v>
      </c>
      <c r="BD88" s="100">
        <v>11</v>
      </c>
      <c r="BE88" s="100">
        <v>10916.4</v>
      </c>
      <c r="BF88" s="100">
        <v>12</v>
      </c>
      <c r="BG88" s="100">
        <v>11908.8</v>
      </c>
      <c r="BH88" s="100">
        <v>8</v>
      </c>
      <c r="BI88" s="100">
        <v>7939.2</v>
      </c>
      <c r="BJ88" s="100">
        <v>7</v>
      </c>
      <c r="BK88" s="100">
        <v>6946.8</v>
      </c>
      <c r="BL88" s="100">
        <v>8</v>
      </c>
      <c r="BM88" s="100">
        <v>7939.2</v>
      </c>
      <c r="BN88" s="100">
        <v>6.6986340719253237</v>
      </c>
      <c r="BO88" s="100">
        <v>6647.7244529786913</v>
      </c>
      <c r="BP88" s="100">
        <v>8</v>
      </c>
      <c r="BQ88" s="100">
        <v>7939.2</v>
      </c>
      <c r="BR88" s="100">
        <v>10</v>
      </c>
      <c r="BS88" s="100">
        <v>9924</v>
      </c>
      <c r="BT88" s="100">
        <v>10</v>
      </c>
      <c r="BU88" s="100">
        <v>9924</v>
      </c>
      <c r="BV88" s="100">
        <v>8</v>
      </c>
      <c r="BW88" s="100">
        <v>7939.2</v>
      </c>
      <c r="BX88" s="100">
        <v>13</v>
      </c>
      <c r="BY88" s="100">
        <v>12901.199999999999</v>
      </c>
      <c r="BZ88" s="100">
        <v>9</v>
      </c>
      <c r="CA88" s="100">
        <v>8931.6</v>
      </c>
      <c r="CB88" s="100">
        <v>8</v>
      </c>
      <c r="CC88" s="100">
        <v>7939.2</v>
      </c>
      <c r="CD88" s="100">
        <v>7</v>
      </c>
      <c r="CE88" s="100">
        <v>6946.8</v>
      </c>
      <c r="CF88" s="100">
        <v>12</v>
      </c>
      <c r="CG88" s="100">
        <v>11908.8</v>
      </c>
      <c r="CH88" s="100">
        <v>9</v>
      </c>
      <c r="CI88" s="100">
        <v>8931.6</v>
      </c>
      <c r="CJ88" s="100">
        <v>12.54296875</v>
      </c>
      <c r="CK88" s="100">
        <v>12447.6421875</v>
      </c>
      <c r="CL88" s="100">
        <v>10.94240837696335</v>
      </c>
      <c r="CM88" s="100">
        <v>10859.246073298427</v>
      </c>
      <c r="CN88" s="100">
        <v>6.9090909090909092</v>
      </c>
      <c r="CO88" s="100">
        <v>6856.5818181818177</v>
      </c>
      <c r="CP88" s="100">
        <v>8.7962962962962958</v>
      </c>
      <c r="CQ88" s="100">
        <v>8729.4444444444434</v>
      </c>
      <c r="CR88" s="100">
        <v>9.6108949416342409</v>
      </c>
      <c r="CS88" s="100">
        <v>9537.8521400778209</v>
      </c>
      <c r="CT88" s="100">
        <v>10.555555555555555</v>
      </c>
      <c r="CU88" s="100">
        <v>10475.333333333332</v>
      </c>
    </row>
    <row r="89" spans="2:99">
      <c r="C89" s="99" t="s">
        <v>255</v>
      </c>
      <c r="D89" s="100">
        <v>6</v>
      </c>
      <c r="E89" s="100">
        <v>6372</v>
      </c>
      <c r="F89" s="100">
        <v>6</v>
      </c>
      <c r="G89" s="100">
        <v>6372</v>
      </c>
      <c r="H89" s="100">
        <v>10</v>
      </c>
      <c r="I89" s="100">
        <v>10620</v>
      </c>
      <c r="J89" s="100">
        <v>7</v>
      </c>
      <c r="K89" s="100">
        <v>7434</v>
      </c>
      <c r="L89" s="100">
        <v>9</v>
      </c>
      <c r="M89" s="100">
        <v>9558</v>
      </c>
      <c r="N89" s="100">
        <v>6</v>
      </c>
      <c r="O89" s="100">
        <v>6372</v>
      </c>
      <c r="P89" s="100">
        <v>12</v>
      </c>
      <c r="Q89" s="100">
        <v>12744</v>
      </c>
      <c r="R89" s="100">
        <v>7</v>
      </c>
      <c r="S89" s="100">
        <v>7434</v>
      </c>
      <c r="T89" s="100">
        <v>9</v>
      </c>
      <c r="U89" s="100">
        <v>9558</v>
      </c>
      <c r="V89" s="100">
        <v>12</v>
      </c>
      <c r="W89" s="100">
        <v>12744</v>
      </c>
      <c r="X89" s="100">
        <v>10</v>
      </c>
      <c r="Y89" s="100">
        <v>10620</v>
      </c>
      <c r="Z89" s="100">
        <v>9</v>
      </c>
      <c r="AA89" s="100">
        <v>9558</v>
      </c>
      <c r="AB89" s="100">
        <v>11</v>
      </c>
      <c r="AC89" s="100">
        <v>11682</v>
      </c>
      <c r="AD89" s="100">
        <v>12</v>
      </c>
      <c r="AE89" s="100">
        <v>12744</v>
      </c>
      <c r="AF89" s="100">
        <v>9</v>
      </c>
      <c r="AG89" s="100">
        <v>9558</v>
      </c>
      <c r="AH89" s="100">
        <v>11</v>
      </c>
      <c r="AI89" s="100">
        <v>11682</v>
      </c>
      <c r="AJ89" s="100">
        <v>7</v>
      </c>
      <c r="AK89" s="100">
        <v>7434</v>
      </c>
      <c r="AL89" s="100">
        <v>11</v>
      </c>
      <c r="AM89" s="100">
        <v>11682</v>
      </c>
      <c r="AN89" s="100">
        <v>10</v>
      </c>
      <c r="AO89" s="100">
        <v>10620</v>
      </c>
      <c r="AP89" s="100">
        <v>11</v>
      </c>
      <c r="AQ89" s="100">
        <v>11682</v>
      </c>
      <c r="AR89" s="100">
        <v>9</v>
      </c>
      <c r="AS89" s="100">
        <v>9558</v>
      </c>
      <c r="AT89" s="100">
        <v>7</v>
      </c>
      <c r="AU89" s="100">
        <v>7434</v>
      </c>
      <c r="AV89" s="100">
        <v>10</v>
      </c>
      <c r="AW89" s="100">
        <v>10620</v>
      </c>
      <c r="AX89" s="100">
        <v>11</v>
      </c>
      <c r="AY89" s="100">
        <v>11682</v>
      </c>
      <c r="AZ89" s="100">
        <v>11</v>
      </c>
      <c r="BA89" s="100">
        <v>11682</v>
      </c>
      <c r="BB89" s="100">
        <v>12</v>
      </c>
      <c r="BC89" s="100">
        <v>12744</v>
      </c>
      <c r="BD89" s="100">
        <v>11</v>
      </c>
      <c r="BE89" s="100">
        <v>11682</v>
      </c>
      <c r="BF89" s="100">
        <v>10</v>
      </c>
      <c r="BG89" s="100">
        <v>10620</v>
      </c>
      <c r="BH89" s="100">
        <v>9</v>
      </c>
      <c r="BI89" s="100">
        <v>9558</v>
      </c>
      <c r="BJ89" s="100">
        <v>7</v>
      </c>
      <c r="BK89" s="100">
        <v>7434</v>
      </c>
      <c r="BL89" s="100">
        <v>10</v>
      </c>
      <c r="BM89" s="100">
        <v>10620</v>
      </c>
      <c r="BN89" s="100">
        <v>7.3076008057367163</v>
      </c>
      <c r="BO89" s="100">
        <v>7760.6720556923929</v>
      </c>
      <c r="BP89" s="100">
        <v>9</v>
      </c>
      <c r="BQ89" s="100">
        <v>9558</v>
      </c>
      <c r="BR89" s="100">
        <v>12</v>
      </c>
      <c r="BS89" s="100">
        <v>12744</v>
      </c>
      <c r="BT89" s="100">
        <v>11</v>
      </c>
      <c r="BU89" s="100">
        <v>11682</v>
      </c>
      <c r="BV89" s="100">
        <v>7</v>
      </c>
      <c r="BW89" s="100">
        <v>7434</v>
      </c>
      <c r="BX89" s="100">
        <v>11</v>
      </c>
      <c r="BY89" s="100">
        <v>11682</v>
      </c>
      <c r="BZ89" s="100">
        <v>10</v>
      </c>
      <c r="CA89" s="100">
        <v>10620</v>
      </c>
      <c r="CB89" s="100">
        <v>6</v>
      </c>
      <c r="CC89" s="100">
        <v>6372</v>
      </c>
      <c r="CD89" s="100">
        <v>7</v>
      </c>
      <c r="CE89" s="100">
        <v>7434</v>
      </c>
      <c r="CF89" s="100">
        <v>11</v>
      </c>
      <c r="CG89" s="100">
        <v>11682</v>
      </c>
      <c r="CH89" s="100">
        <v>8</v>
      </c>
      <c r="CI89" s="100">
        <v>8496</v>
      </c>
      <c r="CJ89" s="100">
        <v>11.578125</v>
      </c>
      <c r="CK89" s="100">
        <v>12295.96875</v>
      </c>
      <c r="CL89" s="100">
        <v>11.93717277486911</v>
      </c>
      <c r="CM89" s="100">
        <v>12677.277486910994</v>
      </c>
      <c r="CN89" s="100">
        <v>7.7727272727272725</v>
      </c>
      <c r="CO89" s="100">
        <v>8254.636363636364</v>
      </c>
      <c r="CP89" s="100">
        <v>7.9166666666666661</v>
      </c>
      <c r="CQ89" s="100">
        <v>8407.5</v>
      </c>
      <c r="CR89" s="100">
        <v>10.350194552529183</v>
      </c>
      <c r="CS89" s="100">
        <v>10991.906614785992</v>
      </c>
      <c r="CT89" s="100">
        <v>11.515151515151516</v>
      </c>
      <c r="CU89" s="100">
        <v>12229.09090909091</v>
      </c>
    </row>
    <row r="90" spans="2:99">
      <c r="C90" s="99" t="s">
        <v>256</v>
      </c>
      <c r="D90" s="100">
        <v>5</v>
      </c>
      <c r="E90" s="100">
        <v>5544</v>
      </c>
      <c r="F90" s="100">
        <v>5</v>
      </c>
      <c r="G90" s="100">
        <v>5544</v>
      </c>
      <c r="H90" s="100">
        <v>8</v>
      </c>
      <c r="I90" s="100">
        <v>8870.4</v>
      </c>
      <c r="J90" s="100">
        <v>6</v>
      </c>
      <c r="K90" s="100">
        <v>6652.7999999999993</v>
      </c>
      <c r="L90" s="100">
        <v>9</v>
      </c>
      <c r="M90" s="100">
        <v>9979.1999999999989</v>
      </c>
      <c r="N90" s="100">
        <v>7</v>
      </c>
      <c r="O90" s="100">
        <v>7761.5999999999995</v>
      </c>
      <c r="P90" s="100">
        <v>11</v>
      </c>
      <c r="Q90" s="100">
        <v>12196.8</v>
      </c>
      <c r="R90" s="100">
        <v>8</v>
      </c>
      <c r="S90" s="100">
        <v>8870.4</v>
      </c>
      <c r="T90" s="100">
        <v>9</v>
      </c>
      <c r="U90" s="100">
        <v>9979.1999999999989</v>
      </c>
      <c r="V90" s="100">
        <v>11</v>
      </c>
      <c r="W90" s="100">
        <v>12196.8</v>
      </c>
      <c r="X90" s="100">
        <v>10</v>
      </c>
      <c r="Y90" s="100">
        <v>11088</v>
      </c>
      <c r="Z90" s="100">
        <v>7</v>
      </c>
      <c r="AA90" s="100">
        <v>7761.5999999999995</v>
      </c>
      <c r="AB90" s="100">
        <v>10</v>
      </c>
      <c r="AC90" s="100">
        <v>11088</v>
      </c>
      <c r="AD90" s="100">
        <v>10</v>
      </c>
      <c r="AE90" s="100">
        <v>11088</v>
      </c>
      <c r="AF90" s="100">
        <v>10</v>
      </c>
      <c r="AG90" s="100">
        <v>11088</v>
      </c>
      <c r="AH90" s="100">
        <v>11</v>
      </c>
      <c r="AI90" s="100">
        <v>12196.8</v>
      </c>
      <c r="AJ90" s="100">
        <v>7</v>
      </c>
      <c r="AK90" s="100">
        <v>7761.5999999999995</v>
      </c>
      <c r="AL90" s="100">
        <v>12</v>
      </c>
      <c r="AM90" s="100">
        <v>13305.599999999999</v>
      </c>
      <c r="AN90" s="100">
        <v>10</v>
      </c>
      <c r="AO90" s="100">
        <v>11088</v>
      </c>
      <c r="AP90" s="100">
        <v>11</v>
      </c>
      <c r="AQ90" s="100">
        <v>12196.8</v>
      </c>
      <c r="AR90" s="100">
        <v>10</v>
      </c>
      <c r="AS90" s="100">
        <v>11088</v>
      </c>
      <c r="AT90" s="100">
        <v>7</v>
      </c>
      <c r="AU90" s="100">
        <v>7761.5999999999995</v>
      </c>
      <c r="AV90" s="100">
        <v>10</v>
      </c>
      <c r="AW90" s="100">
        <v>11088</v>
      </c>
      <c r="AX90" s="100">
        <v>10</v>
      </c>
      <c r="AY90" s="100">
        <v>11088</v>
      </c>
      <c r="AZ90" s="100">
        <v>12</v>
      </c>
      <c r="BA90" s="100">
        <v>13305.599999999999</v>
      </c>
      <c r="BB90" s="100">
        <v>10</v>
      </c>
      <c r="BC90" s="100">
        <v>11088</v>
      </c>
      <c r="BD90" s="100">
        <v>12</v>
      </c>
      <c r="BE90" s="100">
        <v>13305.599999999999</v>
      </c>
      <c r="BF90" s="100">
        <v>11</v>
      </c>
      <c r="BG90" s="100">
        <v>12196.8</v>
      </c>
      <c r="BH90" s="100">
        <v>10</v>
      </c>
      <c r="BI90" s="100">
        <v>11088</v>
      </c>
      <c r="BJ90" s="100">
        <v>8</v>
      </c>
      <c r="BK90" s="100">
        <v>8870.4</v>
      </c>
      <c r="BL90" s="100">
        <v>10</v>
      </c>
      <c r="BM90" s="100">
        <v>11088</v>
      </c>
      <c r="BN90" s="100">
        <v>6.6986340719253237</v>
      </c>
      <c r="BO90" s="100">
        <v>7427.4454589507986</v>
      </c>
      <c r="BP90" s="100">
        <v>8</v>
      </c>
      <c r="BQ90" s="100">
        <v>8870.4</v>
      </c>
      <c r="BR90" s="100">
        <v>12</v>
      </c>
      <c r="BS90" s="100">
        <v>13305.599999999999</v>
      </c>
      <c r="BT90" s="100">
        <v>11</v>
      </c>
      <c r="BU90" s="100">
        <v>12196.8</v>
      </c>
      <c r="BV90" s="100">
        <v>7</v>
      </c>
      <c r="BW90" s="100">
        <v>7761.5999999999995</v>
      </c>
      <c r="BX90" s="100">
        <v>12</v>
      </c>
      <c r="BY90" s="100">
        <v>13305.599999999999</v>
      </c>
      <c r="BZ90" s="100">
        <v>9</v>
      </c>
      <c r="CA90" s="100">
        <v>9979.1999999999989</v>
      </c>
      <c r="CB90" s="100">
        <v>7</v>
      </c>
      <c r="CC90" s="100">
        <v>7761.5999999999995</v>
      </c>
      <c r="CD90" s="100">
        <v>7</v>
      </c>
      <c r="CE90" s="100">
        <v>7761.5999999999995</v>
      </c>
      <c r="CF90" s="100">
        <v>12</v>
      </c>
      <c r="CG90" s="100">
        <v>13305.599999999999</v>
      </c>
      <c r="CH90" s="100">
        <v>7</v>
      </c>
      <c r="CI90" s="100">
        <v>7761.5999999999995</v>
      </c>
      <c r="CJ90" s="100">
        <v>11.578125</v>
      </c>
      <c r="CK90" s="100">
        <v>12837.824999999999</v>
      </c>
      <c r="CL90" s="100">
        <v>10.94240837696335</v>
      </c>
      <c r="CM90" s="100">
        <v>12132.942408376961</v>
      </c>
      <c r="CN90" s="100">
        <v>7.7727272727272725</v>
      </c>
      <c r="CO90" s="100">
        <v>8618.4</v>
      </c>
      <c r="CP90" s="100">
        <v>7.9166666666666661</v>
      </c>
      <c r="CQ90" s="100">
        <v>8777.9999999999982</v>
      </c>
      <c r="CR90" s="100">
        <v>10.350194552529183</v>
      </c>
      <c r="CS90" s="100">
        <v>11476.295719844358</v>
      </c>
      <c r="CT90" s="100">
        <v>10.555555555555555</v>
      </c>
      <c r="CU90" s="100">
        <v>11704</v>
      </c>
    </row>
    <row r="91" spans="2:99">
      <c r="C91" s="99" t="s">
        <v>257</v>
      </c>
      <c r="D91" s="100">
        <v>6</v>
      </c>
      <c r="E91" s="100">
        <v>6818.4</v>
      </c>
      <c r="F91" s="100">
        <v>6</v>
      </c>
      <c r="G91" s="100">
        <v>6818.4</v>
      </c>
      <c r="H91" s="100">
        <v>9</v>
      </c>
      <c r="I91" s="100">
        <v>10227.599999999999</v>
      </c>
      <c r="J91" s="100">
        <v>7</v>
      </c>
      <c r="K91" s="100">
        <v>7954.7999999999993</v>
      </c>
      <c r="L91" s="100">
        <v>8</v>
      </c>
      <c r="M91" s="100">
        <v>9091.1999999999989</v>
      </c>
      <c r="N91" s="100">
        <v>6</v>
      </c>
      <c r="O91" s="100">
        <v>6818.4</v>
      </c>
      <c r="P91" s="100">
        <v>11</v>
      </c>
      <c r="Q91" s="100">
        <v>12500.399999999998</v>
      </c>
      <c r="R91" s="100">
        <v>7</v>
      </c>
      <c r="S91" s="100">
        <v>7954.7999999999993</v>
      </c>
      <c r="T91" s="100">
        <v>8</v>
      </c>
      <c r="U91" s="100">
        <v>9091.1999999999989</v>
      </c>
      <c r="V91" s="100">
        <v>10</v>
      </c>
      <c r="W91" s="100">
        <v>11363.999999999998</v>
      </c>
      <c r="X91" s="100">
        <v>10</v>
      </c>
      <c r="Y91" s="100">
        <v>11363.999999999998</v>
      </c>
      <c r="Z91" s="100">
        <v>8</v>
      </c>
      <c r="AA91" s="100">
        <v>9091.1999999999989</v>
      </c>
      <c r="AB91" s="100">
        <v>9</v>
      </c>
      <c r="AC91" s="100">
        <v>10227.599999999999</v>
      </c>
      <c r="AD91" s="100">
        <v>12</v>
      </c>
      <c r="AE91" s="100">
        <v>13636.8</v>
      </c>
      <c r="AF91" s="100">
        <v>9</v>
      </c>
      <c r="AG91" s="100">
        <v>10227.599999999999</v>
      </c>
      <c r="AH91" s="100">
        <v>11</v>
      </c>
      <c r="AI91" s="100">
        <v>12500.399999999998</v>
      </c>
      <c r="AJ91" s="100">
        <v>7</v>
      </c>
      <c r="AK91" s="100">
        <v>7954.7999999999993</v>
      </c>
      <c r="AL91" s="100">
        <v>12</v>
      </c>
      <c r="AM91" s="100">
        <v>13636.8</v>
      </c>
      <c r="AN91" s="100">
        <v>9</v>
      </c>
      <c r="AO91" s="100">
        <v>10227.599999999999</v>
      </c>
      <c r="AP91" s="100">
        <v>12</v>
      </c>
      <c r="AQ91" s="100">
        <v>13636.8</v>
      </c>
      <c r="AR91" s="100">
        <v>9</v>
      </c>
      <c r="AS91" s="100">
        <v>10227.599999999999</v>
      </c>
      <c r="AT91" s="100">
        <v>8</v>
      </c>
      <c r="AU91" s="100">
        <v>9091.1999999999989</v>
      </c>
      <c r="AV91" s="100">
        <v>11</v>
      </c>
      <c r="AW91" s="100">
        <v>12500.399999999998</v>
      </c>
      <c r="AX91" s="100">
        <v>11</v>
      </c>
      <c r="AY91" s="100">
        <v>12500.399999999998</v>
      </c>
      <c r="AZ91" s="100">
        <v>12</v>
      </c>
      <c r="BA91" s="100">
        <v>13636.8</v>
      </c>
      <c r="BB91" s="100">
        <v>12</v>
      </c>
      <c r="BC91" s="100">
        <v>13636.8</v>
      </c>
      <c r="BD91" s="100">
        <v>10</v>
      </c>
      <c r="BE91" s="100">
        <v>11363.999999999998</v>
      </c>
      <c r="BF91" s="100">
        <v>10</v>
      </c>
      <c r="BG91" s="100">
        <v>11363.999999999998</v>
      </c>
      <c r="BH91" s="100">
        <v>9</v>
      </c>
      <c r="BI91" s="100">
        <v>10227.599999999999</v>
      </c>
      <c r="BJ91" s="100">
        <v>7</v>
      </c>
      <c r="BK91" s="100">
        <v>7954.7999999999993</v>
      </c>
      <c r="BL91" s="100">
        <v>8</v>
      </c>
      <c r="BM91" s="100">
        <v>9091.1999999999989</v>
      </c>
      <c r="BN91" s="100">
        <v>6.6986340719253237</v>
      </c>
      <c r="BO91" s="100">
        <v>7612.3277593359371</v>
      </c>
      <c r="BP91" s="100">
        <v>8</v>
      </c>
      <c r="BQ91" s="100">
        <v>9091.1999999999989</v>
      </c>
      <c r="BR91" s="100">
        <v>12</v>
      </c>
      <c r="BS91" s="100">
        <v>13636.8</v>
      </c>
      <c r="BT91" s="100">
        <v>10</v>
      </c>
      <c r="BU91" s="100">
        <v>11363.999999999998</v>
      </c>
      <c r="BV91" s="100">
        <v>7</v>
      </c>
      <c r="BW91" s="100">
        <v>7954.7999999999993</v>
      </c>
      <c r="BX91" s="100">
        <v>13</v>
      </c>
      <c r="BY91" s="100">
        <v>14773.199999999999</v>
      </c>
      <c r="BZ91" s="100">
        <v>9</v>
      </c>
      <c r="CA91" s="100">
        <v>10227.599999999999</v>
      </c>
      <c r="CB91" s="100">
        <v>6</v>
      </c>
      <c r="CC91" s="100">
        <v>6818.4</v>
      </c>
      <c r="CD91" s="100">
        <v>6</v>
      </c>
      <c r="CE91" s="100">
        <v>6818.4</v>
      </c>
      <c r="CF91" s="100">
        <v>13</v>
      </c>
      <c r="CG91" s="100">
        <v>14773.199999999999</v>
      </c>
      <c r="CH91" s="100">
        <v>8</v>
      </c>
      <c r="CI91" s="100">
        <v>9091.1999999999989</v>
      </c>
      <c r="CJ91" s="100">
        <v>11.578125</v>
      </c>
      <c r="CK91" s="100">
        <v>13157.381249999999</v>
      </c>
      <c r="CL91" s="100">
        <v>11.93717277486911</v>
      </c>
      <c r="CM91" s="100">
        <v>13565.403141361254</v>
      </c>
      <c r="CN91" s="100">
        <v>7.7727272727272725</v>
      </c>
      <c r="CO91" s="100">
        <v>8832.927272727271</v>
      </c>
      <c r="CP91" s="100">
        <v>8.7962962962962958</v>
      </c>
      <c r="CQ91" s="100">
        <v>9996.1111111111095</v>
      </c>
      <c r="CR91" s="100">
        <v>9.6108949416342409</v>
      </c>
      <c r="CS91" s="100">
        <v>10921.82101167315</v>
      </c>
      <c r="CT91" s="100">
        <v>10.555555555555555</v>
      </c>
      <c r="CU91" s="100">
        <v>11995.333333333332</v>
      </c>
    </row>
    <row r="92" spans="2:99">
      <c r="C92" s="99" t="s">
        <v>258</v>
      </c>
      <c r="D92" s="100">
        <v>6</v>
      </c>
      <c r="E92" s="100">
        <v>4708.7999999999993</v>
      </c>
      <c r="F92" s="100">
        <v>6</v>
      </c>
      <c r="G92" s="100">
        <v>4708.7999999999993</v>
      </c>
      <c r="H92" s="100">
        <v>8</v>
      </c>
      <c r="I92" s="100">
        <v>6278.4</v>
      </c>
      <c r="J92" s="100">
        <v>7</v>
      </c>
      <c r="K92" s="100">
        <v>5493.5999999999995</v>
      </c>
      <c r="L92" s="100">
        <v>9</v>
      </c>
      <c r="M92" s="100">
        <v>7063.2</v>
      </c>
      <c r="N92" s="100">
        <v>7</v>
      </c>
      <c r="O92" s="100">
        <v>5493.5999999999995</v>
      </c>
      <c r="P92" s="100">
        <v>10</v>
      </c>
      <c r="Q92" s="100">
        <v>7848</v>
      </c>
      <c r="R92" s="100">
        <v>7</v>
      </c>
      <c r="S92" s="100">
        <v>5493.5999999999995</v>
      </c>
      <c r="T92" s="100">
        <v>9</v>
      </c>
      <c r="U92" s="100">
        <v>7063.2</v>
      </c>
      <c r="V92" s="100">
        <v>11</v>
      </c>
      <c r="W92" s="100">
        <v>8632.7999999999993</v>
      </c>
      <c r="X92" s="100">
        <v>10</v>
      </c>
      <c r="Y92" s="100">
        <v>7848</v>
      </c>
      <c r="Z92" s="100">
        <v>9</v>
      </c>
      <c r="AA92" s="100">
        <v>7063.2</v>
      </c>
      <c r="AB92" s="100">
        <v>10</v>
      </c>
      <c r="AC92" s="100">
        <v>7848</v>
      </c>
      <c r="AD92" s="100">
        <v>11</v>
      </c>
      <c r="AE92" s="100">
        <v>8632.7999999999993</v>
      </c>
      <c r="AF92" s="100">
        <v>10</v>
      </c>
      <c r="AG92" s="100">
        <v>7848</v>
      </c>
      <c r="AH92" s="100">
        <v>11</v>
      </c>
      <c r="AI92" s="100">
        <v>8632.7999999999993</v>
      </c>
      <c r="AJ92" s="100">
        <v>7</v>
      </c>
      <c r="AK92" s="100">
        <v>5493.5999999999995</v>
      </c>
      <c r="AL92" s="100">
        <v>13</v>
      </c>
      <c r="AM92" s="100">
        <v>10202.4</v>
      </c>
      <c r="AN92" s="100">
        <v>10</v>
      </c>
      <c r="AO92" s="100">
        <v>7848</v>
      </c>
      <c r="AP92" s="100">
        <v>11</v>
      </c>
      <c r="AQ92" s="100">
        <v>8632.7999999999993</v>
      </c>
      <c r="AR92" s="100">
        <v>10</v>
      </c>
      <c r="AS92" s="100">
        <v>7848</v>
      </c>
      <c r="AT92" s="100">
        <v>7</v>
      </c>
      <c r="AU92" s="100">
        <v>5493.5999999999995</v>
      </c>
      <c r="AV92" s="100">
        <v>10</v>
      </c>
      <c r="AW92" s="100">
        <v>7848</v>
      </c>
      <c r="AX92" s="100">
        <v>11</v>
      </c>
      <c r="AY92" s="100">
        <v>8632.7999999999993</v>
      </c>
      <c r="AZ92" s="100">
        <v>11</v>
      </c>
      <c r="BA92" s="100">
        <v>8632.7999999999993</v>
      </c>
      <c r="BB92" s="100">
        <v>11</v>
      </c>
      <c r="BC92" s="100">
        <v>8632.7999999999993</v>
      </c>
      <c r="BD92" s="100">
        <v>11</v>
      </c>
      <c r="BE92" s="100">
        <v>8632.7999999999993</v>
      </c>
      <c r="BF92" s="100">
        <v>11</v>
      </c>
      <c r="BG92" s="100">
        <v>8632.7999999999993</v>
      </c>
      <c r="BH92" s="100">
        <v>9</v>
      </c>
      <c r="BI92" s="100">
        <v>7063.2</v>
      </c>
      <c r="BJ92" s="100">
        <v>8</v>
      </c>
      <c r="BK92" s="100">
        <v>6278.4</v>
      </c>
      <c r="BL92" s="100">
        <v>8</v>
      </c>
      <c r="BM92" s="100">
        <v>6278.4</v>
      </c>
      <c r="BN92" s="100">
        <v>6.6986340719253237</v>
      </c>
      <c r="BO92" s="100">
        <v>5257.0880196469934</v>
      </c>
      <c r="BP92" s="100">
        <v>8</v>
      </c>
      <c r="BQ92" s="100">
        <v>6278.4</v>
      </c>
      <c r="BR92" s="100">
        <v>12</v>
      </c>
      <c r="BS92" s="100">
        <v>9417.5999999999985</v>
      </c>
      <c r="BT92" s="100">
        <v>11</v>
      </c>
      <c r="BU92" s="100">
        <v>8632.7999999999993</v>
      </c>
      <c r="BV92" s="100">
        <v>8</v>
      </c>
      <c r="BW92" s="100">
        <v>6278.4</v>
      </c>
      <c r="BX92" s="100">
        <v>13</v>
      </c>
      <c r="BY92" s="100">
        <v>10202.4</v>
      </c>
      <c r="BZ92" s="100">
        <v>10</v>
      </c>
      <c r="CA92" s="100">
        <v>7848</v>
      </c>
      <c r="CB92" s="100">
        <v>8</v>
      </c>
      <c r="CC92" s="100">
        <v>6278.4</v>
      </c>
      <c r="CD92" s="100">
        <v>7</v>
      </c>
      <c r="CE92" s="100">
        <v>5493.5999999999995</v>
      </c>
      <c r="CF92" s="100">
        <v>13</v>
      </c>
      <c r="CG92" s="100">
        <v>10202.4</v>
      </c>
      <c r="CH92" s="100">
        <v>8</v>
      </c>
      <c r="CI92" s="100">
        <v>6278.4</v>
      </c>
      <c r="CJ92" s="100">
        <v>13.5078125</v>
      </c>
      <c r="CK92" s="100">
        <v>10600.93125</v>
      </c>
      <c r="CL92" s="100">
        <v>10.94240837696335</v>
      </c>
      <c r="CM92" s="100">
        <v>8587.6020942408359</v>
      </c>
      <c r="CN92" s="100">
        <v>7.7727272727272725</v>
      </c>
      <c r="CO92" s="100">
        <v>6100.0363636363627</v>
      </c>
      <c r="CP92" s="100">
        <v>9.6759259259259256</v>
      </c>
      <c r="CQ92" s="100">
        <v>7593.6666666666661</v>
      </c>
      <c r="CR92" s="100">
        <v>9.6108949416342409</v>
      </c>
      <c r="CS92" s="100">
        <v>7542.6303501945522</v>
      </c>
      <c r="CT92" s="100">
        <v>10.555555555555555</v>
      </c>
      <c r="CU92" s="100">
        <v>8284</v>
      </c>
    </row>
    <row r="93" spans="2:99">
      <c r="C93" s="99" t="s">
        <v>259</v>
      </c>
      <c r="D93" s="100">
        <v>6</v>
      </c>
      <c r="E93" s="100">
        <v>4161.6000000000004</v>
      </c>
      <c r="F93" s="100">
        <v>6</v>
      </c>
      <c r="G93" s="100">
        <v>4161.6000000000004</v>
      </c>
      <c r="H93" s="100">
        <v>9</v>
      </c>
      <c r="I93" s="100">
        <v>6242.4000000000005</v>
      </c>
      <c r="J93" s="100">
        <v>7</v>
      </c>
      <c r="K93" s="100">
        <v>4855.2</v>
      </c>
      <c r="L93" s="100">
        <v>8</v>
      </c>
      <c r="M93" s="100">
        <v>5548.8</v>
      </c>
      <c r="N93" s="100">
        <v>6</v>
      </c>
      <c r="O93" s="100">
        <v>4161.6000000000004</v>
      </c>
      <c r="P93" s="100">
        <v>10</v>
      </c>
      <c r="Q93" s="100">
        <v>6936</v>
      </c>
      <c r="R93" s="100">
        <v>8</v>
      </c>
      <c r="S93" s="100">
        <v>5548.8</v>
      </c>
      <c r="T93" s="100">
        <v>8</v>
      </c>
      <c r="U93" s="100">
        <v>5548.8</v>
      </c>
      <c r="V93" s="100">
        <v>11</v>
      </c>
      <c r="W93" s="100">
        <v>7629.6</v>
      </c>
      <c r="X93" s="100">
        <v>12</v>
      </c>
      <c r="Y93" s="100">
        <v>8323.2000000000007</v>
      </c>
      <c r="Z93" s="100">
        <v>8</v>
      </c>
      <c r="AA93" s="100">
        <v>5548.8</v>
      </c>
      <c r="AB93" s="100">
        <v>9</v>
      </c>
      <c r="AC93" s="100">
        <v>6242.4000000000005</v>
      </c>
      <c r="AD93" s="100">
        <v>12</v>
      </c>
      <c r="AE93" s="100">
        <v>8323.2000000000007</v>
      </c>
      <c r="AF93" s="100">
        <v>9</v>
      </c>
      <c r="AG93" s="100">
        <v>6242.4000000000005</v>
      </c>
      <c r="AH93" s="100">
        <v>13</v>
      </c>
      <c r="AI93" s="100">
        <v>9016.8000000000011</v>
      </c>
      <c r="AJ93" s="100">
        <v>6</v>
      </c>
      <c r="AK93" s="100">
        <v>4161.6000000000004</v>
      </c>
      <c r="AL93" s="100">
        <v>11</v>
      </c>
      <c r="AM93" s="100">
        <v>7629.6</v>
      </c>
      <c r="AN93" s="100">
        <v>10</v>
      </c>
      <c r="AO93" s="100">
        <v>6936</v>
      </c>
      <c r="AP93" s="100">
        <v>12</v>
      </c>
      <c r="AQ93" s="100">
        <v>8323.2000000000007</v>
      </c>
      <c r="AR93" s="100">
        <v>10</v>
      </c>
      <c r="AS93" s="100">
        <v>6936</v>
      </c>
      <c r="AT93" s="100">
        <v>8</v>
      </c>
      <c r="AU93" s="100">
        <v>5548.8</v>
      </c>
      <c r="AV93" s="100">
        <v>11</v>
      </c>
      <c r="AW93" s="100">
        <v>7629.6</v>
      </c>
      <c r="AX93" s="100">
        <v>10</v>
      </c>
      <c r="AY93" s="100">
        <v>6936</v>
      </c>
      <c r="AZ93" s="100">
        <v>11</v>
      </c>
      <c r="BA93" s="100">
        <v>7629.6</v>
      </c>
      <c r="BB93" s="100">
        <v>12</v>
      </c>
      <c r="BC93" s="100">
        <v>8323.2000000000007</v>
      </c>
      <c r="BD93" s="100">
        <v>11</v>
      </c>
      <c r="BE93" s="100">
        <v>7629.6</v>
      </c>
      <c r="BF93" s="100">
        <v>10</v>
      </c>
      <c r="BG93" s="100">
        <v>6936</v>
      </c>
      <c r="BH93" s="100">
        <v>9</v>
      </c>
      <c r="BI93" s="100">
        <v>6242.4000000000005</v>
      </c>
      <c r="BJ93" s="100">
        <v>7</v>
      </c>
      <c r="BK93" s="100">
        <v>4855.2</v>
      </c>
      <c r="BL93" s="100">
        <v>9</v>
      </c>
      <c r="BM93" s="100">
        <v>6242.4000000000005</v>
      </c>
      <c r="BN93" s="100">
        <v>6.6986340719253237</v>
      </c>
      <c r="BO93" s="100">
        <v>4646.1725922874048</v>
      </c>
      <c r="BP93" s="100">
        <v>9</v>
      </c>
      <c r="BQ93" s="100">
        <v>6242.4000000000005</v>
      </c>
      <c r="BR93" s="100">
        <v>12</v>
      </c>
      <c r="BS93" s="100">
        <v>8323.2000000000007</v>
      </c>
      <c r="BT93" s="100">
        <v>12</v>
      </c>
      <c r="BU93" s="100">
        <v>8323.2000000000007</v>
      </c>
      <c r="BV93" s="100">
        <v>8</v>
      </c>
      <c r="BW93" s="100">
        <v>5548.8</v>
      </c>
      <c r="BX93" s="100">
        <v>13</v>
      </c>
      <c r="BY93" s="100">
        <v>9016.8000000000011</v>
      </c>
      <c r="BZ93" s="100">
        <v>11</v>
      </c>
      <c r="CA93" s="100">
        <v>7629.6</v>
      </c>
      <c r="CB93" s="100">
        <v>7</v>
      </c>
      <c r="CC93" s="100">
        <v>4855.2</v>
      </c>
      <c r="CD93" s="100">
        <v>7</v>
      </c>
      <c r="CE93" s="100">
        <v>4855.2</v>
      </c>
      <c r="CF93" s="100">
        <v>12</v>
      </c>
      <c r="CG93" s="100">
        <v>8323.2000000000007</v>
      </c>
      <c r="CH93" s="100">
        <v>8</v>
      </c>
      <c r="CI93" s="100">
        <v>5548.8</v>
      </c>
      <c r="CJ93" s="100">
        <v>13.5078125</v>
      </c>
      <c r="CK93" s="100">
        <v>9369.0187500000011</v>
      </c>
      <c r="CL93" s="100">
        <v>11.93717277486911</v>
      </c>
      <c r="CM93" s="100">
        <v>8279.6230366492146</v>
      </c>
      <c r="CN93" s="100">
        <v>8.6363636363636367</v>
      </c>
      <c r="CO93" s="100">
        <v>5990.1818181818189</v>
      </c>
      <c r="CP93" s="100">
        <v>7.9166666666666661</v>
      </c>
      <c r="CQ93" s="100">
        <v>5491</v>
      </c>
      <c r="CR93" s="100">
        <v>10.350194552529183</v>
      </c>
      <c r="CS93" s="100">
        <v>7178.8949416342421</v>
      </c>
      <c r="CT93" s="100">
        <v>11.515151515151516</v>
      </c>
      <c r="CU93" s="100">
        <v>7986.9090909090919</v>
      </c>
    </row>
    <row r="94" spans="2:99">
      <c r="C94" s="99" t="s">
        <v>260</v>
      </c>
      <c r="D94" s="100">
        <v>6</v>
      </c>
      <c r="E94" s="100">
        <v>7156.7999999999993</v>
      </c>
      <c r="F94" s="100">
        <v>6</v>
      </c>
      <c r="G94" s="100">
        <v>7156.7999999999993</v>
      </c>
      <c r="H94" s="100">
        <v>9</v>
      </c>
      <c r="I94" s="100">
        <v>10735.199999999999</v>
      </c>
      <c r="J94" s="100">
        <v>6</v>
      </c>
      <c r="K94" s="100">
        <v>7156.7999999999993</v>
      </c>
      <c r="L94" s="100">
        <v>8</v>
      </c>
      <c r="M94" s="100">
        <v>9542.4</v>
      </c>
      <c r="N94" s="100">
        <v>6</v>
      </c>
      <c r="O94" s="100">
        <v>7156.7999999999993</v>
      </c>
      <c r="P94" s="100">
        <v>11</v>
      </c>
      <c r="Q94" s="100">
        <v>13120.8</v>
      </c>
      <c r="R94" s="100">
        <v>7</v>
      </c>
      <c r="S94" s="100">
        <v>8349.6</v>
      </c>
      <c r="T94" s="100">
        <v>9</v>
      </c>
      <c r="U94" s="100">
        <v>10735.199999999999</v>
      </c>
      <c r="V94" s="100">
        <v>10</v>
      </c>
      <c r="W94" s="100">
        <v>11928</v>
      </c>
      <c r="X94" s="100">
        <v>10</v>
      </c>
      <c r="Y94" s="100">
        <v>11928</v>
      </c>
      <c r="Z94" s="100">
        <v>8</v>
      </c>
      <c r="AA94" s="100">
        <v>9542.4</v>
      </c>
      <c r="AB94" s="100">
        <v>9</v>
      </c>
      <c r="AC94" s="100">
        <v>10735.199999999999</v>
      </c>
      <c r="AD94" s="100">
        <v>12</v>
      </c>
      <c r="AE94" s="100">
        <v>14313.599999999999</v>
      </c>
      <c r="AF94" s="100">
        <v>10</v>
      </c>
      <c r="AG94" s="100">
        <v>11928</v>
      </c>
      <c r="AH94" s="100">
        <v>12</v>
      </c>
      <c r="AI94" s="100">
        <v>14313.599999999999</v>
      </c>
      <c r="AJ94" s="100">
        <v>6</v>
      </c>
      <c r="AK94" s="100">
        <v>7156.7999999999993</v>
      </c>
      <c r="AL94" s="100">
        <v>11</v>
      </c>
      <c r="AM94" s="100">
        <v>13120.8</v>
      </c>
      <c r="AN94" s="100">
        <v>11</v>
      </c>
      <c r="AO94" s="100">
        <v>13120.8</v>
      </c>
      <c r="AP94" s="100">
        <v>11</v>
      </c>
      <c r="AQ94" s="100">
        <v>13120.8</v>
      </c>
      <c r="AR94" s="100">
        <v>10</v>
      </c>
      <c r="AS94" s="100">
        <v>11928</v>
      </c>
      <c r="AT94" s="100">
        <v>7</v>
      </c>
      <c r="AU94" s="100">
        <v>8349.6</v>
      </c>
      <c r="AV94" s="100">
        <v>10</v>
      </c>
      <c r="AW94" s="100">
        <v>11928</v>
      </c>
      <c r="AX94" s="100">
        <v>10</v>
      </c>
      <c r="AY94" s="100">
        <v>11928</v>
      </c>
      <c r="AZ94" s="100">
        <v>10</v>
      </c>
      <c r="BA94" s="100">
        <v>11928</v>
      </c>
      <c r="BB94" s="100">
        <v>10</v>
      </c>
      <c r="BC94" s="100">
        <v>11928</v>
      </c>
      <c r="BD94" s="100">
        <v>11</v>
      </c>
      <c r="BE94" s="100">
        <v>13120.8</v>
      </c>
      <c r="BF94" s="100">
        <v>11</v>
      </c>
      <c r="BG94" s="100">
        <v>13120.8</v>
      </c>
      <c r="BH94" s="100">
        <v>8</v>
      </c>
      <c r="BI94" s="100">
        <v>9542.4</v>
      </c>
      <c r="BJ94" s="100">
        <v>8</v>
      </c>
      <c r="BK94" s="100">
        <v>9542.4</v>
      </c>
      <c r="BL94" s="100">
        <v>9</v>
      </c>
      <c r="BM94" s="100">
        <v>10735.199999999999</v>
      </c>
      <c r="BN94" s="100">
        <v>6.6986340719253237</v>
      </c>
      <c r="BO94" s="100">
        <v>7990.1307209925262</v>
      </c>
      <c r="BP94" s="100">
        <v>8</v>
      </c>
      <c r="BQ94" s="100">
        <v>9542.4</v>
      </c>
      <c r="BR94" s="100">
        <v>12</v>
      </c>
      <c r="BS94" s="100">
        <v>14313.599999999999</v>
      </c>
      <c r="BT94" s="100">
        <v>10</v>
      </c>
      <c r="BU94" s="100">
        <v>11928</v>
      </c>
      <c r="BV94" s="100">
        <v>7</v>
      </c>
      <c r="BW94" s="100">
        <v>8349.6</v>
      </c>
      <c r="BX94" s="100">
        <v>12</v>
      </c>
      <c r="BY94" s="100">
        <v>14313.599999999999</v>
      </c>
      <c r="BZ94" s="100">
        <v>9</v>
      </c>
      <c r="CA94" s="100">
        <v>10735.199999999999</v>
      </c>
      <c r="CB94" s="100">
        <v>6</v>
      </c>
      <c r="CC94" s="100">
        <v>7156.7999999999993</v>
      </c>
      <c r="CD94" s="100">
        <v>7</v>
      </c>
      <c r="CE94" s="100">
        <v>8349.6</v>
      </c>
      <c r="CF94" s="100">
        <v>13</v>
      </c>
      <c r="CG94" s="100">
        <v>15506.4</v>
      </c>
      <c r="CH94" s="100">
        <v>8</v>
      </c>
      <c r="CI94" s="100">
        <v>9542.4</v>
      </c>
      <c r="CJ94" s="100">
        <v>11.578125</v>
      </c>
      <c r="CK94" s="100">
        <v>13810.387499999999</v>
      </c>
      <c r="CL94" s="100">
        <v>9.9476439790575917</v>
      </c>
      <c r="CM94" s="100">
        <v>11865.549738219896</v>
      </c>
      <c r="CN94" s="100">
        <v>7.7727272727272725</v>
      </c>
      <c r="CO94" s="100">
        <v>9271.3090909090897</v>
      </c>
      <c r="CP94" s="100">
        <v>9.6759259259259256</v>
      </c>
      <c r="CQ94" s="100">
        <v>11541.444444444443</v>
      </c>
      <c r="CR94" s="100">
        <v>10.350194552529183</v>
      </c>
      <c r="CS94" s="100">
        <v>12345.712062256809</v>
      </c>
      <c r="CT94" s="100">
        <v>9.5959595959595951</v>
      </c>
      <c r="CU94" s="100">
        <v>11446.060606060604</v>
      </c>
    </row>
    <row r="95" spans="2:99">
      <c r="B95" s="99" t="s">
        <v>132</v>
      </c>
      <c r="C95" s="99" t="s">
        <v>261</v>
      </c>
      <c r="D95" s="100">
        <v>8</v>
      </c>
      <c r="E95" s="100">
        <v>2630.4</v>
      </c>
      <c r="F95" s="100">
        <v>7</v>
      </c>
      <c r="G95" s="100">
        <v>2301.6</v>
      </c>
      <c r="H95" s="100">
        <v>9</v>
      </c>
      <c r="I95" s="100">
        <v>2959.2000000000003</v>
      </c>
      <c r="J95" s="100">
        <v>7</v>
      </c>
      <c r="K95" s="100">
        <v>2301.6</v>
      </c>
      <c r="L95" s="100">
        <v>7</v>
      </c>
      <c r="M95" s="100">
        <v>2301.6</v>
      </c>
      <c r="N95" s="100">
        <v>9</v>
      </c>
      <c r="O95" s="100">
        <v>2959.2000000000003</v>
      </c>
      <c r="P95" s="100">
        <v>9</v>
      </c>
      <c r="Q95" s="100">
        <v>2959.2000000000003</v>
      </c>
      <c r="R95" s="100">
        <v>8</v>
      </c>
      <c r="S95" s="100">
        <v>2630.4</v>
      </c>
      <c r="T95" s="100">
        <v>9</v>
      </c>
      <c r="U95" s="100">
        <v>2959.2000000000003</v>
      </c>
      <c r="V95" s="100">
        <v>6</v>
      </c>
      <c r="W95" s="100">
        <v>1972.8000000000002</v>
      </c>
      <c r="X95" s="100">
        <v>8</v>
      </c>
      <c r="Y95" s="100">
        <v>2630.4</v>
      </c>
      <c r="Z95" s="100">
        <v>6</v>
      </c>
      <c r="AA95" s="100">
        <v>1972.8000000000002</v>
      </c>
      <c r="AB95" s="100">
        <v>11</v>
      </c>
      <c r="AC95" s="100">
        <v>3616.8</v>
      </c>
      <c r="AD95" s="100">
        <v>9</v>
      </c>
      <c r="AE95" s="100">
        <v>2959.2000000000003</v>
      </c>
      <c r="AF95" s="100">
        <v>9</v>
      </c>
      <c r="AG95" s="100">
        <v>2959.2000000000003</v>
      </c>
      <c r="AH95" s="100">
        <v>10</v>
      </c>
      <c r="AI95" s="100">
        <v>3288</v>
      </c>
      <c r="AJ95" s="100">
        <v>10</v>
      </c>
      <c r="AK95" s="100">
        <v>3288</v>
      </c>
      <c r="AL95" s="100">
        <v>7</v>
      </c>
      <c r="AM95" s="100">
        <v>2301.6</v>
      </c>
      <c r="AN95" s="100">
        <v>6</v>
      </c>
      <c r="AO95" s="100">
        <v>1972.8000000000002</v>
      </c>
      <c r="AP95" s="100">
        <v>11</v>
      </c>
      <c r="AQ95" s="100">
        <v>3616.8</v>
      </c>
      <c r="AR95" s="100">
        <v>9</v>
      </c>
      <c r="AS95" s="100">
        <v>2959.2000000000003</v>
      </c>
      <c r="AT95" s="100">
        <v>8</v>
      </c>
      <c r="AU95" s="100">
        <v>2630.4</v>
      </c>
      <c r="AV95" s="100">
        <v>10</v>
      </c>
      <c r="AW95" s="100">
        <v>3288</v>
      </c>
      <c r="AX95" s="100">
        <v>8</v>
      </c>
      <c r="AY95" s="100">
        <v>2630.4</v>
      </c>
      <c r="AZ95" s="100">
        <v>6</v>
      </c>
      <c r="BA95" s="100">
        <v>1972.8000000000002</v>
      </c>
      <c r="BB95" s="100">
        <v>9</v>
      </c>
      <c r="BC95" s="100">
        <v>2959.2000000000003</v>
      </c>
      <c r="BD95" s="100">
        <v>9</v>
      </c>
      <c r="BE95" s="100">
        <v>2959.2000000000003</v>
      </c>
      <c r="BF95" s="100">
        <v>9</v>
      </c>
      <c r="BG95" s="100">
        <v>2959.2000000000003</v>
      </c>
      <c r="BH95" s="100">
        <v>10</v>
      </c>
      <c r="BI95" s="100">
        <v>3288</v>
      </c>
      <c r="BJ95" s="100">
        <v>6</v>
      </c>
      <c r="BK95" s="100">
        <v>1972.8000000000002</v>
      </c>
      <c r="BL95" s="100">
        <v>9</v>
      </c>
      <c r="BM95" s="100">
        <v>2959.2000000000003</v>
      </c>
      <c r="BN95" s="100">
        <v>5.4807006043025375</v>
      </c>
      <c r="BO95" s="100">
        <v>1802.0543586946744</v>
      </c>
      <c r="BP95" s="100">
        <v>6</v>
      </c>
      <c r="BQ95" s="100">
        <v>1972.8000000000002</v>
      </c>
      <c r="BR95" s="100">
        <v>8</v>
      </c>
      <c r="BS95" s="100">
        <v>2630.4</v>
      </c>
      <c r="BT95" s="100">
        <v>9</v>
      </c>
      <c r="BU95" s="100">
        <v>2959.2000000000003</v>
      </c>
      <c r="BV95" s="100">
        <v>9</v>
      </c>
      <c r="BW95" s="100">
        <v>2959.2000000000003</v>
      </c>
      <c r="BX95" s="100">
        <v>7</v>
      </c>
      <c r="BY95" s="100">
        <v>2301.6</v>
      </c>
      <c r="BZ95" s="100">
        <v>8</v>
      </c>
      <c r="CA95" s="100">
        <v>2630.4</v>
      </c>
      <c r="CB95" s="100">
        <v>8</v>
      </c>
      <c r="CC95" s="100">
        <v>2630.4</v>
      </c>
      <c r="CD95" s="100">
        <v>7</v>
      </c>
      <c r="CE95" s="100">
        <v>2301.6</v>
      </c>
      <c r="CF95" s="100">
        <v>9</v>
      </c>
      <c r="CG95" s="100">
        <v>2959.2000000000003</v>
      </c>
      <c r="CH95" s="100">
        <v>9</v>
      </c>
      <c r="CI95" s="100">
        <v>2959.2000000000003</v>
      </c>
      <c r="CJ95" s="100">
        <v>11.578125</v>
      </c>
      <c r="CK95" s="100">
        <v>3806.8875000000003</v>
      </c>
      <c r="CL95" s="100">
        <v>6.9633507853403138</v>
      </c>
      <c r="CM95" s="100">
        <v>2289.5497382198951</v>
      </c>
      <c r="CN95" s="100">
        <v>11.227272727272727</v>
      </c>
      <c r="CO95" s="100">
        <v>3691.5272727272727</v>
      </c>
      <c r="CP95" s="100">
        <v>8.7962962962962958</v>
      </c>
      <c r="CQ95" s="100">
        <v>2892.2222222222222</v>
      </c>
      <c r="CR95" s="100">
        <v>8.1322957198443575</v>
      </c>
      <c r="CS95" s="100">
        <v>2673.8988326848248</v>
      </c>
      <c r="CT95" s="100">
        <v>7.6767676767676774</v>
      </c>
      <c r="CU95" s="100">
        <v>2524.1212121212125</v>
      </c>
    </row>
    <row r="96" spans="2:99">
      <c r="C96" s="99" t="s">
        <v>262</v>
      </c>
      <c r="D96" s="100">
        <v>7</v>
      </c>
      <c r="E96" s="100">
        <v>4863.5999999999995</v>
      </c>
      <c r="F96" s="100">
        <v>8</v>
      </c>
      <c r="G96" s="100">
        <v>5558.4</v>
      </c>
      <c r="H96" s="100">
        <v>9</v>
      </c>
      <c r="I96" s="100">
        <v>6253.2</v>
      </c>
      <c r="J96" s="100">
        <v>7</v>
      </c>
      <c r="K96" s="100">
        <v>4863.5999999999995</v>
      </c>
      <c r="L96" s="100">
        <v>7</v>
      </c>
      <c r="M96" s="100">
        <v>4863.5999999999995</v>
      </c>
      <c r="N96" s="100">
        <v>10</v>
      </c>
      <c r="O96" s="100">
        <v>6948</v>
      </c>
      <c r="P96" s="100">
        <v>9</v>
      </c>
      <c r="Q96" s="100">
        <v>6253.2</v>
      </c>
      <c r="R96" s="100">
        <v>7</v>
      </c>
      <c r="S96" s="100">
        <v>4863.5999999999995</v>
      </c>
      <c r="T96" s="100">
        <v>9</v>
      </c>
      <c r="U96" s="100">
        <v>6253.2</v>
      </c>
      <c r="V96" s="100">
        <v>6</v>
      </c>
      <c r="W96" s="100">
        <v>4168.7999999999993</v>
      </c>
      <c r="X96" s="100">
        <v>9</v>
      </c>
      <c r="Y96" s="100">
        <v>6253.2</v>
      </c>
      <c r="Z96" s="100">
        <v>6</v>
      </c>
      <c r="AA96" s="100">
        <v>4168.7999999999993</v>
      </c>
      <c r="AB96" s="100">
        <v>12</v>
      </c>
      <c r="AC96" s="100">
        <v>8337.5999999999985</v>
      </c>
      <c r="AD96" s="100">
        <v>9</v>
      </c>
      <c r="AE96" s="100">
        <v>6253.2</v>
      </c>
      <c r="AF96" s="100">
        <v>9</v>
      </c>
      <c r="AG96" s="100">
        <v>6253.2</v>
      </c>
      <c r="AH96" s="100">
        <v>10</v>
      </c>
      <c r="AI96" s="100">
        <v>6948</v>
      </c>
      <c r="AJ96" s="100">
        <v>9</v>
      </c>
      <c r="AK96" s="100">
        <v>6253.2</v>
      </c>
      <c r="AL96" s="100">
        <v>8</v>
      </c>
      <c r="AM96" s="100">
        <v>5558.4</v>
      </c>
      <c r="AN96" s="100">
        <v>7</v>
      </c>
      <c r="AO96" s="100">
        <v>4863.5999999999995</v>
      </c>
      <c r="AP96" s="100">
        <v>11</v>
      </c>
      <c r="AQ96" s="100">
        <v>7642.7999999999993</v>
      </c>
      <c r="AR96" s="100">
        <v>9</v>
      </c>
      <c r="AS96" s="100">
        <v>6253.2</v>
      </c>
      <c r="AT96" s="100">
        <v>9</v>
      </c>
      <c r="AU96" s="100">
        <v>6253.2</v>
      </c>
      <c r="AV96" s="100">
        <v>10</v>
      </c>
      <c r="AW96" s="100">
        <v>6948</v>
      </c>
      <c r="AX96" s="100">
        <v>8</v>
      </c>
      <c r="AY96" s="100">
        <v>5558.4</v>
      </c>
      <c r="AZ96" s="100">
        <v>6</v>
      </c>
      <c r="BA96" s="100">
        <v>4168.7999999999993</v>
      </c>
      <c r="BB96" s="100">
        <v>9</v>
      </c>
      <c r="BC96" s="100">
        <v>6253.2</v>
      </c>
      <c r="BD96" s="100">
        <v>9</v>
      </c>
      <c r="BE96" s="100">
        <v>6253.2</v>
      </c>
      <c r="BF96" s="100">
        <v>9</v>
      </c>
      <c r="BG96" s="100">
        <v>6253.2</v>
      </c>
      <c r="BH96" s="100">
        <v>10</v>
      </c>
      <c r="BI96" s="100">
        <v>6948</v>
      </c>
      <c r="BJ96" s="100">
        <v>6</v>
      </c>
      <c r="BK96" s="100">
        <v>4168.7999999999993</v>
      </c>
      <c r="BL96" s="100">
        <v>8</v>
      </c>
      <c r="BM96" s="100">
        <v>5558.4</v>
      </c>
      <c r="BN96" s="100">
        <v>5.4807006043025375</v>
      </c>
      <c r="BO96" s="100">
        <v>3807.9907798694026</v>
      </c>
      <c r="BP96" s="100">
        <v>6</v>
      </c>
      <c r="BQ96" s="100">
        <v>4168.7999999999993</v>
      </c>
      <c r="BR96" s="100">
        <v>9</v>
      </c>
      <c r="BS96" s="100">
        <v>6253.2</v>
      </c>
      <c r="BT96" s="100">
        <v>8</v>
      </c>
      <c r="BU96" s="100">
        <v>5558.4</v>
      </c>
      <c r="BV96" s="100">
        <v>7</v>
      </c>
      <c r="BW96" s="100">
        <v>4863.5999999999995</v>
      </c>
      <c r="BX96" s="100">
        <v>6</v>
      </c>
      <c r="BY96" s="100">
        <v>4168.7999999999993</v>
      </c>
      <c r="BZ96" s="100">
        <v>7</v>
      </c>
      <c r="CA96" s="100">
        <v>4863.5999999999995</v>
      </c>
      <c r="CB96" s="100">
        <v>8</v>
      </c>
      <c r="CC96" s="100">
        <v>5558.4</v>
      </c>
      <c r="CD96" s="100">
        <v>8</v>
      </c>
      <c r="CE96" s="100">
        <v>5558.4</v>
      </c>
      <c r="CF96" s="100">
        <v>9</v>
      </c>
      <c r="CG96" s="100">
        <v>6253.2</v>
      </c>
      <c r="CH96" s="100">
        <v>9</v>
      </c>
      <c r="CI96" s="100">
        <v>6253.2</v>
      </c>
      <c r="CJ96" s="100">
        <v>10.61328125</v>
      </c>
      <c r="CK96" s="100">
        <v>7374.1078124999995</v>
      </c>
      <c r="CL96" s="100">
        <v>6.9633507853403138</v>
      </c>
      <c r="CM96" s="100">
        <v>4838.1361256544496</v>
      </c>
      <c r="CN96" s="100">
        <v>10.363636363636363</v>
      </c>
      <c r="CO96" s="100">
        <v>7200.6545454545449</v>
      </c>
      <c r="CP96" s="100">
        <v>9.6759259259259256</v>
      </c>
      <c r="CQ96" s="100">
        <v>6722.833333333333</v>
      </c>
      <c r="CR96" s="100">
        <v>9.6108949416342409</v>
      </c>
      <c r="CS96" s="100">
        <v>6677.6498054474705</v>
      </c>
      <c r="CT96" s="100">
        <v>7.6767676767676774</v>
      </c>
      <c r="CU96" s="100">
        <v>5333.818181818182</v>
      </c>
    </row>
    <row r="97" spans="2:99">
      <c r="C97" s="99" t="s">
        <v>263</v>
      </c>
      <c r="D97" s="100">
        <v>8</v>
      </c>
      <c r="E97" s="100">
        <v>3139.2</v>
      </c>
      <c r="F97" s="100">
        <v>7</v>
      </c>
      <c r="G97" s="100">
        <v>2746.7999999999997</v>
      </c>
      <c r="H97" s="100">
        <v>10</v>
      </c>
      <c r="I97" s="100">
        <v>3924</v>
      </c>
      <c r="J97" s="100">
        <v>7</v>
      </c>
      <c r="K97" s="100">
        <v>2746.7999999999997</v>
      </c>
      <c r="L97" s="100">
        <v>7</v>
      </c>
      <c r="M97" s="100">
        <v>2746.7999999999997</v>
      </c>
      <c r="N97" s="100">
        <v>9</v>
      </c>
      <c r="O97" s="100">
        <v>3531.6</v>
      </c>
      <c r="P97" s="100">
        <v>10</v>
      </c>
      <c r="Q97" s="100">
        <v>3924</v>
      </c>
      <c r="R97" s="100">
        <v>7</v>
      </c>
      <c r="S97" s="100">
        <v>2746.7999999999997</v>
      </c>
      <c r="T97" s="100">
        <v>10</v>
      </c>
      <c r="U97" s="100">
        <v>3924</v>
      </c>
      <c r="V97" s="100">
        <v>7</v>
      </c>
      <c r="W97" s="100">
        <v>2746.7999999999997</v>
      </c>
      <c r="X97" s="100">
        <v>8</v>
      </c>
      <c r="Y97" s="100">
        <v>3139.2</v>
      </c>
      <c r="Z97" s="100">
        <v>6</v>
      </c>
      <c r="AA97" s="100">
        <v>2354.3999999999996</v>
      </c>
      <c r="AB97" s="100">
        <v>12</v>
      </c>
      <c r="AC97" s="100">
        <v>4708.7999999999993</v>
      </c>
      <c r="AD97" s="100">
        <v>9</v>
      </c>
      <c r="AE97" s="100">
        <v>3531.6</v>
      </c>
      <c r="AF97" s="100">
        <v>8</v>
      </c>
      <c r="AG97" s="100">
        <v>3139.2</v>
      </c>
      <c r="AH97" s="100">
        <v>9</v>
      </c>
      <c r="AI97" s="100">
        <v>3531.6</v>
      </c>
      <c r="AJ97" s="100">
        <v>11</v>
      </c>
      <c r="AK97" s="100">
        <v>4316.3999999999996</v>
      </c>
      <c r="AL97" s="100">
        <v>7</v>
      </c>
      <c r="AM97" s="100">
        <v>2746.7999999999997</v>
      </c>
      <c r="AN97" s="100">
        <v>6</v>
      </c>
      <c r="AO97" s="100">
        <v>2354.3999999999996</v>
      </c>
      <c r="AP97" s="100">
        <v>12</v>
      </c>
      <c r="AQ97" s="100">
        <v>4708.7999999999993</v>
      </c>
      <c r="AR97" s="100">
        <v>9</v>
      </c>
      <c r="AS97" s="100">
        <v>3531.6</v>
      </c>
      <c r="AT97" s="100">
        <v>8</v>
      </c>
      <c r="AU97" s="100">
        <v>3139.2</v>
      </c>
      <c r="AV97" s="100">
        <v>11</v>
      </c>
      <c r="AW97" s="100">
        <v>4316.3999999999996</v>
      </c>
      <c r="AX97" s="100">
        <v>8</v>
      </c>
      <c r="AY97" s="100">
        <v>3139.2</v>
      </c>
      <c r="AZ97" s="100">
        <v>7</v>
      </c>
      <c r="BA97" s="100">
        <v>2746.7999999999997</v>
      </c>
      <c r="BB97" s="100">
        <v>9</v>
      </c>
      <c r="BC97" s="100">
        <v>3531.6</v>
      </c>
      <c r="BD97" s="100">
        <v>10</v>
      </c>
      <c r="BE97" s="100">
        <v>3924</v>
      </c>
      <c r="BF97" s="100">
        <v>10</v>
      </c>
      <c r="BG97" s="100">
        <v>3924</v>
      </c>
      <c r="BH97" s="100">
        <v>11</v>
      </c>
      <c r="BI97" s="100">
        <v>4316.3999999999996</v>
      </c>
      <c r="BJ97" s="100">
        <v>6</v>
      </c>
      <c r="BK97" s="100">
        <v>2354.3999999999996</v>
      </c>
      <c r="BL97" s="100">
        <v>8</v>
      </c>
      <c r="BM97" s="100">
        <v>3139.2</v>
      </c>
      <c r="BN97" s="100">
        <v>4.8717338704911439</v>
      </c>
      <c r="BO97" s="100">
        <v>1911.6683707807247</v>
      </c>
      <c r="BP97" s="100">
        <v>6</v>
      </c>
      <c r="BQ97" s="100">
        <v>2354.3999999999996</v>
      </c>
      <c r="BR97" s="100">
        <v>8</v>
      </c>
      <c r="BS97" s="100">
        <v>3139.2</v>
      </c>
      <c r="BT97" s="100">
        <v>8</v>
      </c>
      <c r="BU97" s="100">
        <v>3139.2</v>
      </c>
      <c r="BV97" s="100">
        <v>8</v>
      </c>
      <c r="BW97" s="100">
        <v>3139.2</v>
      </c>
      <c r="BX97" s="100">
        <v>6</v>
      </c>
      <c r="BY97" s="100">
        <v>2354.3999999999996</v>
      </c>
      <c r="BZ97" s="100">
        <v>7</v>
      </c>
      <c r="CA97" s="100">
        <v>2746.7999999999997</v>
      </c>
      <c r="CB97" s="100">
        <v>8</v>
      </c>
      <c r="CC97" s="100">
        <v>3139.2</v>
      </c>
      <c r="CD97" s="100">
        <v>8</v>
      </c>
      <c r="CE97" s="100">
        <v>3139.2</v>
      </c>
      <c r="CF97" s="100">
        <v>9</v>
      </c>
      <c r="CG97" s="100">
        <v>3531.6</v>
      </c>
      <c r="CH97" s="100">
        <v>9</v>
      </c>
      <c r="CI97" s="100">
        <v>3531.6</v>
      </c>
      <c r="CJ97" s="100">
        <v>10.61328125</v>
      </c>
      <c r="CK97" s="100">
        <v>4164.6515625000002</v>
      </c>
      <c r="CL97" s="100">
        <v>6.9633507853403138</v>
      </c>
      <c r="CM97" s="100">
        <v>2732.4188481675392</v>
      </c>
      <c r="CN97" s="100">
        <v>9.5</v>
      </c>
      <c r="CO97" s="100">
        <v>3727.7999999999997</v>
      </c>
      <c r="CP97" s="100">
        <v>9.6759259259259256</v>
      </c>
      <c r="CQ97" s="100">
        <v>3796.833333333333</v>
      </c>
      <c r="CR97" s="100">
        <v>9.6108949416342409</v>
      </c>
      <c r="CS97" s="100">
        <v>3771.3151750972761</v>
      </c>
      <c r="CT97" s="100">
        <v>6.7171717171717171</v>
      </c>
      <c r="CU97" s="100">
        <v>2635.8181818181815</v>
      </c>
    </row>
    <row r="98" spans="2:99">
      <c r="C98" s="99" t="s">
        <v>264</v>
      </c>
      <c r="D98" s="100">
        <v>8</v>
      </c>
      <c r="E98" s="100">
        <v>4204.8</v>
      </c>
      <c r="F98" s="100">
        <v>8</v>
      </c>
      <c r="G98" s="100">
        <v>4204.8</v>
      </c>
      <c r="H98" s="100">
        <v>9</v>
      </c>
      <c r="I98" s="100">
        <v>4730.4000000000005</v>
      </c>
      <c r="J98" s="100">
        <v>7</v>
      </c>
      <c r="K98" s="100">
        <v>3679.2000000000003</v>
      </c>
      <c r="L98" s="100">
        <v>7</v>
      </c>
      <c r="M98" s="100">
        <v>3679.2000000000003</v>
      </c>
      <c r="N98" s="100">
        <v>9</v>
      </c>
      <c r="O98" s="100">
        <v>4730.4000000000005</v>
      </c>
      <c r="P98" s="100">
        <v>9</v>
      </c>
      <c r="Q98" s="100">
        <v>4730.4000000000005</v>
      </c>
      <c r="R98" s="100">
        <v>8</v>
      </c>
      <c r="S98" s="100">
        <v>4204.8</v>
      </c>
      <c r="T98" s="100">
        <v>9</v>
      </c>
      <c r="U98" s="100">
        <v>4730.4000000000005</v>
      </c>
      <c r="V98" s="100">
        <v>6</v>
      </c>
      <c r="W98" s="100">
        <v>3153.6000000000004</v>
      </c>
      <c r="X98" s="100">
        <v>9</v>
      </c>
      <c r="Y98" s="100">
        <v>4730.4000000000005</v>
      </c>
      <c r="Z98" s="100">
        <v>6</v>
      </c>
      <c r="AA98" s="100">
        <v>3153.6000000000004</v>
      </c>
      <c r="AB98" s="100">
        <v>11</v>
      </c>
      <c r="AC98" s="100">
        <v>5781.6</v>
      </c>
      <c r="AD98" s="100">
        <v>10</v>
      </c>
      <c r="AE98" s="100">
        <v>5256</v>
      </c>
      <c r="AF98" s="100">
        <v>9</v>
      </c>
      <c r="AG98" s="100">
        <v>4730.4000000000005</v>
      </c>
      <c r="AH98" s="100">
        <v>8</v>
      </c>
      <c r="AI98" s="100">
        <v>4204.8</v>
      </c>
      <c r="AJ98" s="100">
        <v>10</v>
      </c>
      <c r="AK98" s="100">
        <v>5256</v>
      </c>
      <c r="AL98" s="100">
        <v>8</v>
      </c>
      <c r="AM98" s="100">
        <v>4204.8</v>
      </c>
      <c r="AN98" s="100">
        <v>6</v>
      </c>
      <c r="AO98" s="100">
        <v>3153.6000000000004</v>
      </c>
      <c r="AP98" s="100">
        <v>11</v>
      </c>
      <c r="AQ98" s="100">
        <v>5781.6</v>
      </c>
      <c r="AR98" s="100">
        <v>10</v>
      </c>
      <c r="AS98" s="100">
        <v>5256</v>
      </c>
      <c r="AT98" s="100">
        <v>8</v>
      </c>
      <c r="AU98" s="100">
        <v>4204.8</v>
      </c>
      <c r="AV98" s="100">
        <v>11</v>
      </c>
      <c r="AW98" s="100">
        <v>5781.6</v>
      </c>
      <c r="AX98" s="100">
        <v>7</v>
      </c>
      <c r="AY98" s="100">
        <v>3679.2000000000003</v>
      </c>
      <c r="AZ98" s="100">
        <v>6</v>
      </c>
      <c r="BA98" s="100">
        <v>3153.6000000000004</v>
      </c>
      <c r="BB98" s="100">
        <v>9</v>
      </c>
      <c r="BC98" s="100">
        <v>4730.4000000000005</v>
      </c>
      <c r="BD98" s="100">
        <v>10</v>
      </c>
      <c r="BE98" s="100">
        <v>5256</v>
      </c>
      <c r="BF98" s="100">
        <v>10</v>
      </c>
      <c r="BG98" s="100">
        <v>5256</v>
      </c>
      <c r="BH98" s="100">
        <v>10</v>
      </c>
      <c r="BI98" s="100">
        <v>5256</v>
      </c>
      <c r="BJ98" s="100">
        <v>6</v>
      </c>
      <c r="BK98" s="100">
        <v>3153.6000000000004</v>
      </c>
      <c r="BL98" s="100">
        <v>9</v>
      </c>
      <c r="BM98" s="100">
        <v>4730.4000000000005</v>
      </c>
      <c r="BN98" s="100">
        <v>4.8717338704911439</v>
      </c>
      <c r="BO98" s="100">
        <v>2560.5833223301452</v>
      </c>
      <c r="BP98" s="100">
        <v>6</v>
      </c>
      <c r="BQ98" s="100">
        <v>3153.6000000000004</v>
      </c>
      <c r="BR98" s="100">
        <v>8</v>
      </c>
      <c r="BS98" s="100">
        <v>4204.8</v>
      </c>
      <c r="BT98" s="100">
        <v>8</v>
      </c>
      <c r="BU98" s="100">
        <v>4204.8</v>
      </c>
      <c r="BV98" s="100">
        <v>8</v>
      </c>
      <c r="BW98" s="100">
        <v>4204.8</v>
      </c>
      <c r="BX98" s="100">
        <v>6</v>
      </c>
      <c r="BY98" s="100">
        <v>3153.6000000000004</v>
      </c>
      <c r="BZ98" s="100">
        <v>8</v>
      </c>
      <c r="CA98" s="100">
        <v>4204.8</v>
      </c>
      <c r="CB98" s="100">
        <v>9</v>
      </c>
      <c r="CC98" s="100">
        <v>4730.4000000000005</v>
      </c>
      <c r="CD98" s="100">
        <v>7</v>
      </c>
      <c r="CE98" s="100">
        <v>3679.2000000000003</v>
      </c>
      <c r="CF98" s="100">
        <v>8</v>
      </c>
      <c r="CG98" s="100">
        <v>4204.8</v>
      </c>
      <c r="CH98" s="100">
        <v>10</v>
      </c>
      <c r="CI98" s="100">
        <v>5256</v>
      </c>
      <c r="CJ98" s="100">
        <v>12.54296875</v>
      </c>
      <c r="CK98" s="100">
        <v>6592.5843750000004</v>
      </c>
      <c r="CL98" s="100">
        <v>6.9633507853403138</v>
      </c>
      <c r="CM98" s="100">
        <v>3659.9371727748689</v>
      </c>
      <c r="CN98" s="100">
        <v>9.5</v>
      </c>
      <c r="CO98" s="100">
        <v>4993.2</v>
      </c>
      <c r="CP98" s="100">
        <v>8.7962962962962958</v>
      </c>
      <c r="CQ98" s="100">
        <v>4623.333333333333</v>
      </c>
      <c r="CR98" s="100">
        <v>8.8715953307393001</v>
      </c>
      <c r="CS98" s="100">
        <v>4662.9105058365767</v>
      </c>
      <c r="CT98" s="100">
        <v>7.6767676767676774</v>
      </c>
      <c r="CU98" s="100">
        <v>4034.9090909090914</v>
      </c>
    </row>
    <row r="99" spans="2:99">
      <c r="C99" s="99" t="s">
        <v>265</v>
      </c>
      <c r="D99" s="100">
        <v>6</v>
      </c>
      <c r="E99" s="100">
        <v>25250.399999999998</v>
      </c>
      <c r="F99" s="100">
        <v>6</v>
      </c>
      <c r="G99" s="100">
        <v>25250.399999999998</v>
      </c>
      <c r="H99" s="100">
        <v>7</v>
      </c>
      <c r="I99" s="100">
        <v>29458.799999999996</v>
      </c>
      <c r="J99" s="100">
        <v>5</v>
      </c>
      <c r="K99" s="100">
        <v>21042</v>
      </c>
      <c r="L99" s="100">
        <v>5</v>
      </c>
      <c r="M99" s="100">
        <v>21042</v>
      </c>
      <c r="N99" s="100">
        <v>7</v>
      </c>
      <c r="O99" s="100">
        <v>29458.799999999996</v>
      </c>
      <c r="P99" s="100">
        <v>7</v>
      </c>
      <c r="Q99" s="100">
        <v>29458.799999999996</v>
      </c>
      <c r="R99" s="100">
        <v>6</v>
      </c>
      <c r="S99" s="100">
        <v>25250.399999999998</v>
      </c>
      <c r="T99" s="100">
        <v>7</v>
      </c>
      <c r="U99" s="100">
        <v>29458.799999999996</v>
      </c>
      <c r="V99" s="100">
        <v>5</v>
      </c>
      <c r="W99" s="100">
        <v>21042</v>
      </c>
      <c r="X99" s="100">
        <v>7</v>
      </c>
      <c r="Y99" s="100">
        <v>29458.799999999996</v>
      </c>
      <c r="Z99" s="100">
        <v>5</v>
      </c>
      <c r="AA99" s="100">
        <v>21042</v>
      </c>
      <c r="AB99" s="100">
        <v>9</v>
      </c>
      <c r="AC99" s="100">
        <v>37875.599999999999</v>
      </c>
      <c r="AD99" s="100">
        <v>7</v>
      </c>
      <c r="AE99" s="100">
        <v>29458.799999999996</v>
      </c>
      <c r="AF99" s="100">
        <v>6</v>
      </c>
      <c r="AG99" s="100">
        <v>25250.399999999998</v>
      </c>
      <c r="AH99" s="100">
        <v>7</v>
      </c>
      <c r="AI99" s="100">
        <v>29458.799999999996</v>
      </c>
      <c r="AJ99" s="100">
        <v>8</v>
      </c>
      <c r="AK99" s="100">
        <v>33667.199999999997</v>
      </c>
      <c r="AL99" s="100">
        <v>5</v>
      </c>
      <c r="AM99" s="100">
        <v>21042</v>
      </c>
      <c r="AN99" s="100">
        <v>5</v>
      </c>
      <c r="AO99" s="100">
        <v>21042</v>
      </c>
      <c r="AP99" s="100">
        <v>7</v>
      </c>
      <c r="AQ99" s="100">
        <v>29458.799999999996</v>
      </c>
      <c r="AR99" s="100">
        <v>6</v>
      </c>
      <c r="AS99" s="100">
        <v>25250.399999999998</v>
      </c>
      <c r="AT99" s="100">
        <v>5</v>
      </c>
      <c r="AU99" s="100">
        <v>21042</v>
      </c>
      <c r="AV99" s="100">
        <v>9</v>
      </c>
      <c r="AW99" s="100">
        <v>37875.599999999999</v>
      </c>
      <c r="AX99" s="100">
        <v>5</v>
      </c>
      <c r="AY99" s="100">
        <v>21042</v>
      </c>
      <c r="AZ99" s="100">
        <v>4</v>
      </c>
      <c r="BA99" s="100">
        <v>16833.599999999999</v>
      </c>
      <c r="BB99" s="100">
        <v>7</v>
      </c>
      <c r="BC99" s="100">
        <v>29458.799999999996</v>
      </c>
      <c r="BD99" s="100">
        <v>7</v>
      </c>
      <c r="BE99" s="100">
        <v>29458.799999999996</v>
      </c>
      <c r="BF99" s="100">
        <v>7</v>
      </c>
      <c r="BG99" s="100">
        <v>29458.799999999996</v>
      </c>
      <c r="BH99" s="100">
        <v>8</v>
      </c>
      <c r="BI99" s="100">
        <v>33667.199999999997</v>
      </c>
      <c r="BJ99" s="100">
        <v>5</v>
      </c>
      <c r="BK99" s="100">
        <v>21042</v>
      </c>
      <c r="BL99" s="100">
        <v>7</v>
      </c>
      <c r="BM99" s="100">
        <v>29458.799999999996</v>
      </c>
      <c r="BN99" s="100">
        <v>3.6538004028683582</v>
      </c>
      <c r="BO99" s="100">
        <v>15376.653615431198</v>
      </c>
      <c r="BP99" s="100">
        <v>5</v>
      </c>
      <c r="BQ99" s="100">
        <v>21042</v>
      </c>
      <c r="BR99" s="100">
        <v>6</v>
      </c>
      <c r="BS99" s="100">
        <v>25250.399999999998</v>
      </c>
      <c r="BT99" s="100">
        <v>6</v>
      </c>
      <c r="BU99" s="100">
        <v>25250.399999999998</v>
      </c>
      <c r="BV99" s="100">
        <v>6</v>
      </c>
      <c r="BW99" s="100">
        <v>25250.399999999998</v>
      </c>
      <c r="BX99" s="100">
        <v>4</v>
      </c>
      <c r="BY99" s="100">
        <v>16833.599999999999</v>
      </c>
      <c r="BZ99" s="100">
        <v>6</v>
      </c>
      <c r="CA99" s="100">
        <v>25250.399999999998</v>
      </c>
      <c r="CB99" s="100">
        <v>6</v>
      </c>
      <c r="CC99" s="100">
        <v>25250.399999999998</v>
      </c>
      <c r="CD99" s="100">
        <v>6</v>
      </c>
      <c r="CE99" s="100">
        <v>25250.399999999998</v>
      </c>
      <c r="CF99" s="100">
        <v>7</v>
      </c>
      <c r="CG99" s="100">
        <v>29458.799999999996</v>
      </c>
      <c r="CH99" s="100">
        <v>7</v>
      </c>
      <c r="CI99" s="100">
        <v>29458.799999999996</v>
      </c>
      <c r="CJ99" s="100">
        <v>8.68359375</v>
      </c>
      <c r="CK99" s="100">
        <v>36544.035937499997</v>
      </c>
      <c r="CL99" s="100">
        <v>4.9738219895287958</v>
      </c>
      <c r="CM99" s="100">
        <v>20931.832460732981</v>
      </c>
      <c r="CN99" s="100">
        <v>7.7727272727272725</v>
      </c>
      <c r="CO99" s="100">
        <v>32710.745454545449</v>
      </c>
      <c r="CP99" s="100">
        <v>7.0370370370370363</v>
      </c>
      <c r="CQ99" s="100">
        <v>29614.666666666661</v>
      </c>
      <c r="CR99" s="100">
        <v>7.3929961089494167</v>
      </c>
      <c r="CS99" s="100">
        <v>31112.684824902724</v>
      </c>
      <c r="CT99" s="100">
        <v>5.7575757575757578</v>
      </c>
      <c r="CU99" s="100">
        <v>24230.181818181816</v>
      </c>
    </row>
    <row r="100" spans="2:99">
      <c r="C100" s="99" t="s">
        <v>266</v>
      </c>
      <c r="D100" s="100">
        <v>8</v>
      </c>
      <c r="E100" s="100">
        <v>2592</v>
      </c>
      <c r="F100" s="100">
        <v>8</v>
      </c>
      <c r="G100" s="100">
        <v>2592</v>
      </c>
      <c r="H100" s="100">
        <v>9</v>
      </c>
      <c r="I100" s="100">
        <v>2916</v>
      </c>
      <c r="J100" s="100">
        <v>7</v>
      </c>
      <c r="K100" s="100">
        <v>2268</v>
      </c>
      <c r="L100" s="100">
        <v>7</v>
      </c>
      <c r="M100" s="100">
        <v>2268</v>
      </c>
      <c r="N100" s="100">
        <v>9</v>
      </c>
      <c r="O100" s="100">
        <v>2916</v>
      </c>
      <c r="P100" s="100">
        <v>9</v>
      </c>
      <c r="Q100" s="100">
        <v>2916</v>
      </c>
      <c r="R100" s="100">
        <v>8</v>
      </c>
      <c r="S100" s="100">
        <v>2592</v>
      </c>
      <c r="T100" s="100">
        <v>9</v>
      </c>
      <c r="U100" s="100">
        <v>2916</v>
      </c>
      <c r="V100" s="100">
        <v>7</v>
      </c>
      <c r="W100" s="100">
        <v>2268</v>
      </c>
      <c r="X100" s="100">
        <v>8</v>
      </c>
      <c r="Y100" s="100">
        <v>2592</v>
      </c>
      <c r="Z100" s="100">
        <v>6</v>
      </c>
      <c r="AA100" s="100">
        <v>1944</v>
      </c>
      <c r="AB100" s="100">
        <v>11</v>
      </c>
      <c r="AC100" s="100">
        <v>3564</v>
      </c>
      <c r="AD100" s="100">
        <v>10</v>
      </c>
      <c r="AE100" s="100">
        <v>3240</v>
      </c>
      <c r="AF100" s="100">
        <v>8</v>
      </c>
      <c r="AG100" s="100">
        <v>2592</v>
      </c>
      <c r="AH100" s="100">
        <v>9</v>
      </c>
      <c r="AI100" s="100">
        <v>2916</v>
      </c>
      <c r="AJ100" s="100">
        <v>11</v>
      </c>
      <c r="AK100" s="100">
        <v>3564</v>
      </c>
      <c r="AL100" s="100">
        <v>8</v>
      </c>
      <c r="AM100" s="100">
        <v>2592</v>
      </c>
      <c r="AN100" s="100">
        <v>7</v>
      </c>
      <c r="AO100" s="100">
        <v>2268</v>
      </c>
      <c r="AP100" s="100">
        <v>11</v>
      </c>
      <c r="AQ100" s="100">
        <v>3564</v>
      </c>
      <c r="AR100" s="100">
        <v>10</v>
      </c>
      <c r="AS100" s="100">
        <v>3240</v>
      </c>
      <c r="AT100" s="100">
        <v>8</v>
      </c>
      <c r="AU100" s="100">
        <v>2592</v>
      </c>
      <c r="AV100" s="100">
        <v>11</v>
      </c>
      <c r="AW100" s="100">
        <v>3564</v>
      </c>
      <c r="AX100" s="100">
        <v>8</v>
      </c>
      <c r="AY100" s="100">
        <v>2592</v>
      </c>
      <c r="AZ100" s="100">
        <v>6</v>
      </c>
      <c r="BA100" s="100">
        <v>1944</v>
      </c>
      <c r="BB100" s="100">
        <v>9</v>
      </c>
      <c r="BC100" s="100">
        <v>2916</v>
      </c>
      <c r="BD100" s="100">
        <v>9</v>
      </c>
      <c r="BE100" s="100">
        <v>2916</v>
      </c>
      <c r="BF100" s="100">
        <v>10</v>
      </c>
      <c r="BG100" s="100">
        <v>3240</v>
      </c>
      <c r="BH100" s="100">
        <v>11</v>
      </c>
      <c r="BI100" s="100">
        <v>3564</v>
      </c>
      <c r="BJ100" s="100">
        <v>7</v>
      </c>
      <c r="BK100" s="100">
        <v>2268</v>
      </c>
      <c r="BL100" s="100">
        <v>9</v>
      </c>
      <c r="BM100" s="100">
        <v>2916</v>
      </c>
      <c r="BN100" s="100">
        <v>5.4807006043025375</v>
      </c>
      <c r="BO100" s="100">
        <v>1775.746995794022</v>
      </c>
      <c r="BP100" s="100">
        <v>6</v>
      </c>
      <c r="BQ100" s="100">
        <v>1944</v>
      </c>
      <c r="BR100" s="100">
        <v>8</v>
      </c>
      <c r="BS100" s="100">
        <v>2592</v>
      </c>
      <c r="BT100" s="100">
        <v>9</v>
      </c>
      <c r="BU100" s="100">
        <v>2916</v>
      </c>
      <c r="BV100" s="100">
        <v>8</v>
      </c>
      <c r="BW100" s="100">
        <v>2592</v>
      </c>
      <c r="BX100" s="100">
        <v>7</v>
      </c>
      <c r="BY100" s="100">
        <v>2268</v>
      </c>
      <c r="BZ100" s="100">
        <v>8</v>
      </c>
      <c r="CA100" s="100">
        <v>2592</v>
      </c>
      <c r="CB100" s="100">
        <v>8</v>
      </c>
      <c r="CC100" s="100">
        <v>2592</v>
      </c>
      <c r="CD100" s="100">
        <v>8</v>
      </c>
      <c r="CE100" s="100">
        <v>2592</v>
      </c>
      <c r="CF100" s="100">
        <v>9</v>
      </c>
      <c r="CG100" s="100">
        <v>2916</v>
      </c>
      <c r="CH100" s="100">
        <v>9</v>
      </c>
      <c r="CI100" s="100">
        <v>2916</v>
      </c>
      <c r="CJ100" s="100">
        <v>12.54296875</v>
      </c>
      <c r="CK100" s="100">
        <v>4063.921875</v>
      </c>
      <c r="CL100" s="100">
        <v>6.9633507853403138</v>
      </c>
      <c r="CM100" s="100">
        <v>2256.1256544502617</v>
      </c>
      <c r="CN100" s="100">
        <v>11.227272727272727</v>
      </c>
      <c r="CO100" s="100">
        <v>3637.6363636363635</v>
      </c>
      <c r="CP100" s="100">
        <v>9.6759259259259256</v>
      </c>
      <c r="CQ100" s="100">
        <v>3135</v>
      </c>
      <c r="CR100" s="100">
        <v>8.1322957198443575</v>
      </c>
      <c r="CS100" s="100">
        <v>2634.8638132295719</v>
      </c>
      <c r="CT100" s="100">
        <v>7.6767676767676774</v>
      </c>
      <c r="CU100" s="100">
        <v>2487.2727272727275</v>
      </c>
    </row>
    <row r="101" spans="2:99">
      <c r="C101" s="99" t="s">
        <v>267</v>
      </c>
      <c r="D101" s="100">
        <v>8</v>
      </c>
      <c r="E101" s="100">
        <v>5788.8</v>
      </c>
      <c r="F101" s="100">
        <v>7</v>
      </c>
      <c r="G101" s="100">
        <v>5065.2</v>
      </c>
      <c r="H101" s="100">
        <v>8</v>
      </c>
      <c r="I101" s="100">
        <v>5788.8</v>
      </c>
      <c r="J101" s="100">
        <v>7</v>
      </c>
      <c r="K101" s="100">
        <v>5065.2</v>
      </c>
      <c r="L101" s="100">
        <v>6</v>
      </c>
      <c r="M101" s="100">
        <v>4341.6000000000004</v>
      </c>
      <c r="N101" s="100">
        <v>9</v>
      </c>
      <c r="O101" s="100">
        <v>6512.4000000000005</v>
      </c>
      <c r="P101" s="100">
        <v>10</v>
      </c>
      <c r="Q101" s="100">
        <v>7236</v>
      </c>
      <c r="R101" s="100">
        <v>8</v>
      </c>
      <c r="S101" s="100">
        <v>5788.8</v>
      </c>
      <c r="T101" s="100">
        <v>8</v>
      </c>
      <c r="U101" s="100">
        <v>5788.8</v>
      </c>
      <c r="V101" s="100">
        <v>6</v>
      </c>
      <c r="W101" s="100">
        <v>4341.6000000000004</v>
      </c>
      <c r="X101" s="100">
        <v>8</v>
      </c>
      <c r="Y101" s="100">
        <v>5788.8</v>
      </c>
      <c r="Z101" s="100">
        <v>6</v>
      </c>
      <c r="AA101" s="100">
        <v>4341.6000000000004</v>
      </c>
      <c r="AB101" s="100">
        <v>11</v>
      </c>
      <c r="AC101" s="100">
        <v>7959.6</v>
      </c>
      <c r="AD101" s="100">
        <v>9</v>
      </c>
      <c r="AE101" s="100">
        <v>6512.4000000000005</v>
      </c>
      <c r="AF101" s="100">
        <v>8</v>
      </c>
      <c r="AG101" s="100">
        <v>5788.8</v>
      </c>
      <c r="AH101" s="100">
        <v>10</v>
      </c>
      <c r="AI101" s="100">
        <v>7236</v>
      </c>
      <c r="AJ101" s="100">
        <v>9</v>
      </c>
      <c r="AK101" s="100">
        <v>6512.4000000000005</v>
      </c>
      <c r="AL101" s="100">
        <v>8</v>
      </c>
      <c r="AM101" s="100">
        <v>5788.8</v>
      </c>
      <c r="AN101" s="100">
        <v>6</v>
      </c>
      <c r="AO101" s="100">
        <v>4341.6000000000004</v>
      </c>
      <c r="AP101" s="100">
        <v>11</v>
      </c>
      <c r="AQ101" s="100">
        <v>7959.6</v>
      </c>
      <c r="AR101" s="100">
        <v>9</v>
      </c>
      <c r="AS101" s="100">
        <v>6512.4000000000005</v>
      </c>
      <c r="AT101" s="100">
        <v>8</v>
      </c>
      <c r="AU101" s="100">
        <v>5788.8</v>
      </c>
      <c r="AV101" s="100">
        <v>11</v>
      </c>
      <c r="AW101" s="100">
        <v>7959.6</v>
      </c>
      <c r="AX101" s="100">
        <v>8</v>
      </c>
      <c r="AY101" s="100">
        <v>5788.8</v>
      </c>
      <c r="AZ101" s="100">
        <v>6</v>
      </c>
      <c r="BA101" s="100">
        <v>4341.6000000000004</v>
      </c>
      <c r="BB101" s="100">
        <v>9</v>
      </c>
      <c r="BC101" s="100">
        <v>6512.4000000000005</v>
      </c>
      <c r="BD101" s="100">
        <v>9</v>
      </c>
      <c r="BE101" s="100">
        <v>6512.4000000000005</v>
      </c>
      <c r="BF101" s="100">
        <v>8</v>
      </c>
      <c r="BG101" s="100">
        <v>5788.8</v>
      </c>
      <c r="BH101" s="100">
        <v>10</v>
      </c>
      <c r="BI101" s="100">
        <v>7236</v>
      </c>
      <c r="BJ101" s="100">
        <v>6</v>
      </c>
      <c r="BK101" s="100">
        <v>4341.6000000000004</v>
      </c>
      <c r="BL101" s="100">
        <v>8</v>
      </c>
      <c r="BM101" s="100">
        <v>5788.8</v>
      </c>
      <c r="BN101" s="100">
        <v>4.8717338704911439</v>
      </c>
      <c r="BO101" s="100">
        <v>3525.1866286873919</v>
      </c>
      <c r="BP101" s="100">
        <v>6</v>
      </c>
      <c r="BQ101" s="100">
        <v>4341.6000000000004</v>
      </c>
      <c r="BR101" s="100">
        <v>8</v>
      </c>
      <c r="BS101" s="100">
        <v>5788.8</v>
      </c>
      <c r="BT101" s="100">
        <v>8</v>
      </c>
      <c r="BU101" s="100">
        <v>5788.8</v>
      </c>
      <c r="BV101" s="100">
        <v>8</v>
      </c>
      <c r="BW101" s="100">
        <v>5788.8</v>
      </c>
      <c r="BX101" s="100">
        <v>6</v>
      </c>
      <c r="BY101" s="100">
        <v>4341.6000000000004</v>
      </c>
      <c r="BZ101" s="100">
        <v>8</v>
      </c>
      <c r="CA101" s="100">
        <v>5788.8</v>
      </c>
      <c r="CB101" s="100">
        <v>8</v>
      </c>
      <c r="CC101" s="100">
        <v>5788.8</v>
      </c>
      <c r="CD101" s="100">
        <v>8</v>
      </c>
      <c r="CE101" s="100">
        <v>5788.8</v>
      </c>
      <c r="CF101" s="100">
        <v>9</v>
      </c>
      <c r="CG101" s="100">
        <v>6512.4000000000005</v>
      </c>
      <c r="CH101" s="100">
        <v>10</v>
      </c>
      <c r="CI101" s="100">
        <v>7236</v>
      </c>
      <c r="CJ101" s="100">
        <v>11.578125</v>
      </c>
      <c r="CK101" s="100">
        <v>8377.9312499999996</v>
      </c>
      <c r="CL101" s="100">
        <v>5.9685863874345548</v>
      </c>
      <c r="CM101" s="100">
        <v>4318.8691099476437</v>
      </c>
      <c r="CN101" s="100">
        <v>9.5</v>
      </c>
      <c r="CO101" s="100">
        <v>6874.2</v>
      </c>
      <c r="CP101" s="100">
        <v>9.6759259259259256</v>
      </c>
      <c r="CQ101" s="100">
        <v>7001.5</v>
      </c>
      <c r="CR101" s="100">
        <v>8.8715953307393001</v>
      </c>
      <c r="CS101" s="100">
        <v>6419.4863813229576</v>
      </c>
      <c r="CT101" s="100">
        <v>7.6767676767676774</v>
      </c>
      <c r="CU101" s="100">
        <v>5554.9090909090919</v>
      </c>
    </row>
    <row r="102" spans="2:99">
      <c r="C102" s="99" t="s">
        <v>268</v>
      </c>
      <c r="D102" s="100">
        <v>8</v>
      </c>
      <c r="E102" s="100">
        <v>4252.8</v>
      </c>
      <c r="F102" s="100">
        <v>7</v>
      </c>
      <c r="G102" s="100">
        <v>3721.2000000000003</v>
      </c>
      <c r="H102" s="100">
        <v>10</v>
      </c>
      <c r="I102" s="100">
        <v>5316</v>
      </c>
      <c r="J102" s="100">
        <v>7</v>
      </c>
      <c r="K102" s="100">
        <v>3721.2000000000003</v>
      </c>
      <c r="L102" s="100">
        <v>6</v>
      </c>
      <c r="M102" s="100">
        <v>3189.6000000000004</v>
      </c>
      <c r="N102" s="100">
        <v>9</v>
      </c>
      <c r="O102" s="100">
        <v>4784.4000000000005</v>
      </c>
      <c r="P102" s="100">
        <v>10</v>
      </c>
      <c r="Q102" s="100">
        <v>5316</v>
      </c>
      <c r="R102" s="100">
        <v>7</v>
      </c>
      <c r="S102" s="100">
        <v>3721.2000000000003</v>
      </c>
      <c r="T102" s="100">
        <v>8</v>
      </c>
      <c r="U102" s="100">
        <v>4252.8</v>
      </c>
      <c r="V102" s="100">
        <v>6</v>
      </c>
      <c r="W102" s="100">
        <v>3189.6000000000004</v>
      </c>
      <c r="X102" s="100">
        <v>8</v>
      </c>
      <c r="Y102" s="100">
        <v>4252.8</v>
      </c>
      <c r="Z102" s="100">
        <v>6</v>
      </c>
      <c r="AA102" s="100">
        <v>3189.6000000000004</v>
      </c>
      <c r="AB102" s="100">
        <v>11</v>
      </c>
      <c r="AC102" s="100">
        <v>5847.6</v>
      </c>
      <c r="AD102" s="100">
        <v>8</v>
      </c>
      <c r="AE102" s="100">
        <v>4252.8</v>
      </c>
      <c r="AF102" s="100">
        <v>8</v>
      </c>
      <c r="AG102" s="100">
        <v>4252.8</v>
      </c>
      <c r="AH102" s="100">
        <v>10</v>
      </c>
      <c r="AI102" s="100">
        <v>5316</v>
      </c>
      <c r="AJ102" s="100">
        <v>10</v>
      </c>
      <c r="AK102" s="100">
        <v>5316</v>
      </c>
      <c r="AL102" s="100">
        <v>7</v>
      </c>
      <c r="AM102" s="100">
        <v>3721.2000000000003</v>
      </c>
      <c r="AN102" s="100">
        <v>6</v>
      </c>
      <c r="AO102" s="100">
        <v>3189.6000000000004</v>
      </c>
      <c r="AP102" s="100">
        <v>11</v>
      </c>
      <c r="AQ102" s="100">
        <v>5847.6</v>
      </c>
      <c r="AR102" s="100">
        <v>9</v>
      </c>
      <c r="AS102" s="100">
        <v>4784.4000000000005</v>
      </c>
      <c r="AT102" s="100">
        <v>8</v>
      </c>
      <c r="AU102" s="100">
        <v>4252.8</v>
      </c>
      <c r="AV102" s="100">
        <v>11</v>
      </c>
      <c r="AW102" s="100">
        <v>5847.6</v>
      </c>
      <c r="AX102" s="100">
        <v>7</v>
      </c>
      <c r="AY102" s="100">
        <v>3721.2000000000003</v>
      </c>
      <c r="AZ102" s="100">
        <v>6</v>
      </c>
      <c r="BA102" s="100">
        <v>3189.6000000000004</v>
      </c>
      <c r="BB102" s="100">
        <v>9</v>
      </c>
      <c r="BC102" s="100">
        <v>4784.4000000000005</v>
      </c>
      <c r="BD102" s="100">
        <v>9</v>
      </c>
      <c r="BE102" s="100">
        <v>4784.4000000000005</v>
      </c>
      <c r="BF102" s="100">
        <v>9</v>
      </c>
      <c r="BG102" s="100">
        <v>4784.4000000000005</v>
      </c>
      <c r="BH102" s="100">
        <v>11</v>
      </c>
      <c r="BI102" s="100">
        <v>5847.6</v>
      </c>
      <c r="BJ102" s="100">
        <v>6</v>
      </c>
      <c r="BK102" s="100">
        <v>3189.6000000000004</v>
      </c>
      <c r="BL102" s="100">
        <v>9</v>
      </c>
      <c r="BM102" s="100">
        <v>4784.4000000000005</v>
      </c>
      <c r="BN102" s="100">
        <v>5.4807006043025375</v>
      </c>
      <c r="BO102" s="100">
        <v>2913.540441247229</v>
      </c>
      <c r="BP102" s="100">
        <v>6</v>
      </c>
      <c r="BQ102" s="100">
        <v>3189.6000000000004</v>
      </c>
      <c r="BR102" s="100">
        <v>7</v>
      </c>
      <c r="BS102" s="100">
        <v>3721.2000000000003</v>
      </c>
      <c r="BT102" s="100">
        <v>8</v>
      </c>
      <c r="BU102" s="100">
        <v>4252.8</v>
      </c>
      <c r="BV102" s="100">
        <v>8</v>
      </c>
      <c r="BW102" s="100">
        <v>4252.8</v>
      </c>
      <c r="BX102" s="100">
        <v>7</v>
      </c>
      <c r="BY102" s="100">
        <v>3721.2000000000003</v>
      </c>
      <c r="BZ102" s="100">
        <v>7</v>
      </c>
      <c r="CA102" s="100">
        <v>3721.2000000000003</v>
      </c>
      <c r="CB102" s="100">
        <v>9</v>
      </c>
      <c r="CC102" s="100">
        <v>4784.4000000000005</v>
      </c>
      <c r="CD102" s="100">
        <v>8</v>
      </c>
      <c r="CE102" s="100">
        <v>4252.8</v>
      </c>
      <c r="CF102" s="100">
        <v>9</v>
      </c>
      <c r="CG102" s="100">
        <v>4784.4000000000005</v>
      </c>
      <c r="CH102" s="100">
        <v>10</v>
      </c>
      <c r="CI102" s="100">
        <v>5316</v>
      </c>
      <c r="CJ102" s="100">
        <v>10.61328125</v>
      </c>
      <c r="CK102" s="100">
        <v>5642.0203124999998</v>
      </c>
      <c r="CL102" s="100">
        <v>6.9633507853403138</v>
      </c>
      <c r="CM102" s="100">
        <v>3701.7172774869109</v>
      </c>
      <c r="CN102" s="100">
        <v>9.5</v>
      </c>
      <c r="CO102" s="100">
        <v>5050.2</v>
      </c>
      <c r="CP102" s="100">
        <v>9.6759259259259256</v>
      </c>
      <c r="CQ102" s="100">
        <v>5143.7222222222226</v>
      </c>
      <c r="CR102" s="100">
        <v>8.1322957198443575</v>
      </c>
      <c r="CS102" s="100">
        <v>4323.1284046692608</v>
      </c>
      <c r="CT102" s="100">
        <v>7.6767676767676774</v>
      </c>
      <c r="CU102" s="100">
        <v>4080.9696969696975</v>
      </c>
    </row>
    <row r="103" spans="2:99">
      <c r="C103" s="99" t="s">
        <v>269</v>
      </c>
      <c r="D103" s="100">
        <v>7</v>
      </c>
      <c r="E103" s="100">
        <v>4124.3999999999996</v>
      </c>
      <c r="F103" s="100">
        <v>7</v>
      </c>
      <c r="G103" s="100">
        <v>4124.3999999999996</v>
      </c>
      <c r="H103" s="100">
        <v>8</v>
      </c>
      <c r="I103" s="100">
        <v>4713.5999999999995</v>
      </c>
      <c r="J103" s="100">
        <v>7</v>
      </c>
      <c r="K103" s="100">
        <v>4124.3999999999996</v>
      </c>
      <c r="L103" s="100">
        <v>7</v>
      </c>
      <c r="M103" s="100">
        <v>4124.3999999999996</v>
      </c>
      <c r="N103" s="100">
        <v>10</v>
      </c>
      <c r="O103" s="100">
        <v>5891.9999999999991</v>
      </c>
      <c r="P103" s="100">
        <v>9</v>
      </c>
      <c r="Q103" s="100">
        <v>5302.7999999999993</v>
      </c>
      <c r="R103" s="100">
        <v>8</v>
      </c>
      <c r="S103" s="100">
        <v>4713.5999999999995</v>
      </c>
      <c r="T103" s="100">
        <v>9</v>
      </c>
      <c r="U103" s="100">
        <v>5302.7999999999993</v>
      </c>
      <c r="V103" s="100">
        <v>7</v>
      </c>
      <c r="W103" s="100">
        <v>4124.3999999999996</v>
      </c>
      <c r="X103" s="100">
        <v>9</v>
      </c>
      <c r="Y103" s="100">
        <v>5302.7999999999993</v>
      </c>
      <c r="Z103" s="100">
        <v>6</v>
      </c>
      <c r="AA103" s="100">
        <v>3535.2</v>
      </c>
      <c r="AB103" s="100">
        <v>12</v>
      </c>
      <c r="AC103" s="100">
        <v>7070.4</v>
      </c>
      <c r="AD103" s="100">
        <v>9</v>
      </c>
      <c r="AE103" s="100">
        <v>5302.7999999999993</v>
      </c>
      <c r="AF103" s="100">
        <v>9</v>
      </c>
      <c r="AG103" s="100">
        <v>5302.7999999999993</v>
      </c>
      <c r="AH103" s="100">
        <v>9</v>
      </c>
      <c r="AI103" s="100">
        <v>5302.7999999999993</v>
      </c>
      <c r="AJ103" s="100">
        <v>9</v>
      </c>
      <c r="AK103" s="100">
        <v>5302.7999999999993</v>
      </c>
      <c r="AL103" s="100">
        <v>8</v>
      </c>
      <c r="AM103" s="100">
        <v>4713.5999999999995</v>
      </c>
      <c r="AN103" s="100">
        <v>6</v>
      </c>
      <c r="AO103" s="100">
        <v>3535.2</v>
      </c>
      <c r="AP103" s="100">
        <v>10</v>
      </c>
      <c r="AQ103" s="100">
        <v>5891.9999999999991</v>
      </c>
      <c r="AR103" s="100">
        <v>9</v>
      </c>
      <c r="AS103" s="100">
        <v>5302.7999999999993</v>
      </c>
      <c r="AT103" s="100">
        <v>9</v>
      </c>
      <c r="AU103" s="100">
        <v>5302.7999999999993</v>
      </c>
      <c r="AV103" s="100">
        <v>10</v>
      </c>
      <c r="AW103" s="100">
        <v>5891.9999999999991</v>
      </c>
      <c r="AX103" s="100">
        <v>8</v>
      </c>
      <c r="AY103" s="100">
        <v>4713.5999999999995</v>
      </c>
      <c r="AZ103" s="100">
        <v>6</v>
      </c>
      <c r="BA103" s="100">
        <v>3535.2</v>
      </c>
      <c r="BB103" s="100">
        <v>8</v>
      </c>
      <c r="BC103" s="100">
        <v>4713.5999999999995</v>
      </c>
      <c r="BD103" s="100">
        <v>10</v>
      </c>
      <c r="BE103" s="100">
        <v>5891.9999999999991</v>
      </c>
      <c r="BF103" s="100">
        <v>9</v>
      </c>
      <c r="BG103" s="100">
        <v>5302.7999999999993</v>
      </c>
      <c r="BH103" s="100">
        <v>11</v>
      </c>
      <c r="BI103" s="100">
        <v>6481.1999999999989</v>
      </c>
      <c r="BJ103" s="100">
        <v>6</v>
      </c>
      <c r="BK103" s="100">
        <v>3535.2</v>
      </c>
      <c r="BL103" s="100">
        <v>8</v>
      </c>
      <c r="BM103" s="100">
        <v>4713.5999999999995</v>
      </c>
      <c r="BN103" s="100">
        <v>5.4807006043025375</v>
      </c>
      <c r="BO103" s="100">
        <v>3229.2287960550548</v>
      </c>
      <c r="BP103" s="100">
        <v>6</v>
      </c>
      <c r="BQ103" s="100">
        <v>3535.2</v>
      </c>
      <c r="BR103" s="100">
        <v>8</v>
      </c>
      <c r="BS103" s="100">
        <v>4713.5999999999995</v>
      </c>
      <c r="BT103" s="100">
        <v>9</v>
      </c>
      <c r="BU103" s="100">
        <v>5302.7999999999993</v>
      </c>
      <c r="BV103" s="100">
        <v>8</v>
      </c>
      <c r="BW103" s="100">
        <v>4713.5999999999995</v>
      </c>
      <c r="BX103" s="100">
        <v>7</v>
      </c>
      <c r="BY103" s="100">
        <v>4124.3999999999996</v>
      </c>
      <c r="BZ103" s="100">
        <v>8</v>
      </c>
      <c r="CA103" s="100">
        <v>4713.5999999999995</v>
      </c>
      <c r="CB103" s="100">
        <v>8</v>
      </c>
      <c r="CC103" s="100">
        <v>4713.5999999999995</v>
      </c>
      <c r="CD103" s="100">
        <v>8</v>
      </c>
      <c r="CE103" s="100">
        <v>4713.5999999999995</v>
      </c>
      <c r="CF103" s="100">
        <v>8</v>
      </c>
      <c r="CG103" s="100">
        <v>4713.5999999999995</v>
      </c>
      <c r="CH103" s="100">
        <v>8</v>
      </c>
      <c r="CI103" s="100">
        <v>4713.5999999999995</v>
      </c>
      <c r="CJ103" s="100">
        <v>11.578125</v>
      </c>
      <c r="CK103" s="100">
        <v>6821.8312499999993</v>
      </c>
      <c r="CL103" s="100">
        <v>6.9633507853403138</v>
      </c>
      <c r="CM103" s="100">
        <v>4102.8062827225122</v>
      </c>
      <c r="CN103" s="100">
        <v>10.363636363636363</v>
      </c>
      <c r="CO103" s="100">
        <v>6106.2545454545443</v>
      </c>
      <c r="CP103" s="100">
        <v>9.6759259259259256</v>
      </c>
      <c r="CQ103" s="100">
        <v>5701.0555555555547</v>
      </c>
      <c r="CR103" s="100">
        <v>8.8715953307393001</v>
      </c>
      <c r="CS103" s="100">
        <v>5227.1439688715946</v>
      </c>
      <c r="CT103" s="100">
        <v>7.6767676767676774</v>
      </c>
      <c r="CU103" s="100">
        <v>4523.151515151515</v>
      </c>
    </row>
    <row r="104" spans="2:99">
      <c r="C104" s="99" t="s">
        <v>270</v>
      </c>
      <c r="D104" s="100">
        <v>8</v>
      </c>
      <c r="E104" s="100">
        <v>5059.2</v>
      </c>
      <c r="F104" s="100">
        <v>8</v>
      </c>
      <c r="G104" s="100">
        <v>5059.2</v>
      </c>
      <c r="H104" s="100">
        <v>9</v>
      </c>
      <c r="I104" s="100">
        <v>5691.5999999999995</v>
      </c>
      <c r="J104" s="100">
        <v>6</v>
      </c>
      <c r="K104" s="100">
        <v>3794.3999999999996</v>
      </c>
      <c r="L104" s="100">
        <v>7</v>
      </c>
      <c r="M104" s="100">
        <v>4426.8</v>
      </c>
      <c r="N104" s="100">
        <v>9</v>
      </c>
      <c r="O104" s="100">
        <v>5691.5999999999995</v>
      </c>
      <c r="P104" s="100">
        <v>10</v>
      </c>
      <c r="Q104" s="100">
        <v>6324</v>
      </c>
      <c r="R104" s="100">
        <v>8</v>
      </c>
      <c r="S104" s="100">
        <v>5059.2</v>
      </c>
      <c r="T104" s="100">
        <v>9</v>
      </c>
      <c r="U104" s="100">
        <v>5691.5999999999995</v>
      </c>
      <c r="V104" s="100">
        <v>7</v>
      </c>
      <c r="W104" s="100">
        <v>4426.8</v>
      </c>
      <c r="X104" s="100">
        <v>9</v>
      </c>
      <c r="Y104" s="100">
        <v>5691.5999999999995</v>
      </c>
      <c r="Z104" s="100">
        <v>6</v>
      </c>
      <c r="AA104" s="100">
        <v>3794.3999999999996</v>
      </c>
      <c r="AB104" s="100">
        <v>12</v>
      </c>
      <c r="AC104" s="100">
        <v>7588.7999999999993</v>
      </c>
      <c r="AD104" s="100">
        <v>10</v>
      </c>
      <c r="AE104" s="100">
        <v>6324</v>
      </c>
      <c r="AF104" s="100">
        <v>9</v>
      </c>
      <c r="AG104" s="100">
        <v>5691.5999999999995</v>
      </c>
      <c r="AH104" s="100">
        <v>9</v>
      </c>
      <c r="AI104" s="100">
        <v>5691.5999999999995</v>
      </c>
      <c r="AJ104" s="100">
        <v>10</v>
      </c>
      <c r="AK104" s="100">
        <v>6324</v>
      </c>
      <c r="AL104" s="100">
        <v>7</v>
      </c>
      <c r="AM104" s="100">
        <v>4426.8</v>
      </c>
      <c r="AN104" s="100">
        <v>6</v>
      </c>
      <c r="AO104" s="100">
        <v>3794.3999999999996</v>
      </c>
      <c r="AP104" s="100">
        <v>11</v>
      </c>
      <c r="AQ104" s="100">
        <v>6956.4</v>
      </c>
      <c r="AR104" s="100">
        <v>10</v>
      </c>
      <c r="AS104" s="100">
        <v>6324</v>
      </c>
      <c r="AT104" s="100">
        <v>8</v>
      </c>
      <c r="AU104" s="100">
        <v>5059.2</v>
      </c>
      <c r="AV104" s="100">
        <v>10</v>
      </c>
      <c r="AW104" s="100">
        <v>6324</v>
      </c>
      <c r="AX104" s="100">
        <v>8</v>
      </c>
      <c r="AY104" s="100">
        <v>5059.2</v>
      </c>
      <c r="AZ104" s="100">
        <v>6</v>
      </c>
      <c r="BA104" s="100">
        <v>3794.3999999999996</v>
      </c>
      <c r="BB104" s="100">
        <v>8</v>
      </c>
      <c r="BC104" s="100">
        <v>5059.2</v>
      </c>
      <c r="BD104" s="100">
        <v>9</v>
      </c>
      <c r="BE104" s="100">
        <v>5691.5999999999995</v>
      </c>
      <c r="BF104" s="100">
        <v>8</v>
      </c>
      <c r="BG104" s="100">
        <v>5059.2</v>
      </c>
      <c r="BH104" s="100">
        <v>11</v>
      </c>
      <c r="BI104" s="100">
        <v>6956.4</v>
      </c>
      <c r="BJ104" s="100">
        <v>6</v>
      </c>
      <c r="BK104" s="100">
        <v>3794.3999999999996</v>
      </c>
      <c r="BL104" s="100">
        <v>8</v>
      </c>
      <c r="BM104" s="100">
        <v>5059.2</v>
      </c>
      <c r="BN104" s="100">
        <v>5.4807006043025375</v>
      </c>
      <c r="BO104" s="100">
        <v>3465.9950621609246</v>
      </c>
      <c r="BP104" s="100">
        <v>6</v>
      </c>
      <c r="BQ104" s="100">
        <v>3794.3999999999996</v>
      </c>
      <c r="BR104" s="100">
        <v>7</v>
      </c>
      <c r="BS104" s="100">
        <v>4426.8</v>
      </c>
      <c r="BT104" s="100">
        <v>7</v>
      </c>
      <c r="BU104" s="100">
        <v>4426.8</v>
      </c>
      <c r="BV104" s="100">
        <v>8</v>
      </c>
      <c r="BW104" s="100">
        <v>5059.2</v>
      </c>
      <c r="BX104" s="100">
        <v>6</v>
      </c>
      <c r="BY104" s="100">
        <v>3794.3999999999996</v>
      </c>
      <c r="BZ104" s="100">
        <v>8</v>
      </c>
      <c r="CA104" s="100">
        <v>5059.2</v>
      </c>
      <c r="CB104" s="100">
        <v>8</v>
      </c>
      <c r="CC104" s="100">
        <v>5059.2</v>
      </c>
      <c r="CD104" s="100">
        <v>8</v>
      </c>
      <c r="CE104" s="100">
        <v>5059.2</v>
      </c>
      <c r="CF104" s="100">
        <v>9</v>
      </c>
      <c r="CG104" s="100">
        <v>5691.5999999999995</v>
      </c>
      <c r="CH104" s="100">
        <v>9</v>
      </c>
      <c r="CI104" s="100">
        <v>5691.5999999999995</v>
      </c>
      <c r="CJ104" s="100">
        <v>12.54296875</v>
      </c>
      <c r="CK104" s="100">
        <v>7932.1734374999996</v>
      </c>
      <c r="CL104" s="100">
        <v>5.9685863874345548</v>
      </c>
      <c r="CM104" s="100">
        <v>3774.5340314136124</v>
      </c>
      <c r="CN104" s="100">
        <v>9.5</v>
      </c>
      <c r="CO104" s="100">
        <v>6007.8</v>
      </c>
      <c r="CP104" s="100">
        <v>8.7962962962962958</v>
      </c>
      <c r="CQ104" s="100">
        <v>5562.7777777777774</v>
      </c>
      <c r="CR104" s="100">
        <v>8.1322957198443575</v>
      </c>
      <c r="CS104" s="100">
        <v>5142.8638132295719</v>
      </c>
      <c r="CT104" s="100">
        <v>7.6767676767676774</v>
      </c>
      <c r="CU104" s="100">
        <v>4854.787878787879</v>
      </c>
    </row>
    <row r="105" spans="2:99">
      <c r="C105" s="99" t="s">
        <v>271</v>
      </c>
      <c r="D105" s="100">
        <v>8</v>
      </c>
      <c r="E105" s="100">
        <v>4454.3999999999996</v>
      </c>
      <c r="F105" s="100">
        <v>7</v>
      </c>
      <c r="G105" s="100">
        <v>3897.5999999999995</v>
      </c>
      <c r="H105" s="100">
        <v>9</v>
      </c>
      <c r="I105" s="100">
        <v>5011.2</v>
      </c>
      <c r="J105" s="100">
        <v>7</v>
      </c>
      <c r="K105" s="100">
        <v>3897.5999999999995</v>
      </c>
      <c r="L105" s="100">
        <v>7</v>
      </c>
      <c r="M105" s="100">
        <v>3897.5999999999995</v>
      </c>
      <c r="N105" s="100">
        <v>8</v>
      </c>
      <c r="O105" s="100">
        <v>4454.3999999999996</v>
      </c>
      <c r="P105" s="100">
        <v>10</v>
      </c>
      <c r="Q105" s="100">
        <v>5568</v>
      </c>
      <c r="R105" s="100">
        <v>8</v>
      </c>
      <c r="S105" s="100">
        <v>4454.3999999999996</v>
      </c>
      <c r="T105" s="100">
        <v>10</v>
      </c>
      <c r="U105" s="100">
        <v>5568</v>
      </c>
      <c r="V105" s="100">
        <v>6</v>
      </c>
      <c r="W105" s="100">
        <v>3340.7999999999997</v>
      </c>
      <c r="X105" s="100">
        <v>8</v>
      </c>
      <c r="Y105" s="100">
        <v>4454.3999999999996</v>
      </c>
      <c r="Z105" s="100">
        <v>7</v>
      </c>
      <c r="AA105" s="100">
        <v>3897.5999999999995</v>
      </c>
      <c r="AB105" s="100">
        <v>12</v>
      </c>
      <c r="AC105" s="100">
        <v>6681.5999999999995</v>
      </c>
      <c r="AD105" s="100">
        <v>10</v>
      </c>
      <c r="AE105" s="100">
        <v>5568</v>
      </c>
      <c r="AF105" s="100">
        <v>9</v>
      </c>
      <c r="AG105" s="100">
        <v>5011.2</v>
      </c>
      <c r="AH105" s="100">
        <v>9</v>
      </c>
      <c r="AI105" s="100">
        <v>5011.2</v>
      </c>
      <c r="AJ105" s="100">
        <v>10</v>
      </c>
      <c r="AK105" s="100">
        <v>5568</v>
      </c>
      <c r="AL105" s="100">
        <v>7</v>
      </c>
      <c r="AM105" s="100">
        <v>3897.5999999999995</v>
      </c>
      <c r="AN105" s="100">
        <v>6</v>
      </c>
      <c r="AO105" s="100">
        <v>3340.7999999999997</v>
      </c>
      <c r="AP105" s="100">
        <v>10</v>
      </c>
      <c r="AQ105" s="100">
        <v>5568</v>
      </c>
      <c r="AR105" s="100">
        <v>9</v>
      </c>
      <c r="AS105" s="100">
        <v>5011.2</v>
      </c>
      <c r="AT105" s="100">
        <v>8</v>
      </c>
      <c r="AU105" s="100">
        <v>4454.3999999999996</v>
      </c>
      <c r="AV105" s="100">
        <v>10</v>
      </c>
      <c r="AW105" s="100">
        <v>5568</v>
      </c>
      <c r="AX105" s="100">
        <v>8</v>
      </c>
      <c r="AY105" s="100">
        <v>4454.3999999999996</v>
      </c>
      <c r="AZ105" s="100">
        <v>6</v>
      </c>
      <c r="BA105" s="100">
        <v>3340.7999999999997</v>
      </c>
      <c r="BB105" s="100">
        <v>9</v>
      </c>
      <c r="BC105" s="100">
        <v>5011.2</v>
      </c>
      <c r="BD105" s="100">
        <v>9</v>
      </c>
      <c r="BE105" s="100">
        <v>5011.2</v>
      </c>
      <c r="BF105" s="100">
        <v>8</v>
      </c>
      <c r="BG105" s="100">
        <v>4454.3999999999996</v>
      </c>
      <c r="BH105" s="100">
        <v>11</v>
      </c>
      <c r="BI105" s="100">
        <v>6124.7999999999993</v>
      </c>
      <c r="BJ105" s="100">
        <v>6</v>
      </c>
      <c r="BK105" s="100">
        <v>3340.7999999999997</v>
      </c>
      <c r="BL105" s="100">
        <v>9</v>
      </c>
      <c r="BM105" s="100">
        <v>5011.2</v>
      </c>
      <c r="BN105" s="100">
        <v>5.4807006043025375</v>
      </c>
      <c r="BO105" s="100">
        <v>3051.6540964756528</v>
      </c>
      <c r="BP105" s="100">
        <v>6</v>
      </c>
      <c r="BQ105" s="100">
        <v>3340.7999999999997</v>
      </c>
      <c r="BR105" s="100">
        <v>8</v>
      </c>
      <c r="BS105" s="100">
        <v>4454.3999999999996</v>
      </c>
      <c r="BT105" s="100">
        <v>8</v>
      </c>
      <c r="BU105" s="100">
        <v>4454.3999999999996</v>
      </c>
      <c r="BV105" s="100">
        <v>8</v>
      </c>
      <c r="BW105" s="100">
        <v>4454.3999999999996</v>
      </c>
      <c r="BX105" s="100">
        <v>7</v>
      </c>
      <c r="BY105" s="100">
        <v>3897.5999999999995</v>
      </c>
      <c r="BZ105" s="100">
        <v>7</v>
      </c>
      <c r="CA105" s="100">
        <v>3897.5999999999995</v>
      </c>
      <c r="CB105" s="100">
        <v>8</v>
      </c>
      <c r="CC105" s="100">
        <v>4454.3999999999996</v>
      </c>
      <c r="CD105" s="100">
        <v>7</v>
      </c>
      <c r="CE105" s="100">
        <v>3897.5999999999995</v>
      </c>
      <c r="CF105" s="100">
        <v>8</v>
      </c>
      <c r="CG105" s="100">
        <v>4454.3999999999996</v>
      </c>
      <c r="CH105" s="100">
        <v>9</v>
      </c>
      <c r="CI105" s="100">
        <v>5011.2</v>
      </c>
      <c r="CJ105" s="100">
        <v>11.578125</v>
      </c>
      <c r="CK105" s="100">
        <v>6446.7</v>
      </c>
      <c r="CL105" s="100">
        <v>5.9685863874345548</v>
      </c>
      <c r="CM105" s="100">
        <v>3323.3089005235597</v>
      </c>
      <c r="CN105" s="100">
        <v>9.5</v>
      </c>
      <c r="CO105" s="100">
        <v>5289.5999999999995</v>
      </c>
      <c r="CP105" s="100">
        <v>9.6759259259259256</v>
      </c>
      <c r="CQ105" s="100">
        <v>5387.5555555555547</v>
      </c>
      <c r="CR105" s="100">
        <v>8.1322957198443575</v>
      </c>
      <c r="CS105" s="100">
        <v>4528.0622568093377</v>
      </c>
      <c r="CT105" s="100">
        <v>7.6767676767676774</v>
      </c>
      <c r="CU105" s="100">
        <v>4274.424242424242</v>
      </c>
    </row>
    <row r="107" spans="2:99">
      <c r="B107" s="104" t="s">
        <v>276</v>
      </c>
    </row>
    <row r="108" spans="2:99">
      <c r="C108" s="99" t="s">
        <v>277</v>
      </c>
      <c r="D108" s="99" t="s">
        <v>92</v>
      </c>
      <c r="E108" s="99" t="s">
        <v>93</v>
      </c>
      <c r="F108" s="99" t="s">
        <v>94</v>
      </c>
      <c r="G108" s="99" t="s">
        <v>95</v>
      </c>
      <c r="H108" s="99" t="s">
        <v>96</v>
      </c>
      <c r="I108" s="99" t="s">
        <v>97</v>
      </c>
      <c r="J108" s="99" t="s">
        <v>98</v>
      </c>
      <c r="K108" s="99" t="s">
        <v>99</v>
      </c>
      <c r="L108" s="99" t="s">
        <v>100</v>
      </c>
      <c r="M108" s="99" t="s">
        <v>101</v>
      </c>
      <c r="N108" s="99" t="s">
        <v>102</v>
      </c>
      <c r="O108" s="99" t="s">
        <v>103</v>
      </c>
    </row>
    <row r="109" spans="2:99">
      <c r="C109" s="99" t="s">
        <v>126</v>
      </c>
      <c r="D109" s="100">
        <f>SUM(D$6:D$19)+SUM(F$6:F$19)+SUM(H$6:H$19)+SUM(J$6:J$19)</f>
        <v>1090.2955895686646</v>
      </c>
      <c r="E109" s="100">
        <f>SUM(L$6:L$19)+SUM(N$6:N$19)+SUM(P$6:P$19)+SUM(R$6:R$19)</f>
        <v>1227</v>
      </c>
      <c r="F109" s="100">
        <f>SUM(T$6:T$19)+SUM(V$6:V$19)+SUM(X$6:X$19)+SUM(Z$6:Z$19)</f>
        <v>1149</v>
      </c>
      <c r="G109" s="100">
        <f>SUM(AB$6:AB$19)+SUM(AD$6:AD$19)+SUM(AF$6:AF$19)+SUM(AH$6:AH$19)</f>
        <v>1211</v>
      </c>
      <c r="H109" s="100">
        <f>SUM(AJ$6:AJ$19)+SUM(AL$6:AL$19)+SUM(AN$6:AN$19)+SUM(AP$6:AP$19)</f>
        <v>1141.9923585077595</v>
      </c>
      <c r="I109" s="100">
        <f>SUM(AR$6:AR$19)+SUM(AT$6:AT$19)+SUM(AV$6:AV$19)+SUM(AX$6:AX$19)</f>
        <v>1381.5886481674047</v>
      </c>
      <c r="J109" s="100">
        <f>SUM(AZ$6:AZ$19)+SUM(BB$6:BB$19)+SUM(BD$6:BD$19)+SUM(BF$6:BF$19)</f>
        <v>1180</v>
      </c>
      <c r="K109" s="100">
        <f>SUM(BH$6:BH$19)+SUM(BJ$6:BJ$19)+SUM(BL$6:BL$19)+SUM(BN$6:BN$19)</f>
        <v>1294</v>
      </c>
      <c r="L109" s="100">
        <f>SUM(BP$6:BP$19)+SUM(BR$6:BR$19)+SUM(BT$6:BT$19)+SUM(BV$6:BV$19)</f>
        <v>1249.7235373413694</v>
      </c>
      <c r="M109" s="100">
        <f>SUM(BX$6:BX$19)+SUM(BZ$6:BZ$19)+SUM(CB$6:CB$19)+SUM(CD$6:CD$19)</f>
        <v>939.00143805446498</v>
      </c>
      <c r="N109" s="100">
        <f>SUM(CF$6:CF$19)+SUM(CH$6:CH$19)+SUM(CJ$6:CJ$19)+SUM(CL$6:CL$19)</f>
        <v>1229.3871491614314</v>
      </c>
      <c r="O109" s="100">
        <f>SUM(CN$6:CN$19)+SUM(CP$6:CP$19)+SUM(CR$6:CR$19)+SUM(CT$6:CT$19)</f>
        <v>1070.7386601343826</v>
      </c>
    </row>
    <row r="110" spans="2:99">
      <c r="C110" s="99" t="s">
        <v>127</v>
      </c>
      <c r="D110" s="100">
        <f>SUM(D$20:D$36)+SUM(F$20:F$36)+SUM(H$20:H$36)+SUM(J$20:J$36)</f>
        <v>1501.5438479263062</v>
      </c>
      <c r="E110" s="100">
        <f>SUM(L$20:L$36)+SUM(N$20:N$36)+SUM(P$20:P$36)+SUM(R$20:R$36)</f>
        <v>1429</v>
      </c>
      <c r="F110" s="100">
        <f>SUM(T$20:T$36)+SUM(V$20:V$36)+SUM(X$20:X$36)+SUM(Z$20:Z$36)</f>
        <v>1326</v>
      </c>
      <c r="G110" s="100">
        <f>SUM(AB$20:AB$36)+SUM(AD$20:AD$36)+SUM(AF$20:AF$36)+SUM(AH$20:AH$36)</f>
        <v>1354</v>
      </c>
      <c r="H110" s="100">
        <f>SUM(AJ$20:AJ$36)+SUM(AL$20:AL$36)+SUM(AN$20:AN$36)+SUM(AP$20:AP$36)</f>
        <v>1456.4645321121288</v>
      </c>
      <c r="I110" s="100">
        <f>SUM(AR$20:AR$36)+SUM(AT$20:AT$36)+SUM(AV$20:AV$36)+SUM(AX$20:AX$36)</f>
        <v>1253.8423876580516</v>
      </c>
      <c r="J110" s="100">
        <f>SUM(AZ$20:AZ$36)+SUM(BB$20:BB$36)+SUM(BD$20:BD$36)+SUM(BF$20:BF$36)</f>
        <v>1529</v>
      </c>
      <c r="K110" s="100">
        <f>SUM(BH$20:BH$36)+SUM(BJ$20:BJ$36)+SUM(BL$20:BL$36)+SUM(BN$20:BN$36)</f>
        <v>1780</v>
      </c>
      <c r="L110" s="100">
        <f>SUM(BP$20:BP$36)+SUM(BR$20:BR$36)+SUM(BT$20:BT$36)+SUM(BV$20:BV$36)</f>
        <v>1597.0345064483838</v>
      </c>
      <c r="M110" s="100">
        <f>SUM(BX$20:BX$36)+SUM(BZ$20:BZ$36)+SUM(CB$20:CB$36)+SUM(CD$20:CD$36)</f>
        <v>1429.0681660184734</v>
      </c>
      <c r="N110" s="100">
        <f>SUM(CF$20:CF$36)+SUM(CH$20:CH$36)+SUM(CJ$20:CJ$36)+SUM(CL$20:CL$36)</f>
        <v>1624.9561400046175</v>
      </c>
      <c r="O110" s="100">
        <f>SUM(CN$20:CN$36)+SUM(CP$20:CP$36)+SUM(CR$20:CR$36)+SUM(CT$20:CT$36)</f>
        <v>1640.5712118832612</v>
      </c>
    </row>
    <row r="111" spans="2:99">
      <c r="C111" s="99" t="s">
        <v>128</v>
      </c>
      <c r="D111" s="100">
        <f>SUM(D$37:D$48)+SUM(F$37:F$48)+SUM(H$37:H$48)+SUM(J$37:J$48)</f>
        <v>592.37076953550081</v>
      </c>
      <c r="E111" s="100">
        <f>SUM(L$37:L$48)+SUM(N$37:N$48)+SUM(P$37:P$48)+SUM(R$37:R$48)</f>
        <v>611</v>
      </c>
      <c r="F111" s="100">
        <f>SUM(T$37:T$48)+SUM(V$37:V$48)+SUM(X$37:X$48)+SUM(Z$37:Z$48)</f>
        <v>627</v>
      </c>
      <c r="G111" s="100">
        <f>SUM(AB$37:AB$48)+SUM(AD$37:AD$48)+SUM(AF$37:AF$48)+SUM(AH$37:AH$48)</f>
        <v>633</v>
      </c>
      <c r="H111" s="100">
        <f>SUM(AJ$37:AJ$48)+SUM(AL$37:AL$48)+SUM(AN$37:AN$48)+SUM(AP$37:AP$48)</f>
        <v>659.23694335665664</v>
      </c>
      <c r="I111" s="100">
        <f>SUM(AR$37:AR$48)+SUM(AT$37:AT$48)+SUM(AV$37:AV$48)+SUM(AX$37:AX$48)</f>
        <v>675.20172975778814</v>
      </c>
      <c r="J111" s="100">
        <f>SUM(AZ$37:AZ$48)+SUM(BB$37:BB$48)+SUM(BD$37:BD$48)+SUM(BF$37:BF$48)</f>
        <v>563</v>
      </c>
      <c r="K111" s="100">
        <f>SUM(BH$37:BH$48)+SUM(BJ$37:BJ$48)+SUM(BL$37:BL$48)+SUM(BN$37:BN$48)</f>
        <v>668</v>
      </c>
      <c r="L111" s="100">
        <f>SUM(BP$37:BP$48)+SUM(BR$37:BR$48)+SUM(BT$37:BT$48)+SUM(BV$37:BV$48)</f>
        <v>553.53581678464411</v>
      </c>
      <c r="M111" s="100">
        <f>SUM(BX$37:BX$48)+SUM(BZ$37:BZ$48)+SUM(CB$37:CB$48)+SUM(CD$37:CD$48)</f>
        <v>783.43430736064545</v>
      </c>
      <c r="N111" s="100">
        <f>SUM(CF$37:CF$48)+SUM(CH$37:CH$48)+SUM(CJ$37:CJ$48)+SUM(CL$37:CL$48)</f>
        <v>588.62960473710427</v>
      </c>
      <c r="O111" s="100">
        <f>SUM(CN$37:CN$48)+SUM(CP$37:CP$48)+SUM(CR$37:CR$48)+SUM(CT$37:CT$48)</f>
        <v>643.79593087229136</v>
      </c>
    </row>
    <row r="112" spans="2:99">
      <c r="C112" s="99" t="s">
        <v>129</v>
      </c>
      <c r="D112" s="100">
        <f>SUM(D$49:D$70)+SUM(F$49:F$70)+SUM(H$49:H$70)+SUM(J$49:J$70)</f>
        <v>1180.3398875549403</v>
      </c>
      <c r="E112" s="100">
        <f>SUM(L$49:L$70)+SUM(N$49:N$70)+SUM(P$49:P$70)+SUM(R$49:R$70)</f>
        <v>867</v>
      </c>
      <c r="F112" s="100">
        <f>SUM(T$49:T$70)+SUM(V$49:V$70)+SUM(X$49:X$70)+SUM(Z$49:Z$70)</f>
        <v>1051.8782118752315</v>
      </c>
      <c r="G112" s="100">
        <f>SUM(AB$49:AB$70)+SUM(AD$49:AD$70)+SUM(AF$49:AF$70)+SUM(AH$49:AH$70)</f>
        <v>1182.1444674648342</v>
      </c>
      <c r="H112" s="100">
        <f>SUM(AJ$49:AJ$70)+SUM(AL$49:AL$70)+SUM(AN$49:AN$70)+SUM(AP$49:AP$70)</f>
        <v>1218.5780766876796</v>
      </c>
      <c r="I112" s="100">
        <f>SUM(AR$49:AR$70)+SUM(AT$49:AT$70)+SUM(AV$49:AV$70)+SUM(AX$49:AX$70)</f>
        <v>1059.5547626838779</v>
      </c>
      <c r="J112" s="100">
        <f>SUM(AZ$49:AZ$70)+SUM(BB$49:BB$70)+SUM(BD$49:BD$70)+SUM(BF$49:BF$70)</f>
        <v>1100.6909090909091</v>
      </c>
      <c r="K112" s="100">
        <f>SUM(BH$49:BH$70)+SUM(BJ$49:BJ$70)+SUM(BL$49:BL$70)+SUM(BN$49:BN$70)</f>
        <v>1041.3972681438506</v>
      </c>
      <c r="L112" s="100">
        <f>SUM(BP$49:BP$70)+SUM(BR$49:BR$70)+SUM(BT$49:BT$70)+SUM(BV$49:BV$70)</f>
        <v>1187.2807444314906</v>
      </c>
      <c r="M112" s="100">
        <f>SUM(BX$49:BX$70)+SUM(BZ$49:BZ$70)+SUM(CB$49:CB$70)+SUM(CD$49:CD$70)</f>
        <v>1015.5248354969822</v>
      </c>
      <c r="N112" s="100">
        <f>SUM(CF$49:CF$70)+SUM(CH$49:CH$70)+SUM(CJ$49:CJ$70)+SUM(CL$49:CL$70)</f>
        <v>1196.2146759675006</v>
      </c>
      <c r="O112" s="100">
        <f>SUM(CN$49:CN$70)+SUM(CP$49:CP$70)+SUM(CR$49:CR$70)+SUM(CT$49:CT$70)</f>
        <v>900.59290221308629</v>
      </c>
    </row>
    <row r="113" spans="2:15">
      <c r="C113" s="99" t="s">
        <v>130</v>
      </c>
      <c r="D113" s="100">
        <f>SUM(D$71:D$86)+SUM(F$71:F$86)+SUM(H$71:H$86)+SUM(J$71:J$86)</f>
        <v>436</v>
      </c>
      <c r="E113" s="100">
        <f>SUM(L$71:L$86)+SUM(N$71:N$86)+SUM(P$71:P$86)+SUM(R$71:R$86)</f>
        <v>466</v>
      </c>
      <c r="F113" s="100">
        <f>SUM(T$71:T$86)+SUM(V$71:V$86)+SUM(X$71:X$86)+SUM(Z$71:Z$86)</f>
        <v>522.37700690022223</v>
      </c>
      <c r="G113" s="100">
        <f>SUM(AB$71:AB$86)+SUM(AD$71:AD$86)+SUM(AF$71:AF$86)+SUM(AH$71:AH$86)</f>
        <v>463.85553253516599</v>
      </c>
      <c r="H113" s="100">
        <f>SUM(AJ$71:AJ$86)+SUM(AL$71:AL$86)+SUM(AN$71:AN$86)+SUM(AP$71:AP$86)</f>
        <v>397.56960049937572</v>
      </c>
      <c r="I113" s="100">
        <f>SUM(AR$71:AR$86)+SUM(AT$71:AT$86)+SUM(AV$71:AV$86)+SUM(AX$71:AX$86)</f>
        <v>497</v>
      </c>
      <c r="J113" s="100">
        <f>SUM(AZ$71:AZ$86)+SUM(BB$71:BB$86)+SUM(BD$71:BD$86)+SUM(BF$71:BF$86)</f>
        <v>442.30909090909091</v>
      </c>
      <c r="K113" s="100">
        <f>SUM(BH$71:BH$86)+SUM(BJ$71:BJ$86)+SUM(BL$71:BL$86)+SUM(BN$71:BN$86)</f>
        <v>469</v>
      </c>
      <c r="L113" s="100">
        <f>SUM(BP$71:BP$86)+SUM(BR$71:BR$86)+SUM(BT$71:BT$86)+SUM(BV$71:BV$86)</f>
        <v>486.69090909090914</v>
      </c>
      <c r="M113" s="100">
        <f>SUM(BX$71:BX$86)+SUM(BZ$71:BZ$86)+SUM(CB$71:CB$86)+SUM(CD$71:CD$86)</f>
        <v>476.06501720299531</v>
      </c>
      <c r="N113" s="100">
        <f>SUM(CF$71:CF$86)+SUM(CH$71:CH$86)+SUM(CJ$71:CJ$86)+SUM(CL$71:CL$86)</f>
        <v>467.44327595563652</v>
      </c>
      <c r="O113" s="100">
        <f>SUM(CN$71:CN$86)+SUM(CP$71:CP$86)+SUM(CR$71:CR$86)+SUM(CT$71:CT$86)</f>
        <v>475.48104618703206</v>
      </c>
    </row>
    <row r="114" spans="2:15">
      <c r="C114" s="99" t="s">
        <v>131</v>
      </c>
      <c r="D114" s="100">
        <f>SUM(D$87:D$94)+SUM(F$87:F$94)+SUM(H$87:H$94)+SUM(J$87:J$94)</f>
        <v>216</v>
      </c>
      <c r="E114" s="100">
        <f>SUM(L$87:L$94)+SUM(N$87:N$94)+SUM(P$87:P$94)+SUM(R$87:R$94)</f>
        <v>263</v>
      </c>
      <c r="F114" s="100">
        <f>SUM(T$87:T$94)+SUM(V$87:V$94)+SUM(X$87:X$94)+SUM(Z$87:Z$94)</f>
        <v>304</v>
      </c>
      <c r="G114" s="100">
        <f>SUM(AB$87:AB$94)+SUM(AD$87:AD$94)+SUM(AF$87:AF$94)+SUM(AH$87:AH$94)</f>
        <v>336</v>
      </c>
      <c r="H114" s="100">
        <f>SUM(AJ$87:AJ$94)+SUM(AL$87:AL$94)+SUM(AN$87:AN$94)+SUM(AP$87:AP$94)</f>
        <v>316</v>
      </c>
      <c r="I114" s="100">
        <f>SUM(AR$87:AR$94)+SUM(AT$87:AT$94)+SUM(AV$87:AV$94)+SUM(AX$87:AX$94)</f>
        <v>305</v>
      </c>
      <c r="J114" s="100">
        <f>SUM(AZ$87:AZ$94)+SUM(BB$87:BB$94)+SUM(BD$87:BD$94)+SUM(BF$87:BF$94)</f>
        <v>353</v>
      </c>
      <c r="K114" s="100">
        <f>SUM(BH$87:BH$94)+SUM(BJ$87:BJ$94)+SUM(BL$87:BL$94)+SUM(BN$87:BN$94)</f>
        <v>256.19803930921398</v>
      </c>
      <c r="L114" s="100">
        <f>SUM(BP$87:BP$94)+SUM(BR$87:BR$94)+SUM(BT$87:BT$94)+SUM(BV$87:BV$94)</f>
        <v>305</v>
      </c>
      <c r="M114" s="100">
        <f>SUM(BX$87:BX$94)+SUM(BZ$87:BZ$94)+SUM(CB$87:CB$94)+SUM(CD$87:CD$94)</f>
        <v>284</v>
      </c>
      <c r="N114" s="100">
        <f>SUM(CF$87:CF$94)+SUM(CH$87:CH$94)+SUM(CJ$87:CJ$94)+SUM(CL$87:CL$94)</f>
        <v>351.93762270942409</v>
      </c>
      <c r="O114" s="100">
        <f>SUM(CN$87:CN$94)+SUM(CP$87:CP$94)+SUM(CR$87:CR$94)+SUM(CT$87:CT$94)</f>
        <v>297.67625018014127</v>
      </c>
    </row>
    <row r="115" spans="2:15">
      <c r="C115" s="99" t="s">
        <v>132</v>
      </c>
      <c r="D115" s="100">
        <f>SUM(D$95:D$105)+SUM(F$95:F$105)+SUM(H$95:H$105)+SUM(J$95:J$105)</f>
        <v>335</v>
      </c>
      <c r="E115" s="100">
        <f>SUM(L$95:L$105)+SUM(N$95:N$105)+SUM(P$95:P$105)+SUM(R$95:R$105)</f>
        <v>356</v>
      </c>
      <c r="F115" s="100">
        <f>SUM(T$95:T$105)+SUM(V$95:V$105)+SUM(X$95:X$105)+SUM(Z$95:Z$105)</f>
        <v>323</v>
      </c>
      <c r="G115" s="100">
        <f>SUM(AB$95:AB$105)+SUM(AD$95:AD$105)+SUM(AF$95:AF$105)+SUM(AH$95:AH$105)</f>
        <v>416</v>
      </c>
      <c r="H115" s="100">
        <f>SUM(AJ$95:AJ$105)+SUM(AL$95:AL$105)+SUM(AN$95:AN$105)+SUM(AP$95:AP$105)</f>
        <v>370</v>
      </c>
      <c r="I115" s="100">
        <f>SUM(AR$95:AR$105)+SUM(AT$95:AT$105)+SUM(AV$95:AV$105)+SUM(AX$95:AX$105)</f>
        <v>383</v>
      </c>
      <c r="J115" s="100">
        <f>SUM(AZ$95:AZ$105)+SUM(BB$95:BB$105)+SUM(BD$95:BD$105)+SUM(BF$95:BF$105)</f>
        <v>357</v>
      </c>
      <c r="K115" s="100">
        <f>SUM(BH$95:BH$105)+SUM(BJ$95:BJ$105)+SUM(BL$95:BL$105)+SUM(BN$95:BN$105)</f>
        <v>328.63390624445958</v>
      </c>
      <c r="L115" s="100">
        <f>SUM(BP$95:BP$105)+SUM(BR$95:BR$105)+SUM(BT$95:BT$105)+SUM(BV$95:BV$105)</f>
        <v>324</v>
      </c>
      <c r="M115" s="100">
        <f>SUM(BX$95:BX$105)+SUM(BZ$95:BZ$105)+SUM(CB$95:CB$105)+SUM(CD$95:CD$105)</f>
        <v>322</v>
      </c>
      <c r="N115" s="100">
        <f>SUM(CF$95:CF$105)+SUM(CH$95:CH$105)+SUM(CJ$95:CJ$105)+SUM(CL$95:CL$105)</f>
        <v>389.08788039921467</v>
      </c>
      <c r="O115" s="100">
        <f>SUM(CN$95:CN$105)+SUM(CP$95:CP$105)+SUM(CR$95:CR$105)+SUM(CT$95:CT$105)</f>
        <v>384.56866001126701</v>
      </c>
    </row>
    <row r="116" spans="2:15">
      <c r="C116" s="99" t="s">
        <v>278</v>
      </c>
      <c r="D116" s="100">
        <f t="shared" ref="D116:O116" si="0">SUM(D$109:D$115)</f>
        <v>5351.5500945854119</v>
      </c>
      <c r="E116" s="100">
        <f t="shared" si="0"/>
        <v>5219</v>
      </c>
      <c r="F116" s="100">
        <f t="shared" si="0"/>
        <v>5303.2552187754536</v>
      </c>
      <c r="G116" s="100">
        <f t="shared" si="0"/>
        <v>5596</v>
      </c>
      <c r="H116" s="100">
        <f t="shared" si="0"/>
        <v>5559.8415111636004</v>
      </c>
      <c r="I116" s="100">
        <f t="shared" si="0"/>
        <v>5555.1875282671226</v>
      </c>
      <c r="J116" s="100">
        <f t="shared" si="0"/>
        <v>5525</v>
      </c>
      <c r="K116" s="100">
        <f t="shared" si="0"/>
        <v>5837.2292136975238</v>
      </c>
      <c r="L116" s="100">
        <f t="shared" si="0"/>
        <v>5703.2655140967972</v>
      </c>
      <c r="M116" s="100">
        <f t="shared" si="0"/>
        <v>5249.0937641335613</v>
      </c>
      <c r="N116" s="100">
        <f t="shared" si="0"/>
        <v>5847.6563489349292</v>
      </c>
      <c r="O116" s="100">
        <f t="shared" si="0"/>
        <v>5413.424661481461</v>
      </c>
    </row>
    <row r="118" spans="2:15">
      <c r="B118" s="103" t="s">
        <v>279</v>
      </c>
    </row>
    <row r="119" spans="2:15">
      <c r="C119" s="99" t="s">
        <v>277</v>
      </c>
      <c r="D119" s="99" t="s">
        <v>92</v>
      </c>
      <c r="E119" s="99" t="s">
        <v>93</v>
      </c>
      <c r="F119" s="99" t="s">
        <v>94</v>
      </c>
      <c r="G119" s="99" t="s">
        <v>95</v>
      </c>
      <c r="H119" s="99" t="s">
        <v>96</v>
      </c>
      <c r="I119" s="99" t="s">
        <v>97</v>
      </c>
      <c r="J119" s="99" t="s">
        <v>98</v>
      </c>
      <c r="K119" s="99" t="s">
        <v>99</v>
      </c>
      <c r="L119" s="99" t="s">
        <v>100</v>
      </c>
      <c r="M119" s="99" t="s">
        <v>101</v>
      </c>
      <c r="N119" s="99" t="s">
        <v>102</v>
      </c>
      <c r="O119" s="99" t="s">
        <v>103</v>
      </c>
    </row>
    <row r="120" spans="2:15">
      <c r="C120" s="99" t="s">
        <v>126</v>
      </c>
      <c r="D120" s="100">
        <f>D109*pricing!D6*2000</f>
        <v>3707005.0045334599</v>
      </c>
      <c r="E120" s="100">
        <f>E109*pricing!E6*2000</f>
        <v>4171800</v>
      </c>
      <c r="F120" s="100">
        <f>F109*pricing!F6*2000</f>
        <v>3906600</v>
      </c>
      <c r="G120" s="100">
        <f>G109*pricing!G6*2000</f>
        <v>4117399.9999999995</v>
      </c>
      <c r="H120" s="100">
        <f>H109*pricing!H6*2000</f>
        <v>3882774.0189263821</v>
      </c>
      <c r="I120" s="100">
        <f>I109*pricing!I6*2000</f>
        <v>4697401.4037691755</v>
      </c>
      <c r="J120" s="100">
        <f>J109*pricing!J6*2000</f>
        <v>4012000</v>
      </c>
      <c r="K120" s="100">
        <f>K109*pricing!K6*2000</f>
        <v>4399599.9999999991</v>
      </c>
      <c r="L120" s="100">
        <f>L109*pricing!L6*2000</f>
        <v>4249060.026960656</v>
      </c>
      <c r="M120" s="100">
        <f>M109*pricing!M6*2000</f>
        <v>3192604.8893851805</v>
      </c>
      <c r="N120" s="100">
        <f>N109*pricing!N6*2000</f>
        <v>4179916.3071488664</v>
      </c>
      <c r="O120" s="100">
        <f>O109*pricing!O6*2000</f>
        <v>3640511.4444569009</v>
      </c>
    </row>
    <row r="121" spans="2:15">
      <c r="C121" s="99" t="s">
        <v>127</v>
      </c>
      <c r="D121" s="100">
        <f>D110*pricing!D7*2000</f>
        <v>6006175.3917052243</v>
      </c>
      <c r="E121" s="100">
        <f>E110*pricing!E7*2000</f>
        <v>5716000</v>
      </c>
      <c r="F121" s="100">
        <f>F110*pricing!F7*2000</f>
        <v>5304000</v>
      </c>
      <c r="G121" s="100">
        <f>G110*pricing!G7*2000</f>
        <v>5416000</v>
      </c>
      <c r="H121" s="100">
        <f>H110*pricing!H7*2000</f>
        <v>5825858.1284485152</v>
      </c>
      <c r="I121" s="100">
        <f>I110*pricing!I7*2000</f>
        <v>5015369.5506322067</v>
      </c>
      <c r="J121" s="100">
        <f>J110*pricing!J7*2000</f>
        <v>6116000</v>
      </c>
      <c r="K121" s="100">
        <f>K110*pricing!K7*2000</f>
        <v>7120000</v>
      </c>
      <c r="L121" s="100">
        <f>L110*pricing!L7*2000</f>
        <v>6388138.0257935356</v>
      </c>
      <c r="M121" s="100">
        <f>M110*pricing!M7*2000</f>
        <v>5716272.6640738938</v>
      </c>
      <c r="N121" s="100">
        <f>N110*pricing!N7*2000</f>
        <v>6499824.5600184696</v>
      </c>
      <c r="O121" s="100">
        <f>O110*pricing!O7*2000</f>
        <v>6562284.8475330444</v>
      </c>
    </row>
    <row r="122" spans="2:15">
      <c r="C122" s="99" t="s">
        <v>128</v>
      </c>
      <c r="D122" s="100">
        <f>D111*pricing!D8*2000</f>
        <v>2665668.4629097534</v>
      </c>
      <c r="E122" s="100">
        <f>E111*pricing!E8*2000</f>
        <v>2749500</v>
      </c>
      <c r="F122" s="100">
        <f>F111*pricing!F8*2000</f>
        <v>2821500</v>
      </c>
      <c r="G122" s="100">
        <f>G111*pricing!G8*2000</f>
        <v>2848500</v>
      </c>
      <c r="H122" s="100">
        <f>H111*pricing!H8*2000</f>
        <v>2966566.2451049546</v>
      </c>
      <c r="I122" s="100">
        <f>I111*pricing!I8*2000</f>
        <v>3038407.7839100463</v>
      </c>
      <c r="J122" s="100">
        <f>J111*pricing!J8*2000</f>
        <v>2533500</v>
      </c>
      <c r="K122" s="100">
        <f>K111*pricing!K8*2000</f>
        <v>3006000</v>
      </c>
      <c r="L122" s="100">
        <f>L111*pricing!L8*2000</f>
        <v>2490911.1755308984</v>
      </c>
      <c r="M122" s="100">
        <f>M111*pricing!M8*2000</f>
        <v>3525454.3831229042</v>
      </c>
      <c r="N122" s="100">
        <f>N111*pricing!N8*2000</f>
        <v>2648833.221316969</v>
      </c>
      <c r="O122" s="100">
        <f>O111*pricing!O8*2000</f>
        <v>2897081.688925311</v>
      </c>
    </row>
    <row r="123" spans="2:15">
      <c r="C123" s="99" t="s">
        <v>129</v>
      </c>
      <c r="D123" s="100">
        <f>D112*pricing!D9*2000</f>
        <v>5311529.4939972321</v>
      </c>
      <c r="E123" s="100">
        <f>E112*pricing!E9*2000</f>
        <v>3901500</v>
      </c>
      <c r="F123" s="100">
        <f>F112*pricing!F9*2000</f>
        <v>4733451.9534385419</v>
      </c>
      <c r="G123" s="100">
        <f>G112*pricing!G9*2000</f>
        <v>5319650.1035917532</v>
      </c>
      <c r="H123" s="100">
        <f>H112*pricing!H9*2000</f>
        <v>5483601.3450945588</v>
      </c>
      <c r="I123" s="100">
        <f>I112*pricing!I9*2000</f>
        <v>4767996.4320774507</v>
      </c>
      <c r="J123" s="100">
        <f>J112*pricing!J9*2000</f>
        <v>4953109.0909090908</v>
      </c>
      <c r="K123" s="100">
        <f>K112*pricing!K9*2000</f>
        <v>4686287.7066473272</v>
      </c>
      <c r="L123" s="100">
        <f>L112*pricing!L9*2000</f>
        <v>5342763.3499417081</v>
      </c>
      <c r="M123" s="100">
        <f>M112*pricing!M9*2000</f>
        <v>4569861.7597364197</v>
      </c>
      <c r="N123" s="100">
        <f>N112*pricing!N9*2000</f>
        <v>5382966.0418537529</v>
      </c>
      <c r="O123" s="100">
        <f>O112*pricing!O9*2000</f>
        <v>4052668.0599588882</v>
      </c>
    </row>
    <row r="124" spans="2:15">
      <c r="C124" s="99" t="s">
        <v>130</v>
      </c>
      <c r="D124" s="100">
        <f>D113*pricing!D10*2000</f>
        <v>2180000</v>
      </c>
      <c r="E124" s="100">
        <f>E113*pricing!E10*2000</f>
        <v>2330000</v>
      </c>
      <c r="F124" s="100">
        <f>F113*pricing!F10*2000</f>
        <v>2611885.0345011111</v>
      </c>
      <c r="G124" s="100">
        <f>G113*pricing!G10*2000</f>
        <v>2319277.6626758301</v>
      </c>
      <c r="H124" s="100">
        <f>H113*pricing!H10*2000</f>
        <v>1987848.0024968786</v>
      </c>
      <c r="I124" s="100">
        <f>I113*pricing!I10*2000</f>
        <v>2485000</v>
      </c>
      <c r="J124" s="100">
        <f>J113*pricing!J10*2000</f>
        <v>2211545.4545454546</v>
      </c>
      <c r="K124" s="100">
        <f>K113*pricing!K10*2000</f>
        <v>2345000</v>
      </c>
      <c r="L124" s="100">
        <f>L113*pricing!L10*2000</f>
        <v>2433454.5454545459</v>
      </c>
      <c r="M124" s="100">
        <f>M113*pricing!M10*2000</f>
        <v>2380325.0860149763</v>
      </c>
      <c r="N124" s="100">
        <f>N113*pricing!N10*2000</f>
        <v>2337216.3797781826</v>
      </c>
      <c r="O124" s="100">
        <f>O113*pricing!O10*2000</f>
        <v>2377405.2309351605</v>
      </c>
    </row>
    <row r="125" spans="2:15">
      <c r="C125" s="99" t="s">
        <v>131</v>
      </c>
      <c r="D125" s="100">
        <f>D114*pricing!D11*2000</f>
        <v>1123200</v>
      </c>
      <c r="E125" s="100">
        <f>E114*pricing!E11*2000</f>
        <v>1367600.0000000002</v>
      </c>
      <c r="F125" s="100">
        <f>F114*pricing!F11*2000</f>
        <v>1580800</v>
      </c>
      <c r="G125" s="100">
        <f>G114*pricing!G11*2000</f>
        <v>1747200</v>
      </c>
      <c r="H125" s="100">
        <f>H114*pricing!H11*2000</f>
        <v>1643200</v>
      </c>
      <c r="I125" s="100">
        <f>I114*pricing!I11*2000</f>
        <v>1586000</v>
      </c>
      <c r="J125" s="100">
        <f>J114*pricing!J11*2000</f>
        <v>1835600.0000000002</v>
      </c>
      <c r="K125" s="100">
        <f>K114*pricing!K11*2000</f>
        <v>1332229.8044079128</v>
      </c>
      <c r="L125" s="100">
        <f>L114*pricing!L11*2000</f>
        <v>1586000</v>
      </c>
      <c r="M125" s="100">
        <f>M114*pricing!M11*2000</f>
        <v>1476800</v>
      </c>
      <c r="N125" s="100">
        <f>N114*pricing!N11*2000</f>
        <v>1830075.6380890051</v>
      </c>
      <c r="O125" s="100">
        <f>O114*pricing!O11*2000</f>
        <v>1547916.5009367345</v>
      </c>
    </row>
    <row r="126" spans="2:15">
      <c r="C126" s="99" t="s">
        <v>132</v>
      </c>
      <c r="D126" s="100">
        <f>D115*pricing!D12*2000</f>
        <v>1809000.0000000002</v>
      </c>
      <c r="E126" s="100">
        <f>E115*pricing!E12*2000</f>
        <v>1922400</v>
      </c>
      <c r="F126" s="100">
        <f>F115*pricing!F12*2000</f>
        <v>1744200</v>
      </c>
      <c r="G126" s="100">
        <f>G115*pricing!G12*2000</f>
        <v>2246400</v>
      </c>
      <c r="H126" s="100">
        <f>H115*pricing!H12*2000</f>
        <v>1998000.0000000002</v>
      </c>
      <c r="I126" s="100">
        <f>I115*pricing!I12*2000</f>
        <v>2068200.0000000002</v>
      </c>
      <c r="J126" s="100">
        <f>J115*pricing!J12*2000</f>
        <v>1927800.0000000002</v>
      </c>
      <c r="K126" s="100">
        <f>K115*pricing!K12*2000</f>
        <v>1774623.093720082</v>
      </c>
      <c r="L126" s="100">
        <f>L115*pricing!L12*2000</f>
        <v>1749600.0000000002</v>
      </c>
      <c r="M126" s="100">
        <f>M115*pricing!M12*2000</f>
        <v>1738800.0000000002</v>
      </c>
      <c r="N126" s="100">
        <f>N115*pricing!N12*2000</f>
        <v>2101074.5541557595</v>
      </c>
      <c r="O126" s="100">
        <f>O115*pricing!O12*2000</f>
        <v>2076670.7640608419</v>
      </c>
    </row>
    <row r="127" spans="2:15">
      <c r="C127" s="99" t="s">
        <v>278</v>
      </c>
      <c r="D127" s="100">
        <f t="shared" ref="D127:O127" si="1">SUM(D$120:D$126)</f>
        <v>22802578.35314567</v>
      </c>
      <c r="E127" s="100">
        <f t="shared" si="1"/>
        <v>22158800</v>
      </c>
      <c r="F127" s="100">
        <f t="shared" si="1"/>
        <v>22702436.987939656</v>
      </c>
      <c r="G127" s="100">
        <f t="shared" si="1"/>
        <v>24014427.766267586</v>
      </c>
      <c r="H127" s="100">
        <f t="shared" si="1"/>
        <v>23787847.740071289</v>
      </c>
      <c r="I127" s="100">
        <f t="shared" si="1"/>
        <v>23658375.170388877</v>
      </c>
      <c r="J127" s="100">
        <f t="shared" si="1"/>
        <v>23589554.545454543</v>
      </c>
      <c r="K127" s="100">
        <f t="shared" si="1"/>
        <v>24663740.604775324</v>
      </c>
      <c r="L127" s="100">
        <f t="shared" si="1"/>
        <v>24239927.123681344</v>
      </c>
      <c r="M127" s="100">
        <f t="shared" si="1"/>
        <v>22600118.782333374</v>
      </c>
      <c r="N127" s="100">
        <f t="shared" si="1"/>
        <v>24979906.702361006</v>
      </c>
      <c r="O127" s="100">
        <f t="shared" si="1"/>
        <v>23154538.536806881</v>
      </c>
    </row>
    <row r="129" spans="2:15">
      <c r="B129" s="103" t="s">
        <v>280</v>
      </c>
    </row>
    <row r="130" spans="2:15">
      <c r="C130" s="105" t="s">
        <v>277</v>
      </c>
      <c r="D130" s="105" t="s">
        <v>92</v>
      </c>
      <c r="E130" s="105" t="s">
        <v>93</v>
      </c>
      <c r="F130" s="105" t="s">
        <v>94</v>
      </c>
      <c r="G130" s="105" t="s">
        <v>95</v>
      </c>
      <c r="H130" s="105" t="s">
        <v>96</v>
      </c>
      <c r="I130" s="105" t="s">
        <v>97</v>
      </c>
      <c r="J130" s="105" t="s">
        <v>98</v>
      </c>
      <c r="K130" s="105" t="s">
        <v>99</v>
      </c>
      <c r="L130" s="105" t="s">
        <v>100</v>
      </c>
      <c r="M130" s="105" t="s">
        <v>101</v>
      </c>
      <c r="N130" s="105" t="s">
        <v>102</v>
      </c>
      <c r="O130" s="105" t="s">
        <v>103</v>
      </c>
    </row>
    <row r="131" spans="2:15">
      <c r="C131" s="105" t="s">
        <v>126</v>
      </c>
      <c r="D131" s="106">
        <f>SUM(E$6:E$19)+SUM(G$6:G$19)+SUM(I$6:I$19)+SUM(K$6:K$19)</f>
        <v>546743.23426011263</v>
      </c>
      <c r="E131" s="106">
        <f>SUM(M$6:M$19)+SUM(O$6:O$19)+SUM(Q$6:Q$19)+SUM(S$6:S$19)</f>
        <v>617575.19999999995</v>
      </c>
      <c r="F131" s="106">
        <f>SUM(U$6:U$19)+SUM(W$6:W$19)+SUM(Y$6:Y$19)+SUM(AA$6:AA$19)</f>
        <v>575905.19999999995</v>
      </c>
      <c r="G131" s="106">
        <f>SUM(AC$6:AC$19)+SUM(AE$6:AE$19)+SUM(AG$6:AG$19)+SUM(AI$6:AI$19)</f>
        <v>607949.99999999988</v>
      </c>
      <c r="H131" s="106">
        <f>SUM(AK$6:AK$19)+SUM(AM$6:AM$19)+SUM(AO$6:AO$19)+SUM(AQ$6:AQ$19)</f>
        <v>576328.79207076842</v>
      </c>
      <c r="I131" s="106">
        <f>SUM(AS$6:AS$19)+SUM(AU$6:AU$19)+SUM(AW$6:AW$19)+SUM(AY$6:AY$19)</f>
        <v>692071.18365976366</v>
      </c>
      <c r="J131" s="106">
        <f>SUM(BA$6:BA$19)+SUM(BC$6:BC$19)+SUM(BE$6:BE$19)+SUM(BG$6:BG$19)</f>
        <v>589681.19999999995</v>
      </c>
      <c r="K131" s="106">
        <f>SUM(BI$6:BI$19)+SUM(BK$6:BK$19)+SUM(BM$6:BM$19)+SUM(BO$6:BO$19)</f>
        <v>650259.60000000009</v>
      </c>
      <c r="L131" s="106">
        <f>SUM(BQ$6:BQ$19)+SUM(BS$6:BS$19)+SUM(BU$6:BU$19)+SUM(BW$6:BW$19)</f>
        <v>631287.07583120826</v>
      </c>
      <c r="M131" s="106">
        <f>SUM(BY$6:BY$19)+SUM(CA$6:CA$19)+SUM(CC$6:CC$19)+SUM(CE$6:CE$19)</f>
        <v>471954.26180220081</v>
      </c>
      <c r="N131" s="106">
        <f>SUM(CG$6:CG$19)+SUM(CI$6:CI$19)+SUM(CK$6:CK$19)+SUM(CM$6:CM$19)</f>
        <v>617284.53714310052</v>
      </c>
      <c r="O131" s="106">
        <f>SUM(CO$6:CO$19)+SUM(CQ$6:CQ$19)+SUM(CS$6:CS$19)+SUM(CU$6:CU$19)</f>
        <v>539677.22763344739</v>
      </c>
    </row>
    <row r="132" spans="2:15">
      <c r="C132" s="105" t="s">
        <v>127</v>
      </c>
      <c r="D132" s="106">
        <f>SUM(E$20:E$36)+SUM(G$20:G$36)+SUM(I$20:I$36)+SUM(K$20:K$36)</f>
        <v>638438.88987934019</v>
      </c>
      <c r="E132" s="106">
        <f>SUM(M$20:M$36)+SUM(O$20:O$36)+SUM(Q$20:Q$36)+SUM(S$20:S$36)</f>
        <v>604378.79999999993</v>
      </c>
      <c r="F132" s="106">
        <f>SUM(U$20:U$36)+SUM(W$20:W$36)+SUM(Y$20:Y$36)+SUM(AA$20:AA$36)</f>
        <v>568346.4</v>
      </c>
      <c r="G132" s="106">
        <f>SUM(AC$20:AC$36)+SUM(AE$20:AE$36)+SUM(AG$20:AG$36)+SUM(AI$20:AI$36)</f>
        <v>577600.80000000005</v>
      </c>
      <c r="H132" s="106">
        <f>SUM(AK$20:AK$36)+SUM(AM$20:AM$36)+SUM(AO$20:AO$36)+SUM(AQ$20:AQ$36)</f>
        <v>621345.84452775586</v>
      </c>
      <c r="I132" s="106">
        <f>SUM(AS$20:AS$36)+SUM(AU$20:AU$36)+SUM(AW$20:AW$36)+SUM(AY$20:AY$36)</f>
        <v>531959.19378544448</v>
      </c>
      <c r="J132" s="106">
        <f>SUM(BA$20:BA$36)+SUM(BC$20:BC$36)+SUM(BE$20:BE$36)+SUM(BG$20:BG$36)</f>
        <v>652603.19999999995</v>
      </c>
      <c r="K132" s="106">
        <f>SUM(BI$20:BI$36)+SUM(BK$20:BK$36)+SUM(BM$20:BM$36)+SUM(BO$20:BO$36)</f>
        <v>760845.59999999986</v>
      </c>
      <c r="L132" s="106">
        <f>SUM(BQ$20:BQ$36)+SUM(BS$20:BS$36)+SUM(BU$20:BU$36)+SUM(BW$20:BW$36)</f>
        <v>681877.65425515175</v>
      </c>
      <c r="M132" s="106">
        <f>SUM(BY$20:BY$36)+SUM(CA$20:CA$36)+SUM(CC$20:CC$36)+SUM(CE$20:CE$36)</f>
        <v>614156.9801409567</v>
      </c>
      <c r="N132" s="106">
        <f>SUM(CG$20:CG$36)+SUM(CI$20:CI$36)+SUM(CK$20:CK$36)+SUM(CM$20:CM$36)</f>
        <v>692824.77014794177</v>
      </c>
      <c r="O132" s="106">
        <f>SUM(CO$20:CO$36)+SUM(CQ$20:CQ$36)+SUM(CS$20:CS$36)+SUM(CU$20:CU$36)</f>
        <v>703548.51237985317</v>
      </c>
    </row>
    <row r="133" spans="2:15">
      <c r="C133" s="105" t="s">
        <v>128</v>
      </c>
      <c r="D133" s="106">
        <f>SUM(E$37:E$48)+SUM(G$37:G$48)+SUM(I$37:I$48)+SUM(K$37:K$48)</f>
        <v>619829.15495468536</v>
      </c>
      <c r="E133" s="106">
        <f>SUM(M$37:M$48)+SUM(O$37:O$48)+SUM(Q$37:Q$48)+SUM(S$37:S$48)</f>
        <v>639961.19999999995</v>
      </c>
      <c r="F133" s="106">
        <f>SUM(U$37:U$48)+SUM(W$37:W$48)+SUM(Y$37:Y$48)+SUM(AA$37:AA$48)</f>
        <v>658278</v>
      </c>
      <c r="G133" s="106">
        <f>SUM(AC$37:AC$48)+SUM(AE$37:AE$48)+SUM(AG$37:AG$48)+SUM(AI$37:AI$48)</f>
        <v>661338</v>
      </c>
      <c r="H133" s="106">
        <f>SUM(AK$37:AK$48)+SUM(AM$37:AM$48)+SUM(AO$37:AO$48)+SUM(AQ$37:AQ$48)</f>
        <v>693969.64734752732</v>
      </c>
      <c r="I133" s="106">
        <f>SUM(AS$37:AS$48)+SUM(AU$37:AU$48)+SUM(AW$37:AW$48)+SUM(AY$37:AY$48)</f>
        <v>710039.98172225663</v>
      </c>
      <c r="J133" s="106">
        <f>SUM(BA$37:BA$48)+SUM(BC$37:BC$48)+SUM(BE$37:BE$48)+SUM(BG$37:BG$48)</f>
        <v>593748</v>
      </c>
      <c r="K133" s="106">
        <f>SUM(BI$37:BI$48)+SUM(BK$37:BK$48)+SUM(BM$37:BM$48)+SUM(BO$37:BO$48)</f>
        <v>700308</v>
      </c>
      <c r="L133" s="106">
        <f>SUM(BQ$37:BQ$48)+SUM(BS$37:BS$48)+SUM(BU$37:BU$48)+SUM(BW$37:BW$48)</f>
        <v>580362.74206859362</v>
      </c>
      <c r="M133" s="106">
        <f>SUM(BY$37:BY$48)+SUM(CA$37:CA$48)+SUM(CC$37:CC$48)+SUM(CE$37:CE$48)</f>
        <v>820296.10204312066</v>
      </c>
      <c r="N133" s="106">
        <f>SUM(CG$37:CG$48)+SUM(CI$37:CI$48)+SUM(CK$37:CK$48)+SUM(CM$37:CM$48)</f>
        <v>618195.92557623493</v>
      </c>
      <c r="O133" s="106">
        <f>SUM(CO$37:CO$48)+SUM(CQ$37:CQ$48)+SUM(CS$37:CS$48)+SUM(CU$37:CU$48)</f>
        <v>676846.09584301896</v>
      </c>
    </row>
    <row r="134" spans="2:15">
      <c r="C134" s="105" t="s">
        <v>129</v>
      </c>
      <c r="D134" s="106">
        <f>SUM(E$49:E$70)+SUM(G$49:G$70)+SUM(I$49:I$70)+SUM(K$49:K$70)</f>
        <v>988430.98924451834</v>
      </c>
      <c r="E134" s="106">
        <f>SUM(M$49:M$70)+SUM(O$49:O$70)+SUM(Q$49:Q$70)+SUM(S$49:S$70)</f>
        <v>723508.8</v>
      </c>
      <c r="F134" s="106">
        <f>SUM(U$49:U$70)+SUM(W$49:W$70)+SUM(Y$49:Y$70)+SUM(AA$49:AA$70)</f>
        <v>884052.3226795001</v>
      </c>
      <c r="G134" s="106">
        <f>SUM(AC$49:AC$70)+SUM(AE$49:AE$70)+SUM(AG$49:AG$70)+SUM(AI$49:AI$70)</f>
        <v>985318.0048454951</v>
      </c>
      <c r="H134" s="106">
        <f>SUM(AK$49:AK$70)+SUM(AM$49:AM$70)+SUM(AO$49:AO$70)+SUM(AQ$49:AQ$70)</f>
        <v>1018665.9403325868</v>
      </c>
      <c r="I134" s="106">
        <f>SUM(AS$49:AS$70)+SUM(AU$49:AU$70)+SUM(AW$49:AW$70)+SUM(AY$49:AY$70)</f>
        <v>889240.41802384413</v>
      </c>
      <c r="J134" s="106">
        <f>SUM(BA$49:BA$70)+SUM(BC$49:BC$70)+SUM(BE$49:BE$70)+SUM(BG$49:BG$70)</f>
        <v>919943.84727272729</v>
      </c>
      <c r="K134" s="106">
        <f>SUM(BI$49:BI$70)+SUM(BK$49:BK$70)+SUM(BM$49:BM$70)+SUM(BO$49:BO$70)</f>
        <v>869348.73919785966</v>
      </c>
      <c r="L134" s="106">
        <f>SUM(BQ$49:BQ$70)+SUM(BS$49:BS$70)+SUM(BU$49:BU$70)+SUM(BW$49:BW$70)</f>
        <v>996261.94584331289</v>
      </c>
      <c r="M134" s="106">
        <f>SUM(BY$49:BY$70)+SUM(CA$49:CA$70)+SUM(CC$49:CC$70)+SUM(CE$49:CE$70)</f>
        <v>846761.39306677342</v>
      </c>
      <c r="N134" s="106">
        <f>SUM(CG$49:CG$70)+SUM(CI$49:CI$70)+SUM(CK$49:CK$70)+SUM(CM$49:CM$70)</f>
        <v>995934.94132951717</v>
      </c>
      <c r="O134" s="106">
        <f>SUM(CO$49:CO$70)+SUM(CQ$49:CQ$70)+SUM(CS$49:CS$70)+SUM(CU$49:CU$70)</f>
        <v>759146.00278548989</v>
      </c>
    </row>
    <row r="135" spans="2:15">
      <c r="C135" s="105" t="s">
        <v>130</v>
      </c>
      <c r="D135" s="106">
        <f>SUM(E$71:E$86)+SUM(G$71:G$86)+SUM(I$71:I$86)+SUM(K$71:K$86)</f>
        <v>245192.40000000002</v>
      </c>
      <c r="E135" s="106">
        <f>SUM(M$71:M$86)+SUM(O$71:O$86)+SUM(Q$71:Q$86)+SUM(S$71:S$86)</f>
        <v>260246.39999999999</v>
      </c>
      <c r="F135" s="106">
        <f>SUM(U$71:U$86)+SUM(W$71:W$86)+SUM(Y$71:Y$86)+SUM(AA$71:AA$86)</f>
        <v>292976.39597301924</v>
      </c>
      <c r="G135" s="106">
        <f>SUM(AC$71:AC$86)+SUM(AE$71:AE$86)+SUM(AG$71:AG$86)+SUM(AI$71:AI$86)</f>
        <v>259635.32491365715</v>
      </c>
      <c r="H135" s="106">
        <f>SUM(AK$71:AK$86)+SUM(AM$71:AM$86)+SUM(AO$71:AO$86)+SUM(AQ$71:AQ$86)</f>
        <v>222054.61947565543</v>
      </c>
      <c r="I135" s="106">
        <f>SUM(AS$71:AS$86)+SUM(AU$71:AU$86)+SUM(AW$71:AW$86)+SUM(AY$71:AY$86)</f>
        <v>278095.19999999995</v>
      </c>
      <c r="J135" s="106">
        <f>SUM(BA$71:BA$86)+SUM(BC$71:BC$86)+SUM(BE$71:BE$86)+SUM(BG$71:BG$86)</f>
        <v>246911.54181818181</v>
      </c>
      <c r="K135" s="106">
        <f>SUM(BI$71:BI$86)+SUM(BK$71:BK$86)+SUM(BM$71:BM$86)+SUM(BO$71:BO$86)</f>
        <v>261289.2</v>
      </c>
      <c r="L135" s="106">
        <f>SUM(BQ$71:BQ$86)+SUM(BS$71:BS$86)+SUM(BU$71:BU$86)+SUM(BW$71:BW$86)</f>
        <v>271676.59636363637</v>
      </c>
      <c r="M135" s="106">
        <f>SUM(BY$71:BY$86)+SUM(CA$71:CA$86)+SUM(CC$71:CC$86)+SUM(CE$71:CE$86)</f>
        <v>266281.04368548875</v>
      </c>
      <c r="N135" s="106">
        <f>SUM(CG$71:CG$86)+SUM(CI$71:CI$86)+SUM(CK$71:CK$86)+SUM(CM$71:CM$86)</f>
        <v>260977.613855837</v>
      </c>
      <c r="O135" s="106">
        <f>SUM(CO$71:CO$86)+SUM(CQ$71:CQ$86)+SUM(CS$71:CS$86)+SUM(CU$71:CU$86)</f>
        <v>265454.90727065096</v>
      </c>
    </row>
    <row r="136" spans="2:15">
      <c r="C136" s="105" t="s">
        <v>131</v>
      </c>
      <c r="D136" s="106">
        <f>SUM(E$87:E$94)+SUM(G$87:G$94)+SUM(I$87:I$94)+SUM(K$87:K$94)</f>
        <v>216763.19999999995</v>
      </c>
      <c r="E136" s="106">
        <f>SUM(M$87:M$94)+SUM(O$87:O$94)+SUM(Q$87:Q$94)+SUM(S$87:S$94)</f>
        <v>264661.19999999995</v>
      </c>
      <c r="F136" s="106">
        <f>SUM(U$87:U$94)+SUM(W$87:W$94)+SUM(Y$87:Y$94)+SUM(AA$87:AA$94)</f>
        <v>304730.40000000002</v>
      </c>
      <c r="G136" s="106">
        <f>SUM(AC$87:AC$94)+SUM(AE$87:AE$94)+SUM(AG$87:AG$94)+SUM(AI$87:AI$94)</f>
        <v>337510.8</v>
      </c>
      <c r="H136" s="106">
        <f>SUM(AK$87:AK$94)+SUM(AM$87:AM$94)+SUM(AO$87:AO$94)+SUM(AQ$87:AQ$94)</f>
        <v>317480.40000000002</v>
      </c>
      <c r="I136" s="106">
        <f>SUM(AS$87:AS$94)+SUM(AU$87:AU$94)+SUM(AW$87:AW$94)+SUM(AY$87:AY$94)</f>
        <v>306316.79999999999</v>
      </c>
      <c r="J136" s="106">
        <f>SUM(BA$87:BA$94)+SUM(BC$87:BC$94)+SUM(BE$87:BE$94)+SUM(BG$87:BG$94)</f>
        <v>354679.2</v>
      </c>
      <c r="K136" s="106">
        <f>SUM(BI$87:BI$94)+SUM(BK$87:BK$94)+SUM(BM$87:BM$94)+SUM(BO$87:BO$94)</f>
        <v>257997.09405313252</v>
      </c>
      <c r="L136" s="106">
        <f>SUM(BQ$87:BQ$94)+SUM(BS$87:BS$94)+SUM(BU$87:BU$94)+SUM(BW$87:BW$94)</f>
        <v>305316</v>
      </c>
      <c r="M136" s="106">
        <f>SUM(BY$87:BY$94)+SUM(CA$87:CA$94)+SUM(CC$87:CC$94)+SUM(CE$87:CE$94)</f>
        <v>283522.8</v>
      </c>
      <c r="N136" s="106">
        <f>SUM(CG$87:CG$94)+SUM(CI$87:CI$94)+SUM(CK$87:CK$94)+SUM(CM$87:CM$94)</f>
        <v>352684.07066426694</v>
      </c>
      <c r="O136" s="106">
        <f>SUM(CO$87:CO$94)+SUM(CQ$87:CQ$94)+SUM(CS$87:CS$94)+SUM(CU$87:CU$94)</f>
        <v>298842.16320402466</v>
      </c>
    </row>
    <row r="137" spans="2:15">
      <c r="C137" s="105" t="s">
        <v>132</v>
      </c>
      <c r="D137" s="106">
        <f>SUM(E$95:E$105)+SUM(G$95:G$105)+SUM(I$95:I$105)+SUM(K$95:K$105)</f>
        <v>265148.39999999997</v>
      </c>
      <c r="E137" s="106">
        <f>SUM(M$95:M$105)+SUM(O$95:O$105)+SUM(Q$95:Q$105)+SUM(S$95:S$105)</f>
        <v>280773.59999999998</v>
      </c>
      <c r="F137" s="106">
        <f>SUM(U$95:U$105)+SUM(W$95:W$105)+SUM(Y$95:Y$105)+SUM(AA$95:AA$105)</f>
        <v>259309.2</v>
      </c>
      <c r="G137" s="106">
        <f>SUM(AC$95:AC$105)+SUM(AE$95:AE$105)+SUM(AG$95:AG$105)+SUM(AI$95:AI$105)</f>
        <v>327567.60000000003</v>
      </c>
      <c r="H137" s="106">
        <f>SUM(AK$95:AK$105)+SUM(AM$95:AM$105)+SUM(AO$95:AO$105)+SUM(AQ$95:AQ$105)</f>
        <v>287214</v>
      </c>
      <c r="I137" s="106">
        <f>SUM(AS$95:AS$105)+SUM(AU$95:AU$105)+SUM(AW$95:AW$105)+SUM(AY$95:AY$105)</f>
        <v>294888</v>
      </c>
      <c r="J137" s="106">
        <f>SUM(BA$95:BA$105)+SUM(BC$95:BC$105)+SUM(BE$95:BE$105)+SUM(BG$95:BG$105)</f>
        <v>280090.8</v>
      </c>
      <c r="K137" s="106">
        <f>SUM(BI$95:BI$105)+SUM(BK$95:BK$105)+SUM(BM$95:BM$105)+SUM(BO$95:BO$105)</f>
        <v>260386.3024675264</v>
      </c>
      <c r="L137" s="106">
        <f>SUM(BQ$95:BQ$105)+SUM(BS$95:BS$105)+SUM(BU$95:BU$105)+SUM(BW$95:BW$105)</f>
        <v>255543.6</v>
      </c>
      <c r="M137" s="106">
        <f>SUM(BY$95:BY$105)+SUM(CA$95:CA$105)+SUM(CC$95:CC$105)+SUM(CE$95:CE$105)</f>
        <v>251361.59999999998</v>
      </c>
      <c r="N137" s="106">
        <f>SUM(CG$95:CG$105)+SUM(CI$95:CI$105)+SUM(CK$95:CK$105)+SUM(CM$95:CM$105)</f>
        <v>307519.28091459419</v>
      </c>
      <c r="O137" s="106">
        <f>SUM(CO$95:CO$105)+SUM(CQ$95:CQ$105)+SUM(CS$95:CS$105)+SUM(CU$95:CU$105)</f>
        <v>306579.48960028298</v>
      </c>
    </row>
    <row r="138" spans="2:15">
      <c r="C138" s="105" t="s">
        <v>278</v>
      </c>
      <c r="D138" s="100">
        <f t="shared" ref="D138:O138" si="2">SUM(D$131:D$137)</f>
        <v>3520546.2683386565</v>
      </c>
      <c r="E138" s="100">
        <f t="shared" si="2"/>
        <v>3391105.1999999997</v>
      </c>
      <c r="F138" s="100">
        <f t="shared" si="2"/>
        <v>3543597.9186525196</v>
      </c>
      <c r="G138" s="100">
        <f t="shared" si="2"/>
        <v>3756920.5297591523</v>
      </c>
      <c r="H138" s="100">
        <f t="shared" si="2"/>
        <v>3737059.2437542933</v>
      </c>
      <c r="I138" s="100">
        <f t="shared" si="2"/>
        <v>3702610.7771913083</v>
      </c>
      <c r="J138" s="100">
        <f t="shared" si="2"/>
        <v>3637657.7890909091</v>
      </c>
      <c r="K138" s="100">
        <f t="shared" si="2"/>
        <v>3760434.5357185188</v>
      </c>
      <c r="L138" s="100">
        <f t="shared" si="2"/>
        <v>3722325.6143619027</v>
      </c>
      <c r="M138" s="100">
        <f t="shared" si="2"/>
        <v>3554334.1807385404</v>
      </c>
      <c r="N138" s="100">
        <f t="shared" si="2"/>
        <v>3845421.139631493</v>
      </c>
      <c r="O138" s="100">
        <f t="shared" si="2"/>
        <v>3550094.3987167678</v>
      </c>
    </row>
  </sheetData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baseColWidth="10" defaultColWidth="8.83203125" defaultRowHeight="12" x14ac:dyDescent="0"/>
  <cols>
    <col min="1" max="16384" width="8.83203125" style="100"/>
  </cols>
  <sheetData>
    <row r="2" spans="1:99">
      <c r="B2" s="102" t="s">
        <v>272</v>
      </c>
    </row>
    <row r="3" spans="1:99">
      <c r="B3" s="103" t="s">
        <v>282</v>
      </c>
    </row>
    <row r="4" spans="1:99">
      <c r="A4" s="101"/>
      <c r="B4" s="101"/>
      <c r="C4" s="99" t="s">
        <v>274</v>
      </c>
      <c r="D4" s="99" t="s">
        <v>92</v>
      </c>
      <c r="E4" s="101"/>
      <c r="F4" s="101"/>
      <c r="G4" s="101"/>
      <c r="H4" s="101"/>
      <c r="I4" s="101"/>
      <c r="J4" s="101"/>
      <c r="K4" s="101"/>
      <c r="L4" s="99" t="s">
        <v>93</v>
      </c>
      <c r="M4" s="101"/>
      <c r="N4" s="101"/>
      <c r="O4" s="101"/>
      <c r="P4" s="101"/>
      <c r="Q4" s="101"/>
      <c r="R4" s="101"/>
      <c r="S4" s="101"/>
      <c r="T4" s="99" t="s">
        <v>94</v>
      </c>
      <c r="U4" s="101"/>
      <c r="V4" s="101"/>
      <c r="W4" s="101"/>
      <c r="X4" s="101"/>
      <c r="Y4" s="101"/>
      <c r="Z4" s="101"/>
      <c r="AA4" s="101"/>
      <c r="AB4" s="99" t="s">
        <v>95</v>
      </c>
      <c r="AC4" s="101"/>
      <c r="AD4" s="101"/>
      <c r="AE4" s="101"/>
      <c r="AF4" s="101"/>
      <c r="AG4" s="101"/>
      <c r="AH4" s="101"/>
      <c r="AI4" s="101"/>
      <c r="AJ4" s="99" t="s">
        <v>96</v>
      </c>
      <c r="AK4" s="101"/>
      <c r="AL4" s="101"/>
      <c r="AM4" s="101"/>
      <c r="AN4" s="101"/>
      <c r="AO4" s="101"/>
      <c r="AP4" s="101"/>
      <c r="AQ4" s="101"/>
      <c r="AR4" s="99" t="s">
        <v>97</v>
      </c>
      <c r="AS4" s="101"/>
      <c r="AT4" s="101"/>
      <c r="AU4" s="101"/>
      <c r="AV4" s="101"/>
      <c r="AW4" s="101"/>
      <c r="AX4" s="101"/>
      <c r="AY4" s="101"/>
      <c r="AZ4" s="99" t="s">
        <v>98</v>
      </c>
      <c r="BA4" s="101"/>
      <c r="BB4" s="101"/>
      <c r="BC4" s="101"/>
      <c r="BD4" s="101"/>
      <c r="BE4" s="101"/>
      <c r="BF4" s="101"/>
      <c r="BG4" s="101"/>
      <c r="BH4" s="99" t="s">
        <v>99</v>
      </c>
      <c r="BI4" s="101"/>
      <c r="BJ4" s="101"/>
      <c r="BK4" s="101"/>
      <c r="BL4" s="101"/>
      <c r="BM4" s="101"/>
      <c r="BN4" s="101"/>
      <c r="BO4" s="101"/>
      <c r="BP4" s="99" t="s">
        <v>100</v>
      </c>
      <c r="BQ4" s="101"/>
      <c r="BR4" s="101"/>
      <c r="BS4" s="101"/>
      <c r="BT4" s="101"/>
      <c r="BU4" s="101"/>
      <c r="BV4" s="101"/>
      <c r="BW4" s="101"/>
      <c r="BX4" s="99" t="s">
        <v>101</v>
      </c>
      <c r="BY4" s="101"/>
      <c r="BZ4" s="101"/>
      <c r="CA4" s="101"/>
      <c r="CB4" s="101"/>
      <c r="CC4" s="101"/>
      <c r="CD4" s="101"/>
      <c r="CE4" s="101"/>
      <c r="CF4" s="99" t="s">
        <v>102</v>
      </c>
      <c r="CG4" s="101"/>
      <c r="CH4" s="101"/>
      <c r="CI4" s="101"/>
      <c r="CJ4" s="101"/>
      <c r="CK4" s="101"/>
      <c r="CL4" s="101"/>
      <c r="CM4" s="101"/>
      <c r="CN4" s="99" t="s">
        <v>103</v>
      </c>
      <c r="CO4" s="101"/>
      <c r="CP4" s="101"/>
      <c r="CQ4" s="101"/>
      <c r="CR4" s="101"/>
      <c r="CS4" s="101"/>
      <c r="CT4" s="101"/>
      <c r="CU4" s="101"/>
    </row>
    <row r="5" spans="1:99">
      <c r="B5" s="99" t="s">
        <v>167</v>
      </c>
      <c r="C5" s="99" t="s">
        <v>275</v>
      </c>
      <c r="D5" s="99">
        <v>1</v>
      </c>
      <c r="E5" s="99"/>
      <c r="F5" s="99">
        <v>2</v>
      </c>
      <c r="G5" s="99"/>
      <c r="H5" s="99">
        <v>3</v>
      </c>
      <c r="I5" s="99"/>
      <c r="J5" s="99">
        <v>4</v>
      </c>
      <c r="K5" s="99"/>
      <c r="L5" s="99">
        <v>1</v>
      </c>
      <c r="M5" s="99"/>
      <c r="N5" s="99">
        <v>2</v>
      </c>
      <c r="O5" s="99"/>
      <c r="P5" s="99">
        <v>3</v>
      </c>
      <c r="Q5" s="99"/>
      <c r="R5" s="99">
        <v>4</v>
      </c>
      <c r="S5" s="99"/>
      <c r="T5" s="99">
        <v>1</v>
      </c>
      <c r="U5" s="99"/>
      <c r="V5" s="99">
        <v>2</v>
      </c>
      <c r="W5" s="99"/>
      <c r="X5" s="99">
        <v>3</v>
      </c>
      <c r="Y5" s="99"/>
      <c r="Z5" s="99">
        <v>4</v>
      </c>
      <c r="AA5" s="99"/>
      <c r="AB5" s="99">
        <v>1</v>
      </c>
      <c r="AC5" s="99"/>
      <c r="AD5" s="99">
        <v>2</v>
      </c>
      <c r="AE5" s="99"/>
      <c r="AF5" s="99">
        <v>3</v>
      </c>
      <c r="AG5" s="99"/>
      <c r="AH5" s="99">
        <v>4</v>
      </c>
      <c r="AI5" s="99"/>
      <c r="AJ5" s="99">
        <v>1</v>
      </c>
      <c r="AK5" s="99"/>
      <c r="AL5" s="99">
        <v>2</v>
      </c>
      <c r="AM5" s="99"/>
      <c r="AN5" s="99">
        <v>3</v>
      </c>
      <c r="AO5" s="99"/>
      <c r="AP5" s="99">
        <v>4</v>
      </c>
      <c r="AQ5" s="99"/>
      <c r="AR5" s="99">
        <v>1</v>
      </c>
      <c r="AS5" s="99"/>
      <c r="AT5" s="99">
        <v>2</v>
      </c>
      <c r="AU5" s="99"/>
      <c r="AV5" s="99">
        <v>3</v>
      </c>
      <c r="AW5" s="99"/>
      <c r="AX5" s="99">
        <v>4</v>
      </c>
      <c r="AY5" s="99"/>
      <c r="AZ5" s="99">
        <v>1</v>
      </c>
      <c r="BA5" s="99"/>
      <c r="BB5" s="99">
        <v>2</v>
      </c>
      <c r="BC5" s="99"/>
      <c r="BD5" s="99">
        <v>3</v>
      </c>
      <c r="BE5" s="99"/>
      <c r="BF5" s="99">
        <v>4</v>
      </c>
      <c r="BG5" s="99"/>
      <c r="BH5" s="99">
        <v>1</v>
      </c>
      <c r="BI5" s="99"/>
      <c r="BJ5" s="99">
        <v>2</v>
      </c>
      <c r="BK5" s="99"/>
      <c r="BL5" s="99">
        <v>3</v>
      </c>
      <c r="BM5" s="99"/>
      <c r="BN5" s="99">
        <v>4</v>
      </c>
      <c r="BO5" s="99"/>
      <c r="BP5" s="99">
        <v>1</v>
      </c>
      <c r="BQ5" s="99"/>
      <c r="BR5" s="99">
        <v>2</v>
      </c>
      <c r="BS5" s="99"/>
      <c r="BT5" s="99">
        <v>3</v>
      </c>
      <c r="BU5" s="99"/>
      <c r="BV5" s="99">
        <v>4</v>
      </c>
      <c r="BW5" s="99"/>
      <c r="BX5" s="99">
        <v>1</v>
      </c>
      <c r="BY5" s="99"/>
      <c r="BZ5" s="99">
        <v>2</v>
      </c>
      <c r="CA5" s="99"/>
      <c r="CB5" s="99">
        <v>3</v>
      </c>
      <c r="CC5" s="99"/>
      <c r="CD5" s="99">
        <v>4</v>
      </c>
      <c r="CE5" s="99"/>
      <c r="CF5" s="99">
        <v>1</v>
      </c>
      <c r="CG5" s="99"/>
      <c r="CH5" s="99">
        <v>2</v>
      </c>
      <c r="CI5" s="99"/>
      <c r="CJ5" s="99">
        <v>3</v>
      </c>
      <c r="CK5" s="99"/>
      <c r="CL5" s="99">
        <v>4</v>
      </c>
      <c r="CM5" s="99"/>
      <c r="CN5" s="99">
        <v>1</v>
      </c>
      <c r="CO5" s="99"/>
      <c r="CP5" s="99">
        <v>2</v>
      </c>
      <c r="CQ5" s="99"/>
      <c r="CR5" s="99">
        <v>3</v>
      </c>
      <c r="CS5" s="99"/>
      <c r="CT5" s="99">
        <v>4</v>
      </c>
      <c r="CU5" s="99"/>
    </row>
    <row r="6" spans="1:99">
      <c r="B6" s="99" t="s">
        <v>126</v>
      </c>
      <c r="C6" s="99" t="s">
        <v>172</v>
      </c>
      <c r="D6" s="100">
        <v>7</v>
      </c>
      <c r="E6" s="100">
        <v>4048.7999999999997</v>
      </c>
      <c r="F6" s="100">
        <v>2.353345961058567</v>
      </c>
      <c r="G6" s="100">
        <v>1361.1753038762752</v>
      </c>
      <c r="H6" s="100">
        <v>10</v>
      </c>
      <c r="I6" s="100">
        <v>5784</v>
      </c>
      <c r="J6" s="100">
        <v>10</v>
      </c>
      <c r="K6" s="100">
        <v>5784</v>
      </c>
      <c r="L6" s="100">
        <v>8</v>
      </c>
      <c r="M6" s="100">
        <v>4627.2</v>
      </c>
      <c r="N6" s="100">
        <v>10</v>
      </c>
      <c r="O6" s="100">
        <v>5784</v>
      </c>
      <c r="P6" s="100">
        <v>9</v>
      </c>
      <c r="Q6" s="100">
        <v>5205.5999999999995</v>
      </c>
      <c r="R6" s="100">
        <v>10</v>
      </c>
      <c r="S6" s="100">
        <v>5784</v>
      </c>
      <c r="T6" s="100">
        <v>4.3106466323723573</v>
      </c>
      <c r="U6" s="100">
        <v>2493.2780121641713</v>
      </c>
      <c r="V6" s="100">
        <v>7.4602656262987024</v>
      </c>
      <c r="W6" s="100">
        <v>4315.017638251169</v>
      </c>
      <c r="X6" s="100">
        <v>6</v>
      </c>
      <c r="Y6" s="100">
        <v>3470.3999999999996</v>
      </c>
      <c r="Z6" s="100">
        <v>8</v>
      </c>
      <c r="AA6" s="100">
        <v>4627.2</v>
      </c>
      <c r="AB6" s="100">
        <v>6</v>
      </c>
      <c r="AC6" s="100">
        <v>3470.3999999999996</v>
      </c>
      <c r="AD6" s="100">
        <v>4.5628146574004127</v>
      </c>
      <c r="AE6" s="100">
        <v>2639.1319978403985</v>
      </c>
      <c r="AF6" s="100">
        <v>2.6362344427393283</v>
      </c>
      <c r="AG6" s="100">
        <v>1524.7980016804274</v>
      </c>
      <c r="AH6" s="100">
        <v>7</v>
      </c>
      <c r="AI6" s="100">
        <v>4048.7999999999997</v>
      </c>
      <c r="AJ6" s="100">
        <v>12</v>
      </c>
      <c r="AK6" s="100">
        <v>6940.7999999999993</v>
      </c>
      <c r="AL6" s="100">
        <v>11</v>
      </c>
      <c r="AM6" s="100">
        <v>6362.4</v>
      </c>
      <c r="AN6" s="100">
        <v>10</v>
      </c>
      <c r="AO6" s="100">
        <v>5784</v>
      </c>
      <c r="AP6" s="100">
        <v>6</v>
      </c>
      <c r="AQ6" s="100">
        <v>3470.3999999999996</v>
      </c>
      <c r="AR6" s="100">
        <v>10</v>
      </c>
      <c r="AS6" s="100">
        <v>5784</v>
      </c>
      <c r="AT6" s="100">
        <v>11</v>
      </c>
      <c r="AU6" s="100">
        <v>6362.4</v>
      </c>
      <c r="AV6" s="100">
        <v>8</v>
      </c>
      <c r="AW6" s="100">
        <v>4627.2</v>
      </c>
      <c r="AX6" s="100">
        <v>9</v>
      </c>
      <c r="AY6" s="100">
        <v>5205.5999999999995</v>
      </c>
      <c r="AZ6" s="100">
        <v>5.9522525714074366</v>
      </c>
      <c r="BA6" s="100">
        <v>3442.7828873020612</v>
      </c>
      <c r="BB6" s="100">
        <v>0</v>
      </c>
      <c r="BC6" s="100">
        <v>0</v>
      </c>
      <c r="BD6" s="100">
        <v>6</v>
      </c>
      <c r="BE6" s="100">
        <v>3470.3999999999996</v>
      </c>
      <c r="BF6" s="100">
        <v>11</v>
      </c>
      <c r="BG6" s="100">
        <v>6362.4</v>
      </c>
      <c r="BH6" s="100">
        <v>7.9083295596772114</v>
      </c>
      <c r="BI6" s="100">
        <v>4574.1778173172988</v>
      </c>
      <c r="BJ6" s="100">
        <v>10</v>
      </c>
      <c r="BK6" s="100">
        <v>5784</v>
      </c>
      <c r="BL6" s="100">
        <v>6.9940862689131276</v>
      </c>
      <c r="BM6" s="100">
        <v>4045.3794979393529</v>
      </c>
      <c r="BN6" s="100">
        <v>12</v>
      </c>
      <c r="BO6" s="100">
        <v>6940.7999999999993</v>
      </c>
      <c r="BP6" s="100">
        <v>7</v>
      </c>
      <c r="BQ6" s="100">
        <v>4048.7999999999997</v>
      </c>
      <c r="BR6" s="100">
        <v>7</v>
      </c>
      <c r="BS6" s="100">
        <v>4048.7999999999997</v>
      </c>
      <c r="BT6" s="100">
        <v>11</v>
      </c>
      <c r="BU6" s="100">
        <v>6362.4</v>
      </c>
      <c r="BV6" s="100">
        <v>2.4905306373010316</v>
      </c>
      <c r="BW6" s="100">
        <v>1440.5229206149165</v>
      </c>
      <c r="BX6" s="100">
        <v>11</v>
      </c>
      <c r="BY6" s="100">
        <v>6362.4</v>
      </c>
      <c r="BZ6" s="100">
        <v>9</v>
      </c>
      <c r="CA6" s="100">
        <v>5205.5999999999995</v>
      </c>
      <c r="CB6" s="100">
        <v>8</v>
      </c>
      <c r="CC6" s="100">
        <v>4627.2</v>
      </c>
      <c r="CD6" s="100">
        <v>7</v>
      </c>
      <c r="CE6" s="100">
        <v>4048.7999999999997</v>
      </c>
      <c r="CF6" s="100">
        <v>8</v>
      </c>
      <c r="CG6" s="100">
        <v>4627.2</v>
      </c>
      <c r="CH6" s="100">
        <v>11</v>
      </c>
      <c r="CI6" s="100">
        <v>6362.4</v>
      </c>
      <c r="CJ6" s="100">
        <v>0.8840537735890005</v>
      </c>
      <c r="CK6" s="100">
        <v>511.33670264387786</v>
      </c>
      <c r="CL6" s="100">
        <v>9</v>
      </c>
      <c r="CM6" s="100">
        <v>5205.5999999999995</v>
      </c>
      <c r="CN6" s="100">
        <v>9</v>
      </c>
      <c r="CO6" s="100">
        <v>5205.5999999999995</v>
      </c>
      <c r="CP6" s="100">
        <v>12</v>
      </c>
      <c r="CQ6" s="100">
        <v>6940.7999999999993</v>
      </c>
      <c r="CR6" s="100">
        <v>6.5980906878339409</v>
      </c>
      <c r="CS6" s="100">
        <v>3816.3356538431512</v>
      </c>
      <c r="CT6" s="100">
        <v>10</v>
      </c>
      <c r="CU6" s="100">
        <v>5784</v>
      </c>
    </row>
    <row r="7" spans="1:99">
      <c r="C7" s="99" t="s">
        <v>173</v>
      </c>
      <c r="D7" s="100">
        <v>7</v>
      </c>
      <c r="E7" s="100">
        <v>5518.8</v>
      </c>
      <c r="F7" s="100">
        <v>2.0591777159262459</v>
      </c>
      <c r="G7" s="100">
        <v>1623.4557112362522</v>
      </c>
      <c r="H7" s="100">
        <v>10</v>
      </c>
      <c r="I7" s="100">
        <v>7884</v>
      </c>
      <c r="J7" s="100">
        <v>9</v>
      </c>
      <c r="K7" s="100">
        <v>7095.5999999999995</v>
      </c>
      <c r="L7" s="100">
        <v>9</v>
      </c>
      <c r="M7" s="100">
        <v>7095.5999999999995</v>
      </c>
      <c r="N7" s="100">
        <v>10</v>
      </c>
      <c r="O7" s="100">
        <v>7884</v>
      </c>
      <c r="P7" s="100">
        <v>8</v>
      </c>
      <c r="Q7" s="100">
        <v>6307.2</v>
      </c>
      <c r="R7" s="100">
        <v>10</v>
      </c>
      <c r="S7" s="100">
        <v>7884</v>
      </c>
      <c r="T7" s="100">
        <v>4.3106466323723573</v>
      </c>
      <c r="U7" s="100">
        <v>3398.5138049623665</v>
      </c>
      <c r="V7" s="100">
        <v>8.3927988295860398</v>
      </c>
      <c r="W7" s="100">
        <v>6616.8825972456334</v>
      </c>
      <c r="X7" s="100">
        <v>6</v>
      </c>
      <c r="Y7" s="100">
        <v>4730.3999999999996</v>
      </c>
      <c r="Z7" s="100">
        <v>7</v>
      </c>
      <c r="AA7" s="100">
        <v>5518.8</v>
      </c>
      <c r="AB7" s="100">
        <v>6</v>
      </c>
      <c r="AC7" s="100">
        <v>4730.3999999999996</v>
      </c>
      <c r="AD7" s="100">
        <v>4.5628146574004127</v>
      </c>
      <c r="AE7" s="100">
        <v>3597.3230758944851</v>
      </c>
      <c r="AF7" s="100">
        <v>2.9291493808214759</v>
      </c>
      <c r="AG7" s="100">
        <v>2309.3413718396514</v>
      </c>
      <c r="AH7" s="100">
        <v>6</v>
      </c>
      <c r="AI7" s="100">
        <v>4730.3999999999996</v>
      </c>
      <c r="AJ7" s="100">
        <v>11</v>
      </c>
      <c r="AK7" s="100">
        <v>8672.4</v>
      </c>
      <c r="AL7" s="100">
        <v>10</v>
      </c>
      <c r="AM7" s="100">
        <v>7884</v>
      </c>
      <c r="AN7" s="100">
        <v>11</v>
      </c>
      <c r="AO7" s="100">
        <v>8672.4</v>
      </c>
      <c r="AP7" s="100">
        <v>6</v>
      </c>
      <c r="AQ7" s="100">
        <v>4730.3999999999996</v>
      </c>
      <c r="AR7" s="100">
        <v>9</v>
      </c>
      <c r="AS7" s="100">
        <v>7095.5999999999995</v>
      </c>
      <c r="AT7" s="100">
        <v>10</v>
      </c>
      <c r="AU7" s="100">
        <v>7884</v>
      </c>
      <c r="AV7" s="100">
        <v>7</v>
      </c>
      <c r="AW7" s="100">
        <v>5518.8</v>
      </c>
      <c r="AX7" s="100">
        <v>10</v>
      </c>
      <c r="AY7" s="100">
        <v>7884</v>
      </c>
      <c r="AZ7" s="100">
        <v>5.9522525714074366</v>
      </c>
      <c r="BA7" s="100">
        <v>4692.7559272976232</v>
      </c>
      <c r="BB7" s="100">
        <v>0</v>
      </c>
      <c r="BC7" s="100">
        <v>0</v>
      </c>
      <c r="BD7" s="100">
        <v>6</v>
      </c>
      <c r="BE7" s="100">
        <v>4730.3999999999996</v>
      </c>
      <c r="BF7" s="100">
        <v>11</v>
      </c>
      <c r="BG7" s="100">
        <v>8672.4</v>
      </c>
      <c r="BH7" s="100">
        <v>6.3266636477417695</v>
      </c>
      <c r="BI7" s="100">
        <v>4987.9416198796107</v>
      </c>
      <c r="BJ7" s="100">
        <v>11</v>
      </c>
      <c r="BK7" s="100">
        <v>8672.4</v>
      </c>
      <c r="BL7" s="100">
        <v>6.9940862689131276</v>
      </c>
      <c r="BM7" s="100">
        <v>5514.13761441111</v>
      </c>
      <c r="BN7" s="100">
        <v>12</v>
      </c>
      <c r="BO7" s="100">
        <v>9460.7999999999993</v>
      </c>
      <c r="BP7" s="100">
        <v>6</v>
      </c>
      <c r="BQ7" s="100">
        <v>4730.3999999999996</v>
      </c>
      <c r="BR7" s="100">
        <v>7</v>
      </c>
      <c r="BS7" s="100">
        <v>5518.8</v>
      </c>
      <c r="BT7" s="100">
        <v>11</v>
      </c>
      <c r="BU7" s="100">
        <v>8672.4</v>
      </c>
      <c r="BV7" s="100">
        <v>2.4905306373010316</v>
      </c>
      <c r="BW7" s="100">
        <v>1963.5343544481332</v>
      </c>
      <c r="BX7" s="100">
        <v>10</v>
      </c>
      <c r="BY7" s="100">
        <v>7884</v>
      </c>
      <c r="BZ7" s="100">
        <v>8</v>
      </c>
      <c r="CA7" s="100">
        <v>6307.2</v>
      </c>
      <c r="CB7" s="100">
        <v>7</v>
      </c>
      <c r="CC7" s="100">
        <v>5518.8</v>
      </c>
      <c r="CD7" s="100">
        <v>6</v>
      </c>
      <c r="CE7" s="100">
        <v>4730.3999999999996</v>
      </c>
      <c r="CF7" s="100">
        <v>8</v>
      </c>
      <c r="CG7" s="100">
        <v>6307.2</v>
      </c>
      <c r="CH7" s="100">
        <v>12</v>
      </c>
      <c r="CI7" s="100">
        <v>9460.7999999999993</v>
      </c>
      <c r="CJ7" s="100">
        <v>0.72331672384554591</v>
      </c>
      <c r="CK7" s="100">
        <v>570.26290507982833</v>
      </c>
      <c r="CL7" s="100">
        <v>8</v>
      </c>
      <c r="CM7" s="100">
        <v>6307.2</v>
      </c>
      <c r="CN7" s="100">
        <v>10</v>
      </c>
      <c r="CO7" s="100">
        <v>7884</v>
      </c>
      <c r="CP7" s="100">
        <v>11</v>
      </c>
      <c r="CQ7" s="100">
        <v>8672.4</v>
      </c>
      <c r="CR7" s="100">
        <v>6.5980906878339409</v>
      </c>
      <c r="CS7" s="100">
        <v>5201.9346982882789</v>
      </c>
      <c r="CT7" s="100">
        <v>10</v>
      </c>
      <c r="CU7" s="100">
        <v>7884</v>
      </c>
    </row>
    <row r="8" spans="1:99">
      <c r="C8" s="99" t="s">
        <v>174</v>
      </c>
      <c r="D8" s="100">
        <v>8</v>
      </c>
      <c r="E8" s="100">
        <v>2476.7999999999997</v>
      </c>
      <c r="F8" s="100">
        <v>1.7650094707939252</v>
      </c>
      <c r="G8" s="100">
        <v>546.44693215779921</v>
      </c>
      <c r="H8" s="100">
        <v>9</v>
      </c>
      <c r="I8" s="100">
        <v>2786.3999999999996</v>
      </c>
      <c r="J8" s="100">
        <v>9</v>
      </c>
      <c r="K8" s="100">
        <v>2786.3999999999996</v>
      </c>
      <c r="L8" s="100">
        <v>8</v>
      </c>
      <c r="M8" s="100">
        <v>2476.7999999999997</v>
      </c>
      <c r="N8" s="100">
        <v>11</v>
      </c>
      <c r="O8" s="100">
        <v>3405.5999999999995</v>
      </c>
      <c r="P8" s="100">
        <v>8</v>
      </c>
      <c r="Q8" s="100">
        <v>2476.7999999999997</v>
      </c>
      <c r="R8" s="100">
        <v>12</v>
      </c>
      <c r="S8" s="100">
        <v>3715.2</v>
      </c>
      <c r="T8" s="100">
        <v>4.3106466323723573</v>
      </c>
      <c r="U8" s="100">
        <v>1334.5761973824817</v>
      </c>
      <c r="V8" s="100">
        <v>8.3927988295860398</v>
      </c>
      <c r="W8" s="100">
        <v>2598.4105176398375</v>
      </c>
      <c r="X8" s="100">
        <v>6</v>
      </c>
      <c r="Y8" s="100">
        <v>1857.6</v>
      </c>
      <c r="Z8" s="100">
        <v>8</v>
      </c>
      <c r="AA8" s="100">
        <v>2476.7999999999997</v>
      </c>
      <c r="AB8" s="100">
        <v>6</v>
      </c>
      <c r="AC8" s="100">
        <v>1857.6</v>
      </c>
      <c r="AD8" s="100">
        <v>4.5628146574004127</v>
      </c>
      <c r="AE8" s="100">
        <v>1412.6474179311676</v>
      </c>
      <c r="AF8" s="100">
        <v>2.9291493808214759</v>
      </c>
      <c r="AG8" s="100">
        <v>906.86464830232887</v>
      </c>
      <c r="AH8" s="100">
        <v>6</v>
      </c>
      <c r="AI8" s="100">
        <v>1857.6</v>
      </c>
      <c r="AJ8" s="100">
        <v>12</v>
      </c>
      <c r="AK8" s="100">
        <v>3715.2</v>
      </c>
      <c r="AL8" s="100">
        <v>10</v>
      </c>
      <c r="AM8" s="100">
        <v>3095.9999999999995</v>
      </c>
      <c r="AN8" s="100">
        <v>11</v>
      </c>
      <c r="AO8" s="100">
        <v>3405.5999999999995</v>
      </c>
      <c r="AP8" s="100">
        <v>7</v>
      </c>
      <c r="AQ8" s="100">
        <v>2167.1999999999998</v>
      </c>
      <c r="AR8" s="100">
        <v>9</v>
      </c>
      <c r="AS8" s="100">
        <v>2786.3999999999996</v>
      </c>
      <c r="AT8" s="100">
        <v>10</v>
      </c>
      <c r="AU8" s="100">
        <v>3095.9999999999995</v>
      </c>
      <c r="AV8" s="100">
        <v>8</v>
      </c>
      <c r="AW8" s="100">
        <v>2476.7999999999997</v>
      </c>
      <c r="AX8" s="100">
        <v>10</v>
      </c>
      <c r="AY8" s="100">
        <v>3095.9999999999995</v>
      </c>
      <c r="AZ8" s="100">
        <v>5.9522525714074366</v>
      </c>
      <c r="BA8" s="100">
        <v>1842.8173961077421</v>
      </c>
      <c r="BB8" s="100">
        <v>0</v>
      </c>
      <c r="BC8" s="100">
        <v>0</v>
      </c>
      <c r="BD8" s="100">
        <v>6</v>
      </c>
      <c r="BE8" s="100">
        <v>1857.6</v>
      </c>
      <c r="BF8" s="100">
        <v>10</v>
      </c>
      <c r="BG8" s="100">
        <v>3095.9999999999995</v>
      </c>
      <c r="BH8" s="100">
        <v>7.1174966037094904</v>
      </c>
      <c r="BI8" s="100">
        <v>2203.5769485084579</v>
      </c>
      <c r="BJ8" s="100">
        <v>11</v>
      </c>
      <c r="BK8" s="100">
        <v>3405.5999999999995</v>
      </c>
      <c r="BL8" s="100">
        <v>7.8683470525272687</v>
      </c>
      <c r="BM8" s="100">
        <v>2436.040247462442</v>
      </c>
      <c r="BN8" s="100">
        <v>11</v>
      </c>
      <c r="BO8" s="100">
        <v>3405.5999999999995</v>
      </c>
      <c r="BP8" s="100">
        <v>6</v>
      </c>
      <c r="BQ8" s="100">
        <v>1857.6</v>
      </c>
      <c r="BR8" s="100">
        <v>7</v>
      </c>
      <c r="BS8" s="100">
        <v>2167.1999999999998</v>
      </c>
      <c r="BT8" s="100">
        <v>11</v>
      </c>
      <c r="BU8" s="100">
        <v>3405.5999999999995</v>
      </c>
      <c r="BV8" s="100">
        <v>2.4905306373010316</v>
      </c>
      <c r="BW8" s="100">
        <v>771.06828530839925</v>
      </c>
      <c r="BX8" s="100">
        <v>10</v>
      </c>
      <c r="BY8" s="100">
        <v>3095.9999999999995</v>
      </c>
      <c r="BZ8" s="100">
        <v>8</v>
      </c>
      <c r="CA8" s="100">
        <v>2476.7999999999997</v>
      </c>
      <c r="CB8" s="100">
        <v>8</v>
      </c>
      <c r="CC8" s="100">
        <v>2476.7999999999997</v>
      </c>
      <c r="CD8" s="100">
        <v>7</v>
      </c>
      <c r="CE8" s="100">
        <v>2167.1999999999998</v>
      </c>
      <c r="CF8" s="100">
        <v>8</v>
      </c>
      <c r="CG8" s="100">
        <v>2476.7999999999997</v>
      </c>
      <c r="CH8" s="100">
        <v>10</v>
      </c>
      <c r="CI8" s="100">
        <v>3095.9999999999995</v>
      </c>
      <c r="CJ8" s="100">
        <v>0.8840537735890005</v>
      </c>
      <c r="CK8" s="100">
        <v>273.7030483031545</v>
      </c>
      <c r="CL8" s="100">
        <v>10</v>
      </c>
      <c r="CM8" s="100">
        <v>3095.9999999999995</v>
      </c>
      <c r="CN8" s="100">
        <v>9</v>
      </c>
      <c r="CO8" s="100">
        <v>2786.3999999999996</v>
      </c>
      <c r="CP8" s="100">
        <v>11</v>
      </c>
      <c r="CQ8" s="100">
        <v>3405.5999999999995</v>
      </c>
      <c r="CR8" s="100">
        <v>5.7733293518546986</v>
      </c>
      <c r="CS8" s="100">
        <v>1787.4227673342145</v>
      </c>
      <c r="CT8" s="100">
        <v>10</v>
      </c>
      <c r="CU8" s="100">
        <v>3095.9999999999995</v>
      </c>
    </row>
    <row r="9" spans="1:99">
      <c r="C9" s="99" t="s">
        <v>175</v>
      </c>
      <c r="D9" s="100">
        <v>7</v>
      </c>
      <c r="E9" s="100">
        <v>4914</v>
      </c>
      <c r="F9" s="100">
        <v>2.0591777159262459</v>
      </c>
      <c r="G9" s="100">
        <v>1445.5427565802247</v>
      </c>
      <c r="H9" s="100">
        <v>9</v>
      </c>
      <c r="I9" s="100">
        <v>6318</v>
      </c>
      <c r="J9" s="100">
        <v>9</v>
      </c>
      <c r="K9" s="100">
        <v>6318</v>
      </c>
      <c r="L9" s="100">
        <v>8</v>
      </c>
      <c r="M9" s="100">
        <v>5616</v>
      </c>
      <c r="N9" s="100">
        <v>9</v>
      </c>
      <c r="O9" s="100">
        <v>6318</v>
      </c>
      <c r="P9" s="100">
        <v>8</v>
      </c>
      <c r="Q9" s="100">
        <v>5616</v>
      </c>
      <c r="R9" s="100">
        <v>10</v>
      </c>
      <c r="S9" s="100">
        <v>7020</v>
      </c>
      <c r="T9" s="100">
        <v>3.6948399706048773</v>
      </c>
      <c r="U9" s="100">
        <v>2593.777659364624</v>
      </c>
      <c r="V9" s="100">
        <v>7.4602656262987024</v>
      </c>
      <c r="W9" s="100">
        <v>5237.1064696616895</v>
      </c>
      <c r="X9" s="100">
        <v>6</v>
      </c>
      <c r="Y9" s="100">
        <v>4212</v>
      </c>
      <c r="Z9" s="100">
        <v>8</v>
      </c>
      <c r="AA9" s="100">
        <v>5616</v>
      </c>
      <c r="AB9" s="100">
        <v>5</v>
      </c>
      <c r="AC9" s="100">
        <v>3510</v>
      </c>
      <c r="AD9" s="100">
        <v>5.3232837669671476</v>
      </c>
      <c r="AE9" s="100">
        <v>3736.9452044109375</v>
      </c>
      <c r="AF9" s="100">
        <v>2.6362344427393283</v>
      </c>
      <c r="AG9" s="100">
        <v>1850.6365788030084</v>
      </c>
      <c r="AH9" s="100">
        <v>6</v>
      </c>
      <c r="AI9" s="100">
        <v>4212</v>
      </c>
      <c r="AJ9" s="100">
        <v>12</v>
      </c>
      <c r="AK9" s="100">
        <v>8424</v>
      </c>
      <c r="AL9" s="100">
        <v>9</v>
      </c>
      <c r="AM9" s="100">
        <v>6318</v>
      </c>
      <c r="AN9" s="100">
        <v>11</v>
      </c>
      <c r="AO9" s="100">
        <v>7722</v>
      </c>
      <c r="AP9" s="100">
        <v>7</v>
      </c>
      <c r="AQ9" s="100">
        <v>4914</v>
      </c>
      <c r="AR9" s="100">
        <v>9</v>
      </c>
      <c r="AS9" s="100">
        <v>6318</v>
      </c>
      <c r="AT9" s="100">
        <v>9</v>
      </c>
      <c r="AU9" s="100">
        <v>6318</v>
      </c>
      <c r="AV9" s="100">
        <v>8</v>
      </c>
      <c r="AW9" s="100">
        <v>5616</v>
      </c>
      <c r="AX9" s="100">
        <v>10</v>
      </c>
      <c r="AY9" s="100">
        <v>7020</v>
      </c>
      <c r="AZ9" s="100">
        <v>5.9522525714074366</v>
      </c>
      <c r="BA9" s="100">
        <v>4178.4813051280207</v>
      </c>
      <c r="BB9" s="100">
        <v>0</v>
      </c>
      <c r="BC9" s="100">
        <v>0</v>
      </c>
      <c r="BD9" s="100">
        <v>7</v>
      </c>
      <c r="BE9" s="100">
        <v>4914</v>
      </c>
      <c r="BF9" s="100">
        <v>10</v>
      </c>
      <c r="BG9" s="100">
        <v>7020</v>
      </c>
      <c r="BH9" s="100">
        <v>6.3266636477417695</v>
      </c>
      <c r="BI9" s="100">
        <v>4441.3178807147224</v>
      </c>
      <c r="BJ9" s="100">
        <v>10</v>
      </c>
      <c r="BK9" s="100">
        <v>7020</v>
      </c>
      <c r="BL9" s="100">
        <v>7.8683470525272687</v>
      </c>
      <c r="BM9" s="100">
        <v>5523.5796308741428</v>
      </c>
      <c r="BN9" s="100">
        <v>13</v>
      </c>
      <c r="BO9" s="100">
        <v>9126</v>
      </c>
      <c r="BP9" s="100">
        <v>7</v>
      </c>
      <c r="BQ9" s="100">
        <v>4914</v>
      </c>
      <c r="BR9" s="100">
        <v>8</v>
      </c>
      <c r="BS9" s="100">
        <v>5616</v>
      </c>
      <c r="BT9" s="100">
        <v>11</v>
      </c>
      <c r="BU9" s="100">
        <v>7722</v>
      </c>
      <c r="BV9" s="100">
        <v>2.4905306373010316</v>
      </c>
      <c r="BW9" s="100">
        <v>1748.3525073853243</v>
      </c>
      <c r="BX9" s="100">
        <v>11</v>
      </c>
      <c r="BY9" s="100">
        <v>7722</v>
      </c>
      <c r="BZ9" s="100">
        <v>8</v>
      </c>
      <c r="CA9" s="100">
        <v>5616</v>
      </c>
      <c r="CB9" s="100">
        <v>8</v>
      </c>
      <c r="CC9" s="100">
        <v>5616</v>
      </c>
      <c r="CD9" s="100">
        <v>7</v>
      </c>
      <c r="CE9" s="100">
        <v>4914</v>
      </c>
      <c r="CF9" s="100">
        <v>8</v>
      </c>
      <c r="CG9" s="100">
        <v>5616</v>
      </c>
      <c r="CH9" s="100">
        <v>12</v>
      </c>
      <c r="CI9" s="100">
        <v>8424</v>
      </c>
      <c r="CJ9" s="100">
        <v>0.8840537735890005</v>
      </c>
      <c r="CK9" s="100">
        <v>620.6057490594784</v>
      </c>
      <c r="CL9" s="100">
        <v>8</v>
      </c>
      <c r="CM9" s="100">
        <v>5616</v>
      </c>
      <c r="CN9" s="100">
        <v>10</v>
      </c>
      <c r="CO9" s="100">
        <v>7020</v>
      </c>
      <c r="CP9" s="100">
        <v>12</v>
      </c>
      <c r="CQ9" s="100">
        <v>8424</v>
      </c>
      <c r="CR9" s="100">
        <v>6.5980906878339409</v>
      </c>
      <c r="CS9" s="100">
        <v>4631.8596628594269</v>
      </c>
      <c r="CT9" s="100">
        <v>9</v>
      </c>
      <c r="CU9" s="100">
        <v>6318</v>
      </c>
    </row>
    <row r="10" spans="1:99">
      <c r="C10" s="99" t="s">
        <v>176</v>
      </c>
      <c r="D10" s="100">
        <v>6</v>
      </c>
      <c r="E10" s="100">
        <v>3268.7999999999997</v>
      </c>
      <c r="F10" s="100">
        <v>2.0591777159262459</v>
      </c>
      <c r="G10" s="100">
        <v>1121.8400196366188</v>
      </c>
      <c r="H10" s="100">
        <v>10</v>
      </c>
      <c r="I10" s="100">
        <v>5448</v>
      </c>
      <c r="J10" s="100">
        <v>9</v>
      </c>
      <c r="K10" s="100">
        <v>4903.2</v>
      </c>
      <c r="L10" s="100">
        <v>8</v>
      </c>
      <c r="M10" s="100">
        <v>4358.3999999999996</v>
      </c>
      <c r="N10" s="100">
        <v>10</v>
      </c>
      <c r="O10" s="100">
        <v>5448</v>
      </c>
      <c r="P10" s="100">
        <v>8</v>
      </c>
      <c r="Q10" s="100">
        <v>4358.3999999999996</v>
      </c>
      <c r="R10" s="100">
        <v>10</v>
      </c>
      <c r="S10" s="100">
        <v>5448</v>
      </c>
      <c r="T10" s="100">
        <v>4.3106466323723573</v>
      </c>
      <c r="U10" s="100">
        <v>2348.4402853164602</v>
      </c>
      <c r="V10" s="100">
        <v>8.3927988295860398</v>
      </c>
      <c r="W10" s="100">
        <v>4572.3968023584739</v>
      </c>
      <c r="X10" s="100">
        <v>7</v>
      </c>
      <c r="Y10" s="100">
        <v>3813.5999999999995</v>
      </c>
      <c r="Z10" s="100">
        <v>8</v>
      </c>
      <c r="AA10" s="100">
        <v>4358.3999999999996</v>
      </c>
      <c r="AB10" s="100">
        <v>6</v>
      </c>
      <c r="AC10" s="100">
        <v>3268.7999999999997</v>
      </c>
      <c r="AD10" s="100">
        <v>4.5628146574004127</v>
      </c>
      <c r="AE10" s="100">
        <v>2485.8214253517444</v>
      </c>
      <c r="AF10" s="100">
        <v>3.2220643189036235</v>
      </c>
      <c r="AG10" s="100">
        <v>1755.3806409386939</v>
      </c>
      <c r="AH10" s="100">
        <v>6</v>
      </c>
      <c r="AI10" s="100">
        <v>3268.7999999999997</v>
      </c>
      <c r="AJ10" s="100">
        <v>11</v>
      </c>
      <c r="AK10" s="100">
        <v>5992.7999999999993</v>
      </c>
      <c r="AL10" s="100">
        <v>9</v>
      </c>
      <c r="AM10" s="100">
        <v>4903.2</v>
      </c>
      <c r="AN10" s="100">
        <v>9</v>
      </c>
      <c r="AO10" s="100">
        <v>4903.2</v>
      </c>
      <c r="AP10" s="100">
        <v>6</v>
      </c>
      <c r="AQ10" s="100">
        <v>3268.7999999999997</v>
      </c>
      <c r="AR10" s="100">
        <v>10</v>
      </c>
      <c r="AS10" s="100">
        <v>5448</v>
      </c>
      <c r="AT10" s="100">
        <v>10</v>
      </c>
      <c r="AU10" s="100">
        <v>5448</v>
      </c>
      <c r="AV10" s="100">
        <v>9</v>
      </c>
      <c r="AW10" s="100">
        <v>4903.2</v>
      </c>
      <c r="AX10" s="100">
        <v>9</v>
      </c>
      <c r="AY10" s="100">
        <v>4903.2</v>
      </c>
      <c r="AZ10" s="100">
        <v>5.9522525714074366</v>
      </c>
      <c r="BA10" s="100">
        <v>3242.787200902771</v>
      </c>
      <c r="BB10" s="100">
        <v>0</v>
      </c>
      <c r="BC10" s="100">
        <v>0</v>
      </c>
      <c r="BD10" s="100">
        <v>6</v>
      </c>
      <c r="BE10" s="100">
        <v>3268.7999999999997</v>
      </c>
      <c r="BF10" s="100">
        <v>11</v>
      </c>
      <c r="BG10" s="100">
        <v>5992.7999999999993</v>
      </c>
      <c r="BH10" s="100">
        <v>7.1174966037094904</v>
      </c>
      <c r="BI10" s="100">
        <v>3877.6121497009299</v>
      </c>
      <c r="BJ10" s="100">
        <v>10</v>
      </c>
      <c r="BK10" s="100">
        <v>5448</v>
      </c>
      <c r="BL10" s="100">
        <v>6.9940862689131276</v>
      </c>
      <c r="BM10" s="100">
        <v>3810.3781993038715</v>
      </c>
      <c r="BN10" s="100">
        <v>11</v>
      </c>
      <c r="BO10" s="100">
        <v>5992.7999999999993</v>
      </c>
      <c r="BP10" s="100">
        <v>6</v>
      </c>
      <c r="BQ10" s="100">
        <v>3268.7999999999997</v>
      </c>
      <c r="BR10" s="100">
        <v>8</v>
      </c>
      <c r="BS10" s="100">
        <v>4358.3999999999996</v>
      </c>
      <c r="BT10" s="100">
        <v>9</v>
      </c>
      <c r="BU10" s="100">
        <v>4903.2</v>
      </c>
      <c r="BV10" s="100">
        <v>2.4905306373010316</v>
      </c>
      <c r="BW10" s="100">
        <v>1356.841091201602</v>
      </c>
      <c r="BX10" s="100">
        <v>10</v>
      </c>
      <c r="BY10" s="100">
        <v>5448</v>
      </c>
      <c r="BZ10" s="100">
        <v>8</v>
      </c>
      <c r="CA10" s="100">
        <v>4358.3999999999996</v>
      </c>
      <c r="CB10" s="100">
        <v>9</v>
      </c>
      <c r="CC10" s="100">
        <v>4903.2</v>
      </c>
      <c r="CD10" s="100">
        <v>6</v>
      </c>
      <c r="CE10" s="100">
        <v>3268.7999999999997</v>
      </c>
      <c r="CF10" s="100">
        <v>8</v>
      </c>
      <c r="CG10" s="100">
        <v>4358.3999999999996</v>
      </c>
      <c r="CH10" s="100">
        <v>10</v>
      </c>
      <c r="CI10" s="100">
        <v>5448</v>
      </c>
      <c r="CJ10" s="100">
        <v>0.8840537735890005</v>
      </c>
      <c r="CK10" s="100">
        <v>481.63249585128744</v>
      </c>
      <c r="CL10" s="100">
        <v>9</v>
      </c>
      <c r="CM10" s="100">
        <v>4903.2</v>
      </c>
      <c r="CN10" s="100">
        <v>11</v>
      </c>
      <c r="CO10" s="100">
        <v>5992.7999999999993</v>
      </c>
      <c r="CP10" s="100">
        <v>13</v>
      </c>
      <c r="CQ10" s="100">
        <v>7082.4</v>
      </c>
      <c r="CR10" s="100">
        <v>6.5980906878339409</v>
      </c>
      <c r="CS10" s="100">
        <v>3594.6398067319305</v>
      </c>
      <c r="CT10" s="100">
        <v>11</v>
      </c>
      <c r="CU10" s="100">
        <v>5992.7999999999993</v>
      </c>
    </row>
    <row r="11" spans="1:99">
      <c r="C11" s="99" t="s">
        <v>177</v>
      </c>
      <c r="D11" s="100">
        <v>7</v>
      </c>
      <c r="E11" s="100">
        <v>3729.5999999999995</v>
      </c>
      <c r="F11" s="100">
        <v>2.0591777159262459</v>
      </c>
      <c r="G11" s="100">
        <v>1097.1298870455037</v>
      </c>
      <c r="H11" s="100">
        <v>9</v>
      </c>
      <c r="I11" s="100">
        <v>4795.2</v>
      </c>
      <c r="J11" s="100">
        <v>11</v>
      </c>
      <c r="K11" s="100">
        <v>5860.7999999999993</v>
      </c>
      <c r="L11" s="100">
        <v>9</v>
      </c>
      <c r="M11" s="100">
        <v>4795.2</v>
      </c>
      <c r="N11" s="100">
        <v>9</v>
      </c>
      <c r="O11" s="100">
        <v>4795.2</v>
      </c>
      <c r="P11" s="100">
        <v>9</v>
      </c>
      <c r="Q11" s="100">
        <v>4795.2</v>
      </c>
      <c r="R11" s="100">
        <v>11</v>
      </c>
      <c r="S11" s="100">
        <v>5860.7999999999993</v>
      </c>
      <c r="T11" s="100">
        <v>4.3106466323723573</v>
      </c>
      <c r="U11" s="100">
        <v>2296.7125257279918</v>
      </c>
      <c r="V11" s="100">
        <v>7.4602656262987024</v>
      </c>
      <c r="W11" s="100">
        <v>3974.8295256919482</v>
      </c>
      <c r="X11" s="100">
        <v>7</v>
      </c>
      <c r="Y11" s="100">
        <v>3729.5999999999995</v>
      </c>
      <c r="Z11" s="100">
        <v>7</v>
      </c>
      <c r="AA11" s="100">
        <v>3729.5999999999995</v>
      </c>
      <c r="AB11" s="100">
        <v>6</v>
      </c>
      <c r="AC11" s="100">
        <v>3196.7999999999997</v>
      </c>
      <c r="AD11" s="100">
        <v>5.3232837669671476</v>
      </c>
      <c r="AE11" s="100">
        <v>2836.2455910400959</v>
      </c>
      <c r="AF11" s="100">
        <v>3.2220643189036235</v>
      </c>
      <c r="AG11" s="100">
        <v>1716.7158691118505</v>
      </c>
      <c r="AH11" s="100">
        <v>6</v>
      </c>
      <c r="AI11" s="100">
        <v>3196.7999999999997</v>
      </c>
      <c r="AJ11" s="100">
        <v>12</v>
      </c>
      <c r="AK11" s="100">
        <v>6393.5999999999995</v>
      </c>
      <c r="AL11" s="100">
        <v>9</v>
      </c>
      <c r="AM11" s="100">
        <v>4795.2</v>
      </c>
      <c r="AN11" s="100">
        <v>11</v>
      </c>
      <c r="AO11" s="100">
        <v>5860.7999999999993</v>
      </c>
      <c r="AP11" s="100">
        <v>7</v>
      </c>
      <c r="AQ11" s="100">
        <v>3729.5999999999995</v>
      </c>
      <c r="AR11" s="100">
        <v>10</v>
      </c>
      <c r="AS11" s="100">
        <v>5328</v>
      </c>
      <c r="AT11" s="100">
        <v>10</v>
      </c>
      <c r="AU11" s="100">
        <v>5328</v>
      </c>
      <c r="AV11" s="100">
        <v>8</v>
      </c>
      <c r="AW11" s="100">
        <v>4262.3999999999996</v>
      </c>
      <c r="AX11" s="100">
        <v>10</v>
      </c>
      <c r="AY11" s="100">
        <v>5328</v>
      </c>
      <c r="AZ11" s="100">
        <v>5.9522525714074366</v>
      </c>
      <c r="BA11" s="100">
        <v>3171.3601700458821</v>
      </c>
      <c r="BB11" s="100">
        <v>0</v>
      </c>
      <c r="BC11" s="100">
        <v>0</v>
      </c>
      <c r="BD11" s="100">
        <v>6</v>
      </c>
      <c r="BE11" s="100">
        <v>3196.7999999999997</v>
      </c>
      <c r="BF11" s="100">
        <v>11</v>
      </c>
      <c r="BG11" s="100">
        <v>5860.7999999999993</v>
      </c>
      <c r="BH11" s="100">
        <v>7.9083295596772114</v>
      </c>
      <c r="BI11" s="100">
        <v>4213.5579893960175</v>
      </c>
      <c r="BJ11" s="100">
        <v>11</v>
      </c>
      <c r="BK11" s="100">
        <v>5860.7999999999993</v>
      </c>
      <c r="BL11" s="100">
        <v>7.8683470525272687</v>
      </c>
      <c r="BM11" s="100">
        <v>4192.2553095865287</v>
      </c>
      <c r="BN11" s="100">
        <v>13</v>
      </c>
      <c r="BO11" s="100">
        <v>6926.4</v>
      </c>
      <c r="BP11" s="100">
        <v>6</v>
      </c>
      <c r="BQ11" s="100">
        <v>3196.7999999999997</v>
      </c>
      <c r="BR11" s="100">
        <v>7</v>
      </c>
      <c r="BS11" s="100">
        <v>3729.5999999999995</v>
      </c>
      <c r="BT11" s="100">
        <v>11</v>
      </c>
      <c r="BU11" s="100">
        <v>5860.7999999999993</v>
      </c>
      <c r="BV11" s="100">
        <v>2.4905306373010316</v>
      </c>
      <c r="BW11" s="100">
        <v>1326.9547235539897</v>
      </c>
      <c r="BX11" s="100">
        <v>10</v>
      </c>
      <c r="BY11" s="100">
        <v>5328</v>
      </c>
      <c r="BZ11" s="100">
        <v>8</v>
      </c>
      <c r="CA11" s="100">
        <v>4262.3999999999996</v>
      </c>
      <c r="CB11" s="100">
        <v>8</v>
      </c>
      <c r="CC11" s="100">
        <v>4262.3999999999996</v>
      </c>
      <c r="CD11" s="100">
        <v>7</v>
      </c>
      <c r="CE11" s="100">
        <v>3729.5999999999995</v>
      </c>
      <c r="CF11" s="100">
        <v>7</v>
      </c>
      <c r="CG11" s="100">
        <v>3729.5999999999995</v>
      </c>
      <c r="CH11" s="100">
        <v>12</v>
      </c>
      <c r="CI11" s="100">
        <v>6393.5999999999995</v>
      </c>
      <c r="CJ11" s="100">
        <v>0.8036852487172732</v>
      </c>
      <c r="CK11" s="100">
        <v>428.20350051656311</v>
      </c>
      <c r="CL11" s="100">
        <v>9</v>
      </c>
      <c r="CM11" s="100">
        <v>4795.2</v>
      </c>
      <c r="CN11" s="100">
        <v>10</v>
      </c>
      <c r="CO11" s="100">
        <v>5328</v>
      </c>
      <c r="CP11" s="100">
        <v>13</v>
      </c>
      <c r="CQ11" s="100">
        <v>6926.4</v>
      </c>
      <c r="CR11" s="100">
        <v>5.7733293518546986</v>
      </c>
      <c r="CS11" s="100">
        <v>3076.0298786681833</v>
      </c>
      <c r="CT11" s="100">
        <v>10</v>
      </c>
      <c r="CU11" s="100">
        <v>5328</v>
      </c>
    </row>
    <row r="12" spans="1:99">
      <c r="C12" s="99" t="s">
        <v>178</v>
      </c>
      <c r="D12" s="100">
        <v>6</v>
      </c>
      <c r="E12" s="100">
        <v>3376.7999999999997</v>
      </c>
      <c r="F12" s="100">
        <v>2.0591777159262459</v>
      </c>
      <c r="G12" s="100">
        <v>1158.9052185232911</v>
      </c>
      <c r="H12" s="100">
        <v>10</v>
      </c>
      <c r="I12" s="100">
        <v>5628</v>
      </c>
      <c r="J12" s="100">
        <v>11</v>
      </c>
      <c r="K12" s="100">
        <v>6190.7999999999993</v>
      </c>
      <c r="L12" s="100">
        <v>9</v>
      </c>
      <c r="M12" s="100">
        <v>5065.2</v>
      </c>
      <c r="N12" s="100">
        <v>10</v>
      </c>
      <c r="O12" s="100">
        <v>5628</v>
      </c>
      <c r="P12" s="100">
        <v>8</v>
      </c>
      <c r="Q12" s="100">
        <v>4502.3999999999996</v>
      </c>
      <c r="R12" s="100">
        <v>9</v>
      </c>
      <c r="S12" s="100">
        <v>5065.2</v>
      </c>
      <c r="T12" s="100">
        <v>3.6948399706048773</v>
      </c>
      <c r="U12" s="100">
        <v>2079.4559354564249</v>
      </c>
      <c r="V12" s="100">
        <v>7.4602656262987024</v>
      </c>
      <c r="W12" s="100">
        <v>4198.6374944809095</v>
      </c>
      <c r="X12" s="100">
        <v>7</v>
      </c>
      <c r="Y12" s="100">
        <v>3939.5999999999995</v>
      </c>
      <c r="Z12" s="100">
        <v>7</v>
      </c>
      <c r="AA12" s="100">
        <v>3939.5999999999995</v>
      </c>
      <c r="AB12" s="100">
        <v>6</v>
      </c>
      <c r="AC12" s="100">
        <v>3376.7999999999997</v>
      </c>
      <c r="AD12" s="100">
        <v>4.5628146574004127</v>
      </c>
      <c r="AE12" s="100">
        <v>2567.952089184952</v>
      </c>
      <c r="AF12" s="100">
        <v>3.2220643189036235</v>
      </c>
      <c r="AG12" s="100">
        <v>1813.3777986789592</v>
      </c>
      <c r="AH12" s="100">
        <v>6</v>
      </c>
      <c r="AI12" s="100">
        <v>3376.7999999999997</v>
      </c>
      <c r="AJ12" s="100">
        <v>11</v>
      </c>
      <c r="AK12" s="100">
        <v>6190.7999999999993</v>
      </c>
      <c r="AL12" s="100">
        <v>9</v>
      </c>
      <c r="AM12" s="100">
        <v>5065.2</v>
      </c>
      <c r="AN12" s="100">
        <v>11</v>
      </c>
      <c r="AO12" s="100">
        <v>6190.7999999999993</v>
      </c>
      <c r="AP12" s="100">
        <v>7</v>
      </c>
      <c r="AQ12" s="100">
        <v>3939.5999999999995</v>
      </c>
      <c r="AR12" s="100">
        <v>9</v>
      </c>
      <c r="AS12" s="100">
        <v>5065.2</v>
      </c>
      <c r="AT12" s="100">
        <v>12</v>
      </c>
      <c r="AU12" s="100">
        <v>6753.5999999999995</v>
      </c>
      <c r="AV12" s="100">
        <v>8</v>
      </c>
      <c r="AW12" s="100">
        <v>4502.3999999999996</v>
      </c>
      <c r="AX12" s="100">
        <v>9</v>
      </c>
      <c r="AY12" s="100">
        <v>5065.2</v>
      </c>
      <c r="AZ12" s="100">
        <v>6.9442946666420076</v>
      </c>
      <c r="BA12" s="100">
        <v>3908.2490383861214</v>
      </c>
      <c r="BB12" s="100">
        <v>0</v>
      </c>
      <c r="BC12" s="100">
        <v>0</v>
      </c>
      <c r="BD12" s="100">
        <v>6</v>
      </c>
      <c r="BE12" s="100">
        <v>3376.7999999999997</v>
      </c>
      <c r="BF12" s="100">
        <v>11</v>
      </c>
      <c r="BG12" s="100">
        <v>6190.7999999999993</v>
      </c>
      <c r="BH12" s="100">
        <v>7.1174966037094904</v>
      </c>
      <c r="BI12" s="100">
        <v>4005.7270885677008</v>
      </c>
      <c r="BJ12" s="100">
        <v>9</v>
      </c>
      <c r="BK12" s="100">
        <v>5065.2</v>
      </c>
      <c r="BL12" s="100">
        <v>6.9940862689131276</v>
      </c>
      <c r="BM12" s="100">
        <v>3936.2717521443078</v>
      </c>
      <c r="BN12" s="100">
        <v>12</v>
      </c>
      <c r="BO12" s="100">
        <v>6753.5999999999995</v>
      </c>
      <c r="BP12" s="100">
        <v>6</v>
      </c>
      <c r="BQ12" s="100">
        <v>3376.7999999999997</v>
      </c>
      <c r="BR12" s="100">
        <v>8</v>
      </c>
      <c r="BS12" s="100">
        <v>4502.3999999999996</v>
      </c>
      <c r="BT12" s="100">
        <v>11</v>
      </c>
      <c r="BU12" s="100">
        <v>6190.7999999999993</v>
      </c>
      <c r="BV12" s="100">
        <v>2.4905306373010316</v>
      </c>
      <c r="BW12" s="100">
        <v>1401.6706426730204</v>
      </c>
      <c r="BX12" s="100">
        <v>11</v>
      </c>
      <c r="BY12" s="100">
        <v>6190.7999999999993</v>
      </c>
      <c r="BZ12" s="100">
        <v>8</v>
      </c>
      <c r="CA12" s="100">
        <v>4502.3999999999996</v>
      </c>
      <c r="CB12" s="100">
        <v>7</v>
      </c>
      <c r="CC12" s="100">
        <v>3939.5999999999995</v>
      </c>
      <c r="CD12" s="100">
        <v>6</v>
      </c>
      <c r="CE12" s="100">
        <v>3376.7999999999997</v>
      </c>
      <c r="CF12" s="100">
        <v>8</v>
      </c>
      <c r="CG12" s="100">
        <v>4502.3999999999996</v>
      </c>
      <c r="CH12" s="100">
        <v>11</v>
      </c>
      <c r="CI12" s="100">
        <v>6190.7999999999993</v>
      </c>
      <c r="CJ12" s="100">
        <v>0.8036852487172732</v>
      </c>
      <c r="CK12" s="100">
        <v>452.31405797808134</v>
      </c>
      <c r="CL12" s="100">
        <v>10</v>
      </c>
      <c r="CM12" s="100">
        <v>5628</v>
      </c>
      <c r="CN12" s="100">
        <v>10</v>
      </c>
      <c r="CO12" s="100">
        <v>5628</v>
      </c>
      <c r="CP12" s="100">
        <v>12</v>
      </c>
      <c r="CQ12" s="100">
        <v>6753.5999999999995</v>
      </c>
      <c r="CR12" s="100">
        <v>6.5980906878339409</v>
      </c>
      <c r="CS12" s="100">
        <v>3713.4054391129416</v>
      </c>
      <c r="CT12" s="100">
        <v>10</v>
      </c>
      <c r="CU12" s="100">
        <v>5628</v>
      </c>
    </row>
    <row r="13" spans="1:99">
      <c r="C13" s="99" t="s">
        <v>179</v>
      </c>
      <c r="D13" s="100">
        <v>7</v>
      </c>
      <c r="E13" s="100">
        <v>596.4</v>
      </c>
      <c r="F13" s="100">
        <v>2.0591777159262459</v>
      </c>
      <c r="G13" s="100">
        <v>175.44194139691615</v>
      </c>
      <c r="H13" s="100">
        <v>10</v>
      </c>
      <c r="I13" s="100">
        <v>852</v>
      </c>
      <c r="J13" s="100">
        <v>9</v>
      </c>
      <c r="K13" s="100">
        <v>766.80000000000007</v>
      </c>
      <c r="L13" s="100">
        <v>8</v>
      </c>
      <c r="M13" s="100">
        <v>681.6</v>
      </c>
      <c r="N13" s="100">
        <v>11</v>
      </c>
      <c r="O13" s="100">
        <v>937.2</v>
      </c>
      <c r="P13" s="100">
        <v>9</v>
      </c>
      <c r="Q13" s="100">
        <v>766.80000000000007</v>
      </c>
      <c r="R13" s="100">
        <v>11</v>
      </c>
      <c r="S13" s="100">
        <v>937.2</v>
      </c>
      <c r="T13" s="100">
        <v>4.3106466323723573</v>
      </c>
      <c r="U13" s="100">
        <v>367.26709307812484</v>
      </c>
      <c r="V13" s="100">
        <v>7.4602656262987024</v>
      </c>
      <c r="W13" s="100">
        <v>635.61463136064947</v>
      </c>
      <c r="X13" s="100">
        <v>7</v>
      </c>
      <c r="Y13" s="100">
        <v>596.4</v>
      </c>
      <c r="Z13" s="100">
        <v>7</v>
      </c>
      <c r="AA13" s="100">
        <v>596.4</v>
      </c>
      <c r="AB13" s="100">
        <v>6</v>
      </c>
      <c r="AC13" s="100">
        <v>511.20000000000005</v>
      </c>
      <c r="AD13" s="100">
        <v>5.3232837669671476</v>
      </c>
      <c r="AE13" s="100">
        <v>453.543776945601</v>
      </c>
      <c r="AF13" s="100">
        <v>2.9291493808214759</v>
      </c>
      <c r="AG13" s="100">
        <v>249.56352724598975</v>
      </c>
      <c r="AH13" s="100">
        <v>6</v>
      </c>
      <c r="AI13" s="100">
        <v>511.20000000000005</v>
      </c>
      <c r="AJ13" s="100">
        <v>10</v>
      </c>
      <c r="AK13" s="100">
        <v>852</v>
      </c>
      <c r="AL13" s="100">
        <v>10</v>
      </c>
      <c r="AM13" s="100">
        <v>852</v>
      </c>
      <c r="AN13" s="100">
        <v>12</v>
      </c>
      <c r="AO13" s="100">
        <v>1022.4000000000001</v>
      </c>
      <c r="AP13" s="100">
        <v>7</v>
      </c>
      <c r="AQ13" s="100">
        <v>596.4</v>
      </c>
      <c r="AR13" s="100">
        <v>9</v>
      </c>
      <c r="AS13" s="100">
        <v>766.80000000000007</v>
      </c>
      <c r="AT13" s="100">
        <v>10</v>
      </c>
      <c r="AU13" s="100">
        <v>852</v>
      </c>
      <c r="AV13" s="100">
        <v>9</v>
      </c>
      <c r="AW13" s="100">
        <v>766.80000000000007</v>
      </c>
      <c r="AX13" s="100">
        <v>10</v>
      </c>
      <c r="AY13" s="100">
        <v>852</v>
      </c>
      <c r="AZ13" s="100">
        <v>5.9522525714074366</v>
      </c>
      <c r="BA13" s="100">
        <v>507.1319190839136</v>
      </c>
      <c r="BB13" s="100">
        <v>0</v>
      </c>
      <c r="BC13" s="100">
        <v>0</v>
      </c>
      <c r="BD13" s="100">
        <v>6</v>
      </c>
      <c r="BE13" s="100">
        <v>511.20000000000005</v>
      </c>
      <c r="BF13" s="100">
        <v>10</v>
      </c>
      <c r="BG13" s="100">
        <v>852</v>
      </c>
      <c r="BH13" s="100">
        <v>7.1174966037094904</v>
      </c>
      <c r="BI13" s="100">
        <v>606.41071063604863</v>
      </c>
      <c r="BJ13" s="100">
        <v>11</v>
      </c>
      <c r="BK13" s="100">
        <v>937.2</v>
      </c>
      <c r="BL13" s="100">
        <v>7.8683470525272687</v>
      </c>
      <c r="BM13" s="100">
        <v>670.38316887532335</v>
      </c>
      <c r="BN13" s="100">
        <v>11</v>
      </c>
      <c r="BO13" s="100">
        <v>937.2</v>
      </c>
      <c r="BP13" s="100">
        <v>7</v>
      </c>
      <c r="BQ13" s="100">
        <v>596.4</v>
      </c>
      <c r="BR13" s="100">
        <v>7</v>
      </c>
      <c r="BS13" s="100">
        <v>596.4</v>
      </c>
      <c r="BT13" s="100">
        <v>11</v>
      </c>
      <c r="BU13" s="100">
        <v>937.2</v>
      </c>
      <c r="BV13" s="100">
        <v>2.8463207283440366</v>
      </c>
      <c r="BW13" s="100">
        <v>242.50652605491192</v>
      </c>
      <c r="BX13" s="100">
        <v>10</v>
      </c>
      <c r="BY13" s="100">
        <v>852</v>
      </c>
      <c r="BZ13" s="100">
        <v>8</v>
      </c>
      <c r="CA13" s="100">
        <v>681.6</v>
      </c>
      <c r="CB13" s="100">
        <v>8</v>
      </c>
      <c r="CC13" s="100">
        <v>681.6</v>
      </c>
      <c r="CD13" s="100">
        <v>7</v>
      </c>
      <c r="CE13" s="100">
        <v>596.4</v>
      </c>
      <c r="CF13" s="100">
        <v>7</v>
      </c>
      <c r="CG13" s="100">
        <v>596.4</v>
      </c>
      <c r="CH13" s="100">
        <v>12</v>
      </c>
      <c r="CI13" s="100">
        <v>1022.4000000000001</v>
      </c>
      <c r="CJ13" s="100">
        <v>0.8036852487172732</v>
      </c>
      <c r="CK13" s="100">
        <v>68.473983190711678</v>
      </c>
      <c r="CL13" s="100">
        <v>9</v>
      </c>
      <c r="CM13" s="100">
        <v>766.80000000000007</v>
      </c>
      <c r="CN13" s="100">
        <v>11</v>
      </c>
      <c r="CO13" s="100">
        <v>937.2</v>
      </c>
      <c r="CP13" s="100">
        <v>13</v>
      </c>
      <c r="CQ13" s="100">
        <v>1107.6000000000001</v>
      </c>
      <c r="CR13" s="100">
        <v>6.5980906878339409</v>
      </c>
      <c r="CS13" s="100">
        <v>562.15732660345179</v>
      </c>
      <c r="CT13" s="100">
        <v>9</v>
      </c>
      <c r="CU13" s="100">
        <v>766.80000000000007</v>
      </c>
    </row>
    <row r="14" spans="1:99">
      <c r="C14" s="99" t="s">
        <v>180</v>
      </c>
      <c r="D14" s="100">
        <v>6</v>
      </c>
      <c r="E14" s="100">
        <v>2930.3999999999996</v>
      </c>
      <c r="F14" s="100">
        <v>2.0591777159262459</v>
      </c>
      <c r="G14" s="100">
        <v>1005.7023964583784</v>
      </c>
      <c r="H14" s="100">
        <v>9</v>
      </c>
      <c r="I14" s="100">
        <v>4395.5999999999995</v>
      </c>
      <c r="J14" s="100">
        <v>9</v>
      </c>
      <c r="K14" s="100">
        <v>4395.5999999999995</v>
      </c>
      <c r="L14" s="100">
        <v>8</v>
      </c>
      <c r="M14" s="100">
        <v>3907.2</v>
      </c>
      <c r="N14" s="100">
        <v>11</v>
      </c>
      <c r="O14" s="100">
        <v>5372.4</v>
      </c>
      <c r="P14" s="100">
        <v>10</v>
      </c>
      <c r="Q14" s="100">
        <v>4884</v>
      </c>
      <c r="R14" s="100">
        <v>10</v>
      </c>
      <c r="S14" s="100">
        <v>4884</v>
      </c>
      <c r="T14" s="100">
        <v>3.6948399706048773</v>
      </c>
      <c r="U14" s="100">
        <v>1804.559841643422</v>
      </c>
      <c r="V14" s="100">
        <v>7.4602656262987024</v>
      </c>
      <c r="W14" s="100">
        <v>3643.5937318842862</v>
      </c>
      <c r="X14" s="100">
        <v>7</v>
      </c>
      <c r="Y14" s="100">
        <v>3418.7999999999997</v>
      </c>
      <c r="Z14" s="100">
        <v>7</v>
      </c>
      <c r="AA14" s="100">
        <v>3418.7999999999997</v>
      </c>
      <c r="AB14" s="100">
        <v>6</v>
      </c>
      <c r="AC14" s="100">
        <v>2930.3999999999996</v>
      </c>
      <c r="AD14" s="100">
        <v>5.3232837669671476</v>
      </c>
      <c r="AE14" s="100">
        <v>2599.8917917867548</v>
      </c>
      <c r="AF14" s="100">
        <v>3.2220643189036235</v>
      </c>
      <c r="AG14" s="100">
        <v>1573.6562133525297</v>
      </c>
      <c r="AH14" s="100">
        <v>6</v>
      </c>
      <c r="AI14" s="100">
        <v>2930.3999999999996</v>
      </c>
      <c r="AJ14" s="100">
        <v>12</v>
      </c>
      <c r="AK14" s="100">
        <v>5860.7999999999993</v>
      </c>
      <c r="AL14" s="100">
        <v>10</v>
      </c>
      <c r="AM14" s="100">
        <v>4884</v>
      </c>
      <c r="AN14" s="100">
        <v>11</v>
      </c>
      <c r="AO14" s="100">
        <v>5372.4</v>
      </c>
      <c r="AP14" s="100">
        <v>7</v>
      </c>
      <c r="AQ14" s="100">
        <v>3418.7999999999997</v>
      </c>
      <c r="AR14" s="100">
        <v>9</v>
      </c>
      <c r="AS14" s="100">
        <v>4395.5999999999995</v>
      </c>
      <c r="AT14" s="100">
        <v>11</v>
      </c>
      <c r="AU14" s="100">
        <v>5372.4</v>
      </c>
      <c r="AV14" s="100">
        <v>8</v>
      </c>
      <c r="AW14" s="100">
        <v>3907.2</v>
      </c>
      <c r="AX14" s="100">
        <v>10</v>
      </c>
      <c r="AY14" s="100">
        <v>4884</v>
      </c>
      <c r="AZ14" s="100">
        <v>5.9522525714074366</v>
      </c>
      <c r="BA14" s="100">
        <v>2907.0801558753919</v>
      </c>
      <c r="BB14" s="100">
        <v>0</v>
      </c>
      <c r="BC14" s="100">
        <v>0</v>
      </c>
      <c r="BD14" s="100">
        <v>7</v>
      </c>
      <c r="BE14" s="100">
        <v>3418.7999999999997</v>
      </c>
      <c r="BF14" s="100">
        <v>10</v>
      </c>
      <c r="BG14" s="100">
        <v>4884</v>
      </c>
      <c r="BH14" s="100">
        <v>7.1174966037094904</v>
      </c>
      <c r="BI14" s="100">
        <v>3476.1853412517148</v>
      </c>
      <c r="BJ14" s="100">
        <v>11</v>
      </c>
      <c r="BK14" s="100">
        <v>5372.4</v>
      </c>
      <c r="BL14" s="100">
        <v>6.9940862689131276</v>
      </c>
      <c r="BM14" s="100">
        <v>3415.9117337371713</v>
      </c>
      <c r="BN14" s="100">
        <v>13</v>
      </c>
      <c r="BO14" s="100">
        <v>6349.2</v>
      </c>
      <c r="BP14" s="100">
        <v>7</v>
      </c>
      <c r="BQ14" s="100">
        <v>3418.7999999999997</v>
      </c>
      <c r="BR14" s="100">
        <v>8</v>
      </c>
      <c r="BS14" s="100">
        <v>3907.2</v>
      </c>
      <c r="BT14" s="100">
        <v>10</v>
      </c>
      <c r="BU14" s="100">
        <v>4884</v>
      </c>
      <c r="BV14" s="100">
        <v>2.4905306373010316</v>
      </c>
      <c r="BW14" s="100">
        <v>1216.3751632578237</v>
      </c>
      <c r="BX14" s="100">
        <v>11</v>
      </c>
      <c r="BY14" s="100">
        <v>5372.4</v>
      </c>
      <c r="BZ14" s="100">
        <v>7</v>
      </c>
      <c r="CA14" s="100">
        <v>3418.7999999999997</v>
      </c>
      <c r="CB14" s="100">
        <v>9</v>
      </c>
      <c r="CC14" s="100">
        <v>4395.5999999999995</v>
      </c>
      <c r="CD14" s="100">
        <v>6</v>
      </c>
      <c r="CE14" s="100">
        <v>2930.3999999999996</v>
      </c>
      <c r="CF14" s="100">
        <v>9</v>
      </c>
      <c r="CG14" s="100">
        <v>4395.5999999999995</v>
      </c>
      <c r="CH14" s="100">
        <v>11</v>
      </c>
      <c r="CI14" s="100">
        <v>5372.4</v>
      </c>
      <c r="CJ14" s="100">
        <v>0.8036852487172732</v>
      </c>
      <c r="CK14" s="100">
        <v>392.51987547351621</v>
      </c>
      <c r="CL14" s="100">
        <v>9</v>
      </c>
      <c r="CM14" s="100">
        <v>4395.5999999999995</v>
      </c>
      <c r="CN14" s="100">
        <v>10</v>
      </c>
      <c r="CO14" s="100">
        <v>4884</v>
      </c>
      <c r="CP14" s="100">
        <v>11</v>
      </c>
      <c r="CQ14" s="100">
        <v>5372.4</v>
      </c>
      <c r="CR14" s="100">
        <v>5.7733293518546986</v>
      </c>
      <c r="CS14" s="100">
        <v>2819.6940554458347</v>
      </c>
      <c r="CT14" s="100">
        <v>9</v>
      </c>
      <c r="CU14" s="100">
        <v>4395.5999999999995</v>
      </c>
    </row>
    <row r="15" spans="1:99">
      <c r="C15" s="99" t="s">
        <v>181</v>
      </c>
      <c r="D15" s="100">
        <v>7</v>
      </c>
      <c r="E15" s="100">
        <v>5342.4</v>
      </c>
      <c r="F15" s="100">
        <v>2.0591777159262459</v>
      </c>
      <c r="G15" s="100">
        <v>1571.5644327949108</v>
      </c>
      <c r="H15" s="100">
        <v>9</v>
      </c>
      <c r="I15" s="100">
        <v>6868.7999999999993</v>
      </c>
      <c r="J15" s="100">
        <v>9</v>
      </c>
      <c r="K15" s="100">
        <v>6868.7999999999993</v>
      </c>
      <c r="L15" s="100">
        <v>9</v>
      </c>
      <c r="M15" s="100">
        <v>6868.7999999999993</v>
      </c>
      <c r="N15" s="100">
        <v>9</v>
      </c>
      <c r="O15" s="100">
        <v>6868.7999999999993</v>
      </c>
      <c r="P15" s="100">
        <v>9</v>
      </c>
      <c r="Q15" s="100">
        <v>6868.7999999999993</v>
      </c>
      <c r="R15" s="100">
        <v>10</v>
      </c>
      <c r="S15" s="100">
        <v>7631.9999999999991</v>
      </c>
      <c r="T15" s="100">
        <v>3.6948399706048773</v>
      </c>
      <c r="U15" s="100">
        <v>2819.9018655656423</v>
      </c>
      <c r="V15" s="100">
        <v>8.3927988295860398</v>
      </c>
      <c r="W15" s="100">
        <v>6405.3840667400655</v>
      </c>
      <c r="X15" s="100">
        <v>7</v>
      </c>
      <c r="Y15" s="100">
        <v>5342.4</v>
      </c>
      <c r="Z15" s="100">
        <v>7</v>
      </c>
      <c r="AA15" s="100">
        <v>5342.4</v>
      </c>
      <c r="AB15" s="100">
        <v>5</v>
      </c>
      <c r="AC15" s="100">
        <v>3815.9999999999995</v>
      </c>
      <c r="AD15" s="100">
        <v>5.3232837669671476</v>
      </c>
      <c r="AE15" s="100">
        <v>4062.7301709493267</v>
      </c>
      <c r="AF15" s="100">
        <v>3.2220643189036235</v>
      </c>
      <c r="AG15" s="100">
        <v>2459.0794881872453</v>
      </c>
      <c r="AH15" s="100">
        <v>6</v>
      </c>
      <c r="AI15" s="100">
        <v>4579.2</v>
      </c>
      <c r="AJ15" s="100">
        <v>11</v>
      </c>
      <c r="AK15" s="100">
        <v>8395.1999999999989</v>
      </c>
      <c r="AL15" s="100">
        <v>9</v>
      </c>
      <c r="AM15" s="100">
        <v>6868.7999999999993</v>
      </c>
      <c r="AN15" s="100">
        <v>9</v>
      </c>
      <c r="AO15" s="100">
        <v>6868.7999999999993</v>
      </c>
      <c r="AP15" s="100">
        <v>6</v>
      </c>
      <c r="AQ15" s="100">
        <v>4579.2</v>
      </c>
      <c r="AR15" s="100">
        <v>9</v>
      </c>
      <c r="AS15" s="100">
        <v>6868.7999999999993</v>
      </c>
      <c r="AT15" s="100">
        <v>10</v>
      </c>
      <c r="AU15" s="100">
        <v>7631.9999999999991</v>
      </c>
      <c r="AV15" s="100">
        <v>7</v>
      </c>
      <c r="AW15" s="100">
        <v>5342.4</v>
      </c>
      <c r="AX15" s="100">
        <v>8</v>
      </c>
      <c r="AY15" s="100">
        <v>6105.5999999999995</v>
      </c>
      <c r="AZ15" s="100">
        <v>5.9522525714074366</v>
      </c>
      <c r="BA15" s="100">
        <v>4542.7591624981551</v>
      </c>
      <c r="BB15" s="100">
        <v>0</v>
      </c>
      <c r="BC15" s="100">
        <v>0</v>
      </c>
      <c r="BD15" s="100">
        <v>7</v>
      </c>
      <c r="BE15" s="100">
        <v>5342.4</v>
      </c>
      <c r="BF15" s="100">
        <v>10</v>
      </c>
      <c r="BG15" s="100">
        <v>7631.9999999999991</v>
      </c>
      <c r="BH15" s="100">
        <v>7.1174966037094904</v>
      </c>
      <c r="BI15" s="100">
        <v>5432.073407951083</v>
      </c>
      <c r="BJ15" s="100">
        <v>11</v>
      </c>
      <c r="BK15" s="100">
        <v>8395.1999999999989</v>
      </c>
      <c r="BL15" s="100">
        <v>6.9940862689131276</v>
      </c>
      <c r="BM15" s="100">
        <v>5337.8866404344981</v>
      </c>
      <c r="BN15" s="100">
        <v>12</v>
      </c>
      <c r="BO15" s="100">
        <v>9158.4</v>
      </c>
      <c r="BP15" s="100">
        <v>7</v>
      </c>
      <c r="BQ15" s="100">
        <v>5342.4</v>
      </c>
      <c r="BR15" s="100">
        <v>8</v>
      </c>
      <c r="BS15" s="100">
        <v>6105.5999999999995</v>
      </c>
      <c r="BT15" s="100">
        <v>11</v>
      </c>
      <c r="BU15" s="100">
        <v>8395.1999999999989</v>
      </c>
      <c r="BV15" s="100">
        <v>2.4905306373010316</v>
      </c>
      <c r="BW15" s="100">
        <v>1900.7729823881473</v>
      </c>
      <c r="BX15" s="100">
        <v>10</v>
      </c>
      <c r="BY15" s="100">
        <v>7631.9999999999991</v>
      </c>
      <c r="BZ15" s="100">
        <v>8</v>
      </c>
      <c r="CA15" s="100">
        <v>6105.5999999999995</v>
      </c>
      <c r="CB15" s="100">
        <v>9</v>
      </c>
      <c r="CC15" s="100">
        <v>6868.7999999999993</v>
      </c>
      <c r="CD15" s="100">
        <v>6</v>
      </c>
      <c r="CE15" s="100">
        <v>4579.2</v>
      </c>
      <c r="CF15" s="100">
        <v>8</v>
      </c>
      <c r="CG15" s="100">
        <v>6105.5999999999995</v>
      </c>
      <c r="CH15" s="100">
        <v>10</v>
      </c>
      <c r="CI15" s="100">
        <v>7631.9999999999991</v>
      </c>
      <c r="CJ15" s="100">
        <v>0.8036852487172732</v>
      </c>
      <c r="CK15" s="100">
        <v>613.37258182102289</v>
      </c>
      <c r="CL15" s="100">
        <v>8</v>
      </c>
      <c r="CM15" s="100">
        <v>6105.5999999999995</v>
      </c>
      <c r="CN15" s="100">
        <v>9</v>
      </c>
      <c r="CO15" s="100">
        <v>6868.7999999999993</v>
      </c>
      <c r="CP15" s="100">
        <v>12</v>
      </c>
      <c r="CQ15" s="100">
        <v>9158.4</v>
      </c>
      <c r="CR15" s="100">
        <v>6.5980906878339409</v>
      </c>
      <c r="CS15" s="100">
        <v>5035.6628129548635</v>
      </c>
      <c r="CT15" s="100">
        <v>9</v>
      </c>
      <c r="CU15" s="100">
        <v>6868.7999999999993</v>
      </c>
    </row>
    <row r="16" spans="1:99">
      <c r="C16" s="99" t="s">
        <v>182</v>
      </c>
      <c r="D16" s="100">
        <v>7</v>
      </c>
      <c r="E16" s="100">
        <v>2385.6</v>
      </c>
      <c r="F16" s="100">
        <v>2.0591777159262459</v>
      </c>
      <c r="G16" s="100">
        <v>701.7677655876646</v>
      </c>
      <c r="H16" s="100">
        <v>10</v>
      </c>
      <c r="I16" s="100">
        <v>3408</v>
      </c>
      <c r="J16" s="100">
        <v>10</v>
      </c>
      <c r="K16" s="100">
        <v>3408</v>
      </c>
      <c r="L16" s="100">
        <v>8</v>
      </c>
      <c r="M16" s="100">
        <v>2726.4</v>
      </c>
      <c r="N16" s="100">
        <v>10</v>
      </c>
      <c r="O16" s="100">
        <v>3408</v>
      </c>
      <c r="P16" s="100">
        <v>9</v>
      </c>
      <c r="Q16" s="100">
        <v>3067.2000000000003</v>
      </c>
      <c r="R16" s="100">
        <v>10</v>
      </c>
      <c r="S16" s="100">
        <v>3408</v>
      </c>
      <c r="T16" s="100">
        <v>3.6948399706048773</v>
      </c>
      <c r="U16" s="100">
        <v>1259.2014619821423</v>
      </c>
      <c r="V16" s="100">
        <v>7.4602656262987024</v>
      </c>
      <c r="W16" s="100">
        <v>2542.4585254425979</v>
      </c>
      <c r="X16" s="100">
        <v>7</v>
      </c>
      <c r="Y16" s="100">
        <v>2385.6</v>
      </c>
      <c r="Z16" s="100">
        <v>7</v>
      </c>
      <c r="AA16" s="100">
        <v>2385.6</v>
      </c>
      <c r="AB16" s="100">
        <v>6</v>
      </c>
      <c r="AC16" s="100">
        <v>2044.8000000000002</v>
      </c>
      <c r="AD16" s="100">
        <v>4.5628146574004127</v>
      </c>
      <c r="AE16" s="100">
        <v>1555.0072352420607</v>
      </c>
      <c r="AF16" s="100">
        <v>2.9291493808214759</v>
      </c>
      <c r="AG16" s="100">
        <v>998.25410898395899</v>
      </c>
      <c r="AH16" s="100">
        <v>6</v>
      </c>
      <c r="AI16" s="100">
        <v>2044.8000000000002</v>
      </c>
      <c r="AJ16" s="100">
        <v>13</v>
      </c>
      <c r="AK16" s="100">
        <v>4430.4000000000005</v>
      </c>
      <c r="AL16" s="100">
        <v>9</v>
      </c>
      <c r="AM16" s="100">
        <v>3067.2000000000003</v>
      </c>
      <c r="AN16" s="100">
        <v>11</v>
      </c>
      <c r="AO16" s="100">
        <v>3748.8</v>
      </c>
      <c r="AP16" s="100">
        <v>6</v>
      </c>
      <c r="AQ16" s="100">
        <v>2044.8000000000002</v>
      </c>
      <c r="AR16" s="100">
        <v>10</v>
      </c>
      <c r="AS16" s="100">
        <v>3408</v>
      </c>
      <c r="AT16" s="100">
        <v>11</v>
      </c>
      <c r="AU16" s="100">
        <v>3748.8</v>
      </c>
      <c r="AV16" s="100">
        <v>8</v>
      </c>
      <c r="AW16" s="100">
        <v>2726.4</v>
      </c>
      <c r="AX16" s="100">
        <v>10</v>
      </c>
      <c r="AY16" s="100">
        <v>3408</v>
      </c>
      <c r="AZ16" s="100">
        <v>5.9522525714074366</v>
      </c>
      <c r="BA16" s="100">
        <v>2028.5276763356544</v>
      </c>
      <c r="BB16" s="100">
        <v>0</v>
      </c>
      <c r="BC16" s="100">
        <v>0</v>
      </c>
      <c r="BD16" s="100">
        <v>6</v>
      </c>
      <c r="BE16" s="100">
        <v>2044.8000000000002</v>
      </c>
      <c r="BF16" s="100">
        <v>11</v>
      </c>
      <c r="BG16" s="100">
        <v>3748.8</v>
      </c>
      <c r="BH16" s="100">
        <v>7.1174966037094904</v>
      </c>
      <c r="BI16" s="100">
        <v>2425.6428425441945</v>
      </c>
      <c r="BJ16" s="100">
        <v>10</v>
      </c>
      <c r="BK16" s="100">
        <v>3408</v>
      </c>
      <c r="BL16" s="100">
        <v>7.8683470525272687</v>
      </c>
      <c r="BM16" s="100">
        <v>2681.5326755012934</v>
      </c>
      <c r="BN16" s="100">
        <v>13</v>
      </c>
      <c r="BO16" s="100">
        <v>4430.4000000000005</v>
      </c>
      <c r="BP16" s="100">
        <v>6</v>
      </c>
      <c r="BQ16" s="100">
        <v>2044.8000000000002</v>
      </c>
      <c r="BR16" s="100">
        <v>7</v>
      </c>
      <c r="BS16" s="100">
        <v>2385.6</v>
      </c>
      <c r="BT16" s="100">
        <v>10</v>
      </c>
      <c r="BU16" s="100">
        <v>3408</v>
      </c>
      <c r="BV16" s="100">
        <v>2.4905306373010316</v>
      </c>
      <c r="BW16" s="100">
        <v>848.77284119219166</v>
      </c>
      <c r="BX16" s="100">
        <v>11</v>
      </c>
      <c r="BY16" s="100">
        <v>3748.8</v>
      </c>
      <c r="BZ16" s="100">
        <v>8</v>
      </c>
      <c r="CA16" s="100">
        <v>2726.4</v>
      </c>
      <c r="CB16" s="100">
        <v>9</v>
      </c>
      <c r="CC16" s="100">
        <v>3067.2000000000003</v>
      </c>
      <c r="CD16" s="100">
        <v>7</v>
      </c>
      <c r="CE16" s="100">
        <v>2385.6</v>
      </c>
      <c r="CF16" s="100">
        <v>8</v>
      </c>
      <c r="CG16" s="100">
        <v>2726.4</v>
      </c>
      <c r="CH16" s="100">
        <v>12</v>
      </c>
      <c r="CI16" s="100">
        <v>4089.6000000000004</v>
      </c>
      <c r="CJ16" s="100">
        <v>0.8840537735890005</v>
      </c>
      <c r="CK16" s="100">
        <v>301.28552603913135</v>
      </c>
      <c r="CL16" s="100">
        <v>10</v>
      </c>
      <c r="CM16" s="100">
        <v>3408</v>
      </c>
      <c r="CN16" s="100">
        <v>10</v>
      </c>
      <c r="CO16" s="100">
        <v>3408</v>
      </c>
      <c r="CP16" s="100">
        <v>12</v>
      </c>
      <c r="CQ16" s="100">
        <v>4089.6000000000004</v>
      </c>
      <c r="CR16" s="100">
        <v>7.4228520238131841</v>
      </c>
      <c r="CS16" s="100">
        <v>2529.7079697155332</v>
      </c>
      <c r="CT16" s="100">
        <v>10</v>
      </c>
      <c r="CU16" s="100">
        <v>3408</v>
      </c>
    </row>
    <row r="17" spans="2:99">
      <c r="C17" s="99" t="s">
        <v>183</v>
      </c>
      <c r="D17" s="100">
        <v>7</v>
      </c>
      <c r="E17" s="100">
        <v>2956.7999999999997</v>
      </c>
      <c r="F17" s="100">
        <v>2.0591777159262459</v>
      </c>
      <c r="G17" s="100">
        <v>869.79666720724617</v>
      </c>
      <c r="H17" s="100">
        <v>10</v>
      </c>
      <c r="I17" s="100">
        <v>4224</v>
      </c>
      <c r="J17" s="100">
        <v>10</v>
      </c>
      <c r="K17" s="100">
        <v>4224</v>
      </c>
      <c r="L17" s="100">
        <v>8</v>
      </c>
      <c r="M17" s="100">
        <v>3379.2</v>
      </c>
      <c r="N17" s="100">
        <v>11</v>
      </c>
      <c r="O17" s="100">
        <v>4646.3999999999996</v>
      </c>
      <c r="P17" s="100">
        <v>9</v>
      </c>
      <c r="Q17" s="100">
        <v>3801.6</v>
      </c>
      <c r="R17" s="100">
        <v>10</v>
      </c>
      <c r="S17" s="100">
        <v>4224</v>
      </c>
      <c r="T17" s="100">
        <v>3.6948399706048773</v>
      </c>
      <c r="U17" s="100">
        <v>1560.7004035835</v>
      </c>
      <c r="V17" s="100">
        <v>9.3253320328733782</v>
      </c>
      <c r="W17" s="100">
        <v>3939.0202506857149</v>
      </c>
      <c r="X17" s="100">
        <v>6</v>
      </c>
      <c r="Y17" s="100">
        <v>2534.3999999999996</v>
      </c>
      <c r="Z17" s="100">
        <v>7</v>
      </c>
      <c r="AA17" s="100">
        <v>2956.7999999999997</v>
      </c>
      <c r="AB17" s="100">
        <v>6</v>
      </c>
      <c r="AC17" s="100">
        <v>2534.3999999999996</v>
      </c>
      <c r="AD17" s="100">
        <v>5.3232837669671476</v>
      </c>
      <c r="AE17" s="100">
        <v>2248.555063166923</v>
      </c>
      <c r="AF17" s="100">
        <v>3.2220643189036235</v>
      </c>
      <c r="AG17" s="100">
        <v>1360.9999683048904</v>
      </c>
      <c r="AH17" s="100">
        <v>6</v>
      </c>
      <c r="AI17" s="100">
        <v>2534.3999999999996</v>
      </c>
      <c r="AJ17" s="100">
        <v>12</v>
      </c>
      <c r="AK17" s="100">
        <v>5068.7999999999993</v>
      </c>
      <c r="AL17" s="100">
        <v>9</v>
      </c>
      <c r="AM17" s="100">
        <v>3801.6</v>
      </c>
      <c r="AN17" s="100">
        <v>11</v>
      </c>
      <c r="AO17" s="100">
        <v>4646.3999999999996</v>
      </c>
      <c r="AP17" s="100">
        <v>7</v>
      </c>
      <c r="AQ17" s="100">
        <v>2956.7999999999997</v>
      </c>
      <c r="AR17" s="100">
        <v>9</v>
      </c>
      <c r="AS17" s="100">
        <v>3801.6</v>
      </c>
      <c r="AT17" s="100">
        <v>11</v>
      </c>
      <c r="AU17" s="100">
        <v>4646.3999999999996</v>
      </c>
      <c r="AV17" s="100">
        <v>8</v>
      </c>
      <c r="AW17" s="100">
        <v>3379.2</v>
      </c>
      <c r="AX17" s="100">
        <v>9</v>
      </c>
      <c r="AY17" s="100">
        <v>3801.6</v>
      </c>
      <c r="AZ17" s="100">
        <v>5.9522525714074366</v>
      </c>
      <c r="BA17" s="100">
        <v>2514.2314861625009</v>
      </c>
      <c r="BB17" s="100">
        <v>0</v>
      </c>
      <c r="BC17" s="100">
        <v>0</v>
      </c>
      <c r="BD17" s="100">
        <v>6</v>
      </c>
      <c r="BE17" s="100">
        <v>2534.3999999999996</v>
      </c>
      <c r="BF17" s="100">
        <v>10</v>
      </c>
      <c r="BG17" s="100">
        <v>4224</v>
      </c>
      <c r="BH17" s="100">
        <v>7.1174966037094904</v>
      </c>
      <c r="BI17" s="100">
        <v>3006.4305654068885</v>
      </c>
      <c r="BJ17" s="100">
        <v>11</v>
      </c>
      <c r="BK17" s="100">
        <v>4646.3999999999996</v>
      </c>
      <c r="BL17" s="100">
        <v>6.9940862689131276</v>
      </c>
      <c r="BM17" s="100">
        <v>2954.3020399889051</v>
      </c>
      <c r="BN17" s="100">
        <v>13</v>
      </c>
      <c r="BO17" s="100">
        <v>5491.2</v>
      </c>
      <c r="BP17" s="100">
        <v>7</v>
      </c>
      <c r="BQ17" s="100">
        <v>2956.7999999999997</v>
      </c>
      <c r="BR17" s="100">
        <v>7</v>
      </c>
      <c r="BS17" s="100">
        <v>2956.7999999999997</v>
      </c>
      <c r="BT17" s="100">
        <v>10</v>
      </c>
      <c r="BU17" s="100">
        <v>4224</v>
      </c>
      <c r="BV17" s="100">
        <v>2.4905306373010316</v>
      </c>
      <c r="BW17" s="100">
        <v>1052.0001411959556</v>
      </c>
      <c r="BX17" s="100">
        <v>10</v>
      </c>
      <c r="BY17" s="100">
        <v>4224</v>
      </c>
      <c r="BZ17" s="100">
        <v>8</v>
      </c>
      <c r="CA17" s="100">
        <v>3379.2</v>
      </c>
      <c r="CB17" s="100">
        <v>9</v>
      </c>
      <c r="CC17" s="100">
        <v>3801.6</v>
      </c>
      <c r="CD17" s="100">
        <v>6</v>
      </c>
      <c r="CE17" s="100">
        <v>2534.3999999999996</v>
      </c>
      <c r="CF17" s="100">
        <v>9</v>
      </c>
      <c r="CG17" s="100">
        <v>3801.6</v>
      </c>
      <c r="CH17" s="100">
        <v>12</v>
      </c>
      <c r="CI17" s="100">
        <v>5068.7999999999993</v>
      </c>
      <c r="CJ17" s="100">
        <v>0.8036852487172732</v>
      </c>
      <c r="CK17" s="100">
        <v>339.47664905817618</v>
      </c>
      <c r="CL17" s="100">
        <v>8</v>
      </c>
      <c r="CM17" s="100">
        <v>3379.2</v>
      </c>
      <c r="CN17" s="100">
        <v>11</v>
      </c>
      <c r="CO17" s="100">
        <v>4646.3999999999996</v>
      </c>
      <c r="CP17" s="100">
        <v>12</v>
      </c>
      <c r="CQ17" s="100">
        <v>5068.7999999999993</v>
      </c>
      <c r="CR17" s="100">
        <v>5.7733293518546986</v>
      </c>
      <c r="CS17" s="100">
        <v>2438.6543182234245</v>
      </c>
      <c r="CT17" s="100">
        <v>9</v>
      </c>
      <c r="CU17" s="100">
        <v>3801.6</v>
      </c>
    </row>
    <row r="18" spans="2:99">
      <c r="C18" s="99" t="s">
        <v>184</v>
      </c>
      <c r="D18" s="100">
        <v>7</v>
      </c>
      <c r="E18" s="100">
        <v>4569.5999999999995</v>
      </c>
      <c r="F18" s="100">
        <v>2.0591777159262459</v>
      </c>
      <c r="G18" s="100">
        <v>1344.2312129566533</v>
      </c>
      <c r="H18" s="100">
        <v>9</v>
      </c>
      <c r="I18" s="100">
        <v>5875.2</v>
      </c>
      <c r="J18" s="100">
        <v>11</v>
      </c>
      <c r="K18" s="100">
        <v>7180.7999999999993</v>
      </c>
      <c r="L18" s="100">
        <v>9</v>
      </c>
      <c r="M18" s="100">
        <v>5875.2</v>
      </c>
      <c r="N18" s="100">
        <v>10</v>
      </c>
      <c r="O18" s="100">
        <v>6528</v>
      </c>
      <c r="P18" s="100">
        <v>9</v>
      </c>
      <c r="Q18" s="100">
        <v>5875.2</v>
      </c>
      <c r="R18" s="100">
        <v>11</v>
      </c>
      <c r="S18" s="100">
        <v>7180.7999999999993</v>
      </c>
      <c r="T18" s="100">
        <v>4.3106466323723573</v>
      </c>
      <c r="U18" s="100">
        <v>2813.9901216126746</v>
      </c>
      <c r="V18" s="100">
        <v>7.4602656262987024</v>
      </c>
      <c r="W18" s="100">
        <v>4870.0614008477924</v>
      </c>
      <c r="X18" s="100">
        <v>7</v>
      </c>
      <c r="Y18" s="100">
        <v>4569.5999999999995</v>
      </c>
      <c r="Z18" s="100">
        <v>7</v>
      </c>
      <c r="AA18" s="100">
        <v>4569.5999999999995</v>
      </c>
      <c r="AB18" s="100">
        <v>6</v>
      </c>
      <c r="AC18" s="100">
        <v>3916.7999999999997</v>
      </c>
      <c r="AD18" s="100">
        <v>5.3232837669671476</v>
      </c>
      <c r="AE18" s="100">
        <v>3475.0396430761539</v>
      </c>
      <c r="AF18" s="100">
        <v>3.2220643189036235</v>
      </c>
      <c r="AG18" s="100">
        <v>2103.3635873802855</v>
      </c>
      <c r="AH18" s="100">
        <v>6</v>
      </c>
      <c r="AI18" s="100">
        <v>3916.7999999999997</v>
      </c>
      <c r="AJ18" s="100">
        <v>10</v>
      </c>
      <c r="AK18" s="100">
        <v>6528</v>
      </c>
      <c r="AL18" s="100">
        <v>9</v>
      </c>
      <c r="AM18" s="100">
        <v>5875.2</v>
      </c>
      <c r="AN18" s="100">
        <v>11</v>
      </c>
      <c r="AO18" s="100">
        <v>7180.7999999999993</v>
      </c>
      <c r="AP18" s="100">
        <v>6</v>
      </c>
      <c r="AQ18" s="100">
        <v>3916.7999999999997</v>
      </c>
      <c r="AR18" s="100">
        <v>9</v>
      </c>
      <c r="AS18" s="100">
        <v>5875.2</v>
      </c>
      <c r="AT18" s="100">
        <v>10</v>
      </c>
      <c r="AU18" s="100">
        <v>6528</v>
      </c>
      <c r="AV18" s="100">
        <v>9</v>
      </c>
      <c r="AW18" s="100">
        <v>5875.2</v>
      </c>
      <c r="AX18" s="100">
        <v>9</v>
      </c>
      <c r="AY18" s="100">
        <v>5875.2</v>
      </c>
      <c r="AZ18" s="100">
        <v>5.9522525714074366</v>
      </c>
      <c r="BA18" s="100">
        <v>3885.6304786147743</v>
      </c>
      <c r="BB18" s="100">
        <v>0</v>
      </c>
      <c r="BC18" s="100">
        <v>0</v>
      </c>
      <c r="BD18" s="100">
        <v>7</v>
      </c>
      <c r="BE18" s="100">
        <v>4569.5999999999995</v>
      </c>
      <c r="BF18" s="100">
        <v>11</v>
      </c>
      <c r="BG18" s="100">
        <v>7180.7999999999993</v>
      </c>
      <c r="BH18" s="100">
        <v>7.1174966037094904</v>
      </c>
      <c r="BI18" s="100">
        <v>4646.3017829015553</v>
      </c>
      <c r="BJ18" s="100">
        <v>10</v>
      </c>
      <c r="BK18" s="100">
        <v>6528</v>
      </c>
      <c r="BL18" s="100">
        <v>7.8683470525272687</v>
      </c>
      <c r="BM18" s="100">
        <v>5136.4569558898011</v>
      </c>
      <c r="BN18" s="100">
        <v>12</v>
      </c>
      <c r="BO18" s="100">
        <v>7833.5999999999995</v>
      </c>
      <c r="BP18" s="100">
        <v>6</v>
      </c>
      <c r="BQ18" s="100">
        <v>3916.7999999999997</v>
      </c>
      <c r="BR18" s="100">
        <v>8</v>
      </c>
      <c r="BS18" s="100">
        <v>5222.3999999999996</v>
      </c>
      <c r="BT18" s="100">
        <v>11</v>
      </c>
      <c r="BU18" s="100">
        <v>7180.7999999999993</v>
      </c>
      <c r="BV18" s="100">
        <v>2.8463207283440366</v>
      </c>
      <c r="BW18" s="100">
        <v>1858.078171462987</v>
      </c>
      <c r="BX18" s="100">
        <v>10</v>
      </c>
      <c r="BY18" s="100">
        <v>6528</v>
      </c>
      <c r="BZ18" s="100">
        <v>9</v>
      </c>
      <c r="CA18" s="100">
        <v>5875.2</v>
      </c>
      <c r="CB18" s="100">
        <v>9</v>
      </c>
      <c r="CC18" s="100">
        <v>5875.2</v>
      </c>
      <c r="CD18" s="100">
        <v>7</v>
      </c>
      <c r="CE18" s="100">
        <v>4569.5999999999995</v>
      </c>
      <c r="CF18" s="100">
        <v>8</v>
      </c>
      <c r="CG18" s="100">
        <v>5222.3999999999996</v>
      </c>
      <c r="CH18" s="100">
        <v>12</v>
      </c>
      <c r="CI18" s="100">
        <v>7833.5999999999995</v>
      </c>
      <c r="CJ18" s="100">
        <v>0.8840537735890005</v>
      </c>
      <c r="CK18" s="100">
        <v>577.11030339889953</v>
      </c>
      <c r="CL18" s="100">
        <v>9</v>
      </c>
      <c r="CM18" s="100">
        <v>5875.2</v>
      </c>
      <c r="CN18" s="100">
        <v>9</v>
      </c>
      <c r="CO18" s="100">
        <v>5875.2</v>
      </c>
      <c r="CP18" s="100">
        <v>13</v>
      </c>
      <c r="CQ18" s="100">
        <v>8486.4</v>
      </c>
      <c r="CR18" s="100">
        <v>6.5980906878339409</v>
      </c>
      <c r="CS18" s="100">
        <v>4307.2336010179961</v>
      </c>
      <c r="CT18" s="100">
        <v>9</v>
      </c>
      <c r="CU18" s="100">
        <v>5875.2</v>
      </c>
    </row>
    <row r="19" spans="2:99">
      <c r="C19" s="99" t="s">
        <v>185</v>
      </c>
      <c r="D19" s="100">
        <v>7</v>
      </c>
      <c r="E19" s="100">
        <v>2310</v>
      </c>
      <c r="F19" s="100">
        <v>2.0591777159262459</v>
      </c>
      <c r="G19" s="100">
        <v>679.5286462556611</v>
      </c>
      <c r="H19" s="100">
        <v>10</v>
      </c>
      <c r="I19" s="100">
        <v>3300</v>
      </c>
      <c r="J19" s="100">
        <v>10</v>
      </c>
      <c r="K19" s="100">
        <v>3300</v>
      </c>
      <c r="L19" s="100">
        <v>8</v>
      </c>
      <c r="M19" s="100">
        <v>2640</v>
      </c>
      <c r="N19" s="100">
        <v>10</v>
      </c>
      <c r="O19" s="100">
        <v>3300</v>
      </c>
      <c r="P19" s="100">
        <v>8</v>
      </c>
      <c r="Q19" s="100">
        <v>2640</v>
      </c>
      <c r="R19" s="100">
        <v>11</v>
      </c>
      <c r="S19" s="100">
        <v>3630</v>
      </c>
      <c r="T19" s="100">
        <v>4.3106466323723573</v>
      </c>
      <c r="U19" s="100">
        <v>1422.513388682878</v>
      </c>
      <c r="V19" s="100">
        <v>8.3927988295860398</v>
      </c>
      <c r="W19" s="100">
        <v>2769.6236137633932</v>
      </c>
      <c r="X19" s="100">
        <v>7</v>
      </c>
      <c r="Y19" s="100">
        <v>2310</v>
      </c>
      <c r="Z19" s="100">
        <v>7</v>
      </c>
      <c r="AA19" s="100">
        <v>2310</v>
      </c>
      <c r="AB19" s="100">
        <v>6</v>
      </c>
      <c r="AC19" s="100">
        <v>1980</v>
      </c>
      <c r="AD19" s="100">
        <v>5.3232837669671476</v>
      </c>
      <c r="AE19" s="100">
        <v>1756.6836430991586</v>
      </c>
      <c r="AF19" s="100">
        <v>3.2220643189036235</v>
      </c>
      <c r="AG19" s="100">
        <v>1063.2812252381957</v>
      </c>
      <c r="AH19" s="100">
        <v>6</v>
      </c>
      <c r="AI19" s="100">
        <v>1980</v>
      </c>
      <c r="AJ19" s="100">
        <v>12</v>
      </c>
      <c r="AK19" s="100">
        <v>3960</v>
      </c>
      <c r="AL19" s="100">
        <v>10</v>
      </c>
      <c r="AM19" s="100">
        <v>3300</v>
      </c>
      <c r="AN19" s="100">
        <v>11</v>
      </c>
      <c r="AO19" s="100">
        <v>3630</v>
      </c>
      <c r="AP19" s="100">
        <v>6</v>
      </c>
      <c r="AQ19" s="100">
        <v>1980</v>
      </c>
      <c r="AR19" s="100">
        <v>9</v>
      </c>
      <c r="AS19" s="100">
        <v>2970</v>
      </c>
      <c r="AT19" s="100">
        <v>10</v>
      </c>
      <c r="AU19" s="100">
        <v>3300</v>
      </c>
      <c r="AV19" s="100">
        <v>8</v>
      </c>
      <c r="AW19" s="100">
        <v>2640</v>
      </c>
      <c r="AX19" s="100">
        <v>9</v>
      </c>
      <c r="AY19" s="100">
        <v>2970</v>
      </c>
      <c r="AZ19" s="100">
        <v>5.9522525714074366</v>
      </c>
      <c r="BA19" s="100">
        <v>1964.243348564454</v>
      </c>
      <c r="BB19" s="100">
        <v>0</v>
      </c>
      <c r="BC19" s="100">
        <v>0</v>
      </c>
      <c r="BD19" s="100">
        <v>7</v>
      </c>
      <c r="BE19" s="100">
        <v>2310</v>
      </c>
      <c r="BF19" s="100">
        <v>10</v>
      </c>
      <c r="BG19" s="100">
        <v>3300</v>
      </c>
      <c r="BH19" s="100">
        <v>7.1174966037094904</v>
      </c>
      <c r="BI19" s="100">
        <v>2348.7738792241316</v>
      </c>
      <c r="BJ19" s="100">
        <v>10</v>
      </c>
      <c r="BK19" s="100">
        <v>3300</v>
      </c>
      <c r="BL19" s="100">
        <v>7.8683470525272687</v>
      </c>
      <c r="BM19" s="100">
        <v>2596.5545273339985</v>
      </c>
      <c r="BN19" s="100">
        <v>12</v>
      </c>
      <c r="BO19" s="100">
        <v>3960</v>
      </c>
      <c r="BP19" s="100">
        <v>7</v>
      </c>
      <c r="BQ19" s="100">
        <v>2310</v>
      </c>
      <c r="BR19" s="100">
        <v>7</v>
      </c>
      <c r="BS19" s="100">
        <v>2310</v>
      </c>
      <c r="BT19" s="100">
        <v>11</v>
      </c>
      <c r="BU19" s="100">
        <v>3630</v>
      </c>
      <c r="BV19" s="100">
        <v>2.4905306373010316</v>
      </c>
      <c r="BW19" s="100">
        <v>821.87511030934047</v>
      </c>
      <c r="BX19" s="100">
        <v>11</v>
      </c>
      <c r="BY19" s="100">
        <v>3630</v>
      </c>
      <c r="BZ19" s="100">
        <v>8</v>
      </c>
      <c r="CA19" s="100">
        <v>2640</v>
      </c>
      <c r="CB19" s="100">
        <v>8</v>
      </c>
      <c r="CC19" s="100">
        <v>2640</v>
      </c>
      <c r="CD19" s="100">
        <v>7</v>
      </c>
      <c r="CE19" s="100">
        <v>2310</v>
      </c>
      <c r="CF19" s="100">
        <v>8</v>
      </c>
      <c r="CG19" s="100">
        <v>2640</v>
      </c>
      <c r="CH19" s="100">
        <v>12</v>
      </c>
      <c r="CI19" s="100">
        <v>3960</v>
      </c>
      <c r="CJ19" s="100">
        <v>0.8840537735890005</v>
      </c>
      <c r="CK19" s="100">
        <v>291.73774528437019</v>
      </c>
      <c r="CL19" s="100">
        <v>9</v>
      </c>
      <c r="CM19" s="100">
        <v>2970</v>
      </c>
      <c r="CN19" s="100">
        <v>10</v>
      </c>
      <c r="CO19" s="100">
        <v>3300</v>
      </c>
      <c r="CP19" s="100">
        <v>13</v>
      </c>
      <c r="CQ19" s="100">
        <v>4290</v>
      </c>
      <c r="CR19" s="100">
        <v>5.7733293518546986</v>
      </c>
      <c r="CS19" s="100">
        <v>1905.1986861120506</v>
      </c>
      <c r="CT19" s="100">
        <v>10</v>
      </c>
      <c r="CU19" s="100">
        <v>3300</v>
      </c>
    </row>
    <row r="20" spans="2:99">
      <c r="B20" s="99" t="s">
        <v>127</v>
      </c>
      <c r="C20" s="99" t="s">
        <v>186</v>
      </c>
      <c r="D20" s="100">
        <v>14</v>
      </c>
      <c r="E20" s="100">
        <v>4015.2000000000003</v>
      </c>
      <c r="F20" s="100">
        <v>5.8833649026464174</v>
      </c>
      <c r="G20" s="100">
        <v>1687.3490540789926</v>
      </c>
      <c r="H20" s="100">
        <v>20</v>
      </c>
      <c r="I20" s="100">
        <v>5736</v>
      </c>
      <c r="J20" s="100">
        <v>19</v>
      </c>
      <c r="K20" s="100">
        <v>5449.2</v>
      </c>
      <c r="L20" s="100">
        <v>15</v>
      </c>
      <c r="M20" s="100">
        <v>4302</v>
      </c>
      <c r="N20" s="100">
        <v>22</v>
      </c>
      <c r="O20" s="100">
        <v>6309.6</v>
      </c>
      <c r="P20" s="100">
        <v>15</v>
      </c>
      <c r="Q20" s="100">
        <v>4302</v>
      </c>
      <c r="R20" s="100">
        <v>15</v>
      </c>
      <c r="S20" s="100">
        <v>4302</v>
      </c>
      <c r="T20" s="100">
        <v>8.0054866029772356</v>
      </c>
      <c r="U20" s="100">
        <v>2295.9735577338711</v>
      </c>
      <c r="V20" s="100">
        <v>16.78559765917208</v>
      </c>
      <c r="W20" s="100">
        <v>4814.1094086505527</v>
      </c>
      <c r="X20" s="100">
        <v>12</v>
      </c>
      <c r="Y20" s="100">
        <v>3441.6000000000004</v>
      </c>
      <c r="Z20" s="100">
        <v>17</v>
      </c>
      <c r="AA20" s="100">
        <v>4875.6000000000004</v>
      </c>
      <c r="AB20" s="100">
        <v>14</v>
      </c>
      <c r="AC20" s="100">
        <v>4015.2000000000003</v>
      </c>
      <c r="AD20" s="100">
        <v>10.646567533934295</v>
      </c>
      <c r="AE20" s="100">
        <v>3053.4355687323559</v>
      </c>
      <c r="AF20" s="100">
        <v>3.5149792569857712</v>
      </c>
      <c r="AG20" s="100">
        <v>1008.0960509035192</v>
      </c>
      <c r="AH20" s="100">
        <v>23</v>
      </c>
      <c r="AI20" s="100">
        <v>6596.4000000000005</v>
      </c>
      <c r="AJ20" s="100">
        <v>19</v>
      </c>
      <c r="AK20" s="100">
        <v>5449.2</v>
      </c>
      <c r="AL20" s="100">
        <v>17</v>
      </c>
      <c r="AM20" s="100">
        <v>4875.6000000000004</v>
      </c>
      <c r="AN20" s="100">
        <v>13</v>
      </c>
      <c r="AO20" s="100">
        <v>3728.4</v>
      </c>
      <c r="AP20" s="100">
        <v>14</v>
      </c>
      <c r="AQ20" s="100">
        <v>4015.2000000000003</v>
      </c>
      <c r="AR20" s="100">
        <v>21</v>
      </c>
      <c r="AS20" s="100">
        <v>6022.8</v>
      </c>
      <c r="AT20" s="100">
        <v>17</v>
      </c>
      <c r="AU20" s="100">
        <v>4875.6000000000004</v>
      </c>
      <c r="AV20" s="100">
        <v>11</v>
      </c>
      <c r="AW20" s="100">
        <v>3154.8</v>
      </c>
      <c r="AX20" s="100">
        <v>19</v>
      </c>
      <c r="AY20" s="100">
        <v>5449.2</v>
      </c>
      <c r="AZ20" s="100">
        <v>21.824926095160595</v>
      </c>
      <c r="BA20" s="100">
        <v>6259.3888040920592</v>
      </c>
      <c r="BB20" s="100">
        <v>0</v>
      </c>
      <c r="BC20" s="100">
        <v>0</v>
      </c>
      <c r="BD20" s="100">
        <v>11</v>
      </c>
      <c r="BE20" s="100">
        <v>3154.8</v>
      </c>
      <c r="BF20" s="100">
        <v>20</v>
      </c>
      <c r="BG20" s="100">
        <v>5736</v>
      </c>
      <c r="BH20" s="100">
        <v>13.444160251451262</v>
      </c>
      <c r="BI20" s="100">
        <v>3855.785160116222</v>
      </c>
      <c r="BJ20" s="100">
        <v>15</v>
      </c>
      <c r="BK20" s="100">
        <v>4302</v>
      </c>
      <c r="BL20" s="100">
        <v>13.988172537826255</v>
      </c>
      <c r="BM20" s="100">
        <v>4011.8078838485703</v>
      </c>
      <c r="BN20" s="100">
        <v>16</v>
      </c>
      <c r="BO20" s="100">
        <v>4588.8</v>
      </c>
      <c r="BP20" s="100">
        <v>24</v>
      </c>
      <c r="BQ20" s="100">
        <v>6883.2000000000007</v>
      </c>
      <c r="BR20" s="100">
        <v>22</v>
      </c>
      <c r="BS20" s="100">
        <v>6309.6</v>
      </c>
      <c r="BT20" s="100">
        <v>18</v>
      </c>
      <c r="BU20" s="100">
        <v>5162.4000000000005</v>
      </c>
      <c r="BV20" s="100">
        <v>6.4042216387740813</v>
      </c>
      <c r="BW20" s="100">
        <v>1836.7307660004067</v>
      </c>
      <c r="BX20" s="100">
        <v>18</v>
      </c>
      <c r="BY20" s="100">
        <v>5162.4000000000005</v>
      </c>
      <c r="BZ20" s="100">
        <v>14</v>
      </c>
      <c r="CA20" s="100">
        <v>4015.2000000000003</v>
      </c>
      <c r="CB20" s="100">
        <v>24</v>
      </c>
      <c r="CC20" s="100">
        <v>6883.2000000000007</v>
      </c>
      <c r="CD20" s="100">
        <v>19</v>
      </c>
      <c r="CE20" s="100">
        <v>5449.2</v>
      </c>
      <c r="CF20" s="100">
        <v>15</v>
      </c>
      <c r="CG20" s="100">
        <v>4302</v>
      </c>
      <c r="CH20" s="100">
        <v>23</v>
      </c>
      <c r="CI20" s="100">
        <v>6596.4000000000005</v>
      </c>
      <c r="CJ20" s="100">
        <v>1.4466334476910918</v>
      </c>
      <c r="CK20" s="100">
        <v>414.89447279780512</v>
      </c>
      <c r="CL20" s="100">
        <v>14</v>
      </c>
      <c r="CM20" s="100">
        <v>4015.2000000000003</v>
      </c>
      <c r="CN20" s="100">
        <v>23</v>
      </c>
      <c r="CO20" s="100">
        <v>6596.4000000000005</v>
      </c>
      <c r="CP20" s="100">
        <v>13</v>
      </c>
      <c r="CQ20" s="100">
        <v>3728.4</v>
      </c>
      <c r="CR20" s="100">
        <v>14.845704047626368</v>
      </c>
      <c r="CS20" s="100">
        <v>4257.7479208592422</v>
      </c>
      <c r="CT20" s="100">
        <v>14</v>
      </c>
      <c r="CU20" s="100">
        <v>4015.2000000000003</v>
      </c>
    </row>
    <row r="21" spans="2:99">
      <c r="C21" s="99" t="s">
        <v>187</v>
      </c>
      <c r="D21" s="100">
        <v>14</v>
      </c>
      <c r="E21" s="100">
        <v>873.6</v>
      </c>
      <c r="F21" s="100">
        <v>6.4717013929110587</v>
      </c>
      <c r="G21" s="100">
        <v>403.83416691765007</v>
      </c>
      <c r="H21" s="100">
        <v>19</v>
      </c>
      <c r="I21" s="100">
        <v>1185.5999999999999</v>
      </c>
      <c r="J21" s="100">
        <v>21</v>
      </c>
      <c r="K21" s="100">
        <v>1310.3999999999999</v>
      </c>
      <c r="L21" s="100">
        <v>17</v>
      </c>
      <c r="M21" s="100">
        <v>1060.8</v>
      </c>
      <c r="N21" s="100">
        <v>23</v>
      </c>
      <c r="O21" s="100">
        <v>1435.2</v>
      </c>
      <c r="P21" s="100">
        <v>15</v>
      </c>
      <c r="Q21" s="100">
        <v>936</v>
      </c>
      <c r="R21" s="100">
        <v>17</v>
      </c>
      <c r="S21" s="100">
        <v>1060.8</v>
      </c>
      <c r="T21" s="100">
        <v>8.0054866029772356</v>
      </c>
      <c r="U21" s="100">
        <v>499.54236402577948</v>
      </c>
      <c r="V21" s="100">
        <v>15.853064455884741</v>
      </c>
      <c r="W21" s="100">
        <v>989.23122204720789</v>
      </c>
      <c r="X21" s="100">
        <v>11</v>
      </c>
      <c r="Y21" s="100">
        <v>686.4</v>
      </c>
      <c r="Z21" s="100">
        <v>19</v>
      </c>
      <c r="AA21" s="100">
        <v>1185.5999999999999</v>
      </c>
      <c r="AB21" s="100">
        <v>16</v>
      </c>
      <c r="AC21" s="100">
        <v>998.4</v>
      </c>
      <c r="AD21" s="100">
        <v>10.646567533934295</v>
      </c>
      <c r="AE21" s="100">
        <v>664.34581411750003</v>
      </c>
      <c r="AF21" s="100">
        <v>3.2220643189036235</v>
      </c>
      <c r="AG21" s="100">
        <v>201.0568134995861</v>
      </c>
      <c r="AH21" s="100">
        <v>20</v>
      </c>
      <c r="AI21" s="100">
        <v>1248</v>
      </c>
      <c r="AJ21" s="100">
        <v>18</v>
      </c>
      <c r="AK21" s="100">
        <v>1123.2</v>
      </c>
      <c r="AL21" s="100">
        <v>17</v>
      </c>
      <c r="AM21" s="100">
        <v>1060.8</v>
      </c>
      <c r="AN21" s="100">
        <v>16</v>
      </c>
      <c r="AO21" s="100">
        <v>998.4</v>
      </c>
      <c r="AP21" s="100">
        <v>15</v>
      </c>
      <c r="AQ21" s="100">
        <v>936</v>
      </c>
      <c r="AR21" s="100">
        <v>21</v>
      </c>
      <c r="AS21" s="100">
        <v>1310.3999999999999</v>
      </c>
      <c r="AT21" s="100">
        <v>16</v>
      </c>
      <c r="AU21" s="100">
        <v>998.4</v>
      </c>
      <c r="AV21" s="100">
        <v>13</v>
      </c>
      <c r="AW21" s="100">
        <v>811.19999999999993</v>
      </c>
      <c r="AX21" s="100">
        <v>17</v>
      </c>
      <c r="AY21" s="100">
        <v>1060.8</v>
      </c>
      <c r="AZ21" s="100">
        <v>22.816968190395169</v>
      </c>
      <c r="BA21" s="100">
        <v>1423.7788150806584</v>
      </c>
      <c r="BB21" s="100">
        <v>0</v>
      </c>
      <c r="BC21" s="100">
        <v>0</v>
      </c>
      <c r="BD21" s="100">
        <v>12</v>
      </c>
      <c r="BE21" s="100">
        <v>748.8</v>
      </c>
      <c r="BF21" s="100">
        <v>22</v>
      </c>
      <c r="BG21" s="100">
        <v>1372.8</v>
      </c>
      <c r="BH21" s="100">
        <v>13.444160251451262</v>
      </c>
      <c r="BI21" s="100">
        <v>838.91559969055868</v>
      </c>
      <c r="BJ21" s="100">
        <v>17</v>
      </c>
      <c r="BK21" s="100">
        <v>1060.8</v>
      </c>
      <c r="BL21" s="100">
        <v>13.988172537826255</v>
      </c>
      <c r="BM21" s="100">
        <v>872.86196636035834</v>
      </c>
      <c r="BN21" s="100">
        <v>16</v>
      </c>
      <c r="BO21" s="100">
        <v>998.4</v>
      </c>
      <c r="BP21" s="100">
        <v>21</v>
      </c>
      <c r="BQ21" s="100">
        <v>1310.3999999999999</v>
      </c>
      <c r="BR21" s="100">
        <v>24</v>
      </c>
      <c r="BS21" s="100">
        <v>1497.6</v>
      </c>
      <c r="BT21" s="100">
        <v>16</v>
      </c>
      <c r="BU21" s="100">
        <v>998.4</v>
      </c>
      <c r="BV21" s="100">
        <v>6.0484315477310782</v>
      </c>
      <c r="BW21" s="100">
        <v>377.42212857841929</v>
      </c>
      <c r="BX21" s="100">
        <v>17</v>
      </c>
      <c r="BY21" s="100">
        <v>1060.8</v>
      </c>
      <c r="BZ21" s="100">
        <v>14</v>
      </c>
      <c r="CA21" s="100">
        <v>873.6</v>
      </c>
      <c r="CB21" s="100">
        <v>22</v>
      </c>
      <c r="CC21" s="100">
        <v>1372.8</v>
      </c>
      <c r="CD21" s="100">
        <v>21</v>
      </c>
      <c r="CE21" s="100">
        <v>1310.3999999999999</v>
      </c>
      <c r="CF21" s="100">
        <v>14</v>
      </c>
      <c r="CG21" s="100">
        <v>873.6</v>
      </c>
      <c r="CH21" s="100">
        <v>21</v>
      </c>
      <c r="CI21" s="100">
        <v>1310.3999999999999</v>
      </c>
      <c r="CJ21" s="100">
        <v>1.3662649228193644</v>
      </c>
      <c r="CK21" s="100">
        <v>85.254931183928335</v>
      </c>
      <c r="CL21" s="100">
        <v>15</v>
      </c>
      <c r="CM21" s="100">
        <v>936</v>
      </c>
      <c r="CN21" s="100">
        <v>26</v>
      </c>
      <c r="CO21" s="100">
        <v>1622.3999999999999</v>
      </c>
      <c r="CP21" s="100">
        <v>12</v>
      </c>
      <c r="CQ21" s="100">
        <v>748.8</v>
      </c>
      <c r="CR21" s="100">
        <v>17.319988055564096</v>
      </c>
      <c r="CS21" s="100">
        <v>1080.7672546671995</v>
      </c>
      <c r="CT21" s="100">
        <v>13</v>
      </c>
      <c r="CU21" s="100">
        <v>811.19999999999993</v>
      </c>
    </row>
    <row r="22" spans="2:99">
      <c r="C22" s="99" t="s">
        <v>188</v>
      </c>
      <c r="D22" s="100">
        <v>16</v>
      </c>
      <c r="E22" s="100">
        <v>2995.2</v>
      </c>
      <c r="F22" s="100">
        <v>5.2950284123817752</v>
      </c>
      <c r="G22" s="100">
        <v>991.22931879786825</v>
      </c>
      <c r="H22" s="100">
        <v>20</v>
      </c>
      <c r="I22" s="100">
        <v>3744</v>
      </c>
      <c r="J22" s="100">
        <v>18</v>
      </c>
      <c r="K22" s="100">
        <v>3369.6</v>
      </c>
      <c r="L22" s="100">
        <v>15</v>
      </c>
      <c r="M22" s="100">
        <v>2808</v>
      </c>
      <c r="N22" s="100">
        <v>21</v>
      </c>
      <c r="O22" s="100">
        <v>3931.2</v>
      </c>
      <c r="P22" s="100">
        <v>15</v>
      </c>
      <c r="Q22" s="100">
        <v>2808</v>
      </c>
      <c r="R22" s="100">
        <v>15</v>
      </c>
      <c r="S22" s="100">
        <v>2808</v>
      </c>
      <c r="T22" s="100">
        <v>8.0054866029772356</v>
      </c>
      <c r="U22" s="100">
        <v>1498.6270920773384</v>
      </c>
      <c r="V22" s="100">
        <v>17.718130862459418</v>
      </c>
      <c r="W22" s="100">
        <v>3316.8340974524031</v>
      </c>
      <c r="X22" s="100">
        <v>11</v>
      </c>
      <c r="Y22" s="100">
        <v>2059.1999999999998</v>
      </c>
      <c r="Z22" s="100">
        <v>19</v>
      </c>
      <c r="AA22" s="100">
        <v>3556.7999999999997</v>
      </c>
      <c r="AB22" s="100">
        <v>15</v>
      </c>
      <c r="AC22" s="100">
        <v>2808</v>
      </c>
      <c r="AD22" s="100">
        <v>10.646567533934295</v>
      </c>
      <c r="AE22" s="100">
        <v>1993.0374423525</v>
      </c>
      <c r="AF22" s="100">
        <v>3.2220643189036235</v>
      </c>
      <c r="AG22" s="100">
        <v>603.17044049875824</v>
      </c>
      <c r="AH22" s="100">
        <v>21</v>
      </c>
      <c r="AI22" s="100">
        <v>3931.2</v>
      </c>
      <c r="AJ22" s="100">
        <v>18</v>
      </c>
      <c r="AK22" s="100">
        <v>3369.6</v>
      </c>
      <c r="AL22" s="100">
        <v>18</v>
      </c>
      <c r="AM22" s="100">
        <v>3369.6</v>
      </c>
      <c r="AN22" s="100">
        <v>15</v>
      </c>
      <c r="AO22" s="100">
        <v>2808</v>
      </c>
      <c r="AP22" s="100">
        <v>15</v>
      </c>
      <c r="AQ22" s="100">
        <v>2808</v>
      </c>
      <c r="AR22" s="100">
        <v>18</v>
      </c>
      <c r="AS22" s="100">
        <v>3369.6</v>
      </c>
      <c r="AT22" s="100">
        <v>17</v>
      </c>
      <c r="AU22" s="100">
        <v>3182.3999999999996</v>
      </c>
      <c r="AV22" s="100">
        <v>11</v>
      </c>
      <c r="AW22" s="100">
        <v>2059.1999999999998</v>
      </c>
      <c r="AX22" s="100">
        <v>19</v>
      </c>
      <c r="AY22" s="100">
        <v>3556.7999999999997</v>
      </c>
      <c r="AZ22" s="100">
        <v>19.840841904691452</v>
      </c>
      <c r="BA22" s="100">
        <v>3714.2056045582394</v>
      </c>
      <c r="BB22" s="100">
        <v>0</v>
      </c>
      <c r="BC22" s="100">
        <v>0</v>
      </c>
      <c r="BD22" s="100">
        <v>12</v>
      </c>
      <c r="BE22" s="100">
        <v>2246.3999999999996</v>
      </c>
      <c r="BF22" s="100">
        <v>22</v>
      </c>
      <c r="BG22" s="100">
        <v>4118.3999999999996</v>
      </c>
      <c r="BH22" s="100">
        <v>14.234993207418981</v>
      </c>
      <c r="BI22" s="100">
        <v>2664.7907284288331</v>
      </c>
      <c r="BJ22" s="100">
        <v>17</v>
      </c>
      <c r="BK22" s="100">
        <v>3182.3999999999996</v>
      </c>
      <c r="BL22" s="100">
        <v>13.113911754212115</v>
      </c>
      <c r="BM22" s="100">
        <v>2454.9242803885077</v>
      </c>
      <c r="BN22" s="100">
        <v>15</v>
      </c>
      <c r="BO22" s="100">
        <v>2808</v>
      </c>
      <c r="BP22" s="100">
        <v>24</v>
      </c>
      <c r="BQ22" s="100">
        <v>4492.7999999999993</v>
      </c>
      <c r="BR22" s="100">
        <v>22</v>
      </c>
      <c r="BS22" s="100">
        <v>4118.3999999999996</v>
      </c>
      <c r="BT22" s="100">
        <v>18</v>
      </c>
      <c r="BU22" s="100">
        <v>3369.6</v>
      </c>
      <c r="BV22" s="100">
        <v>6.4042216387740813</v>
      </c>
      <c r="BW22" s="100">
        <v>1198.870290778508</v>
      </c>
      <c r="BX22" s="100">
        <v>16</v>
      </c>
      <c r="BY22" s="100">
        <v>2995.2</v>
      </c>
      <c r="BZ22" s="100">
        <v>13</v>
      </c>
      <c r="CA22" s="100">
        <v>2433.6</v>
      </c>
      <c r="CB22" s="100">
        <v>24</v>
      </c>
      <c r="CC22" s="100">
        <v>4492.7999999999993</v>
      </c>
      <c r="CD22" s="100">
        <v>20</v>
      </c>
      <c r="CE22" s="100">
        <v>3744</v>
      </c>
      <c r="CF22" s="100">
        <v>14</v>
      </c>
      <c r="CG22" s="100">
        <v>2620.7999999999997</v>
      </c>
      <c r="CH22" s="100">
        <v>21</v>
      </c>
      <c r="CI22" s="100">
        <v>3931.2</v>
      </c>
      <c r="CJ22" s="100">
        <v>1.285896397947637</v>
      </c>
      <c r="CK22" s="100">
        <v>240.71980569579762</v>
      </c>
      <c r="CL22" s="100">
        <v>15</v>
      </c>
      <c r="CM22" s="100">
        <v>2808</v>
      </c>
      <c r="CN22" s="100">
        <v>26</v>
      </c>
      <c r="CO22" s="100">
        <v>4867.2</v>
      </c>
      <c r="CP22" s="100">
        <v>13</v>
      </c>
      <c r="CQ22" s="100">
        <v>2433.6</v>
      </c>
      <c r="CR22" s="100">
        <v>15.67046538360561</v>
      </c>
      <c r="CS22" s="100">
        <v>2933.5111198109698</v>
      </c>
      <c r="CT22" s="100">
        <v>13</v>
      </c>
      <c r="CU22" s="100">
        <v>2433.6</v>
      </c>
    </row>
    <row r="23" spans="2:99">
      <c r="C23" s="99" t="s">
        <v>189</v>
      </c>
      <c r="D23" s="100">
        <v>13</v>
      </c>
      <c r="E23" s="100">
        <v>3822</v>
      </c>
      <c r="F23" s="100">
        <v>6.4717013929110587</v>
      </c>
      <c r="G23" s="100">
        <v>1902.6802095158512</v>
      </c>
      <c r="H23" s="100">
        <v>18</v>
      </c>
      <c r="I23" s="100">
        <v>5292</v>
      </c>
      <c r="J23" s="100">
        <v>18</v>
      </c>
      <c r="K23" s="100">
        <v>5292</v>
      </c>
      <c r="L23" s="100">
        <v>15</v>
      </c>
      <c r="M23" s="100">
        <v>4410</v>
      </c>
      <c r="N23" s="100">
        <v>23</v>
      </c>
      <c r="O23" s="100">
        <v>6762</v>
      </c>
      <c r="P23" s="100">
        <v>14</v>
      </c>
      <c r="Q23" s="100">
        <v>4116</v>
      </c>
      <c r="R23" s="100">
        <v>16</v>
      </c>
      <c r="S23" s="100">
        <v>4704</v>
      </c>
      <c r="T23" s="100">
        <v>8.6212932647447147</v>
      </c>
      <c r="U23" s="100">
        <v>2534.660219834946</v>
      </c>
      <c r="V23" s="100">
        <v>14.920531252597405</v>
      </c>
      <c r="W23" s="100">
        <v>4386.6361882636375</v>
      </c>
      <c r="X23" s="100">
        <v>13</v>
      </c>
      <c r="Y23" s="100">
        <v>3822</v>
      </c>
      <c r="Z23" s="100">
        <v>17</v>
      </c>
      <c r="AA23" s="100">
        <v>4998</v>
      </c>
      <c r="AB23" s="100">
        <v>14</v>
      </c>
      <c r="AC23" s="100">
        <v>4116</v>
      </c>
      <c r="AD23" s="100">
        <v>11.407036643501032</v>
      </c>
      <c r="AE23" s="100">
        <v>3353.6687731893035</v>
      </c>
      <c r="AF23" s="100">
        <v>3.5149792569857712</v>
      </c>
      <c r="AG23" s="100">
        <v>1033.4039015538167</v>
      </c>
      <c r="AH23" s="100">
        <v>23</v>
      </c>
      <c r="AI23" s="100">
        <v>6762</v>
      </c>
      <c r="AJ23" s="100">
        <v>16</v>
      </c>
      <c r="AK23" s="100">
        <v>4704</v>
      </c>
      <c r="AL23" s="100">
        <v>17</v>
      </c>
      <c r="AM23" s="100">
        <v>4998</v>
      </c>
      <c r="AN23" s="100">
        <v>14</v>
      </c>
      <c r="AO23" s="100">
        <v>4116</v>
      </c>
      <c r="AP23" s="100">
        <v>16</v>
      </c>
      <c r="AQ23" s="100">
        <v>4704</v>
      </c>
      <c r="AR23" s="100">
        <v>19</v>
      </c>
      <c r="AS23" s="100">
        <v>5586</v>
      </c>
      <c r="AT23" s="100">
        <v>18</v>
      </c>
      <c r="AU23" s="100">
        <v>5292</v>
      </c>
      <c r="AV23" s="100">
        <v>12</v>
      </c>
      <c r="AW23" s="100">
        <v>3528</v>
      </c>
      <c r="AX23" s="100">
        <v>17</v>
      </c>
      <c r="AY23" s="100">
        <v>4998</v>
      </c>
      <c r="AZ23" s="100">
        <v>22.816968190395169</v>
      </c>
      <c r="BA23" s="100">
        <v>6708.1886479761797</v>
      </c>
      <c r="BB23" s="100">
        <v>0</v>
      </c>
      <c r="BC23" s="100">
        <v>0</v>
      </c>
      <c r="BD23" s="100">
        <v>11</v>
      </c>
      <c r="BE23" s="100">
        <v>3234</v>
      </c>
      <c r="BF23" s="100">
        <v>20</v>
      </c>
      <c r="BG23" s="100">
        <v>5880</v>
      </c>
      <c r="BH23" s="100">
        <v>14.234993207418981</v>
      </c>
      <c r="BI23" s="100">
        <v>4185.0880029811806</v>
      </c>
      <c r="BJ23" s="100">
        <v>15</v>
      </c>
      <c r="BK23" s="100">
        <v>4410</v>
      </c>
      <c r="BL23" s="100">
        <v>13.113911754212115</v>
      </c>
      <c r="BM23" s="100">
        <v>3855.4900557383617</v>
      </c>
      <c r="BN23" s="100">
        <v>15</v>
      </c>
      <c r="BO23" s="100">
        <v>4410</v>
      </c>
      <c r="BP23" s="100">
        <v>21</v>
      </c>
      <c r="BQ23" s="100">
        <v>6174</v>
      </c>
      <c r="BR23" s="100">
        <v>22</v>
      </c>
      <c r="BS23" s="100">
        <v>6468</v>
      </c>
      <c r="BT23" s="100">
        <v>19</v>
      </c>
      <c r="BU23" s="100">
        <v>5586</v>
      </c>
      <c r="BV23" s="100">
        <v>6.7600117298170863</v>
      </c>
      <c r="BW23" s="100">
        <v>1987.4434485662234</v>
      </c>
      <c r="BX23" s="100">
        <v>17</v>
      </c>
      <c r="BY23" s="100">
        <v>4998</v>
      </c>
      <c r="BZ23" s="100">
        <v>13</v>
      </c>
      <c r="CA23" s="100">
        <v>3822</v>
      </c>
      <c r="CB23" s="100">
        <v>25</v>
      </c>
      <c r="CC23" s="100">
        <v>7350</v>
      </c>
      <c r="CD23" s="100">
        <v>20</v>
      </c>
      <c r="CE23" s="100">
        <v>5880</v>
      </c>
      <c r="CF23" s="100">
        <v>15</v>
      </c>
      <c r="CG23" s="100">
        <v>4410</v>
      </c>
      <c r="CH23" s="100">
        <v>20</v>
      </c>
      <c r="CI23" s="100">
        <v>5880</v>
      </c>
      <c r="CJ23" s="100">
        <v>1.3662649228193644</v>
      </c>
      <c r="CK23" s="100">
        <v>401.68188730889312</v>
      </c>
      <c r="CL23" s="100">
        <v>17</v>
      </c>
      <c r="CM23" s="100">
        <v>4998</v>
      </c>
      <c r="CN23" s="100">
        <v>26</v>
      </c>
      <c r="CO23" s="100">
        <v>7644</v>
      </c>
      <c r="CP23" s="100">
        <v>12</v>
      </c>
      <c r="CQ23" s="100">
        <v>3528</v>
      </c>
      <c r="CR23" s="100">
        <v>14.845704047626368</v>
      </c>
      <c r="CS23" s="100">
        <v>4364.6369900021518</v>
      </c>
      <c r="CT23" s="100">
        <v>14</v>
      </c>
      <c r="CU23" s="100">
        <v>4116</v>
      </c>
    </row>
    <row r="24" spans="2:99">
      <c r="C24" s="99" t="s">
        <v>190</v>
      </c>
      <c r="D24" s="100">
        <v>14</v>
      </c>
      <c r="E24" s="100">
        <v>5140.8</v>
      </c>
      <c r="F24" s="100">
        <v>5.5891966575140968</v>
      </c>
      <c r="G24" s="100">
        <v>2052.3530126391761</v>
      </c>
      <c r="H24" s="100">
        <v>19</v>
      </c>
      <c r="I24" s="100">
        <v>6976.8</v>
      </c>
      <c r="J24" s="100">
        <v>18</v>
      </c>
      <c r="K24" s="100">
        <v>6609.5999999999995</v>
      </c>
      <c r="L24" s="100">
        <v>15</v>
      </c>
      <c r="M24" s="100">
        <v>5508</v>
      </c>
      <c r="N24" s="100">
        <v>22</v>
      </c>
      <c r="O24" s="100">
        <v>8078.4</v>
      </c>
      <c r="P24" s="100">
        <v>15</v>
      </c>
      <c r="Q24" s="100">
        <v>5508</v>
      </c>
      <c r="R24" s="100">
        <v>15</v>
      </c>
      <c r="S24" s="100">
        <v>5508</v>
      </c>
      <c r="T24" s="100">
        <v>8.0054866029772356</v>
      </c>
      <c r="U24" s="100">
        <v>2939.614680613241</v>
      </c>
      <c r="V24" s="100">
        <v>15.853064455884741</v>
      </c>
      <c r="W24" s="100">
        <v>5821.245268200877</v>
      </c>
      <c r="X24" s="100">
        <v>11</v>
      </c>
      <c r="Y24" s="100">
        <v>4039.2</v>
      </c>
      <c r="Z24" s="100">
        <v>18</v>
      </c>
      <c r="AA24" s="100">
        <v>6609.5999999999995</v>
      </c>
      <c r="AB24" s="100">
        <v>15</v>
      </c>
      <c r="AC24" s="100">
        <v>5508</v>
      </c>
      <c r="AD24" s="100">
        <v>10.646567533934295</v>
      </c>
      <c r="AE24" s="100">
        <v>3909.4195984606731</v>
      </c>
      <c r="AF24" s="100">
        <v>3.2220643189036235</v>
      </c>
      <c r="AG24" s="100">
        <v>1183.1420179014106</v>
      </c>
      <c r="AH24" s="100">
        <v>21</v>
      </c>
      <c r="AI24" s="100">
        <v>7711.2</v>
      </c>
      <c r="AJ24" s="100">
        <v>17</v>
      </c>
      <c r="AK24" s="100">
        <v>6242.4</v>
      </c>
      <c r="AL24" s="100">
        <v>16</v>
      </c>
      <c r="AM24" s="100">
        <v>5875.2</v>
      </c>
      <c r="AN24" s="100">
        <v>16</v>
      </c>
      <c r="AO24" s="100">
        <v>5875.2</v>
      </c>
      <c r="AP24" s="100">
        <v>17</v>
      </c>
      <c r="AQ24" s="100">
        <v>6242.4</v>
      </c>
      <c r="AR24" s="100">
        <v>20</v>
      </c>
      <c r="AS24" s="100">
        <v>7344</v>
      </c>
      <c r="AT24" s="100">
        <v>19</v>
      </c>
      <c r="AU24" s="100">
        <v>6976.8</v>
      </c>
      <c r="AV24" s="100">
        <v>12</v>
      </c>
      <c r="AW24" s="100">
        <v>4406.3999999999996</v>
      </c>
      <c r="AX24" s="100">
        <v>16</v>
      </c>
      <c r="AY24" s="100">
        <v>5875.2</v>
      </c>
      <c r="AZ24" s="100">
        <v>22.816968190395169</v>
      </c>
      <c r="BA24" s="100">
        <v>8378.3907195131051</v>
      </c>
      <c r="BB24" s="100">
        <v>0</v>
      </c>
      <c r="BC24" s="100">
        <v>0</v>
      </c>
      <c r="BD24" s="100">
        <v>10</v>
      </c>
      <c r="BE24" s="100">
        <v>3672</v>
      </c>
      <c r="BF24" s="100">
        <v>21</v>
      </c>
      <c r="BG24" s="100">
        <v>7711.2</v>
      </c>
      <c r="BH24" s="100">
        <v>14.234993207418981</v>
      </c>
      <c r="BI24" s="100">
        <v>5227.0895057642492</v>
      </c>
      <c r="BJ24" s="100">
        <v>17</v>
      </c>
      <c r="BK24" s="100">
        <v>6242.4</v>
      </c>
      <c r="BL24" s="100">
        <v>13.988172537826255</v>
      </c>
      <c r="BM24" s="100">
        <v>5136.4569558898011</v>
      </c>
      <c r="BN24" s="100">
        <v>13</v>
      </c>
      <c r="BO24" s="100">
        <v>4773.5999999999995</v>
      </c>
      <c r="BP24" s="100">
        <v>24</v>
      </c>
      <c r="BQ24" s="100">
        <v>8812.7999999999993</v>
      </c>
      <c r="BR24" s="100">
        <v>21</v>
      </c>
      <c r="BS24" s="100">
        <v>7711.2</v>
      </c>
      <c r="BT24" s="100">
        <v>16</v>
      </c>
      <c r="BU24" s="100">
        <v>5875.2</v>
      </c>
      <c r="BV24" s="100">
        <v>6.0484315477310782</v>
      </c>
      <c r="BW24" s="100">
        <v>2220.9840643268517</v>
      </c>
      <c r="BX24" s="100">
        <v>16</v>
      </c>
      <c r="BY24" s="100">
        <v>5875.2</v>
      </c>
      <c r="BZ24" s="100">
        <v>12</v>
      </c>
      <c r="CA24" s="100">
        <v>4406.3999999999996</v>
      </c>
      <c r="CB24" s="100">
        <v>22</v>
      </c>
      <c r="CC24" s="100">
        <v>8078.4</v>
      </c>
      <c r="CD24" s="100">
        <v>20</v>
      </c>
      <c r="CE24" s="100">
        <v>7344</v>
      </c>
      <c r="CF24" s="100">
        <v>17</v>
      </c>
      <c r="CG24" s="100">
        <v>6242.4</v>
      </c>
      <c r="CH24" s="100">
        <v>21</v>
      </c>
      <c r="CI24" s="100">
        <v>7711.2</v>
      </c>
      <c r="CJ24" s="100">
        <v>1.3662649228193644</v>
      </c>
      <c r="CK24" s="100">
        <v>501.69247965927059</v>
      </c>
      <c r="CL24" s="100">
        <v>16</v>
      </c>
      <c r="CM24" s="100">
        <v>5875.2</v>
      </c>
      <c r="CN24" s="100">
        <v>23</v>
      </c>
      <c r="CO24" s="100">
        <v>8445.6</v>
      </c>
      <c r="CP24" s="100">
        <v>12</v>
      </c>
      <c r="CQ24" s="100">
        <v>4406.3999999999996</v>
      </c>
      <c r="CR24" s="100">
        <v>14.020942711647125</v>
      </c>
      <c r="CS24" s="100">
        <v>5148.4901637168241</v>
      </c>
      <c r="CT24" s="100">
        <v>12</v>
      </c>
      <c r="CU24" s="100">
        <v>4406.3999999999996</v>
      </c>
    </row>
    <row r="25" spans="2:99">
      <c r="C25" s="99" t="s">
        <v>191</v>
      </c>
      <c r="D25" s="100">
        <v>14</v>
      </c>
      <c r="E25" s="100">
        <v>7425.5999999999995</v>
      </c>
      <c r="F25" s="100">
        <v>5.8833649026464174</v>
      </c>
      <c r="G25" s="100">
        <v>3120.5367443636596</v>
      </c>
      <c r="H25" s="100">
        <v>19</v>
      </c>
      <c r="I25" s="100">
        <v>10077.6</v>
      </c>
      <c r="J25" s="100">
        <v>19</v>
      </c>
      <c r="K25" s="100">
        <v>10077.6</v>
      </c>
      <c r="L25" s="100">
        <v>16</v>
      </c>
      <c r="M25" s="100">
        <v>8486.4</v>
      </c>
      <c r="N25" s="100">
        <v>19</v>
      </c>
      <c r="O25" s="100">
        <v>10077.6</v>
      </c>
      <c r="P25" s="100">
        <v>16</v>
      </c>
      <c r="Q25" s="100">
        <v>8486.4</v>
      </c>
      <c r="R25" s="100">
        <v>16</v>
      </c>
      <c r="S25" s="100">
        <v>8486.4</v>
      </c>
      <c r="T25" s="100">
        <v>7.3896799412097547</v>
      </c>
      <c r="U25" s="100">
        <v>3919.4862408176537</v>
      </c>
      <c r="V25" s="100">
        <v>15.853064455884741</v>
      </c>
      <c r="W25" s="100">
        <v>8408.4653874012656</v>
      </c>
      <c r="X25" s="100">
        <v>12</v>
      </c>
      <c r="Y25" s="100">
        <v>6364.7999999999993</v>
      </c>
      <c r="Z25" s="100">
        <v>16</v>
      </c>
      <c r="AA25" s="100">
        <v>8486.4</v>
      </c>
      <c r="AB25" s="100">
        <v>14</v>
      </c>
      <c r="AC25" s="100">
        <v>7425.5999999999995</v>
      </c>
      <c r="AD25" s="100">
        <v>10.646567533934295</v>
      </c>
      <c r="AE25" s="100">
        <v>5646.9394199987501</v>
      </c>
      <c r="AF25" s="100">
        <v>3.5149792569857712</v>
      </c>
      <c r="AG25" s="100">
        <v>1864.344997905253</v>
      </c>
      <c r="AH25" s="100">
        <v>19</v>
      </c>
      <c r="AI25" s="100">
        <v>10077.6</v>
      </c>
      <c r="AJ25" s="100">
        <v>16</v>
      </c>
      <c r="AK25" s="100">
        <v>8486.4</v>
      </c>
      <c r="AL25" s="100">
        <v>16</v>
      </c>
      <c r="AM25" s="100">
        <v>8486.4</v>
      </c>
      <c r="AN25" s="100">
        <v>13</v>
      </c>
      <c r="AO25" s="100">
        <v>6895.2</v>
      </c>
      <c r="AP25" s="100">
        <v>15</v>
      </c>
      <c r="AQ25" s="100">
        <v>7956</v>
      </c>
      <c r="AR25" s="100">
        <v>18</v>
      </c>
      <c r="AS25" s="100">
        <v>9547.1999999999989</v>
      </c>
      <c r="AT25" s="100">
        <v>17</v>
      </c>
      <c r="AU25" s="100">
        <v>9016.7999999999993</v>
      </c>
      <c r="AV25" s="100">
        <v>13</v>
      </c>
      <c r="AW25" s="100">
        <v>6895.2</v>
      </c>
      <c r="AX25" s="100">
        <v>18</v>
      </c>
      <c r="AY25" s="100">
        <v>9547.1999999999989</v>
      </c>
      <c r="AZ25" s="100">
        <v>22.816968190395169</v>
      </c>
      <c r="BA25" s="100">
        <v>12102.119928185597</v>
      </c>
      <c r="BB25" s="100">
        <v>0</v>
      </c>
      <c r="BC25" s="100">
        <v>0</v>
      </c>
      <c r="BD25" s="100">
        <v>11</v>
      </c>
      <c r="BE25" s="100">
        <v>5834.4</v>
      </c>
      <c r="BF25" s="100">
        <v>19</v>
      </c>
      <c r="BG25" s="100">
        <v>10077.6</v>
      </c>
      <c r="BH25" s="100">
        <v>15.025826163386704</v>
      </c>
      <c r="BI25" s="100">
        <v>7969.6981970603074</v>
      </c>
      <c r="BJ25" s="100">
        <v>16</v>
      </c>
      <c r="BK25" s="100">
        <v>8486.4</v>
      </c>
      <c r="BL25" s="100">
        <v>12.239650970597975</v>
      </c>
      <c r="BM25" s="100">
        <v>6491.9108748051658</v>
      </c>
      <c r="BN25" s="100">
        <v>14</v>
      </c>
      <c r="BO25" s="100">
        <v>7425.5999999999995</v>
      </c>
      <c r="BP25" s="100">
        <v>20</v>
      </c>
      <c r="BQ25" s="100">
        <v>10608</v>
      </c>
      <c r="BR25" s="100">
        <v>21</v>
      </c>
      <c r="BS25" s="100">
        <v>11138.4</v>
      </c>
      <c r="BT25" s="100">
        <v>16</v>
      </c>
      <c r="BU25" s="100">
        <v>8486.4</v>
      </c>
      <c r="BV25" s="100">
        <v>6.7600117298170863</v>
      </c>
      <c r="BW25" s="100">
        <v>3585.5102214949825</v>
      </c>
      <c r="BX25" s="100">
        <v>15</v>
      </c>
      <c r="BY25" s="100">
        <v>7956</v>
      </c>
      <c r="BZ25" s="100">
        <v>12</v>
      </c>
      <c r="CA25" s="100">
        <v>6364.7999999999993</v>
      </c>
      <c r="CB25" s="100">
        <v>23</v>
      </c>
      <c r="CC25" s="100">
        <v>12199.199999999999</v>
      </c>
      <c r="CD25" s="100">
        <v>20</v>
      </c>
      <c r="CE25" s="100">
        <v>10608</v>
      </c>
      <c r="CF25" s="100">
        <v>16</v>
      </c>
      <c r="CG25" s="100">
        <v>8486.4</v>
      </c>
      <c r="CH25" s="100">
        <v>19</v>
      </c>
      <c r="CI25" s="100">
        <v>10077.6</v>
      </c>
      <c r="CJ25" s="100">
        <v>1.3662649228193644</v>
      </c>
      <c r="CK25" s="100">
        <v>724.66691506339089</v>
      </c>
      <c r="CL25" s="100">
        <v>15</v>
      </c>
      <c r="CM25" s="100">
        <v>7956</v>
      </c>
      <c r="CN25" s="100">
        <v>25</v>
      </c>
      <c r="CO25" s="100">
        <v>13260</v>
      </c>
      <c r="CP25" s="100">
        <v>13</v>
      </c>
      <c r="CQ25" s="100">
        <v>6895.2</v>
      </c>
      <c r="CR25" s="100">
        <v>15.67046538360561</v>
      </c>
      <c r="CS25" s="100">
        <v>8311.6148394644151</v>
      </c>
      <c r="CT25" s="100">
        <v>13</v>
      </c>
      <c r="CU25" s="100">
        <v>6895.2</v>
      </c>
    </row>
    <row r="26" spans="2:99">
      <c r="C26" s="99" t="s">
        <v>192</v>
      </c>
      <c r="D26" s="100">
        <v>15</v>
      </c>
      <c r="E26" s="100">
        <v>7290</v>
      </c>
      <c r="F26" s="100">
        <v>5.8833649026464174</v>
      </c>
      <c r="G26" s="100">
        <v>2859.3153426861591</v>
      </c>
      <c r="H26" s="100">
        <v>17</v>
      </c>
      <c r="I26" s="100">
        <v>8262</v>
      </c>
      <c r="J26" s="100">
        <v>20</v>
      </c>
      <c r="K26" s="100">
        <v>9720</v>
      </c>
      <c r="L26" s="100">
        <v>16</v>
      </c>
      <c r="M26" s="100">
        <v>7776</v>
      </c>
      <c r="N26" s="100">
        <v>21</v>
      </c>
      <c r="O26" s="100">
        <v>10206</v>
      </c>
      <c r="P26" s="100">
        <v>16</v>
      </c>
      <c r="Q26" s="100">
        <v>7776</v>
      </c>
      <c r="R26" s="100">
        <v>16</v>
      </c>
      <c r="S26" s="100">
        <v>7776</v>
      </c>
      <c r="T26" s="100">
        <v>8.6212932647447147</v>
      </c>
      <c r="U26" s="100">
        <v>4189.9485266659312</v>
      </c>
      <c r="V26" s="100">
        <v>17.718130862459418</v>
      </c>
      <c r="W26" s="100">
        <v>8611.0115991552775</v>
      </c>
      <c r="X26" s="100">
        <v>11</v>
      </c>
      <c r="Y26" s="100">
        <v>5346</v>
      </c>
      <c r="Z26" s="100">
        <v>17</v>
      </c>
      <c r="AA26" s="100">
        <v>8262</v>
      </c>
      <c r="AB26" s="100">
        <v>15</v>
      </c>
      <c r="AC26" s="100">
        <v>7290</v>
      </c>
      <c r="AD26" s="100">
        <v>10.646567533934295</v>
      </c>
      <c r="AE26" s="100">
        <v>5174.2318214920679</v>
      </c>
      <c r="AF26" s="100">
        <v>2.9291493808214759</v>
      </c>
      <c r="AG26" s="100">
        <v>1423.5665990792372</v>
      </c>
      <c r="AH26" s="100">
        <v>20</v>
      </c>
      <c r="AI26" s="100">
        <v>9720</v>
      </c>
      <c r="AJ26" s="100">
        <v>18</v>
      </c>
      <c r="AK26" s="100">
        <v>8748</v>
      </c>
      <c r="AL26" s="100">
        <v>15</v>
      </c>
      <c r="AM26" s="100">
        <v>7290</v>
      </c>
      <c r="AN26" s="100">
        <v>16</v>
      </c>
      <c r="AO26" s="100">
        <v>7776</v>
      </c>
      <c r="AP26" s="100">
        <v>14</v>
      </c>
      <c r="AQ26" s="100">
        <v>6804</v>
      </c>
      <c r="AR26" s="100">
        <v>21</v>
      </c>
      <c r="AS26" s="100">
        <v>10206</v>
      </c>
      <c r="AT26" s="100">
        <v>16</v>
      </c>
      <c r="AU26" s="100">
        <v>7776</v>
      </c>
      <c r="AV26" s="100">
        <v>12</v>
      </c>
      <c r="AW26" s="100">
        <v>5832</v>
      </c>
      <c r="AX26" s="100">
        <v>16</v>
      </c>
      <c r="AY26" s="100">
        <v>7776</v>
      </c>
      <c r="AZ26" s="100">
        <v>22.816968190395169</v>
      </c>
      <c r="BA26" s="100">
        <v>11089.046540532052</v>
      </c>
      <c r="BB26" s="100">
        <v>0</v>
      </c>
      <c r="BC26" s="100">
        <v>0</v>
      </c>
      <c r="BD26" s="100">
        <v>11</v>
      </c>
      <c r="BE26" s="100">
        <v>5346</v>
      </c>
      <c r="BF26" s="100">
        <v>18</v>
      </c>
      <c r="BG26" s="100">
        <v>8748</v>
      </c>
      <c r="BH26" s="100">
        <v>13.444160251451262</v>
      </c>
      <c r="BI26" s="100">
        <v>6533.8618822053131</v>
      </c>
      <c r="BJ26" s="100">
        <v>15</v>
      </c>
      <c r="BK26" s="100">
        <v>7290</v>
      </c>
      <c r="BL26" s="100">
        <v>13.988172537826255</v>
      </c>
      <c r="BM26" s="100">
        <v>6798.25185338356</v>
      </c>
      <c r="BN26" s="100">
        <v>14</v>
      </c>
      <c r="BO26" s="100">
        <v>6804</v>
      </c>
      <c r="BP26" s="100">
        <v>22</v>
      </c>
      <c r="BQ26" s="100">
        <v>10692</v>
      </c>
      <c r="BR26" s="100">
        <v>21</v>
      </c>
      <c r="BS26" s="100">
        <v>10206</v>
      </c>
      <c r="BT26" s="100">
        <v>18</v>
      </c>
      <c r="BU26" s="100">
        <v>8748</v>
      </c>
      <c r="BV26" s="100">
        <v>6.0484315477310782</v>
      </c>
      <c r="BW26" s="100">
        <v>2939.5377321973042</v>
      </c>
      <c r="BX26" s="100">
        <v>17</v>
      </c>
      <c r="BY26" s="100">
        <v>8262</v>
      </c>
      <c r="BZ26" s="100">
        <v>12</v>
      </c>
      <c r="CA26" s="100">
        <v>5832</v>
      </c>
      <c r="CB26" s="100">
        <v>23</v>
      </c>
      <c r="CC26" s="100">
        <v>11178</v>
      </c>
      <c r="CD26" s="100">
        <v>22</v>
      </c>
      <c r="CE26" s="100">
        <v>10692</v>
      </c>
      <c r="CF26" s="100">
        <v>15</v>
      </c>
      <c r="CG26" s="100">
        <v>7290</v>
      </c>
      <c r="CH26" s="100">
        <v>21</v>
      </c>
      <c r="CI26" s="100">
        <v>10206</v>
      </c>
      <c r="CJ26" s="100">
        <v>1.4466334476910918</v>
      </c>
      <c r="CK26" s="100">
        <v>703.06385557787064</v>
      </c>
      <c r="CL26" s="100">
        <v>14</v>
      </c>
      <c r="CM26" s="100">
        <v>6804</v>
      </c>
      <c r="CN26" s="100">
        <v>25</v>
      </c>
      <c r="CO26" s="100">
        <v>12150</v>
      </c>
      <c r="CP26" s="100">
        <v>12</v>
      </c>
      <c r="CQ26" s="100">
        <v>5832</v>
      </c>
      <c r="CR26" s="100">
        <v>14.845704047626368</v>
      </c>
      <c r="CS26" s="100">
        <v>7215.0121671464149</v>
      </c>
      <c r="CT26" s="100">
        <v>13</v>
      </c>
      <c r="CU26" s="100">
        <v>6318</v>
      </c>
    </row>
    <row r="27" spans="2:99">
      <c r="C27" s="99" t="s">
        <v>193</v>
      </c>
      <c r="D27" s="100">
        <v>13</v>
      </c>
      <c r="E27" s="100">
        <v>5553.5999999999995</v>
      </c>
      <c r="F27" s="100">
        <v>6.1775331477787381</v>
      </c>
      <c r="G27" s="100">
        <v>2639.0421607310768</v>
      </c>
      <c r="H27" s="100">
        <v>19</v>
      </c>
      <c r="I27" s="100">
        <v>8116.8</v>
      </c>
      <c r="J27" s="100">
        <v>18</v>
      </c>
      <c r="K27" s="100">
        <v>7689.5999999999995</v>
      </c>
      <c r="L27" s="100">
        <v>16</v>
      </c>
      <c r="M27" s="100">
        <v>6835.2</v>
      </c>
      <c r="N27" s="100">
        <v>19</v>
      </c>
      <c r="O27" s="100">
        <v>8116.8</v>
      </c>
      <c r="P27" s="100">
        <v>16</v>
      </c>
      <c r="Q27" s="100">
        <v>6835.2</v>
      </c>
      <c r="R27" s="100">
        <v>16</v>
      </c>
      <c r="S27" s="100">
        <v>6835.2</v>
      </c>
      <c r="T27" s="100">
        <v>8.0054866029772356</v>
      </c>
      <c r="U27" s="100">
        <v>3419.943876791875</v>
      </c>
      <c r="V27" s="100">
        <v>16.78559765917208</v>
      </c>
      <c r="W27" s="100">
        <v>7170.8073199983119</v>
      </c>
      <c r="X27" s="100">
        <v>12</v>
      </c>
      <c r="Y27" s="100">
        <v>5126.3999999999996</v>
      </c>
      <c r="Z27" s="100">
        <v>19</v>
      </c>
      <c r="AA27" s="100">
        <v>8116.8</v>
      </c>
      <c r="AB27" s="100">
        <v>13</v>
      </c>
      <c r="AC27" s="100">
        <v>5553.5999999999995</v>
      </c>
      <c r="AD27" s="100">
        <v>12.167505753067767</v>
      </c>
      <c r="AE27" s="100">
        <v>5197.9584577105497</v>
      </c>
      <c r="AF27" s="100">
        <v>3.5149792569857712</v>
      </c>
      <c r="AG27" s="100">
        <v>1501.5991385843215</v>
      </c>
      <c r="AH27" s="100">
        <v>22</v>
      </c>
      <c r="AI27" s="100">
        <v>9398.4</v>
      </c>
      <c r="AJ27" s="100">
        <v>17</v>
      </c>
      <c r="AK27" s="100">
        <v>7262.4</v>
      </c>
      <c r="AL27" s="100">
        <v>16</v>
      </c>
      <c r="AM27" s="100">
        <v>6835.2</v>
      </c>
      <c r="AN27" s="100">
        <v>15</v>
      </c>
      <c r="AO27" s="100">
        <v>6408</v>
      </c>
      <c r="AP27" s="100">
        <v>15</v>
      </c>
      <c r="AQ27" s="100">
        <v>6408</v>
      </c>
      <c r="AR27" s="100">
        <v>19</v>
      </c>
      <c r="AS27" s="100">
        <v>8116.8</v>
      </c>
      <c r="AT27" s="100">
        <v>17</v>
      </c>
      <c r="AU27" s="100">
        <v>7262.4</v>
      </c>
      <c r="AV27" s="100">
        <v>13</v>
      </c>
      <c r="AW27" s="100">
        <v>5553.5999999999995</v>
      </c>
      <c r="AX27" s="100">
        <v>18</v>
      </c>
      <c r="AY27" s="100">
        <v>7689.5999999999995</v>
      </c>
      <c r="AZ27" s="100">
        <v>22.816968190395169</v>
      </c>
      <c r="BA27" s="100">
        <v>9747.4088109368167</v>
      </c>
      <c r="BB27" s="100">
        <v>0</v>
      </c>
      <c r="BC27" s="100">
        <v>0</v>
      </c>
      <c r="BD27" s="100">
        <v>12</v>
      </c>
      <c r="BE27" s="100">
        <v>5126.3999999999996</v>
      </c>
      <c r="BF27" s="100">
        <v>21</v>
      </c>
      <c r="BG27" s="100">
        <v>8971.1999999999989</v>
      </c>
      <c r="BH27" s="100">
        <v>13.444160251451262</v>
      </c>
      <c r="BI27" s="100">
        <v>5743.3452594199789</v>
      </c>
      <c r="BJ27" s="100">
        <v>16</v>
      </c>
      <c r="BK27" s="100">
        <v>6835.2</v>
      </c>
      <c r="BL27" s="100">
        <v>12.239650970597975</v>
      </c>
      <c r="BM27" s="100">
        <v>5228.7788946394548</v>
      </c>
      <c r="BN27" s="100">
        <v>16</v>
      </c>
      <c r="BO27" s="100">
        <v>6835.2</v>
      </c>
      <c r="BP27" s="100">
        <v>20</v>
      </c>
      <c r="BQ27" s="100">
        <v>8544</v>
      </c>
      <c r="BR27" s="100">
        <v>20</v>
      </c>
      <c r="BS27" s="100">
        <v>8544</v>
      </c>
      <c r="BT27" s="100">
        <v>16</v>
      </c>
      <c r="BU27" s="100">
        <v>6835.2</v>
      </c>
      <c r="BV27" s="100">
        <v>6.0484315477310782</v>
      </c>
      <c r="BW27" s="100">
        <v>2583.8899571907164</v>
      </c>
      <c r="BX27" s="100">
        <v>15</v>
      </c>
      <c r="BY27" s="100">
        <v>6408</v>
      </c>
      <c r="BZ27" s="100">
        <v>14</v>
      </c>
      <c r="CA27" s="100">
        <v>5980.8</v>
      </c>
      <c r="CB27" s="100">
        <v>25</v>
      </c>
      <c r="CC27" s="100">
        <v>10680</v>
      </c>
      <c r="CD27" s="100">
        <v>19</v>
      </c>
      <c r="CE27" s="100">
        <v>8116.8</v>
      </c>
      <c r="CF27" s="100">
        <v>15</v>
      </c>
      <c r="CG27" s="100">
        <v>6408</v>
      </c>
      <c r="CH27" s="100">
        <v>23</v>
      </c>
      <c r="CI27" s="100">
        <v>9825.6</v>
      </c>
      <c r="CJ27" s="100">
        <v>1.285896397947637</v>
      </c>
      <c r="CK27" s="100">
        <v>549.33494120323053</v>
      </c>
      <c r="CL27" s="100">
        <v>14</v>
      </c>
      <c r="CM27" s="100">
        <v>5980.8</v>
      </c>
      <c r="CN27" s="100">
        <v>22</v>
      </c>
      <c r="CO27" s="100">
        <v>9398.4</v>
      </c>
      <c r="CP27" s="100">
        <v>11</v>
      </c>
      <c r="CQ27" s="100">
        <v>4699.2</v>
      </c>
      <c r="CR27" s="100">
        <v>15.67046538360561</v>
      </c>
      <c r="CS27" s="100">
        <v>6694.4228118763158</v>
      </c>
      <c r="CT27" s="100">
        <v>14</v>
      </c>
      <c r="CU27" s="100">
        <v>5980.8</v>
      </c>
    </row>
    <row r="28" spans="2:99">
      <c r="C28" s="99" t="s">
        <v>194</v>
      </c>
      <c r="D28" s="100">
        <v>15</v>
      </c>
      <c r="E28" s="100">
        <v>11070</v>
      </c>
      <c r="F28" s="100">
        <v>5.5891966575140968</v>
      </c>
      <c r="G28" s="100">
        <v>4124.8271332454033</v>
      </c>
      <c r="H28" s="100">
        <v>18</v>
      </c>
      <c r="I28" s="100">
        <v>13284</v>
      </c>
      <c r="J28" s="100">
        <v>20</v>
      </c>
      <c r="K28" s="100">
        <v>14760</v>
      </c>
      <c r="L28" s="100">
        <v>16</v>
      </c>
      <c r="M28" s="100">
        <v>11808</v>
      </c>
      <c r="N28" s="100">
        <v>20</v>
      </c>
      <c r="O28" s="100">
        <v>14760</v>
      </c>
      <c r="P28" s="100">
        <v>14</v>
      </c>
      <c r="Q28" s="100">
        <v>10332</v>
      </c>
      <c r="R28" s="100">
        <v>14</v>
      </c>
      <c r="S28" s="100">
        <v>10332</v>
      </c>
      <c r="T28" s="100">
        <v>8.6212932647447147</v>
      </c>
      <c r="U28" s="100">
        <v>6362.5144293815993</v>
      </c>
      <c r="V28" s="100">
        <v>14.920531252597405</v>
      </c>
      <c r="W28" s="100">
        <v>11011.352064416884</v>
      </c>
      <c r="X28" s="100">
        <v>10</v>
      </c>
      <c r="Y28" s="100">
        <v>7380</v>
      </c>
      <c r="Z28" s="100">
        <v>19</v>
      </c>
      <c r="AA28" s="100">
        <v>14022</v>
      </c>
      <c r="AB28" s="100">
        <v>15</v>
      </c>
      <c r="AC28" s="100">
        <v>11070</v>
      </c>
      <c r="AD28" s="100">
        <v>11.407036643501032</v>
      </c>
      <c r="AE28" s="100">
        <v>8418.3930429037609</v>
      </c>
      <c r="AF28" s="100">
        <v>3.2220643189036235</v>
      </c>
      <c r="AG28" s="100">
        <v>2377.8834673508741</v>
      </c>
      <c r="AH28" s="100">
        <v>20</v>
      </c>
      <c r="AI28" s="100">
        <v>14760</v>
      </c>
      <c r="AJ28" s="100">
        <v>19</v>
      </c>
      <c r="AK28" s="100">
        <v>14022</v>
      </c>
      <c r="AL28" s="100">
        <v>16</v>
      </c>
      <c r="AM28" s="100">
        <v>11808</v>
      </c>
      <c r="AN28" s="100">
        <v>14</v>
      </c>
      <c r="AO28" s="100">
        <v>10332</v>
      </c>
      <c r="AP28" s="100">
        <v>16</v>
      </c>
      <c r="AQ28" s="100">
        <v>11808</v>
      </c>
      <c r="AR28" s="100">
        <v>18</v>
      </c>
      <c r="AS28" s="100">
        <v>13284</v>
      </c>
      <c r="AT28" s="100">
        <v>17</v>
      </c>
      <c r="AU28" s="100">
        <v>12546</v>
      </c>
      <c r="AV28" s="100">
        <v>12</v>
      </c>
      <c r="AW28" s="100">
        <v>8856</v>
      </c>
      <c r="AX28" s="100">
        <v>18</v>
      </c>
      <c r="AY28" s="100">
        <v>13284</v>
      </c>
      <c r="AZ28" s="100">
        <v>21.824926095160595</v>
      </c>
      <c r="BA28" s="100">
        <v>16106.79545822852</v>
      </c>
      <c r="BB28" s="100">
        <v>0</v>
      </c>
      <c r="BC28" s="100">
        <v>0</v>
      </c>
      <c r="BD28" s="100">
        <v>10</v>
      </c>
      <c r="BE28" s="100">
        <v>7380</v>
      </c>
      <c r="BF28" s="100">
        <v>21</v>
      </c>
      <c r="BG28" s="100">
        <v>15498</v>
      </c>
      <c r="BH28" s="100">
        <v>14.234993207418981</v>
      </c>
      <c r="BI28" s="100">
        <v>10505.424987075208</v>
      </c>
      <c r="BJ28" s="100">
        <v>14</v>
      </c>
      <c r="BK28" s="100">
        <v>10332</v>
      </c>
      <c r="BL28" s="100">
        <v>12.239650970597975</v>
      </c>
      <c r="BM28" s="100">
        <v>9032.8624163013046</v>
      </c>
      <c r="BN28" s="100">
        <v>13</v>
      </c>
      <c r="BO28" s="100">
        <v>9594</v>
      </c>
      <c r="BP28" s="100">
        <v>21</v>
      </c>
      <c r="BQ28" s="100">
        <v>15498</v>
      </c>
      <c r="BR28" s="100">
        <v>23</v>
      </c>
      <c r="BS28" s="100">
        <v>16974</v>
      </c>
      <c r="BT28" s="100">
        <v>17</v>
      </c>
      <c r="BU28" s="100">
        <v>12546</v>
      </c>
      <c r="BV28" s="100">
        <v>6.4042216387740813</v>
      </c>
      <c r="BW28" s="100">
        <v>4726.315569415272</v>
      </c>
      <c r="BX28" s="100">
        <v>17</v>
      </c>
      <c r="BY28" s="100">
        <v>12546</v>
      </c>
      <c r="BZ28" s="100">
        <v>12</v>
      </c>
      <c r="CA28" s="100">
        <v>8856</v>
      </c>
      <c r="CB28" s="100">
        <v>21</v>
      </c>
      <c r="CC28" s="100">
        <v>15498</v>
      </c>
      <c r="CD28" s="100">
        <v>20</v>
      </c>
      <c r="CE28" s="100">
        <v>14760</v>
      </c>
      <c r="CF28" s="100">
        <v>16</v>
      </c>
      <c r="CG28" s="100">
        <v>11808</v>
      </c>
      <c r="CH28" s="100">
        <v>21</v>
      </c>
      <c r="CI28" s="100">
        <v>15498</v>
      </c>
      <c r="CJ28" s="100">
        <v>1.4466334476910918</v>
      </c>
      <c r="CK28" s="100">
        <v>1067.6154843960257</v>
      </c>
      <c r="CL28" s="100">
        <v>16</v>
      </c>
      <c r="CM28" s="100">
        <v>11808</v>
      </c>
      <c r="CN28" s="100">
        <v>24</v>
      </c>
      <c r="CO28" s="100">
        <v>17712</v>
      </c>
      <c r="CP28" s="100">
        <v>12</v>
      </c>
      <c r="CQ28" s="100">
        <v>8856</v>
      </c>
      <c r="CR28" s="100">
        <v>14.020942711647125</v>
      </c>
      <c r="CS28" s="100">
        <v>10347.455721195578</v>
      </c>
      <c r="CT28" s="100">
        <v>13</v>
      </c>
      <c r="CU28" s="100">
        <v>9594</v>
      </c>
    </row>
    <row r="29" spans="2:99">
      <c r="C29" s="99" t="s">
        <v>195</v>
      </c>
      <c r="D29" s="100">
        <v>15</v>
      </c>
      <c r="E29" s="100">
        <v>5076</v>
      </c>
      <c r="F29" s="100">
        <v>5.8833649026464174</v>
      </c>
      <c r="G29" s="100">
        <v>1990.9306830555474</v>
      </c>
      <c r="H29" s="100">
        <v>18</v>
      </c>
      <c r="I29" s="100">
        <v>6091.2</v>
      </c>
      <c r="J29" s="100">
        <v>20</v>
      </c>
      <c r="K29" s="100">
        <v>6768</v>
      </c>
      <c r="L29" s="100">
        <v>16</v>
      </c>
      <c r="M29" s="100">
        <v>5414.4</v>
      </c>
      <c r="N29" s="100">
        <v>21</v>
      </c>
      <c r="O29" s="100">
        <v>7106.4</v>
      </c>
      <c r="P29" s="100">
        <v>15</v>
      </c>
      <c r="Q29" s="100">
        <v>5076</v>
      </c>
      <c r="R29" s="100">
        <v>16</v>
      </c>
      <c r="S29" s="100">
        <v>5414.4</v>
      </c>
      <c r="T29" s="100">
        <v>7.3896799412097547</v>
      </c>
      <c r="U29" s="100">
        <v>2500.6676921053809</v>
      </c>
      <c r="V29" s="100">
        <v>15.853064455884741</v>
      </c>
      <c r="W29" s="100">
        <v>5364.6770118713957</v>
      </c>
      <c r="X29" s="100">
        <v>11</v>
      </c>
      <c r="Y29" s="100">
        <v>3722.3999999999996</v>
      </c>
      <c r="Z29" s="100">
        <v>17</v>
      </c>
      <c r="AA29" s="100">
        <v>5752.7999999999993</v>
      </c>
      <c r="AB29" s="100">
        <v>15</v>
      </c>
      <c r="AC29" s="100">
        <v>5076</v>
      </c>
      <c r="AD29" s="100">
        <v>10.646567533934295</v>
      </c>
      <c r="AE29" s="100">
        <v>3602.7984534833654</v>
      </c>
      <c r="AF29" s="100">
        <v>3.2220643189036235</v>
      </c>
      <c r="AG29" s="100">
        <v>1090.3465655169862</v>
      </c>
      <c r="AH29" s="100">
        <v>22</v>
      </c>
      <c r="AI29" s="100">
        <v>7444.7999999999993</v>
      </c>
      <c r="AJ29" s="100">
        <v>19</v>
      </c>
      <c r="AK29" s="100">
        <v>6429.5999999999995</v>
      </c>
      <c r="AL29" s="100">
        <v>18</v>
      </c>
      <c r="AM29" s="100">
        <v>6091.2</v>
      </c>
      <c r="AN29" s="100">
        <v>15</v>
      </c>
      <c r="AO29" s="100">
        <v>5076</v>
      </c>
      <c r="AP29" s="100">
        <v>17</v>
      </c>
      <c r="AQ29" s="100">
        <v>5752.7999999999993</v>
      </c>
      <c r="AR29" s="100">
        <v>20</v>
      </c>
      <c r="AS29" s="100">
        <v>6768</v>
      </c>
      <c r="AT29" s="100">
        <v>17</v>
      </c>
      <c r="AU29" s="100">
        <v>5752.7999999999993</v>
      </c>
      <c r="AV29" s="100">
        <v>13</v>
      </c>
      <c r="AW29" s="100">
        <v>4399.2</v>
      </c>
      <c r="AX29" s="100">
        <v>16</v>
      </c>
      <c r="AY29" s="100">
        <v>5414.4</v>
      </c>
      <c r="AZ29" s="100">
        <v>22.816968190395169</v>
      </c>
      <c r="BA29" s="100">
        <v>7721.2620356297248</v>
      </c>
      <c r="BB29" s="100">
        <v>0</v>
      </c>
      <c r="BC29" s="100">
        <v>0</v>
      </c>
      <c r="BD29" s="100">
        <v>12</v>
      </c>
      <c r="BE29" s="100">
        <v>4060.7999999999997</v>
      </c>
      <c r="BF29" s="100">
        <v>19</v>
      </c>
      <c r="BG29" s="100">
        <v>6429.5999999999995</v>
      </c>
      <c r="BH29" s="100">
        <v>13.444160251451262</v>
      </c>
      <c r="BI29" s="100">
        <v>4549.503829091107</v>
      </c>
      <c r="BJ29" s="100">
        <v>16</v>
      </c>
      <c r="BK29" s="100">
        <v>5414.4</v>
      </c>
      <c r="BL29" s="100">
        <v>12.239650970597975</v>
      </c>
      <c r="BM29" s="100">
        <v>4141.897888450354</v>
      </c>
      <c r="BN29" s="100">
        <v>14</v>
      </c>
      <c r="BO29" s="100">
        <v>4737.5999999999995</v>
      </c>
      <c r="BP29" s="100">
        <v>22</v>
      </c>
      <c r="BQ29" s="100">
        <v>7444.7999999999993</v>
      </c>
      <c r="BR29" s="100">
        <v>22</v>
      </c>
      <c r="BS29" s="100">
        <v>7444.7999999999993</v>
      </c>
      <c r="BT29" s="100">
        <v>18</v>
      </c>
      <c r="BU29" s="100">
        <v>6091.2</v>
      </c>
      <c r="BV29" s="100">
        <v>6.7600117298170863</v>
      </c>
      <c r="BW29" s="100">
        <v>2287.5879693701017</v>
      </c>
      <c r="BX29" s="100">
        <v>18</v>
      </c>
      <c r="BY29" s="100">
        <v>6091.2</v>
      </c>
      <c r="BZ29" s="100">
        <v>13</v>
      </c>
      <c r="CA29" s="100">
        <v>4399.2</v>
      </c>
      <c r="CB29" s="100">
        <v>23</v>
      </c>
      <c r="CC29" s="100">
        <v>7783.2</v>
      </c>
      <c r="CD29" s="100">
        <v>18</v>
      </c>
      <c r="CE29" s="100">
        <v>6091.2</v>
      </c>
      <c r="CF29" s="100">
        <v>15</v>
      </c>
      <c r="CG29" s="100">
        <v>5076</v>
      </c>
      <c r="CH29" s="100">
        <v>20</v>
      </c>
      <c r="CI29" s="100">
        <v>6768</v>
      </c>
      <c r="CJ29" s="100">
        <v>1.2055278730759098</v>
      </c>
      <c r="CK29" s="100">
        <v>407.95063224888787</v>
      </c>
      <c r="CL29" s="100">
        <v>17</v>
      </c>
      <c r="CM29" s="100">
        <v>5752.7999999999993</v>
      </c>
      <c r="CN29" s="100">
        <v>24</v>
      </c>
      <c r="CO29" s="100">
        <v>8121.5999999999995</v>
      </c>
      <c r="CP29" s="100">
        <v>12</v>
      </c>
      <c r="CQ29" s="100">
        <v>4060.7999999999997</v>
      </c>
      <c r="CR29" s="100">
        <v>15.67046538360561</v>
      </c>
      <c r="CS29" s="100">
        <v>5302.8854858121376</v>
      </c>
      <c r="CT29" s="100">
        <v>13</v>
      </c>
      <c r="CU29" s="100">
        <v>4399.2</v>
      </c>
    </row>
    <row r="30" spans="2:99">
      <c r="C30" s="99" t="s">
        <v>196</v>
      </c>
      <c r="D30" s="100">
        <v>15</v>
      </c>
      <c r="E30" s="100">
        <v>2088</v>
      </c>
      <c r="F30" s="100">
        <v>5.8833649026464174</v>
      </c>
      <c r="G30" s="100">
        <v>818.9643944483812</v>
      </c>
      <c r="H30" s="100">
        <v>17</v>
      </c>
      <c r="I30" s="100">
        <v>2366.3999999999996</v>
      </c>
      <c r="J30" s="100">
        <v>21</v>
      </c>
      <c r="K30" s="100">
        <v>2923.2</v>
      </c>
      <c r="L30" s="100">
        <v>17</v>
      </c>
      <c r="M30" s="100">
        <v>2366.3999999999996</v>
      </c>
      <c r="N30" s="100">
        <v>20</v>
      </c>
      <c r="O30" s="100">
        <v>2784</v>
      </c>
      <c r="P30" s="100">
        <v>16</v>
      </c>
      <c r="Q30" s="100">
        <v>2227.1999999999998</v>
      </c>
      <c r="R30" s="100">
        <v>15</v>
      </c>
      <c r="S30" s="100">
        <v>2088</v>
      </c>
      <c r="T30" s="100">
        <v>8.6212932647447147</v>
      </c>
      <c r="U30" s="100">
        <v>1200.0840224524643</v>
      </c>
      <c r="V30" s="100">
        <v>16.78559765917208</v>
      </c>
      <c r="W30" s="100">
        <v>2336.5551941567533</v>
      </c>
      <c r="X30" s="100">
        <v>12</v>
      </c>
      <c r="Y30" s="100">
        <v>1670.3999999999999</v>
      </c>
      <c r="Z30" s="100">
        <v>19</v>
      </c>
      <c r="AA30" s="100">
        <v>2644.7999999999997</v>
      </c>
      <c r="AB30" s="100">
        <v>15</v>
      </c>
      <c r="AC30" s="100">
        <v>2088</v>
      </c>
      <c r="AD30" s="100">
        <v>11.407036643501032</v>
      </c>
      <c r="AE30" s="100">
        <v>1587.8595007753436</v>
      </c>
      <c r="AF30" s="100">
        <v>3.2220643189036235</v>
      </c>
      <c r="AG30" s="100">
        <v>448.51135319138439</v>
      </c>
      <c r="AH30" s="100">
        <v>21</v>
      </c>
      <c r="AI30" s="100">
        <v>2923.2</v>
      </c>
      <c r="AJ30" s="100">
        <v>18</v>
      </c>
      <c r="AK30" s="100">
        <v>2505.6</v>
      </c>
      <c r="AL30" s="100">
        <v>18</v>
      </c>
      <c r="AM30" s="100">
        <v>2505.6</v>
      </c>
      <c r="AN30" s="100">
        <v>15</v>
      </c>
      <c r="AO30" s="100">
        <v>2088</v>
      </c>
      <c r="AP30" s="100">
        <v>17</v>
      </c>
      <c r="AQ30" s="100">
        <v>2366.3999999999996</v>
      </c>
      <c r="AR30" s="100">
        <v>19</v>
      </c>
      <c r="AS30" s="100">
        <v>2644.7999999999997</v>
      </c>
      <c r="AT30" s="100">
        <v>16</v>
      </c>
      <c r="AU30" s="100">
        <v>2227.1999999999998</v>
      </c>
      <c r="AV30" s="100">
        <v>12</v>
      </c>
      <c r="AW30" s="100">
        <v>1670.3999999999999</v>
      </c>
      <c r="AX30" s="100">
        <v>19</v>
      </c>
      <c r="AY30" s="100">
        <v>2644.7999999999997</v>
      </c>
      <c r="AZ30" s="100">
        <v>21.824926095160595</v>
      </c>
      <c r="BA30" s="100">
        <v>3038.0297124463546</v>
      </c>
      <c r="BB30" s="100">
        <v>0</v>
      </c>
      <c r="BC30" s="100">
        <v>0</v>
      </c>
      <c r="BD30" s="100">
        <v>11</v>
      </c>
      <c r="BE30" s="100">
        <v>1531.1999999999998</v>
      </c>
      <c r="BF30" s="100">
        <v>21</v>
      </c>
      <c r="BG30" s="100">
        <v>2923.2</v>
      </c>
      <c r="BH30" s="100">
        <v>15.025826163386704</v>
      </c>
      <c r="BI30" s="100">
        <v>2091.595001943429</v>
      </c>
      <c r="BJ30" s="100">
        <v>16</v>
      </c>
      <c r="BK30" s="100">
        <v>2227.1999999999998</v>
      </c>
      <c r="BL30" s="100">
        <v>13.988172537826255</v>
      </c>
      <c r="BM30" s="100">
        <v>1947.1536172654146</v>
      </c>
      <c r="BN30" s="100">
        <v>16</v>
      </c>
      <c r="BO30" s="100">
        <v>2227.1999999999998</v>
      </c>
      <c r="BP30" s="100">
        <v>22</v>
      </c>
      <c r="BQ30" s="100">
        <v>3062.3999999999996</v>
      </c>
      <c r="BR30" s="100">
        <v>22</v>
      </c>
      <c r="BS30" s="100">
        <v>3062.3999999999996</v>
      </c>
      <c r="BT30" s="100">
        <v>17</v>
      </c>
      <c r="BU30" s="100">
        <v>2366.3999999999996</v>
      </c>
      <c r="BV30" s="100">
        <v>6.7600117298170863</v>
      </c>
      <c r="BW30" s="100">
        <v>940.9936327905383</v>
      </c>
      <c r="BX30" s="100">
        <v>16</v>
      </c>
      <c r="BY30" s="100">
        <v>2227.1999999999998</v>
      </c>
      <c r="BZ30" s="100">
        <v>14</v>
      </c>
      <c r="CA30" s="100">
        <v>1948.7999999999997</v>
      </c>
      <c r="CB30" s="100">
        <v>23</v>
      </c>
      <c r="CC30" s="100">
        <v>3201.6</v>
      </c>
      <c r="CD30" s="100">
        <v>19</v>
      </c>
      <c r="CE30" s="100">
        <v>2644.7999999999997</v>
      </c>
      <c r="CF30" s="100">
        <v>14</v>
      </c>
      <c r="CG30" s="100">
        <v>1948.7999999999997</v>
      </c>
      <c r="CH30" s="100">
        <v>22</v>
      </c>
      <c r="CI30" s="100">
        <v>3062.3999999999996</v>
      </c>
      <c r="CJ30" s="100">
        <v>1.3662649228193644</v>
      </c>
      <c r="CK30" s="100">
        <v>190.18407725645551</v>
      </c>
      <c r="CL30" s="100">
        <v>15</v>
      </c>
      <c r="CM30" s="100">
        <v>2088</v>
      </c>
      <c r="CN30" s="100">
        <v>25</v>
      </c>
      <c r="CO30" s="100">
        <v>3479.9999999999995</v>
      </c>
      <c r="CP30" s="100">
        <v>11</v>
      </c>
      <c r="CQ30" s="100">
        <v>1531.1999999999998</v>
      </c>
      <c r="CR30" s="100">
        <v>16.495226719584853</v>
      </c>
      <c r="CS30" s="100">
        <v>2296.1355593662115</v>
      </c>
      <c r="CT30" s="100">
        <v>12</v>
      </c>
      <c r="CU30" s="100">
        <v>1670.3999999999999</v>
      </c>
    </row>
    <row r="31" spans="2:99">
      <c r="C31" s="99" t="s">
        <v>197</v>
      </c>
      <c r="D31" s="100">
        <v>15</v>
      </c>
      <c r="E31" s="100">
        <v>5112</v>
      </c>
      <c r="F31" s="100">
        <v>6.1775331477787381</v>
      </c>
      <c r="G31" s="100">
        <v>2105.3032967629938</v>
      </c>
      <c r="H31" s="100">
        <v>17</v>
      </c>
      <c r="I31" s="100">
        <v>5793.6</v>
      </c>
      <c r="J31" s="100">
        <v>19</v>
      </c>
      <c r="K31" s="100">
        <v>6475.2</v>
      </c>
      <c r="L31" s="100">
        <v>16</v>
      </c>
      <c r="M31" s="100">
        <v>5452.8</v>
      </c>
      <c r="N31" s="100">
        <v>23</v>
      </c>
      <c r="O31" s="100">
        <v>7838.4000000000005</v>
      </c>
      <c r="P31" s="100">
        <v>15</v>
      </c>
      <c r="Q31" s="100">
        <v>5112</v>
      </c>
      <c r="R31" s="100">
        <v>15</v>
      </c>
      <c r="S31" s="100">
        <v>5112</v>
      </c>
      <c r="T31" s="100">
        <v>8.0054866029772356</v>
      </c>
      <c r="U31" s="100">
        <v>2728.2698342946419</v>
      </c>
      <c r="V31" s="100">
        <v>17.718130862459418</v>
      </c>
      <c r="W31" s="100">
        <v>6038.3389979261701</v>
      </c>
      <c r="X31" s="100">
        <v>11</v>
      </c>
      <c r="Y31" s="100">
        <v>3748.8</v>
      </c>
      <c r="Z31" s="100">
        <v>17</v>
      </c>
      <c r="AA31" s="100">
        <v>5793.6</v>
      </c>
      <c r="AB31" s="100">
        <v>13</v>
      </c>
      <c r="AC31" s="100">
        <v>4430.4000000000005</v>
      </c>
      <c r="AD31" s="100">
        <v>10.646567533934295</v>
      </c>
      <c r="AE31" s="100">
        <v>3628.350215564808</v>
      </c>
      <c r="AF31" s="100">
        <v>3.5149792569857712</v>
      </c>
      <c r="AG31" s="100">
        <v>1197.9049307807509</v>
      </c>
      <c r="AH31" s="100">
        <v>23</v>
      </c>
      <c r="AI31" s="100">
        <v>7838.4000000000005</v>
      </c>
      <c r="AJ31" s="100">
        <v>17</v>
      </c>
      <c r="AK31" s="100">
        <v>5793.6</v>
      </c>
      <c r="AL31" s="100">
        <v>18</v>
      </c>
      <c r="AM31" s="100">
        <v>6134.4000000000005</v>
      </c>
      <c r="AN31" s="100">
        <v>16</v>
      </c>
      <c r="AO31" s="100">
        <v>5452.8</v>
      </c>
      <c r="AP31" s="100">
        <v>15</v>
      </c>
      <c r="AQ31" s="100">
        <v>5112</v>
      </c>
      <c r="AR31" s="100">
        <v>19</v>
      </c>
      <c r="AS31" s="100">
        <v>6475.2</v>
      </c>
      <c r="AT31" s="100">
        <v>18</v>
      </c>
      <c r="AU31" s="100">
        <v>6134.4000000000005</v>
      </c>
      <c r="AV31" s="100">
        <v>11</v>
      </c>
      <c r="AW31" s="100">
        <v>3748.8</v>
      </c>
      <c r="AX31" s="100">
        <v>19</v>
      </c>
      <c r="AY31" s="100">
        <v>6475.2</v>
      </c>
      <c r="AZ31" s="100">
        <v>19.840841904691452</v>
      </c>
      <c r="BA31" s="100">
        <v>6761.758921118847</v>
      </c>
      <c r="BB31" s="100">
        <v>0</v>
      </c>
      <c r="BC31" s="100">
        <v>0</v>
      </c>
      <c r="BD31" s="100">
        <v>11</v>
      </c>
      <c r="BE31" s="100">
        <v>3748.8</v>
      </c>
      <c r="BF31" s="100">
        <v>21</v>
      </c>
      <c r="BG31" s="100">
        <v>7156.8</v>
      </c>
      <c r="BH31" s="100">
        <v>13.444160251451262</v>
      </c>
      <c r="BI31" s="100">
        <v>4581.7698136945901</v>
      </c>
      <c r="BJ31" s="100">
        <v>16</v>
      </c>
      <c r="BK31" s="100">
        <v>5452.8</v>
      </c>
      <c r="BL31" s="100">
        <v>13.113911754212115</v>
      </c>
      <c r="BM31" s="100">
        <v>4469.2211258354891</v>
      </c>
      <c r="BN31" s="100">
        <v>15</v>
      </c>
      <c r="BO31" s="100">
        <v>5112</v>
      </c>
      <c r="BP31" s="100">
        <v>24</v>
      </c>
      <c r="BQ31" s="100">
        <v>8179.2000000000007</v>
      </c>
      <c r="BR31" s="100">
        <v>22</v>
      </c>
      <c r="BS31" s="100">
        <v>7497.6</v>
      </c>
      <c r="BT31" s="100">
        <v>19</v>
      </c>
      <c r="BU31" s="100">
        <v>6475.2</v>
      </c>
      <c r="BV31" s="100">
        <v>6.4042216387740813</v>
      </c>
      <c r="BW31" s="100">
        <v>2182.5587344942069</v>
      </c>
      <c r="BX31" s="100">
        <v>17</v>
      </c>
      <c r="BY31" s="100">
        <v>5793.6</v>
      </c>
      <c r="BZ31" s="100">
        <v>12</v>
      </c>
      <c r="CA31" s="100">
        <v>4089.6000000000004</v>
      </c>
      <c r="CB31" s="100">
        <v>21</v>
      </c>
      <c r="CC31" s="100">
        <v>7156.8</v>
      </c>
      <c r="CD31" s="100">
        <v>20</v>
      </c>
      <c r="CE31" s="100">
        <v>6816</v>
      </c>
      <c r="CF31" s="100">
        <v>14</v>
      </c>
      <c r="CG31" s="100">
        <v>4771.2</v>
      </c>
      <c r="CH31" s="100">
        <v>21</v>
      </c>
      <c r="CI31" s="100">
        <v>7156.8</v>
      </c>
      <c r="CJ31" s="100">
        <v>1.4466334476910918</v>
      </c>
      <c r="CK31" s="100">
        <v>493.01267897312408</v>
      </c>
      <c r="CL31" s="100">
        <v>16</v>
      </c>
      <c r="CM31" s="100">
        <v>5452.8</v>
      </c>
      <c r="CN31" s="100">
        <v>22</v>
      </c>
      <c r="CO31" s="100">
        <v>7497.6</v>
      </c>
      <c r="CP31" s="100">
        <v>13</v>
      </c>
      <c r="CQ31" s="100">
        <v>4430.4000000000005</v>
      </c>
      <c r="CR31" s="100">
        <v>15.67046538360561</v>
      </c>
      <c r="CS31" s="100">
        <v>5340.4946027327924</v>
      </c>
      <c r="CT31" s="100">
        <v>12</v>
      </c>
      <c r="CU31" s="100">
        <v>4089.6000000000004</v>
      </c>
    </row>
    <row r="32" spans="2:99">
      <c r="C32" s="99" t="s">
        <v>198</v>
      </c>
      <c r="D32" s="100">
        <v>13</v>
      </c>
      <c r="E32" s="100">
        <v>10920</v>
      </c>
      <c r="F32" s="100">
        <v>5.5891966575140968</v>
      </c>
      <c r="G32" s="100">
        <v>4694.9251923118409</v>
      </c>
      <c r="H32" s="100">
        <v>17</v>
      </c>
      <c r="I32" s="100">
        <v>14280</v>
      </c>
      <c r="J32" s="100">
        <v>19</v>
      </c>
      <c r="K32" s="100">
        <v>15960</v>
      </c>
      <c r="L32" s="100">
        <v>16</v>
      </c>
      <c r="M32" s="100">
        <v>13440</v>
      </c>
      <c r="N32" s="100">
        <v>21</v>
      </c>
      <c r="O32" s="100">
        <v>17640</v>
      </c>
      <c r="P32" s="100">
        <v>15</v>
      </c>
      <c r="Q32" s="100">
        <v>12600</v>
      </c>
      <c r="R32" s="100">
        <v>16</v>
      </c>
      <c r="S32" s="100">
        <v>13440</v>
      </c>
      <c r="T32" s="100">
        <v>8.0054866029772356</v>
      </c>
      <c r="U32" s="100">
        <v>6724.6087465008777</v>
      </c>
      <c r="V32" s="100">
        <v>14.920531252597405</v>
      </c>
      <c r="W32" s="100">
        <v>12533.24625218182</v>
      </c>
      <c r="X32" s="100">
        <v>10</v>
      </c>
      <c r="Y32" s="100">
        <v>8400</v>
      </c>
      <c r="Z32" s="100">
        <v>19</v>
      </c>
      <c r="AA32" s="100">
        <v>15960</v>
      </c>
      <c r="AB32" s="100">
        <v>14</v>
      </c>
      <c r="AC32" s="100">
        <v>11760</v>
      </c>
      <c r="AD32" s="100">
        <v>11.407036643501032</v>
      </c>
      <c r="AE32" s="100">
        <v>9581.9107805408676</v>
      </c>
      <c r="AF32" s="100">
        <v>3.5149792569857712</v>
      </c>
      <c r="AG32" s="100">
        <v>2952.5825758680476</v>
      </c>
      <c r="AH32" s="100">
        <v>21</v>
      </c>
      <c r="AI32" s="100">
        <v>17640</v>
      </c>
      <c r="AJ32" s="100">
        <v>17</v>
      </c>
      <c r="AK32" s="100">
        <v>14280</v>
      </c>
      <c r="AL32" s="100">
        <v>17</v>
      </c>
      <c r="AM32" s="100">
        <v>14280</v>
      </c>
      <c r="AN32" s="100">
        <v>15</v>
      </c>
      <c r="AO32" s="100">
        <v>12600</v>
      </c>
      <c r="AP32" s="100">
        <v>14</v>
      </c>
      <c r="AQ32" s="100">
        <v>11760</v>
      </c>
      <c r="AR32" s="100">
        <v>18</v>
      </c>
      <c r="AS32" s="100">
        <v>15120</v>
      </c>
      <c r="AT32" s="100">
        <v>16</v>
      </c>
      <c r="AU32" s="100">
        <v>13440</v>
      </c>
      <c r="AV32" s="100">
        <v>13</v>
      </c>
      <c r="AW32" s="100">
        <v>10920</v>
      </c>
      <c r="AX32" s="100">
        <v>17</v>
      </c>
      <c r="AY32" s="100">
        <v>14280</v>
      </c>
      <c r="AZ32" s="100">
        <v>22.816968190395169</v>
      </c>
      <c r="BA32" s="100">
        <v>19166.253279931942</v>
      </c>
      <c r="BB32" s="100">
        <v>0</v>
      </c>
      <c r="BC32" s="100">
        <v>0</v>
      </c>
      <c r="BD32" s="100">
        <v>11</v>
      </c>
      <c r="BE32" s="100">
        <v>9240</v>
      </c>
      <c r="BF32" s="100">
        <v>20</v>
      </c>
      <c r="BG32" s="100">
        <v>16800</v>
      </c>
      <c r="BH32" s="100">
        <v>14.234993207418981</v>
      </c>
      <c r="BI32" s="100">
        <v>11957.394294231945</v>
      </c>
      <c r="BJ32" s="100">
        <v>17</v>
      </c>
      <c r="BK32" s="100">
        <v>14280</v>
      </c>
      <c r="BL32" s="100">
        <v>13.113911754212115</v>
      </c>
      <c r="BM32" s="100">
        <v>11015.685873538176</v>
      </c>
      <c r="BN32" s="100">
        <v>16</v>
      </c>
      <c r="BO32" s="100">
        <v>13440</v>
      </c>
      <c r="BP32" s="100">
        <v>22</v>
      </c>
      <c r="BQ32" s="100">
        <v>18480</v>
      </c>
      <c r="BR32" s="100">
        <v>21</v>
      </c>
      <c r="BS32" s="100">
        <v>17640</v>
      </c>
      <c r="BT32" s="100">
        <v>15</v>
      </c>
      <c r="BU32" s="100">
        <v>12600</v>
      </c>
      <c r="BV32" s="100">
        <v>5.6926414566880732</v>
      </c>
      <c r="BW32" s="100">
        <v>4781.8188236179813</v>
      </c>
      <c r="BX32" s="100">
        <v>17</v>
      </c>
      <c r="BY32" s="100">
        <v>14280</v>
      </c>
      <c r="BZ32" s="100">
        <v>11</v>
      </c>
      <c r="CA32" s="100">
        <v>9240</v>
      </c>
      <c r="CB32" s="100">
        <v>22</v>
      </c>
      <c r="CC32" s="100">
        <v>18480</v>
      </c>
      <c r="CD32" s="100">
        <v>18</v>
      </c>
      <c r="CE32" s="100">
        <v>15120</v>
      </c>
      <c r="CF32" s="100">
        <v>14</v>
      </c>
      <c r="CG32" s="100">
        <v>11760</v>
      </c>
      <c r="CH32" s="100">
        <v>19</v>
      </c>
      <c r="CI32" s="100">
        <v>15960</v>
      </c>
      <c r="CJ32" s="100">
        <v>1.285896397947637</v>
      </c>
      <c r="CK32" s="100">
        <v>1080.1529742760151</v>
      </c>
      <c r="CL32" s="100">
        <v>15</v>
      </c>
      <c r="CM32" s="100">
        <v>12600</v>
      </c>
      <c r="CN32" s="100">
        <v>24</v>
      </c>
      <c r="CO32" s="100">
        <v>20160</v>
      </c>
      <c r="CP32" s="100">
        <v>13</v>
      </c>
      <c r="CQ32" s="100">
        <v>10920</v>
      </c>
      <c r="CR32" s="100">
        <v>14.020942711647125</v>
      </c>
      <c r="CS32" s="100">
        <v>11777.591877783585</v>
      </c>
      <c r="CT32" s="100">
        <v>14</v>
      </c>
      <c r="CU32" s="100">
        <v>11760</v>
      </c>
    </row>
    <row r="33" spans="2:99">
      <c r="C33" s="99" t="s">
        <v>199</v>
      </c>
      <c r="D33" s="100">
        <v>14</v>
      </c>
      <c r="E33" s="100">
        <v>6636</v>
      </c>
      <c r="F33" s="100">
        <v>5.5891966575140968</v>
      </c>
      <c r="G33" s="100">
        <v>2649.279215661682</v>
      </c>
      <c r="H33" s="100">
        <v>17</v>
      </c>
      <c r="I33" s="100">
        <v>8058</v>
      </c>
      <c r="J33" s="100">
        <v>19</v>
      </c>
      <c r="K33" s="100">
        <v>9006</v>
      </c>
      <c r="L33" s="100">
        <v>17</v>
      </c>
      <c r="M33" s="100">
        <v>8058</v>
      </c>
      <c r="N33" s="100">
        <v>21</v>
      </c>
      <c r="O33" s="100">
        <v>9954</v>
      </c>
      <c r="P33" s="100">
        <v>14</v>
      </c>
      <c r="Q33" s="100">
        <v>6636</v>
      </c>
      <c r="R33" s="100">
        <v>15</v>
      </c>
      <c r="S33" s="100">
        <v>7110</v>
      </c>
      <c r="T33" s="100">
        <v>8.0054866029772356</v>
      </c>
      <c r="U33" s="100">
        <v>3794.6006498112097</v>
      </c>
      <c r="V33" s="100">
        <v>16.78559765917208</v>
      </c>
      <c r="W33" s="100">
        <v>7956.3732904475655</v>
      </c>
      <c r="X33" s="100">
        <v>11</v>
      </c>
      <c r="Y33" s="100">
        <v>5214</v>
      </c>
      <c r="Z33" s="100">
        <v>18</v>
      </c>
      <c r="AA33" s="100">
        <v>8532</v>
      </c>
      <c r="AB33" s="100">
        <v>14</v>
      </c>
      <c r="AC33" s="100">
        <v>6636</v>
      </c>
      <c r="AD33" s="100">
        <v>9.8860984243675603</v>
      </c>
      <c r="AE33" s="100">
        <v>4686.0106531502233</v>
      </c>
      <c r="AF33" s="100">
        <v>3.5149792569857712</v>
      </c>
      <c r="AG33" s="100">
        <v>1666.1001678112555</v>
      </c>
      <c r="AH33" s="100">
        <v>21</v>
      </c>
      <c r="AI33" s="100">
        <v>9954</v>
      </c>
      <c r="AJ33" s="100">
        <v>18</v>
      </c>
      <c r="AK33" s="100">
        <v>8532</v>
      </c>
      <c r="AL33" s="100">
        <v>15</v>
      </c>
      <c r="AM33" s="100">
        <v>7110</v>
      </c>
      <c r="AN33" s="100">
        <v>15</v>
      </c>
      <c r="AO33" s="100">
        <v>7110</v>
      </c>
      <c r="AP33" s="100">
        <v>17</v>
      </c>
      <c r="AQ33" s="100">
        <v>8058</v>
      </c>
      <c r="AR33" s="100">
        <v>21</v>
      </c>
      <c r="AS33" s="100">
        <v>9954</v>
      </c>
      <c r="AT33" s="100">
        <v>16</v>
      </c>
      <c r="AU33" s="100">
        <v>7584</v>
      </c>
      <c r="AV33" s="100">
        <v>11</v>
      </c>
      <c r="AW33" s="100">
        <v>5214</v>
      </c>
      <c r="AX33" s="100">
        <v>19</v>
      </c>
      <c r="AY33" s="100">
        <v>9006</v>
      </c>
      <c r="AZ33" s="100">
        <v>21.824926095160595</v>
      </c>
      <c r="BA33" s="100">
        <v>10345.014969106121</v>
      </c>
      <c r="BB33" s="100">
        <v>0</v>
      </c>
      <c r="BC33" s="100">
        <v>0</v>
      </c>
      <c r="BD33" s="100">
        <v>11</v>
      </c>
      <c r="BE33" s="100">
        <v>5214</v>
      </c>
      <c r="BF33" s="100">
        <v>18</v>
      </c>
      <c r="BG33" s="100">
        <v>8532</v>
      </c>
      <c r="BH33" s="100">
        <v>14.234993207418981</v>
      </c>
      <c r="BI33" s="100">
        <v>6747.3867803165967</v>
      </c>
      <c r="BJ33" s="100">
        <v>16</v>
      </c>
      <c r="BK33" s="100">
        <v>7584</v>
      </c>
      <c r="BL33" s="100">
        <v>11.365390186983833</v>
      </c>
      <c r="BM33" s="100">
        <v>5387.1949486303365</v>
      </c>
      <c r="BN33" s="100">
        <v>15</v>
      </c>
      <c r="BO33" s="100">
        <v>7110</v>
      </c>
      <c r="BP33" s="100">
        <v>20</v>
      </c>
      <c r="BQ33" s="100">
        <v>9480</v>
      </c>
      <c r="BR33" s="100">
        <v>23</v>
      </c>
      <c r="BS33" s="100">
        <v>10902</v>
      </c>
      <c r="BT33" s="100">
        <v>17</v>
      </c>
      <c r="BU33" s="100">
        <v>8058</v>
      </c>
      <c r="BV33" s="100">
        <v>7.1158018208600913</v>
      </c>
      <c r="BW33" s="100">
        <v>3372.8900630876833</v>
      </c>
      <c r="BX33" s="100">
        <v>15</v>
      </c>
      <c r="BY33" s="100">
        <v>7110</v>
      </c>
      <c r="BZ33" s="100">
        <v>12</v>
      </c>
      <c r="CA33" s="100">
        <v>5688</v>
      </c>
      <c r="CB33" s="100">
        <v>23</v>
      </c>
      <c r="CC33" s="100">
        <v>10902</v>
      </c>
      <c r="CD33" s="100">
        <v>20</v>
      </c>
      <c r="CE33" s="100">
        <v>9480</v>
      </c>
      <c r="CF33" s="100">
        <v>15</v>
      </c>
      <c r="CG33" s="100">
        <v>7110</v>
      </c>
      <c r="CH33" s="100">
        <v>23</v>
      </c>
      <c r="CI33" s="100">
        <v>10902</v>
      </c>
      <c r="CJ33" s="100">
        <v>1.4466334476910918</v>
      </c>
      <c r="CK33" s="100">
        <v>685.70425420557751</v>
      </c>
      <c r="CL33" s="100">
        <v>14</v>
      </c>
      <c r="CM33" s="100">
        <v>6636</v>
      </c>
      <c r="CN33" s="100">
        <v>22</v>
      </c>
      <c r="CO33" s="100">
        <v>10428</v>
      </c>
      <c r="CP33" s="100">
        <v>11</v>
      </c>
      <c r="CQ33" s="100">
        <v>5214</v>
      </c>
      <c r="CR33" s="100">
        <v>14.845704047626368</v>
      </c>
      <c r="CS33" s="100">
        <v>7036.8637185748985</v>
      </c>
      <c r="CT33" s="100">
        <v>14</v>
      </c>
      <c r="CU33" s="100">
        <v>6636</v>
      </c>
    </row>
    <row r="34" spans="2:99">
      <c r="C34" s="99" t="s">
        <v>200</v>
      </c>
      <c r="D34" s="100">
        <v>15</v>
      </c>
      <c r="E34" s="100">
        <v>8226</v>
      </c>
      <c r="F34" s="100">
        <v>6.4717013929110587</v>
      </c>
      <c r="G34" s="100">
        <v>3549.0810438724243</v>
      </c>
      <c r="H34" s="100">
        <v>16</v>
      </c>
      <c r="I34" s="100">
        <v>8774.4</v>
      </c>
      <c r="J34" s="100">
        <v>18</v>
      </c>
      <c r="K34" s="100">
        <v>9871.1999999999989</v>
      </c>
      <c r="L34" s="100">
        <v>15</v>
      </c>
      <c r="M34" s="100">
        <v>8226</v>
      </c>
      <c r="N34" s="100">
        <v>20</v>
      </c>
      <c r="O34" s="100">
        <v>10968</v>
      </c>
      <c r="P34" s="100">
        <v>15</v>
      </c>
      <c r="Q34" s="100">
        <v>8226</v>
      </c>
      <c r="R34" s="100">
        <v>15</v>
      </c>
      <c r="S34" s="100">
        <v>8226</v>
      </c>
      <c r="T34" s="100">
        <v>8.0054866029772356</v>
      </c>
      <c r="U34" s="100">
        <v>4390.208853072716</v>
      </c>
      <c r="V34" s="100">
        <v>17.718130862459418</v>
      </c>
      <c r="W34" s="100">
        <v>9716.6229649727447</v>
      </c>
      <c r="X34" s="100">
        <v>12</v>
      </c>
      <c r="Y34" s="100">
        <v>6580.7999999999993</v>
      </c>
      <c r="Z34" s="100">
        <v>18</v>
      </c>
      <c r="AA34" s="100">
        <v>9871.1999999999989</v>
      </c>
      <c r="AB34" s="100">
        <v>15</v>
      </c>
      <c r="AC34" s="100">
        <v>8226</v>
      </c>
      <c r="AD34" s="100">
        <v>10.646567533934295</v>
      </c>
      <c r="AE34" s="100">
        <v>5838.5776356095676</v>
      </c>
      <c r="AF34" s="100">
        <v>3.2220643189036235</v>
      </c>
      <c r="AG34" s="100">
        <v>1766.9800724867471</v>
      </c>
      <c r="AH34" s="100">
        <v>19</v>
      </c>
      <c r="AI34" s="100">
        <v>10419.6</v>
      </c>
      <c r="AJ34" s="100">
        <v>18</v>
      </c>
      <c r="AK34" s="100">
        <v>9871.1999999999989</v>
      </c>
      <c r="AL34" s="100">
        <v>16</v>
      </c>
      <c r="AM34" s="100">
        <v>8774.4</v>
      </c>
      <c r="AN34" s="100">
        <v>16</v>
      </c>
      <c r="AO34" s="100">
        <v>8774.4</v>
      </c>
      <c r="AP34" s="100">
        <v>15</v>
      </c>
      <c r="AQ34" s="100">
        <v>8226</v>
      </c>
      <c r="AR34" s="100">
        <v>20</v>
      </c>
      <c r="AS34" s="100">
        <v>10968</v>
      </c>
      <c r="AT34" s="100">
        <v>18</v>
      </c>
      <c r="AU34" s="100">
        <v>9871.1999999999989</v>
      </c>
      <c r="AV34" s="100">
        <v>11</v>
      </c>
      <c r="AW34" s="100">
        <v>6032.4</v>
      </c>
      <c r="AX34" s="100">
        <v>16</v>
      </c>
      <c r="AY34" s="100">
        <v>8774.4</v>
      </c>
      <c r="AZ34" s="100">
        <v>22.816968190395169</v>
      </c>
      <c r="BA34" s="100">
        <v>12512.825355612711</v>
      </c>
      <c r="BB34" s="100">
        <v>0</v>
      </c>
      <c r="BC34" s="100">
        <v>0</v>
      </c>
      <c r="BD34" s="100">
        <v>12</v>
      </c>
      <c r="BE34" s="100">
        <v>6580.7999999999993</v>
      </c>
      <c r="BF34" s="100">
        <v>19</v>
      </c>
      <c r="BG34" s="100">
        <v>10419.6</v>
      </c>
      <c r="BH34" s="100">
        <v>13.444160251451262</v>
      </c>
      <c r="BI34" s="100">
        <v>7372.7774818958715</v>
      </c>
      <c r="BJ34" s="100">
        <v>17</v>
      </c>
      <c r="BK34" s="100">
        <v>9322.7999999999993</v>
      </c>
      <c r="BL34" s="100">
        <v>11.365390186983833</v>
      </c>
      <c r="BM34" s="100">
        <v>6232.7799785419338</v>
      </c>
      <c r="BN34" s="100">
        <v>14</v>
      </c>
      <c r="BO34" s="100">
        <v>7677.5999999999995</v>
      </c>
      <c r="BP34" s="100">
        <v>21</v>
      </c>
      <c r="BQ34" s="100">
        <v>11516.4</v>
      </c>
      <c r="BR34" s="100">
        <v>22</v>
      </c>
      <c r="BS34" s="100">
        <v>12064.8</v>
      </c>
      <c r="BT34" s="100">
        <v>16</v>
      </c>
      <c r="BU34" s="100">
        <v>8774.4</v>
      </c>
      <c r="BV34" s="100">
        <v>6.0484315477310782</v>
      </c>
      <c r="BW34" s="100">
        <v>3316.959860775723</v>
      </c>
      <c r="BX34" s="100">
        <v>17</v>
      </c>
      <c r="BY34" s="100">
        <v>9322.7999999999993</v>
      </c>
      <c r="BZ34" s="100">
        <v>12</v>
      </c>
      <c r="CA34" s="100">
        <v>6580.7999999999993</v>
      </c>
      <c r="CB34" s="100">
        <v>23</v>
      </c>
      <c r="CC34" s="100">
        <v>12613.199999999999</v>
      </c>
      <c r="CD34" s="100">
        <v>19</v>
      </c>
      <c r="CE34" s="100">
        <v>10419.6</v>
      </c>
      <c r="CF34" s="100">
        <v>15</v>
      </c>
      <c r="CG34" s="100">
        <v>8226</v>
      </c>
      <c r="CH34" s="100">
        <v>20</v>
      </c>
      <c r="CI34" s="100">
        <v>10968</v>
      </c>
      <c r="CJ34" s="100">
        <v>1.3662649228193644</v>
      </c>
      <c r="CK34" s="100">
        <v>749.25968367413941</v>
      </c>
      <c r="CL34" s="100">
        <v>14</v>
      </c>
      <c r="CM34" s="100">
        <v>7677.5999999999995</v>
      </c>
      <c r="CN34" s="100">
        <v>22</v>
      </c>
      <c r="CO34" s="100">
        <v>12064.8</v>
      </c>
      <c r="CP34" s="100">
        <v>11</v>
      </c>
      <c r="CQ34" s="100">
        <v>6032.4</v>
      </c>
      <c r="CR34" s="100">
        <v>14.845704047626368</v>
      </c>
      <c r="CS34" s="100">
        <v>8141.3840997182997</v>
      </c>
      <c r="CT34" s="100">
        <v>13</v>
      </c>
      <c r="CU34" s="100">
        <v>7129.2</v>
      </c>
    </row>
    <row r="35" spans="2:99">
      <c r="C35" s="99" t="s">
        <v>201</v>
      </c>
      <c r="D35" s="100">
        <v>15</v>
      </c>
      <c r="E35" s="100">
        <v>7541.9999999999982</v>
      </c>
      <c r="F35" s="100">
        <v>5.2950284123817752</v>
      </c>
      <c r="G35" s="100">
        <v>2662.3402857455562</v>
      </c>
      <c r="H35" s="100">
        <v>17</v>
      </c>
      <c r="I35" s="100">
        <v>8547.5999999999985</v>
      </c>
      <c r="J35" s="100">
        <v>19</v>
      </c>
      <c r="K35" s="100">
        <v>9553.1999999999989</v>
      </c>
      <c r="L35" s="100">
        <v>17</v>
      </c>
      <c r="M35" s="100">
        <v>8547.5999999999985</v>
      </c>
      <c r="N35" s="100">
        <v>19</v>
      </c>
      <c r="O35" s="100">
        <v>9553.1999999999989</v>
      </c>
      <c r="P35" s="100">
        <v>15</v>
      </c>
      <c r="Q35" s="100">
        <v>7541.9999999999982</v>
      </c>
      <c r="R35" s="100">
        <v>17</v>
      </c>
      <c r="S35" s="100">
        <v>8547.5999999999985</v>
      </c>
      <c r="T35" s="100">
        <v>8.0054866029772356</v>
      </c>
      <c r="U35" s="100">
        <v>4025.1586639769534</v>
      </c>
      <c r="V35" s="100">
        <v>17.718130862459418</v>
      </c>
      <c r="W35" s="100">
        <v>8908.6761976445941</v>
      </c>
      <c r="X35" s="100">
        <v>12</v>
      </c>
      <c r="Y35" s="100">
        <v>6033.5999999999985</v>
      </c>
      <c r="Z35" s="100">
        <v>18</v>
      </c>
      <c r="AA35" s="100">
        <v>9050.3999999999978</v>
      </c>
      <c r="AB35" s="100">
        <v>15</v>
      </c>
      <c r="AC35" s="100">
        <v>7541.9999999999982</v>
      </c>
      <c r="AD35" s="100">
        <v>9.8860984243675603</v>
      </c>
      <c r="AE35" s="100">
        <v>4970.7302877720085</v>
      </c>
      <c r="AF35" s="100">
        <v>3.2220643189036235</v>
      </c>
      <c r="AG35" s="100">
        <v>1620.0539395447415</v>
      </c>
      <c r="AH35" s="100">
        <v>20</v>
      </c>
      <c r="AI35" s="100">
        <v>10055.999999999998</v>
      </c>
      <c r="AJ35" s="100">
        <v>17</v>
      </c>
      <c r="AK35" s="100">
        <v>8547.5999999999985</v>
      </c>
      <c r="AL35" s="100">
        <v>17</v>
      </c>
      <c r="AM35" s="100">
        <v>8547.5999999999985</v>
      </c>
      <c r="AN35" s="100">
        <v>15</v>
      </c>
      <c r="AO35" s="100">
        <v>7541.9999999999982</v>
      </c>
      <c r="AP35" s="100">
        <v>17</v>
      </c>
      <c r="AQ35" s="100">
        <v>8547.5999999999985</v>
      </c>
      <c r="AR35" s="100">
        <v>21</v>
      </c>
      <c r="AS35" s="100">
        <v>10558.799999999997</v>
      </c>
      <c r="AT35" s="100">
        <v>17</v>
      </c>
      <c r="AU35" s="100">
        <v>8547.5999999999985</v>
      </c>
      <c r="AV35" s="100">
        <v>12</v>
      </c>
      <c r="AW35" s="100">
        <v>6033.5999999999985</v>
      </c>
      <c r="AX35" s="100">
        <v>17</v>
      </c>
      <c r="AY35" s="100">
        <v>8547.5999999999985</v>
      </c>
      <c r="AZ35" s="100">
        <v>20.832883999926025</v>
      </c>
      <c r="BA35" s="100">
        <v>10474.774075162803</v>
      </c>
      <c r="BB35" s="100">
        <v>0</v>
      </c>
      <c r="BC35" s="100">
        <v>0</v>
      </c>
      <c r="BD35" s="100">
        <v>11</v>
      </c>
      <c r="BE35" s="100">
        <v>5530.7999999999993</v>
      </c>
      <c r="BF35" s="100">
        <v>18</v>
      </c>
      <c r="BG35" s="100">
        <v>9050.3999999999978</v>
      </c>
      <c r="BH35" s="100">
        <v>13.444160251451262</v>
      </c>
      <c r="BI35" s="100">
        <v>6759.7237744296926</v>
      </c>
      <c r="BJ35" s="100">
        <v>14</v>
      </c>
      <c r="BK35" s="100">
        <v>7039.1999999999989</v>
      </c>
      <c r="BL35" s="100">
        <v>13.113911754212115</v>
      </c>
      <c r="BM35" s="100">
        <v>6593.6748300178497</v>
      </c>
      <c r="BN35" s="100">
        <v>14</v>
      </c>
      <c r="BO35" s="100">
        <v>7039.1999999999989</v>
      </c>
      <c r="BP35" s="100">
        <v>23</v>
      </c>
      <c r="BQ35" s="100">
        <v>11564.399999999998</v>
      </c>
      <c r="BR35" s="100">
        <v>24</v>
      </c>
      <c r="BS35" s="100">
        <v>12067.199999999997</v>
      </c>
      <c r="BT35" s="100">
        <v>17</v>
      </c>
      <c r="BU35" s="100">
        <v>8547.5999999999985</v>
      </c>
      <c r="BV35" s="100">
        <v>6.0484315477310782</v>
      </c>
      <c r="BW35" s="100">
        <v>3041.1513821991853</v>
      </c>
      <c r="BX35" s="100">
        <v>17</v>
      </c>
      <c r="BY35" s="100">
        <v>8547.5999999999985</v>
      </c>
      <c r="BZ35" s="100">
        <v>12</v>
      </c>
      <c r="CA35" s="100">
        <v>6033.5999999999985</v>
      </c>
      <c r="CB35" s="100">
        <v>22</v>
      </c>
      <c r="CC35" s="100">
        <v>11061.599999999999</v>
      </c>
      <c r="CD35" s="100">
        <v>21</v>
      </c>
      <c r="CE35" s="100">
        <v>10558.799999999997</v>
      </c>
      <c r="CF35" s="100">
        <v>15</v>
      </c>
      <c r="CG35" s="100">
        <v>7541.9999999999982</v>
      </c>
      <c r="CH35" s="100">
        <v>21</v>
      </c>
      <c r="CI35" s="100">
        <v>10558.799999999997</v>
      </c>
      <c r="CJ35" s="100">
        <v>1.3662649228193644</v>
      </c>
      <c r="CK35" s="100">
        <v>686.95800319357625</v>
      </c>
      <c r="CL35" s="100">
        <v>14</v>
      </c>
      <c r="CM35" s="100">
        <v>7039.1999999999989</v>
      </c>
      <c r="CN35" s="100">
        <v>25</v>
      </c>
      <c r="CO35" s="100">
        <v>12569.999999999998</v>
      </c>
      <c r="CP35" s="100">
        <v>11</v>
      </c>
      <c r="CQ35" s="100">
        <v>5530.7999999999993</v>
      </c>
      <c r="CR35" s="100">
        <v>15.67046538360561</v>
      </c>
      <c r="CS35" s="100">
        <v>7879.1099948768988</v>
      </c>
      <c r="CT35" s="100">
        <v>12</v>
      </c>
      <c r="CU35" s="100">
        <v>6033.5999999999985</v>
      </c>
    </row>
    <row r="36" spans="2:99">
      <c r="C36" s="99" t="s">
        <v>202</v>
      </c>
      <c r="D36" s="100">
        <v>15</v>
      </c>
      <c r="E36" s="100">
        <v>11412</v>
      </c>
      <c r="F36" s="100">
        <v>6.1775331477787381</v>
      </c>
      <c r="G36" s="100">
        <v>4699.8672188300634</v>
      </c>
      <c r="H36" s="100">
        <v>18</v>
      </c>
      <c r="I36" s="100">
        <v>13694.4</v>
      </c>
      <c r="J36" s="100">
        <v>19</v>
      </c>
      <c r="K36" s="100">
        <v>14455.199999999999</v>
      </c>
      <c r="L36" s="100">
        <v>17</v>
      </c>
      <c r="M36" s="100">
        <v>12933.599999999999</v>
      </c>
      <c r="N36" s="100">
        <v>20</v>
      </c>
      <c r="O36" s="100">
        <v>15216</v>
      </c>
      <c r="P36" s="100">
        <v>13</v>
      </c>
      <c r="Q36" s="100">
        <v>9890.4</v>
      </c>
      <c r="R36" s="100">
        <v>14</v>
      </c>
      <c r="S36" s="100">
        <v>10651.199999999999</v>
      </c>
      <c r="T36" s="100">
        <v>8.0054866029772356</v>
      </c>
      <c r="U36" s="100">
        <v>6090.5742075450808</v>
      </c>
      <c r="V36" s="100">
        <v>17.718130862459418</v>
      </c>
      <c r="W36" s="100">
        <v>13479.953960159124</v>
      </c>
      <c r="X36" s="100">
        <v>12</v>
      </c>
      <c r="Y36" s="100">
        <v>9129.5999999999985</v>
      </c>
      <c r="Z36" s="100">
        <v>19</v>
      </c>
      <c r="AA36" s="100">
        <v>14455.199999999999</v>
      </c>
      <c r="AB36" s="100">
        <v>15</v>
      </c>
      <c r="AC36" s="100">
        <v>11412</v>
      </c>
      <c r="AD36" s="100">
        <v>12.167505753067767</v>
      </c>
      <c r="AE36" s="100">
        <v>9257.0383769339569</v>
      </c>
      <c r="AF36" s="100">
        <v>2.9291493808214759</v>
      </c>
      <c r="AG36" s="100">
        <v>2228.4968489289786</v>
      </c>
      <c r="AH36" s="100">
        <v>22</v>
      </c>
      <c r="AI36" s="100">
        <v>16737.599999999999</v>
      </c>
      <c r="AJ36" s="100">
        <v>16</v>
      </c>
      <c r="AK36" s="100">
        <v>12172.8</v>
      </c>
      <c r="AL36" s="100">
        <v>17</v>
      </c>
      <c r="AM36" s="100">
        <v>12933.599999999999</v>
      </c>
      <c r="AN36" s="100">
        <v>14</v>
      </c>
      <c r="AO36" s="100">
        <v>10651.199999999999</v>
      </c>
      <c r="AP36" s="100">
        <v>15</v>
      </c>
      <c r="AQ36" s="100">
        <v>11412</v>
      </c>
      <c r="AR36" s="100">
        <v>21</v>
      </c>
      <c r="AS36" s="100">
        <v>15976.8</v>
      </c>
      <c r="AT36" s="100">
        <v>16</v>
      </c>
      <c r="AU36" s="100">
        <v>12172.8</v>
      </c>
      <c r="AV36" s="100">
        <v>12</v>
      </c>
      <c r="AW36" s="100">
        <v>9129.5999999999985</v>
      </c>
      <c r="AX36" s="100">
        <v>17</v>
      </c>
      <c r="AY36" s="100">
        <v>12933.599999999999</v>
      </c>
      <c r="AZ36" s="100">
        <v>23.809010285629746</v>
      </c>
      <c r="BA36" s="100">
        <v>18113.895025307109</v>
      </c>
      <c r="BB36" s="100">
        <v>0</v>
      </c>
      <c r="BC36" s="100">
        <v>0</v>
      </c>
      <c r="BD36" s="100">
        <v>12</v>
      </c>
      <c r="BE36" s="100">
        <v>9129.5999999999985</v>
      </c>
      <c r="BF36" s="100">
        <v>21</v>
      </c>
      <c r="BG36" s="100">
        <v>15976.8</v>
      </c>
      <c r="BH36" s="100">
        <v>13.444160251451262</v>
      </c>
      <c r="BI36" s="100">
        <v>10228.31711930412</v>
      </c>
      <c r="BJ36" s="100">
        <v>15</v>
      </c>
      <c r="BK36" s="100">
        <v>11412</v>
      </c>
      <c r="BL36" s="100">
        <v>11.365390186983833</v>
      </c>
      <c r="BM36" s="100">
        <v>8646.7888542573</v>
      </c>
      <c r="BN36" s="100">
        <v>15</v>
      </c>
      <c r="BO36" s="100">
        <v>11412</v>
      </c>
      <c r="BP36" s="100">
        <v>19</v>
      </c>
      <c r="BQ36" s="100">
        <v>14455.199999999999</v>
      </c>
      <c r="BR36" s="100">
        <v>20</v>
      </c>
      <c r="BS36" s="100">
        <v>15216</v>
      </c>
      <c r="BT36" s="100">
        <v>15</v>
      </c>
      <c r="BU36" s="100">
        <v>11412</v>
      </c>
      <c r="BV36" s="100">
        <v>6.4042216387740813</v>
      </c>
      <c r="BW36" s="100">
        <v>4872.3318227793206</v>
      </c>
      <c r="BX36" s="100">
        <v>15</v>
      </c>
      <c r="BY36" s="100">
        <v>11412</v>
      </c>
      <c r="BZ36" s="100">
        <v>12</v>
      </c>
      <c r="CA36" s="100">
        <v>9129.5999999999985</v>
      </c>
      <c r="CB36" s="100">
        <v>23</v>
      </c>
      <c r="CC36" s="100">
        <v>17498.399999999998</v>
      </c>
      <c r="CD36" s="100">
        <v>21</v>
      </c>
      <c r="CE36" s="100">
        <v>15976.8</v>
      </c>
      <c r="CF36" s="100">
        <v>14</v>
      </c>
      <c r="CG36" s="100">
        <v>10651.199999999999</v>
      </c>
      <c r="CH36" s="100">
        <v>19</v>
      </c>
      <c r="CI36" s="100">
        <v>14455.199999999999</v>
      </c>
      <c r="CJ36" s="100">
        <v>1.3662649228193644</v>
      </c>
      <c r="CK36" s="100">
        <v>1039.4543532809723</v>
      </c>
      <c r="CL36" s="100">
        <v>15</v>
      </c>
      <c r="CM36" s="100">
        <v>11412</v>
      </c>
      <c r="CN36" s="100">
        <v>21</v>
      </c>
      <c r="CO36" s="100">
        <v>15976.8</v>
      </c>
      <c r="CP36" s="100">
        <v>13</v>
      </c>
      <c r="CQ36" s="100">
        <v>9890.4</v>
      </c>
      <c r="CR36" s="100">
        <v>14.020942711647125</v>
      </c>
      <c r="CS36" s="100">
        <v>10667.133215021133</v>
      </c>
      <c r="CT36" s="100">
        <v>13</v>
      </c>
      <c r="CU36" s="100">
        <v>9890.4</v>
      </c>
    </row>
    <row r="37" spans="2:99">
      <c r="B37" s="99" t="s">
        <v>128</v>
      </c>
      <c r="C37" s="99" t="s">
        <v>203</v>
      </c>
      <c r="D37" s="100">
        <v>9</v>
      </c>
      <c r="E37" s="100">
        <v>7743.5999999999995</v>
      </c>
      <c r="F37" s="100">
        <v>4.4125236769848133</v>
      </c>
      <c r="G37" s="100">
        <v>3796.5353716777331</v>
      </c>
      <c r="H37" s="100">
        <v>8</v>
      </c>
      <c r="I37" s="100">
        <v>6883.2</v>
      </c>
      <c r="J37" s="100">
        <v>12</v>
      </c>
      <c r="K37" s="100">
        <v>10324.799999999999</v>
      </c>
      <c r="L37" s="100">
        <v>12</v>
      </c>
      <c r="M37" s="100">
        <v>10324.799999999999</v>
      </c>
      <c r="N37" s="100">
        <v>13</v>
      </c>
      <c r="O37" s="100">
        <v>11185.199999999999</v>
      </c>
      <c r="P37" s="100">
        <v>11</v>
      </c>
      <c r="Q37" s="100">
        <v>9464.4</v>
      </c>
      <c r="R37" s="100">
        <v>8</v>
      </c>
      <c r="S37" s="100">
        <v>6883.2</v>
      </c>
      <c r="T37" s="100">
        <v>7.3896799412097547</v>
      </c>
      <c r="U37" s="100">
        <v>6358.0806214168724</v>
      </c>
      <c r="V37" s="100">
        <v>8.3927988295860398</v>
      </c>
      <c r="W37" s="100">
        <v>7221.1641129758282</v>
      </c>
      <c r="X37" s="100">
        <v>14</v>
      </c>
      <c r="Y37" s="100">
        <v>12045.6</v>
      </c>
      <c r="Z37" s="100">
        <v>11</v>
      </c>
      <c r="AA37" s="100">
        <v>9464.4</v>
      </c>
      <c r="AB37" s="100">
        <v>10</v>
      </c>
      <c r="AC37" s="100">
        <v>8604</v>
      </c>
      <c r="AD37" s="100">
        <v>10.646567533934295</v>
      </c>
      <c r="AE37" s="100">
        <v>9160.3067061970669</v>
      </c>
      <c r="AF37" s="100">
        <v>3.5149792569857712</v>
      </c>
      <c r="AG37" s="100">
        <v>3024.2881527105574</v>
      </c>
      <c r="AH37" s="100">
        <v>9</v>
      </c>
      <c r="AI37" s="100">
        <v>7743.5999999999995</v>
      </c>
      <c r="AJ37" s="100">
        <v>13</v>
      </c>
      <c r="AK37" s="100">
        <v>11185.199999999999</v>
      </c>
      <c r="AL37" s="100">
        <v>8</v>
      </c>
      <c r="AM37" s="100">
        <v>6883.2</v>
      </c>
      <c r="AN37" s="100">
        <v>8</v>
      </c>
      <c r="AO37" s="100">
        <v>6883.2</v>
      </c>
      <c r="AP37" s="100">
        <v>13</v>
      </c>
      <c r="AQ37" s="100">
        <v>11185.199999999999</v>
      </c>
      <c r="AR37" s="100">
        <v>9</v>
      </c>
      <c r="AS37" s="100">
        <v>7743.5999999999995</v>
      </c>
      <c r="AT37" s="100">
        <v>10</v>
      </c>
      <c r="AU37" s="100">
        <v>8604</v>
      </c>
      <c r="AV37" s="100">
        <v>10</v>
      </c>
      <c r="AW37" s="100">
        <v>8604</v>
      </c>
      <c r="AX37" s="100">
        <v>14</v>
      </c>
      <c r="AY37" s="100">
        <v>12045.6</v>
      </c>
      <c r="AZ37" s="100">
        <v>7.9363367618765803</v>
      </c>
      <c r="BA37" s="100">
        <v>6828.4241499186091</v>
      </c>
      <c r="BB37" s="100">
        <v>0</v>
      </c>
      <c r="BC37" s="100">
        <v>0</v>
      </c>
      <c r="BD37" s="100">
        <v>9</v>
      </c>
      <c r="BE37" s="100">
        <v>7743.5999999999995</v>
      </c>
      <c r="BF37" s="100">
        <v>13</v>
      </c>
      <c r="BG37" s="100">
        <v>11185.199999999999</v>
      </c>
      <c r="BH37" s="100">
        <v>5.5358306917740485</v>
      </c>
      <c r="BI37" s="100">
        <v>4763.0287272023916</v>
      </c>
      <c r="BJ37" s="100">
        <v>9</v>
      </c>
      <c r="BK37" s="100">
        <v>7743.5999999999995</v>
      </c>
      <c r="BL37" s="100">
        <v>8.7426078361414081</v>
      </c>
      <c r="BM37" s="100">
        <v>7522.139782216067</v>
      </c>
      <c r="BN37" s="100">
        <v>7</v>
      </c>
      <c r="BO37" s="100">
        <v>6022.8</v>
      </c>
      <c r="BP37" s="100">
        <v>9</v>
      </c>
      <c r="BQ37" s="100">
        <v>7743.5999999999995</v>
      </c>
      <c r="BR37" s="100">
        <v>16</v>
      </c>
      <c r="BS37" s="100">
        <v>13766.4</v>
      </c>
      <c r="BT37" s="100">
        <v>10</v>
      </c>
      <c r="BU37" s="100">
        <v>8604</v>
      </c>
      <c r="BV37" s="100">
        <v>3.9136910014730502</v>
      </c>
      <c r="BW37" s="100">
        <v>3367.3397376674125</v>
      </c>
      <c r="BX37" s="100">
        <v>8</v>
      </c>
      <c r="BY37" s="100">
        <v>6883.2</v>
      </c>
      <c r="BZ37" s="100">
        <v>9</v>
      </c>
      <c r="CA37" s="100">
        <v>7743.5999999999995</v>
      </c>
      <c r="CB37" s="100">
        <v>9</v>
      </c>
      <c r="CC37" s="100">
        <v>7743.5999999999995</v>
      </c>
      <c r="CD37" s="100">
        <v>9</v>
      </c>
      <c r="CE37" s="100">
        <v>7743.5999999999995</v>
      </c>
      <c r="CF37" s="100">
        <v>10</v>
      </c>
      <c r="CG37" s="100">
        <v>8604</v>
      </c>
      <c r="CH37" s="100">
        <v>14</v>
      </c>
      <c r="CI37" s="100">
        <v>12045.6</v>
      </c>
      <c r="CJ37" s="100">
        <v>0.72331672384554591</v>
      </c>
      <c r="CK37" s="100">
        <v>622.34170919670771</v>
      </c>
      <c r="CL37" s="100">
        <v>10</v>
      </c>
      <c r="CM37" s="100">
        <v>8604</v>
      </c>
      <c r="CN37" s="100">
        <v>15</v>
      </c>
      <c r="CO37" s="100">
        <v>12906</v>
      </c>
      <c r="CP37" s="100">
        <v>9</v>
      </c>
      <c r="CQ37" s="100">
        <v>7743.5999999999995</v>
      </c>
      <c r="CR37" s="100">
        <v>9.8971360317509109</v>
      </c>
      <c r="CS37" s="100">
        <v>8515.4958417184844</v>
      </c>
      <c r="CT37" s="100">
        <v>12</v>
      </c>
      <c r="CU37" s="100">
        <v>10324.799999999999</v>
      </c>
    </row>
    <row r="38" spans="2:99">
      <c r="C38" s="99" t="s">
        <v>204</v>
      </c>
      <c r="D38" s="100">
        <v>9</v>
      </c>
      <c r="E38" s="100">
        <v>11178</v>
      </c>
      <c r="F38" s="100">
        <v>4.4125236769848133</v>
      </c>
      <c r="G38" s="100">
        <v>5480.3544068151377</v>
      </c>
      <c r="H38" s="100">
        <v>7</v>
      </c>
      <c r="I38" s="100">
        <v>8694</v>
      </c>
      <c r="J38" s="100">
        <v>13</v>
      </c>
      <c r="K38" s="100">
        <v>16146</v>
      </c>
      <c r="L38" s="100">
        <v>13</v>
      </c>
      <c r="M38" s="100">
        <v>16146</v>
      </c>
      <c r="N38" s="100">
        <v>13</v>
      </c>
      <c r="O38" s="100">
        <v>16146</v>
      </c>
      <c r="P38" s="100">
        <v>11</v>
      </c>
      <c r="Q38" s="100">
        <v>13662</v>
      </c>
      <c r="R38" s="100">
        <v>8</v>
      </c>
      <c r="S38" s="100">
        <v>9936</v>
      </c>
      <c r="T38" s="100">
        <v>7.3896799412097547</v>
      </c>
      <c r="U38" s="100">
        <v>9177.9824869825152</v>
      </c>
      <c r="V38" s="100">
        <v>10.257865236160715</v>
      </c>
      <c r="W38" s="100">
        <v>12740.268623311607</v>
      </c>
      <c r="X38" s="100">
        <v>13</v>
      </c>
      <c r="Y38" s="100">
        <v>16146</v>
      </c>
      <c r="Z38" s="100">
        <v>11</v>
      </c>
      <c r="AA38" s="100">
        <v>13662</v>
      </c>
      <c r="AB38" s="100">
        <v>11</v>
      </c>
      <c r="AC38" s="100">
        <v>13662</v>
      </c>
      <c r="AD38" s="100">
        <v>10.646567533934295</v>
      </c>
      <c r="AE38" s="100">
        <v>13223.036877146395</v>
      </c>
      <c r="AF38" s="100">
        <v>3.2220643189036235</v>
      </c>
      <c r="AG38" s="100">
        <v>4001.8038840783006</v>
      </c>
      <c r="AH38" s="100">
        <v>8</v>
      </c>
      <c r="AI38" s="100">
        <v>9936</v>
      </c>
      <c r="AJ38" s="100">
        <v>13</v>
      </c>
      <c r="AK38" s="100">
        <v>16146</v>
      </c>
      <c r="AL38" s="100">
        <v>8</v>
      </c>
      <c r="AM38" s="100">
        <v>9936</v>
      </c>
      <c r="AN38" s="100">
        <v>7</v>
      </c>
      <c r="AO38" s="100">
        <v>8694</v>
      </c>
      <c r="AP38" s="100">
        <v>13</v>
      </c>
      <c r="AQ38" s="100">
        <v>16146</v>
      </c>
      <c r="AR38" s="100">
        <v>10</v>
      </c>
      <c r="AS38" s="100">
        <v>12420</v>
      </c>
      <c r="AT38" s="100">
        <v>9</v>
      </c>
      <c r="AU38" s="100">
        <v>11178</v>
      </c>
      <c r="AV38" s="100">
        <v>9</v>
      </c>
      <c r="AW38" s="100">
        <v>11178</v>
      </c>
      <c r="AX38" s="100">
        <v>12</v>
      </c>
      <c r="AY38" s="100">
        <v>14904</v>
      </c>
      <c r="AZ38" s="100">
        <v>7.9363367618765803</v>
      </c>
      <c r="BA38" s="100">
        <v>9856.9302582507135</v>
      </c>
      <c r="BB38" s="100">
        <v>0</v>
      </c>
      <c r="BC38" s="100">
        <v>0</v>
      </c>
      <c r="BD38" s="100">
        <v>10</v>
      </c>
      <c r="BE38" s="100">
        <v>12420</v>
      </c>
      <c r="BF38" s="100">
        <v>12</v>
      </c>
      <c r="BG38" s="100">
        <v>14904</v>
      </c>
      <c r="BH38" s="100">
        <v>5.5358306917740485</v>
      </c>
      <c r="BI38" s="100">
        <v>6875.5017191833686</v>
      </c>
      <c r="BJ38" s="100">
        <v>11</v>
      </c>
      <c r="BK38" s="100">
        <v>13662</v>
      </c>
      <c r="BL38" s="100">
        <v>9.6168686197555502</v>
      </c>
      <c r="BM38" s="100">
        <v>11944.150825736393</v>
      </c>
      <c r="BN38" s="100">
        <v>8</v>
      </c>
      <c r="BO38" s="100">
        <v>9936</v>
      </c>
      <c r="BP38" s="100">
        <v>11</v>
      </c>
      <c r="BQ38" s="100">
        <v>13662</v>
      </c>
      <c r="BR38" s="100">
        <v>14</v>
      </c>
      <c r="BS38" s="100">
        <v>17388</v>
      </c>
      <c r="BT38" s="100">
        <v>9</v>
      </c>
      <c r="BU38" s="100">
        <v>11178</v>
      </c>
      <c r="BV38" s="100">
        <v>3.5579009104300456</v>
      </c>
      <c r="BW38" s="100">
        <v>4418.912930754117</v>
      </c>
      <c r="BX38" s="100">
        <v>9</v>
      </c>
      <c r="BY38" s="100">
        <v>11178</v>
      </c>
      <c r="BZ38" s="100">
        <v>9</v>
      </c>
      <c r="CA38" s="100">
        <v>11178</v>
      </c>
      <c r="CB38" s="100">
        <v>10</v>
      </c>
      <c r="CC38" s="100">
        <v>12420</v>
      </c>
      <c r="CD38" s="100">
        <v>9</v>
      </c>
      <c r="CE38" s="100">
        <v>11178</v>
      </c>
      <c r="CF38" s="100">
        <v>8</v>
      </c>
      <c r="CG38" s="100">
        <v>9936</v>
      </c>
      <c r="CH38" s="100">
        <v>14</v>
      </c>
      <c r="CI38" s="100">
        <v>17388</v>
      </c>
      <c r="CJ38" s="100">
        <v>0.72331672384554591</v>
      </c>
      <c r="CK38" s="100">
        <v>898.35937101616798</v>
      </c>
      <c r="CL38" s="100">
        <v>11</v>
      </c>
      <c r="CM38" s="100">
        <v>13662</v>
      </c>
      <c r="CN38" s="100">
        <v>14</v>
      </c>
      <c r="CO38" s="100">
        <v>17388</v>
      </c>
      <c r="CP38" s="100">
        <v>10</v>
      </c>
      <c r="CQ38" s="100">
        <v>12420</v>
      </c>
      <c r="CR38" s="100">
        <v>11.546658703709397</v>
      </c>
      <c r="CS38" s="100">
        <v>14340.950110007072</v>
      </c>
      <c r="CT38" s="100">
        <v>11</v>
      </c>
      <c r="CU38" s="100">
        <v>13662</v>
      </c>
    </row>
    <row r="39" spans="2:99">
      <c r="C39" s="99" t="s">
        <v>205</v>
      </c>
      <c r="D39" s="100">
        <v>8</v>
      </c>
      <c r="E39" s="100">
        <v>11385.6</v>
      </c>
      <c r="F39" s="100">
        <v>4.1183554318524918</v>
      </c>
      <c r="G39" s="100">
        <v>5861.2434506124664</v>
      </c>
      <c r="H39" s="100">
        <v>7</v>
      </c>
      <c r="I39" s="100">
        <v>9962.4</v>
      </c>
      <c r="J39" s="100">
        <v>13</v>
      </c>
      <c r="K39" s="100">
        <v>18501.600000000002</v>
      </c>
      <c r="L39" s="100">
        <v>12</v>
      </c>
      <c r="M39" s="100">
        <v>17078.400000000001</v>
      </c>
      <c r="N39" s="100">
        <v>12</v>
      </c>
      <c r="O39" s="100">
        <v>17078.400000000001</v>
      </c>
      <c r="P39" s="100">
        <v>10</v>
      </c>
      <c r="Q39" s="100">
        <v>14232</v>
      </c>
      <c r="R39" s="100">
        <v>8</v>
      </c>
      <c r="S39" s="100">
        <v>11385.6</v>
      </c>
      <c r="T39" s="100">
        <v>8.0054866029772356</v>
      </c>
      <c r="U39" s="100">
        <v>11393.408533357202</v>
      </c>
      <c r="V39" s="100">
        <v>9.3253320328733782</v>
      </c>
      <c r="W39" s="100">
        <v>13271.812549185392</v>
      </c>
      <c r="X39" s="100">
        <v>13</v>
      </c>
      <c r="Y39" s="100">
        <v>18501.600000000002</v>
      </c>
      <c r="Z39" s="100">
        <v>10</v>
      </c>
      <c r="AA39" s="100">
        <v>14232</v>
      </c>
      <c r="AB39" s="100">
        <v>10</v>
      </c>
      <c r="AC39" s="100">
        <v>14232</v>
      </c>
      <c r="AD39" s="100">
        <v>9.8860984243675603</v>
      </c>
      <c r="AE39" s="100">
        <v>14069.895277559912</v>
      </c>
      <c r="AF39" s="100">
        <v>2.9291493808214759</v>
      </c>
      <c r="AG39" s="100">
        <v>4168.7653987851245</v>
      </c>
      <c r="AH39" s="100">
        <v>9</v>
      </c>
      <c r="AI39" s="100">
        <v>12808.800000000001</v>
      </c>
      <c r="AJ39" s="100">
        <v>12</v>
      </c>
      <c r="AK39" s="100">
        <v>17078.400000000001</v>
      </c>
      <c r="AL39" s="100">
        <v>10</v>
      </c>
      <c r="AM39" s="100">
        <v>14232</v>
      </c>
      <c r="AN39" s="100">
        <v>8</v>
      </c>
      <c r="AO39" s="100">
        <v>11385.6</v>
      </c>
      <c r="AP39" s="100">
        <v>13</v>
      </c>
      <c r="AQ39" s="100">
        <v>18501.600000000002</v>
      </c>
      <c r="AR39" s="100">
        <v>10</v>
      </c>
      <c r="AS39" s="100">
        <v>14232</v>
      </c>
      <c r="AT39" s="100">
        <v>9</v>
      </c>
      <c r="AU39" s="100">
        <v>12808.800000000001</v>
      </c>
      <c r="AV39" s="100">
        <v>10</v>
      </c>
      <c r="AW39" s="100">
        <v>14232</v>
      </c>
      <c r="AX39" s="100">
        <v>13</v>
      </c>
      <c r="AY39" s="100">
        <v>18501.600000000002</v>
      </c>
      <c r="AZ39" s="100">
        <v>7.9363367618765803</v>
      </c>
      <c r="BA39" s="100">
        <v>11294.99447950275</v>
      </c>
      <c r="BB39" s="100">
        <v>0</v>
      </c>
      <c r="BC39" s="100">
        <v>0</v>
      </c>
      <c r="BD39" s="100">
        <v>10</v>
      </c>
      <c r="BE39" s="100">
        <v>14232</v>
      </c>
      <c r="BF39" s="100">
        <v>11</v>
      </c>
      <c r="BG39" s="100">
        <v>15655.2</v>
      </c>
      <c r="BH39" s="100">
        <v>6.3266636477417695</v>
      </c>
      <c r="BI39" s="100">
        <v>9004.1077034660866</v>
      </c>
      <c r="BJ39" s="100">
        <v>11</v>
      </c>
      <c r="BK39" s="100">
        <v>15655.2</v>
      </c>
      <c r="BL39" s="100">
        <v>8.7426078361414081</v>
      </c>
      <c r="BM39" s="100">
        <v>12442.479472396453</v>
      </c>
      <c r="BN39" s="100">
        <v>7</v>
      </c>
      <c r="BO39" s="100">
        <v>9962.4</v>
      </c>
      <c r="BP39" s="100">
        <v>10</v>
      </c>
      <c r="BQ39" s="100">
        <v>14232</v>
      </c>
      <c r="BR39" s="100">
        <v>15</v>
      </c>
      <c r="BS39" s="100">
        <v>21348</v>
      </c>
      <c r="BT39" s="100">
        <v>9</v>
      </c>
      <c r="BU39" s="100">
        <v>12808.800000000001</v>
      </c>
      <c r="BV39" s="100">
        <v>3.2021108193870407</v>
      </c>
      <c r="BW39" s="100">
        <v>4557.244118151636</v>
      </c>
      <c r="BX39" s="100">
        <v>9</v>
      </c>
      <c r="BY39" s="100">
        <v>12808.800000000001</v>
      </c>
      <c r="BZ39" s="100">
        <v>9</v>
      </c>
      <c r="CA39" s="100">
        <v>12808.800000000001</v>
      </c>
      <c r="CB39" s="100">
        <v>9</v>
      </c>
      <c r="CC39" s="100">
        <v>12808.800000000001</v>
      </c>
      <c r="CD39" s="100">
        <v>8</v>
      </c>
      <c r="CE39" s="100">
        <v>11385.6</v>
      </c>
      <c r="CF39" s="100">
        <v>9</v>
      </c>
      <c r="CG39" s="100">
        <v>12808.800000000001</v>
      </c>
      <c r="CH39" s="100">
        <v>14</v>
      </c>
      <c r="CI39" s="100">
        <v>19924.8</v>
      </c>
      <c r="CJ39" s="100">
        <v>0.72331672384554591</v>
      </c>
      <c r="CK39" s="100">
        <v>1029.4243613769809</v>
      </c>
      <c r="CL39" s="100">
        <v>10</v>
      </c>
      <c r="CM39" s="100">
        <v>14232</v>
      </c>
      <c r="CN39" s="100">
        <v>13</v>
      </c>
      <c r="CO39" s="100">
        <v>18501.600000000002</v>
      </c>
      <c r="CP39" s="100">
        <v>9</v>
      </c>
      <c r="CQ39" s="100">
        <v>12808.800000000001</v>
      </c>
      <c r="CR39" s="100">
        <v>11.546658703709397</v>
      </c>
      <c r="CS39" s="100">
        <v>16433.204667119215</v>
      </c>
      <c r="CT39" s="100">
        <v>11</v>
      </c>
      <c r="CU39" s="100">
        <v>15655.2</v>
      </c>
    </row>
    <row r="40" spans="2:99">
      <c r="C40" s="99" t="s">
        <v>206</v>
      </c>
      <c r="D40" s="100">
        <v>9</v>
      </c>
      <c r="E40" s="100">
        <v>6523.2</v>
      </c>
      <c r="F40" s="100">
        <v>4.4125236769848133</v>
      </c>
      <c r="G40" s="100">
        <v>3198.1971610785927</v>
      </c>
      <c r="H40" s="100">
        <v>8</v>
      </c>
      <c r="I40" s="100">
        <v>5798.4</v>
      </c>
      <c r="J40" s="100">
        <v>13</v>
      </c>
      <c r="K40" s="100">
        <v>9422.4</v>
      </c>
      <c r="L40" s="100">
        <v>13</v>
      </c>
      <c r="M40" s="100">
        <v>9422.4</v>
      </c>
      <c r="N40" s="100">
        <v>12</v>
      </c>
      <c r="O40" s="100">
        <v>8697.5999999999985</v>
      </c>
      <c r="P40" s="100">
        <v>12</v>
      </c>
      <c r="Q40" s="100">
        <v>8697.5999999999985</v>
      </c>
      <c r="R40" s="100">
        <v>7</v>
      </c>
      <c r="S40" s="100">
        <v>5073.5999999999995</v>
      </c>
      <c r="T40" s="100">
        <v>8.0054866029772356</v>
      </c>
      <c r="U40" s="100">
        <v>5802.3766898378999</v>
      </c>
      <c r="V40" s="100">
        <v>10.257865236160715</v>
      </c>
      <c r="W40" s="100">
        <v>7434.9007231692858</v>
      </c>
      <c r="X40" s="100">
        <v>15</v>
      </c>
      <c r="Y40" s="100">
        <v>10872</v>
      </c>
      <c r="Z40" s="100">
        <v>10</v>
      </c>
      <c r="AA40" s="100">
        <v>7248</v>
      </c>
      <c r="AB40" s="100">
        <v>12</v>
      </c>
      <c r="AC40" s="100">
        <v>8697.5999999999985</v>
      </c>
      <c r="AD40" s="100">
        <v>10.646567533934295</v>
      </c>
      <c r="AE40" s="100">
        <v>7716.6321485955768</v>
      </c>
      <c r="AF40" s="100">
        <v>3.5149792569857712</v>
      </c>
      <c r="AG40" s="100">
        <v>2547.6569654632867</v>
      </c>
      <c r="AH40" s="100">
        <v>8</v>
      </c>
      <c r="AI40" s="100">
        <v>5798.4</v>
      </c>
      <c r="AJ40" s="100">
        <v>14</v>
      </c>
      <c r="AK40" s="100">
        <v>10147.199999999999</v>
      </c>
      <c r="AL40" s="100">
        <v>9</v>
      </c>
      <c r="AM40" s="100">
        <v>6523.2</v>
      </c>
      <c r="AN40" s="100">
        <v>7</v>
      </c>
      <c r="AO40" s="100">
        <v>5073.5999999999995</v>
      </c>
      <c r="AP40" s="100">
        <v>15</v>
      </c>
      <c r="AQ40" s="100">
        <v>10872</v>
      </c>
      <c r="AR40" s="100">
        <v>10</v>
      </c>
      <c r="AS40" s="100">
        <v>7248</v>
      </c>
      <c r="AT40" s="100">
        <v>9</v>
      </c>
      <c r="AU40" s="100">
        <v>6523.2</v>
      </c>
      <c r="AV40" s="100">
        <v>9</v>
      </c>
      <c r="AW40" s="100">
        <v>6523.2</v>
      </c>
      <c r="AX40" s="100">
        <v>14</v>
      </c>
      <c r="AY40" s="100">
        <v>10147.199999999999</v>
      </c>
      <c r="AZ40" s="100">
        <v>6.9442946666420076</v>
      </c>
      <c r="BA40" s="100">
        <v>5033.2247743821272</v>
      </c>
      <c r="BB40" s="100">
        <v>0</v>
      </c>
      <c r="BC40" s="100">
        <v>0</v>
      </c>
      <c r="BD40" s="100">
        <v>11</v>
      </c>
      <c r="BE40" s="100">
        <v>7972.7999999999993</v>
      </c>
      <c r="BF40" s="100">
        <v>11</v>
      </c>
      <c r="BG40" s="100">
        <v>7972.7999999999993</v>
      </c>
      <c r="BH40" s="100">
        <v>6.3266636477417695</v>
      </c>
      <c r="BI40" s="100">
        <v>4585.5658118832343</v>
      </c>
      <c r="BJ40" s="100">
        <v>10</v>
      </c>
      <c r="BK40" s="100">
        <v>7248</v>
      </c>
      <c r="BL40" s="100">
        <v>8.7426078361414081</v>
      </c>
      <c r="BM40" s="100">
        <v>6336.642159635292</v>
      </c>
      <c r="BN40" s="100">
        <v>8</v>
      </c>
      <c r="BO40" s="100">
        <v>5798.4</v>
      </c>
      <c r="BP40" s="100">
        <v>11</v>
      </c>
      <c r="BQ40" s="100">
        <v>7972.7999999999993</v>
      </c>
      <c r="BR40" s="100">
        <v>13</v>
      </c>
      <c r="BS40" s="100">
        <v>9422.4</v>
      </c>
      <c r="BT40" s="100">
        <v>10</v>
      </c>
      <c r="BU40" s="100">
        <v>7248</v>
      </c>
      <c r="BV40" s="100">
        <v>3.2021108193870407</v>
      </c>
      <c r="BW40" s="100">
        <v>2320.8899218917268</v>
      </c>
      <c r="BX40" s="100">
        <v>9</v>
      </c>
      <c r="BY40" s="100">
        <v>6523.2</v>
      </c>
      <c r="BZ40" s="100">
        <v>11</v>
      </c>
      <c r="CA40" s="100">
        <v>7972.7999999999993</v>
      </c>
      <c r="CB40" s="100">
        <v>9</v>
      </c>
      <c r="CC40" s="100">
        <v>6523.2</v>
      </c>
      <c r="CD40" s="100">
        <v>9</v>
      </c>
      <c r="CE40" s="100">
        <v>6523.2</v>
      </c>
      <c r="CF40" s="100">
        <v>8</v>
      </c>
      <c r="CG40" s="100">
        <v>5798.4</v>
      </c>
      <c r="CH40" s="100">
        <v>13</v>
      </c>
      <c r="CI40" s="100">
        <v>9422.4</v>
      </c>
      <c r="CJ40" s="100">
        <v>0.72331672384554591</v>
      </c>
      <c r="CK40" s="100">
        <v>524.25996144325165</v>
      </c>
      <c r="CL40" s="100">
        <v>11</v>
      </c>
      <c r="CM40" s="100">
        <v>7972.7999999999993</v>
      </c>
      <c r="CN40" s="100">
        <v>14</v>
      </c>
      <c r="CO40" s="100">
        <v>10147.199999999999</v>
      </c>
      <c r="CP40" s="100">
        <v>10</v>
      </c>
      <c r="CQ40" s="100">
        <v>7248</v>
      </c>
      <c r="CR40" s="100">
        <v>9.8971360317509109</v>
      </c>
      <c r="CS40" s="100">
        <v>7173.4441958130601</v>
      </c>
      <c r="CT40" s="100">
        <v>11</v>
      </c>
      <c r="CU40" s="100">
        <v>7972.7999999999993</v>
      </c>
    </row>
    <row r="41" spans="2:99">
      <c r="C41" s="99" t="s">
        <v>207</v>
      </c>
      <c r="D41" s="100">
        <v>8</v>
      </c>
      <c r="E41" s="100">
        <v>5280</v>
      </c>
      <c r="F41" s="100">
        <v>4.1183554318524918</v>
      </c>
      <c r="G41" s="100">
        <v>2718.1145850226444</v>
      </c>
      <c r="H41" s="100">
        <v>7</v>
      </c>
      <c r="I41" s="100">
        <v>4620</v>
      </c>
      <c r="J41" s="100">
        <v>14</v>
      </c>
      <c r="K41" s="100">
        <v>9240</v>
      </c>
      <c r="L41" s="100">
        <v>12</v>
      </c>
      <c r="M41" s="100">
        <v>7920</v>
      </c>
      <c r="N41" s="100">
        <v>12</v>
      </c>
      <c r="O41" s="100">
        <v>7920</v>
      </c>
      <c r="P41" s="100">
        <v>11</v>
      </c>
      <c r="Q41" s="100">
        <v>7260</v>
      </c>
      <c r="R41" s="100">
        <v>8</v>
      </c>
      <c r="S41" s="100">
        <v>5280</v>
      </c>
      <c r="T41" s="100">
        <v>8.6212932647447147</v>
      </c>
      <c r="U41" s="100">
        <v>5690.0535547315121</v>
      </c>
      <c r="V41" s="100">
        <v>10.257865236160715</v>
      </c>
      <c r="W41" s="100">
        <v>6770.191055866072</v>
      </c>
      <c r="X41" s="100">
        <v>14</v>
      </c>
      <c r="Y41" s="100">
        <v>9240</v>
      </c>
      <c r="Z41" s="100">
        <v>11</v>
      </c>
      <c r="AA41" s="100">
        <v>7260</v>
      </c>
      <c r="AB41" s="100">
        <v>11</v>
      </c>
      <c r="AC41" s="100">
        <v>7260</v>
      </c>
      <c r="AD41" s="100">
        <v>9.8860984243675603</v>
      </c>
      <c r="AE41" s="100">
        <v>6524.8249600825893</v>
      </c>
      <c r="AF41" s="100">
        <v>3.2220643189036235</v>
      </c>
      <c r="AG41" s="100">
        <v>2126.5624504763914</v>
      </c>
      <c r="AH41" s="100">
        <v>10</v>
      </c>
      <c r="AI41" s="100">
        <v>6600</v>
      </c>
      <c r="AJ41" s="100">
        <v>12</v>
      </c>
      <c r="AK41" s="100">
        <v>7920</v>
      </c>
      <c r="AL41" s="100">
        <v>10</v>
      </c>
      <c r="AM41" s="100">
        <v>6600</v>
      </c>
      <c r="AN41" s="100">
        <v>8</v>
      </c>
      <c r="AO41" s="100">
        <v>5280</v>
      </c>
      <c r="AP41" s="100">
        <v>16</v>
      </c>
      <c r="AQ41" s="100">
        <v>10560</v>
      </c>
      <c r="AR41" s="100">
        <v>10</v>
      </c>
      <c r="AS41" s="100">
        <v>6600</v>
      </c>
      <c r="AT41" s="100">
        <v>9</v>
      </c>
      <c r="AU41" s="100">
        <v>5940</v>
      </c>
      <c r="AV41" s="100">
        <v>10</v>
      </c>
      <c r="AW41" s="100">
        <v>6600</v>
      </c>
      <c r="AX41" s="100">
        <v>13</v>
      </c>
      <c r="AY41" s="100">
        <v>8580</v>
      </c>
      <c r="AZ41" s="100">
        <v>8.9283788571111522</v>
      </c>
      <c r="BA41" s="100">
        <v>5892.7300456933608</v>
      </c>
      <c r="BB41" s="100">
        <v>0</v>
      </c>
      <c r="BC41" s="100">
        <v>0</v>
      </c>
      <c r="BD41" s="100">
        <v>10</v>
      </c>
      <c r="BE41" s="100">
        <v>6600</v>
      </c>
      <c r="BF41" s="100">
        <v>13</v>
      </c>
      <c r="BG41" s="100">
        <v>8580</v>
      </c>
      <c r="BH41" s="100">
        <v>5.5358306917740485</v>
      </c>
      <c r="BI41" s="100">
        <v>3653.648256570872</v>
      </c>
      <c r="BJ41" s="100">
        <v>11</v>
      </c>
      <c r="BK41" s="100">
        <v>7260</v>
      </c>
      <c r="BL41" s="100">
        <v>7.8683470525272687</v>
      </c>
      <c r="BM41" s="100">
        <v>5193.109054667997</v>
      </c>
      <c r="BN41" s="100">
        <v>8</v>
      </c>
      <c r="BO41" s="100">
        <v>5280</v>
      </c>
      <c r="BP41" s="100">
        <v>11</v>
      </c>
      <c r="BQ41" s="100">
        <v>7260</v>
      </c>
      <c r="BR41" s="100">
        <v>14</v>
      </c>
      <c r="BS41" s="100">
        <v>9240</v>
      </c>
      <c r="BT41" s="100">
        <v>10</v>
      </c>
      <c r="BU41" s="100">
        <v>6600</v>
      </c>
      <c r="BV41" s="100">
        <v>3.5579009104300456</v>
      </c>
      <c r="BW41" s="100">
        <v>2348.2146008838299</v>
      </c>
      <c r="BX41" s="100">
        <v>8</v>
      </c>
      <c r="BY41" s="100">
        <v>5280</v>
      </c>
      <c r="BZ41" s="100">
        <v>9</v>
      </c>
      <c r="CA41" s="100">
        <v>5940</v>
      </c>
      <c r="CB41" s="100">
        <v>10</v>
      </c>
      <c r="CC41" s="100">
        <v>6600</v>
      </c>
      <c r="CD41" s="100">
        <v>9</v>
      </c>
      <c r="CE41" s="100">
        <v>5940</v>
      </c>
      <c r="CF41" s="100">
        <v>8</v>
      </c>
      <c r="CG41" s="100">
        <v>5280</v>
      </c>
      <c r="CH41" s="100">
        <v>14</v>
      </c>
      <c r="CI41" s="100">
        <v>9240</v>
      </c>
      <c r="CJ41" s="100">
        <v>0.8036852487172732</v>
      </c>
      <c r="CK41" s="100">
        <v>530.4322641534003</v>
      </c>
      <c r="CL41" s="100">
        <v>11</v>
      </c>
      <c r="CM41" s="100">
        <v>7260</v>
      </c>
      <c r="CN41" s="100">
        <v>13</v>
      </c>
      <c r="CO41" s="100">
        <v>8580</v>
      </c>
      <c r="CP41" s="100">
        <v>10</v>
      </c>
      <c r="CQ41" s="100">
        <v>6600</v>
      </c>
      <c r="CR41" s="100">
        <v>9.8971360317509109</v>
      </c>
      <c r="CS41" s="100">
        <v>6532.1097809556013</v>
      </c>
      <c r="CT41" s="100">
        <v>12</v>
      </c>
      <c r="CU41" s="100">
        <v>7920</v>
      </c>
    </row>
    <row r="42" spans="2:99">
      <c r="C42" s="99" t="s">
        <v>208</v>
      </c>
      <c r="D42" s="100">
        <v>9</v>
      </c>
      <c r="E42" s="100">
        <v>7614</v>
      </c>
      <c r="F42" s="100">
        <v>4.1183554318524918</v>
      </c>
      <c r="G42" s="100">
        <v>3484.1286953472081</v>
      </c>
      <c r="H42" s="100">
        <v>8</v>
      </c>
      <c r="I42" s="100">
        <v>6768</v>
      </c>
      <c r="J42" s="100">
        <v>12</v>
      </c>
      <c r="K42" s="100">
        <v>10152</v>
      </c>
      <c r="L42" s="100">
        <v>11</v>
      </c>
      <c r="M42" s="100">
        <v>9306</v>
      </c>
      <c r="N42" s="100">
        <v>14</v>
      </c>
      <c r="O42" s="100">
        <v>11844</v>
      </c>
      <c r="P42" s="100">
        <v>10</v>
      </c>
      <c r="Q42" s="100">
        <v>8460</v>
      </c>
      <c r="R42" s="100">
        <v>8</v>
      </c>
      <c r="S42" s="100">
        <v>6768</v>
      </c>
      <c r="T42" s="100">
        <v>8.0054866029772356</v>
      </c>
      <c r="U42" s="100">
        <v>6772.6416661187413</v>
      </c>
      <c r="V42" s="100">
        <v>10.257865236160715</v>
      </c>
      <c r="W42" s="100">
        <v>8678.1539897919647</v>
      </c>
      <c r="X42" s="100">
        <v>15</v>
      </c>
      <c r="Y42" s="100">
        <v>12690</v>
      </c>
      <c r="Z42" s="100">
        <v>10</v>
      </c>
      <c r="AA42" s="100">
        <v>8460</v>
      </c>
      <c r="AB42" s="100">
        <v>10</v>
      </c>
      <c r="AC42" s="100">
        <v>8460</v>
      </c>
      <c r="AD42" s="100">
        <v>9.8860984243675603</v>
      </c>
      <c r="AE42" s="100">
        <v>8363.6392670149562</v>
      </c>
      <c r="AF42" s="100">
        <v>3.5149792569857712</v>
      </c>
      <c r="AG42" s="100">
        <v>2973.6724514099624</v>
      </c>
      <c r="AH42" s="100">
        <v>8</v>
      </c>
      <c r="AI42" s="100">
        <v>6768</v>
      </c>
      <c r="AJ42" s="100">
        <v>13</v>
      </c>
      <c r="AK42" s="100">
        <v>10998</v>
      </c>
      <c r="AL42" s="100">
        <v>10</v>
      </c>
      <c r="AM42" s="100">
        <v>8460</v>
      </c>
      <c r="AN42" s="100">
        <v>7</v>
      </c>
      <c r="AO42" s="100">
        <v>5922</v>
      </c>
      <c r="AP42" s="100">
        <v>14</v>
      </c>
      <c r="AQ42" s="100">
        <v>11844</v>
      </c>
      <c r="AR42" s="100">
        <v>10</v>
      </c>
      <c r="AS42" s="100">
        <v>8460</v>
      </c>
      <c r="AT42" s="100">
        <v>9</v>
      </c>
      <c r="AU42" s="100">
        <v>7614</v>
      </c>
      <c r="AV42" s="100">
        <v>10</v>
      </c>
      <c r="AW42" s="100">
        <v>8460</v>
      </c>
      <c r="AX42" s="100">
        <v>13</v>
      </c>
      <c r="AY42" s="100">
        <v>10998</v>
      </c>
      <c r="AZ42" s="100">
        <v>6.9442946666420076</v>
      </c>
      <c r="BA42" s="100">
        <v>5874.8732879791387</v>
      </c>
      <c r="BB42" s="100">
        <v>0</v>
      </c>
      <c r="BC42" s="100">
        <v>0</v>
      </c>
      <c r="BD42" s="100">
        <v>10</v>
      </c>
      <c r="BE42" s="100">
        <v>8460</v>
      </c>
      <c r="BF42" s="100">
        <v>12</v>
      </c>
      <c r="BG42" s="100">
        <v>10152</v>
      </c>
      <c r="BH42" s="100">
        <v>6.3266636477417695</v>
      </c>
      <c r="BI42" s="100">
        <v>5352.3574459895372</v>
      </c>
      <c r="BJ42" s="100">
        <v>11</v>
      </c>
      <c r="BK42" s="100">
        <v>9306</v>
      </c>
      <c r="BL42" s="100">
        <v>8.7426078361414081</v>
      </c>
      <c r="BM42" s="100">
        <v>7396.2462293756316</v>
      </c>
      <c r="BN42" s="100">
        <v>8</v>
      </c>
      <c r="BO42" s="100">
        <v>6768</v>
      </c>
      <c r="BP42" s="100">
        <v>9</v>
      </c>
      <c r="BQ42" s="100">
        <v>7614</v>
      </c>
      <c r="BR42" s="100">
        <v>15</v>
      </c>
      <c r="BS42" s="100">
        <v>12690</v>
      </c>
      <c r="BT42" s="100">
        <v>9</v>
      </c>
      <c r="BU42" s="100">
        <v>7614</v>
      </c>
      <c r="BV42" s="100">
        <v>3.2021108193870407</v>
      </c>
      <c r="BW42" s="100">
        <v>2708.9857532014366</v>
      </c>
      <c r="BX42" s="100">
        <v>8</v>
      </c>
      <c r="BY42" s="100">
        <v>6768</v>
      </c>
      <c r="BZ42" s="100">
        <v>10</v>
      </c>
      <c r="CA42" s="100">
        <v>8460</v>
      </c>
      <c r="CB42" s="100">
        <v>10</v>
      </c>
      <c r="CC42" s="100">
        <v>8460</v>
      </c>
      <c r="CD42" s="100">
        <v>8</v>
      </c>
      <c r="CE42" s="100">
        <v>6768</v>
      </c>
      <c r="CF42" s="100">
        <v>9</v>
      </c>
      <c r="CG42" s="100">
        <v>7614</v>
      </c>
      <c r="CH42" s="100">
        <v>15</v>
      </c>
      <c r="CI42" s="100">
        <v>12690</v>
      </c>
      <c r="CJ42" s="100">
        <v>0.72331672384554591</v>
      </c>
      <c r="CK42" s="100">
        <v>611.92594837333183</v>
      </c>
      <c r="CL42" s="100">
        <v>10</v>
      </c>
      <c r="CM42" s="100">
        <v>8460</v>
      </c>
      <c r="CN42" s="100">
        <v>15</v>
      </c>
      <c r="CO42" s="100">
        <v>12690</v>
      </c>
      <c r="CP42" s="100">
        <v>10</v>
      </c>
      <c r="CQ42" s="100">
        <v>8460</v>
      </c>
      <c r="CR42" s="100">
        <v>11.546658703709397</v>
      </c>
      <c r="CS42" s="100">
        <v>9768.47326333815</v>
      </c>
      <c r="CT42" s="100">
        <v>12</v>
      </c>
      <c r="CU42" s="100">
        <v>10152</v>
      </c>
    </row>
    <row r="43" spans="2:99">
      <c r="C43" s="99" t="s">
        <v>209</v>
      </c>
      <c r="D43" s="100">
        <v>9</v>
      </c>
      <c r="E43" s="100">
        <v>9201.6</v>
      </c>
      <c r="F43" s="100">
        <v>4.4125236769848133</v>
      </c>
      <c r="G43" s="100">
        <v>4511.3642073492729</v>
      </c>
      <c r="H43" s="100">
        <v>8</v>
      </c>
      <c r="I43" s="100">
        <v>8179.2</v>
      </c>
      <c r="J43" s="100">
        <v>13</v>
      </c>
      <c r="K43" s="100">
        <v>13291.199999999999</v>
      </c>
      <c r="L43" s="100">
        <v>11</v>
      </c>
      <c r="M43" s="100">
        <v>11246.4</v>
      </c>
      <c r="N43" s="100">
        <v>12</v>
      </c>
      <c r="O43" s="100">
        <v>12268.8</v>
      </c>
      <c r="P43" s="100">
        <v>10</v>
      </c>
      <c r="Q43" s="100">
        <v>10224</v>
      </c>
      <c r="R43" s="100">
        <v>8</v>
      </c>
      <c r="S43" s="100">
        <v>8179.2</v>
      </c>
      <c r="T43" s="100">
        <v>7.3896799412097547</v>
      </c>
      <c r="U43" s="100">
        <v>7555.2087718928533</v>
      </c>
      <c r="V43" s="100">
        <v>8.3927988295860398</v>
      </c>
      <c r="W43" s="100">
        <v>8580.7975233687666</v>
      </c>
      <c r="X43" s="100">
        <v>15</v>
      </c>
      <c r="Y43" s="100">
        <v>15336</v>
      </c>
      <c r="Z43" s="100">
        <v>10</v>
      </c>
      <c r="AA43" s="100">
        <v>10224</v>
      </c>
      <c r="AB43" s="100">
        <v>12</v>
      </c>
      <c r="AC43" s="100">
        <v>12268.8</v>
      </c>
      <c r="AD43" s="100">
        <v>9.8860984243675603</v>
      </c>
      <c r="AE43" s="100">
        <v>10107.547029073394</v>
      </c>
      <c r="AF43" s="100">
        <v>3.5149792569857712</v>
      </c>
      <c r="AG43" s="100">
        <v>3593.7147923422522</v>
      </c>
      <c r="AH43" s="100">
        <v>8</v>
      </c>
      <c r="AI43" s="100">
        <v>8179.2</v>
      </c>
      <c r="AJ43" s="100">
        <v>13</v>
      </c>
      <c r="AK43" s="100">
        <v>13291.199999999999</v>
      </c>
      <c r="AL43" s="100">
        <v>9</v>
      </c>
      <c r="AM43" s="100">
        <v>9201.6</v>
      </c>
      <c r="AN43" s="100">
        <v>8</v>
      </c>
      <c r="AO43" s="100">
        <v>8179.2</v>
      </c>
      <c r="AP43" s="100">
        <v>14</v>
      </c>
      <c r="AQ43" s="100">
        <v>14313.6</v>
      </c>
      <c r="AR43" s="100">
        <v>9</v>
      </c>
      <c r="AS43" s="100">
        <v>9201.6</v>
      </c>
      <c r="AT43" s="100">
        <v>9</v>
      </c>
      <c r="AU43" s="100">
        <v>9201.6</v>
      </c>
      <c r="AV43" s="100">
        <v>10</v>
      </c>
      <c r="AW43" s="100">
        <v>10224</v>
      </c>
      <c r="AX43" s="100">
        <v>14</v>
      </c>
      <c r="AY43" s="100">
        <v>14313.6</v>
      </c>
      <c r="AZ43" s="100">
        <v>7.9363367618765803</v>
      </c>
      <c r="BA43" s="100">
        <v>8114.1107053426158</v>
      </c>
      <c r="BB43" s="100">
        <v>0</v>
      </c>
      <c r="BC43" s="100">
        <v>0</v>
      </c>
      <c r="BD43" s="100">
        <v>11</v>
      </c>
      <c r="BE43" s="100">
        <v>11246.4</v>
      </c>
      <c r="BF43" s="100">
        <v>12</v>
      </c>
      <c r="BG43" s="100">
        <v>12268.8</v>
      </c>
      <c r="BH43" s="100">
        <v>6.3266636477417695</v>
      </c>
      <c r="BI43" s="100">
        <v>6468.3809134511848</v>
      </c>
      <c r="BJ43" s="100">
        <v>9</v>
      </c>
      <c r="BK43" s="100">
        <v>9201.6</v>
      </c>
      <c r="BL43" s="100">
        <v>8.7426078361414081</v>
      </c>
      <c r="BM43" s="100">
        <v>8938.4422516709747</v>
      </c>
      <c r="BN43" s="100">
        <v>7</v>
      </c>
      <c r="BO43" s="100">
        <v>7156.8</v>
      </c>
      <c r="BP43" s="100">
        <v>11</v>
      </c>
      <c r="BQ43" s="100">
        <v>11246.4</v>
      </c>
      <c r="BR43" s="100">
        <v>14</v>
      </c>
      <c r="BS43" s="100">
        <v>14313.6</v>
      </c>
      <c r="BT43" s="100">
        <v>9</v>
      </c>
      <c r="BU43" s="100">
        <v>9201.6</v>
      </c>
      <c r="BV43" s="100">
        <v>3.5579009104300456</v>
      </c>
      <c r="BW43" s="100">
        <v>3637.5978908236784</v>
      </c>
      <c r="BX43" s="100">
        <v>9</v>
      </c>
      <c r="BY43" s="100">
        <v>9201.6</v>
      </c>
      <c r="BZ43" s="100">
        <v>9</v>
      </c>
      <c r="CA43" s="100">
        <v>9201.6</v>
      </c>
      <c r="CB43" s="100">
        <v>10</v>
      </c>
      <c r="CC43" s="100">
        <v>10224</v>
      </c>
      <c r="CD43" s="100">
        <v>8</v>
      </c>
      <c r="CE43" s="100">
        <v>8179.2</v>
      </c>
      <c r="CF43" s="100">
        <v>8</v>
      </c>
      <c r="CG43" s="100">
        <v>8179.2</v>
      </c>
      <c r="CH43" s="100">
        <v>14</v>
      </c>
      <c r="CI43" s="100">
        <v>14313.6</v>
      </c>
      <c r="CJ43" s="100">
        <v>0.72331672384554591</v>
      </c>
      <c r="CK43" s="100">
        <v>739.51901845968609</v>
      </c>
      <c r="CL43" s="100">
        <v>10</v>
      </c>
      <c r="CM43" s="100">
        <v>10224</v>
      </c>
      <c r="CN43" s="100">
        <v>14</v>
      </c>
      <c r="CO43" s="100">
        <v>14313.6</v>
      </c>
      <c r="CP43" s="100">
        <v>9</v>
      </c>
      <c r="CQ43" s="100">
        <v>9201.6</v>
      </c>
      <c r="CR43" s="100">
        <v>9.8971360317509109</v>
      </c>
      <c r="CS43" s="100">
        <v>10118.831878862131</v>
      </c>
      <c r="CT43" s="100">
        <v>11</v>
      </c>
      <c r="CU43" s="100">
        <v>11246.4</v>
      </c>
    </row>
    <row r="44" spans="2:99">
      <c r="C44" s="99" t="s">
        <v>210</v>
      </c>
      <c r="D44" s="100">
        <v>9</v>
      </c>
      <c r="E44" s="100">
        <v>9201.6</v>
      </c>
      <c r="F44" s="100">
        <v>4.4125236769848133</v>
      </c>
      <c r="G44" s="100">
        <v>4511.3642073492729</v>
      </c>
      <c r="H44" s="100">
        <v>7</v>
      </c>
      <c r="I44" s="100">
        <v>7156.8</v>
      </c>
      <c r="J44" s="100">
        <v>13</v>
      </c>
      <c r="K44" s="100">
        <v>13291.199999999999</v>
      </c>
      <c r="L44" s="100">
        <v>13</v>
      </c>
      <c r="M44" s="100">
        <v>13291.199999999999</v>
      </c>
      <c r="N44" s="100">
        <v>12</v>
      </c>
      <c r="O44" s="100">
        <v>12268.8</v>
      </c>
      <c r="P44" s="100">
        <v>12</v>
      </c>
      <c r="Q44" s="100">
        <v>12268.8</v>
      </c>
      <c r="R44" s="100">
        <v>8</v>
      </c>
      <c r="S44" s="100">
        <v>8179.2</v>
      </c>
      <c r="T44" s="100">
        <v>8.6212932647447147</v>
      </c>
      <c r="U44" s="100">
        <v>8814.4102338749963</v>
      </c>
      <c r="V44" s="100">
        <v>9.3253320328733782</v>
      </c>
      <c r="W44" s="100">
        <v>9534.2194704097419</v>
      </c>
      <c r="X44" s="100">
        <v>13</v>
      </c>
      <c r="Y44" s="100">
        <v>13291.199999999999</v>
      </c>
      <c r="Z44" s="100">
        <v>10</v>
      </c>
      <c r="AA44" s="100">
        <v>10224</v>
      </c>
      <c r="AB44" s="100">
        <v>12</v>
      </c>
      <c r="AC44" s="100">
        <v>12268.8</v>
      </c>
      <c r="AD44" s="100">
        <v>10.646567533934295</v>
      </c>
      <c r="AE44" s="100">
        <v>10885.050646694423</v>
      </c>
      <c r="AF44" s="100">
        <v>3.5149792569857712</v>
      </c>
      <c r="AG44" s="100">
        <v>3593.7147923422522</v>
      </c>
      <c r="AH44" s="100">
        <v>9</v>
      </c>
      <c r="AI44" s="100">
        <v>9201.6</v>
      </c>
      <c r="AJ44" s="100">
        <v>14</v>
      </c>
      <c r="AK44" s="100">
        <v>14313.6</v>
      </c>
      <c r="AL44" s="100">
        <v>9</v>
      </c>
      <c r="AM44" s="100">
        <v>9201.6</v>
      </c>
      <c r="AN44" s="100">
        <v>7</v>
      </c>
      <c r="AO44" s="100">
        <v>7156.8</v>
      </c>
      <c r="AP44" s="100">
        <v>14</v>
      </c>
      <c r="AQ44" s="100">
        <v>14313.6</v>
      </c>
      <c r="AR44" s="100">
        <v>9</v>
      </c>
      <c r="AS44" s="100">
        <v>9201.6</v>
      </c>
      <c r="AT44" s="100">
        <v>9</v>
      </c>
      <c r="AU44" s="100">
        <v>9201.6</v>
      </c>
      <c r="AV44" s="100">
        <v>9</v>
      </c>
      <c r="AW44" s="100">
        <v>9201.6</v>
      </c>
      <c r="AX44" s="100">
        <v>14</v>
      </c>
      <c r="AY44" s="100">
        <v>14313.6</v>
      </c>
      <c r="AZ44" s="100">
        <v>7.9363367618765803</v>
      </c>
      <c r="BA44" s="100">
        <v>8114.1107053426158</v>
      </c>
      <c r="BB44" s="100">
        <v>0</v>
      </c>
      <c r="BC44" s="100">
        <v>0</v>
      </c>
      <c r="BD44" s="100">
        <v>9</v>
      </c>
      <c r="BE44" s="100">
        <v>9201.6</v>
      </c>
      <c r="BF44" s="100">
        <v>13</v>
      </c>
      <c r="BG44" s="100">
        <v>13291.199999999999</v>
      </c>
      <c r="BH44" s="100">
        <v>6.3266636477417695</v>
      </c>
      <c r="BI44" s="100">
        <v>6468.3809134511848</v>
      </c>
      <c r="BJ44" s="100">
        <v>10</v>
      </c>
      <c r="BK44" s="100">
        <v>10224</v>
      </c>
      <c r="BL44" s="100">
        <v>7.8683470525272687</v>
      </c>
      <c r="BM44" s="100">
        <v>8044.5980265038797</v>
      </c>
      <c r="BN44" s="100">
        <v>7</v>
      </c>
      <c r="BO44" s="100">
        <v>7156.8</v>
      </c>
      <c r="BP44" s="100">
        <v>9</v>
      </c>
      <c r="BQ44" s="100">
        <v>9201.6</v>
      </c>
      <c r="BR44" s="100">
        <v>13</v>
      </c>
      <c r="BS44" s="100">
        <v>13291.199999999999</v>
      </c>
      <c r="BT44" s="100">
        <v>9</v>
      </c>
      <c r="BU44" s="100">
        <v>9201.6</v>
      </c>
      <c r="BV44" s="100">
        <v>3.9136910014730502</v>
      </c>
      <c r="BW44" s="100">
        <v>4001.3576799060465</v>
      </c>
      <c r="BX44" s="100">
        <v>8</v>
      </c>
      <c r="BY44" s="100">
        <v>8179.2</v>
      </c>
      <c r="BZ44" s="100">
        <v>10</v>
      </c>
      <c r="CA44" s="100">
        <v>10224</v>
      </c>
      <c r="CB44" s="100">
        <v>9</v>
      </c>
      <c r="CC44" s="100">
        <v>9201.6</v>
      </c>
      <c r="CD44" s="100">
        <v>8</v>
      </c>
      <c r="CE44" s="100">
        <v>8179.2</v>
      </c>
      <c r="CF44" s="100">
        <v>9</v>
      </c>
      <c r="CG44" s="100">
        <v>9201.6</v>
      </c>
      <c r="CH44" s="100">
        <v>13</v>
      </c>
      <c r="CI44" s="100">
        <v>13291.199999999999</v>
      </c>
      <c r="CJ44" s="100">
        <v>0.72331672384554591</v>
      </c>
      <c r="CK44" s="100">
        <v>739.51901845968609</v>
      </c>
      <c r="CL44" s="100">
        <v>11</v>
      </c>
      <c r="CM44" s="100">
        <v>11246.4</v>
      </c>
      <c r="CN44" s="100">
        <v>13</v>
      </c>
      <c r="CO44" s="100">
        <v>13291.199999999999</v>
      </c>
      <c r="CP44" s="100">
        <v>10</v>
      </c>
      <c r="CQ44" s="100">
        <v>10224</v>
      </c>
      <c r="CR44" s="100">
        <v>9.8971360317509109</v>
      </c>
      <c r="CS44" s="100">
        <v>10118.831878862131</v>
      </c>
      <c r="CT44" s="100">
        <v>12</v>
      </c>
      <c r="CU44" s="100">
        <v>12268.8</v>
      </c>
    </row>
    <row r="45" spans="2:99">
      <c r="C45" s="99" t="s">
        <v>211</v>
      </c>
      <c r="D45" s="100">
        <v>9</v>
      </c>
      <c r="E45" s="100">
        <v>11242.800000000001</v>
      </c>
      <c r="F45" s="100">
        <v>4.1183554318524918</v>
      </c>
      <c r="G45" s="100">
        <v>5144.6496054701329</v>
      </c>
      <c r="H45" s="100">
        <v>7</v>
      </c>
      <c r="I45" s="100">
        <v>8744.4</v>
      </c>
      <c r="J45" s="100">
        <v>12</v>
      </c>
      <c r="K45" s="100">
        <v>14990.400000000001</v>
      </c>
      <c r="L45" s="100">
        <v>13</v>
      </c>
      <c r="M45" s="100">
        <v>16239.6</v>
      </c>
      <c r="N45" s="100">
        <v>13</v>
      </c>
      <c r="O45" s="100">
        <v>16239.6</v>
      </c>
      <c r="P45" s="100">
        <v>10</v>
      </c>
      <c r="Q45" s="100">
        <v>12492</v>
      </c>
      <c r="R45" s="100">
        <v>8</v>
      </c>
      <c r="S45" s="100">
        <v>9993.6</v>
      </c>
      <c r="T45" s="100">
        <v>7.3896799412097547</v>
      </c>
      <c r="U45" s="100">
        <v>9231.1881825592263</v>
      </c>
      <c r="V45" s="100">
        <v>10.257865236160715</v>
      </c>
      <c r="W45" s="100">
        <v>12814.125253011965</v>
      </c>
      <c r="X45" s="100">
        <v>13</v>
      </c>
      <c r="Y45" s="100">
        <v>16239.6</v>
      </c>
      <c r="Z45" s="100">
        <v>11</v>
      </c>
      <c r="AA45" s="100">
        <v>13741.2</v>
      </c>
      <c r="AB45" s="100">
        <v>11</v>
      </c>
      <c r="AC45" s="100">
        <v>13741.2</v>
      </c>
      <c r="AD45" s="100">
        <v>10.646567533934295</v>
      </c>
      <c r="AE45" s="100">
        <v>13299.692163390722</v>
      </c>
      <c r="AF45" s="100">
        <v>3.5149792569857712</v>
      </c>
      <c r="AG45" s="100">
        <v>4390.9120878266258</v>
      </c>
      <c r="AH45" s="100">
        <v>10</v>
      </c>
      <c r="AI45" s="100">
        <v>12492</v>
      </c>
      <c r="AJ45" s="100">
        <v>13</v>
      </c>
      <c r="AK45" s="100">
        <v>16239.6</v>
      </c>
      <c r="AL45" s="100">
        <v>8</v>
      </c>
      <c r="AM45" s="100">
        <v>9993.6</v>
      </c>
      <c r="AN45" s="100">
        <v>7</v>
      </c>
      <c r="AO45" s="100">
        <v>8744.4</v>
      </c>
      <c r="AP45" s="100">
        <v>15</v>
      </c>
      <c r="AQ45" s="100">
        <v>18738</v>
      </c>
      <c r="AR45" s="100">
        <v>9</v>
      </c>
      <c r="AS45" s="100">
        <v>11242.800000000001</v>
      </c>
      <c r="AT45" s="100">
        <v>9</v>
      </c>
      <c r="AU45" s="100">
        <v>11242.800000000001</v>
      </c>
      <c r="AV45" s="100">
        <v>10</v>
      </c>
      <c r="AW45" s="100">
        <v>12492</v>
      </c>
      <c r="AX45" s="100">
        <v>14</v>
      </c>
      <c r="AY45" s="100">
        <v>17488.8</v>
      </c>
      <c r="AZ45" s="100">
        <v>7.9363367618765803</v>
      </c>
      <c r="BA45" s="100">
        <v>9914.0718829362249</v>
      </c>
      <c r="BB45" s="100">
        <v>0</v>
      </c>
      <c r="BC45" s="100">
        <v>0</v>
      </c>
      <c r="BD45" s="100">
        <v>10</v>
      </c>
      <c r="BE45" s="100">
        <v>12492</v>
      </c>
      <c r="BF45" s="100">
        <v>12</v>
      </c>
      <c r="BG45" s="100">
        <v>14990.400000000001</v>
      </c>
      <c r="BH45" s="100">
        <v>5.5358306917740485</v>
      </c>
      <c r="BI45" s="100">
        <v>6915.3597001641419</v>
      </c>
      <c r="BJ45" s="100">
        <v>10</v>
      </c>
      <c r="BK45" s="100">
        <v>12492</v>
      </c>
      <c r="BL45" s="100">
        <v>8.7426078361414081</v>
      </c>
      <c r="BM45" s="100">
        <v>10921.265708907848</v>
      </c>
      <c r="BN45" s="100">
        <v>7</v>
      </c>
      <c r="BO45" s="100">
        <v>8744.4</v>
      </c>
      <c r="BP45" s="100">
        <v>11</v>
      </c>
      <c r="BQ45" s="100">
        <v>13741.2</v>
      </c>
      <c r="BR45" s="100">
        <v>15</v>
      </c>
      <c r="BS45" s="100">
        <v>18738</v>
      </c>
      <c r="BT45" s="100">
        <v>9</v>
      </c>
      <c r="BU45" s="100">
        <v>11242.800000000001</v>
      </c>
      <c r="BV45" s="100">
        <v>3.5579009104300456</v>
      </c>
      <c r="BW45" s="100">
        <v>4444.5298173092133</v>
      </c>
      <c r="BX45" s="100">
        <v>8</v>
      </c>
      <c r="BY45" s="100">
        <v>9993.6</v>
      </c>
      <c r="BZ45" s="100">
        <v>9</v>
      </c>
      <c r="CA45" s="100">
        <v>11242.800000000001</v>
      </c>
      <c r="CB45" s="100">
        <v>9</v>
      </c>
      <c r="CC45" s="100">
        <v>11242.800000000001</v>
      </c>
      <c r="CD45" s="100">
        <v>8</v>
      </c>
      <c r="CE45" s="100">
        <v>9993.6</v>
      </c>
      <c r="CF45" s="100">
        <v>9</v>
      </c>
      <c r="CG45" s="100">
        <v>11242.800000000001</v>
      </c>
      <c r="CH45" s="100">
        <v>14</v>
      </c>
      <c r="CI45" s="100">
        <v>17488.8</v>
      </c>
      <c r="CJ45" s="100">
        <v>0.6429481989738185</v>
      </c>
      <c r="CK45" s="100">
        <v>803.17089015809404</v>
      </c>
      <c r="CL45" s="100">
        <v>10</v>
      </c>
      <c r="CM45" s="100">
        <v>12492</v>
      </c>
      <c r="CN45" s="100">
        <v>13</v>
      </c>
      <c r="CO45" s="100">
        <v>16239.6</v>
      </c>
      <c r="CP45" s="100">
        <v>9</v>
      </c>
      <c r="CQ45" s="100">
        <v>11242.800000000001</v>
      </c>
      <c r="CR45" s="100">
        <v>10.721897367730154</v>
      </c>
      <c r="CS45" s="100">
        <v>13393.794191768509</v>
      </c>
      <c r="CT45" s="100">
        <v>11</v>
      </c>
      <c r="CU45" s="100">
        <v>13741.2</v>
      </c>
    </row>
    <row r="46" spans="2:99">
      <c r="C46" s="99" t="s">
        <v>212</v>
      </c>
      <c r="D46" s="100">
        <v>8</v>
      </c>
      <c r="E46" s="100">
        <v>9696</v>
      </c>
      <c r="F46" s="100">
        <v>4.7066919221171339</v>
      </c>
      <c r="G46" s="100">
        <v>5704.5106096059662</v>
      </c>
      <c r="H46" s="100">
        <v>7</v>
      </c>
      <c r="I46" s="100">
        <v>8484</v>
      </c>
      <c r="J46" s="100">
        <v>14</v>
      </c>
      <c r="K46" s="100">
        <v>16968</v>
      </c>
      <c r="L46" s="100">
        <v>11</v>
      </c>
      <c r="M46" s="100">
        <v>13332</v>
      </c>
      <c r="N46" s="100">
        <v>14</v>
      </c>
      <c r="O46" s="100">
        <v>16968</v>
      </c>
      <c r="P46" s="100">
        <v>11</v>
      </c>
      <c r="Q46" s="100">
        <v>13332</v>
      </c>
      <c r="R46" s="100">
        <v>7</v>
      </c>
      <c r="S46" s="100">
        <v>8484</v>
      </c>
      <c r="T46" s="100">
        <v>7.3896799412097547</v>
      </c>
      <c r="U46" s="100">
        <v>8956.2920887462224</v>
      </c>
      <c r="V46" s="100">
        <v>9.3253320328733782</v>
      </c>
      <c r="W46" s="100">
        <v>11302.302423842535</v>
      </c>
      <c r="X46" s="100">
        <v>14</v>
      </c>
      <c r="Y46" s="100">
        <v>16968</v>
      </c>
      <c r="Z46" s="100">
        <v>11</v>
      </c>
      <c r="AA46" s="100">
        <v>13332</v>
      </c>
      <c r="AB46" s="100">
        <v>12</v>
      </c>
      <c r="AC46" s="100">
        <v>14544</v>
      </c>
      <c r="AD46" s="100">
        <v>11.407036643501032</v>
      </c>
      <c r="AE46" s="100">
        <v>13825.32841192325</v>
      </c>
      <c r="AF46" s="100">
        <v>2.9291493808214759</v>
      </c>
      <c r="AG46" s="100">
        <v>3550.1290495556286</v>
      </c>
      <c r="AH46" s="100">
        <v>10</v>
      </c>
      <c r="AI46" s="100">
        <v>12120</v>
      </c>
      <c r="AJ46" s="100">
        <v>14</v>
      </c>
      <c r="AK46" s="100">
        <v>16968</v>
      </c>
      <c r="AL46" s="100">
        <v>9</v>
      </c>
      <c r="AM46" s="100">
        <v>10908</v>
      </c>
      <c r="AN46" s="100">
        <v>8</v>
      </c>
      <c r="AO46" s="100">
        <v>9696</v>
      </c>
      <c r="AP46" s="100">
        <v>13</v>
      </c>
      <c r="AQ46" s="100">
        <v>15756</v>
      </c>
      <c r="AR46" s="100">
        <v>10</v>
      </c>
      <c r="AS46" s="100">
        <v>12120</v>
      </c>
      <c r="AT46" s="100">
        <v>8</v>
      </c>
      <c r="AU46" s="100">
        <v>9696</v>
      </c>
      <c r="AV46" s="100">
        <v>10</v>
      </c>
      <c r="AW46" s="100">
        <v>12120</v>
      </c>
      <c r="AX46" s="100">
        <v>13</v>
      </c>
      <c r="AY46" s="100">
        <v>15756</v>
      </c>
      <c r="AZ46" s="100">
        <v>7.9363367618765803</v>
      </c>
      <c r="BA46" s="100">
        <v>9618.840155394415</v>
      </c>
      <c r="BB46" s="100">
        <v>0</v>
      </c>
      <c r="BC46" s="100">
        <v>0</v>
      </c>
      <c r="BD46" s="100">
        <v>9</v>
      </c>
      <c r="BE46" s="100">
        <v>10908</v>
      </c>
      <c r="BF46" s="100">
        <v>11</v>
      </c>
      <c r="BG46" s="100">
        <v>13332</v>
      </c>
      <c r="BH46" s="100">
        <v>5.5358306917740485</v>
      </c>
      <c r="BI46" s="100">
        <v>6709.4267984301468</v>
      </c>
      <c r="BJ46" s="100">
        <v>10</v>
      </c>
      <c r="BK46" s="100">
        <v>12120</v>
      </c>
      <c r="BL46" s="100">
        <v>7.8683470525272687</v>
      </c>
      <c r="BM46" s="100">
        <v>9536.4366276630499</v>
      </c>
      <c r="BN46" s="100">
        <v>8</v>
      </c>
      <c r="BO46" s="100">
        <v>9696</v>
      </c>
      <c r="BP46" s="100">
        <v>10</v>
      </c>
      <c r="BQ46" s="100">
        <v>12120</v>
      </c>
      <c r="BR46" s="100">
        <v>15</v>
      </c>
      <c r="BS46" s="100">
        <v>18180</v>
      </c>
      <c r="BT46" s="100">
        <v>9</v>
      </c>
      <c r="BU46" s="100">
        <v>10908</v>
      </c>
      <c r="BV46" s="100">
        <v>3.2021108193870407</v>
      </c>
      <c r="BW46" s="100">
        <v>3880.9583130970932</v>
      </c>
      <c r="BX46" s="100">
        <v>8</v>
      </c>
      <c r="BY46" s="100">
        <v>9696</v>
      </c>
      <c r="BZ46" s="100">
        <v>9</v>
      </c>
      <c r="CA46" s="100">
        <v>10908</v>
      </c>
      <c r="CB46" s="100">
        <v>10</v>
      </c>
      <c r="CC46" s="100">
        <v>12120</v>
      </c>
      <c r="CD46" s="100">
        <v>8</v>
      </c>
      <c r="CE46" s="100">
        <v>9696</v>
      </c>
      <c r="CF46" s="100">
        <v>8</v>
      </c>
      <c r="CG46" s="100">
        <v>9696</v>
      </c>
      <c r="CH46" s="100">
        <v>14</v>
      </c>
      <c r="CI46" s="100">
        <v>16968</v>
      </c>
      <c r="CJ46" s="100">
        <v>0.6429481989738185</v>
      </c>
      <c r="CK46" s="100">
        <v>779.25321715626797</v>
      </c>
      <c r="CL46" s="100">
        <v>10</v>
      </c>
      <c r="CM46" s="100">
        <v>12120</v>
      </c>
      <c r="CN46" s="100">
        <v>13</v>
      </c>
      <c r="CO46" s="100">
        <v>15756</v>
      </c>
      <c r="CP46" s="100">
        <v>8</v>
      </c>
      <c r="CQ46" s="100">
        <v>9696</v>
      </c>
      <c r="CR46" s="100">
        <v>10.721897367730154</v>
      </c>
      <c r="CS46" s="100">
        <v>12994.939609688947</v>
      </c>
      <c r="CT46" s="100">
        <v>11</v>
      </c>
      <c r="CU46" s="100">
        <v>13332</v>
      </c>
    </row>
    <row r="47" spans="2:99">
      <c r="C47" s="99" t="s">
        <v>213</v>
      </c>
      <c r="D47" s="100">
        <v>8</v>
      </c>
      <c r="E47" s="100">
        <v>12220.8</v>
      </c>
      <c r="F47" s="100">
        <v>3.8241871867201711</v>
      </c>
      <c r="G47" s="100">
        <v>5841.8283464337328</v>
      </c>
      <c r="H47" s="100">
        <v>7</v>
      </c>
      <c r="I47" s="100">
        <v>10693.199999999999</v>
      </c>
      <c r="J47" s="100">
        <v>14</v>
      </c>
      <c r="K47" s="100">
        <v>21386.399999999998</v>
      </c>
      <c r="L47" s="100">
        <v>12</v>
      </c>
      <c r="M47" s="100">
        <v>18331.199999999997</v>
      </c>
      <c r="N47" s="100">
        <v>13</v>
      </c>
      <c r="O47" s="100">
        <v>19858.8</v>
      </c>
      <c r="P47" s="100">
        <v>11</v>
      </c>
      <c r="Q47" s="100">
        <v>16803.599999999999</v>
      </c>
      <c r="R47" s="100">
        <v>7</v>
      </c>
      <c r="S47" s="100">
        <v>10693.199999999999</v>
      </c>
      <c r="T47" s="100">
        <v>7.3896799412097547</v>
      </c>
      <c r="U47" s="100">
        <v>11288.475078192021</v>
      </c>
      <c r="V47" s="100">
        <v>9.3253320328733782</v>
      </c>
      <c r="W47" s="100">
        <v>14245.377213417372</v>
      </c>
      <c r="X47" s="100">
        <v>15</v>
      </c>
      <c r="Y47" s="100">
        <v>22914</v>
      </c>
      <c r="Z47" s="100">
        <v>9</v>
      </c>
      <c r="AA47" s="100">
        <v>13748.4</v>
      </c>
      <c r="AB47" s="100">
        <v>12</v>
      </c>
      <c r="AC47" s="100">
        <v>18331.199999999997</v>
      </c>
      <c r="AD47" s="100">
        <v>9.1256293148008254</v>
      </c>
      <c r="AE47" s="100">
        <v>13940.31134128974</v>
      </c>
      <c r="AF47" s="100">
        <v>3.2220643189036235</v>
      </c>
      <c r="AG47" s="100">
        <v>4922.0254535571748</v>
      </c>
      <c r="AH47" s="100">
        <v>9</v>
      </c>
      <c r="AI47" s="100">
        <v>13748.4</v>
      </c>
      <c r="AJ47" s="100">
        <v>13</v>
      </c>
      <c r="AK47" s="100">
        <v>19858.8</v>
      </c>
      <c r="AL47" s="100">
        <v>8</v>
      </c>
      <c r="AM47" s="100">
        <v>12220.8</v>
      </c>
      <c r="AN47" s="100">
        <v>7</v>
      </c>
      <c r="AO47" s="100">
        <v>10693.199999999999</v>
      </c>
      <c r="AP47" s="100">
        <v>14</v>
      </c>
      <c r="AQ47" s="100">
        <v>21386.399999999998</v>
      </c>
      <c r="AR47" s="100">
        <v>9</v>
      </c>
      <c r="AS47" s="100">
        <v>13748.4</v>
      </c>
      <c r="AT47" s="100">
        <v>9</v>
      </c>
      <c r="AU47" s="100">
        <v>13748.4</v>
      </c>
      <c r="AV47" s="100">
        <v>10</v>
      </c>
      <c r="AW47" s="100">
        <v>15276</v>
      </c>
      <c r="AX47" s="100">
        <v>12</v>
      </c>
      <c r="AY47" s="100">
        <v>18331.199999999997</v>
      </c>
      <c r="AZ47" s="100">
        <v>6.9442946666420076</v>
      </c>
      <c r="BA47" s="100">
        <v>10608.104532762331</v>
      </c>
      <c r="BB47" s="100">
        <v>0</v>
      </c>
      <c r="BC47" s="100">
        <v>0</v>
      </c>
      <c r="BD47" s="100">
        <v>9</v>
      </c>
      <c r="BE47" s="100">
        <v>13748.4</v>
      </c>
      <c r="BF47" s="100">
        <v>11</v>
      </c>
      <c r="BG47" s="100">
        <v>16803.599999999999</v>
      </c>
      <c r="BH47" s="100">
        <v>6.3266636477417695</v>
      </c>
      <c r="BI47" s="100">
        <v>9664.6113882903264</v>
      </c>
      <c r="BJ47" s="100">
        <v>9</v>
      </c>
      <c r="BK47" s="100">
        <v>13748.4</v>
      </c>
      <c r="BL47" s="100">
        <v>7.8683470525272687</v>
      </c>
      <c r="BM47" s="100">
        <v>12019.686957440656</v>
      </c>
      <c r="BN47" s="100">
        <v>8</v>
      </c>
      <c r="BO47" s="100">
        <v>12220.8</v>
      </c>
      <c r="BP47" s="100">
        <v>10</v>
      </c>
      <c r="BQ47" s="100">
        <v>15276</v>
      </c>
      <c r="BR47" s="100">
        <v>14</v>
      </c>
      <c r="BS47" s="100">
        <v>21386.399999999998</v>
      </c>
      <c r="BT47" s="100">
        <v>8</v>
      </c>
      <c r="BU47" s="100">
        <v>12220.8</v>
      </c>
      <c r="BV47" s="100">
        <v>3.2021108193870407</v>
      </c>
      <c r="BW47" s="100">
        <v>4891.5444876956426</v>
      </c>
      <c r="BX47" s="100">
        <v>8</v>
      </c>
      <c r="BY47" s="100">
        <v>12220.8</v>
      </c>
      <c r="BZ47" s="100">
        <v>9</v>
      </c>
      <c r="CA47" s="100">
        <v>13748.4</v>
      </c>
      <c r="CB47" s="100">
        <v>10</v>
      </c>
      <c r="CC47" s="100">
        <v>15276</v>
      </c>
      <c r="CD47" s="100">
        <v>8</v>
      </c>
      <c r="CE47" s="100">
        <v>12220.8</v>
      </c>
      <c r="CF47" s="100">
        <v>8</v>
      </c>
      <c r="CG47" s="100">
        <v>12220.8</v>
      </c>
      <c r="CH47" s="100">
        <v>14</v>
      </c>
      <c r="CI47" s="100">
        <v>21386.399999999998</v>
      </c>
      <c r="CJ47" s="100">
        <v>0.72331672384554591</v>
      </c>
      <c r="CK47" s="100">
        <v>1104.9386273464559</v>
      </c>
      <c r="CL47" s="100">
        <v>9</v>
      </c>
      <c r="CM47" s="100">
        <v>13748.4</v>
      </c>
      <c r="CN47" s="100">
        <v>14</v>
      </c>
      <c r="CO47" s="100">
        <v>21386.399999999998</v>
      </c>
      <c r="CP47" s="100">
        <v>9</v>
      </c>
      <c r="CQ47" s="100">
        <v>13748.4</v>
      </c>
      <c r="CR47" s="100">
        <v>9.8971360317509109</v>
      </c>
      <c r="CS47" s="100">
        <v>15118.865002102692</v>
      </c>
      <c r="CT47" s="100">
        <v>12</v>
      </c>
      <c r="CU47" s="100">
        <v>18331.199999999997</v>
      </c>
    </row>
    <row r="48" spans="2:99">
      <c r="C48" s="99" t="s">
        <v>214</v>
      </c>
      <c r="D48" s="100">
        <v>8</v>
      </c>
      <c r="E48" s="100">
        <v>6940.8</v>
      </c>
      <c r="F48" s="100">
        <v>4.4125236769848133</v>
      </c>
      <c r="G48" s="100">
        <v>3828.3055421520239</v>
      </c>
      <c r="H48" s="100">
        <v>8</v>
      </c>
      <c r="I48" s="100">
        <v>6940.8</v>
      </c>
      <c r="J48" s="100">
        <v>14</v>
      </c>
      <c r="K48" s="100">
        <v>12146.4</v>
      </c>
      <c r="L48" s="100">
        <v>12</v>
      </c>
      <c r="M48" s="100">
        <v>10411.200000000001</v>
      </c>
      <c r="N48" s="100">
        <v>12</v>
      </c>
      <c r="O48" s="100">
        <v>10411.200000000001</v>
      </c>
      <c r="P48" s="100">
        <v>12</v>
      </c>
      <c r="Q48" s="100">
        <v>10411.200000000001</v>
      </c>
      <c r="R48" s="100">
        <v>7</v>
      </c>
      <c r="S48" s="100">
        <v>6073.2</v>
      </c>
      <c r="T48" s="100">
        <v>8.0054866029772356</v>
      </c>
      <c r="U48" s="100">
        <v>6945.5601767430499</v>
      </c>
      <c r="V48" s="100">
        <v>10.257865236160715</v>
      </c>
      <c r="W48" s="100">
        <v>8899.7238788930372</v>
      </c>
      <c r="X48" s="100">
        <v>13</v>
      </c>
      <c r="Y48" s="100">
        <v>11278.800000000001</v>
      </c>
      <c r="Z48" s="100">
        <v>10</v>
      </c>
      <c r="AA48" s="100">
        <v>8676</v>
      </c>
      <c r="AB48" s="100">
        <v>12</v>
      </c>
      <c r="AC48" s="100">
        <v>10411.200000000001</v>
      </c>
      <c r="AD48" s="100">
        <v>10.646567533934295</v>
      </c>
      <c r="AE48" s="100">
        <v>9236.9619924413946</v>
      </c>
      <c r="AF48" s="100">
        <v>3.2220643189036235</v>
      </c>
      <c r="AG48" s="100">
        <v>2795.4630030807839</v>
      </c>
      <c r="AH48" s="100">
        <v>9</v>
      </c>
      <c r="AI48" s="100">
        <v>7808.4000000000005</v>
      </c>
      <c r="AJ48" s="100">
        <v>13</v>
      </c>
      <c r="AK48" s="100">
        <v>11278.800000000001</v>
      </c>
      <c r="AL48" s="100">
        <v>8</v>
      </c>
      <c r="AM48" s="100">
        <v>6940.8</v>
      </c>
      <c r="AN48" s="100">
        <v>7</v>
      </c>
      <c r="AO48" s="100">
        <v>6073.2</v>
      </c>
      <c r="AP48" s="100">
        <v>15</v>
      </c>
      <c r="AQ48" s="100">
        <v>13014</v>
      </c>
      <c r="AR48" s="100">
        <v>9</v>
      </c>
      <c r="AS48" s="100">
        <v>7808.4000000000005</v>
      </c>
      <c r="AT48" s="100">
        <v>9</v>
      </c>
      <c r="AU48" s="100">
        <v>7808.4000000000005</v>
      </c>
      <c r="AV48" s="100">
        <v>11</v>
      </c>
      <c r="AW48" s="100">
        <v>9543.6</v>
      </c>
      <c r="AX48" s="100">
        <v>12</v>
      </c>
      <c r="AY48" s="100">
        <v>10411.200000000001</v>
      </c>
      <c r="AZ48" s="100">
        <v>7.9363367618765803</v>
      </c>
      <c r="BA48" s="100">
        <v>6885.5657746041215</v>
      </c>
      <c r="BB48" s="100">
        <v>0</v>
      </c>
      <c r="BC48" s="100">
        <v>0</v>
      </c>
      <c r="BD48" s="100">
        <v>10</v>
      </c>
      <c r="BE48" s="100">
        <v>8676</v>
      </c>
      <c r="BF48" s="100">
        <v>12</v>
      </c>
      <c r="BG48" s="100">
        <v>10411.200000000001</v>
      </c>
      <c r="BH48" s="100">
        <v>5.5358306917740485</v>
      </c>
      <c r="BI48" s="100">
        <v>4802.886708183165</v>
      </c>
      <c r="BJ48" s="100">
        <v>11</v>
      </c>
      <c r="BK48" s="100">
        <v>9543.6</v>
      </c>
      <c r="BL48" s="100">
        <v>8.7426078361414081</v>
      </c>
      <c r="BM48" s="100">
        <v>7585.0865586362861</v>
      </c>
      <c r="BN48" s="100">
        <v>8</v>
      </c>
      <c r="BO48" s="100">
        <v>6940.8</v>
      </c>
      <c r="BP48" s="100">
        <v>10</v>
      </c>
      <c r="BQ48" s="100">
        <v>8676</v>
      </c>
      <c r="BR48" s="100">
        <v>13</v>
      </c>
      <c r="BS48" s="100">
        <v>11278.800000000001</v>
      </c>
      <c r="BT48" s="100">
        <v>9</v>
      </c>
      <c r="BU48" s="100">
        <v>7808.4000000000005</v>
      </c>
      <c r="BV48" s="100">
        <v>3.9136910014730502</v>
      </c>
      <c r="BW48" s="100">
        <v>3395.5183128780186</v>
      </c>
      <c r="BX48" s="100">
        <v>8</v>
      </c>
      <c r="BY48" s="100">
        <v>6940.8</v>
      </c>
      <c r="BZ48" s="100">
        <v>11</v>
      </c>
      <c r="CA48" s="100">
        <v>9543.6</v>
      </c>
      <c r="CB48" s="100">
        <v>9</v>
      </c>
      <c r="CC48" s="100">
        <v>7808.4000000000005</v>
      </c>
      <c r="CD48" s="100">
        <v>8</v>
      </c>
      <c r="CE48" s="100">
        <v>6940.8</v>
      </c>
      <c r="CF48" s="100">
        <v>9</v>
      </c>
      <c r="CG48" s="100">
        <v>7808.4000000000005</v>
      </c>
      <c r="CH48" s="100">
        <v>13</v>
      </c>
      <c r="CI48" s="100">
        <v>11278.800000000001</v>
      </c>
      <c r="CJ48" s="100">
        <v>0.72331672384554591</v>
      </c>
      <c r="CK48" s="100">
        <v>627.54958960839565</v>
      </c>
      <c r="CL48" s="100">
        <v>11</v>
      </c>
      <c r="CM48" s="100">
        <v>9543.6</v>
      </c>
      <c r="CN48" s="100">
        <v>15</v>
      </c>
      <c r="CO48" s="100">
        <v>13014</v>
      </c>
      <c r="CP48" s="100">
        <v>9</v>
      </c>
      <c r="CQ48" s="100">
        <v>7808.4000000000005</v>
      </c>
      <c r="CR48" s="100">
        <v>11.546658703709397</v>
      </c>
      <c r="CS48" s="100">
        <v>10017.881091338273</v>
      </c>
      <c r="CT48" s="100">
        <v>13</v>
      </c>
      <c r="CU48" s="100">
        <v>11278.800000000001</v>
      </c>
    </row>
    <row r="49" spans="2:99">
      <c r="B49" s="99" t="s">
        <v>129</v>
      </c>
      <c r="C49" s="99" t="s">
        <v>215</v>
      </c>
      <c r="D49" s="100">
        <v>5.2505195333348436</v>
      </c>
      <c r="E49" s="100">
        <v>5172.811844241488</v>
      </c>
      <c r="F49" s="100">
        <v>6</v>
      </c>
      <c r="G49" s="100">
        <v>5911.2</v>
      </c>
      <c r="H49" s="100">
        <v>7</v>
      </c>
      <c r="I49" s="100">
        <v>6896.4</v>
      </c>
      <c r="J49" s="100">
        <v>7.4538827923851105</v>
      </c>
      <c r="K49" s="100">
        <v>7343.5653270578105</v>
      </c>
      <c r="L49" s="100">
        <v>7.894919286223335E-16</v>
      </c>
      <c r="M49" s="100">
        <v>7.7780744807872292E-13</v>
      </c>
      <c r="N49" s="100">
        <v>10</v>
      </c>
      <c r="O49" s="100">
        <v>9852</v>
      </c>
      <c r="P49" s="100">
        <v>8.6555023923444949</v>
      </c>
      <c r="Q49" s="100">
        <v>8527.4009569377959</v>
      </c>
      <c r="R49" s="100">
        <v>9</v>
      </c>
      <c r="S49" s="100">
        <v>8866.7999999999993</v>
      </c>
      <c r="T49" s="100">
        <v>8</v>
      </c>
      <c r="U49" s="100">
        <v>7881.5999999999995</v>
      </c>
      <c r="V49" s="100">
        <v>5</v>
      </c>
      <c r="W49" s="100">
        <v>4926</v>
      </c>
      <c r="X49" s="100">
        <v>11</v>
      </c>
      <c r="Y49" s="100">
        <v>10837.199999999999</v>
      </c>
      <c r="Z49" s="100">
        <v>7</v>
      </c>
      <c r="AA49" s="100">
        <v>6896.4</v>
      </c>
      <c r="AB49" s="100">
        <v>8</v>
      </c>
      <c r="AC49" s="100">
        <v>7881.5999999999995</v>
      </c>
      <c r="AD49" s="100">
        <v>8</v>
      </c>
      <c r="AE49" s="100">
        <v>7881.5999999999995</v>
      </c>
      <c r="AF49" s="100">
        <v>10</v>
      </c>
      <c r="AG49" s="100">
        <v>9852</v>
      </c>
      <c r="AH49" s="100">
        <v>11</v>
      </c>
      <c r="AI49" s="100">
        <v>10837.199999999999</v>
      </c>
      <c r="AJ49" s="100">
        <v>5.6228455894789668</v>
      </c>
      <c r="AK49" s="100">
        <v>5539.6274747546777</v>
      </c>
      <c r="AL49" s="100">
        <v>10</v>
      </c>
      <c r="AM49" s="100">
        <v>9852</v>
      </c>
      <c r="AN49" s="100">
        <v>8</v>
      </c>
      <c r="AO49" s="100">
        <v>7881.5999999999995</v>
      </c>
      <c r="AP49" s="100">
        <v>4.9763753875620269</v>
      </c>
      <c r="AQ49" s="100">
        <v>4902.7250318261085</v>
      </c>
      <c r="AR49" s="100">
        <v>9.1244239631336388</v>
      </c>
      <c r="AS49" s="100">
        <v>8989.3824884792612</v>
      </c>
      <c r="AT49" s="100">
        <v>5.654450261780104</v>
      </c>
      <c r="AU49" s="100">
        <v>5570.7643979057584</v>
      </c>
      <c r="AV49" s="100">
        <v>6.5587044534412939</v>
      </c>
      <c r="AW49" s="100">
        <v>6461.6356275303624</v>
      </c>
      <c r="AX49" s="100">
        <v>9.7058823529411775</v>
      </c>
      <c r="AY49" s="100">
        <v>9562.2352941176468</v>
      </c>
      <c r="AZ49" s="100">
        <v>5.391886477453661</v>
      </c>
      <c r="BA49" s="100">
        <v>5312.0865575873468</v>
      </c>
      <c r="BB49" s="100">
        <v>9.6585365853658534</v>
      </c>
      <c r="BC49" s="100">
        <v>9515.5902439024376</v>
      </c>
      <c r="BD49" s="100">
        <v>6</v>
      </c>
      <c r="BE49" s="100">
        <v>5911.2</v>
      </c>
      <c r="BF49" s="100">
        <v>8</v>
      </c>
      <c r="BG49" s="100">
        <v>7881.5999999999995</v>
      </c>
      <c r="BH49" s="100">
        <v>9</v>
      </c>
      <c r="BI49" s="100">
        <v>8866.7999999999993</v>
      </c>
      <c r="BJ49" s="100">
        <v>8</v>
      </c>
      <c r="BK49" s="100">
        <v>7881.5999999999995</v>
      </c>
      <c r="BL49" s="100">
        <v>7.5450236966824606</v>
      </c>
      <c r="BM49" s="100">
        <v>7433.3573459715599</v>
      </c>
      <c r="BN49" s="100">
        <v>10</v>
      </c>
      <c r="BO49" s="100">
        <v>9852</v>
      </c>
      <c r="BP49" s="100">
        <v>9</v>
      </c>
      <c r="BQ49" s="100">
        <v>8866.7999999999993</v>
      </c>
      <c r="BR49" s="100">
        <v>6</v>
      </c>
      <c r="BS49" s="100">
        <v>5911.2</v>
      </c>
      <c r="BT49" s="100">
        <v>2.4081962031627042</v>
      </c>
      <c r="BU49" s="100">
        <v>2372.5548993558959</v>
      </c>
      <c r="BV49" s="100">
        <v>4.921618318484513</v>
      </c>
      <c r="BW49" s="100">
        <v>4848.7783673709419</v>
      </c>
      <c r="BX49" s="100">
        <v>8</v>
      </c>
      <c r="BY49" s="100">
        <v>7881.5999999999995</v>
      </c>
      <c r="BZ49" s="100">
        <v>10</v>
      </c>
      <c r="CA49" s="100">
        <v>9852</v>
      </c>
      <c r="CB49" s="100">
        <v>8</v>
      </c>
      <c r="CC49" s="100">
        <v>7881.5999999999995</v>
      </c>
      <c r="CD49" s="100">
        <v>6</v>
      </c>
      <c r="CE49" s="100">
        <v>5911.2</v>
      </c>
      <c r="CF49" s="100">
        <v>9</v>
      </c>
      <c r="CG49" s="100">
        <v>8866.7999999999993</v>
      </c>
      <c r="CH49" s="100">
        <v>9</v>
      </c>
      <c r="CI49" s="100">
        <v>8866.7999999999993</v>
      </c>
      <c r="CJ49" s="100">
        <v>9</v>
      </c>
      <c r="CK49" s="100">
        <v>8866.7999999999993</v>
      </c>
      <c r="CL49" s="100">
        <v>4.7583857818523949</v>
      </c>
      <c r="CM49" s="100">
        <v>4687.9616722809787</v>
      </c>
      <c r="CN49" s="100">
        <v>3.8008113088979392</v>
      </c>
      <c r="CO49" s="100">
        <v>3744.5593015262493</v>
      </c>
      <c r="CP49" s="100">
        <v>6.9440278567373932</v>
      </c>
      <c r="CQ49" s="100">
        <v>6841.2562444576797</v>
      </c>
      <c r="CR49" s="100">
        <v>9.1370558375634516</v>
      </c>
      <c r="CS49" s="100">
        <v>9001.8274111675128</v>
      </c>
      <c r="CT49" s="100">
        <v>10</v>
      </c>
      <c r="CU49" s="100">
        <v>9852</v>
      </c>
    </row>
    <row r="50" spans="2:99">
      <c r="C50" s="99" t="s">
        <v>216</v>
      </c>
      <c r="D50" s="100">
        <v>8</v>
      </c>
      <c r="E50" s="100">
        <v>2256</v>
      </c>
      <c r="F50" s="100">
        <v>2.0591777159262459</v>
      </c>
      <c r="G50" s="100">
        <v>580.68811589120139</v>
      </c>
      <c r="H50" s="100">
        <v>7</v>
      </c>
      <c r="I50" s="100">
        <v>1974</v>
      </c>
      <c r="J50" s="100">
        <v>9</v>
      </c>
      <c r="K50" s="100">
        <v>2538</v>
      </c>
      <c r="L50" s="100">
        <v>10</v>
      </c>
      <c r="M50" s="100">
        <v>2820</v>
      </c>
      <c r="N50" s="100">
        <v>10</v>
      </c>
      <c r="O50" s="100">
        <v>2820</v>
      </c>
      <c r="P50" s="100">
        <v>9</v>
      </c>
      <c r="Q50" s="100">
        <v>2538</v>
      </c>
      <c r="R50" s="100">
        <v>9</v>
      </c>
      <c r="S50" s="100">
        <v>2538</v>
      </c>
      <c r="T50" s="100">
        <v>4.9264532941398373</v>
      </c>
      <c r="U50" s="100">
        <v>1389.2598289474342</v>
      </c>
      <c r="V50" s="100">
        <v>4.6626660164366891</v>
      </c>
      <c r="W50" s="100">
        <v>1314.8718166351464</v>
      </c>
      <c r="X50" s="100">
        <v>11</v>
      </c>
      <c r="Y50" s="100">
        <v>3102</v>
      </c>
      <c r="Z50" s="100">
        <v>8</v>
      </c>
      <c r="AA50" s="100">
        <v>2256</v>
      </c>
      <c r="AB50" s="100">
        <v>8</v>
      </c>
      <c r="AC50" s="100">
        <v>2256</v>
      </c>
      <c r="AD50" s="100">
        <v>6.8442219861006182</v>
      </c>
      <c r="AE50" s="100">
        <v>1930.0706000803743</v>
      </c>
      <c r="AF50" s="100">
        <v>2.9291493808214759</v>
      </c>
      <c r="AG50" s="100">
        <v>826.02012539165617</v>
      </c>
      <c r="AH50" s="100">
        <v>11</v>
      </c>
      <c r="AI50" s="100">
        <v>3102</v>
      </c>
      <c r="AJ50" s="100">
        <v>8</v>
      </c>
      <c r="AK50" s="100">
        <v>2256</v>
      </c>
      <c r="AL50" s="100">
        <v>10</v>
      </c>
      <c r="AM50" s="100">
        <v>2820</v>
      </c>
      <c r="AN50" s="100">
        <v>9</v>
      </c>
      <c r="AO50" s="100">
        <v>2538</v>
      </c>
      <c r="AP50" s="100">
        <v>11</v>
      </c>
      <c r="AQ50" s="100">
        <v>3102</v>
      </c>
      <c r="AR50" s="100">
        <v>12</v>
      </c>
      <c r="AS50" s="100">
        <v>3384</v>
      </c>
      <c r="AT50" s="100">
        <v>6</v>
      </c>
      <c r="AU50" s="100">
        <v>1692</v>
      </c>
      <c r="AV50" s="100">
        <v>9</v>
      </c>
      <c r="AW50" s="100">
        <v>2538</v>
      </c>
      <c r="AX50" s="100">
        <v>10</v>
      </c>
      <c r="AY50" s="100">
        <v>2820</v>
      </c>
      <c r="AZ50" s="100">
        <v>9.9204209523457259</v>
      </c>
      <c r="BA50" s="100">
        <v>2797.5587085614948</v>
      </c>
      <c r="BB50" s="100">
        <v>0</v>
      </c>
      <c r="BC50" s="100">
        <v>0</v>
      </c>
      <c r="BD50" s="100">
        <v>6</v>
      </c>
      <c r="BE50" s="100">
        <v>1692</v>
      </c>
      <c r="BF50" s="100">
        <v>8</v>
      </c>
      <c r="BG50" s="100">
        <v>2256</v>
      </c>
      <c r="BH50" s="100">
        <v>7.9083295596772114</v>
      </c>
      <c r="BI50" s="100">
        <v>2230.1489358289737</v>
      </c>
      <c r="BJ50" s="100">
        <v>8</v>
      </c>
      <c r="BK50" s="100">
        <v>2256</v>
      </c>
      <c r="BL50" s="100">
        <v>6.9940862689131276</v>
      </c>
      <c r="BM50" s="100">
        <v>1972.3323278335019</v>
      </c>
      <c r="BN50" s="100">
        <v>11</v>
      </c>
      <c r="BO50" s="100">
        <v>3102</v>
      </c>
      <c r="BP50" s="100">
        <v>9</v>
      </c>
      <c r="BQ50" s="100">
        <v>2538</v>
      </c>
      <c r="BR50" s="100">
        <v>6</v>
      </c>
      <c r="BS50" s="100">
        <v>1692</v>
      </c>
      <c r="BT50" s="100">
        <v>7</v>
      </c>
      <c r="BU50" s="100">
        <v>1974</v>
      </c>
      <c r="BV50" s="100">
        <v>2.8463207283440366</v>
      </c>
      <c r="BW50" s="100">
        <v>802.66244539301829</v>
      </c>
      <c r="BX50" s="100">
        <v>7</v>
      </c>
      <c r="BY50" s="100">
        <v>1974</v>
      </c>
      <c r="BZ50" s="100">
        <v>12</v>
      </c>
      <c r="CA50" s="100">
        <v>3384</v>
      </c>
      <c r="CB50" s="100">
        <v>9</v>
      </c>
      <c r="CC50" s="100">
        <v>2538</v>
      </c>
      <c r="CD50" s="100">
        <v>7</v>
      </c>
      <c r="CE50" s="100">
        <v>1974</v>
      </c>
      <c r="CF50" s="100">
        <v>9</v>
      </c>
      <c r="CG50" s="100">
        <v>2538</v>
      </c>
      <c r="CH50" s="100">
        <v>9</v>
      </c>
      <c r="CI50" s="100">
        <v>2538</v>
      </c>
      <c r="CJ50" s="100">
        <v>0.8036852487172732</v>
      </c>
      <c r="CK50" s="100">
        <v>226.63924013827105</v>
      </c>
      <c r="CL50" s="100">
        <v>9</v>
      </c>
      <c r="CM50" s="100">
        <v>2538</v>
      </c>
      <c r="CN50" s="100">
        <v>10</v>
      </c>
      <c r="CO50" s="100">
        <v>2820</v>
      </c>
      <c r="CP50" s="100">
        <v>10</v>
      </c>
      <c r="CQ50" s="100">
        <v>2820</v>
      </c>
      <c r="CR50" s="100">
        <v>7.4228520238131841</v>
      </c>
      <c r="CS50" s="100">
        <v>2093.2442707153177</v>
      </c>
      <c r="CT50" s="100">
        <v>10</v>
      </c>
      <c r="CU50" s="100">
        <v>2820</v>
      </c>
    </row>
    <row r="51" spans="2:99">
      <c r="C51" s="99" t="s">
        <v>217</v>
      </c>
      <c r="D51" s="100">
        <v>7</v>
      </c>
      <c r="E51" s="100">
        <v>5980.8</v>
      </c>
      <c r="F51" s="100">
        <v>1.7650094707939252</v>
      </c>
      <c r="G51" s="100">
        <v>1508.0240918463296</v>
      </c>
      <c r="H51" s="100">
        <v>7</v>
      </c>
      <c r="I51" s="100">
        <v>5980.8</v>
      </c>
      <c r="J51" s="100">
        <v>9</v>
      </c>
      <c r="K51" s="100">
        <v>7689.5999999999995</v>
      </c>
      <c r="L51" s="100">
        <v>9</v>
      </c>
      <c r="M51" s="100">
        <v>7689.5999999999995</v>
      </c>
      <c r="N51" s="100">
        <v>10</v>
      </c>
      <c r="O51" s="100">
        <v>8544</v>
      </c>
      <c r="P51" s="100">
        <v>9</v>
      </c>
      <c r="Q51" s="100">
        <v>7689.5999999999995</v>
      </c>
      <c r="R51" s="100">
        <v>8</v>
      </c>
      <c r="S51" s="100">
        <v>6835.2</v>
      </c>
      <c r="T51" s="100">
        <v>4.9264532941398373</v>
      </c>
      <c r="U51" s="100">
        <v>4209.1616945130772</v>
      </c>
      <c r="V51" s="100">
        <v>5.5951992197240275</v>
      </c>
      <c r="W51" s="100">
        <v>4780.5382133322091</v>
      </c>
      <c r="X51" s="100">
        <v>10</v>
      </c>
      <c r="Y51" s="100">
        <v>8544</v>
      </c>
      <c r="Z51" s="100">
        <v>7</v>
      </c>
      <c r="AA51" s="100">
        <v>5980.8</v>
      </c>
      <c r="AB51" s="100">
        <v>8</v>
      </c>
      <c r="AC51" s="100">
        <v>6835.2</v>
      </c>
      <c r="AD51" s="100">
        <v>6.0837528765338833</v>
      </c>
      <c r="AE51" s="100">
        <v>5197.9584577105497</v>
      </c>
      <c r="AF51" s="100">
        <v>2.6362344427393283</v>
      </c>
      <c r="AG51" s="100">
        <v>2252.3987078764821</v>
      </c>
      <c r="AH51" s="100">
        <v>11</v>
      </c>
      <c r="AI51" s="100">
        <v>9398.4</v>
      </c>
      <c r="AJ51" s="100">
        <v>8</v>
      </c>
      <c r="AK51" s="100">
        <v>6835.2</v>
      </c>
      <c r="AL51" s="100">
        <v>10</v>
      </c>
      <c r="AM51" s="100">
        <v>8544</v>
      </c>
      <c r="AN51" s="100">
        <v>9</v>
      </c>
      <c r="AO51" s="100">
        <v>7689.5999999999995</v>
      </c>
      <c r="AP51" s="100">
        <v>11</v>
      </c>
      <c r="AQ51" s="100">
        <v>9398.4</v>
      </c>
      <c r="AR51" s="100">
        <v>11</v>
      </c>
      <c r="AS51" s="100">
        <v>9398.4</v>
      </c>
      <c r="AT51" s="100">
        <v>6</v>
      </c>
      <c r="AU51" s="100">
        <v>5126.3999999999996</v>
      </c>
      <c r="AV51" s="100">
        <v>9</v>
      </c>
      <c r="AW51" s="100">
        <v>7689.5999999999995</v>
      </c>
      <c r="AX51" s="100">
        <v>10</v>
      </c>
      <c r="AY51" s="100">
        <v>8544</v>
      </c>
      <c r="AZ51" s="100">
        <v>9.9204209523457259</v>
      </c>
      <c r="BA51" s="100">
        <v>8476.007661684187</v>
      </c>
      <c r="BB51" s="100">
        <v>0</v>
      </c>
      <c r="BC51" s="100">
        <v>0</v>
      </c>
      <c r="BD51" s="100">
        <v>7</v>
      </c>
      <c r="BE51" s="100">
        <v>5980.8</v>
      </c>
      <c r="BF51" s="100">
        <v>7</v>
      </c>
      <c r="BG51" s="100">
        <v>5980.8</v>
      </c>
      <c r="BH51" s="100">
        <v>7.1174966037094904</v>
      </c>
      <c r="BI51" s="100">
        <v>6081.1890982093882</v>
      </c>
      <c r="BJ51" s="100">
        <v>8</v>
      </c>
      <c r="BK51" s="100">
        <v>6835.2</v>
      </c>
      <c r="BL51" s="100">
        <v>6.1198254852989873</v>
      </c>
      <c r="BM51" s="100">
        <v>5228.7788946394548</v>
      </c>
      <c r="BN51" s="100">
        <v>9</v>
      </c>
      <c r="BO51" s="100">
        <v>7689.5999999999995</v>
      </c>
      <c r="BP51" s="100">
        <v>10</v>
      </c>
      <c r="BQ51" s="100">
        <v>8544</v>
      </c>
      <c r="BR51" s="100">
        <v>6</v>
      </c>
      <c r="BS51" s="100">
        <v>5126.3999999999996</v>
      </c>
      <c r="BT51" s="100">
        <v>6</v>
      </c>
      <c r="BU51" s="100">
        <v>5126.3999999999996</v>
      </c>
      <c r="BV51" s="100">
        <v>2.4905306373010316</v>
      </c>
      <c r="BW51" s="100">
        <v>2127.9093765100015</v>
      </c>
      <c r="BX51" s="100">
        <v>8</v>
      </c>
      <c r="BY51" s="100">
        <v>6835.2</v>
      </c>
      <c r="BZ51" s="100">
        <v>10</v>
      </c>
      <c r="CA51" s="100">
        <v>8544</v>
      </c>
      <c r="CB51" s="100">
        <v>8</v>
      </c>
      <c r="CC51" s="100">
        <v>6835.2</v>
      </c>
      <c r="CD51" s="100">
        <v>7</v>
      </c>
      <c r="CE51" s="100">
        <v>5980.8</v>
      </c>
      <c r="CF51" s="100">
        <v>9</v>
      </c>
      <c r="CG51" s="100">
        <v>7689.5999999999995</v>
      </c>
      <c r="CH51" s="100">
        <v>9</v>
      </c>
      <c r="CI51" s="100">
        <v>7689.5999999999995</v>
      </c>
      <c r="CJ51" s="100">
        <v>0.72331672384554591</v>
      </c>
      <c r="CK51" s="100">
        <v>618.00180885363443</v>
      </c>
      <c r="CL51" s="100">
        <v>9</v>
      </c>
      <c r="CM51" s="100">
        <v>7689.5999999999995</v>
      </c>
      <c r="CN51" s="100">
        <v>11</v>
      </c>
      <c r="CO51" s="100">
        <v>9398.4</v>
      </c>
      <c r="CP51" s="100">
        <v>10</v>
      </c>
      <c r="CQ51" s="100">
        <v>8544</v>
      </c>
      <c r="CR51" s="100">
        <v>8.2476133597924264</v>
      </c>
      <c r="CS51" s="100">
        <v>7046.7608546066485</v>
      </c>
      <c r="CT51" s="100">
        <v>10</v>
      </c>
      <c r="CU51" s="100">
        <v>8544</v>
      </c>
    </row>
    <row r="52" spans="2:99">
      <c r="C52" s="99" t="s">
        <v>218</v>
      </c>
      <c r="D52" s="100">
        <v>8</v>
      </c>
      <c r="E52" s="100">
        <v>4320</v>
      </c>
      <c r="F52" s="100">
        <v>2.0591777159262459</v>
      </c>
      <c r="G52" s="100">
        <v>1111.9559666001728</v>
      </c>
      <c r="H52" s="100">
        <v>7</v>
      </c>
      <c r="I52" s="100">
        <v>3780</v>
      </c>
      <c r="J52" s="100">
        <v>9</v>
      </c>
      <c r="K52" s="100">
        <v>4860</v>
      </c>
      <c r="L52" s="100">
        <v>9</v>
      </c>
      <c r="M52" s="100">
        <v>4860</v>
      </c>
      <c r="N52" s="100">
        <v>9</v>
      </c>
      <c r="O52" s="100">
        <v>4860</v>
      </c>
      <c r="P52" s="100">
        <v>8</v>
      </c>
      <c r="Q52" s="100">
        <v>4320</v>
      </c>
      <c r="R52" s="100">
        <v>9</v>
      </c>
      <c r="S52" s="100">
        <v>4860</v>
      </c>
      <c r="T52" s="100">
        <v>4.9264532941398373</v>
      </c>
      <c r="U52" s="100">
        <v>2660.284778835512</v>
      </c>
      <c r="V52" s="100">
        <v>5.5951992197240275</v>
      </c>
      <c r="W52" s="100">
        <v>3021.4075786509748</v>
      </c>
      <c r="X52" s="100">
        <v>10</v>
      </c>
      <c r="Y52" s="100">
        <v>5400</v>
      </c>
      <c r="Z52" s="100">
        <v>7</v>
      </c>
      <c r="AA52" s="100">
        <v>3780</v>
      </c>
      <c r="AB52" s="100">
        <v>8</v>
      </c>
      <c r="AC52" s="100">
        <v>4320</v>
      </c>
      <c r="AD52" s="100">
        <v>6.8442219861006182</v>
      </c>
      <c r="AE52" s="100">
        <v>3695.879872494334</v>
      </c>
      <c r="AF52" s="100">
        <v>2.9291493808214759</v>
      </c>
      <c r="AG52" s="100">
        <v>1581.7406656435969</v>
      </c>
      <c r="AH52" s="100">
        <v>11</v>
      </c>
      <c r="AI52" s="100">
        <v>5940</v>
      </c>
      <c r="AJ52" s="100">
        <v>7</v>
      </c>
      <c r="AK52" s="100">
        <v>3780</v>
      </c>
      <c r="AL52" s="100">
        <v>10</v>
      </c>
      <c r="AM52" s="100">
        <v>5400</v>
      </c>
      <c r="AN52" s="100">
        <v>9</v>
      </c>
      <c r="AO52" s="100">
        <v>4860</v>
      </c>
      <c r="AP52" s="100">
        <v>11</v>
      </c>
      <c r="AQ52" s="100">
        <v>5940</v>
      </c>
      <c r="AR52" s="100">
        <v>10</v>
      </c>
      <c r="AS52" s="100">
        <v>5400</v>
      </c>
      <c r="AT52" s="100">
        <v>6</v>
      </c>
      <c r="AU52" s="100">
        <v>3240</v>
      </c>
      <c r="AV52" s="100">
        <v>10</v>
      </c>
      <c r="AW52" s="100">
        <v>5400</v>
      </c>
      <c r="AX52" s="100">
        <v>11</v>
      </c>
      <c r="AY52" s="100">
        <v>5940</v>
      </c>
      <c r="AZ52" s="100">
        <v>10.912463047580298</v>
      </c>
      <c r="BA52" s="100">
        <v>5892.7300456933608</v>
      </c>
      <c r="BB52" s="100">
        <v>0</v>
      </c>
      <c r="BC52" s="100">
        <v>0</v>
      </c>
      <c r="BD52" s="100">
        <v>7</v>
      </c>
      <c r="BE52" s="100">
        <v>3780</v>
      </c>
      <c r="BF52" s="100">
        <v>8</v>
      </c>
      <c r="BG52" s="100">
        <v>4320</v>
      </c>
      <c r="BH52" s="100">
        <v>7.1174966037094904</v>
      </c>
      <c r="BI52" s="100">
        <v>3843.4481660031247</v>
      </c>
      <c r="BJ52" s="100">
        <v>7</v>
      </c>
      <c r="BK52" s="100">
        <v>3780</v>
      </c>
      <c r="BL52" s="100">
        <v>6.9940862689131276</v>
      </c>
      <c r="BM52" s="100">
        <v>3776.806585213089</v>
      </c>
      <c r="BN52" s="100">
        <v>11</v>
      </c>
      <c r="BO52" s="100">
        <v>5940</v>
      </c>
      <c r="BP52" s="100">
        <v>11</v>
      </c>
      <c r="BQ52" s="100">
        <v>5940</v>
      </c>
      <c r="BR52" s="100">
        <v>7</v>
      </c>
      <c r="BS52" s="100">
        <v>3780</v>
      </c>
      <c r="BT52" s="100">
        <v>6</v>
      </c>
      <c r="BU52" s="100">
        <v>3240</v>
      </c>
      <c r="BV52" s="100">
        <v>2.8463207283440366</v>
      </c>
      <c r="BW52" s="100">
        <v>1537.0131933057799</v>
      </c>
      <c r="BX52" s="100">
        <v>7</v>
      </c>
      <c r="BY52" s="100">
        <v>3780</v>
      </c>
      <c r="BZ52" s="100">
        <v>11</v>
      </c>
      <c r="CA52" s="100">
        <v>5940</v>
      </c>
      <c r="CB52" s="100">
        <v>8</v>
      </c>
      <c r="CC52" s="100">
        <v>4320</v>
      </c>
      <c r="CD52" s="100">
        <v>7</v>
      </c>
      <c r="CE52" s="100">
        <v>3780</v>
      </c>
      <c r="CF52" s="100">
        <v>10</v>
      </c>
      <c r="CG52" s="100">
        <v>5400</v>
      </c>
      <c r="CH52" s="100">
        <v>10</v>
      </c>
      <c r="CI52" s="100">
        <v>5400</v>
      </c>
      <c r="CJ52" s="100">
        <v>0.8036852487172732</v>
      </c>
      <c r="CK52" s="100">
        <v>433.99003430732751</v>
      </c>
      <c r="CL52" s="100">
        <v>9</v>
      </c>
      <c r="CM52" s="100">
        <v>4860</v>
      </c>
      <c r="CN52" s="100">
        <v>11</v>
      </c>
      <c r="CO52" s="100">
        <v>5940</v>
      </c>
      <c r="CP52" s="100">
        <v>10</v>
      </c>
      <c r="CQ52" s="100">
        <v>5400</v>
      </c>
      <c r="CR52" s="100">
        <v>9.0723746957716678</v>
      </c>
      <c r="CS52" s="100">
        <v>4899.082335716701</v>
      </c>
      <c r="CT52" s="100">
        <v>11</v>
      </c>
      <c r="CU52" s="100">
        <v>5940</v>
      </c>
    </row>
    <row r="53" spans="2:99">
      <c r="C53" s="99" t="s">
        <v>219</v>
      </c>
      <c r="D53" s="100">
        <v>9</v>
      </c>
      <c r="E53" s="100">
        <v>3661.2000000000003</v>
      </c>
      <c r="F53" s="100">
        <v>2.0591777159262459</v>
      </c>
      <c r="G53" s="100">
        <v>837.67349483879684</v>
      </c>
      <c r="H53" s="100">
        <v>8</v>
      </c>
      <c r="I53" s="100">
        <v>3254.4</v>
      </c>
      <c r="J53" s="100">
        <v>9</v>
      </c>
      <c r="K53" s="100">
        <v>3661.2000000000003</v>
      </c>
      <c r="L53" s="100">
        <v>9</v>
      </c>
      <c r="M53" s="100">
        <v>3661.2000000000003</v>
      </c>
      <c r="N53" s="100">
        <v>9</v>
      </c>
      <c r="O53" s="100">
        <v>3661.2000000000003</v>
      </c>
      <c r="P53" s="100">
        <v>9</v>
      </c>
      <c r="Q53" s="100">
        <v>3661.2000000000003</v>
      </c>
      <c r="R53" s="100">
        <v>9</v>
      </c>
      <c r="S53" s="100">
        <v>3661.2000000000003</v>
      </c>
      <c r="T53" s="100">
        <v>5.5422599559073165</v>
      </c>
      <c r="U53" s="100">
        <v>2254.5913500630963</v>
      </c>
      <c r="V53" s="100">
        <v>5.5951992197240275</v>
      </c>
      <c r="W53" s="100">
        <v>2276.1270425837342</v>
      </c>
      <c r="X53" s="100">
        <v>11</v>
      </c>
      <c r="Y53" s="100">
        <v>4474.8</v>
      </c>
      <c r="Z53" s="100">
        <v>9</v>
      </c>
      <c r="AA53" s="100">
        <v>3661.2000000000003</v>
      </c>
      <c r="AB53" s="100">
        <v>9</v>
      </c>
      <c r="AC53" s="100">
        <v>3661.2000000000003</v>
      </c>
      <c r="AD53" s="100">
        <v>6.0837528765338833</v>
      </c>
      <c r="AE53" s="100">
        <v>2474.8706701739839</v>
      </c>
      <c r="AF53" s="100">
        <v>2.9291493808214759</v>
      </c>
      <c r="AG53" s="100">
        <v>1191.5779681181764</v>
      </c>
      <c r="AH53" s="100">
        <v>11</v>
      </c>
      <c r="AI53" s="100">
        <v>4474.8</v>
      </c>
      <c r="AJ53" s="100">
        <v>7</v>
      </c>
      <c r="AK53" s="100">
        <v>2847.6</v>
      </c>
      <c r="AL53" s="100">
        <v>9</v>
      </c>
      <c r="AM53" s="100">
        <v>3661.2000000000003</v>
      </c>
      <c r="AN53" s="100">
        <v>9</v>
      </c>
      <c r="AO53" s="100">
        <v>3661.2000000000003</v>
      </c>
      <c r="AP53" s="100">
        <v>11</v>
      </c>
      <c r="AQ53" s="100">
        <v>4474.8</v>
      </c>
      <c r="AR53" s="100">
        <v>11</v>
      </c>
      <c r="AS53" s="100">
        <v>4474.8</v>
      </c>
      <c r="AT53" s="100">
        <v>6</v>
      </c>
      <c r="AU53" s="100">
        <v>2440.8000000000002</v>
      </c>
      <c r="AV53" s="100">
        <v>9</v>
      </c>
      <c r="AW53" s="100">
        <v>3661.2000000000003</v>
      </c>
      <c r="AX53" s="100">
        <v>11</v>
      </c>
      <c r="AY53" s="100">
        <v>4474.8</v>
      </c>
      <c r="AZ53" s="100">
        <v>9.9204209523457259</v>
      </c>
      <c r="BA53" s="100">
        <v>4035.6272434142415</v>
      </c>
      <c r="BB53" s="100">
        <v>0</v>
      </c>
      <c r="BC53" s="100">
        <v>0</v>
      </c>
      <c r="BD53" s="100">
        <v>7</v>
      </c>
      <c r="BE53" s="100">
        <v>2847.6</v>
      </c>
      <c r="BF53" s="100">
        <v>7</v>
      </c>
      <c r="BG53" s="100">
        <v>2847.6</v>
      </c>
      <c r="BH53" s="100">
        <v>6.3266636477417695</v>
      </c>
      <c r="BI53" s="100">
        <v>2573.6867719013517</v>
      </c>
      <c r="BJ53" s="100">
        <v>7</v>
      </c>
      <c r="BK53" s="100">
        <v>2847.6</v>
      </c>
      <c r="BL53" s="100">
        <v>6.1198254852989873</v>
      </c>
      <c r="BM53" s="100">
        <v>2489.5450074196283</v>
      </c>
      <c r="BN53" s="100">
        <v>10</v>
      </c>
      <c r="BO53" s="100">
        <v>4068</v>
      </c>
      <c r="BP53" s="100">
        <v>11</v>
      </c>
      <c r="BQ53" s="100">
        <v>4474.8</v>
      </c>
      <c r="BR53" s="100">
        <v>7</v>
      </c>
      <c r="BS53" s="100">
        <v>2847.6</v>
      </c>
      <c r="BT53" s="100">
        <v>7</v>
      </c>
      <c r="BU53" s="100">
        <v>2847.6</v>
      </c>
      <c r="BV53" s="100">
        <v>2.8463207283440366</v>
      </c>
      <c r="BW53" s="100">
        <v>1157.8832722903542</v>
      </c>
      <c r="BX53" s="100">
        <v>8</v>
      </c>
      <c r="BY53" s="100">
        <v>3254.4</v>
      </c>
      <c r="BZ53" s="100">
        <v>11</v>
      </c>
      <c r="CA53" s="100">
        <v>4474.8</v>
      </c>
      <c r="CB53" s="100">
        <v>9</v>
      </c>
      <c r="CC53" s="100">
        <v>3661.2000000000003</v>
      </c>
      <c r="CD53" s="100">
        <v>7</v>
      </c>
      <c r="CE53" s="100">
        <v>2847.6</v>
      </c>
      <c r="CF53" s="100">
        <v>9</v>
      </c>
      <c r="CG53" s="100">
        <v>3661.2000000000003</v>
      </c>
      <c r="CH53" s="100">
        <v>9</v>
      </c>
      <c r="CI53" s="100">
        <v>3661.2000000000003</v>
      </c>
      <c r="CJ53" s="100">
        <v>0.8036852487172732</v>
      </c>
      <c r="CK53" s="100">
        <v>326.93915917818674</v>
      </c>
      <c r="CL53" s="100">
        <v>8</v>
      </c>
      <c r="CM53" s="100">
        <v>3254.4</v>
      </c>
      <c r="CN53" s="100">
        <v>11</v>
      </c>
      <c r="CO53" s="100">
        <v>4474.8</v>
      </c>
      <c r="CP53" s="100">
        <v>10</v>
      </c>
      <c r="CQ53" s="100">
        <v>4068</v>
      </c>
      <c r="CR53" s="100">
        <v>7.4228520238131841</v>
      </c>
      <c r="CS53" s="100">
        <v>3019.6162032872035</v>
      </c>
      <c r="CT53" s="100">
        <v>11</v>
      </c>
      <c r="CU53" s="100">
        <v>4474.8</v>
      </c>
    </row>
    <row r="54" spans="2:99">
      <c r="C54" s="99" t="s">
        <v>220</v>
      </c>
      <c r="D54" s="100">
        <v>8</v>
      </c>
      <c r="E54" s="100">
        <v>2678.4</v>
      </c>
      <c r="F54" s="100">
        <v>1.7650094707939252</v>
      </c>
      <c r="G54" s="100">
        <v>590.9251708218062</v>
      </c>
      <c r="H54" s="100">
        <v>8</v>
      </c>
      <c r="I54" s="100">
        <v>2678.4</v>
      </c>
      <c r="J54" s="100">
        <v>10</v>
      </c>
      <c r="K54" s="100">
        <v>3348</v>
      </c>
      <c r="L54" s="100">
        <v>9</v>
      </c>
      <c r="M54" s="100">
        <v>3013.2000000000003</v>
      </c>
      <c r="N54" s="100">
        <v>10</v>
      </c>
      <c r="O54" s="100">
        <v>3348</v>
      </c>
      <c r="P54" s="100">
        <v>8</v>
      </c>
      <c r="Q54" s="100">
        <v>2678.4</v>
      </c>
      <c r="R54" s="100">
        <v>9</v>
      </c>
      <c r="S54" s="100">
        <v>3013.2000000000003</v>
      </c>
      <c r="T54" s="100">
        <v>5.5422599559073165</v>
      </c>
      <c r="U54" s="100">
        <v>1855.5486332377695</v>
      </c>
      <c r="V54" s="100">
        <v>5.5951992197240275</v>
      </c>
      <c r="W54" s="100">
        <v>1873.2726987636045</v>
      </c>
      <c r="X54" s="100">
        <v>12</v>
      </c>
      <c r="Y54" s="100">
        <v>4017.6000000000004</v>
      </c>
      <c r="Z54" s="100">
        <v>9</v>
      </c>
      <c r="AA54" s="100">
        <v>3013.2000000000003</v>
      </c>
      <c r="AB54" s="100">
        <v>9</v>
      </c>
      <c r="AC54" s="100">
        <v>3013.2000000000003</v>
      </c>
      <c r="AD54" s="100">
        <v>6.8442219861006182</v>
      </c>
      <c r="AE54" s="100">
        <v>2291.4455209464872</v>
      </c>
      <c r="AF54" s="100">
        <v>3.2220643189036235</v>
      </c>
      <c r="AG54" s="100">
        <v>1078.7471339689332</v>
      </c>
      <c r="AH54" s="100">
        <v>12</v>
      </c>
      <c r="AI54" s="100">
        <v>4017.6000000000004</v>
      </c>
      <c r="AJ54" s="100">
        <v>8</v>
      </c>
      <c r="AK54" s="100">
        <v>2678.4</v>
      </c>
      <c r="AL54" s="100">
        <v>10</v>
      </c>
      <c r="AM54" s="100">
        <v>3348</v>
      </c>
      <c r="AN54" s="100">
        <v>9</v>
      </c>
      <c r="AO54" s="100">
        <v>3013.2000000000003</v>
      </c>
      <c r="AP54" s="100">
        <v>9</v>
      </c>
      <c r="AQ54" s="100">
        <v>3013.2000000000003</v>
      </c>
      <c r="AR54" s="100">
        <v>10</v>
      </c>
      <c r="AS54" s="100">
        <v>3348</v>
      </c>
      <c r="AT54" s="100">
        <v>6</v>
      </c>
      <c r="AU54" s="100">
        <v>2008.8000000000002</v>
      </c>
      <c r="AV54" s="100">
        <v>9</v>
      </c>
      <c r="AW54" s="100">
        <v>3013.2000000000003</v>
      </c>
      <c r="AX54" s="100">
        <v>11</v>
      </c>
      <c r="AY54" s="100">
        <v>3682.8</v>
      </c>
      <c r="AZ54" s="100">
        <v>10.912463047580298</v>
      </c>
      <c r="BA54" s="100">
        <v>3653.4926283298837</v>
      </c>
      <c r="BB54" s="100">
        <v>0</v>
      </c>
      <c r="BC54" s="100">
        <v>0</v>
      </c>
      <c r="BD54" s="100">
        <v>6</v>
      </c>
      <c r="BE54" s="100">
        <v>2008.8000000000002</v>
      </c>
      <c r="BF54" s="100">
        <v>8</v>
      </c>
      <c r="BG54" s="100">
        <v>2678.4</v>
      </c>
      <c r="BH54" s="100">
        <v>7.1174966037094904</v>
      </c>
      <c r="BI54" s="100">
        <v>2382.9378629219373</v>
      </c>
      <c r="BJ54" s="100">
        <v>8</v>
      </c>
      <c r="BK54" s="100">
        <v>2678.4</v>
      </c>
      <c r="BL54" s="100">
        <v>6.1198254852989873</v>
      </c>
      <c r="BM54" s="100">
        <v>2048.9175724781012</v>
      </c>
      <c r="BN54" s="100">
        <v>9</v>
      </c>
      <c r="BO54" s="100">
        <v>3013.2000000000003</v>
      </c>
      <c r="BP54" s="100">
        <v>11</v>
      </c>
      <c r="BQ54" s="100">
        <v>3682.8</v>
      </c>
      <c r="BR54" s="100">
        <v>6</v>
      </c>
      <c r="BS54" s="100">
        <v>2008.8000000000002</v>
      </c>
      <c r="BT54" s="100">
        <v>7</v>
      </c>
      <c r="BU54" s="100">
        <v>2343.6</v>
      </c>
      <c r="BV54" s="100">
        <v>3.2021108193870407</v>
      </c>
      <c r="BW54" s="100">
        <v>1072.0667023307813</v>
      </c>
      <c r="BX54" s="100">
        <v>8</v>
      </c>
      <c r="BY54" s="100">
        <v>2678.4</v>
      </c>
      <c r="BZ54" s="100">
        <v>11</v>
      </c>
      <c r="CA54" s="100">
        <v>3682.8</v>
      </c>
      <c r="CB54" s="100">
        <v>9</v>
      </c>
      <c r="CC54" s="100">
        <v>3013.2000000000003</v>
      </c>
      <c r="CD54" s="100">
        <v>7</v>
      </c>
      <c r="CE54" s="100">
        <v>2343.6</v>
      </c>
      <c r="CF54" s="100">
        <v>10</v>
      </c>
      <c r="CG54" s="100">
        <v>3348</v>
      </c>
      <c r="CH54" s="100">
        <v>10</v>
      </c>
      <c r="CI54" s="100">
        <v>3348</v>
      </c>
      <c r="CJ54" s="100">
        <v>0.8036852487172732</v>
      </c>
      <c r="CK54" s="100">
        <v>269.07382127054308</v>
      </c>
      <c r="CL54" s="100">
        <v>9</v>
      </c>
      <c r="CM54" s="100">
        <v>3013.2000000000003</v>
      </c>
      <c r="CN54" s="100">
        <v>11</v>
      </c>
      <c r="CO54" s="100">
        <v>3682.8</v>
      </c>
      <c r="CP54" s="100">
        <v>11</v>
      </c>
      <c r="CQ54" s="100">
        <v>3682.8</v>
      </c>
      <c r="CR54" s="100">
        <v>8.2476133597924264</v>
      </c>
      <c r="CS54" s="100">
        <v>2761.3009528585044</v>
      </c>
      <c r="CT54" s="100">
        <v>10</v>
      </c>
      <c r="CU54" s="100">
        <v>3348</v>
      </c>
    </row>
    <row r="55" spans="2:99">
      <c r="C55" s="99" t="s">
        <v>221</v>
      </c>
      <c r="D55" s="100">
        <v>8</v>
      </c>
      <c r="E55" s="100">
        <v>5308.8</v>
      </c>
      <c r="F55" s="100">
        <v>2.0591777159262459</v>
      </c>
      <c r="G55" s="100">
        <v>1366.4703322886569</v>
      </c>
      <c r="H55" s="100">
        <v>8</v>
      </c>
      <c r="I55" s="100">
        <v>5308.8</v>
      </c>
      <c r="J55" s="100">
        <v>10</v>
      </c>
      <c r="K55" s="100">
        <v>6636</v>
      </c>
      <c r="L55" s="100">
        <v>9</v>
      </c>
      <c r="M55" s="100">
        <v>5972.4000000000005</v>
      </c>
      <c r="N55" s="100">
        <v>9</v>
      </c>
      <c r="O55" s="100">
        <v>5972.4000000000005</v>
      </c>
      <c r="P55" s="100">
        <v>8</v>
      </c>
      <c r="Q55" s="100">
        <v>5308.8</v>
      </c>
      <c r="R55" s="100">
        <v>8</v>
      </c>
      <c r="S55" s="100">
        <v>5308.8</v>
      </c>
      <c r="T55" s="100">
        <v>4.9264532941398373</v>
      </c>
      <c r="U55" s="100">
        <v>3269.1944059911962</v>
      </c>
      <c r="V55" s="100">
        <v>5.5951992197240275</v>
      </c>
      <c r="W55" s="100">
        <v>3712.9742022088649</v>
      </c>
      <c r="X55" s="100">
        <v>10</v>
      </c>
      <c r="Y55" s="100">
        <v>6636</v>
      </c>
      <c r="Z55" s="100">
        <v>7</v>
      </c>
      <c r="AA55" s="100">
        <v>4645.2</v>
      </c>
      <c r="AB55" s="100">
        <v>9</v>
      </c>
      <c r="AC55" s="100">
        <v>5972.4000000000005</v>
      </c>
      <c r="AD55" s="100">
        <v>6.0837528765338833</v>
      </c>
      <c r="AE55" s="100">
        <v>4037.1784088678851</v>
      </c>
      <c r="AF55" s="100">
        <v>2.9291493808214759</v>
      </c>
      <c r="AG55" s="100">
        <v>1943.7835291131314</v>
      </c>
      <c r="AH55" s="100">
        <v>10</v>
      </c>
      <c r="AI55" s="100">
        <v>6636</v>
      </c>
      <c r="AJ55" s="100">
        <v>8</v>
      </c>
      <c r="AK55" s="100">
        <v>5308.8</v>
      </c>
      <c r="AL55" s="100">
        <v>9</v>
      </c>
      <c r="AM55" s="100">
        <v>5972.4000000000005</v>
      </c>
      <c r="AN55" s="100">
        <v>8</v>
      </c>
      <c r="AO55" s="100">
        <v>5308.8</v>
      </c>
      <c r="AP55" s="100">
        <v>11</v>
      </c>
      <c r="AQ55" s="100">
        <v>7299.6</v>
      </c>
      <c r="AR55" s="100">
        <v>11</v>
      </c>
      <c r="AS55" s="100">
        <v>7299.6</v>
      </c>
      <c r="AT55" s="100">
        <v>6</v>
      </c>
      <c r="AU55" s="100">
        <v>3981.6000000000004</v>
      </c>
      <c r="AV55" s="100">
        <v>9</v>
      </c>
      <c r="AW55" s="100">
        <v>5972.4000000000005</v>
      </c>
      <c r="AX55" s="100">
        <v>10</v>
      </c>
      <c r="AY55" s="100">
        <v>6636</v>
      </c>
      <c r="AZ55" s="100">
        <v>10.912463047580298</v>
      </c>
      <c r="BA55" s="100">
        <v>7241.5104783742854</v>
      </c>
      <c r="BB55" s="100">
        <v>0</v>
      </c>
      <c r="BC55" s="100">
        <v>0</v>
      </c>
      <c r="BD55" s="100">
        <v>6</v>
      </c>
      <c r="BE55" s="100">
        <v>3981.6000000000004</v>
      </c>
      <c r="BF55" s="100">
        <v>8</v>
      </c>
      <c r="BG55" s="100">
        <v>5308.8</v>
      </c>
      <c r="BH55" s="100">
        <v>6.3266636477417695</v>
      </c>
      <c r="BI55" s="100">
        <v>4198.3739966414387</v>
      </c>
      <c r="BJ55" s="100">
        <v>7</v>
      </c>
      <c r="BK55" s="100">
        <v>4645.2</v>
      </c>
      <c r="BL55" s="100">
        <v>6.9940862689131276</v>
      </c>
      <c r="BM55" s="100">
        <v>4641.2756480507514</v>
      </c>
      <c r="BN55" s="100">
        <v>10</v>
      </c>
      <c r="BO55" s="100">
        <v>6636</v>
      </c>
      <c r="BP55" s="100">
        <v>11</v>
      </c>
      <c r="BQ55" s="100">
        <v>7299.6</v>
      </c>
      <c r="BR55" s="100">
        <v>6</v>
      </c>
      <c r="BS55" s="100">
        <v>3981.6000000000004</v>
      </c>
      <c r="BT55" s="100">
        <v>6</v>
      </c>
      <c r="BU55" s="100">
        <v>3981.6000000000004</v>
      </c>
      <c r="BV55" s="100">
        <v>2.8463207283440366</v>
      </c>
      <c r="BW55" s="100">
        <v>1888.8184353291028</v>
      </c>
      <c r="BX55" s="100">
        <v>8</v>
      </c>
      <c r="BY55" s="100">
        <v>5308.8</v>
      </c>
      <c r="BZ55" s="100">
        <v>11</v>
      </c>
      <c r="CA55" s="100">
        <v>7299.6</v>
      </c>
      <c r="CB55" s="100">
        <v>8</v>
      </c>
      <c r="CC55" s="100">
        <v>5308.8</v>
      </c>
      <c r="CD55" s="100">
        <v>8</v>
      </c>
      <c r="CE55" s="100">
        <v>5308.8</v>
      </c>
      <c r="CF55" s="100">
        <v>9</v>
      </c>
      <c r="CG55" s="100">
        <v>5972.4000000000005</v>
      </c>
      <c r="CH55" s="100">
        <v>10</v>
      </c>
      <c r="CI55" s="100">
        <v>6636</v>
      </c>
      <c r="CJ55" s="100">
        <v>0.8036852487172732</v>
      </c>
      <c r="CK55" s="100">
        <v>533.32553104878252</v>
      </c>
      <c r="CL55" s="100">
        <v>9</v>
      </c>
      <c r="CM55" s="100">
        <v>5972.4000000000005</v>
      </c>
      <c r="CN55" s="100">
        <v>10</v>
      </c>
      <c r="CO55" s="100">
        <v>6636</v>
      </c>
      <c r="CP55" s="100">
        <v>10</v>
      </c>
      <c r="CQ55" s="100">
        <v>6636</v>
      </c>
      <c r="CR55" s="100">
        <v>8.2476133597924264</v>
      </c>
      <c r="CS55" s="100">
        <v>5473.116225558254</v>
      </c>
      <c r="CT55" s="100">
        <v>10</v>
      </c>
      <c r="CU55" s="100">
        <v>6636</v>
      </c>
    </row>
    <row r="56" spans="2:99">
      <c r="C56" s="99" t="s">
        <v>222</v>
      </c>
      <c r="D56" s="100">
        <v>7</v>
      </c>
      <c r="E56" s="100">
        <v>6871.1999999999989</v>
      </c>
      <c r="F56" s="100">
        <v>6</v>
      </c>
      <c r="G56" s="100">
        <v>5889.5999999999995</v>
      </c>
      <c r="H56" s="100">
        <v>7</v>
      </c>
      <c r="I56" s="100">
        <v>6871.1999999999989</v>
      </c>
      <c r="J56" s="100">
        <v>9</v>
      </c>
      <c r="K56" s="100">
        <v>8834.4</v>
      </c>
      <c r="L56" s="100">
        <v>6.4829358384062585</v>
      </c>
      <c r="M56" s="100">
        <v>6363.649818979583</v>
      </c>
      <c r="N56" s="100">
        <v>9.1397849462365492</v>
      </c>
      <c r="O56" s="100">
        <v>8971.6129032257959</v>
      </c>
      <c r="P56" s="100">
        <v>9</v>
      </c>
      <c r="Q56" s="100">
        <v>8834.4</v>
      </c>
      <c r="R56" s="100">
        <v>8.7719298245613899</v>
      </c>
      <c r="S56" s="100">
        <v>8610.5263157894587</v>
      </c>
      <c r="T56" s="100">
        <v>0.58432454061407935</v>
      </c>
      <c r="U56" s="100">
        <v>573.57296906678027</v>
      </c>
      <c r="V56" s="100">
        <v>6</v>
      </c>
      <c r="W56" s="100">
        <v>5889.5999999999995</v>
      </c>
      <c r="X56" s="100">
        <v>10</v>
      </c>
      <c r="Y56" s="100">
        <v>9816</v>
      </c>
      <c r="Z56" s="100">
        <v>8</v>
      </c>
      <c r="AA56" s="100">
        <v>7852.7999999999993</v>
      </c>
      <c r="AB56" s="100">
        <v>8</v>
      </c>
      <c r="AC56" s="100">
        <v>7852.7999999999993</v>
      </c>
      <c r="AD56" s="100">
        <v>8</v>
      </c>
      <c r="AE56" s="100">
        <v>7852.7999999999993</v>
      </c>
      <c r="AF56" s="100">
        <v>6.7277227722771853</v>
      </c>
      <c r="AG56" s="100">
        <v>6603.9326732672844</v>
      </c>
      <c r="AH56" s="100">
        <v>11</v>
      </c>
      <c r="AI56" s="100">
        <v>10797.599999999999</v>
      </c>
      <c r="AJ56" s="100">
        <v>4.6850828729281631</v>
      </c>
      <c r="AK56" s="100">
        <v>4598.8773480662849</v>
      </c>
      <c r="AL56" s="100">
        <v>7.4561403508771855</v>
      </c>
      <c r="AM56" s="100">
        <v>7318.9473684210443</v>
      </c>
      <c r="AN56" s="100">
        <v>9</v>
      </c>
      <c r="AO56" s="100">
        <v>8834.4</v>
      </c>
      <c r="AP56" s="100">
        <v>9</v>
      </c>
      <c r="AQ56" s="100">
        <v>8834.4</v>
      </c>
      <c r="AR56" s="100">
        <v>9.2459016393442326</v>
      </c>
      <c r="AS56" s="100">
        <v>9075.7770491802985</v>
      </c>
      <c r="AT56" s="100">
        <v>5.1515151515151461</v>
      </c>
      <c r="AU56" s="100">
        <v>5056.7272727272666</v>
      </c>
      <c r="AV56" s="100">
        <v>7.8461538461538396</v>
      </c>
      <c r="AW56" s="100">
        <v>7701.7846153846085</v>
      </c>
      <c r="AX56" s="100">
        <v>10</v>
      </c>
      <c r="AY56" s="100">
        <v>9816</v>
      </c>
      <c r="AZ56" s="100">
        <v>6.2830188679245147</v>
      </c>
      <c r="BA56" s="100">
        <v>6167.4113207547034</v>
      </c>
      <c r="BB56" s="100">
        <v>11</v>
      </c>
      <c r="BC56" s="100">
        <v>10797.599999999999</v>
      </c>
      <c r="BD56" s="100">
        <v>7</v>
      </c>
      <c r="BE56" s="100">
        <v>6871.1999999999989</v>
      </c>
      <c r="BF56" s="100">
        <v>8</v>
      </c>
      <c r="BG56" s="100">
        <v>7852.7999999999993</v>
      </c>
      <c r="BH56" s="100">
        <v>3.1456310679611379</v>
      </c>
      <c r="BI56" s="100">
        <v>3087.7514563106529</v>
      </c>
      <c r="BJ56" s="100">
        <v>5.433789954337894</v>
      </c>
      <c r="BK56" s="100">
        <v>5333.8082191780759</v>
      </c>
      <c r="BL56" s="100">
        <v>7.5138121546961258</v>
      </c>
      <c r="BM56" s="100">
        <v>7375.5580110497167</v>
      </c>
      <c r="BN56" s="100">
        <v>11</v>
      </c>
      <c r="BO56" s="100">
        <v>10797.599999999999</v>
      </c>
      <c r="BP56" s="100">
        <v>5.5255813953488238</v>
      </c>
      <c r="BQ56" s="100">
        <v>5423.9106976744051</v>
      </c>
      <c r="BR56" s="100">
        <v>6</v>
      </c>
      <c r="BS56" s="100">
        <v>5889.5999999999995</v>
      </c>
      <c r="BT56" s="100">
        <v>5.9697856229966604</v>
      </c>
      <c r="BU56" s="100">
        <v>5859.9415675335213</v>
      </c>
      <c r="BV56" s="100">
        <v>1.5547532327157341</v>
      </c>
      <c r="BW56" s="100">
        <v>1526.1457732337644</v>
      </c>
      <c r="BX56" s="100">
        <v>6.7999999999999936</v>
      </c>
      <c r="BY56" s="100">
        <v>6674.8799999999928</v>
      </c>
      <c r="BZ56" s="100">
        <v>9.739583333333325</v>
      </c>
      <c r="CA56" s="100">
        <v>9560.3749999999909</v>
      </c>
      <c r="CB56" s="100">
        <v>5.6937799043062149</v>
      </c>
      <c r="CC56" s="100">
        <v>5589.0143540669796</v>
      </c>
      <c r="CD56" s="100">
        <v>0.43392051313050001</v>
      </c>
      <c r="CE56" s="100">
        <v>425.93637568889875</v>
      </c>
      <c r="CF56" s="100">
        <v>9</v>
      </c>
      <c r="CG56" s="100">
        <v>8834.4</v>
      </c>
      <c r="CH56" s="100">
        <v>3.2727272727272614</v>
      </c>
      <c r="CI56" s="100">
        <v>3212.5090909090795</v>
      </c>
      <c r="CJ56" s="100">
        <v>9</v>
      </c>
      <c r="CK56" s="100">
        <v>8834.4</v>
      </c>
      <c r="CL56" s="100">
        <v>9</v>
      </c>
      <c r="CM56" s="100">
        <v>8834.4</v>
      </c>
      <c r="CN56" s="100">
        <v>9.1054452361650515</v>
      </c>
      <c r="CO56" s="100">
        <v>8937.9050438196136</v>
      </c>
      <c r="CP56" s="100">
        <v>8.1382978723404182</v>
      </c>
      <c r="CQ56" s="100">
        <v>7988.5531914893536</v>
      </c>
      <c r="CR56" s="100">
        <v>8.1339712918660201</v>
      </c>
      <c r="CS56" s="100">
        <v>7984.3062200956847</v>
      </c>
      <c r="CT56" s="100">
        <v>7.024793388429746</v>
      </c>
      <c r="CU56" s="100">
        <v>6895.5371900826376</v>
      </c>
    </row>
    <row r="57" spans="2:99">
      <c r="C57" s="99" t="s">
        <v>223</v>
      </c>
      <c r="D57" s="100">
        <v>7</v>
      </c>
      <c r="E57" s="100">
        <v>9878.4</v>
      </c>
      <c r="F57" s="100">
        <v>1.7650094707939252</v>
      </c>
      <c r="G57" s="100">
        <v>2490.7813651843871</v>
      </c>
      <c r="H57" s="100">
        <v>6</v>
      </c>
      <c r="I57" s="100">
        <v>8467.2000000000007</v>
      </c>
      <c r="J57" s="100">
        <v>9</v>
      </c>
      <c r="K57" s="100">
        <v>12700.800000000001</v>
      </c>
      <c r="L57" s="100">
        <v>8</v>
      </c>
      <c r="M57" s="100">
        <v>11289.6</v>
      </c>
      <c r="N57" s="100">
        <v>9</v>
      </c>
      <c r="O57" s="100">
        <v>12700.800000000001</v>
      </c>
      <c r="P57" s="100">
        <v>7</v>
      </c>
      <c r="Q57" s="100">
        <v>9878.4</v>
      </c>
      <c r="R57" s="100">
        <v>9</v>
      </c>
      <c r="S57" s="100">
        <v>12700.800000000001</v>
      </c>
      <c r="T57" s="100">
        <v>4.9264532941398373</v>
      </c>
      <c r="U57" s="100">
        <v>6952.2108886901387</v>
      </c>
      <c r="V57" s="100">
        <v>4.6626660164366891</v>
      </c>
      <c r="W57" s="100">
        <v>6579.9542823954562</v>
      </c>
      <c r="X57" s="100">
        <v>10</v>
      </c>
      <c r="Y57" s="100">
        <v>14112</v>
      </c>
      <c r="Z57" s="100">
        <v>8</v>
      </c>
      <c r="AA57" s="100">
        <v>11289.6</v>
      </c>
      <c r="AB57" s="100">
        <v>9</v>
      </c>
      <c r="AC57" s="100">
        <v>12700.800000000001</v>
      </c>
      <c r="AD57" s="100">
        <v>6.8442219861006182</v>
      </c>
      <c r="AE57" s="100">
        <v>9658.5660667851935</v>
      </c>
      <c r="AF57" s="100">
        <v>2.6362344427393283</v>
      </c>
      <c r="AG57" s="100">
        <v>3720.2540455937401</v>
      </c>
      <c r="AH57" s="100">
        <v>11</v>
      </c>
      <c r="AI57" s="100">
        <v>15523.2</v>
      </c>
      <c r="AJ57" s="100">
        <v>8</v>
      </c>
      <c r="AK57" s="100">
        <v>11289.6</v>
      </c>
      <c r="AL57" s="100">
        <v>10</v>
      </c>
      <c r="AM57" s="100">
        <v>14112</v>
      </c>
      <c r="AN57" s="100">
        <v>9</v>
      </c>
      <c r="AO57" s="100">
        <v>12700.800000000001</v>
      </c>
      <c r="AP57" s="100">
        <v>10</v>
      </c>
      <c r="AQ57" s="100">
        <v>14112</v>
      </c>
      <c r="AR57" s="100">
        <v>11</v>
      </c>
      <c r="AS57" s="100">
        <v>15523.2</v>
      </c>
      <c r="AT57" s="100">
        <v>6</v>
      </c>
      <c r="AU57" s="100">
        <v>8467.2000000000007</v>
      </c>
      <c r="AV57" s="100">
        <v>9</v>
      </c>
      <c r="AW57" s="100">
        <v>12700.800000000001</v>
      </c>
      <c r="AX57" s="100">
        <v>10</v>
      </c>
      <c r="AY57" s="100">
        <v>14112</v>
      </c>
      <c r="AZ57" s="100">
        <v>10.912463047580298</v>
      </c>
      <c r="BA57" s="100">
        <v>15399.667852745317</v>
      </c>
      <c r="BB57" s="100">
        <v>0</v>
      </c>
      <c r="BC57" s="100">
        <v>0</v>
      </c>
      <c r="BD57" s="100">
        <v>6</v>
      </c>
      <c r="BE57" s="100">
        <v>8467.2000000000007</v>
      </c>
      <c r="BF57" s="100">
        <v>8</v>
      </c>
      <c r="BG57" s="100">
        <v>11289.6</v>
      </c>
      <c r="BH57" s="100">
        <v>7.1174966037094904</v>
      </c>
      <c r="BI57" s="100">
        <v>10044.211207154833</v>
      </c>
      <c r="BJ57" s="100">
        <v>7</v>
      </c>
      <c r="BK57" s="100">
        <v>9878.4</v>
      </c>
      <c r="BL57" s="100">
        <v>6.1198254852989873</v>
      </c>
      <c r="BM57" s="100">
        <v>8636.2977248539319</v>
      </c>
      <c r="BN57" s="100">
        <v>9</v>
      </c>
      <c r="BO57" s="100">
        <v>12700.800000000001</v>
      </c>
      <c r="BP57" s="100">
        <v>10</v>
      </c>
      <c r="BQ57" s="100">
        <v>14112</v>
      </c>
      <c r="BR57" s="100">
        <v>6</v>
      </c>
      <c r="BS57" s="100">
        <v>8467.2000000000007</v>
      </c>
      <c r="BT57" s="100">
        <v>6</v>
      </c>
      <c r="BU57" s="100">
        <v>8467.2000000000007</v>
      </c>
      <c r="BV57" s="100">
        <v>2.8463207283440366</v>
      </c>
      <c r="BW57" s="100">
        <v>4016.7278118391046</v>
      </c>
      <c r="BX57" s="100">
        <v>8</v>
      </c>
      <c r="BY57" s="100">
        <v>11289.6</v>
      </c>
      <c r="BZ57" s="100">
        <v>11</v>
      </c>
      <c r="CA57" s="100">
        <v>15523.2</v>
      </c>
      <c r="CB57" s="100">
        <v>7</v>
      </c>
      <c r="CC57" s="100">
        <v>9878.4</v>
      </c>
      <c r="CD57" s="100">
        <v>7</v>
      </c>
      <c r="CE57" s="100">
        <v>9878.4</v>
      </c>
      <c r="CF57" s="100">
        <v>8</v>
      </c>
      <c r="CG57" s="100">
        <v>11289.6</v>
      </c>
      <c r="CH57" s="100">
        <v>9</v>
      </c>
      <c r="CI57" s="100">
        <v>12700.800000000001</v>
      </c>
      <c r="CJ57" s="100">
        <v>0.8036852487172732</v>
      </c>
      <c r="CK57" s="100">
        <v>1134.1606229898159</v>
      </c>
      <c r="CL57" s="100">
        <v>8</v>
      </c>
      <c r="CM57" s="100">
        <v>11289.6</v>
      </c>
      <c r="CN57" s="100">
        <v>10</v>
      </c>
      <c r="CO57" s="100">
        <v>14112</v>
      </c>
      <c r="CP57" s="100">
        <v>9</v>
      </c>
      <c r="CQ57" s="100">
        <v>12700.800000000001</v>
      </c>
      <c r="CR57" s="100">
        <v>7.4228520238131841</v>
      </c>
      <c r="CS57" s="100">
        <v>10475.128776005165</v>
      </c>
      <c r="CT57" s="100">
        <v>10</v>
      </c>
      <c r="CU57" s="100">
        <v>14112</v>
      </c>
    </row>
    <row r="58" spans="2:99">
      <c r="C58" s="99" t="s">
        <v>224</v>
      </c>
      <c r="D58" s="100">
        <v>5.2505195333348436</v>
      </c>
      <c r="E58" s="100">
        <v>6180.9115946417778</v>
      </c>
      <c r="F58" s="100">
        <v>7</v>
      </c>
      <c r="G58" s="100">
        <v>8240.4</v>
      </c>
      <c r="H58" s="100">
        <v>7</v>
      </c>
      <c r="I58" s="100">
        <v>8240.4</v>
      </c>
      <c r="J58" s="100">
        <v>6.7084945131465998</v>
      </c>
      <c r="K58" s="100">
        <v>7897.2397408761781</v>
      </c>
      <c r="L58" s="100">
        <v>7.01770603219852E-16</v>
      </c>
      <c r="M58" s="100">
        <v>8.2612435411040981E-13</v>
      </c>
      <c r="N58" s="100">
        <v>9</v>
      </c>
      <c r="O58" s="100">
        <v>10594.800000000001</v>
      </c>
      <c r="P58" s="100">
        <v>7.6937799043062176</v>
      </c>
      <c r="Q58" s="100">
        <v>9057.1177033492804</v>
      </c>
      <c r="R58" s="100">
        <v>9</v>
      </c>
      <c r="S58" s="100">
        <v>10594.800000000001</v>
      </c>
      <c r="T58" s="100">
        <v>9</v>
      </c>
      <c r="U58" s="100">
        <v>10594.800000000001</v>
      </c>
      <c r="V58" s="100">
        <v>6</v>
      </c>
      <c r="W58" s="100">
        <v>7063.2000000000007</v>
      </c>
      <c r="X58" s="100">
        <v>11</v>
      </c>
      <c r="Y58" s="100">
        <v>12949.2</v>
      </c>
      <c r="Z58" s="100">
        <v>7</v>
      </c>
      <c r="AA58" s="100">
        <v>8240.4</v>
      </c>
      <c r="AB58" s="100">
        <v>8</v>
      </c>
      <c r="AC58" s="100">
        <v>9417.6</v>
      </c>
      <c r="AD58" s="100">
        <v>8</v>
      </c>
      <c r="AE58" s="100">
        <v>9417.6</v>
      </c>
      <c r="AF58" s="100">
        <v>10</v>
      </c>
      <c r="AG58" s="100">
        <v>11772</v>
      </c>
      <c r="AH58" s="100">
        <v>10</v>
      </c>
      <c r="AI58" s="100">
        <v>11772</v>
      </c>
      <c r="AJ58" s="100">
        <v>6.4261092451188189</v>
      </c>
      <c r="AK58" s="100">
        <v>7564.8158033538739</v>
      </c>
      <c r="AL58" s="100">
        <v>10</v>
      </c>
      <c r="AM58" s="100">
        <v>11772</v>
      </c>
      <c r="AN58" s="100">
        <v>9</v>
      </c>
      <c r="AO58" s="100">
        <v>10594.800000000001</v>
      </c>
      <c r="AP58" s="100">
        <v>4.9763753875620269</v>
      </c>
      <c r="AQ58" s="100">
        <v>5858.1891062380182</v>
      </c>
      <c r="AR58" s="100">
        <v>8.2949308755760356</v>
      </c>
      <c r="AS58" s="100">
        <v>9764.7926267281091</v>
      </c>
      <c r="AT58" s="100">
        <v>5.654450261780104</v>
      </c>
      <c r="AU58" s="100">
        <v>6656.4188481675383</v>
      </c>
      <c r="AV58" s="100">
        <v>6.5587044534412939</v>
      </c>
      <c r="AW58" s="100">
        <v>7720.9068825910917</v>
      </c>
      <c r="AX58" s="100">
        <v>9.7058823529411775</v>
      </c>
      <c r="AY58" s="100">
        <v>11425.764705882355</v>
      </c>
      <c r="AZ58" s="100">
        <v>5.931075125199027</v>
      </c>
      <c r="BA58" s="100">
        <v>6982.061637384295</v>
      </c>
      <c r="BB58" s="100">
        <v>8.7804878048780495</v>
      </c>
      <c r="BC58" s="100">
        <v>10336.39024390244</v>
      </c>
      <c r="BD58" s="100">
        <v>6</v>
      </c>
      <c r="BE58" s="100">
        <v>7063.2000000000007</v>
      </c>
      <c r="BF58" s="100">
        <v>8</v>
      </c>
      <c r="BG58" s="100">
        <v>9417.6</v>
      </c>
      <c r="BH58" s="100">
        <v>9</v>
      </c>
      <c r="BI58" s="100">
        <v>10594.800000000001</v>
      </c>
      <c r="BJ58" s="100">
        <v>7</v>
      </c>
      <c r="BK58" s="100">
        <v>8240.4</v>
      </c>
      <c r="BL58" s="100">
        <v>7.5450236966824606</v>
      </c>
      <c r="BM58" s="100">
        <v>8882.0018957345928</v>
      </c>
      <c r="BN58" s="100">
        <v>9</v>
      </c>
      <c r="BO58" s="100">
        <v>10594.800000000001</v>
      </c>
      <c r="BP58" s="100">
        <v>9</v>
      </c>
      <c r="BQ58" s="100">
        <v>10594.800000000001</v>
      </c>
      <c r="BR58" s="100">
        <v>6</v>
      </c>
      <c r="BS58" s="100">
        <v>7063.2000000000007</v>
      </c>
      <c r="BT58" s="100">
        <v>2.4081962031627042</v>
      </c>
      <c r="BU58" s="100">
        <v>2834.9285703631353</v>
      </c>
      <c r="BV58" s="100">
        <v>4.921618318484513</v>
      </c>
      <c r="BW58" s="100">
        <v>5793.7290845199686</v>
      </c>
      <c r="BX58" s="100">
        <v>7</v>
      </c>
      <c r="BY58" s="100">
        <v>8240.4</v>
      </c>
      <c r="BZ58" s="100">
        <v>11</v>
      </c>
      <c r="CA58" s="100">
        <v>12949.2</v>
      </c>
      <c r="CB58" s="100">
        <v>8</v>
      </c>
      <c r="CC58" s="100">
        <v>9417.6</v>
      </c>
      <c r="CD58" s="100">
        <v>7</v>
      </c>
      <c r="CE58" s="100">
        <v>8240.4</v>
      </c>
      <c r="CF58" s="100">
        <v>10</v>
      </c>
      <c r="CG58" s="100">
        <v>11772</v>
      </c>
      <c r="CH58" s="100">
        <v>8</v>
      </c>
      <c r="CI58" s="100">
        <v>9417.6</v>
      </c>
      <c r="CJ58" s="100">
        <v>9</v>
      </c>
      <c r="CK58" s="100">
        <v>10594.800000000001</v>
      </c>
      <c r="CL58" s="100">
        <v>4.7583857818523949</v>
      </c>
      <c r="CM58" s="100">
        <v>5601.5717423966398</v>
      </c>
      <c r="CN58" s="100">
        <v>3.8008113088979392</v>
      </c>
      <c r="CO58" s="100">
        <v>4474.3150728346545</v>
      </c>
      <c r="CP58" s="100">
        <v>6.9440278567373932</v>
      </c>
      <c r="CQ58" s="100">
        <v>8174.5095929512599</v>
      </c>
      <c r="CR58" s="100">
        <v>9.1370558375634516</v>
      </c>
      <c r="CS58" s="100">
        <v>10756.142131979695</v>
      </c>
      <c r="CT58" s="100">
        <v>10</v>
      </c>
      <c r="CU58" s="100">
        <v>11772</v>
      </c>
    </row>
    <row r="59" spans="2:99">
      <c r="C59" s="99" t="s">
        <v>225</v>
      </c>
      <c r="D59" s="100">
        <v>8</v>
      </c>
      <c r="E59" s="100">
        <v>2428.7999999999997</v>
      </c>
      <c r="F59" s="100">
        <v>1.7650094707939252</v>
      </c>
      <c r="G59" s="100">
        <v>535.85687533303565</v>
      </c>
      <c r="H59" s="100">
        <v>7</v>
      </c>
      <c r="I59" s="100">
        <v>2125.1999999999998</v>
      </c>
      <c r="J59" s="100">
        <v>9</v>
      </c>
      <c r="K59" s="100">
        <v>2732.3999999999996</v>
      </c>
      <c r="L59" s="100">
        <v>10</v>
      </c>
      <c r="M59" s="100">
        <v>3035.9999999999995</v>
      </c>
      <c r="N59" s="100">
        <v>10</v>
      </c>
      <c r="O59" s="100">
        <v>3035.9999999999995</v>
      </c>
      <c r="P59" s="100">
        <v>10</v>
      </c>
      <c r="Q59" s="100">
        <v>3035.9999999999995</v>
      </c>
      <c r="R59" s="100">
        <v>10</v>
      </c>
      <c r="S59" s="100">
        <v>3035.9999999999995</v>
      </c>
      <c r="T59" s="100">
        <v>4.9264532941398373</v>
      </c>
      <c r="U59" s="100">
        <v>1495.6712201008545</v>
      </c>
      <c r="V59" s="100">
        <v>5.5951992197240275</v>
      </c>
      <c r="W59" s="100">
        <v>1698.7024831082144</v>
      </c>
      <c r="X59" s="100">
        <v>11</v>
      </c>
      <c r="Y59" s="100">
        <v>3339.5999999999995</v>
      </c>
      <c r="Z59" s="100">
        <v>8</v>
      </c>
      <c r="AA59" s="100">
        <v>2428.7999999999997</v>
      </c>
      <c r="AB59" s="100">
        <v>8</v>
      </c>
      <c r="AC59" s="100">
        <v>2428.7999999999997</v>
      </c>
      <c r="AD59" s="100">
        <v>6.8442219861006182</v>
      </c>
      <c r="AE59" s="100">
        <v>2077.9057949801472</v>
      </c>
      <c r="AF59" s="100">
        <v>2.6362344427393283</v>
      </c>
      <c r="AG59" s="100">
        <v>800.36077681565996</v>
      </c>
      <c r="AH59" s="100">
        <v>12</v>
      </c>
      <c r="AI59" s="100">
        <v>3643.2</v>
      </c>
      <c r="AJ59" s="100">
        <v>8</v>
      </c>
      <c r="AK59" s="100">
        <v>2428.7999999999997</v>
      </c>
      <c r="AL59" s="100">
        <v>9</v>
      </c>
      <c r="AM59" s="100">
        <v>2732.3999999999996</v>
      </c>
      <c r="AN59" s="100">
        <v>8</v>
      </c>
      <c r="AO59" s="100">
        <v>2428.7999999999997</v>
      </c>
      <c r="AP59" s="100">
        <v>11</v>
      </c>
      <c r="AQ59" s="100">
        <v>3339.5999999999995</v>
      </c>
      <c r="AR59" s="100">
        <v>10</v>
      </c>
      <c r="AS59" s="100">
        <v>3035.9999999999995</v>
      </c>
      <c r="AT59" s="100">
        <v>6</v>
      </c>
      <c r="AU59" s="100">
        <v>1821.6</v>
      </c>
      <c r="AV59" s="100">
        <v>8</v>
      </c>
      <c r="AW59" s="100">
        <v>2428.7999999999997</v>
      </c>
      <c r="AX59" s="100">
        <v>11</v>
      </c>
      <c r="AY59" s="100">
        <v>3339.5999999999995</v>
      </c>
      <c r="AZ59" s="100">
        <v>10.912463047580298</v>
      </c>
      <c r="BA59" s="100">
        <v>3313.0237812453779</v>
      </c>
      <c r="BB59" s="100">
        <v>0</v>
      </c>
      <c r="BC59" s="100">
        <v>0</v>
      </c>
      <c r="BD59" s="100">
        <v>7</v>
      </c>
      <c r="BE59" s="100">
        <v>2125.1999999999998</v>
      </c>
      <c r="BF59" s="100">
        <v>8</v>
      </c>
      <c r="BG59" s="100">
        <v>2428.7999999999997</v>
      </c>
      <c r="BH59" s="100">
        <v>7.1174966037094904</v>
      </c>
      <c r="BI59" s="100">
        <v>2160.8719688862011</v>
      </c>
      <c r="BJ59" s="100">
        <v>7</v>
      </c>
      <c r="BK59" s="100">
        <v>2125.1999999999998</v>
      </c>
      <c r="BL59" s="100">
        <v>6.9940862689131276</v>
      </c>
      <c r="BM59" s="100">
        <v>2123.4045912420252</v>
      </c>
      <c r="BN59" s="100">
        <v>11</v>
      </c>
      <c r="BO59" s="100">
        <v>3339.5999999999995</v>
      </c>
      <c r="BP59" s="100">
        <v>10</v>
      </c>
      <c r="BQ59" s="100">
        <v>3035.9999999999995</v>
      </c>
      <c r="BR59" s="100">
        <v>6</v>
      </c>
      <c r="BS59" s="100">
        <v>1821.6</v>
      </c>
      <c r="BT59" s="100">
        <v>6</v>
      </c>
      <c r="BU59" s="100">
        <v>1821.6</v>
      </c>
      <c r="BV59" s="100">
        <v>2.4905306373010316</v>
      </c>
      <c r="BW59" s="100">
        <v>756.12510148459307</v>
      </c>
      <c r="BX59" s="100">
        <v>7</v>
      </c>
      <c r="BY59" s="100">
        <v>2125.1999999999998</v>
      </c>
      <c r="BZ59" s="100">
        <v>10</v>
      </c>
      <c r="CA59" s="100">
        <v>3035.9999999999995</v>
      </c>
      <c r="CB59" s="100">
        <v>8</v>
      </c>
      <c r="CC59" s="100">
        <v>2428.7999999999997</v>
      </c>
      <c r="CD59" s="100">
        <v>7</v>
      </c>
      <c r="CE59" s="100">
        <v>2125.1999999999998</v>
      </c>
      <c r="CF59" s="100">
        <v>9</v>
      </c>
      <c r="CG59" s="100">
        <v>2732.3999999999996</v>
      </c>
      <c r="CH59" s="100">
        <v>10</v>
      </c>
      <c r="CI59" s="100">
        <v>3035.9999999999995</v>
      </c>
      <c r="CJ59" s="100">
        <v>0.8036852487172732</v>
      </c>
      <c r="CK59" s="100">
        <v>243.99884151056412</v>
      </c>
      <c r="CL59" s="100">
        <v>8</v>
      </c>
      <c r="CM59" s="100">
        <v>2428.7999999999997</v>
      </c>
      <c r="CN59" s="100">
        <v>10</v>
      </c>
      <c r="CO59" s="100">
        <v>3035.9999999999995</v>
      </c>
      <c r="CP59" s="100">
        <v>11</v>
      </c>
      <c r="CQ59" s="100">
        <v>3339.5999999999995</v>
      </c>
      <c r="CR59" s="100">
        <v>9.0723746957716678</v>
      </c>
      <c r="CS59" s="100">
        <v>2754.372957636278</v>
      </c>
      <c r="CT59" s="100">
        <v>10</v>
      </c>
      <c r="CU59" s="100">
        <v>3035.9999999999995</v>
      </c>
    </row>
    <row r="60" spans="2:99">
      <c r="C60" s="99" t="s">
        <v>226</v>
      </c>
      <c r="D60" s="100">
        <v>8</v>
      </c>
      <c r="E60" s="100">
        <v>5212.8</v>
      </c>
      <c r="F60" s="100">
        <v>2.0591777159262459</v>
      </c>
      <c r="G60" s="100">
        <v>1341.7601996975418</v>
      </c>
      <c r="H60" s="100">
        <v>8</v>
      </c>
      <c r="I60" s="100">
        <v>5212.8</v>
      </c>
      <c r="J60" s="100">
        <v>9</v>
      </c>
      <c r="K60" s="100">
        <v>5864.4000000000005</v>
      </c>
      <c r="L60" s="100">
        <v>9</v>
      </c>
      <c r="M60" s="100">
        <v>5864.4000000000005</v>
      </c>
      <c r="N60" s="100">
        <v>10</v>
      </c>
      <c r="O60" s="100">
        <v>6516</v>
      </c>
      <c r="P60" s="100">
        <v>8</v>
      </c>
      <c r="Q60" s="100">
        <v>5212.8</v>
      </c>
      <c r="R60" s="100">
        <v>9</v>
      </c>
      <c r="S60" s="100">
        <v>5864.4000000000005</v>
      </c>
      <c r="T60" s="100">
        <v>4.9264532941398373</v>
      </c>
      <c r="U60" s="100">
        <v>3210.0769664615182</v>
      </c>
      <c r="V60" s="100">
        <v>5.5951992197240275</v>
      </c>
      <c r="W60" s="100">
        <v>3645.8318115721763</v>
      </c>
      <c r="X60" s="100">
        <v>10</v>
      </c>
      <c r="Y60" s="100">
        <v>6516</v>
      </c>
      <c r="Z60" s="100">
        <v>8</v>
      </c>
      <c r="AA60" s="100">
        <v>5212.8</v>
      </c>
      <c r="AB60" s="100">
        <v>8</v>
      </c>
      <c r="AC60" s="100">
        <v>5212.8</v>
      </c>
      <c r="AD60" s="100">
        <v>6.8442219861006182</v>
      </c>
      <c r="AE60" s="100">
        <v>4459.6950461431634</v>
      </c>
      <c r="AF60" s="100">
        <v>2.9291493808214759</v>
      </c>
      <c r="AG60" s="100">
        <v>1908.6337365432737</v>
      </c>
      <c r="AH60" s="100">
        <v>12</v>
      </c>
      <c r="AI60" s="100">
        <v>7819.2000000000007</v>
      </c>
      <c r="AJ60" s="100">
        <v>7</v>
      </c>
      <c r="AK60" s="100">
        <v>4561.2</v>
      </c>
      <c r="AL60" s="100">
        <v>10</v>
      </c>
      <c r="AM60" s="100">
        <v>6516</v>
      </c>
      <c r="AN60" s="100">
        <v>10</v>
      </c>
      <c r="AO60" s="100">
        <v>6516</v>
      </c>
      <c r="AP60" s="100">
        <v>10</v>
      </c>
      <c r="AQ60" s="100">
        <v>6516</v>
      </c>
      <c r="AR60" s="100">
        <v>11</v>
      </c>
      <c r="AS60" s="100">
        <v>7167.6</v>
      </c>
      <c r="AT60" s="100">
        <v>7</v>
      </c>
      <c r="AU60" s="100">
        <v>4561.2</v>
      </c>
      <c r="AV60" s="100">
        <v>9</v>
      </c>
      <c r="AW60" s="100">
        <v>5864.4000000000005</v>
      </c>
      <c r="AX60" s="100">
        <v>9</v>
      </c>
      <c r="AY60" s="100">
        <v>5864.4000000000005</v>
      </c>
      <c r="AZ60" s="100">
        <v>9.9204209523457259</v>
      </c>
      <c r="BA60" s="100">
        <v>6464.1462925484748</v>
      </c>
      <c r="BB60" s="100">
        <v>0</v>
      </c>
      <c r="BC60" s="100">
        <v>0</v>
      </c>
      <c r="BD60" s="100">
        <v>6</v>
      </c>
      <c r="BE60" s="100">
        <v>3909.6000000000004</v>
      </c>
      <c r="BF60" s="100">
        <v>8</v>
      </c>
      <c r="BG60" s="100">
        <v>5212.8</v>
      </c>
      <c r="BH60" s="100">
        <v>7.1174966037094904</v>
      </c>
      <c r="BI60" s="100">
        <v>4637.7607869771045</v>
      </c>
      <c r="BJ60" s="100">
        <v>7</v>
      </c>
      <c r="BK60" s="100">
        <v>4561.2</v>
      </c>
      <c r="BL60" s="100">
        <v>6.9940862689131276</v>
      </c>
      <c r="BM60" s="100">
        <v>4557.3466128237942</v>
      </c>
      <c r="BN60" s="100">
        <v>9</v>
      </c>
      <c r="BO60" s="100">
        <v>5864.4000000000005</v>
      </c>
      <c r="BP60" s="100">
        <v>10</v>
      </c>
      <c r="BQ60" s="100">
        <v>6516</v>
      </c>
      <c r="BR60" s="100">
        <v>6</v>
      </c>
      <c r="BS60" s="100">
        <v>3909.6000000000004</v>
      </c>
      <c r="BT60" s="100">
        <v>6</v>
      </c>
      <c r="BU60" s="100">
        <v>3909.6000000000004</v>
      </c>
      <c r="BV60" s="100">
        <v>2.4905306373010316</v>
      </c>
      <c r="BW60" s="100">
        <v>1622.8297632653523</v>
      </c>
      <c r="BX60" s="100">
        <v>8</v>
      </c>
      <c r="BY60" s="100">
        <v>5212.8</v>
      </c>
      <c r="BZ60" s="100">
        <v>10</v>
      </c>
      <c r="CA60" s="100">
        <v>6516</v>
      </c>
      <c r="CB60" s="100">
        <v>7</v>
      </c>
      <c r="CC60" s="100">
        <v>4561.2</v>
      </c>
      <c r="CD60" s="100">
        <v>6</v>
      </c>
      <c r="CE60" s="100">
        <v>3909.6000000000004</v>
      </c>
      <c r="CF60" s="100">
        <v>9</v>
      </c>
      <c r="CG60" s="100">
        <v>5864.4000000000005</v>
      </c>
      <c r="CH60" s="100">
        <v>9</v>
      </c>
      <c r="CI60" s="100">
        <v>5864.4000000000005</v>
      </c>
      <c r="CJ60" s="100">
        <v>0.8840537735890005</v>
      </c>
      <c r="CK60" s="100">
        <v>576.04943887059278</v>
      </c>
      <c r="CL60" s="100">
        <v>9</v>
      </c>
      <c r="CM60" s="100">
        <v>5864.4000000000005</v>
      </c>
      <c r="CN60" s="100">
        <v>9</v>
      </c>
      <c r="CO60" s="100">
        <v>5864.4000000000005</v>
      </c>
      <c r="CP60" s="100">
        <v>10</v>
      </c>
      <c r="CQ60" s="100">
        <v>6516</v>
      </c>
      <c r="CR60" s="100">
        <v>9.0723746957716678</v>
      </c>
      <c r="CS60" s="100">
        <v>5911.5593517648185</v>
      </c>
      <c r="CT60" s="100">
        <v>11</v>
      </c>
      <c r="CU60" s="100">
        <v>7167.6</v>
      </c>
    </row>
    <row r="61" spans="2:99">
      <c r="C61" s="99" t="s">
        <v>227</v>
      </c>
      <c r="D61" s="100">
        <v>7</v>
      </c>
      <c r="E61" s="100">
        <v>6661.1999999999989</v>
      </c>
      <c r="F61" s="100">
        <v>1.7650094707939252</v>
      </c>
      <c r="G61" s="100">
        <v>1679.5830124074992</v>
      </c>
      <c r="H61" s="100">
        <v>7</v>
      </c>
      <c r="I61" s="100">
        <v>6661.1999999999989</v>
      </c>
      <c r="J61" s="100">
        <v>9</v>
      </c>
      <c r="K61" s="100">
        <v>8564.4</v>
      </c>
      <c r="L61" s="100">
        <v>9</v>
      </c>
      <c r="M61" s="100">
        <v>8564.4</v>
      </c>
      <c r="N61" s="100">
        <v>9</v>
      </c>
      <c r="O61" s="100">
        <v>8564.4</v>
      </c>
      <c r="P61" s="100">
        <v>8</v>
      </c>
      <c r="Q61" s="100">
        <v>7612.7999999999993</v>
      </c>
      <c r="R61" s="100">
        <v>9</v>
      </c>
      <c r="S61" s="100">
        <v>8564.4</v>
      </c>
      <c r="T61" s="100">
        <v>5.5422599559073165</v>
      </c>
      <c r="U61" s="100">
        <v>5274.0145740414018</v>
      </c>
      <c r="V61" s="100">
        <v>5.5951992197240275</v>
      </c>
      <c r="W61" s="100">
        <v>5324.391577489384</v>
      </c>
      <c r="X61" s="100">
        <v>10</v>
      </c>
      <c r="Y61" s="100">
        <v>9516</v>
      </c>
      <c r="Z61" s="100">
        <v>8</v>
      </c>
      <c r="AA61" s="100">
        <v>7612.7999999999993</v>
      </c>
      <c r="AB61" s="100">
        <v>8</v>
      </c>
      <c r="AC61" s="100">
        <v>7612.7999999999993</v>
      </c>
      <c r="AD61" s="100">
        <v>6.8442219861006182</v>
      </c>
      <c r="AE61" s="100">
        <v>6512.9616419733475</v>
      </c>
      <c r="AF61" s="100">
        <v>2.9291493808214759</v>
      </c>
      <c r="AG61" s="100">
        <v>2787.3785507897164</v>
      </c>
      <c r="AH61" s="100">
        <v>11</v>
      </c>
      <c r="AI61" s="100">
        <v>10467.599999999999</v>
      </c>
      <c r="AJ61" s="100">
        <v>7</v>
      </c>
      <c r="AK61" s="100">
        <v>6661.1999999999989</v>
      </c>
      <c r="AL61" s="100">
        <v>9</v>
      </c>
      <c r="AM61" s="100">
        <v>8564.4</v>
      </c>
      <c r="AN61" s="100">
        <v>9</v>
      </c>
      <c r="AO61" s="100">
        <v>8564.4</v>
      </c>
      <c r="AP61" s="100">
        <v>10</v>
      </c>
      <c r="AQ61" s="100">
        <v>9516</v>
      </c>
      <c r="AR61" s="100">
        <v>10</v>
      </c>
      <c r="AS61" s="100">
        <v>9516</v>
      </c>
      <c r="AT61" s="100">
        <v>7</v>
      </c>
      <c r="AU61" s="100">
        <v>6661.1999999999989</v>
      </c>
      <c r="AV61" s="100">
        <v>9</v>
      </c>
      <c r="AW61" s="100">
        <v>8564.4</v>
      </c>
      <c r="AX61" s="100">
        <v>11</v>
      </c>
      <c r="AY61" s="100">
        <v>10467.599999999999</v>
      </c>
      <c r="AZ61" s="100">
        <v>10.912463047580298</v>
      </c>
      <c r="BA61" s="100">
        <v>10384.299836077411</v>
      </c>
      <c r="BB61" s="100">
        <v>0</v>
      </c>
      <c r="BC61" s="100">
        <v>0</v>
      </c>
      <c r="BD61" s="100">
        <v>7</v>
      </c>
      <c r="BE61" s="100">
        <v>6661.1999999999989</v>
      </c>
      <c r="BF61" s="100">
        <v>8</v>
      </c>
      <c r="BG61" s="100">
        <v>7612.7999999999993</v>
      </c>
      <c r="BH61" s="100">
        <v>6.3266636477417695</v>
      </c>
      <c r="BI61" s="100">
        <v>6020.4531271910673</v>
      </c>
      <c r="BJ61" s="100">
        <v>7</v>
      </c>
      <c r="BK61" s="100">
        <v>6661.1999999999989</v>
      </c>
      <c r="BL61" s="100">
        <v>6.1198254852989873</v>
      </c>
      <c r="BM61" s="100">
        <v>5823.6259318105158</v>
      </c>
      <c r="BN61" s="100">
        <v>9</v>
      </c>
      <c r="BO61" s="100">
        <v>8564.4</v>
      </c>
      <c r="BP61" s="100">
        <v>11</v>
      </c>
      <c r="BQ61" s="100">
        <v>10467.599999999999</v>
      </c>
      <c r="BR61" s="100">
        <v>6</v>
      </c>
      <c r="BS61" s="100">
        <v>5709.5999999999995</v>
      </c>
      <c r="BT61" s="100">
        <v>7</v>
      </c>
      <c r="BU61" s="100">
        <v>6661.1999999999989</v>
      </c>
      <c r="BV61" s="100">
        <v>2.8463207283440366</v>
      </c>
      <c r="BW61" s="100">
        <v>2708.5588050921851</v>
      </c>
      <c r="BX61" s="100">
        <v>8</v>
      </c>
      <c r="BY61" s="100">
        <v>7612.7999999999993</v>
      </c>
      <c r="BZ61" s="100">
        <v>11</v>
      </c>
      <c r="CA61" s="100">
        <v>10467.599999999999</v>
      </c>
      <c r="CB61" s="100">
        <v>7</v>
      </c>
      <c r="CC61" s="100">
        <v>6661.1999999999989</v>
      </c>
      <c r="CD61" s="100">
        <v>7</v>
      </c>
      <c r="CE61" s="100">
        <v>6661.1999999999989</v>
      </c>
      <c r="CF61" s="100">
        <v>9</v>
      </c>
      <c r="CG61" s="100">
        <v>8564.4</v>
      </c>
      <c r="CH61" s="100">
        <v>10</v>
      </c>
      <c r="CI61" s="100">
        <v>9516</v>
      </c>
      <c r="CJ61" s="100">
        <v>0.8036852487172732</v>
      </c>
      <c r="CK61" s="100">
        <v>764.78688267935706</v>
      </c>
      <c r="CL61" s="100">
        <v>8</v>
      </c>
      <c r="CM61" s="100">
        <v>7612.7999999999993</v>
      </c>
      <c r="CN61" s="100">
        <v>9</v>
      </c>
      <c r="CO61" s="100">
        <v>8564.4</v>
      </c>
      <c r="CP61" s="100">
        <v>11</v>
      </c>
      <c r="CQ61" s="100">
        <v>10467.599999999999</v>
      </c>
      <c r="CR61" s="100">
        <v>8.2476133597924264</v>
      </c>
      <c r="CS61" s="100">
        <v>7848.4288731784718</v>
      </c>
      <c r="CT61" s="100">
        <v>10</v>
      </c>
      <c r="CU61" s="100">
        <v>9516</v>
      </c>
    </row>
    <row r="62" spans="2:99">
      <c r="C62" s="99" t="s">
        <v>228</v>
      </c>
      <c r="D62" s="100">
        <v>8</v>
      </c>
      <c r="E62" s="100">
        <v>13353.6</v>
      </c>
      <c r="F62" s="100">
        <v>6</v>
      </c>
      <c r="G62" s="100">
        <v>10015.200000000001</v>
      </c>
      <c r="H62" s="100">
        <v>7</v>
      </c>
      <c r="I62" s="100">
        <v>11684.4</v>
      </c>
      <c r="J62" s="100">
        <v>9</v>
      </c>
      <c r="K62" s="100">
        <v>15022.800000000001</v>
      </c>
      <c r="L62" s="100">
        <v>6.4829358384062585</v>
      </c>
      <c r="M62" s="100">
        <v>10821.316501467727</v>
      </c>
      <c r="N62" s="100">
        <v>8.225806451612895</v>
      </c>
      <c r="O62" s="100">
        <v>13730.516129032245</v>
      </c>
      <c r="P62" s="100">
        <v>8</v>
      </c>
      <c r="Q62" s="100">
        <v>13353.6</v>
      </c>
      <c r="R62" s="100">
        <v>8.7719298245613899</v>
      </c>
      <c r="S62" s="100">
        <v>14642.105263157873</v>
      </c>
      <c r="T62" s="100">
        <v>0.51939959165695937</v>
      </c>
      <c r="U62" s="100">
        <v>866.98179839379657</v>
      </c>
      <c r="V62" s="100">
        <v>5</v>
      </c>
      <c r="W62" s="100">
        <v>8346</v>
      </c>
      <c r="X62" s="100">
        <v>10</v>
      </c>
      <c r="Y62" s="100">
        <v>16692</v>
      </c>
      <c r="Z62" s="100">
        <v>7</v>
      </c>
      <c r="AA62" s="100">
        <v>11684.4</v>
      </c>
      <c r="AB62" s="100">
        <v>8</v>
      </c>
      <c r="AC62" s="100">
        <v>13353.6</v>
      </c>
      <c r="AD62" s="100">
        <v>8</v>
      </c>
      <c r="AE62" s="100">
        <v>13353.6</v>
      </c>
      <c r="AF62" s="100">
        <v>6.7277227722771853</v>
      </c>
      <c r="AG62" s="100">
        <v>11229.914851485079</v>
      </c>
      <c r="AH62" s="100">
        <v>10</v>
      </c>
      <c r="AI62" s="100">
        <v>16692</v>
      </c>
      <c r="AJ62" s="100">
        <v>4.0994475138121427</v>
      </c>
      <c r="AK62" s="100">
        <v>6842.7977900552287</v>
      </c>
      <c r="AL62" s="100">
        <v>5.9649122807017481</v>
      </c>
      <c r="AM62" s="100">
        <v>9956.6315789473574</v>
      </c>
      <c r="AN62" s="100">
        <v>9</v>
      </c>
      <c r="AO62" s="100">
        <v>15022.800000000001</v>
      </c>
      <c r="AP62" s="100">
        <v>10</v>
      </c>
      <c r="AQ62" s="100">
        <v>16692</v>
      </c>
      <c r="AR62" s="100">
        <v>7.7049180327868605</v>
      </c>
      <c r="AS62" s="100">
        <v>12861.049180327827</v>
      </c>
      <c r="AT62" s="100">
        <v>5.1515151515151461</v>
      </c>
      <c r="AU62" s="100">
        <v>8598.9090909090828</v>
      </c>
      <c r="AV62" s="100">
        <v>7.8461538461538396</v>
      </c>
      <c r="AW62" s="100">
        <v>13096.79999999999</v>
      </c>
      <c r="AX62" s="100">
        <v>9</v>
      </c>
      <c r="AY62" s="100">
        <v>15022.800000000001</v>
      </c>
      <c r="AZ62" s="100">
        <v>7.6792452830188518</v>
      </c>
      <c r="BA62" s="100">
        <v>12818.196226415068</v>
      </c>
      <c r="BB62" s="100">
        <v>11</v>
      </c>
      <c r="BC62" s="100">
        <v>18361.2</v>
      </c>
      <c r="BD62" s="100">
        <v>6</v>
      </c>
      <c r="BE62" s="100">
        <v>10015.200000000001</v>
      </c>
      <c r="BF62" s="100">
        <v>7</v>
      </c>
      <c r="BG62" s="100">
        <v>11684.4</v>
      </c>
      <c r="BH62" s="100">
        <v>2.7961165048543446</v>
      </c>
      <c r="BI62" s="100">
        <v>4667.2776699028718</v>
      </c>
      <c r="BJ62" s="100">
        <v>5.433789954337894</v>
      </c>
      <c r="BK62" s="100">
        <v>9070.0821917808134</v>
      </c>
      <c r="BL62" s="100">
        <v>6.5745856353591101</v>
      </c>
      <c r="BM62" s="100">
        <v>10974.298342541428</v>
      </c>
      <c r="BN62" s="100">
        <v>9</v>
      </c>
      <c r="BO62" s="100">
        <v>15022.800000000001</v>
      </c>
      <c r="BP62" s="100">
        <v>5.5255813953488238</v>
      </c>
      <c r="BQ62" s="100">
        <v>9223.3004651162573</v>
      </c>
      <c r="BR62" s="100">
        <v>5</v>
      </c>
      <c r="BS62" s="100">
        <v>8346</v>
      </c>
      <c r="BT62" s="100">
        <v>5.9697856229966604</v>
      </c>
      <c r="BU62" s="100">
        <v>9964.7661619060254</v>
      </c>
      <c r="BV62" s="100">
        <v>1.5547532327157341</v>
      </c>
      <c r="BW62" s="100">
        <v>2595.1940960491033</v>
      </c>
      <c r="BX62" s="100">
        <v>6.7999999999999936</v>
      </c>
      <c r="BY62" s="100">
        <v>11350.55999999999</v>
      </c>
      <c r="BZ62" s="100">
        <v>8.854166666666659</v>
      </c>
      <c r="CA62" s="100">
        <v>14779.374999999987</v>
      </c>
      <c r="CB62" s="100">
        <v>6.5071770334928161</v>
      </c>
      <c r="CC62" s="100">
        <v>10861.77990430621</v>
      </c>
      <c r="CD62" s="100">
        <v>0.43392051313050001</v>
      </c>
      <c r="CE62" s="100">
        <v>724.30012051743063</v>
      </c>
      <c r="CF62" s="100">
        <v>9</v>
      </c>
      <c r="CG62" s="100">
        <v>15022.800000000001</v>
      </c>
      <c r="CH62" s="100">
        <v>3.6818181818181692</v>
      </c>
      <c r="CI62" s="100">
        <v>6145.6909090908885</v>
      </c>
      <c r="CJ62" s="100">
        <v>10</v>
      </c>
      <c r="CK62" s="100">
        <v>16692</v>
      </c>
      <c r="CL62" s="100">
        <v>7</v>
      </c>
      <c r="CM62" s="100">
        <v>11684.4</v>
      </c>
      <c r="CN62" s="100">
        <v>9.1054452361650515</v>
      </c>
      <c r="CO62" s="100">
        <v>15198.809188206704</v>
      </c>
      <c r="CP62" s="100">
        <v>9.042553191489354</v>
      </c>
      <c r="CQ62" s="100">
        <v>15093.82978723403</v>
      </c>
      <c r="CR62" s="100">
        <v>8.1339712918660201</v>
      </c>
      <c r="CS62" s="100">
        <v>13577.224880382761</v>
      </c>
      <c r="CT62" s="100">
        <v>7.024793388429746</v>
      </c>
      <c r="CU62" s="100">
        <v>11725.785123966933</v>
      </c>
    </row>
    <row r="63" spans="2:99">
      <c r="C63" s="99" t="s">
        <v>229</v>
      </c>
      <c r="D63" s="100">
        <v>7</v>
      </c>
      <c r="E63" s="100">
        <v>5569.2</v>
      </c>
      <c r="F63" s="100">
        <v>1.7650094707939252</v>
      </c>
      <c r="G63" s="100">
        <v>1404.2415349636469</v>
      </c>
      <c r="H63" s="100">
        <v>7</v>
      </c>
      <c r="I63" s="100">
        <v>5569.2</v>
      </c>
      <c r="J63" s="100">
        <v>10</v>
      </c>
      <c r="K63" s="100">
        <v>7956</v>
      </c>
      <c r="L63" s="100">
        <v>8</v>
      </c>
      <c r="M63" s="100">
        <v>6364.8</v>
      </c>
      <c r="N63" s="100">
        <v>10</v>
      </c>
      <c r="O63" s="100">
        <v>7956</v>
      </c>
      <c r="P63" s="100">
        <v>9</v>
      </c>
      <c r="Q63" s="100">
        <v>7160.4000000000005</v>
      </c>
      <c r="R63" s="100">
        <v>10</v>
      </c>
      <c r="S63" s="100">
        <v>7956</v>
      </c>
      <c r="T63" s="100">
        <v>5.5422599559073165</v>
      </c>
      <c r="U63" s="100">
        <v>4409.4220209198611</v>
      </c>
      <c r="V63" s="100">
        <v>5.5951992197240275</v>
      </c>
      <c r="W63" s="100">
        <v>4451.5404992124368</v>
      </c>
      <c r="X63" s="100">
        <v>11</v>
      </c>
      <c r="Y63" s="100">
        <v>8751.6</v>
      </c>
      <c r="Z63" s="100">
        <v>7</v>
      </c>
      <c r="AA63" s="100">
        <v>5569.2</v>
      </c>
      <c r="AB63" s="100">
        <v>8</v>
      </c>
      <c r="AC63" s="100">
        <v>6364.8</v>
      </c>
      <c r="AD63" s="100">
        <v>6.8442219861006182</v>
      </c>
      <c r="AE63" s="100">
        <v>5445.2630121416523</v>
      </c>
      <c r="AF63" s="100">
        <v>2.6362344427393283</v>
      </c>
      <c r="AG63" s="100">
        <v>2097.3881226434096</v>
      </c>
      <c r="AH63" s="100">
        <v>10</v>
      </c>
      <c r="AI63" s="100">
        <v>7956</v>
      </c>
      <c r="AJ63" s="100">
        <v>8</v>
      </c>
      <c r="AK63" s="100">
        <v>6364.8</v>
      </c>
      <c r="AL63" s="100">
        <v>9</v>
      </c>
      <c r="AM63" s="100">
        <v>7160.4000000000005</v>
      </c>
      <c r="AN63" s="100">
        <v>9</v>
      </c>
      <c r="AO63" s="100">
        <v>7160.4000000000005</v>
      </c>
      <c r="AP63" s="100">
        <v>10</v>
      </c>
      <c r="AQ63" s="100">
        <v>7956</v>
      </c>
      <c r="AR63" s="100">
        <v>11</v>
      </c>
      <c r="AS63" s="100">
        <v>8751.6</v>
      </c>
      <c r="AT63" s="100">
        <v>6</v>
      </c>
      <c r="AU63" s="100">
        <v>4773.6000000000004</v>
      </c>
      <c r="AV63" s="100">
        <v>10</v>
      </c>
      <c r="AW63" s="100">
        <v>7956</v>
      </c>
      <c r="AX63" s="100">
        <v>9</v>
      </c>
      <c r="AY63" s="100">
        <v>7160.4000000000005</v>
      </c>
      <c r="AZ63" s="100">
        <v>10.912463047580298</v>
      </c>
      <c r="BA63" s="100">
        <v>8681.9556006548846</v>
      </c>
      <c r="BB63" s="100">
        <v>0</v>
      </c>
      <c r="BC63" s="100">
        <v>0</v>
      </c>
      <c r="BD63" s="100">
        <v>7</v>
      </c>
      <c r="BE63" s="100">
        <v>5569.2</v>
      </c>
      <c r="BF63" s="100">
        <v>7</v>
      </c>
      <c r="BG63" s="100">
        <v>5569.2</v>
      </c>
      <c r="BH63" s="100">
        <v>6.3266636477417695</v>
      </c>
      <c r="BI63" s="100">
        <v>5033.4935981433518</v>
      </c>
      <c r="BJ63" s="100">
        <v>8</v>
      </c>
      <c r="BK63" s="100">
        <v>6364.8</v>
      </c>
      <c r="BL63" s="100">
        <v>6.1198254852989873</v>
      </c>
      <c r="BM63" s="100">
        <v>4868.9331561038744</v>
      </c>
      <c r="BN63" s="100">
        <v>10</v>
      </c>
      <c r="BO63" s="100">
        <v>7956</v>
      </c>
      <c r="BP63" s="100">
        <v>11</v>
      </c>
      <c r="BQ63" s="100">
        <v>8751.6</v>
      </c>
      <c r="BR63" s="100">
        <v>6</v>
      </c>
      <c r="BS63" s="100">
        <v>4773.6000000000004</v>
      </c>
      <c r="BT63" s="100">
        <v>6</v>
      </c>
      <c r="BU63" s="100">
        <v>4773.6000000000004</v>
      </c>
      <c r="BV63" s="100">
        <v>2.8463207283440366</v>
      </c>
      <c r="BW63" s="100">
        <v>2264.5327714705154</v>
      </c>
      <c r="BX63" s="100">
        <v>7</v>
      </c>
      <c r="BY63" s="100">
        <v>5569.2</v>
      </c>
      <c r="BZ63" s="100">
        <v>11</v>
      </c>
      <c r="CA63" s="100">
        <v>8751.6</v>
      </c>
      <c r="CB63" s="100">
        <v>8</v>
      </c>
      <c r="CC63" s="100">
        <v>6364.8</v>
      </c>
      <c r="CD63" s="100">
        <v>8</v>
      </c>
      <c r="CE63" s="100">
        <v>6364.8</v>
      </c>
      <c r="CF63" s="100">
        <v>8</v>
      </c>
      <c r="CG63" s="100">
        <v>6364.8</v>
      </c>
      <c r="CH63" s="100">
        <v>9</v>
      </c>
      <c r="CI63" s="100">
        <v>7160.4000000000005</v>
      </c>
      <c r="CJ63" s="100">
        <v>0.8036852487172732</v>
      </c>
      <c r="CK63" s="100">
        <v>639.41198387946258</v>
      </c>
      <c r="CL63" s="100">
        <v>9</v>
      </c>
      <c r="CM63" s="100">
        <v>7160.4000000000005</v>
      </c>
      <c r="CN63" s="100">
        <v>10</v>
      </c>
      <c r="CO63" s="100">
        <v>7956</v>
      </c>
      <c r="CP63" s="100">
        <v>9</v>
      </c>
      <c r="CQ63" s="100">
        <v>7160.4000000000005</v>
      </c>
      <c r="CR63" s="100">
        <v>8.2476133597924264</v>
      </c>
      <c r="CS63" s="100">
        <v>6561.8011890508542</v>
      </c>
      <c r="CT63" s="100">
        <v>10</v>
      </c>
      <c r="CU63" s="100">
        <v>7956</v>
      </c>
    </row>
    <row r="64" spans="2:99">
      <c r="C64" s="99" t="s">
        <v>230</v>
      </c>
      <c r="D64" s="100">
        <v>8</v>
      </c>
      <c r="E64" s="100">
        <v>8073.5999999999985</v>
      </c>
      <c r="F64" s="100">
        <v>2.0591777159262459</v>
      </c>
      <c r="G64" s="100">
        <v>2078.1221509127668</v>
      </c>
      <c r="H64" s="100">
        <v>7</v>
      </c>
      <c r="I64" s="100">
        <v>7064.3999999999987</v>
      </c>
      <c r="J64" s="100">
        <v>8</v>
      </c>
      <c r="K64" s="100">
        <v>8073.5999999999985</v>
      </c>
      <c r="L64" s="100">
        <v>9</v>
      </c>
      <c r="M64" s="100">
        <v>9082.7999999999993</v>
      </c>
      <c r="N64" s="100">
        <v>10</v>
      </c>
      <c r="O64" s="100">
        <v>10091.999999999998</v>
      </c>
      <c r="P64" s="100">
        <v>9</v>
      </c>
      <c r="Q64" s="100">
        <v>9082.7999999999993</v>
      </c>
      <c r="R64" s="100">
        <v>10</v>
      </c>
      <c r="S64" s="100">
        <v>10091.999999999998</v>
      </c>
      <c r="T64" s="100">
        <v>5.5422599559073165</v>
      </c>
      <c r="U64" s="100">
        <v>5593.2487475016624</v>
      </c>
      <c r="V64" s="100">
        <v>5.5951992197240275</v>
      </c>
      <c r="W64" s="100">
        <v>5646.6750525454872</v>
      </c>
      <c r="X64" s="100">
        <v>10</v>
      </c>
      <c r="Y64" s="100">
        <v>10091.999999999998</v>
      </c>
      <c r="Z64" s="100">
        <v>8</v>
      </c>
      <c r="AA64" s="100">
        <v>8073.5999999999985</v>
      </c>
      <c r="AB64" s="100">
        <v>8</v>
      </c>
      <c r="AC64" s="100">
        <v>8073.5999999999985</v>
      </c>
      <c r="AD64" s="100">
        <v>6.0837528765338833</v>
      </c>
      <c r="AE64" s="100">
        <v>6139.7234029979936</v>
      </c>
      <c r="AF64" s="100">
        <v>2.9291493808214759</v>
      </c>
      <c r="AG64" s="100">
        <v>2956.0975551250331</v>
      </c>
      <c r="AH64" s="100">
        <v>11</v>
      </c>
      <c r="AI64" s="100">
        <v>11101.199999999997</v>
      </c>
      <c r="AJ64" s="100">
        <v>8</v>
      </c>
      <c r="AK64" s="100">
        <v>8073.5999999999985</v>
      </c>
      <c r="AL64" s="100">
        <v>9</v>
      </c>
      <c r="AM64" s="100">
        <v>9082.7999999999993</v>
      </c>
      <c r="AN64" s="100">
        <v>9</v>
      </c>
      <c r="AO64" s="100">
        <v>9082.7999999999993</v>
      </c>
      <c r="AP64" s="100">
        <v>10</v>
      </c>
      <c r="AQ64" s="100">
        <v>10091.999999999998</v>
      </c>
      <c r="AR64" s="100">
        <v>11</v>
      </c>
      <c r="AS64" s="100">
        <v>11101.199999999997</v>
      </c>
      <c r="AT64" s="100">
        <v>6</v>
      </c>
      <c r="AU64" s="100">
        <v>6055.1999999999989</v>
      </c>
      <c r="AV64" s="100">
        <v>9</v>
      </c>
      <c r="AW64" s="100">
        <v>9082.7999999999993</v>
      </c>
      <c r="AX64" s="100">
        <v>10</v>
      </c>
      <c r="AY64" s="100">
        <v>10091.999999999998</v>
      </c>
      <c r="AZ64" s="100">
        <v>8.9283788571111522</v>
      </c>
      <c r="BA64" s="100">
        <v>9010.5199425965729</v>
      </c>
      <c r="BB64" s="100">
        <v>0</v>
      </c>
      <c r="BC64" s="100">
        <v>0</v>
      </c>
      <c r="BD64" s="100">
        <v>7</v>
      </c>
      <c r="BE64" s="100">
        <v>7064.3999999999987</v>
      </c>
      <c r="BF64" s="100">
        <v>8</v>
      </c>
      <c r="BG64" s="100">
        <v>8073.5999999999985</v>
      </c>
      <c r="BH64" s="100">
        <v>6.3266636477417695</v>
      </c>
      <c r="BI64" s="100">
        <v>6384.8689533009929</v>
      </c>
      <c r="BJ64" s="100">
        <v>7</v>
      </c>
      <c r="BK64" s="100">
        <v>7064.3999999999987</v>
      </c>
      <c r="BL64" s="100">
        <v>6.1198254852989873</v>
      </c>
      <c r="BM64" s="100">
        <v>6176.1278797637369</v>
      </c>
      <c r="BN64" s="100">
        <v>9</v>
      </c>
      <c r="BO64" s="100">
        <v>9082.7999999999993</v>
      </c>
      <c r="BP64" s="100">
        <v>10</v>
      </c>
      <c r="BQ64" s="100">
        <v>10091.999999999998</v>
      </c>
      <c r="BR64" s="100">
        <v>5</v>
      </c>
      <c r="BS64" s="100">
        <v>5045.9999999999991</v>
      </c>
      <c r="BT64" s="100">
        <v>6</v>
      </c>
      <c r="BU64" s="100">
        <v>6055.1999999999989</v>
      </c>
      <c r="BV64" s="100">
        <v>2.4905306373010316</v>
      </c>
      <c r="BW64" s="100">
        <v>2513.4435191642006</v>
      </c>
      <c r="BX64" s="100">
        <v>8</v>
      </c>
      <c r="BY64" s="100">
        <v>8073.5999999999985</v>
      </c>
      <c r="BZ64" s="100">
        <v>11</v>
      </c>
      <c r="CA64" s="100">
        <v>11101.199999999997</v>
      </c>
      <c r="CB64" s="100">
        <v>8</v>
      </c>
      <c r="CC64" s="100">
        <v>8073.5999999999985</v>
      </c>
      <c r="CD64" s="100">
        <v>7</v>
      </c>
      <c r="CE64" s="100">
        <v>7064.3999999999987</v>
      </c>
      <c r="CF64" s="100">
        <v>9</v>
      </c>
      <c r="CG64" s="100">
        <v>9082.7999999999993</v>
      </c>
      <c r="CH64" s="100">
        <v>9</v>
      </c>
      <c r="CI64" s="100">
        <v>9082.7999999999993</v>
      </c>
      <c r="CJ64" s="100">
        <v>0.8036852487172732</v>
      </c>
      <c r="CK64" s="100">
        <v>811.07915300547199</v>
      </c>
      <c r="CL64" s="100">
        <v>9</v>
      </c>
      <c r="CM64" s="100">
        <v>9082.7999999999993</v>
      </c>
      <c r="CN64" s="100">
        <v>10</v>
      </c>
      <c r="CO64" s="100">
        <v>10091.999999999998</v>
      </c>
      <c r="CP64" s="100">
        <v>9</v>
      </c>
      <c r="CQ64" s="100">
        <v>9082.7999999999993</v>
      </c>
      <c r="CR64" s="100">
        <v>7.4228520238131841</v>
      </c>
      <c r="CS64" s="100">
        <v>7491.142262432264</v>
      </c>
      <c r="CT64" s="100">
        <v>10</v>
      </c>
      <c r="CU64" s="100">
        <v>10091.999999999998</v>
      </c>
    </row>
    <row r="65" spans="2:99">
      <c r="C65" s="99" t="s">
        <v>231</v>
      </c>
      <c r="D65" s="100">
        <v>7</v>
      </c>
      <c r="E65" s="100">
        <v>7182</v>
      </c>
      <c r="F65" s="100">
        <v>2.0591777159262459</v>
      </c>
      <c r="G65" s="100">
        <v>2112.7163365403285</v>
      </c>
      <c r="H65" s="100">
        <v>7</v>
      </c>
      <c r="I65" s="100">
        <v>7182</v>
      </c>
      <c r="J65" s="100">
        <v>9</v>
      </c>
      <c r="K65" s="100">
        <v>9234</v>
      </c>
      <c r="L65" s="100">
        <v>9</v>
      </c>
      <c r="M65" s="100">
        <v>9234</v>
      </c>
      <c r="N65" s="100">
        <v>10</v>
      </c>
      <c r="O65" s="100">
        <v>10260</v>
      </c>
      <c r="P65" s="100">
        <v>9</v>
      </c>
      <c r="Q65" s="100">
        <v>9234</v>
      </c>
      <c r="R65" s="100">
        <v>8</v>
      </c>
      <c r="S65" s="100">
        <v>8208</v>
      </c>
      <c r="T65" s="100">
        <v>5.5422599559073165</v>
      </c>
      <c r="U65" s="100">
        <v>5686.3587147609069</v>
      </c>
      <c r="V65" s="100">
        <v>5.5951992197240275</v>
      </c>
      <c r="W65" s="100">
        <v>5740.6743994368526</v>
      </c>
      <c r="X65" s="100">
        <v>10</v>
      </c>
      <c r="Y65" s="100">
        <v>10260</v>
      </c>
      <c r="Z65" s="100">
        <v>7</v>
      </c>
      <c r="AA65" s="100">
        <v>7182</v>
      </c>
      <c r="AB65" s="100">
        <v>8</v>
      </c>
      <c r="AC65" s="100">
        <v>8208</v>
      </c>
      <c r="AD65" s="100">
        <v>6.0837528765338833</v>
      </c>
      <c r="AE65" s="100">
        <v>6241.9304513237639</v>
      </c>
      <c r="AF65" s="100">
        <v>2.9291493808214759</v>
      </c>
      <c r="AG65" s="100">
        <v>3005.3072647228341</v>
      </c>
      <c r="AH65" s="100">
        <v>10</v>
      </c>
      <c r="AI65" s="100">
        <v>10260</v>
      </c>
      <c r="AJ65" s="100">
        <v>8</v>
      </c>
      <c r="AK65" s="100">
        <v>8208</v>
      </c>
      <c r="AL65" s="100">
        <v>8</v>
      </c>
      <c r="AM65" s="100">
        <v>8208</v>
      </c>
      <c r="AN65" s="100">
        <v>9</v>
      </c>
      <c r="AO65" s="100">
        <v>9234</v>
      </c>
      <c r="AP65" s="100">
        <v>10</v>
      </c>
      <c r="AQ65" s="100">
        <v>10260</v>
      </c>
      <c r="AR65" s="100">
        <v>11</v>
      </c>
      <c r="AS65" s="100">
        <v>11286</v>
      </c>
      <c r="AT65" s="100">
        <v>6</v>
      </c>
      <c r="AU65" s="100">
        <v>6156</v>
      </c>
      <c r="AV65" s="100">
        <v>9</v>
      </c>
      <c r="AW65" s="100">
        <v>9234</v>
      </c>
      <c r="AX65" s="100">
        <v>11</v>
      </c>
      <c r="AY65" s="100">
        <v>11286</v>
      </c>
      <c r="AZ65" s="100">
        <v>8.9283788571111522</v>
      </c>
      <c r="BA65" s="100">
        <v>9160.516707396042</v>
      </c>
      <c r="BB65" s="100">
        <v>0</v>
      </c>
      <c r="BC65" s="100">
        <v>0</v>
      </c>
      <c r="BD65" s="100">
        <v>6</v>
      </c>
      <c r="BE65" s="100">
        <v>6156</v>
      </c>
      <c r="BF65" s="100">
        <v>8</v>
      </c>
      <c r="BG65" s="100">
        <v>8208</v>
      </c>
      <c r="BH65" s="100">
        <v>7.1174966037094904</v>
      </c>
      <c r="BI65" s="100">
        <v>7302.5515154059376</v>
      </c>
      <c r="BJ65" s="100">
        <v>8</v>
      </c>
      <c r="BK65" s="100">
        <v>8208</v>
      </c>
      <c r="BL65" s="100">
        <v>6.9940862689131276</v>
      </c>
      <c r="BM65" s="100">
        <v>7175.932511904869</v>
      </c>
      <c r="BN65" s="100">
        <v>9</v>
      </c>
      <c r="BO65" s="100">
        <v>9234</v>
      </c>
      <c r="BP65" s="100">
        <v>9</v>
      </c>
      <c r="BQ65" s="100">
        <v>9234</v>
      </c>
      <c r="BR65" s="100">
        <v>6</v>
      </c>
      <c r="BS65" s="100">
        <v>6156</v>
      </c>
      <c r="BT65" s="100">
        <v>6</v>
      </c>
      <c r="BU65" s="100">
        <v>6156</v>
      </c>
      <c r="BV65" s="100">
        <v>2.4905306373010316</v>
      </c>
      <c r="BW65" s="100">
        <v>2555.2844338708583</v>
      </c>
      <c r="BX65" s="100">
        <v>7</v>
      </c>
      <c r="BY65" s="100">
        <v>7182</v>
      </c>
      <c r="BZ65" s="100">
        <v>11</v>
      </c>
      <c r="CA65" s="100">
        <v>11286</v>
      </c>
      <c r="CB65" s="100">
        <v>8</v>
      </c>
      <c r="CC65" s="100">
        <v>8208</v>
      </c>
      <c r="CD65" s="100">
        <v>7</v>
      </c>
      <c r="CE65" s="100">
        <v>7182</v>
      </c>
      <c r="CF65" s="100">
        <v>9</v>
      </c>
      <c r="CG65" s="100">
        <v>9234</v>
      </c>
      <c r="CH65" s="100">
        <v>9</v>
      </c>
      <c r="CI65" s="100">
        <v>9234</v>
      </c>
      <c r="CJ65" s="100">
        <v>0.8036852487172732</v>
      </c>
      <c r="CK65" s="100">
        <v>824.58106518392231</v>
      </c>
      <c r="CL65" s="100">
        <v>8</v>
      </c>
      <c r="CM65" s="100">
        <v>8208</v>
      </c>
      <c r="CN65" s="100">
        <v>10</v>
      </c>
      <c r="CO65" s="100">
        <v>10260</v>
      </c>
      <c r="CP65" s="100">
        <v>11</v>
      </c>
      <c r="CQ65" s="100">
        <v>11286</v>
      </c>
      <c r="CR65" s="100">
        <v>7.4228520238131841</v>
      </c>
      <c r="CS65" s="100">
        <v>7615.8461764323265</v>
      </c>
      <c r="CT65" s="100">
        <v>10</v>
      </c>
      <c r="CU65" s="100">
        <v>10260</v>
      </c>
    </row>
    <row r="66" spans="2:99">
      <c r="C66" s="99" t="s">
        <v>232</v>
      </c>
      <c r="D66" s="100">
        <v>8</v>
      </c>
      <c r="E66" s="100">
        <v>9523.1999999999989</v>
      </c>
      <c r="F66" s="100">
        <v>1.7650094707939252</v>
      </c>
      <c r="G66" s="100">
        <v>2101.0672740330883</v>
      </c>
      <c r="H66" s="100">
        <v>7</v>
      </c>
      <c r="I66" s="100">
        <v>8332.7999999999993</v>
      </c>
      <c r="J66" s="100">
        <v>9</v>
      </c>
      <c r="K66" s="100">
        <v>10713.599999999999</v>
      </c>
      <c r="L66" s="100">
        <v>10</v>
      </c>
      <c r="M66" s="100">
        <v>11903.999999999998</v>
      </c>
      <c r="N66" s="100">
        <v>8</v>
      </c>
      <c r="O66" s="100">
        <v>9523.1999999999989</v>
      </c>
      <c r="P66" s="100">
        <v>9</v>
      </c>
      <c r="Q66" s="100">
        <v>10713.599999999999</v>
      </c>
      <c r="R66" s="100">
        <v>10</v>
      </c>
      <c r="S66" s="100">
        <v>11903.999999999998</v>
      </c>
      <c r="T66" s="100">
        <v>5.5422599559073165</v>
      </c>
      <c r="U66" s="100">
        <v>6597.506251512069</v>
      </c>
      <c r="V66" s="100">
        <v>5.5951992197240275</v>
      </c>
      <c r="W66" s="100">
        <v>6660.5251511594815</v>
      </c>
      <c r="X66" s="100">
        <v>11</v>
      </c>
      <c r="Y66" s="100">
        <v>13094.399999999998</v>
      </c>
      <c r="Z66" s="100">
        <v>7</v>
      </c>
      <c r="AA66" s="100">
        <v>8332.7999999999993</v>
      </c>
      <c r="AB66" s="100">
        <v>8</v>
      </c>
      <c r="AC66" s="100">
        <v>9523.1999999999989</v>
      </c>
      <c r="AD66" s="100">
        <v>6.0837528765338833</v>
      </c>
      <c r="AE66" s="100">
        <v>7242.0994242259339</v>
      </c>
      <c r="AF66" s="100">
        <v>2.9291493808214759</v>
      </c>
      <c r="AG66" s="100">
        <v>3486.8594229298847</v>
      </c>
      <c r="AH66" s="100">
        <v>12</v>
      </c>
      <c r="AI66" s="100">
        <v>14284.8</v>
      </c>
      <c r="AJ66" s="100">
        <v>8</v>
      </c>
      <c r="AK66" s="100">
        <v>9523.1999999999989</v>
      </c>
      <c r="AL66" s="100">
        <v>9</v>
      </c>
      <c r="AM66" s="100">
        <v>10713.599999999999</v>
      </c>
      <c r="AN66" s="100">
        <v>8</v>
      </c>
      <c r="AO66" s="100">
        <v>9523.1999999999989</v>
      </c>
      <c r="AP66" s="100">
        <v>10</v>
      </c>
      <c r="AQ66" s="100">
        <v>11903.999999999998</v>
      </c>
      <c r="AR66" s="100">
        <v>11</v>
      </c>
      <c r="AS66" s="100">
        <v>13094.399999999998</v>
      </c>
      <c r="AT66" s="100">
        <v>6</v>
      </c>
      <c r="AU66" s="100">
        <v>7142.4</v>
      </c>
      <c r="AV66" s="100">
        <v>9</v>
      </c>
      <c r="AW66" s="100">
        <v>10713.599999999999</v>
      </c>
      <c r="AX66" s="100">
        <v>9</v>
      </c>
      <c r="AY66" s="100">
        <v>10713.599999999999</v>
      </c>
      <c r="AZ66" s="100">
        <v>9.9204209523457259</v>
      </c>
      <c r="BA66" s="100">
        <v>11809.269101672351</v>
      </c>
      <c r="BB66" s="100">
        <v>0</v>
      </c>
      <c r="BC66" s="100">
        <v>0</v>
      </c>
      <c r="BD66" s="100">
        <v>6</v>
      </c>
      <c r="BE66" s="100">
        <v>7142.4</v>
      </c>
      <c r="BF66" s="100">
        <v>8</v>
      </c>
      <c r="BG66" s="100">
        <v>9523.1999999999989</v>
      </c>
      <c r="BH66" s="100">
        <v>7.1174966037094904</v>
      </c>
      <c r="BI66" s="100">
        <v>8472.6679570557772</v>
      </c>
      <c r="BJ66" s="100">
        <v>8</v>
      </c>
      <c r="BK66" s="100">
        <v>9523.1999999999989</v>
      </c>
      <c r="BL66" s="100">
        <v>6.1198254852989873</v>
      </c>
      <c r="BM66" s="100">
        <v>7285.040257699914</v>
      </c>
      <c r="BN66" s="100">
        <v>10</v>
      </c>
      <c r="BO66" s="100">
        <v>11903.999999999998</v>
      </c>
      <c r="BP66" s="100">
        <v>10</v>
      </c>
      <c r="BQ66" s="100">
        <v>11903.999999999998</v>
      </c>
      <c r="BR66" s="100">
        <v>6</v>
      </c>
      <c r="BS66" s="100">
        <v>7142.4</v>
      </c>
      <c r="BT66" s="100">
        <v>6</v>
      </c>
      <c r="BU66" s="100">
        <v>7142.4</v>
      </c>
      <c r="BV66" s="100">
        <v>2.4905306373010316</v>
      </c>
      <c r="BW66" s="100">
        <v>2964.7276706431476</v>
      </c>
      <c r="BX66" s="100">
        <v>8</v>
      </c>
      <c r="BY66" s="100">
        <v>9523.1999999999989</v>
      </c>
      <c r="BZ66" s="100">
        <v>10</v>
      </c>
      <c r="CA66" s="100">
        <v>11903.999999999998</v>
      </c>
      <c r="CB66" s="100">
        <v>8</v>
      </c>
      <c r="CC66" s="100">
        <v>9523.1999999999989</v>
      </c>
      <c r="CD66" s="100">
        <v>7</v>
      </c>
      <c r="CE66" s="100">
        <v>8332.7999999999993</v>
      </c>
      <c r="CF66" s="100">
        <v>9</v>
      </c>
      <c r="CG66" s="100">
        <v>10713.599999999999</v>
      </c>
      <c r="CH66" s="100">
        <v>9</v>
      </c>
      <c r="CI66" s="100">
        <v>10713.599999999999</v>
      </c>
      <c r="CJ66" s="100">
        <v>0.72331672384554591</v>
      </c>
      <c r="CK66" s="100">
        <v>861.03622806573776</v>
      </c>
      <c r="CL66" s="100">
        <v>9</v>
      </c>
      <c r="CM66" s="100">
        <v>10713.599999999999</v>
      </c>
      <c r="CN66" s="100">
        <v>10</v>
      </c>
      <c r="CO66" s="100">
        <v>11903.999999999998</v>
      </c>
      <c r="CP66" s="100">
        <v>10</v>
      </c>
      <c r="CQ66" s="100">
        <v>11903.999999999998</v>
      </c>
      <c r="CR66" s="100">
        <v>8.2476133597924264</v>
      </c>
      <c r="CS66" s="100">
        <v>9817.9589434969039</v>
      </c>
      <c r="CT66" s="100">
        <v>11</v>
      </c>
      <c r="CU66" s="100">
        <v>13094.399999999998</v>
      </c>
    </row>
    <row r="67" spans="2:99">
      <c r="C67" s="99" t="s">
        <v>233</v>
      </c>
      <c r="D67" s="100">
        <v>7</v>
      </c>
      <c r="E67" s="100">
        <v>7862.4000000000005</v>
      </c>
      <c r="F67" s="100">
        <v>2.0591777159262459</v>
      </c>
      <c r="G67" s="100">
        <v>2312.8684105283596</v>
      </c>
      <c r="H67" s="100">
        <v>8</v>
      </c>
      <c r="I67" s="100">
        <v>8985.6</v>
      </c>
      <c r="J67" s="100">
        <v>9</v>
      </c>
      <c r="K67" s="100">
        <v>10108.800000000001</v>
      </c>
      <c r="L67" s="100">
        <v>9</v>
      </c>
      <c r="M67" s="100">
        <v>10108.800000000001</v>
      </c>
      <c r="N67" s="100">
        <v>10</v>
      </c>
      <c r="O67" s="100">
        <v>11232</v>
      </c>
      <c r="P67" s="100">
        <v>8</v>
      </c>
      <c r="Q67" s="100">
        <v>8985.6</v>
      </c>
      <c r="R67" s="100">
        <v>8</v>
      </c>
      <c r="S67" s="100">
        <v>8985.6</v>
      </c>
      <c r="T67" s="100">
        <v>5.5422599559073165</v>
      </c>
      <c r="U67" s="100">
        <v>6225.0663824750982</v>
      </c>
      <c r="V67" s="100">
        <v>5.5951992197240275</v>
      </c>
      <c r="W67" s="100">
        <v>6284.5277635940283</v>
      </c>
      <c r="X67" s="100">
        <v>11</v>
      </c>
      <c r="Y67" s="100">
        <v>12355.2</v>
      </c>
      <c r="Z67" s="100">
        <v>8</v>
      </c>
      <c r="AA67" s="100">
        <v>8985.6</v>
      </c>
      <c r="AB67" s="100">
        <v>8</v>
      </c>
      <c r="AC67" s="100">
        <v>8985.6</v>
      </c>
      <c r="AD67" s="100">
        <v>6.8442219861006182</v>
      </c>
      <c r="AE67" s="100">
        <v>7687.4301347882147</v>
      </c>
      <c r="AF67" s="100">
        <v>2.9291493808214759</v>
      </c>
      <c r="AG67" s="100">
        <v>3290.0205845386818</v>
      </c>
      <c r="AH67" s="100">
        <v>10</v>
      </c>
      <c r="AI67" s="100">
        <v>11232</v>
      </c>
      <c r="AJ67" s="100">
        <v>8</v>
      </c>
      <c r="AK67" s="100">
        <v>8985.6</v>
      </c>
      <c r="AL67" s="100">
        <v>9</v>
      </c>
      <c r="AM67" s="100">
        <v>10108.800000000001</v>
      </c>
      <c r="AN67" s="100">
        <v>8</v>
      </c>
      <c r="AO67" s="100">
        <v>8985.6</v>
      </c>
      <c r="AP67" s="100">
        <v>10</v>
      </c>
      <c r="AQ67" s="100">
        <v>11232</v>
      </c>
      <c r="AR67" s="100">
        <v>10</v>
      </c>
      <c r="AS67" s="100">
        <v>11232</v>
      </c>
      <c r="AT67" s="100">
        <v>6</v>
      </c>
      <c r="AU67" s="100">
        <v>6739.2000000000007</v>
      </c>
      <c r="AV67" s="100">
        <v>8</v>
      </c>
      <c r="AW67" s="100">
        <v>8985.6</v>
      </c>
      <c r="AX67" s="100">
        <v>9</v>
      </c>
      <c r="AY67" s="100">
        <v>10108.800000000001</v>
      </c>
      <c r="AZ67" s="100">
        <v>9.9204209523457259</v>
      </c>
      <c r="BA67" s="100">
        <v>11142.61681367472</v>
      </c>
      <c r="BB67" s="100">
        <v>0</v>
      </c>
      <c r="BC67" s="100">
        <v>0</v>
      </c>
      <c r="BD67" s="100">
        <v>7</v>
      </c>
      <c r="BE67" s="100">
        <v>7862.4000000000005</v>
      </c>
      <c r="BF67" s="100">
        <v>8</v>
      </c>
      <c r="BG67" s="100">
        <v>8985.6</v>
      </c>
      <c r="BH67" s="100">
        <v>7.1174966037094904</v>
      </c>
      <c r="BI67" s="100">
        <v>7994.3721852865001</v>
      </c>
      <c r="BJ67" s="100">
        <v>8</v>
      </c>
      <c r="BK67" s="100">
        <v>8985.6</v>
      </c>
      <c r="BL67" s="100">
        <v>6.1198254852989873</v>
      </c>
      <c r="BM67" s="100">
        <v>6873.7879850878226</v>
      </c>
      <c r="BN67" s="100">
        <v>10</v>
      </c>
      <c r="BO67" s="100">
        <v>11232</v>
      </c>
      <c r="BP67" s="100">
        <v>9</v>
      </c>
      <c r="BQ67" s="100">
        <v>10108.800000000001</v>
      </c>
      <c r="BR67" s="100">
        <v>6</v>
      </c>
      <c r="BS67" s="100">
        <v>6739.2000000000007</v>
      </c>
      <c r="BT67" s="100">
        <v>6</v>
      </c>
      <c r="BU67" s="100">
        <v>6739.2000000000007</v>
      </c>
      <c r="BV67" s="100">
        <v>2.8463207283440366</v>
      </c>
      <c r="BW67" s="100">
        <v>3196.987442076022</v>
      </c>
      <c r="BX67" s="100">
        <v>7</v>
      </c>
      <c r="BY67" s="100">
        <v>7862.4000000000005</v>
      </c>
      <c r="BZ67" s="100">
        <v>11</v>
      </c>
      <c r="CA67" s="100">
        <v>12355.2</v>
      </c>
      <c r="CB67" s="100">
        <v>8</v>
      </c>
      <c r="CC67" s="100">
        <v>8985.6</v>
      </c>
      <c r="CD67" s="100">
        <v>7</v>
      </c>
      <c r="CE67" s="100">
        <v>7862.4000000000005</v>
      </c>
      <c r="CF67" s="100">
        <v>8</v>
      </c>
      <c r="CG67" s="100">
        <v>8985.6</v>
      </c>
      <c r="CH67" s="100">
        <v>8</v>
      </c>
      <c r="CI67" s="100">
        <v>8985.6</v>
      </c>
      <c r="CJ67" s="100">
        <v>0.8036852487172732</v>
      </c>
      <c r="CK67" s="100">
        <v>902.69927135924127</v>
      </c>
      <c r="CL67" s="100">
        <v>8</v>
      </c>
      <c r="CM67" s="100">
        <v>8985.6</v>
      </c>
      <c r="CN67" s="100">
        <v>9</v>
      </c>
      <c r="CO67" s="100">
        <v>10108.800000000001</v>
      </c>
      <c r="CP67" s="100">
        <v>10</v>
      </c>
      <c r="CQ67" s="100">
        <v>11232</v>
      </c>
      <c r="CR67" s="100">
        <v>8.2476133597924264</v>
      </c>
      <c r="CS67" s="100">
        <v>9263.7193257188537</v>
      </c>
      <c r="CT67" s="100">
        <v>10</v>
      </c>
      <c r="CU67" s="100">
        <v>11232</v>
      </c>
    </row>
    <row r="68" spans="2:99">
      <c r="C68" s="99" t="s">
        <v>234</v>
      </c>
      <c r="D68" s="100">
        <v>7</v>
      </c>
      <c r="E68" s="100">
        <v>7232.4000000000005</v>
      </c>
      <c r="F68" s="100">
        <v>1.7650094707939252</v>
      </c>
      <c r="G68" s="100">
        <v>1823.6077852242836</v>
      </c>
      <c r="H68" s="100">
        <v>7</v>
      </c>
      <c r="I68" s="100">
        <v>7232.4000000000005</v>
      </c>
      <c r="J68" s="100">
        <v>9</v>
      </c>
      <c r="K68" s="100">
        <v>9298.8000000000011</v>
      </c>
      <c r="L68" s="100">
        <v>9</v>
      </c>
      <c r="M68" s="100">
        <v>9298.8000000000011</v>
      </c>
      <c r="N68" s="100">
        <v>9</v>
      </c>
      <c r="O68" s="100">
        <v>9298.8000000000011</v>
      </c>
      <c r="P68" s="100">
        <v>9</v>
      </c>
      <c r="Q68" s="100">
        <v>9298.8000000000011</v>
      </c>
      <c r="R68" s="100">
        <v>9</v>
      </c>
      <c r="S68" s="100">
        <v>9298.8000000000011</v>
      </c>
      <c r="T68" s="100">
        <v>4.9264532941398373</v>
      </c>
      <c r="U68" s="100">
        <v>5090.0115435052803</v>
      </c>
      <c r="V68" s="100">
        <v>4.6626660164366891</v>
      </c>
      <c r="W68" s="100">
        <v>4817.4665281823873</v>
      </c>
      <c r="X68" s="100">
        <v>10</v>
      </c>
      <c r="Y68" s="100">
        <v>10332</v>
      </c>
      <c r="Z68" s="100">
        <v>8</v>
      </c>
      <c r="AA68" s="100">
        <v>8265.6</v>
      </c>
      <c r="AB68" s="100">
        <v>8</v>
      </c>
      <c r="AC68" s="100">
        <v>8265.6</v>
      </c>
      <c r="AD68" s="100">
        <v>6.8442219861006182</v>
      </c>
      <c r="AE68" s="100">
        <v>7071.4501560391591</v>
      </c>
      <c r="AF68" s="100">
        <v>2.9291493808214759</v>
      </c>
      <c r="AG68" s="100">
        <v>3026.3971402647489</v>
      </c>
      <c r="AH68" s="100">
        <v>12</v>
      </c>
      <c r="AI68" s="100">
        <v>12398.400000000001</v>
      </c>
      <c r="AJ68" s="100">
        <v>8</v>
      </c>
      <c r="AK68" s="100">
        <v>8265.6</v>
      </c>
      <c r="AL68" s="100">
        <v>8</v>
      </c>
      <c r="AM68" s="100">
        <v>8265.6</v>
      </c>
      <c r="AN68" s="100">
        <v>9</v>
      </c>
      <c r="AO68" s="100">
        <v>9298.8000000000011</v>
      </c>
      <c r="AP68" s="100">
        <v>10</v>
      </c>
      <c r="AQ68" s="100">
        <v>10332</v>
      </c>
      <c r="AR68" s="100">
        <v>10</v>
      </c>
      <c r="AS68" s="100">
        <v>10332</v>
      </c>
      <c r="AT68" s="100">
        <v>6</v>
      </c>
      <c r="AU68" s="100">
        <v>6199.2000000000007</v>
      </c>
      <c r="AV68" s="100">
        <v>9</v>
      </c>
      <c r="AW68" s="100">
        <v>9298.8000000000011</v>
      </c>
      <c r="AX68" s="100">
        <v>10</v>
      </c>
      <c r="AY68" s="100">
        <v>10332</v>
      </c>
      <c r="AZ68" s="100">
        <v>10.912463047580298</v>
      </c>
      <c r="BA68" s="100">
        <v>11274.756820759963</v>
      </c>
      <c r="BB68" s="100">
        <v>0</v>
      </c>
      <c r="BC68" s="100">
        <v>0</v>
      </c>
      <c r="BD68" s="100">
        <v>6</v>
      </c>
      <c r="BE68" s="100">
        <v>6199.2000000000007</v>
      </c>
      <c r="BF68" s="100">
        <v>8</v>
      </c>
      <c r="BG68" s="100">
        <v>8265.6</v>
      </c>
      <c r="BH68" s="100">
        <v>6.3266636477417695</v>
      </c>
      <c r="BI68" s="100">
        <v>6536.7088808467961</v>
      </c>
      <c r="BJ68" s="100">
        <v>8</v>
      </c>
      <c r="BK68" s="100">
        <v>8265.6</v>
      </c>
      <c r="BL68" s="100">
        <v>6.1198254852989873</v>
      </c>
      <c r="BM68" s="100">
        <v>6323.0036914109141</v>
      </c>
      <c r="BN68" s="100">
        <v>9</v>
      </c>
      <c r="BO68" s="100">
        <v>9298.8000000000011</v>
      </c>
      <c r="BP68" s="100">
        <v>9</v>
      </c>
      <c r="BQ68" s="100">
        <v>9298.8000000000011</v>
      </c>
      <c r="BR68" s="100">
        <v>6</v>
      </c>
      <c r="BS68" s="100">
        <v>6199.2000000000007</v>
      </c>
      <c r="BT68" s="100">
        <v>6</v>
      </c>
      <c r="BU68" s="100">
        <v>6199.2000000000007</v>
      </c>
      <c r="BV68" s="100">
        <v>2.8463207283440366</v>
      </c>
      <c r="BW68" s="100">
        <v>2940.8185765250587</v>
      </c>
      <c r="BX68" s="100">
        <v>7</v>
      </c>
      <c r="BY68" s="100">
        <v>7232.4000000000005</v>
      </c>
      <c r="BZ68" s="100">
        <v>10</v>
      </c>
      <c r="CA68" s="100">
        <v>10332</v>
      </c>
      <c r="CB68" s="100">
        <v>8</v>
      </c>
      <c r="CC68" s="100">
        <v>8265.6</v>
      </c>
      <c r="CD68" s="100">
        <v>7</v>
      </c>
      <c r="CE68" s="100">
        <v>7232.4000000000005</v>
      </c>
      <c r="CF68" s="100">
        <v>9</v>
      </c>
      <c r="CG68" s="100">
        <v>9298.8000000000011</v>
      </c>
      <c r="CH68" s="100">
        <v>8</v>
      </c>
      <c r="CI68" s="100">
        <v>8265.6</v>
      </c>
      <c r="CJ68" s="100">
        <v>0.8036852487172732</v>
      </c>
      <c r="CK68" s="100">
        <v>830.36759897468676</v>
      </c>
      <c r="CL68" s="100">
        <v>8</v>
      </c>
      <c r="CM68" s="100">
        <v>8265.6</v>
      </c>
      <c r="CN68" s="100">
        <v>9</v>
      </c>
      <c r="CO68" s="100">
        <v>9298.8000000000011</v>
      </c>
      <c r="CP68" s="100">
        <v>10</v>
      </c>
      <c r="CQ68" s="100">
        <v>10332</v>
      </c>
      <c r="CR68" s="100">
        <v>8.2476133597924264</v>
      </c>
      <c r="CS68" s="100">
        <v>8521.4341233375344</v>
      </c>
      <c r="CT68" s="100">
        <v>11</v>
      </c>
      <c r="CU68" s="100">
        <v>11365.2</v>
      </c>
    </row>
    <row r="69" spans="2:99">
      <c r="C69" s="99" t="s">
        <v>235</v>
      </c>
      <c r="D69" s="100">
        <v>8</v>
      </c>
      <c r="E69" s="100">
        <v>6067.2</v>
      </c>
      <c r="F69" s="100">
        <v>1.7650094707939252</v>
      </c>
      <c r="G69" s="100">
        <v>1338.5831826501128</v>
      </c>
      <c r="H69" s="100">
        <v>7</v>
      </c>
      <c r="I69" s="100">
        <v>5308.8</v>
      </c>
      <c r="J69" s="100">
        <v>9</v>
      </c>
      <c r="K69" s="100">
        <v>6825.5999999999995</v>
      </c>
      <c r="L69" s="100">
        <v>9</v>
      </c>
      <c r="M69" s="100">
        <v>6825.5999999999995</v>
      </c>
      <c r="N69" s="100">
        <v>9</v>
      </c>
      <c r="O69" s="100">
        <v>6825.5999999999995</v>
      </c>
      <c r="P69" s="100">
        <v>9</v>
      </c>
      <c r="Q69" s="100">
        <v>6825.5999999999995</v>
      </c>
      <c r="R69" s="100">
        <v>9</v>
      </c>
      <c r="S69" s="100">
        <v>6825.5999999999995</v>
      </c>
      <c r="T69" s="100">
        <v>4.9264532941398373</v>
      </c>
      <c r="U69" s="100">
        <v>3736.2221782756524</v>
      </c>
      <c r="V69" s="100">
        <v>5.5951992197240275</v>
      </c>
      <c r="W69" s="100">
        <v>4243.3990882387025</v>
      </c>
      <c r="X69" s="100">
        <v>11</v>
      </c>
      <c r="Y69" s="100">
        <v>8342.4</v>
      </c>
      <c r="Z69" s="100">
        <v>8</v>
      </c>
      <c r="AA69" s="100">
        <v>6067.2</v>
      </c>
      <c r="AB69" s="100">
        <v>8</v>
      </c>
      <c r="AC69" s="100">
        <v>6067.2</v>
      </c>
      <c r="AD69" s="100">
        <v>6.0837528765338833</v>
      </c>
      <c r="AE69" s="100">
        <v>4613.9181815632974</v>
      </c>
      <c r="AF69" s="100">
        <v>2.9291493808214759</v>
      </c>
      <c r="AG69" s="100">
        <v>2221.4668904150071</v>
      </c>
      <c r="AH69" s="100">
        <v>10</v>
      </c>
      <c r="AI69" s="100">
        <v>7584</v>
      </c>
      <c r="AJ69" s="100">
        <v>8</v>
      </c>
      <c r="AK69" s="100">
        <v>6067.2</v>
      </c>
      <c r="AL69" s="100">
        <v>9</v>
      </c>
      <c r="AM69" s="100">
        <v>6825.5999999999995</v>
      </c>
      <c r="AN69" s="100">
        <v>8</v>
      </c>
      <c r="AO69" s="100">
        <v>6067.2</v>
      </c>
      <c r="AP69" s="100">
        <v>10</v>
      </c>
      <c r="AQ69" s="100">
        <v>7584</v>
      </c>
      <c r="AR69" s="100">
        <v>11</v>
      </c>
      <c r="AS69" s="100">
        <v>8342.4</v>
      </c>
      <c r="AT69" s="100">
        <v>6</v>
      </c>
      <c r="AU69" s="100">
        <v>4550.3999999999996</v>
      </c>
      <c r="AV69" s="100">
        <v>9</v>
      </c>
      <c r="AW69" s="100">
        <v>6825.5999999999995</v>
      </c>
      <c r="AX69" s="100">
        <v>10</v>
      </c>
      <c r="AY69" s="100">
        <v>7584</v>
      </c>
      <c r="AZ69" s="100">
        <v>9.9204209523457259</v>
      </c>
      <c r="BA69" s="100">
        <v>7523.6472502589986</v>
      </c>
      <c r="BB69" s="100">
        <v>0</v>
      </c>
      <c r="BC69" s="100">
        <v>0</v>
      </c>
      <c r="BD69" s="100">
        <v>7</v>
      </c>
      <c r="BE69" s="100">
        <v>5308.8</v>
      </c>
      <c r="BF69" s="100">
        <v>8</v>
      </c>
      <c r="BG69" s="100">
        <v>6067.2</v>
      </c>
      <c r="BH69" s="100">
        <v>7.1174966037094904</v>
      </c>
      <c r="BI69" s="100">
        <v>5397.9094242532774</v>
      </c>
      <c r="BJ69" s="100">
        <v>7</v>
      </c>
      <c r="BK69" s="100">
        <v>5308.8</v>
      </c>
      <c r="BL69" s="100">
        <v>6.1198254852989873</v>
      </c>
      <c r="BM69" s="100">
        <v>4641.2756480507514</v>
      </c>
      <c r="BN69" s="100">
        <v>10</v>
      </c>
      <c r="BO69" s="100">
        <v>7584</v>
      </c>
      <c r="BP69" s="100">
        <v>9</v>
      </c>
      <c r="BQ69" s="100">
        <v>6825.5999999999995</v>
      </c>
      <c r="BR69" s="100">
        <v>6</v>
      </c>
      <c r="BS69" s="100">
        <v>4550.3999999999996</v>
      </c>
      <c r="BT69" s="100">
        <v>6</v>
      </c>
      <c r="BU69" s="100">
        <v>4550.3999999999996</v>
      </c>
      <c r="BV69" s="100">
        <v>2.8463207283440366</v>
      </c>
      <c r="BW69" s="100">
        <v>2158.6496403761171</v>
      </c>
      <c r="BX69" s="100">
        <v>7</v>
      </c>
      <c r="BY69" s="100">
        <v>5308.8</v>
      </c>
      <c r="BZ69" s="100">
        <v>10</v>
      </c>
      <c r="CA69" s="100">
        <v>7584</v>
      </c>
      <c r="CB69" s="100">
        <v>7</v>
      </c>
      <c r="CC69" s="100">
        <v>5308.8</v>
      </c>
      <c r="CD69" s="100">
        <v>7</v>
      </c>
      <c r="CE69" s="100">
        <v>5308.8</v>
      </c>
      <c r="CF69" s="100">
        <v>8</v>
      </c>
      <c r="CG69" s="100">
        <v>6067.2</v>
      </c>
      <c r="CH69" s="100">
        <v>8</v>
      </c>
      <c r="CI69" s="100">
        <v>6067.2</v>
      </c>
      <c r="CJ69" s="100">
        <v>0.8036852487172732</v>
      </c>
      <c r="CK69" s="100">
        <v>609.51489262717996</v>
      </c>
      <c r="CL69" s="100">
        <v>9</v>
      </c>
      <c r="CM69" s="100">
        <v>6825.5999999999995</v>
      </c>
      <c r="CN69" s="100">
        <v>10</v>
      </c>
      <c r="CO69" s="100">
        <v>7584</v>
      </c>
      <c r="CP69" s="100">
        <v>10</v>
      </c>
      <c r="CQ69" s="100">
        <v>7584</v>
      </c>
      <c r="CR69" s="100">
        <v>8.2476133597924264</v>
      </c>
      <c r="CS69" s="100">
        <v>6254.9899720665762</v>
      </c>
      <c r="CT69" s="100">
        <v>10</v>
      </c>
      <c r="CU69" s="100">
        <v>7584</v>
      </c>
    </row>
    <row r="70" spans="2:99">
      <c r="C70" s="99" t="s">
        <v>236</v>
      </c>
      <c r="D70" s="100">
        <v>9</v>
      </c>
      <c r="E70" s="100">
        <v>4816.7999999999993</v>
      </c>
      <c r="F70" s="100">
        <v>2.0591777159262459</v>
      </c>
      <c r="G70" s="100">
        <v>1102.0719135637266</v>
      </c>
      <c r="H70" s="100">
        <v>7</v>
      </c>
      <c r="I70" s="100">
        <v>3746.3999999999996</v>
      </c>
      <c r="J70" s="100">
        <v>9</v>
      </c>
      <c r="K70" s="100">
        <v>4816.7999999999993</v>
      </c>
      <c r="L70" s="100">
        <v>9</v>
      </c>
      <c r="M70" s="100">
        <v>4816.7999999999993</v>
      </c>
      <c r="N70" s="100">
        <v>9</v>
      </c>
      <c r="O70" s="100">
        <v>4816.7999999999993</v>
      </c>
      <c r="P70" s="100">
        <v>8</v>
      </c>
      <c r="Q70" s="100">
        <v>4281.5999999999995</v>
      </c>
      <c r="R70" s="100">
        <v>10</v>
      </c>
      <c r="S70" s="100">
        <v>5351.9999999999991</v>
      </c>
      <c r="T70" s="100">
        <v>4.9264532941398373</v>
      </c>
      <c r="U70" s="100">
        <v>2636.6378030236406</v>
      </c>
      <c r="V70" s="100">
        <v>5.5951992197240275</v>
      </c>
      <c r="W70" s="100">
        <v>2994.5506223962993</v>
      </c>
      <c r="X70" s="100">
        <v>10</v>
      </c>
      <c r="Y70" s="100">
        <v>5351.9999999999991</v>
      </c>
      <c r="Z70" s="100">
        <v>8</v>
      </c>
      <c r="AA70" s="100">
        <v>4281.5999999999995</v>
      </c>
      <c r="AB70" s="100">
        <v>9</v>
      </c>
      <c r="AC70" s="100">
        <v>4816.7999999999993</v>
      </c>
      <c r="AD70" s="100">
        <v>6.0837528765338833</v>
      </c>
      <c r="AE70" s="100">
        <v>3256.024539520934</v>
      </c>
      <c r="AF70" s="100">
        <v>2.9291493808214759</v>
      </c>
      <c r="AG70" s="100">
        <v>1567.6807486156538</v>
      </c>
      <c r="AH70" s="100">
        <v>12</v>
      </c>
      <c r="AI70" s="100">
        <v>6422.4</v>
      </c>
      <c r="AJ70" s="100">
        <v>7</v>
      </c>
      <c r="AK70" s="100">
        <v>3746.3999999999996</v>
      </c>
      <c r="AL70" s="100">
        <v>8</v>
      </c>
      <c r="AM70" s="100">
        <v>4281.5999999999995</v>
      </c>
      <c r="AN70" s="100">
        <v>9</v>
      </c>
      <c r="AO70" s="100">
        <v>4816.7999999999993</v>
      </c>
      <c r="AP70" s="100">
        <v>11</v>
      </c>
      <c r="AQ70" s="100">
        <v>5887.1999999999989</v>
      </c>
      <c r="AR70" s="100">
        <v>11</v>
      </c>
      <c r="AS70" s="100">
        <v>5887.1999999999989</v>
      </c>
      <c r="AT70" s="100">
        <v>7</v>
      </c>
      <c r="AU70" s="100">
        <v>3746.3999999999996</v>
      </c>
      <c r="AV70" s="100">
        <v>10</v>
      </c>
      <c r="AW70" s="100">
        <v>5351.9999999999991</v>
      </c>
      <c r="AX70" s="100">
        <v>11</v>
      </c>
      <c r="AY70" s="100">
        <v>5887.1999999999989</v>
      </c>
      <c r="AZ70" s="100">
        <v>9.9204209523457259</v>
      </c>
      <c r="BA70" s="100">
        <v>5309.4092936954321</v>
      </c>
      <c r="BB70" s="100">
        <v>0</v>
      </c>
      <c r="BC70" s="100">
        <v>0</v>
      </c>
      <c r="BD70" s="100">
        <v>6</v>
      </c>
      <c r="BE70" s="100">
        <v>3211.2</v>
      </c>
      <c r="BF70" s="100">
        <v>8</v>
      </c>
      <c r="BG70" s="100">
        <v>4281.5999999999995</v>
      </c>
      <c r="BH70" s="100">
        <v>7.1174966037094904</v>
      </c>
      <c r="BI70" s="100">
        <v>3809.2841823053186</v>
      </c>
      <c r="BJ70" s="100">
        <v>8</v>
      </c>
      <c r="BK70" s="100">
        <v>4281.5999999999995</v>
      </c>
      <c r="BL70" s="100">
        <v>6.1198254852989873</v>
      </c>
      <c r="BM70" s="100">
        <v>3275.3305997320176</v>
      </c>
      <c r="BN70" s="100">
        <v>10</v>
      </c>
      <c r="BO70" s="100">
        <v>5351.9999999999991</v>
      </c>
      <c r="BP70" s="100">
        <v>9</v>
      </c>
      <c r="BQ70" s="100">
        <v>4816.7999999999993</v>
      </c>
      <c r="BR70" s="100">
        <v>6</v>
      </c>
      <c r="BS70" s="100">
        <v>3211.2</v>
      </c>
      <c r="BT70" s="100">
        <v>6</v>
      </c>
      <c r="BU70" s="100">
        <v>3211.2</v>
      </c>
      <c r="BV70" s="100">
        <v>2.8463207283440366</v>
      </c>
      <c r="BW70" s="100">
        <v>1523.3508538097283</v>
      </c>
      <c r="BX70" s="100">
        <v>7</v>
      </c>
      <c r="BY70" s="100">
        <v>3746.3999999999996</v>
      </c>
      <c r="BZ70" s="100">
        <v>11</v>
      </c>
      <c r="CA70" s="100">
        <v>5887.1999999999989</v>
      </c>
      <c r="CB70" s="100">
        <v>8</v>
      </c>
      <c r="CC70" s="100">
        <v>4281.5999999999995</v>
      </c>
      <c r="CD70" s="100">
        <v>7</v>
      </c>
      <c r="CE70" s="100">
        <v>3746.3999999999996</v>
      </c>
      <c r="CF70" s="100">
        <v>9</v>
      </c>
      <c r="CG70" s="100">
        <v>4816.7999999999993</v>
      </c>
      <c r="CH70" s="100">
        <v>9</v>
      </c>
      <c r="CI70" s="100">
        <v>4816.7999999999993</v>
      </c>
      <c r="CJ70" s="100">
        <v>0.8840537735890005</v>
      </c>
      <c r="CK70" s="100">
        <v>473.14557962483303</v>
      </c>
      <c r="CL70" s="100">
        <v>8</v>
      </c>
      <c r="CM70" s="100">
        <v>4281.5999999999995</v>
      </c>
      <c r="CN70" s="100">
        <v>11</v>
      </c>
      <c r="CO70" s="100">
        <v>5887.1999999999989</v>
      </c>
      <c r="CP70" s="100">
        <v>11</v>
      </c>
      <c r="CQ70" s="100">
        <v>5887.1999999999989</v>
      </c>
      <c r="CR70" s="100">
        <v>8.2476133597924264</v>
      </c>
      <c r="CS70" s="100">
        <v>4414.1226701609057</v>
      </c>
      <c r="CT70" s="100">
        <v>10</v>
      </c>
      <c r="CU70" s="100">
        <v>5351.9999999999991</v>
      </c>
    </row>
    <row r="71" spans="2:99">
      <c r="B71" s="99" t="s">
        <v>130</v>
      </c>
      <c r="C71" s="99" t="s">
        <v>237</v>
      </c>
      <c r="D71" s="100">
        <v>7.8757793000022662</v>
      </c>
      <c r="E71" s="100">
        <v>4441.9395252012782</v>
      </c>
      <c r="F71" s="100">
        <v>10</v>
      </c>
      <c r="G71" s="100">
        <v>5640</v>
      </c>
      <c r="H71" s="100">
        <v>11</v>
      </c>
      <c r="I71" s="100">
        <v>6204</v>
      </c>
      <c r="J71" s="100">
        <v>8.9446593508621319</v>
      </c>
      <c r="K71" s="100">
        <v>5044.7878738862428</v>
      </c>
      <c r="L71" s="100">
        <v>7.894919286223335E-16</v>
      </c>
      <c r="M71" s="100">
        <v>4.452734477429961E-13</v>
      </c>
      <c r="N71" s="100">
        <v>9</v>
      </c>
      <c r="O71" s="100">
        <v>5076</v>
      </c>
      <c r="P71" s="100">
        <v>11.540669856459328</v>
      </c>
      <c r="Q71" s="100">
        <v>6508.9377990430612</v>
      </c>
      <c r="R71" s="100">
        <v>11</v>
      </c>
      <c r="S71" s="100">
        <v>6204</v>
      </c>
      <c r="T71" s="100">
        <v>9</v>
      </c>
      <c r="U71" s="100">
        <v>5076</v>
      </c>
      <c r="V71" s="100">
        <v>9</v>
      </c>
      <c r="W71" s="100">
        <v>5076</v>
      </c>
      <c r="X71" s="100">
        <v>12</v>
      </c>
      <c r="Y71" s="100">
        <v>6768</v>
      </c>
      <c r="Z71" s="100">
        <v>13</v>
      </c>
      <c r="AA71" s="100">
        <v>7332</v>
      </c>
      <c r="AB71" s="100">
        <v>10</v>
      </c>
      <c r="AC71" s="100">
        <v>5640</v>
      </c>
      <c r="AD71" s="100">
        <v>13</v>
      </c>
      <c r="AE71" s="100">
        <v>7332</v>
      </c>
      <c r="AF71" s="100">
        <v>11</v>
      </c>
      <c r="AG71" s="100">
        <v>6204</v>
      </c>
      <c r="AH71" s="100">
        <v>13</v>
      </c>
      <c r="AI71" s="100">
        <v>7332</v>
      </c>
      <c r="AJ71" s="100">
        <v>8.8359002120383749</v>
      </c>
      <c r="AK71" s="100">
        <v>4983.4477195896434</v>
      </c>
      <c r="AL71" s="100">
        <v>11</v>
      </c>
      <c r="AM71" s="100">
        <v>6204</v>
      </c>
      <c r="AN71" s="100">
        <v>11</v>
      </c>
      <c r="AO71" s="100">
        <v>6204</v>
      </c>
      <c r="AP71" s="100">
        <v>7.1880977820340402</v>
      </c>
      <c r="AQ71" s="100">
        <v>4054.0871490671984</v>
      </c>
      <c r="AR71" s="100">
        <v>10.783410138248845</v>
      </c>
      <c r="AS71" s="100">
        <v>6081.8433179723488</v>
      </c>
      <c r="AT71" s="100">
        <v>11.308900523560208</v>
      </c>
      <c r="AU71" s="100">
        <v>6378.2198952879571</v>
      </c>
      <c r="AV71" s="100">
        <v>10.202429149797569</v>
      </c>
      <c r="AW71" s="100">
        <v>5754.1700404858284</v>
      </c>
      <c r="AX71" s="100">
        <v>10.588235294117647</v>
      </c>
      <c r="AY71" s="100">
        <v>5971.7647058823532</v>
      </c>
      <c r="AZ71" s="100">
        <v>5.391886477453661</v>
      </c>
      <c r="BA71" s="100">
        <v>3041.023973283865</v>
      </c>
      <c r="BB71" s="100">
        <v>9.6585365853658534</v>
      </c>
      <c r="BC71" s="100">
        <v>5447.4146341463411</v>
      </c>
      <c r="BD71" s="100">
        <v>13</v>
      </c>
      <c r="BE71" s="100">
        <v>7332</v>
      </c>
      <c r="BF71" s="100">
        <v>10</v>
      </c>
      <c r="BG71" s="100">
        <v>5640</v>
      </c>
      <c r="BH71" s="100">
        <v>10</v>
      </c>
      <c r="BI71" s="100">
        <v>5640</v>
      </c>
      <c r="BJ71" s="100">
        <v>8</v>
      </c>
      <c r="BK71" s="100">
        <v>4512</v>
      </c>
      <c r="BL71" s="100">
        <v>12.260663507108998</v>
      </c>
      <c r="BM71" s="100">
        <v>6915.0142180094745</v>
      </c>
      <c r="BN71" s="100">
        <v>11</v>
      </c>
      <c r="BO71" s="100">
        <v>6204</v>
      </c>
      <c r="BP71" s="100">
        <v>10</v>
      </c>
      <c r="BQ71" s="100">
        <v>5640</v>
      </c>
      <c r="BR71" s="100">
        <v>14</v>
      </c>
      <c r="BS71" s="100">
        <v>7896</v>
      </c>
      <c r="BT71" s="100">
        <v>5.2177584401858583</v>
      </c>
      <c r="BU71" s="100">
        <v>2942.8157602648239</v>
      </c>
      <c r="BV71" s="100">
        <v>8.43705997454488</v>
      </c>
      <c r="BW71" s="100">
        <v>4758.5018256433123</v>
      </c>
      <c r="BX71" s="100">
        <v>13</v>
      </c>
      <c r="BY71" s="100">
        <v>7332</v>
      </c>
      <c r="BZ71" s="100">
        <v>12</v>
      </c>
      <c r="CA71" s="100">
        <v>6768</v>
      </c>
      <c r="CB71" s="100">
        <v>9</v>
      </c>
      <c r="CC71" s="100">
        <v>5076</v>
      </c>
      <c r="CD71" s="100">
        <v>9</v>
      </c>
      <c r="CE71" s="100">
        <v>5076</v>
      </c>
      <c r="CF71" s="100">
        <v>14</v>
      </c>
      <c r="CG71" s="100">
        <v>7896</v>
      </c>
      <c r="CH71" s="100">
        <v>8</v>
      </c>
      <c r="CI71" s="100">
        <v>4512</v>
      </c>
      <c r="CJ71" s="100">
        <v>16</v>
      </c>
      <c r="CK71" s="100">
        <v>9024</v>
      </c>
      <c r="CL71" s="100">
        <v>6.5427804500470428</v>
      </c>
      <c r="CM71" s="100">
        <v>3690.128173826532</v>
      </c>
      <c r="CN71" s="100">
        <v>4.5609735706775272</v>
      </c>
      <c r="CO71" s="100">
        <v>2572.3890938621253</v>
      </c>
      <c r="CP71" s="100">
        <v>10.030262459731791</v>
      </c>
      <c r="CQ71" s="100">
        <v>5657.0680272887303</v>
      </c>
      <c r="CR71" s="100">
        <v>10.050761421319796</v>
      </c>
      <c r="CS71" s="100">
        <v>5668.6294416243654</v>
      </c>
      <c r="CT71" s="100">
        <v>14</v>
      </c>
      <c r="CU71" s="100">
        <v>7896</v>
      </c>
    </row>
    <row r="72" spans="2:99">
      <c r="C72" s="99" t="s">
        <v>238</v>
      </c>
      <c r="D72" s="100">
        <v>8.532094241669121</v>
      </c>
      <c r="E72" s="100">
        <v>634.78781158018251</v>
      </c>
      <c r="F72" s="100">
        <v>10</v>
      </c>
      <c r="G72" s="100">
        <v>743.99999999999989</v>
      </c>
      <c r="H72" s="100">
        <v>13</v>
      </c>
      <c r="I72" s="100">
        <v>967.19999999999993</v>
      </c>
      <c r="J72" s="100">
        <v>9.6900476301006435</v>
      </c>
      <c r="K72" s="100">
        <v>720.93954367948777</v>
      </c>
      <c r="L72" s="100">
        <v>8.77213254024815E-16</v>
      </c>
      <c r="M72" s="100">
        <v>6.5264666099446226E-14</v>
      </c>
      <c r="N72" s="100">
        <v>9</v>
      </c>
      <c r="O72" s="100">
        <v>669.59999999999991</v>
      </c>
      <c r="P72" s="100">
        <v>12.502392344497604</v>
      </c>
      <c r="Q72" s="100">
        <v>930.17799043062166</v>
      </c>
      <c r="R72" s="100">
        <v>9</v>
      </c>
      <c r="S72" s="100">
        <v>669.59999999999991</v>
      </c>
      <c r="T72" s="100">
        <v>8</v>
      </c>
      <c r="U72" s="100">
        <v>595.19999999999993</v>
      </c>
      <c r="V72" s="100">
        <v>9</v>
      </c>
      <c r="W72" s="100">
        <v>669.59999999999991</v>
      </c>
      <c r="X72" s="100">
        <v>14</v>
      </c>
      <c r="Y72" s="100">
        <v>1041.5999999999999</v>
      </c>
      <c r="Z72" s="100">
        <v>15</v>
      </c>
      <c r="AA72" s="100">
        <v>1115.9999999999998</v>
      </c>
      <c r="AB72" s="100">
        <v>10</v>
      </c>
      <c r="AC72" s="100">
        <v>743.99999999999989</v>
      </c>
      <c r="AD72" s="100">
        <v>14</v>
      </c>
      <c r="AE72" s="100">
        <v>1041.5999999999999</v>
      </c>
      <c r="AF72" s="100">
        <v>10</v>
      </c>
      <c r="AG72" s="100">
        <v>743.99999999999989</v>
      </c>
      <c r="AH72" s="100">
        <v>12</v>
      </c>
      <c r="AI72" s="100">
        <v>892.8</v>
      </c>
      <c r="AJ72" s="100">
        <v>8.0326365563985238</v>
      </c>
      <c r="AK72" s="100">
        <v>597.62815979605011</v>
      </c>
      <c r="AL72" s="100">
        <v>11</v>
      </c>
      <c r="AM72" s="100">
        <v>818.39999999999986</v>
      </c>
      <c r="AN72" s="100">
        <v>13</v>
      </c>
      <c r="AO72" s="100">
        <v>967.19999999999993</v>
      </c>
      <c r="AP72" s="100">
        <v>7.7410283806520432</v>
      </c>
      <c r="AQ72" s="100">
        <v>575.93251152051198</v>
      </c>
      <c r="AR72" s="100">
        <v>9.9539170506912438</v>
      </c>
      <c r="AS72" s="100">
        <v>740.57142857142844</v>
      </c>
      <c r="AT72" s="100">
        <v>10.366492146596858</v>
      </c>
      <c r="AU72" s="100">
        <v>771.26701570680621</v>
      </c>
      <c r="AV72" s="100">
        <v>10.202429149797569</v>
      </c>
      <c r="AW72" s="100">
        <v>759.06072874493896</v>
      </c>
      <c r="AX72" s="100">
        <v>10.588235294117647</v>
      </c>
      <c r="AY72" s="100">
        <v>787.76470588235281</v>
      </c>
      <c r="AZ72" s="100">
        <v>5.391886477453661</v>
      </c>
      <c r="BA72" s="100">
        <v>401.15635392255234</v>
      </c>
      <c r="BB72" s="100">
        <v>11.414634146341463</v>
      </c>
      <c r="BC72" s="100">
        <v>849.24878048780477</v>
      </c>
      <c r="BD72" s="100">
        <v>14</v>
      </c>
      <c r="BE72" s="100">
        <v>1041.5999999999999</v>
      </c>
      <c r="BF72" s="100">
        <v>10</v>
      </c>
      <c r="BG72" s="100">
        <v>743.99999999999989</v>
      </c>
      <c r="BH72" s="100">
        <v>9</v>
      </c>
      <c r="BI72" s="100">
        <v>669.59999999999991</v>
      </c>
      <c r="BJ72" s="100">
        <v>7</v>
      </c>
      <c r="BK72" s="100">
        <v>520.79999999999995</v>
      </c>
      <c r="BL72" s="100">
        <v>12.260663507108998</v>
      </c>
      <c r="BM72" s="100">
        <v>912.19336492890932</v>
      </c>
      <c r="BN72" s="100">
        <v>9</v>
      </c>
      <c r="BO72" s="100">
        <v>669.59999999999991</v>
      </c>
      <c r="BP72" s="100">
        <v>11</v>
      </c>
      <c r="BQ72" s="100">
        <v>818.39999999999986</v>
      </c>
      <c r="BR72" s="100">
        <v>13</v>
      </c>
      <c r="BS72" s="100">
        <v>967.19999999999993</v>
      </c>
      <c r="BT72" s="100">
        <v>5.2177584401858583</v>
      </c>
      <c r="BU72" s="100">
        <v>388.2012279498278</v>
      </c>
      <c r="BV72" s="100">
        <v>9.8432366369690261</v>
      </c>
      <c r="BW72" s="100">
        <v>732.33680579049542</v>
      </c>
      <c r="BX72" s="100">
        <v>13</v>
      </c>
      <c r="BY72" s="100">
        <v>967.19999999999993</v>
      </c>
      <c r="BZ72" s="100">
        <v>11</v>
      </c>
      <c r="CA72" s="100">
        <v>818.39999999999986</v>
      </c>
      <c r="CB72" s="100">
        <v>10</v>
      </c>
      <c r="CC72" s="100">
        <v>743.99999999999989</v>
      </c>
      <c r="CD72" s="100">
        <v>10</v>
      </c>
      <c r="CE72" s="100">
        <v>743.99999999999989</v>
      </c>
      <c r="CF72" s="100">
        <v>13</v>
      </c>
      <c r="CG72" s="100">
        <v>967.19999999999993</v>
      </c>
      <c r="CH72" s="100">
        <v>8</v>
      </c>
      <c r="CI72" s="100">
        <v>595.19999999999993</v>
      </c>
      <c r="CJ72" s="100">
        <v>14</v>
      </c>
      <c r="CK72" s="100">
        <v>1041.5999999999999</v>
      </c>
      <c r="CL72" s="100">
        <v>7.1375786727785924</v>
      </c>
      <c r="CM72" s="100">
        <v>531.03585325472716</v>
      </c>
      <c r="CN72" s="100">
        <v>5.3211358324571147</v>
      </c>
      <c r="CO72" s="100">
        <v>395.89250593480926</v>
      </c>
      <c r="CP72" s="100">
        <v>10.80182111048039</v>
      </c>
      <c r="CQ72" s="100">
        <v>803.65549061974093</v>
      </c>
      <c r="CR72" s="100">
        <v>10.964467005076143</v>
      </c>
      <c r="CS72" s="100">
        <v>815.75634517766491</v>
      </c>
      <c r="CT72" s="100">
        <v>14</v>
      </c>
      <c r="CU72" s="100">
        <v>1041.5999999999999</v>
      </c>
    </row>
    <row r="73" spans="2:99">
      <c r="C73" s="99" t="s">
        <v>239</v>
      </c>
      <c r="D73" s="100">
        <v>9.1884091833359758</v>
      </c>
      <c r="E73" s="100">
        <v>5138.1584153214772</v>
      </c>
      <c r="F73" s="100">
        <v>9</v>
      </c>
      <c r="G73" s="100">
        <v>5032.7999999999993</v>
      </c>
      <c r="H73" s="100">
        <v>11</v>
      </c>
      <c r="I73" s="100">
        <v>6151.1999999999989</v>
      </c>
      <c r="J73" s="100">
        <v>9.6900476301006435</v>
      </c>
      <c r="K73" s="100">
        <v>5418.6746347522794</v>
      </c>
      <c r="L73" s="100">
        <v>7.894919286223335E-16</v>
      </c>
      <c r="M73" s="100">
        <v>4.4148388648560886E-13</v>
      </c>
      <c r="N73" s="100">
        <v>9</v>
      </c>
      <c r="O73" s="100">
        <v>5032.7999999999993</v>
      </c>
      <c r="P73" s="100">
        <v>11.540669856459328</v>
      </c>
      <c r="Q73" s="100">
        <v>6453.5425837320554</v>
      </c>
      <c r="R73" s="100">
        <v>10</v>
      </c>
      <c r="S73" s="100">
        <v>5591.9999999999991</v>
      </c>
      <c r="T73" s="100">
        <v>8</v>
      </c>
      <c r="U73" s="100">
        <v>4473.5999999999995</v>
      </c>
      <c r="V73" s="100">
        <v>9</v>
      </c>
      <c r="W73" s="100">
        <v>5032.7999999999993</v>
      </c>
      <c r="X73" s="100">
        <v>12</v>
      </c>
      <c r="Y73" s="100">
        <v>6710.4</v>
      </c>
      <c r="Z73" s="100">
        <v>14</v>
      </c>
      <c r="AA73" s="100">
        <v>7828.7999999999993</v>
      </c>
      <c r="AB73" s="100">
        <v>10</v>
      </c>
      <c r="AC73" s="100">
        <v>5591.9999999999991</v>
      </c>
      <c r="AD73" s="100">
        <v>13</v>
      </c>
      <c r="AE73" s="100">
        <v>7269.5999999999995</v>
      </c>
      <c r="AF73" s="100">
        <v>11</v>
      </c>
      <c r="AG73" s="100">
        <v>6151.1999999999989</v>
      </c>
      <c r="AH73" s="100">
        <v>11</v>
      </c>
      <c r="AI73" s="100">
        <v>6151.1999999999989</v>
      </c>
      <c r="AJ73" s="100">
        <v>8.0326365563985238</v>
      </c>
      <c r="AK73" s="100">
        <v>4491.8503623380539</v>
      </c>
      <c r="AL73" s="100">
        <v>12</v>
      </c>
      <c r="AM73" s="100">
        <v>6710.4</v>
      </c>
      <c r="AN73" s="100">
        <v>11</v>
      </c>
      <c r="AO73" s="100">
        <v>6151.1999999999989</v>
      </c>
      <c r="AP73" s="100">
        <v>7.7410283806520432</v>
      </c>
      <c r="AQ73" s="100">
        <v>4328.7830704606222</v>
      </c>
      <c r="AR73" s="100">
        <v>9.9539170506912438</v>
      </c>
      <c r="AS73" s="100">
        <v>5566.2304147465429</v>
      </c>
      <c r="AT73" s="100">
        <v>11.308900523560208</v>
      </c>
      <c r="AU73" s="100">
        <v>6323.9371727748676</v>
      </c>
      <c r="AV73" s="100">
        <v>10.202429149797569</v>
      </c>
      <c r="AW73" s="100">
        <v>5705.1983805667996</v>
      </c>
      <c r="AX73" s="100">
        <v>9.7058823529411775</v>
      </c>
      <c r="AY73" s="100">
        <v>5427.5294117647054</v>
      </c>
      <c r="AZ73" s="100">
        <v>5.391886477453661</v>
      </c>
      <c r="BA73" s="100">
        <v>3015.1429181920867</v>
      </c>
      <c r="BB73" s="100">
        <v>9.6585365853658534</v>
      </c>
      <c r="BC73" s="100">
        <v>5401.0536585365844</v>
      </c>
      <c r="BD73" s="100">
        <v>14</v>
      </c>
      <c r="BE73" s="100">
        <v>7828.7999999999993</v>
      </c>
      <c r="BF73" s="100">
        <v>11</v>
      </c>
      <c r="BG73" s="100">
        <v>6151.1999999999989</v>
      </c>
      <c r="BH73" s="100">
        <v>8</v>
      </c>
      <c r="BI73" s="100">
        <v>4473.5999999999995</v>
      </c>
      <c r="BJ73" s="100">
        <v>8</v>
      </c>
      <c r="BK73" s="100">
        <v>4473.5999999999995</v>
      </c>
      <c r="BL73" s="100">
        <v>11.31753554502369</v>
      </c>
      <c r="BM73" s="100">
        <v>6328.7658767772464</v>
      </c>
      <c r="BN73" s="100">
        <v>11</v>
      </c>
      <c r="BO73" s="100">
        <v>6151.1999999999989</v>
      </c>
      <c r="BP73" s="100">
        <v>10</v>
      </c>
      <c r="BQ73" s="100">
        <v>5591.9999999999991</v>
      </c>
      <c r="BR73" s="100">
        <v>13</v>
      </c>
      <c r="BS73" s="100">
        <v>7269.5999999999995</v>
      </c>
      <c r="BT73" s="100">
        <v>5.6191244740463091</v>
      </c>
      <c r="BU73" s="100">
        <v>3142.2144058866957</v>
      </c>
      <c r="BV73" s="100">
        <v>9.1401483057569521</v>
      </c>
      <c r="BW73" s="100">
        <v>5111.1709325792872</v>
      </c>
      <c r="BX73" s="100">
        <v>13</v>
      </c>
      <c r="BY73" s="100">
        <v>7269.5999999999995</v>
      </c>
      <c r="BZ73" s="100">
        <v>11</v>
      </c>
      <c r="CA73" s="100">
        <v>6151.1999999999989</v>
      </c>
      <c r="CB73" s="100">
        <v>9</v>
      </c>
      <c r="CC73" s="100">
        <v>5032.7999999999993</v>
      </c>
      <c r="CD73" s="100">
        <v>11</v>
      </c>
      <c r="CE73" s="100">
        <v>6151.1999999999989</v>
      </c>
      <c r="CF73" s="100">
        <v>14</v>
      </c>
      <c r="CG73" s="100">
        <v>7828.7999999999993</v>
      </c>
      <c r="CH73" s="100">
        <v>8</v>
      </c>
      <c r="CI73" s="100">
        <v>4473.5999999999995</v>
      </c>
      <c r="CJ73" s="100">
        <v>16</v>
      </c>
      <c r="CK73" s="100">
        <v>8947.1999999999989</v>
      </c>
      <c r="CL73" s="100">
        <v>6.5427804500470428</v>
      </c>
      <c r="CM73" s="100">
        <v>3658.7228276663059</v>
      </c>
      <c r="CN73" s="100">
        <v>5.3211358324571147</v>
      </c>
      <c r="CO73" s="100">
        <v>2975.5791575100184</v>
      </c>
      <c r="CP73" s="100">
        <v>10.030262459731791</v>
      </c>
      <c r="CQ73" s="100">
        <v>5608.9227674820168</v>
      </c>
      <c r="CR73" s="100">
        <v>9.1370558375634516</v>
      </c>
      <c r="CS73" s="100">
        <v>5109.4416243654814</v>
      </c>
      <c r="CT73" s="100">
        <v>14</v>
      </c>
      <c r="CU73" s="100">
        <v>7828.7999999999993</v>
      </c>
    </row>
    <row r="74" spans="2:99">
      <c r="C74" s="99" t="s">
        <v>240</v>
      </c>
      <c r="D74" s="100">
        <v>9.1884091833359758</v>
      </c>
      <c r="E74" s="100">
        <v>3704.7665827210653</v>
      </c>
      <c r="F74" s="100">
        <v>10</v>
      </c>
      <c r="G74" s="100">
        <v>4032</v>
      </c>
      <c r="H74" s="100">
        <v>12</v>
      </c>
      <c r="I74" s="100">
        <v>4838.3999999999996</v>
      </c>
      <c r="J74" s="100">
        <v>9.6900476301006435</v>
      </c>
      <c r="K74" s="100">
        <v>3907.0272044565795</v>
      </c>
      <c r="L74" s="100">
        <v>7.894919286223335E-16</v>
      </c>
      <c r="M74" s="100">
        <v>3.1832314562052486E-13</v>
      </c>
      <c r="N74" s="100">
        <v>9</v>
      </c>
      <c r="O74" s="100">
        <v>3628.7999999999997</v>
      </c>
      <c r="P74" s="100">
        <v>11.540669856459328</v>
      </c>
      <c r="Q74" s="100">
        <v>4653.198086124401</v>
      </c>
      <c r="R74" s="100">
        <v>11</v>
      </c>
      <c r="S74" s="100">
        <v>4435.2</v>
      </c>
      <c r="T74" s="100">
        <v>9</v>
      </c>
      <c r="U74" s="100">
        <v>3628.7999999999997</v>
      </c>
      <c r="V74" s="100">
        <v>8</v>
      </c>
      <c r="W74" s="100">
        <v>3225.6</v>
      </c>
      <c r="X74" s="100">
        <v>13</v>
      </c>
      <c r="Y74" s="100">
        <v>5241.5999999999995</v>
      </c>
      <c r="Z74" s="100">
        <v>15</v>
      </c>
      <c r="AA74" s="100">
        <v>6048</v>
      </c>
      <c r="AB74" s="100">
        <v>9</v>
      </c>
      <c r="AC74" s="100">
        <v>3628.7999999999997</v>
      </c>
      <c r="AD74" s="100">
        <v>12</v>
      </c>
      <c r="AE74" s="100">
        <v>4838.3999999999996</v>
      </c>
      <c r="AF74" s="100">
        <v>10</v>
      </c>
      <c r="AG74" s="100">
        <v>4032</v>
      </c>
      <c r="AH74" s="100">
        <v>13</v>
      </c>
      <c r="AI74" s="100">
        <v>5241.5999999999995</v>
      </c>
      <c r="AJ74" s="100">
        <v>8.8359002120383749</v>
      </c>
      <c r="AK74" s="100">
        <v>3562.6349654938726</v>
      </c>
      <c r="AL74" s="100">
        <v>12</v>
      </c>
      <c r="AM74" s="100">
        <v>4838.3999999999996</v>
      </c>
      <c r="AN74" s="100">
        <v>13</v>
      </c>
      <c r="AO74" s="100">
        <v>5241.5999999999995</v>
      </c>
      <c r="AP74" s="100">
        <v>7.7410283806520432</v>
      </c>
      <c r="AQ74" s="100">
        <v>3121.1826430789038</v>
      </c>
      <c r="AR74" s="100">
        <v>10.783410138248845</v>
      </c>
      <c r="AS74" s="100">
        <v>4347.8709677419347</v>
      </c>
      <c r="AT74" s="100">
        <v>11.308900523560208</v>
      </c>
      <c r="AU74" s="100">
        <v>4559.7486910994758</v>
      </c>
      <c r="AV74" s="100">
        <v>10.202429149797569</v>
      </c>
      <c r="AW74" s="100">
        <v>4113.6194331983797</v>
      </c>
      <c r="AX74" s="100">
        <v>9.7058823529411775</v>
      </c>
      <c r="AY74" s="100">
        <v>3913.4117647058829</v>
      </c>
      <c r="AZ74" s="100">
        <v>4.852697829708295</v>
      </c>
      <c r="BA74" s="100">
        <v>1956.6077649383844</v>
      </c>
      <c r="BB74" s="100">
        <v>9.6585365853658534</v>
      </c>
      <c r="BC74" s="100">
        <v>3894.3219512195119</v>
      </c>
      <c r="BD74" s="100">
        <v>13</v>
      </c>
      <c r="BE74" s="100">
        <v>5241.5999999999995</v>
      </c>
      <c r="BF74" s="100">
        <v>10</v>
      </c>
      <c r="BG74" s="100">
        <v>4032</v>
      </c>
      <c r="BH74" s="100">
        <v>9</v>
      </c>
      <c r="BI74" s="100">
        <v>3628.7999999999997</v>
      </c>
      <c r="BJ74" s="100">
        <v>7</v>
      </c>
      <c r="BK74" s="100">
        <v>2822.4</v>
      </c>
      <c r="BL74" s="100">
        <v>12.260663507108998</v>
      </c>
      <c r="BM74" s="100">
        <v>4943.4995260663472</v>
      </c>
      <c r="BN74" s="100">
        <v>10</v>
      </c>
      <c r="BO74" s="100">
        <v>4032</v>
      </c>
      <c r="BP74" s="100">
        <v>11</v>
      </c>
      <c r="BQ74" s="100">
        <v>4435.2</v>
      </c>
      <c r="BR74" s="100">
        <v>12</v>
      </c>
      <c r="BS74" s="100">
        <v>4838.3999999999996</v>
      </c>
      <c r="BT74" s="100">
        <v>4.8163924063254084</v>
      </c>
      <c r="BU74" s="100">
        <v>1941.9694182304047</v>
      </c>
      <c r="BV74" s="100">
        <v>9.1401483057569521</v>
      </c>
      <c r="BW74" s="100">
        <v>3685.3077968812031</v>
      </c>
      <c r="BX74" s="100">
        <v>13</v>
      </c>
      <c r="BY74" s="100">
        <v>5241.5999999999995</v>
      </c>
      <c r="BZ74" s="100">
        <v>12</v>
      </c>
      <c r="CA74" s="100">
        <v>4838.3999999999996</v>
      </c>
      <c r="CB74" s="100">
        <v>9</v>
      </c>
      <c r="CC74" s="100">
        <v>3628.7999999999997</v>
      </c>
      <c r="CD74" s="100">
        <v>11</v>
      </c>
      <c r="CE74" s="100">
        <v>4435.2</v>
      </c>
      <c r="CF74" s="100">
        <v>14</v>
      </c>
      <c r="CG74" s="100">
        <v>5644.8</v>
      </c>
      <c r="CH74" s="100">
        <v>9</v>
      </c>
      <c r="CI74" s="100">
        <v>3628.7999999999997</v>
      </c>
      <c r="CJ74" s="100">
        <v>14</v>
      </c>
      <c r="CK74" s="100">
        <v>5644.8</v>
      </c>
      <c r="CL74" s="100">
        <v>7.1375786727785924</v>
      </c>
      <c r="CM74" s="100">
        <v>2877.8717208643284</v>
      </c>
      <c r="CN74" s="100">
        <v>5.3211358324571147</v>
      </c>
      <c r="CO74" s="100">
        <v>2145.4819676467087</v>
      </c>
      <c r="CP74" s="100">
        <v>10.80182111048039</v>
      </c>
      <c r="CQ74" s="100">
        <v>4355.2942717456926</v>
      </c>
      <c r="CR74" s="100">
        <v>10.964467005076143</v>
      </c>
      <c r="CS74" s="100">
        <v>4420.8730964467004</v>
      </c>
      <c r="CT74" s="100">
        <v>14</v>
      </c>
      <c r="CU74" s="100">
        <v>5644.8</v>
      </c>
    </row>
    <row r="75" spans="2:99">
      <c r="C75" s="99" t="s">
        <v>241</v>
      </c>
      <c r="D75" s="100">
        <v>7.8757793000022662</v>
      </c>
      <c r="E75" s="100">
        <v>5065.7012457614574</v>
      </c>
      <c r="F75" s="100">
        <v>11</v>
      </c>
      <c r="G75" s="100">
        <v>7075.1999999999989</v>
      </c>
      <c r="H75" s="100">
        <v>12</v>
      </c>
      <c r="I75" s="100">
        <v>7718.4</v>
      </c>
      <c r="J75" s="100">
        <v>8.9446593508621319</v>
      </c>
      <c r="K75" s="100">
        <v>5753.2048944745229</v>
      </c>
      <c r="L75" s="100">
        <v>7.01770603219852E-16</v>
      </c>
      <c r="M75" s="100">
        <v>4.5137885199100877E-13</v>
      </c>
      <c r="N75" s="100">
        <v>8</v>
      </c>
      <c r="O75" s="100">
        <v>5145.5999999999995</v>
      </c>
      <c r="P75" s="100">
        <v>11.540669856459328</v>
      </c>
      <c r="Q75" s="100">
        <v>7422.9588516746389</v>
      </c>
      <c r="R75" s="100">
        <v>10</v>
      </c>
      <c r="S75" s="100">
        <v>6431.9999999999991</v>
      </c>
      <c r="T75" s="100">
        <v>8</v>
      </c>
      <c r="U75" s="100">
        <v>5145.5999999999995</v>
      </c>
      <c r="V75" s="100">
        <v>10</v>
      </c>
      <c r="W75" s="100">
        <v>6431.9999999999991</v>
      </c>
      <c r="X75" s="100">
        <v>13</v>
      </c>
      <c r="Y75" s="100">
        <v>8361.5999999999985</v>
      </c>
      <c r="Z75" s="100">
        <v>14</v>
      </c>
      <c r="AA75" s="100">
        <v>9004.7999999999993</v>
      </c>
      <c r="AB75" s="100">
        <v>10</v>
      </c>
      <c r="AC75" s="100">
        <v>6431.9999999999991</v>
      </c>
      <c r="AD75" s="100">
        <v>12</v>
      </c>
      <c r="AE75" s="100">
        <v>7718.4</v>
      </c>
      <c r="AF75" s="100">
        <v>10</v>
      </c>
      <c r="AG75" s="100">
        <v>6431.9999999999991</v>
      </c>
      <c r="AH75" s="100">
        <v>12</v>
      </c>
      <c r="AI75" s="100">
        <v>7718.4</v>
      </c>
      <c r="AJ75" s="100">
        <v>8.0326365563985238</v>
      </c>
      <c r="AK75" s="100">
        <v>5166.5918330755303</v>
      </c>
      <c r="AL75" s="100">
        <v>12</v>
      </c>
      <c r="AM75" s="100">
        <v>7718.4</v>
      </c>
      <c r="AN75" s="100">
        <v>12</v>
      </c>
      <c r="AO75" s="100">
        <v>7718.4</v>
      </c>
      <c r="AP75" s="100">
        <v>7.7410283806520432</v>
      </c>
      <c r="AQ75" s="100">
        <v>4979.0294544353937</v>
      </c>
      <c r="AR75" s="100">
        <v>9.9539170506912438</v>
      </c>
      <c r="AS75" s="100">
        <v>6402.3594470046073</v>
      </c>
      <c r="AT75" s="100">
        <v>10.366492146596858</v>
      </c>
      <c r="AU75" s="100">
        <v>6667.7277486910989</v>
      </c>
      <c r="AV75" s="100">
        <v>10.931174089068824</v>
      </c>
      <c r="AW75" s="100">
        <v>7030.9311740890671</v>
      </c>
      <c r="AX75" s="100">
        <v>9.7058823529411775</v>
      </c>
      <c r="AY75" s="100">
        <v>6242.8235294117649</v>
      </c>
      <c r="AZ75" s="100">
        <v>4.852697829708295</v>
      </c>
      <c r="BA75" s="100">
        <v>3121.2552440683749</v>
      </c>
      <c r="BB75" s="100">
        <v>10.536585365853659</v>
      </c>
      <c r="BC75" s="100">
        <v>6777.1317073170731</v>
      </c>
      <c r="BD75" s="100">
        <v>13</v>
      </c>
      <c r="BE75" s="100">
        <v>8361.5999999999985</v>
      </c>
      <c r="BF75" s="100">
        <v>10</v>
      </c>
      <c r="BG75" s="100">
        <v>6431.9999999999991</v>
      </c>
      <c r="BH75" s="100">
        <v>10</v>
      </c>
      <c r="BI75" s="100">
        <v>6431.9999999999991</v>
      </c>
      <c r="BJ75" s="100">
        <v>8</v>
      </c>
      <c r="BK75" s="100">
        <v>5145.5999999999995</v>
      </c>
      <c r="BL75" s="100">
        <v>11.31753554502369</v>
      </c>
      <c r="BM75" s="100">
        <v>7279.4388625592364</v>
      </c>
      <c r="BN75" s="100">
        <v>11</v>
      </c>
      <c r="BO75" s="100">
        <v>7075.1999999999989</v>
      </c>
      <c r="BP75" s="100">
        <v>10</v>
      </c>
      <c r="BQ75" s="100">
        <v>6431.9999999999991</v>
      </c>
      <c r="BR75" s="100">
        <v>14</v>
      </c>
      <c r="BS75" s="100">
        <v>9004.7999999999993</v>
      </c>
      <c r="BT75" s="100">
        <v>5.2177584401858583</v>
      </c>
      <c r="BU75" s="100">
        <v>3356.0622287275437</v>
      </c>
      <c r="BV75" s="100">
        <v>9.8432366369690261</v>
      </c>
      <c r="BW75" s="100">
        <v>6331.1698048984772</v>
      </c>
      <c r="BX75" s="100">
        <v>13</v>
      </c>
      <c r="BY75" s="100">
        <v>8361.5999999999985</v>
      </c>
      <c r="BZ75" s="100">
        <v>13</v>
      </c>
      <c r="CA75" s="100">
        <v>8361.5999999999985</v>
      </c>
      <c r="CB75" s="100">
        <v>9</v>
      </c>
      <c r="CC75" s="100">
        <v>5788.7999999999993</v>
      </c>
      <c r="CD75" s="100">
        <v>10</v>
      </c>
      <c r="CE75" s="100">
        <v>6431.9999999999991</v>
      </c>
      <c r="CF75" s="100">
        <v>13</v>
      </c>
      <c r="CG75" s="100">
        <v>8361.5999999999985</v>
      </c>
      <c r="CH75" s="100">
        <v>8</v>
      </c>
      <c r="CI75" s="100">
        <v>5145.5999999999995</v>
      </c>
      <c r="CJ75" s="100">
        <v>15</v>
      </c>
      <c r="CK75" s="100">
        <v>9647.9999999999982</v>
      </c>
      <c r="CL75" s="100">
        <v>6.5427804500470428</v>
      </c>
      <c r="CM75" s="100">
        <v>4208.316385470257</v>
      </c>
      <c r="CN75" s="100">
        <v>5.3211358324571147</v>
      </c>
      <c r="CO75" s="100">
        <v>3422.5545674364157</v>
      </c>
      <c r="CP75" s="100">
        <v>10.030262459731791</v>
      </c>
      <c r="CQ75" s="100">
        <v>6451.4648140994868</v>
      </c>
      <c r="CR75" s="100">
        <v>10.050761421319796</v>
      </c>
      <c r="CS75" s="100">
        <v>6464.6497461928921</v>
      </c>
      <c r="CT75" s="100">
        <v>16</v>
      </c>
      <c r="CU75" s="100">
        <v>10291.199999999999</v>
      </c>
    </row>
    <row r="76" spans="2:99">
      <c r="C76" s="99" t="s">
        <v>242</v>
      </c>
      <c r="D76" s="100">
        <v>8.532094241669121</v>
      </c>
      <c r="E76" s="100">
        <v>6644.7949954119113</v>
      </c>
      <c r="F76" s="100">
        <v>11</v>
      </c>
      <c r="G76" s="100">
        <v>8566.7999999999993</v>
      </c>
      <c r="H76" s="100">
        <v>11</v>
      </c>
      <c r="I76" s="100">
        <v>8566.7999999999993</v>
      </c>
      <c r="J76" s="100">
        <v>8.1992710716236221</v>
      </c>
      <c r="K76" s="100">
        <v>6385.5923105804768</v>
      </c>
      <c r="L76" s="100">
        <v>7.01770603219852E-16</v>
      </c>
      <c r="M76" s="100">
        <v>5.4653894578762071E-13</v>
      </c>
      <c r="N76" s="100">
        <v>9</v>
      </c>
      <c r="O76" s="100">
        <v>7009.2</v>
      </c>
      <c r="P76" s="100">
        <v>10.57894736842105</v>
      </c>
      <c r="Q76" s="100">
        <v>8238.884210526312</v>
      </c>
      <c r="R76" s="100">
        <v>10</v>
      </c>
      <c r="S76" s="100">
        <v>7788</v>
      </c>
      <c r="T76" s="100">
        <v>8</v>
      </c>
      <c r="U76" s="100">
        <v>6230.4</v>
      </c>
      <c r="V76" s="100">
        <v>9</v>
      </c>
      <c r="W76" s="100">
        <v>7009.2</v>
      </c>
      <c r="X76" s="100">
        <v>12</v>
      </c>
      <c r="Y76" s="100">
        <v>9345.5999999999985</v>
      </c>
      <c r="Z76" s="100">
        <v>13</v>
      </c>
      <c r="AA76" s="100">
        <v>10124.4</v>
      </c>
      <c r="AB76" s="100">
        <v>10</v>
      </c>
      <c r="AC76" s="100">
        <v>7788</v>
      </c>
      <c r="AD76" s="100">
        <v>13</v>
      </c>
      <c r="AE76" s="100">
        <v>10124.4</v>
      </c>
      <c r="AF76" s="100">
        <v>10</v>
      </c>
      <c r="AG76" s="100">
        <v>7788</v>
      </c>
      <c r="AH76" s="100">
        <v>12</v>
      </c>
      <c r="AI76" s="100">
        <v>9345.5999999999985</v>
      </c>
      <c r="AJ76" s="100">
        <v>8.8359002120383749</v>
      </c>
      <c r="AK76" s="100">
        <v>6881.3990851354856</v>
      </c>
      <c r="AL76" s="100">
        <v>12</v>
      </c>
      <c r="AM76" s="100">
        <v>9345.5999999999985</v>
      </c>
      <c r="AN76" s="100">
        <v>12</v>
      </c>
      <c r="AO76" s="100">
        <v>9345.5999999999985</v>
      </c>
      <c r="AP76" s="100">
        <v>7.7410283806520432</v>
      </c>
      <c r="AQ76" s="100">
        <v>6028.7129028518111</v>
      </c>
      <c r="AR76" s="100">
        <v>9.9539170506912438</v>
      </c>
      <c r="AS76" s="100">
        <v>7752.1105990783399</v>
      </c>
      <c r="AT76" s="100">
        <v>11.308900523560208</v>
      </c>
      <c r="AU76" s="100">
        <v>8807.3717277486903</v>
      </c>
      <c r="AV76" s="100">
        <v>10.931174089068824</v>
      </c>
      <c r="AW76" s="100">
        <v>8513.1983805667987</v>
      </c>
      <c r="AX76" s="100">
        <v>9.7058823529411775</v>
      </c>
      <c r="AY76" s="100">
        <v>7558.9411764705883</v>
      </c>
      <c r="AZ76" s="100">
        <v>4.852697829708295</v>
      </c>
      <c r="BA76" s="100">
        <v>3779.28106977682</v>
      </c>
      <c r="BB76" s="100">
        <v>9.6585365853658534</v>
      </c>
      <c r="BC76" s="100">
        <v>7522.0682926829259</v>
      </c>
      <c r="BD76" s="100">
        <v>12</v>
      </c>
      <c r="BE76" s="100">
        <v>9345.5999999999985</v>
      </c>
      <c r="BF76" s="100">
        <v>10</v>
      </c>
      <c r="BG76" s="100">
        <v>7788</v>
      </c>
      <c r="BH76" s="100">
        <v>8</v>
      </c>
      <c r="BI76" s="100">
        <v>6230.4</v>
      </c>
      <c r="BJ76" s="100">
        <v>8</v>
      </c>
      <c r="BK76" s="100">
        <v>6230.4</v>
      </c>
      <c r="BL76" s="100">
        <v>11.31753554502369</v>
      </c>
      <c r="BM76" s="100">
        <v>8814.0966824644493</v>
      </c>
      <c r="BN76" s="100">
        <v>11</v>
      </c>
      <c r="BO76" s="100">
        <v>8566.7999999999993</v>
      </c>
      <c r="BP76" s="100">
        <v>10</v>
      </c>
      <c r="BQ76" s="100">
        <v>7788</v>
      </c>
      <c r="BR76" s="100">
        <v>11</v>
      </c>
      <c r="BS76" s="100">
        <v>8566.7999999999993</v>
      </c>
      <c r="BT76" s="100">
        <v>5.6191244740463091</v>
      </c>
      <c r="BU76" s="100">
        <v>4376.1741403872657</v>
      </c>
      <c r="BV76" s="100">
        <v>9.8432366369690261</v>
      </c>
      <c r="BW76" s="100">
        <v>7665.9126928714768</v>
      </c>
      <c r="BX76" s="100">
        <v>13</v>
      </c>
      <c r="BY76" s="100">
        <v>10124.4</v>
      </c>
      <c r="BZ76" s="100">
        <v>12</v>
      </c>
      <c r="CA76" s="100">
        <v>9345.5999999999985</v>
      </c>
      <c r="CB76" s="100">
        <v>9</v>
      </c>
      <c r="CC76" s="100">
        <v>7009.2</v>
      </c>
      <c r="CD76" s="100">
        <v>9</v>
      </c>
      <c r="CE76" s="100">
        <v>7009.2</v>
      </c>
      <c r="CF76" s="100">
        <v>13</v>
      </c>
      <c r="CG76" s="100">
        <v>10124.4</v>
      </c>
      <c r="CH76" s="100">
        <v>7</v>
      </c>
      <c r="CI76" s="100">
        <v>5451.5999999999995</v>
      </c>
      <c r="CJ76" s="100">
        <v>15</v>
      </c>
      <c r="CK76" s="100">
        <v>11682</v>
      </c>
      <c r="CL76" s="100">
        <v>6.5427804500470428</v>
      </c>
      <c r="CM76" s="100">
        <v>5095.5174144966368</v>
      </c>
      <c r="CN76" s="100">
        <v>5.3211358324571147</v>
      </c>
      <c r="CO76" s="100">
        <v>4144.1005863176006</v>
      </c>
      <c r="CP76" s="100">
        <v>10.030262459731791</v>
      </c>
      <c r="CQ76" s="100">
        <v>7811.5684036391185</v>
      </c>
      <c r="CR76" s="100">
        <v>10.050761421319796</v>
      </c>
      <c r="CS76" s="100">
        <v>7827.5329949238567</v>
      </c>
      <c r="CT76" s="100">
        <v>13</v>
      </c>
      <c r="CU76" s="100">
        <v>10124.4</v>
      </c>
    </row>
    <row r="77" spans="2:99">
      <c r="C77" s="99" t="s">
        <v>243</v>
      </c>
      <c r="D77" s="100">
        <v>9.1884091833359758</v>
      </c>
      <c r="E77" s="100">
        <v>2558.0531166407354</v>
      </c>
      <c r="F77" s="100">
        <v>9</v>
      </c>
      <c r="G77" s="100">
        <v>2505.6</v>
      </c>
      <c r="H77" s="100">
        <v>13</v>
      </c>
      <c r="I77" s="100">
        <v>3619.2</v>
      </c>
      <c r="J77" s="100">
        <v>9.6900476301006435</v>
      </c>
      <c r="K77" s="100">
        <v>2697.7092602200191</v>
      </c>
      <c r="L77" s="100">
        <v>7.894919286223335E-16</v>
      </c>
      <c r="M77" s="100">
        <v>2.1979455292845763E-13</v>
      </c>
      <c r="N77" s="100">
        <v>9</v>
      </c>
      <c r="O77" s="100">
        <v>2505.6</v>
      </c>
      <c r="P77" s="100">
        <v>10.57894736842105</v>
      </c>
      <c r="Q77" s="100">
        <v>2945.1789473684198</v>
      </c>
      <c r="R77" s="100">
        <v>10</v>
      </c>
      <c r="S77" s="100">
        <v>2784</v>
      </c>
      <c r="T77" s="100">
        <v>9</v>
      </c>
      <c r="U77" s="100">
        <v>2505.6</v>
      </c>
      <c r="V77" s="100">
        <v>9</v>
      </c>
      <c r="W77" s="100">
        <v>2505.6</v>
      </c>
      <c r="X77" s="100">
        <v>12</v>
      </c>
      <c r="Y77" s="100">
        <v>3340.7999999999997</v>
      </c>
      <c r="Z77" s="100">
        <v>14</v>
      </c>
      <c r="AA77" s="100">
        <v>3897.5999999999995</v>
      </c>
      <c r="AB77" s="100">
        <v>11</v>
      </c>
      <c r="AC77" s="100">
        <v>3062.3999999999996</v>
      </c>
      <c r="AD77" s="100">
        <v>12</v>
      </c>
      <c r="AE77" s="100">
        <v>3340.7999999999997</v>
      </c>
      <c r="AF77" s="100">
        <v>11</v>
      </c>
      <c r="AG77" s="100">
        <v>3062.3999999999996</v>
      </c>
      <c r="AH77" s="100">
        <v>13</v>
      </c>
      <c r="AI77" s="100">
        <v>3619.2</v>
      </c>
      <c r="AJ77" s="100">
        <v>8.0326365563985238</v>
      </c>
      <c r="AK77" s="100">
        <v>2236.2860173013487</v>
      </c>
      <c r="AL77" s="100">
        <v>11</v>
      </c>
      <c r="AM77" s="100">
        <v>3062.3999999999996</v>
      </c>
      <c r="AN77" s="100">
        <v>12</v>
      </c>
      <c r="AO77" s="100">
        <v>3340.7999999999997</v>
      </c>
      <c r="AP77" s="100">
        <v>7.1880977820340402</v>
      </c>
      <c r="AQ77" s="100">
        <v>2001.1664225182767</v>
      </c>
      <c r="AR77" s="100">
        <v>9.9539170506912438</v>
      </c>
      <c r="AS77" s="100">
        <v>2771.1705069124419</v>
      </c>
      <c r="AT77" s="100">
        <v>10.366492146596858</v>
      </c>
      <c r="AU77" s="100">
        <v>2886.0314136125653</v>
      </c>
      <c r="AV77" s="100">
        <v>10.202429149797569</v>
      </c>
      <c r="AW77" s="100">
        <v>2840.3562753036426</v>
      </c>
      <c r="AX77" s="100">
        <v>9.7058823529411775</v>
      </c>
      <c r="AY77" s="100">
        <v>2702.1176470588234</v>
      </c>
      <c r="AZ77" s="100">
        <v>5.391886477453661</v>
      </c>
      <c r="BA77" s="100">
        <v>1501.1011953230991</v>
      </c>
      <c r="BB77" s="100">
        <v>10.536585365853659</v>
      </c>
      <c r="BC77" s="100">
        <v>2933.3853658536586</v>
      </c>
      <c r="BD77" s="100">
        <v>14</v>
      </c>
      <c r="BE77" s="100">
        <v>3897.5999999999995</v>
      </c>
      <c r="BF77" s="100">
        <v>9</v>
      </c>
      <c r="BG77" s="100">
        <v>2505.6</v>
      </c>
      <c r="BH77" s="100">
        <v>10</v>
      </c>
      <c r="BI77" s="100">
        <v>2784</v>
      </c>
      <c r="BJ77" s="100">
        <v>8</v>
      </c>
      <c r="BK77" s="100">
        <v>2227.1999999999998</v>
      </c>
      <c r="BL77" s="100">
        <v>11.31753554502369</v>
      </c>
      <c r="BM77" s="100">
        <v>3150.8018957345948</v>
      </c>
      <c r="BN77" s="100">
        <v>9</v>
      </c>
      <c r="BO77" s="100">
        <v>2505.6</v>
      </c>
      <c r="BP77" s="100">
        <v>10</v>
      </c>
      <c r="BQ77" s="100">
        <v>2784</v>
      </c>
      <c r="BR77" s="100">
        <v>14</v>
      </c>
      <c r="BS77" s="100">
        <v>3897.5999999999995</v>
      </c>
      <c r="BT77" s="100">
        <v>6.0204905079067599</v>
      </c>
      <c r="BU77" s="100">
        <v>1676.1045574012419</v>
      </c>
      <c r="BV77" s="100">
        <v>9.1401483057569521</v>
      </c>
      <c r="BW77" s="100">
        <v>2544.6172883227355</v>
      </c>
      <c r="BX77" s="100">
        <v>13</v>
      </c>
      <c r="BY77" s="100">
        <v>3619.2</v>
      </c>
      <c r="BZ77" s="100">
        <v>12</v>
      </c>
      <c r="CA77" s="100">
        <v>3340.7999999999997</v>
      </c>
      <c r="CB77" s="100">
        <v>10</v>
      </c>
      <c r="CC77" s="100">
        <v>2784</v>
      </c>
      <c r="CD77" s="100">
        <v>10</v>
      </c>
      <c r="CE77" s="100">
        <v>2784</v>
      </c>
      <c r="CF77" s="100">
        <v>14</v>
      </c>
      <c r="CG77" s="100">
        <v>3897.5999999999995</v>
      </c>
      <c r="CH77" s="100">
        <v>8</v>
      </c>
      <c r="CI77" s="100">
        <v>2227.1999999999998</v>
      </c>
      <c r="CJ77" s="100">
        <v>16</v>
      </c>
      <c r="CK77" s="100">
        <v>4454.3999999999996</v>
      </c>
      <c r="CL77" s="100">
        <v>6.5427804500470428</v>
      </c>
      <c r="CM77" s="100">
        <v>1821.5100772930966</v>
      </c>
      <c r="CN77" s="100">
        <v>5.3211358324571147</v>
      </c>
      <c r="CO77" s="100">
        <v>1481.4042157560607</v>
      </c>
      <c r="CP77" s="100">
        <v>10.030262459731791</v>
      </c>
      <c r="CQ77" s="100">
        <v>2792.4250687893305</v>
      </c>
      <c r="CR77" s="100">
        <v>10.050761421319796</v>
      </c>
      <c r="CS77" s="100">
        <v>2798.1319796954313</v>
      </c>
      <c r="CT77" s="100">
        <v>15</v>
      </c>
      <c r="CU77" s="100">
        <v>4176</v>
      </c>
    </row>
    <row r="78" spans="2:99">
      <c r="C78" s="99" t="s">
        <v>244</v>
      </c>
      <c r="D78" s="100">
        <v>9.1884091833359758</v>
      </c>
      <c r="E78" s="100">
        <v>5072.0018692014582</v>
      </c>
      <c r="F78" s="100">
        <v>10</v>
      </c>
      <c r="G78" s="100">
        <v>5520</v>
      </c>
      <c r="H78" s="100">
        <v>12</v>
      </c>
      <c r="I78" s="100">
        <v>6624</v>
      </c>
      <c r="J78" s="100">
        <v>8.1992710716236221</v>
      </c>
      <c r="K78" s="100">
        <v>4525.9976315362392</v>
      </c>
      <c r="L78" s="100">
        <v>8.77213254024815E-16</v>
      </c>
      <c r="M78" s="100">
        <v>4.8422171622169783E-13</v>
      </c>
      <c r="N78" s="100">
        <v>9</v>
      </c>
      <c r="O78" s="100">
        <v>4968</v>
      </c>
      <c r="P78" s="100">
        <v>11.540669856459328</v>
      </c>
      <c r="Q78" s="100">
        <v>6370.4497607655485</v>
      </c>
      <c r="R78" s="100">
        <v>10</v>
      </c>
      <c r="S78" s="100">
        <v>5520</v>
      </c>
      <c r="T78" s="100">
        <v>9</v>
      </c>
      <c r="U78" s="100">
        <v>4968</v>
      </c>
      <c r="V78" s="100">
        <v>8</v>
      </c>
      <c r="W78" s="100">
        <v>4416</v>
      </c>
      <c r="X78" s="100">
        <v>13</v>
      </c>
      <c r="Y78" s="100">
        <v>7176</v>
      </c>
      <c r="Z78" s="100">
        <v>14</v>
      </c>
      <c r="AA78" s="100">
        <v>7728</v>
      </c>
      <c r="AB78" s="100">
        <v>11</v>
      </c>
      <c r="AC78" s="100">
        <v>6072</v>
      </c>
      <c r="AD78" s="100">
        <v>13</v>
      </c>
      <c r="AE78" s="100">
        <v>7176</v>
      </c>
      <c r="AF78" s="100">
        <v>10</v>
      </c>
      <c r="AG78" s="100">
        <v>5520</v>
      </c>
      <c r="AH78" s="100">
        <v>11</v>
      </c>
      <c r="AI78" s="100">
        <v>6072</v>
      </c>
      <c r="AJ78" s="100">
        <v>8.8359002120383749</v>
      </c>
      <c r="AK78" s="100">
        <v>4877.4169170451833</v>
      </c>
      <c r="AL78" s="100">
        <v>10</v>
      </c>
      <c r="AM78" s="100">
        <v>5520</v>
      </c>
      <c r="AN78" s="100">
        <v>11</v>
      </c>
      <c r="AO78" s="100">
        <v>6072</v>
      </c>
      <c r="AP78" s="100">
        <v>7.7410283806520432</v>
      </c>
      <c r="AQ78" s="100">
        <v>4273.0476661199282</v>
      </c>
      <c r="AR78" s="100">
        <v>10.783410138248845</v>
      </c>
      <c r="AS78" s="100">
        <v>5952.4423963133622</v>
      </c>
      <c r="AT78" s="100">
        <v>10.366492146596858</v>
      </c>
      <c r="AU78" s="100">
        <v>5722.3036649214655</v>
      </c>
      <c r="AV78" s="100">
        <v>10.202429149797569</v>
      </c>
      <c r="AW78" s="100">
        <v>5631.7408906882574</v>
      </c>
      <c r="AX78" s="100">
        <v>9.7058823529411775</v>
      </c>
      <c r="AY78" s="100">
        <v>5357.6470588235297</v>
      </c>
      <c r="AZ78" s="100">
        <v>4.852697829708295</v>
      </c>
      <c r="BA78" s="100">
        <v>2678.6892019989787</v>
      </c>
      <c r="BB78" s="100">
        <v>10.536585365853659</v>
      </c>
      <c r="BC78" s="100">
        <v>5816.1951219512193</v>
      </c>
      <c r="BD78" s="100">
        <v>13</v>
      </c>
      <c r="BE78" s="100">
        <v>7176</v>
      </c>
      <c r="BF78" s="100">
        <v>10</v>
      </c>
      <c r="BG78" s="100">
        <v>5520</v>
      </c>
      <c r="BH78" s="100">
        <v>8</v>
      </c>
      <c r="BI78" s="100">
        <v>4416</v>
      </c>
      <c r="BJ78" s="100">
        <v>8</v>
      </c>
      <c r="BK78" s="100">
        <v>4416</v>
      </c>
      <c r="BL78" s="100">
        <v>12.260663507108998</v>
      </c>
      <c r="BM78" s="100">
        <v>6767.886255924167</v>
      </c>
      <c r="BN78" s="100">
        <v>10</v>
      </c>
      <c r="BO78" s="100">
        <v>5520</v>
      </c>
      <c r="BP78" s="100">
        <v>10</v>
      </c>
      <c r="BQ78" s="100">
        <v>5520</v>
      </c>
      <c r="BR78" s="100">
        <v>12</v>
      </c>
      <c r="BS78" s="100">
        <v>6624</v>
      </c>
      <c r="BT78" s="100">
        <v>5.6191244740463091</v>
      </c>
      <c r="BU78" s="100">
        <v>3101.7567096735625</v>
      </c>
      <c r="BV78" s="100">
        <v>8.43705997454488</v>
      </c>
      <c r="BW78" s="100">
        <v>4657.2571059487736</v>
      </c>
      <c r="BX78" s="100">
        <v>13</v>
      </c>
      <c r="BY78" s="100">
        <v>7176</v>
      </c>
      <c r="BZ78" s="100">
        <v>11</v>
      </c>
      <c r="CA78" s="100">
        <v>6072</v>
      </c>
      <c r="CB78" s="100">
        <v>10</v>
      </c>
      <c r="CC78" s="100">
        <v>5520</v>
      </c>
      <c r="CD78" s="100">
        <v>10</v>
      </c>
      <c r="CE78" s="100">
        <v>5520</v>
      </c>
      <c r="CF78" s="100">
        <v>14</v>
      </c>
      <c r="CG78" s="100">
        <v>7728</v>
      </c>
      <c r="CH78" s="100">
        <v>9</v>
      </c>
      <c r="CI78" s="100">
        <v>4968</v>
      </c>
      <c r="CJ78" s="100">
        <v>16</v>
      </c>
      <c r="CK78" s="100">
        <v>8832</v>
      </c>
      <c r="CL78" s="100">
        <v>6.5427804500470428</v>
      </c>
      <c r="CM78" s="100">
        <v>3611.6148084259676</v>
      </c>
      <c r="CN78" s="100">
        <v>4.941054701567321</v>
      </c>
      <c r="CO78" s="100">
        <v>2727.462195265161</v>
      </c>
      <c r="CP78" s="100">
        <v>10.030262459731791</v>
      </c>
      <c r="CQ78" s="100">
        <v>5536.7048777719483</v>
      </c>
      <c r="CR78" s="100">
        <v>10.964467005076143</v>
      </c>
      <c r="CS78" s="100">
        <v>6052.3857868020314</v>
      </c>
      <c r="CT78" s="100">
        <v>14</v>
      </c>
      <c r="CU78" s="100">
        <v>7728</v>
      </c>
    </row>
    <row r="79" spans="2:99">
      <c r="C79" s="99" t="s">
        <v>245</v>
      </c>
      <c r="D79" s="100">
        <v>7.8757793000022662</v>
      </c>
      <c r="E79" s="100">
        <v>5963.5400859617157</v>
      </c>
      <c r="F79" s="100">
        <v>11</v>
      </c>
      <c r="G79" s="100">
        <v>8329.1999999999989</v>
      </c>
      <c r="H79" s="100">
        <v>12</v>
      </c>
      <c r="I79" s="100">
        <v>9086.4</v>
      </c>
      <c r="J79" s="100">
        <v>8.1992710716236221</v>
      </c>
      <c r="K79" s="100">
        <v>6208.4880554334059</v>
      </c>
      <c r="L79" s="100">
        <v>7.894919286223335E-16</v>
      </c>
      <c r="M79" s="100">
        <v>5.978032883528309E-13</v>
      </c>
      <c r="N79" s="100">
        <v>8</v>
      </c>
      <c r="O79" s="100">
        <v>6057.5999999999995</v>
      </c>
      <c r="P79" s="100">
        <v>11.540669856459328</v>
      </c>
      <c r="Q79" s="100">
        <v>8738.5952153110029</v>
      </c>
      <c r="R79" s="100">
        <v>11</v>
      </c>
      <c r="S79" s="100">
        <v>8329.1999999999989</v>
      </c>
      <c r="T79" s="100">
        <v>10</v>
      </c>
      <c r="U79" s="100">
        <v>7571.9999999999991</v>
      </c>
      <c r="V79" s="100">
        <v>9</v>
      </c>
      <c r="W79" s="100">
        <v>6814.7999999999993</v>
      </c>
      <c r="X79" s="100">
        <v>12</v>
      </c>
      <c r="Y79" s="100">
        <v>9086.4</v>
      </c>
      <c r="Z79" s="100">
        <v>14</v>
      </c>
      <c r="AA79" s="100">
        <v>10600.8</v>
      </c>
      <c r="AB79" s="100">
        <v>10</v>
      </c>
      <c r="AC79" s="100">
        <v>7571.9999999999991</v>
      </c>
      <c r="AD79" s="100">
        <v>12</v>
      </c>
      <c r="AE79" s="100">
        <v>9086.4</v>
      </c>
      <c r="AF79" s="100">
        <v>11</v>
      </c>
      <c r="AG79" s="100">
        <v>8329.1999999999989</v>
      </c>
      <c r="AH79" s="100">
        <v>11</v>
      </c>
      <c r="AI79" s="100">
        <v>8329.1999999999989</v>
      </c>
      <c r="AJ79" s="100">
        <v>8.0326365563985238</v>
      </c>
      <c r="AK79" s="100">
        <v>6082.3124005049613</v>
      </c>
      <c r="AL79" s="100">
        <v>11</v>
      </c>
      <c r="AM79" s="100">
        <v>8329.1999999999989</v>
      </c>
      <c r="AN79" s="100">
        <v>12</v>
      </c>
      <c r="AO79" s="100">
        <v>9086.4</v>
      </c>
      <c r="AP79" s="100">
        <v>7.7410283806520432</v>
      </c>
      <c r="AQ79" s="100">
        <v>5861.5066898297264</v>
      </c>
      <c r="AR79" s="100">
        <v>10.783410138248845</v>
      </c>
      <c r="AS79" s="100">
        <v>8165.198156682025</v>
      </c>
      <c r="AT79" s="100">
        <v>9.4240837696335085</v>
      </c>
      <c r="AU79" s="100">
        <v>7135.9162303664916</v>
      </c>
      <c r="AV79" s="100">
        <v>11.659919028340079</v>
      </c>
      <c r="AW79" s="100">
        <v>8828.8906882591073</v>
      </c>
      <c r="AX79" s="100">
        <v>10.588235294117647</v>
      </c>
      <c r="AY79" s="100">
        <v>8017.4117647058811</v>
      </c>
      <c r="AZ79" s="100">
        <v>4.852697829708295</v>
      </c>
      <c r="BA79" s="100">
        <v>3674.4627966551207</v>
      </c>
      <c r="BB79" s="100">
        <v>9.6585365853658534</v>
      </c>
      <c r="BC79" s="100">
        <v>7313.4439024390231</v>
      </c>
      <c r="BD79" s="100">
        <v>13</v>
      </c>
      <c r="BE79" s="100">
        <v>9843.5999999999985</v>
      </c>
      <c r="BF79" s="100">
        <v>10</v>
      </c>
      <c r="BG79" s="100">
        <v>7571.9999999999991</v>
      </c>
      <c r="BH79" s="100">
        <v>9</v>
      </c>
      <c r="BI79" s="100">
        <v>6814.7999999999993</v>
      </c>
      <c r="BJ79" s="100">
        <v>8</v>
      </c>
      <c r="BK79" s="100">
        <v>6057.5999999999995</v>
      </c>
      <c r="BL79" s="100">
        <v>10.374407582938382</v>
      </c>
      <c r="BM79" s="100">
        <v>7855.5014218009419</v>
      </c>
      <c r="BN79" s="100">
        <v>10</v>
      </c>
      <c r="BO79" s="100">
        <v>7571.9999999999991</v>
      </c>
      <c r="BP79" s="100">
        <v>10</v>
      </c>
      <c r="BQ79" s="100">
        <v>7571.9999999999991</v>
      </c>
      <c r="BR79" s="100">
        <v>13</v>
      </c>
      <c r="BS79" s="100">
        <v>9843.5999999999985</v>
      </c>
      <c r="BT79" s="100">
        <v>5.2177584401858583</v>
      </c>
      <c r="BU79" s="100">
        <v>3950.8866909087315</v>
      </c>
      <c r="BV79" s="100">
        <v>8.43705997454488</v>
      </c>
      <c r="BW79" s="100">
        <v>6388.5418127253824</v>
      </c>
      <c r="BX79" s="100">
        <v>13</v>
      </c>
      <c r="BY79" s="100">
        <v>9843.5999999999985</v>
      </c>
      <c r="BZ79" s="100">
        <v>12</v>
      </c>
      <c r="CA79" s="100">
        <v>9086.4</v>
      </c>
      <c r="CB79" s="100">
        <v>9</v>
      </c>
      <c r="CC79" s="100">
        <v>6814.7999999999993</v>
      </c>
      <c r="CD79" s="100">
        <v>10</v>
      </c>
      <c r="CE79" s="100">
        <v>7571.9999999999991</v>
      </c>
      <c r="CF79" s="100">
        <v>13</v>
      </c>
      <c r="CG79" s="100">
        <v>9843.5999999999985</v>
      </c>
      <c r="CH79" s="100">
        <v>7</v>
      </c>
      <c r="CI79" s="100">
        <v>5300.4</v>
      </c>
      <c r="CJ79" s="100">
        <v>14</v>
      </c>
      <c r="CK79" s="100">
        <v>10600.8</v>
      </c>
      <c r="CL79" s="100">
        <v>6.5427804500470428</v>
      </c>
      <c r="CM79" s="100">
        <v>4954.1933567756205</v>
      </c>
      <c r="CN79" s="100">
        <v>5.3211358324571147</v>
      </c>
      <c r="CO79" s="100">
        <v>4029.1640523365268</v>
      </c>
      <c r="CP79" s="100">
        <v>11.573379761228988</v>
      </c>
      <c r="CQ79" s="100">
        <v>8763.363155202589</v>
      </c>
      <c r="CR79" s="100">
        <v>10.050761421319796</v>
      </c>
      <c r="CS79" s="100">
        <v>7610.4365482233488</v>
      </c>
      <c r="CT79" s="100">
        <v>13</v>
      </c>
      <c r="CU79" s="100">
        <v>9843.5999999999985</v>
      </c>
    </row>
    <row r="80" spans="2:99">
      <c r="C80" s="99" t="s">
        <v>246</v>
      </c>
      <c r="D80" s="100">
        <v>7.2194643583354106</v>
      </c>
      <c r="E80" s="100">
        <v>5813.1127013316718</v>
      </c>
      <c r="F80" s="100">
        <v>10</v>
      </c>
      <c r="G80" s="100">
        <v>8051.9999999999991</v>
      </c>
      <c r="H80" s="100">
        <v>11</v>
      </c>
      <c r="I80" s="100">
        <v>8857.1999999999989</v>
      </c>
      <c r="J80" s="100">
        <v>8.9446593508621319</v>
      </c>
      <c r="K80" s="100">
        <v>7202.2397093141881</v>
      </c>
      <c r="L80" s="100">
        <v>7.894919286223335E-16</v>
      </c>
      <c r="M80" s="100">
        <v>6.3569890092670288E-13</v>
      </c>
      <c r="N80" s="100">
        <v>9</v>
      </c>
      <c r="O80" s="100">
        <v>7246.7999999999993</v>
      </c>
      <c r="P80" s="100">
        <v>10.57894736842105</v>
      </c>
      <c r="Q80" s="100">
        <v>8518.1684210526291</v>
      </c>
      <c r="R80" s="100">
        <v>10</v>
      </c>
      <c r="S80" s="100">
        <v>8051.9999999999991</v>
      </c>
      <c r="T80" s="100">
        <v>10</v>
      </c>
      <c r="U80" s="100">
        <v>8051.9999999999991</v>
      </c>
      <c r="V80" s="100">
        <v>9</v>
      </c>
      <c r="W80" s="100">
        <v>7246.7999999999993</v>
      </c>
      <c r="X80" s="100">
        <v>11</v>
      </c>
      <c r="Y80" s="100">
        <v>8857.1999999999989</v>
      </c>
      <c r="Z80" s="100">
        <v>15</v>
      </c>
      <c r="AA80" s="100">
        <v>12077.999999999998</v>
      </c>
      <c r="AB80" s="100">
        <v>10</v>
      </c>
      <c r="AC80" s="100">
        <v>8051.9999999999991</v>
      </c>
      <c r="AD80" s="100">
        <v>13</v>
      </c>
      <c r="AE80" s="100">
        <v>10467.599999999999</v>
      </c>
      <c r="AF80" s="100">
        <v>10</v>
      </c>
      <c r="AG80" s="100">
        <v>8051.9999999999991</v>
      </c>
      <c r="AH80" s="100">
        <v>12</v>
      </c>
      <c r="AI80" s="100">
        <v>9662.4</v>
      </c>
      <c r="AJ80" s="100">
        <v>8.8359002120383749</v>
      </c>
      <c r="AK80" s="100">
        <v>7114.6668507332988</v>
      </c>
      <c r="AL80" s="100">
        <v>11</v>
      </c>
      <c r="AM80" s="100">
        <v>8857.1999999999989</v>
      </c>
      <c r="AN80" s="100">
        <v>12</v>
      </c>
      <c r="AO80" s="100">
        <v>9662.4</v>
      </c>
      <c r="AP80" s="100">
        <v>7.7410283806520432</v>
      </c>
      <c r="AQ80" s="100">
        <v>6233.0760521010243</v>
      </c>
      <c r="AR80" s="100">
        <v>9.9539170506912438</v>
      </c>
      <c r="AS80" s="100">
        <v>8014.8940092165885</v>
      </c>
      <c r="AT80" s="100">
        <v>11.308900523560208</v>
      </c>
      <c r="AU80" s="100">
        <v>9105.9267015706791</v>
      </c>
      <c r="AV80" s="100">
        <v>9.4736842105263133</v>
      </c>
      <c r="AW80" s="100">
        <v>7628.2105263157864</v>
      </c>
      <c r="AX80" s="100">
        <v>8.8235294117647065</v>
      </c>
      <c r="AY80" s="100">
        <v>7104.7058823529414</v>
      </c>
      <c r="AZ80" s="100">
        <v>4.852697829708295</v>
      </c>
      <c r="BA80" s="100">
        <v>3907.3922924811186</v>
      </c>
      <c r="BB80" s="100">
        <v>10.536585365853659</v>
      </c>
      <c r="BC80" s="100">
        <v>8484.0585365853658</v>
      </c>
      <c r="BD80" s="100">
        <v>14</v>
      </c>
      <c r="BE80" s="100">
        <v>11272.8</v>
      </c>
      <c r="BF80" s="100">
        <v>10</v>
      </c>
      <c r="BG80" s="100">
        <v>8051.9999999999991</v>
      </c>
      <c r="BH80" s="100">
        <v>9</v>
      </c>
      <c r="BI80" s="100">
        <v>7246.7999999999993</v>
      </c>
      <c r="BJ80" s="100">
        <v>8</v>
      </c>
      <c r="BK80" s="100">
        <v>6441.5999999999995</v>
      </c>
      <c r="BL80" s="100">
        <v>11.31753554502369</v>
      </c>
      <c r="BM80" s="100">
        <v>9112.8796208530748</v>
      </c>
      <c r="BN80" s="100">
        <v>10</v>
      </c>
      <c r="BO80" s="100">
        <v>8051.9999999999991</v>
      </c>
      <c r="BP80" s="100">
        <v>10</v>
      </c>
      <c r="BQ80" s="100">
        <v>8051.9999999999991</v>
      </c>
      <c r="BR80" s="100">
        <v>13</v>
      </c>
      <c r="BS80" s="100">
        <v>10467.599999999999</v>
      </c>
      <c r="BT80" s="100">
        <v>4.8163924063254084</v>
      </c>
      <c r="BU80" s="100">
        <v>3878.1591655732186</v>
      </c>
      <c r="BV80" s="100">
        <v>9.1401483057569521</v>
      </c>
      <c r="BW80" s="100">
        <v>7359.6474157954972</v>
      </c>
      <c r="BX80" s="100">
        <v>13</v>
      </c>
      <c r="BY80" s="100">
        <v>10467.599999999999</v>
      </c>
      <c r="BZ80" s="100">
        <v>13</v>
      </c>
      <c r="CA80" s="100">
        <v>10467.599999999999</v>
      </c>
      <c r="CB80" s="100">
        <v>10</v>
      </c>
      <c r="CC80" s="100">
        <v>8051.9999999999991</v>
      </c>
      <c r="CD80" s="100">
        <v>11</v>
      </c>
      <c r="CE80" s="100">
        <v>8857.1999999999989</v>
      </c>
      <c r="CF80" s="100">
        <v>14</v>
      </c>
      <c r="CG80" s="100">
        <v>11272.8</v>
      </c>
      <c r="CH80" s="100">
        <v>9</v>
      </c>
      <c r="CI80" s="100">
        <v>7246.7999999999993</v>
      </c>
      <c r="CJ80" s="100">
        <v>17</v>
      </c>
      <c r="CK80" s="100">
        <v>13688.4</v>
      </c>
      <c r="CL80" s="100">
        <v>5.9479822273154941</v>
      </c>
      <c r="CM80" s="100">
        <v>4789.3152894344357</v>
      </c>
      <c r="CN80" s="100">
        <v>4.5609735706775272</v>
      </c>
      <c r="CO80" s="100">
        <v>3672.4959191095445</v>
      </c>
      <c r="CP80" s="100">
        <v>10.80182111048039</v>
      </c>
      <c r="CQ80" s="100">
        <v>8697.6263581588082</v>
      </c>
      <c r="CR80" s="100">
        <v>10.964467005076143</v>
      </c>
      <c r="CS80" s="100">
        <v>8828.5888324873104</v>
      </c>
      <c r="CT80" s="100">
        <v>14</v>
      </c>
      <c r="CU80" s="100">
        <v>11272.8</v>
      </c>
    </row>
    <row r="81" spans="2:99">
      <c r="C81" s="99" t="s">
        <v>247</v>
      </c>
      <c r="D81" s="100">
        <v>8.532094241669121</v>
      </c>
      <c r="E81" s="100">
        <v>6429.7862205218498</v>
      </c>
      <c r="F81" s="100">
        <v>10</v>
      </c>
      <c r="G81" s="100">
        <v>7536</v>
      </c>
      <c r="H81" s="100">
        <v>13</v>
      </c>
      <c r="I81" s="100">
        <v>9796.8000000000011</v>
      </c>
      <c r="J81" s="100">
        <v>9.6900476301006435</v>
      </c>
      <c r="K81" s="100">
        <v>7302.4198940438455</v>
      </c>
      <c r="L81" s="100">
        <v>7.894919286223335E-16</v>
      </c>
      <c r="M81" s="100">
        <v>5.9496111740979056E-13</v>
      </c>
      <c r="N81" s="100">
        <v>9</v>
      </c>
      <c r="O81" s="100">
        <v>6782.4000000000005</v>
      </c>
      <c r="P81" s="100">
        <v>10.57894736842105</v>
      </c>
      <c r="Q81" s="100">
        <v>7972.2947368421028</v>
      </c>
      <c r="R81" s="100">
        <v>10</v>
      </c>
      <c r="S81" s="100">
        <v>7536</v>
      </c>
      <c r="T81" s="100">
        <v>8</v>
      </c>
      <c r="U81" s="100">
        <v>6028.8</v>
      </c>
      <c r="V81" s="100">
        <v>9</v>
      </c>
      <c r="W81" s="100">
        <v>6782.4000000000005</v>
      </c>
      <c r="X81" s="100">
        <v>11</v>
      </c>
      <c r="Y81" s="100">
        <v>8289.6</v>
      </c>
      <c r="Z81" s="100">
        <v>14</v>
      </c>
      <c r="AA81" s="100">
        <v>10550.4</v>
      </c>
      <c r="AB81" s="100">
        <v>9</v>
      </c>
      <c r="AC81" s="100">
        <v>6782.4000000000005</v>
      </c>
      <c r="AD81" s="100">
        <v>13</v>
      </c>
      <c r="AE81" s="100">
        <v>9796.8000000000011</v>
      </c>
      <c r="AF81" s="100">
        <v>9</v>
      </c>
      <c r="AG81" s="100">
        <v>6782.4000000000005</v>
      </c>
      <c r="AH81" s="100">
        <v>11</v>
      </c>
      <c r="AI81" s="100">
        <v>8289.6</v>
      </c>
      <c r="AJ81" s="100">
        <v>8.8359002120383749</v>
      </c>
      <c r="AK81" s="100">
        <v>6658.7343997921198</v>
      </c>
      <c r="AL81" s="100">
        <v>11</v>
      </c>
      <c r="AM81" s="100">
        <v>8289.6</v>
      </c>
      <c r="AN81" s="100">
        <v>13</v>
      </c>
      <c r="AO81" s="100">
        <v>9796.8000000000011</v>
      </c>
      <c r="AP81" s="100">
        <v>7.7410283806520432</v>
      </c>
      <c r="AQ81" s="100">
        <v>5833.6389876593803</v>
      </c>
      <c r="AR81" s="100">
        <v>10.783410138248845</v>
      </c>
      <c r="AS81" s="100">
        <v>8126.37788018433</v>
      </c>
      <c r="AT81" s="100">
        <v>10.366492146596858</v>
      </c>
      <c r="AU81" s="100">
        <v>7812.1884816753927</v>
      </c>
      <c r="AV81" s="100">
        <v>10.931174089068824</v>
      </c>
      <c r="AW81" s="100">
        <v>8237.7327935222656</v>
      </c>
      <c r="AX81" s="100">
        <v>9.7058823529411775</v>
      </c>
      <c r="AY81" s="100">
        <v>7314.3529411764712</v>
      </c>
      <c r="AZ81" s="100">
        <v>4.852697829708295</v>
      </c>
      <c r="BA81" s="100">
        <v>3656.9930844681712</v>
      </c>
      <c r="BB81" s="100">
        <v>9.6585365853658534</v>
      </c>
      <c r="BC81" s="100">
        <v>7278.6731707317076</v>
      </c>
      <c r="BD81" s="100">
        <v>12</v>
      </c>
      <c r="BE81" s="100">
        <v>9043.2000000000007</v>
      </c>
      <c r="BF81" s="100">
        <v>9</v>
      </c>
      <c r="BG81" s="100">
        <v>6782.4000000000005</v>
      </c>
      <c r="BH81" s="100">
        <v>9</v>
      </c>
      <c r="BI81" s="100">
        <v>6782.4000000000005</v>
      </c>
      <c r="BJ81" s="100">
        <v>7</v>
      </c>
      <c r="BK81" s="100">
        <v>5275.2</v>
      </c>
      <c r="BL81" s="100">
        <v>12.260663507108998</v>
      </c>
      <c r="BM81" s="100">
        <v>9239.6360189573406</v>
      </c>
      <c r="BN81" s="100">
        <v>10</v>
      </c>
      <c r="BO81" s="100">
        <v>7536</v>
      </c>
      <c r="BP81" s="100">
        <v>9</v>
      </c>
      <c r="BQ81" s="100">
        <v>6782.4000000000005</v>
      </c>
      <c r="BR81" s="100">
        <v>14</v>
      </c>
      <c r="BS81" s="100">
        <v>10550.4</v>
      </c>
      <c r="BT81" s="100">
        <v>4.8163924063254084</v>
      </c>
      <c r="BU81" s="100">
        <v>3629.6333174068277</v>
      </c>
      <c r="BV81" s="100">
        <v>8.43705997454488</v>
      </c>
      <c r="BW81" s="100">
        <v>6358.1683968170219</v>
      </c>
      <c r="BX81" s="100">
        <v>13</v>
      </c>
      <c r="BY81" s="100">
        <v>9796.8000000000011</v>
      </c>
      <c r="BZ81" s="100">
        <v>13</v>
      </c>
      <c r="CA81" s="100">
        <v>9796.8000000000011</v>
      </c>
      <c r="CB81" s="100">
        <v>10</v>
      </c>
      <c r="CC81" s="100">
        <v>7536</v>
      </c>
      <c r="CD81" s="100">
        <v>10</v>
      </c>
      <c r="CE81" s="100">
        <v>7536</v>
      </c>
      <c r="CF81" s="100">
        <v>13</v>
      </c>
      <c r="CG81" s="100">
        <v>9796.8000000000011</v>
      </c>
      <c r="CH81" s="100">
        <v>9</v>
      </c>
      <c r="CI81" s="100">
        <v>6782.4000000000005</v>
      </c>
      <c r="CJ81" s="100">
        <v>14</v>
      </c>
      <c r="CK81" s="100">
        <v>10550.4</v>
      </c>
      <c r="CL81" s="100">
        <v>6.5427804500470428</v>
      </c>
      <c r="CM81" s="100">
        <v>4930.639347155452</v>
      </c>
      <c r="CN81" s="100">
        <v>4.5609735706775272</v>
      </c>
      <c r="CO81" s="100">
        <v>3437.1496828625845</v>
      </c>
      <c r="CP81" s="100">
        <v>10.80182111048039</v>
      </c>
      <c r="CQ81" s="100">
        <v>8140.2523888580217</v>
      </c>
      <c r="CR81" s="100">
        <v>9.1370558375634516</v>
      </c>
      <c r="CS81" s="100">
        <v>6885.6852791878173</v>
      </c>
      <c r="CT81" s="100">
        <v>14</v>
      </c>
      <c r="CU81" s="100">
        <v>10550.4</v>
      </c>
    </row>
    <row r="82" spans="2:99">
      <c r="C82" s="99" t="s">
        <v>248</v>
      </c>
      <c r="D82" s="100">
        <v>8.532094241669121</v>
      </c>
      <c r="E82" s="100">
        <v>4341.1295501612476</v>
      </c>
      <c r="F82" s="100">
        <v>10</v>
      </c>
      <c r="G82" s="100">
        <v>5087.9999999999991</v>
      </c>
      <c r="H82" s="100">
        <v>12</v>
      </c>
      <c r="I82" s="100">
        <v>6105.5999999999985</v>
      </c>
      <c r="J82" s="100">
        <v>9.6900476301006435</v>
      </c>
      <c r="K82" s="100">
        <v>4930.2962341952061</v>
      </c>
      <c r="L82" s="100">
        <v>8.77213254024815E-16</v>
      </c>
      <c r="M82" s="100">
        <v>4.4632610364782576E-13</v>
      </c>
      <c r="N82" s="100">
        <v>9</v>
      </c>
      <c r="O82" s="100">
        <v>4579.1999999999989</v>
      </c>
      <c r="P82" s="100">
        <v>11.540669856459328</v>
      </c>
      <c r="Q82" s="100">
        <v>5871.8928229665044</v>
      </c>
      <c r="R82" s="100">
        <v>10</v>
      </c>
      <c r="S82" s="100">
        <v>5087.9999999999991</v>
      </c>
      <c r="T82" s="100">
        <v>8</v>
      </c>
      <c r="U82" s="100">
        <v>4070.3999999999992</v>
      </c>
      <c r="V82" s="100">
        <v>8</v>
      </c>
      <c r="W82" s="100">
        <v>4070.3999999999992</v>
      </c>
      <c r="X82" s="100">
        <v>14</v>
      </c>
      <c r="Y82" s="100">
        <v>7123.1999999999989</v>
      </c>
      <c r="Z82" s="100">
        <v>14</v>
      </c>
      <c r="AA82" s="100">
        <v>7123.1999999999989</v>
      </c>
      <c r="AB82" s="100">
        <v>10</v>
      </c>
      <c r="AC82" s="100">
        <v>5087.9999999999991</v>
      </c>
      <c r="AD82" s="100">
        <v>14</v>
      </c>
      <c r="AE82" s="100">
        <v>7123.1999999999989</v>
      </c>
      <c r="AF82" s="100">
        <v>10</v>
      </c>
      <c r="AG82" s="100">
        <v>5087.9999999999991</v>
      </c>
      <c r="AH82" s="100">
        <v>12</v>
      </c>
      <c r="AI82" s="100">
        <v>6105.5999999999985</v>
      </c>
      <c r="AJ82" s="100">
        <v>8.0326365563985238</v>
      </c>
      <c r="AK82" s="100">
        <v>4087.005479895568</v>
      </c>
      <c r="AL82" s="100">
        <v>12</v>
      </c>
      <c r="AM82" s="100">
        <v>6105.5999999999985</v>
      </c>
      <c r="AN82" s="100">
        <v>11</v>
      </c>
      <c r="AO82" s="100">
        <v>5596.7999999999993</v>
      </c>
      <c r="AP82" s="100">
        <v>7.1880977820340402</v>
      </c>
      <c r="AQ82" s="100">
        <v>3657.3041514989191</v>
      </c>
      <c r="AR82" s="100">
        <v>9.1244239631336388</v>
      </c>
      <c r="AS82" s="100">
        <v>4642.5069124423944</v>
      </c>
      <c r="AT82" s="100">
        <v>9.4240837696335085</v>
      </c>
      <c r="AU82" s="100">
        <v>4794.973821989528</v>
      </c>
      <c r="AV82" s="100">
        <v>10.931174089068824</v>
      </c>
      <c r="AW82" s="100">
        <v>5561.7813765182163</v>
      </c>
      <c r="AX82" s="100">
        <v>9.7058823529411775</v>
      </c>
      <c r="AY82" s="100">
        <v>4938.3529411764703</v>
      </c>
      <c r="AZ82" s="100">
        <v>5.391886477453661</v>
      </c>
      <c r="BA82" s="100">
        <v>2743.3918397284224</v>
      </c>
      <c r="BB82" s="100">
        <v>10.536585365853659</v>
      </c>
      <c r="BC82" s="100">
        <v>5361.0146341463405</v>
      </c>
      <c r="BD82" s="100">
        <v>14</v>
      </c>
      <c r="BE82" s="100">
        <v>7123.1999999999989</v>
      </c>
      <c r="BF82" s="100">
        <v>10</v>
      </c>
      <c r="BG82" s="100">
        <v>5087.9999999999991</v>
      </c>
      <c r="BH82" s="100">
        <v>9</v>
      </c>
      <c r="BI82" s="100">
        <v>4579.1999999999989</v>
      </c>
      <c r="BJ82" s="100">
        <v>7</v>
      </c>
      <c r="BK82" s="100">
        <v>3561.5999999999995</v>
      </c>
      <c r="BL82" s="100">
        <v>11.31753554502369</v>
      </c>
      <c r="BM82" s="100">
        <v>5758.362085308052</v>
      </c>
      <c r="BN82" s="100">
        <v>10</v>
      </c>
      <c r="BO82" s="100">
        <v>5087.9999999999991</v>
      </c>
      <c r="BP82" s="100">
        <v>11</v>
      </c>
      <c r="BQ82" s="100">
        <v>5596.7999999999993</v>
      </c>
      <c r="BR82" s="100">
        <v>13</v>
      </c>
      <c r="BS82" s="100">
        <v>6614.3999999999987</v>
      </c>
      <c r="BT82" s="100">
        <v>5.6191244740463091</v>
      </c>
      <c r="BU82" s="100">
        <v>2859.0105323947614</v>
      </c>
      <c r="BV82" s="100">
        <v>9.8432366369690261</v>
      </c>
      <c r="BW82" s="100">
        <v>5008.2388008898397</v>
      </c>
      <c r="BX82" s="100">
        <v>13</v>
      </c>
      <c r="BY82" s="100">
        <v>6614.3999999999987</v>
      </c>
      <c r="BZ82" s="100">
        <v>12</v>
      </c>
      <c r="CA82" s="100">
        <v>6105.5999999999985</v>
      </c>
      <c r="CB82" s="100">
        <v>9</v>
      </c>
      <c r="CC82" s="100">
        <v>4579.1999999999989</v>
      </c>
      <c r="CD82" s="100">
        <v>11</v>
      </c>
      <c r="CE82" s="100">
        <v>5596.7999999999993</v>
      </c>
      <c r="CF82" s="100">
        <v>13</v>
      </c>
      <c r="CG82" s="100">
        <v>6614.3999999999987</v>
      </c>
      <c r="CH82" s="100">
        <v>9</v>
      </c>
      <c r="CI82" s="100">
        <v>4579.1999999999989</v>
      </c>
      <c r="CJ82" s="100">
        <v>15</v>
      </c>
      <c r="CK82" s="100">
        <v>7631.9999999999982</v>
      </c>
      <c r="CL82" s="100">
        <v>5.9479822273154941</v>
      </c>
      <c r="CM82" s="100">
        <v>3026.3333572581228</v>
      </c>
      <c r="CN82" s="100">
        <v>4.941054701567321</v>
      </c>
      <c r="CO82" s="100">
        <v>2514.0086321574522</v>
      </c>
      <c r="CP82" s="100">
        <v>10.030262459731791</v>
      </c>
      <c r="CQ82" s="100">
        <v>5103.397539511534</v>
      </c>
      <c r="CR82" s="100">
        <v>9.1370558375634516</v>
      </c>
      <c r="CS82" s="100">
        <v>4648.934010152283</v>
      </c>
      <c r="CT82" s="100">
        <v>15</v>
      </c>
      <c r="CU82" s="100">
        <v>7631.9999999999982</v>
      </c>
    </row>
    <row r="83" spans="2:99">
      <c r="C83" s="99" t="s">
        <v>249</v>
      </c>
      <c r="D83" s="100">
        <v>9.1884091833359758</v>
      </c>
      <c r="E83" s="100">
        <v>7905.7072613422733</v>
      </c>
      <c r="F83" s="100">
        <v>10</v>
      </c>
      <c r="G83" s="100">
        <v>8604</v>
      </c>
      <c r="H83" s="100">
        <v>11</v>
      </c>
      <c r="I83" s="100">
        <v>9464.4</v>
      </c>
      <c r="J83" s="100">
        <v>8.1992710716236221</v>
      </c>
      <c r="K83" s="100">
        <v>7054.6528300249647</v>
      </c>
      <c r="L83" s="100">
        <v>7.894919286223335E-16</v>
      </c>
      <c r="M83" s="100">
        <v>6.7927885538665574E-13</v>
      </c>
      <c r="N83" s="100">
        <v>8</v>
      </c>
      <c r="O83" s="100">
        <v>6883.2</v>
      </c>
      <c r="P83" s="100">
        <v>12.502392344497604</v>
      </c>
      <c r="Q83" s="100">
        <v>10757.058373205738</v>
      </c>
      <c r="R83" s="100">
        <v>11</v>
      </c>
      <c r="S83" s="100">
        <v>9464.4</v>
      </c>
      <c r="T83" s="100">
        <v>9</v>
      </c>
      <c r="U83" s="100">
        <v>7743.5999999999995</v>
      </c>
      <c r="V83" s="100">
        <v>9</v>
      </c>
      <c r="W83" s="100">
        <v>7743.5999999999995</v>
      </c>
      <c r="X83" s="100">
        <v>12</v>
      </c>
      <c r="Y83" s="100">
        <v>10324.799999999999</v>
      </c>
      <c r="Z83" s="100">
        <v>14</v>
      </c>
      <c r="AA83" s="100">
        <v>12045.6</v>
      </c>
      <c r="AB83" s="100">
        <v>9</v>
      </c>
      <c r="AC83" s="100">
        <v>7743.5999999999995</v>
      </c>
      <c r="AD83" s="100">
        <v>12</v>
      </c>
      <c r="AE83" s="100">
        <v>10324.799999999999</v>
      </c>
      <c r="AF83" s="100">
        <v>10</v>
      </c>
      <c r="AG83" s="100">
        <v>8604</v>
      </c>
      <c r="AH83" s="100">
        <v>12</v>
      </c>
      <c r="AI83" s="100">
        <v>10324.799999999999</v>
      </c>
      <c r="AJ83" s="100">
        <v>8.8359002120383749</v>
      </c>
      <c r="AK83" s="100">
        <v>7602.4085424378172</v>
      </c>
      <c r="AL83" s="100">
        <v>10</v>
      </c>
      <c r="AM83" s="100">
        <v>8604</v>
      </c>
      <c r="AN83" s="100">
        <v>13</v>
      </c>
      <c r="AO83" s="100">
        <v>11185.199999999999</v>
      </c>
      <c r="AP83" s="100">
        <v>7.7410283806520432</v>
      </c>
      <c r="AQ83" s="100">
        <v>6660.380818713018</v>
      </c>
      <c r="AR83" s="100">
        <v>9.9539170506912438</v>
      </c>
      <c r="AS83" s="100">
        <v>8564.350230414746</v>
      </c>
      <c r="AT83" s="100">
        <v>9.4240837696335085</v>
      </c>
      <c r="AU83" s="100">
        <v>8108.4816753926707</v>
      </c>
      <c r="AV83" s="100">
        <v>10.202429149797569</v>
      </c>
      <c r="AW83" s="100">
        <v>8778.1700404858275</v>
      </c>
      <c r="AX83" s="100">
        <v>10.588235294117647</v>
      </c>
      <c r="AY83" s="100">
        <v>9110.1176470588234</v>
      </c>
      <c r="AZ83" s="100">
        <v>4.852697829708295</v>
      </c>
      <c r="BA83" s="100">
        <v>4175.2612126810172</v>
      </c>
      <c r="BB83" s="100">
        <v>9.6585365853658534</v>
      </c>
      <c r="BC83" s="100">
        <v>8310.2048780487803</v>
      </c>
      <c r="BD83" s="100">
        <v>13</v>
      </c>
      <c r="BE83" s="100">
        <v>11185.199999999999</v>
      </c>
      <c r="BF83" s="100">
        <v>10</v>
      </c>
      <c r="BG83" s="100">
        <v>8604</v>
      </c>
      <c r="BH83" s="100">
        <v>8</v>
      </c>
      <c r="BI83" s="100">
        <v>6883.2</v>
      </c>
      <c r="BJ83" s="100">
        <v>8</v>
      </c>
      <c r="BK83" s="100">
        <v>6883.2</v>
      </c>
      <c r="BL83" s="100">
        <v>11.31753554502369</v>
      </c>
      <c r="BM83" s="100">
        <v>9737.6075829383826</v>
      </c>
      <c r="BN83" s="100">
        <v>10</v>
      </c>
      <c r="BO83" s="100">
        <v>8604</v>
      </c>
      <c r="BP83" s="100">
        <v>10</v>
      </c>
      <c r="BQ83" s="100">
        <v>8604</v>
      </c>
      <c r="BR83" s="100">
        <v>14</v>
      </c>
      <c r="BS83" s="100">
        <v>12045.6</v>
      </c>
      <c r="BT83" s="100">
        <v>5.6191244740463091</v>
      </c>
      <c r="BU83" s="100">
        <v>4834.6946974694438</v>
      </c>
      <c r="BV83" s="100">
        <v>9.8432366369690261</v>
      </c>
      <c r="BW83" s="100">
        <v>8469.1208024481493</v>
      </c>
      <c r="BX83" s="100">
        <v>12</v>
      </c>
      <c r="BY83" s="100">
        <v>10324.799999999999</v>
      </c>
      <c r="BZ83" s="100">
        <v>12</v>
      </c>
      <c r="CA83" s="100">
        <v>10324.799999999999</v>
      </c>
      <c r="CB83" s="100">
        <v>10</v>
      </c>
      <c r="CC83" s="100">
        <v>8604</v>
      </c>
      <c r="CD83" s="100">
        <v>10</v>
      </c>
      <c r="CE83" s="100">
        <v>8604</v>
      </c>
      <c r="CF83" s="100">
        <v>14</v>
      </c>
      <c r="CG83" s="100">
        <v>12045.6</v>
      </c>
      <c r="CH83" s="100">
        <v>7</v>
      </c>
      <c r="CI83" s="100">
        <v>6022.8</v>
      </c>
      <c r="CJ83" s="100">
        <v>16</v>
      </c>
      <c r="CK83" s="100">
        <v>13766.4</v>
      </c>
      <c r="CL83" s="100">
        <v>6.5427804500470428</v>
      </c>
      <c r="CM83" s="100">
        <v>5629.4082992204758</v>
      </c>
      <c r="CN83" s="100">
        <v>4.5609735706775272</v>
      </c>
      <c r="CO83" s="100">
        <v>3924.2616602109442</v>
      </c>
      <c r="CP83" s="100">
        <v>11.573379761228988</v>
      </c>
      <c r="CQ83" s="100">
        <v>9957.7359465614209</v>
      </c>
      <c r="CR83" s="100">
        <v>9.1370558375634516</v>
      </c>
      <c r="CS83" s="100">
        <v>7861.5228426395934</v>
      </c>
      <c r="CT83" s="100">
        <v>15</v>
      </c>
      <c r="CU83" s="100">
        <v>12906</v>
      </c>
    </row>
    <row r="84" spans="2:99">
      <c r="C84" s="99" t="s">
        <v>250</v>
      </c>
      <c r="D84" s="100">
        <v>8.532094241669121</v>
      </c>
      <c r="E84" s="100">
        <v>6665.2720215919171</v>
      </c>
      <c r="F84" s="100">
        <v>9</v>
      </c>
      <c r="G84" s="100">
        <v>7030.7999999999993</v>
      </c>
      <c r="H84" s="100">
        <v>13</v>
      </c>
      <c r="I84" s="100">
        <v>10155.599999999999</v>
      </c>
      <c r="J84" s="100">
        <v>9.6900476301006435</v>
      </c>
      <c r="K84" s="100">
        <v>7569.8652086346219</v>
      </c>
      <c r="L84" s="100">
        <v>7.894919286223335E-16</v>
      </c>
      <c r="M84" s="100">
        <v>6.1675109463976684E-13</v>
      </c>
      <c r="N84" s="100">
        <v>9</v>
      </c>
      <c r="O84" s="100">
        <v>7030.7999999999993</v>
      </c>
      <c r="P84" s="100">
        <v>11.540669856459328</v>
      </c>
      <c r="Q84" s="100">
        <v>9015.5712918660265</v>
      </c>
      <c r="R84" s="100">
        <v>11</v>
      </c>
      <c r="S84" s="100">
        <v>8593.1999999999989</v>
      </c>
      <c r="T84" s="100">
        <v>9</v>
      </c>
      <c r="U84" s="100">
        <v>7030.7999999999993</v>
      </c>
      <c r="V84" s="100">
        <v>8</v>
      </c>
      <c r="W84" s="100">
        <v>6249.5999999999995</v>
      </c>
      <c r="X84" s="100">
        <v>12</v>
      </c>
      <c r="Y84" s="100">
        <v>9374.4</v>
      </c>
      <c r="Z84" s="100">
        <v>14</v>
      </c>
      <c r="AA84" s="100">
        <v>10936.8</v>
      </c>
      <c r="AB84" s="100">
        <v>10</v>
      </c>
      <c r="AC84" s="100">
        <v>7811.9999999999991</v>
      </c>
      <c r="AD84" s="100">
        <v>13</v>
      </c>
      <c r="AE84" s="100">
        <v>10155.599999999999</v>
      </c>
      <c r="AF84" s="100">
        <v>11</v>
      </c>
      <c r="AG84" s="100">
        <v>8593.1999999999989</v>
      </c>
      <c r="AH84" s="100">
        <v>13</v>
      </c>
      <c r="AI84" s="100">
        <v>10155.599999999999</v>
      </c>
      <c r="AJ84" s="100">
        <v>8.8359002120383749</v>
      </c>
      <c r="AK84" s="100">
        <v>6902.6052456443776</v>
      </c>
      <c r="AL84" s="100">
        <v>10</v>
      </c>
      <c r="AM84" s="100">
        <v>7811.9999999999991</v>
      </c>
      <c r="AN84" s="100">
        <v>11</v>
      </c>
      <c r="AO84" s="100">
        <v>8593.1999999999989</v>
      </c>
      <c r="AP84" s="100">
        <v>7.7410283806520432</v>
      </c>
      <c r="AQ84" s="100">
        <v>6047.2913709653758</v>
      </c>
      <c r="AR84" s="100">
        <v>9.9539170506912438</v>
      </c>
      <c r="AS84" s="100">
        <v>7775.9999999999991</v>
      </c>
      <c r="AT84" s="100">
        <v>10.366492146596858</v>
      </c>
      <c r="AU84" s="100">
        <v>8098.3036649214646</v>
      </c>
      <c r="AV84" s="100">
        <v>10.202429149797569</v>
      </c>
      <c r="AW84" s="100">
        <v>7970.1376518218594</v>
      </c>
      <c r="AX84" s="100">
        <v>11.470588235294116</v>
      </c>
      <c r="AY84" s="100">
        <v>8960.8235294117621</v>
      </c>
      <c r="AZ84" s="100">
        <v>4.852697829708295</v>
      </c>
      <c r="BA84" s="100">
        <v>3790.9275445681196</v>
      </c>
      <c r="BB84" s="100">
        <v>9.6585365853658534</v>
      </c>
      <c r="BC84" s="100">
        <v>7545.2487804878037</v>
      </c>
      <c r="BD84" s="100">
        <v>14</v>
      </c>
      <c r="BE84" s="100">
        <v>10936.8</v>
      </c>
      <c r="BF84" s="100">
        <v>10</v>
      </c>
      <c r="BG84" s="100">
        <v>7811.9999999999991</v>
      </c>
      <c r="BH84" s="100">
        <v>9</v>
      </c>
      <c r="BI84" s="100">
        <v>7030.7999999999993</v>
      </c>
      <c r="BJ84" s="100">
        <v>8</v>
      </c>
      <c r="BK84" s="100">
        <v>6249.5999999999995</v>
      </c>
      <c r="BL84" s="100">
        <v>11.31753554502369</v>
      </c>
      <c r="BM84" s="100">
        <v>8841.258767772506</v>
      </c>
      <c r="BN84" s="100">
        <v>10</v>
      </c>
      <c r="BO84" s="100">
        <v>7811.9999999999991</v>
      </c>
      <c r="BP84" s="100">
        <v>10</v>
      </c>
      <c r="BQ84" s="100">
        <v>7811.9999999999991</v>
      </c>
      <c r="BR84" s="100">
        <v>12</v>
      </c>
      <c r="BS84" s="100">
        <v>9374.4</v>
      </c>
      <c r="BT84" s="100">
        <v>5.6191244740463091</v>
      </c>
      <c r="BU84" s="100">
        <v>4389.6600391249767</v>
      </c>
      <c r="BV84" s="100">
        <v>8.43705997454488</v>
      </c>
      <c r="BW84" s="100">
        <v>6591.0312521144597</v>
      </c>
      <c r="BX84" s="100">
        <v>12</v>
      </c>
      <c r="BY84" s="100">
        <v>9374.4</v>
      </c>
      <c r="BZ84" s="100">
        <v>11</v>
      </c>
      <c r="CA84" s="100">
        <v>8593.1999999999989</v>
      </c>
      <c r="CB84" s="100">
        <v>8</v>
      </c>
      <c r="CC84" s="100">
        <v>6249.5999999999995</v>
      </c>
      <c r="CD84" s="100">
        <v>11</v>
      </c>
      <c r="CE84" s="100">
        <v>8593.1999999999989</v>
      </c>
      <c r="CF84" s="100">
        <v>12</v>
      </c>
      <c r="CG84" s="100">
        <v>9374.4</v>
      </c>
      <c r="CH84" s="100">
        <v>9</v>
      </c>
      <c r="CI84" s="100">
        <v>7030.7999999999993</v>
      </c>
      <c r="CJ84" s="100">
        <v>14</v>
      </c>
      <c r="CK84" s="100">
        <v>10936.8</v>
      </c>
      <c r="CL84" s="100">
        <v>5.9479822273154941</v>
      </c>
      <c r="CM84" s="100">
        <v>4646.5637159788639</v>
      </c>
      <c r="CN84" s="100">
        <v>4.5609735706775272</v>
      </c>
      <c r="CO84" s="100">
        <v>3563.0325534132839</v>
      </c>
      <c r="CP84" s="100">
        <v>10.80182111048039</v>
      </c>
      <c r="CQ84" s="100">
        <v>8438.3826515072797</v>
      </c>
      <c r="CR84" s="100">
        <v>10.050761421319796</v>
      </c>
      <c r="CS84" s="100">
        <v>7851.6548223350246</v>
      </c>
      <c r="CT84" s="100">
        <v>13</v>
      </c>
      <c r="CU84" s="100">
        <v>10155.599999999999</v>
      </c>
    </row>
    <row r="85" spans="2:99">
      <c r="C85" s="99" t="s">
        <v>251</v>
      </c>
      <c r="D85" s="100">
        <v>7.8757793000022662</v>
      </c>
      <c r="E85" s="100">
        <v>1181.36689500034</v>
      </c>
      <c r="F85" s="100">
        <v>10</v>
      </c>
      <c r="G85" s="100">
        <v>1500</v>
      </c>
      <c r="H85" s="100">
        <v>13</v>
      </c>
      <c r="I85" s="100">
        <v>1950</v>
      </c>
      <c r="J85" s="100">
        <v>8.9446593508621319</v>
      </c>
      <c r="K85" s="100">
        <v>1341.6989026293197</v>
      </c>
      <c r="L85" s="100">
        <v>7.894919286223335E-16</v>
      </c>
      <c r="M85" s="100">
        <v>1.1842378929335001E-13</v>
      </c>
      <c r="N85" s="100">
        <v>8</v>
      </c>
      <c r="O85" s="100">
        <v>1200</v>
      </c>
      <c r="P85" s="100">
        <v>12.502392344497604</v>
      </c>
      <c r="Q85" s="100">
        <v>1875.3588516746406</v>
      </c>
      <c r="R85" s="100">
        <v>11</v>
      </c>
      <c r="S85" s="100">
        <v>1650</v>
      </c>
      <c r="T85" s="100">
        <v>9</v>
      </c>
      <c r="U85" s="100">
        <v>1350</v>
      </c>
      <c r="V85" s="100">
        <v>10</v>
      </c>
      <c r="W85" s="100">
        <v>1500</v>
      </c>
      <c r="X85" s="100">
        <v>12</v>
      </c>
      <c r="Y85" s="100">
        <v>1800</v>
      </c>
      <c r="Z85" s="100">
        <v>16</v>
      </c>
      <c r="AA85" s="100">
        <v>2400</v>
      </c>
      <c r="AB85" s="100">
        <v>10</v>
      </c>
      <c r="AC85" s="100">
        <v>1500</v>
      </c>
      <c r="AD85" s="100">
        <v>12</v>
      </c>
      <c r="AE85" s="100">
        <v>1800</v>
      </c>
      <c r="AF85" s="100">
        <v>11</v>
      </c>
      <c r="AG85" s="100">
        <v>1650</v>
      </c>
      <c r="AH85" s="100">
        <v>13</v>
      </c>
      <c r="AI85" s="100">
        <v>1950</v>
      </c>
      <c r="AJ85" s="100">
        <v>8.8359002120383749</v>
      </c>
      <c r="AK85" s="100">
        <v>1325.3850318057562</v>
      </c>
      <c r="AL85" s="100">
        <v>11</v>
      </c>
      <c r="AM85" s="100">
        <v>1650</v>
      </c>
      <c r="AN85" s="100">
        <v>12</v>
      </c>
      <c r="AO85" s="100">
        <v>1800</v>
      </c>
      <c r="AP85" s="100">
        <v>7.7410283806520432</v>
      </c>
      <c r="AQ85" s="100">
        <v>1161.1542570978065</v>
      </c>
      <c r="AR85" s="100">
        <v>9.9539170506912438</v>
      </c>
      <c r="AS85" s="100">
        <v>1493.0875576036865</v>
      </c>
      <c r="AT85" s="100">
        <v>11.308900523560208</v>
      </c>
      <c r="AU85" s="100">
        <v>1696.3350785340313</v>
      </c>
      <c r="AV85" s="100">
        <v>10.202429149797569</v>
      </c>
      <c r="AW85" s="100">
        <v>1530.3643724696353</v>
      </c>
      <c r="AX85" s="100">
        <v>10.588235294117647</v>
      </c>
      <c r="AY85" s="100">
        <v>1588.2352941176471</v>
      </c>
      <c r="AZ85" s="100">
        <v>5.391886477453661</v>
      </c>
      <c r="BA85" s="100">
        <v>808.78297161804915</v>
      </c>
      <c r="BB85" s="100">
        <v>10.536585365853659</v>
      </c>
      <c r="BC85" s="100">
        <v>1580.4878048780488</v>
      </c>
      <c r="BD85" s="100">
        <v>13</v>
      </c>
      <c r="BE85" s="100">
        <v>1950</v>
      </c>
      <c r="BF85" s="100">
        <v>10</v>
      </c>
      <c r="BG85" s="100">
        <v>1500</v>
      </c>
      <c r="BH85" s="100">
        <v>10</v>
      </c>
      <c r="BI85" s="100">
        <v>1500</v>
      </c>
      <c r="BJ85" s="100">
        <v>8</v>
      </c>
      <c r="BK85" s="100">
        <v>1200</v>
      </c>
      <c r="BL85" s="100">
        <v>11.31753554502369</v>
      </c>
      <c r="BM85" s="100">
        <v>1697.6303317535535</v>
      </c>
      <c r="BN85" s="100">
        <v>10</v>
      </c>
      <c r="BO85" s="100">
        <v>1500</v>
      </c>
      <c r="BP85" s="100">
        <v>11</v>
      </c>
      <c r="BQ85" s="100">
        <v>1650</v>
      </c>
      <c r="BR85" s="100">
        <v>12</v>
      </c>
      <c r="BS85" s="100">
        <v>1800</v>
      </c>
      <c r="BT85" s="100">
        <v>5.2177584401858583</v>
      </c>
      <c r="BU85" s="100">
        <v>782.66376602787875</v>
      </c>
      <c r="BV85" s="100">
        <v>8.43705997454488</v>
      </c>
      <c r="BW85" s="100">
        <v>1265.558996181732</v>
      </c>
      <c r="BX85" s="100">
        <v>12</v>
      </c>
      <c r="BY85" s="100">
        <v>1800</v>
      </c>
      <c r="BZ85" s="100">
        <v>12</v>
      </c>
      <c r="CA85" s="100">
        <v>1800</v>
      </c>
      <c r="CB85" s="100">
        <v>9</v>
      </c>
      <c r="CC85" s="100">
        <v>1350</v>
      </c>
      <c r="CD85" s="100">
        <v>11</v>
      </c>
      <c r="CE85" s="100">
        <v>1650</v>
      </c>
      <c r="CF85" s="100">
        <v>13</v>
      </c>
      <c r="CG85" s="100">
        <v>1950</v>
      </c>
      <c r="CH85" s="100">
        <v>9</v>
      </c>
      <c r="CI85" s="100">
        <v>1350</v>
      </c>
      <c r="CJ85" s="100">
        <v>17</v>
      </c>
      <c r="CK85" s="100">
        <v>2550</v>
      </c>
      <c r="CL85" s="100">
        <v>6.5427804500470428</v>
      </c>
      <c r="CM85" s="100">
        <v>981.41706750705646</v>
      </c>
      <c r="CN85" s="100">
        <v>4.941054701567321</v>
      </c>
      <c r="CO85" s="100">
        <v>741.15820523509819</v>
      </c>
      <c r="CP85" s="100">
        <v>11.573379761228988</v>
      </c>
      <c r="CQ85" s="100">
        <v>1736.0069641843484</v>
      </c>
      <c r="CR85" s="100">
        <v>10.964467005076143</v>
      </c>
      <c r="CS85" s="100">
        <v>1644.6700507614214</v>
      </c>
      <c r="CT85" s="100">
        <v>15</v>
      </c>
      <c r="CU85" s="100">
        <v>2250</v>
      </c>
    </row>
    <row r="86" spans="2:99">
      <c r="C86" s="99" t="s">
        <v>252</v>
      </c>
      <c r="D86" s="100">
        <v>7.8757793000022662</v>
      </c>
      <c r="E86" s="100">
        <v>4252.9208220012233</v>
      </c>
      <c r="F86" s="100">
        <v>10</v>
      </c>
      <c r="G86" s="100">
        <v>5400</v>
      </c>
      <c r="H86" s="100">
        <v>13</v>
      </c>
      <c r="I86" s="100">
        <v>7020</v>
      </c>
      <c r="J86" s="100">
        <v>9.6900476301006435</v>
      </c>
      <c r="K86" s="100">
        <v>5232.6257202543475</v>
      </c>
      <c r="L86" s="100">
        <v>7.894919286223335E-16</v>
      </c>
      <c r="M86" s="100">
        <v>4.2632564145606011E-13</v>
      </c>
      <c r="N86" s="100">
        <v>9</v>
      </c>
      <c r="O86" s="100">
        <v>4860</v>
      </c>
      <c r="P86" s="100">
        <v>12.502392344497604</v>
      </c>
      <c r="Q86" s="100">
        <v>6751.291866028706</v>
      </c>
      <c r="R86" s="100">
        <v>10</v>
      </c>
      <c r="S86" s="100">
        <v>5400</v>
      </c>
      <c r="T86" s="100">
        <v>9</v>
      </c>
      <c r="U86" s="100">
        <v>4860</v>
      </c>
      <c r="V86" s="100">
        <v>8</v>
      </c>
      <c r="W86" s="100">
        <v>4320</v>
      </c>
      <c r="X86" s="100">
        <v>14</v>
      </c>
      <c r="Y86" s="100">
        <v>7560</v>
      </c>
      <c r="Z86" s="100">
        <v>15</v>
      </c>
      <c r="AA86" s="100">
        <v>8100</v>
      </c>
      <c r="AB86" s="100">
        <v>9</v>
      </c>
      <c r="AC86" s="100">
        <v>4860</v>
      </c>
      <c r="AD86" s="100">
        <v>13</v>
      </c>
      <c r="AE86" s="100">
        <v>7020</v>
      </c>
      <c r="AF86" s="100">
        <v>11</v>
      </c>
      <c r="AG86" s="100">
        <v>5940</v>
      </c>
      <c r="AH86" s="100">
        <v>11</v>
      </c>
      <c r="AI86" s="100">
        <v>5940</v>
      </c>
      <c r="AJ86" s="100">
        <v>8.8359002120383749</v>
      </c>
      <c r="AK86" s="100">
        <v>4771.3861145007222</v>
      </c>
      <c r="AL86" s="100">
        <v>10</v>
      </c>
      <c r="AM86" s="100">
        <v>5400</v>
      </c>
      <c r="AN86" s="100">
        <v>11</v>
      </c>
      <c r="AO86" s="100">
        <v>5940</v>
      </c>
      <c r="AP86" s="100">
        <v>7.1880977820340402</v>
      </c>
      <c r="AQ86" s="100">
        <v>3881.5728022983817</v>
      </c>
      <c r="AR86" s="100">
        <v>9.9539170506912438</v>
      </c>
      <c r="AS86" s="100">
        <v>5375.1152073732719</v>
      </c>
      <c r="AT86" s="100">
        <v>10.366492146596858</v>
      </c>
      <c r="AU86" s="100">
        <v>5597.9057591623032</v>
      </c>
      <c r="AV86" s="100">
        <v>10.202429149797569</v>
      </c>
      <c r="AW86" s="100">
        <v>5509.3117408906874</v>
      </c>
      <c r="AX86" s="100">
        <v>9.7058823529411775</v>
      </c>
      <c r="AY86" s="100">
        <v>5241.176470588236</v>
      </c>
      <c r="AZ86" s="100">
        <v>4.852697829708295</v>
      </c>
      <c r="BA86" s="100">
        <v>2620.4568280424792</v>
      </c>
      <c r="BB86" s="100">
        <v>9.6585365853658534</v>
      </c>
      <c r="BC86" s="100">
        <v>5215.6097560975604</v>
      </c>
      <c r="BD86" s="100">
        <v>13</v>
      </c>
      <c r="BE86" s="100">
        <v>7020</v>
      </c>
      <c r="BF86" s="100">
        <v>10</v>
      </c>
      <c r="BG86" s="100">
        <v>5400</v>
      </c>
      <c r="BH86" s="100">
        <v>10</v>
      </c>
      <c r="BI86" s="100">
        <v>5400</v>
      </c>
      <c r="BJ86" s="100">
        <v>8</v>
      </c>
      <c r="BK86" s="100">
        <v>4320</v>
      </c>
      <c r="BL86" s="100">
        <v>10.374407582938382</v>
      </c>
      <c r="BM86" s="100">
        <v>5602.1800947867259</v>
      </c>
      <c r="BN86" s="100">
        <v>10</v>
      </c>
      <c r="BO86" s="100">
        <v>5400</v>
      </c>
      <c r="BP86" s="100">
        <v>11</v>
      </c>
      <c r="BQ86" s="100">
        <v>5940</v>
      </c>
      <c r="BR86" s="100">
        <v>14</v>
      </c>
      <c r="BS86" s="100">
        <v>7560</v>
      </c>
      <c r="BT86" s="100">
        <v>5.2177584401858583</v>
      </c>
      <c r="BU86" s="100">
        <v>2817.5895577003635</v>
      </c>
      <c r="BV86" s="100">
        <v>9.8432366369690261</v>
      </c>
      <c r="BW86" s="100">
        <v>5315.3477839632742</v>
      </c>
      <c r="BX86" s="100">
        <v>13</v>
      </c>
      <c r="BY86" s="100">
        <v>7020</v>
      </c>
      <c r="BZ86" s="100">
        <v>11</v>
      </c>
      <c r="CA86" s="100">
        <v>5940</v>
      </c>
      <c r="CB86" s="100">
        <v>9</v>
      </c>
      <c r="CC86" s="100">
        <v>4860</v>
      </c>
      <c r="CD86" s="100">
        <v>10</v>
      </c>
      <c r="CE86" s="100">
        <v>5400</v>
      </c>
      <c r="CF86" s="100">
        <v>14</v>
      </c>
      <c r="CG86" s="100">
        <v>7560</v>
      </c>
      <c r="CH86" s="100">
        <v>8</v>
      </c>
      <c r="CI86" s="100">
        <v>4320</v>
      </c>
      <c r="CJ86" s="100">
        <v>15</v>
      </c>
      <c r="CK86" s="100">
        <v>8100</v>
      </c>
      <c r="CL86" s="100">
        <v>7.1375786727785924</v>
      </c>
      <c r="CM86" s="100">
        <v>3854.2924833004399</v>
      </c>
      <c r="CN86" s="100">
        <v>5.3211358324571147</v>
      </c>
      <c r="CO86" s="100">
        <v>2873.413349526842</v>
      </c>
      <c r="CP86" s="100">
        <v>11.573379761228988</v>
      </c>
      <c r="CQ86" s="100">
        <v>6249.6250710636541</v>
      </c>
      <c r="CR86" s="100">
        <v>10.050761421319796</v>
      </c>
      <c r="CS86" s="100">
        <v>5427.4111675126896</v>
      </c>
      <c r="CT86" s="100">
        <v>14</v>
      </c>
      <c r="CU86" s="100">
        <v>7560</v>
      </c>
    </row>
    <row r="87" spans="2:99">
      <c r="B87" s="99" t="s">
        <v>131</v>
      </c>
      <c r="C87" s="99" t="s">
        <v>253</v>
      </c>
      <c r="D87" s="100">
        <v>8</v>
      </c>
      <c r="E87" s="100">
        <v>8592</v>
      </c>
      <c r="F87" s="100">
        <v>6</v>
      </c>
      <c r="G87" s="100">
        <v>6444</v>
      </c>
      <c r="H87" s="100">
        <v>7</v>
      </c>
      <c r="I87" s="100">
        <v>7518</v>
      </c>
      <c r="J87" s="100">
        <v>11</v>
      </c>
      <c r="K87" s="100">
        <v>11814</v>
      </c>
      <c r="L87" s="100">
        <v>4.3219572256041729</v>
      </c>
      <c r="M87" s="100">
        <v>4641.7820602988813</v>
      </c>
      <c r="N87" s="100">
        <v>5.4838709677419297</v>
      </c>
      <c r="O87" s="100">
        <v>5889.6774193548326</v>
      </c>
      <c r="P87" s="100">
        <v>5</v>
      </c>
      <c r="Q87" s="100">
        <v>5370</v>
      </c>
      <c r="R87" s="100">
        <v>7.8947368421052504</v>
      </c>
      <c r="S87" s="100">
        <v>8478.9473684210388</v>
      </c>
      <c r="T87" s="100">
        <v>0.64924948957119921</v>
      </c>
      <c r="U87" s="100">
        <v>697.293951799468</v>
      </c>
      <c r="V87" s="100">
        <v>7</v>
      </c>
      <c r="W87" s="100">
        <v>7518</v>
      </c>
      <c r="X87" s="100">
        <v>6</v>
      </c>
      <c r="Y87" s="100">
        <v>6444</v>
      </c>
      <c r="Z87" s="100">
        <v>10</v>
      </c>
      <c r="AA87" s="100">
        <v>10740</v>
      </c>
      <c r="AB87" s="100">
        <v>5</v>
      </c>
      <c r="AC87" s="100">
        <v>5370</v>
      </c>
      <c r="AD87" s="100">
        <v>10</v>
      </c>
      <c r="AE87" s="100">
        <v>10740</v>
      </c>
      <c r="AF87" s="100">
        <v>5.9801980198019429</v>
      </c>
      <c r="AG87" s="100">
        <v>6422.7326732672864</v>
      </c>
      <c r="AH87" s="100">
        <v>10</v>
      </c>
      <c r="AI87" s="100">
        <v>10740</v>
      </c>
      <c r="AJ87" s="100">
        <v>5.2707182320441834</v>
      </c>
      <c r="AK87" s="100">
        <v>5660.751381215453</v>
      </c>
      <c r="AL87" s="100">
        <v>6.7105263157894663</v>
      </c>
      <c r="AM87" s="100">
        <v>7207.1052631578868</v>
      </c>
      <c r="AN87" s="100">
        <v>6</v>
      </c>
      <c r="AO87" s="100">
        <v>6444</v>
      </c>
      <c r="AP87" s="100">
        <v>8</v>
      </c>
      <c r="AQ87" s="100">
        <v>8592</v>
      </c>
      <c r="AR87" s="100">
        <v>4.6229508196721163</v>
      </c>
      <c r="AS87" s="100">
        <v>4965.0491803278528</v>
      </c>
      <c r="AT87" s="100">
        <v>7.7272727272727195</v>
      </c>
      <c r="AU87" s="100">
        <v>8299.0909090909008</v>
      </c>
      <c r="AV87" s="100">
        <v>8.7179487179487101</v>
      </c>
      <c r="AW87" s="100">
        <v>9363.0769230769147</v>
      </c>
      <c r="AX87" s="100">
        <v>7</v>
      </c>
      <c r="AY87" s="100">
        <v>7518</v>
      </c>
      <c r="AZ87" s="100">
        <v>6.9811320754716837</v>
      </c>
      <c r="BA87" s="100">
        <v>7497.7358490565884</v>
      </c>
      <c r="BB87" s="100">
        <v>9</v>
      </c>
      <c r="BC87" s="100">
        <v>9666</v>
      </c>
      <c r="BD87" s="100">
        <v>8</v>
      </c>
      <c r="BE87" s="100">
        <v>8592</v>
      </c>
      <c r="BF87" s="100">
        <v>7</v>
      </c>
      <c r="BG87" s="100">
        <v>7518</v>
      </c>
      <c r="BH87" s="100">
        <v>2.7961165048543446</v>
      </c>
      <c r="BI87" s="100">
        <v>3003.0291262135661</v>
      </c>
      <c r="BJ87" s="100">
        <v>6.9863013698630061</v>
      </c>
      <c r="BK87" s="100">
        <v>7503.2876712328689</v>
      </c>
      <c r="BL87" s="100">
        <v>6.5745856353591101</v>
      </c>
      <c r="BM87" s="100">
        <v>7061.1049723756842</v>
      </c>
      <c r="BN87" s="100">
        <v>9</v>
      </c>
      <c r="BO87" s="100">
        <v>9666</v>
      </c>
      <c r="BP87" s="100">
        <v>5.5255813953488238</v>
      </c>
      <c r="BQ87" s="100">
        <v>5934.4744186046364</v>
      </c>
      <c r="BR87" s="100">
        <v>8</v>
      </c>
      <c r="BS87" s="100">
        <v>8592</v>
      </c>
      <c r="BT87" s="100">
        <v>11.939571245993321</v>
      </c>
      <c r="BU87" s="100">
        <v>12823.099518196826</v>
      </c>
      <c r="BV87" s="100">
        <v>1.9989684420630869</v>
      </c>
      <c r="BW87" s="100">
        <v>2146.8921067757551</v>
      </c>
      <c r="BX87" s="100">
        <v>6.7999999999999936</v>
      </c>
      <c r="BY87" s="100">
        <v>7303.1999999999935</v>
      </c>
      <c r="BZ87" s="100">
        <v>6.1979166666666616</v>
      </c>
      <c r="CA87" s="100">
        <v>6656.5624999999945</v>
      </c>
      <c r="CB87" s="100">
        <v>9.7607655502392241</v>
      </c>
      <c r="CC87" s="100">
        <v>10483.062200956927</v>
      </c>
      <c r="CD87" s="100">
        <v>0.55789780259635713</v>
      </c>
      <c r="CE87" s="100">
        <v>599.18223998848759</v>
      </c>
      <c r="CF87" s="100">
        <v>11</v>
      </c>
      <c r="CG87" s="100">
        <v>11814</v>
      </c>
      <c r="CH87" s="100">
        <v>3.2727272727272614</v>
      </c>
      <c r="CI87" s="100">
        <v>3514.9090909090787</v>
      </c>
      <c r="CJ87" s="100">
        <v>12</v>
      </c>
      <c r="CK87" s="100">
        <v>12888</v>
      </c>
      <c r="CL87" s="100">
        <v>10</v>
      </c>
      <c r="CM87" s="100">
        <v>10740</v>
      </c>
      <c r="CN87" s="100">
        <v>8.2776774874227748</v>
      </c>
      <c r="CO87" s="100">
        <v>8890.2256214920599</v>
      </c>
      <c r="CP87" s="100">
        <v>9.042553191489354</v>
      </c>
      <c r="CQ87" s="100">
        <v>9711.702127659566</v>
      </c>
      <c r="CR87" s="100">
        <v>8.1339712918660201</v>
      </c>
      <c r="CS87" s="100">
        <v>8735.8851674641064</v>
      </c>
      <c r="CT87" s="100">
        <v>8.4297520661156948</v>
      </c>
      <c r="CU87" s="100">
        <v>9053.5537190082559</v>
      </c>
    </row>
    <row r="88" spans="2:99">
      <c r="C88" s="99" t="s">
        <v>254</v>
      </c>
      <c r="D88" s="100">
        <v>9</v>
      </c>
      <c r="E88" s="100">
        <v>8931.6</v>
      </c>
      <c r="F88" s="100">
        <v>6</v>
      </c>
      <c r="G88" s="100">
        <v>5954.4</v>
      </c>
      <c r="H88" s="100">
        <v>7</v>
      </c>
      <c r="I88" s="100">
        <v>6946.8</v>
      </c>
      <c r="J88" s="100">
        <v>10</v>
      </c>
      <c r="K88" s="100">
        <v>9924</v>
      </c>
      <c r="L88" s="100">
        <v>4.3219572256041729</v>
      </c>
      <c r="M88" s="100">
        <v>4289.1103506895815</v>
      </c>
      <c r="N88" s="100">
        <v>4.5698924731182746</v>
      </c>
      <c r="O88" s="100">
        <v>4535.161290322576</v>
      </c>
      <c r="P88" s="100">
        <v>5</v>
      </c>
      <c r="Q88" s="100">
        <v>4962</v>
      </c>
      <c r="R88" s="100">
        <v>8.7719298245613899</v>
      </c>
      <c r="S88" s="100">
        <v>8705.2631578947239</v>
      </c>
      <c r="T88" s="100">
        <v>0.64924948957119921</v>
      </c>
      <c r="U88" s="100">
        <v>644.31519345045808</v>
      </c>
      <c r="V88" s="100">
        <v>8</v>
      </c>
      <c r="W88" s="100">
        <v>7939.2</v>
      </c>
      <c r="X88" s="100">
        <v>6</v>
      </c>
      <c r="Y88" s="100">
        <v>5954.4</v>
      </c>
      <c r="Z88" s="100">
        <v>10</v>
      </c>
      <c r="AA88" s="100">
        <v>9924</v>
      </c>
      <c r="AB88" s="100">
        <v>6</v>
      </c>
      <c r="AC88" s="100">
        <v>5954.4</v>
      </c>
      <c r="AD88" s="100">
        <v>11</v>
      </c>
      <c r="AE88" s="100">
        <v>10916.4</v>
      </c>
      <c r="AF88" s="100">
        <v>5.2326732673267005</v>
      </c>
      <c r="AG88" s="100">
        <v>5192.9049504950171</v>
      </c>
      <c r="AH88" s="100">
        <v>9</v>
      </c>
      <c r="AI88" s="100">
        <v>8931.6</v>
      </c>
      <c r="AJ88" s="100">
        <v>5.2707182320441834</v>
      </c>
      <c r="AK88" s="100">
        <v>5230.6607734806475</v>
      </c>
      <c r="AL88" s="100">
        <v>7.4561403508771855</v>
      </c>
      <c r="AM88" s="100">
        <v>7399.4736842105185</v>
      </c>
      <c r="AN88" s="100">
        <v>6</v>
      </c>
      <c r="AO88" s="100">
        <v>5954.4</v>
      </c>
      <c r="AP88" s="100">
        <v>9</v>
      </c>
      <c r="AQ88" s="100">
        <v>8931.6</v>
      </c>
      <c r="AR88" s="100">
        <v>5.3934426229508023</v>
      </c>
      <c r="AS88" s="100">
        <v>5352.4524590163765</v>
      </c>
      <c r="AT88" s="100">
        <v>8.5858585858585776</v>
      </c>
      <c r="AU88" s="100">
        <v>8520.6060606060528</v>
      </c>
      <c r="AV88" s="100">
        <v>9.5897435897435823</v>
      </c>
      <c r="AW88" s="100">
        <v>9516.8615384615314</v>
      </c>
      <c r="AX88" s="100">
        <v>6</v>
      </c>
      <c r="AY88" s="100">
        <v>5954.4</v>
      </c>
      <c r="AZ88" s="100">
        <v>6.9811320754716837</v>
      </c>
      <c r="BA88" s="100">
        <v>6928.0754716980991</v>
      </c>
      <c r="BB88" s="100">
        <v>10</v>
      </c>
      <c r="BC88" s="100">
        <v>9924</v>
      </c>
      <c r="BD88" s="100">
        <v>9</v>
      </c>
      <c r="BE88" s="100">
        <v>8931.6</v>
      </c>
      <c r="BF88" s="100">
        <v>7</v>
      </c>
      <c r="BG88" s="100">
        <v>6946.8</v>
      </c>
      <c r="BH88" s="100">
        <v>2.7961165048543446</v>
      </c>
      <c r="BI88" s="100">
        <v>2774.8660194174513</v>
      </c>
      <c r="BJ88" s="100">
        <v>6.2100456621004501</v>
      </c>
      <c r="BK88" s="100">
        <v>6162.8493150684862</v>
      </c>
      <c r="BL88" s="100">
        <v>5.6353591160220944</v>
      </c>
      <c r="BM88" s="100">
        <v>5592.5303867403263</v>
      </c>
      <c r="BN88" s="100">
        <v>8</v>
      </c>
      <c r="BO88" s="100">
        <v>7939.2</v>
      </c>
      <c r="BP88" s="100">
        <v>5.5255813953488238</v>
      </c>
      <c r="BQ88" s="100">
        <v>5483.5869767441727</v>
      </c>
      <c r="BR88" s="100">
        <v>7</v>
      </c>
      <c r="BS88" s="100">
        <v>6946.8</v>
      </c>
      <c r="BT88" s="100">
        <v>11.939571245993321</v>
      </c>
      <c r="BU88" s="100">
        <v>11848.830504523772</v>
      </c>
      <c r="BV88" s="100">
        <v>1.7768608373894106</v>
      </c>
      <c r="BW88" s="100">
        <v>1763.3566950252509</v>
      </c>
      <c r="BX88" s="100">
        <v>6.7999999999999936</v>
      </c>
      <c r="BY88" s="100">
        <v>6748.3199999999933</v>
      </c>
      <c r="BZ88" s="100">
        <v>6.1979166666666616</v>
      </c>
      <c r="CA88" s="100">
        <v>6150.8124999999945</v>
      </c>
      <c r="CB88" s="100">
        <v>8.947368421052623</v>
      </c>
      <c r="CC88" s="100">
        <v>8879.3684210526226</v>
      </c>
      <c r="CD88" s="100">
        <v>0.55789780259635713</v>
      </c>
      <c r="CE88" s="100">
        <v>553.65777929662477</v>
      </c>
      <c r="CF88" s="100">
        <v>10</v>
      </c>
      <c r="CG88" s="100">
        <v>9924</v>
      </c>
      <c r="CH88" s="100">
        <v>3.2727272727272614</v>
      </c>
      <c r="CI88" s="100">
        <v>3247.8545454545342</v>
      </c>
      <c r="CJ88" s="100">
        <v>11</v>
      </c>
      <c r="CK88" s="100">
        <v>10916.4</v>
      </c>
      <c r="CL88" s="100">
        <v>12</v>
      </c>
      <c r="CM88" s="100">
        <v>11908.8</v>
      </c>
      <c r="CN88" s="100">
        <v>9.1054452361650515</v>
      </c>
      <c r="CO88" s="100">
        <v>9036.2438523701967</v>
      </c>
      <c r="CP88" s="100">
        <v>8.1382978723404182</v>
      </c>
      <c r="CQ88" s="100">
        <v>8076.4468085106309</v>
      </c>
      <c r="CR88" s="100">
        <v>7.320574162679419</v>
      </c>
      <c r="CS88" s="100">
        <v>7264.9377990430548</v>
      </c>
      <c r="CT88" s="100">
        <v>7.7272727272727213</v>
      </c>
      <c r="CU88" s="100">
        <v>7668.5454545454486</v>
      </c>
    </row>
    <row r="89" spans="2:99">
      <c r="C89" s="99" t="s">
        <v>255</v>
      </c>
      <c r="D89" s="100">
        <v>8</v>
      </c>
      <c r="E89" s="100">
        <v>8496</v>
      </c>
      <c r="F89" s="100">
        <v>6</v>
      </c>
      <c r="G89" s="100">
        <v>6372</v>
      </c>
      <c r="H89" s="100">
        <v>8</v>
      </c>
      <c r="I89" s="100">
        <v>8496</v>
      </c>
      <c r="J89" s="100">
        <v>10</v>
      </c>
      <c r="K89" s="100">
        <v>10620</v>
      </c>
      <c r="L89" s="100">
        <v>4.3219572256041729</v>
      </c>
      <c r="M89" s="100">
        <v>4589.9185735916317</v>
      </c>
      <c r="N89" s="100">
        <v>5.4838709677419297</v>
      </c>
      <c r="O89" s="100">
        <v>5823.8709677419292</v>
      </c>
      <c r="P89" s="100">
        <v>5</v>
      </c>
      <c r="Q89" s="100">
        <v>5310</v>
      </c>
      <c r="R89" s="100">
        <v>7.0175438596491118</v>
      </c>
      <c r="S89" s="100">
        <v>7452.6315789473565</v>
      </c>
      <c r="T89" s="100">
        <v>0.58432454061407935</v>
      </c>
      <c r="U89" s="100">
        <v>620.55266213215225</v>
      </c>
      <c r="V89" s="100">
        <v>7</v>
      </c>
      <c r="W89" s="100">
        <v>7434</v>
      </c>
      <c r="X89" s="100">
        <v>6</v>
      </c>
      <c r="Y89" s="100">
        <v>6372</v>
      </c>
      <c r="Z89" s="100">
        <v>10</v>
      </c>
      <c r="AA89" s="100">
        <v>10620</v>
      </c>
      <c r="AB89" s="100">
        <v>5</v>
      </c>
      <c r="AC89" s="100">
        <v>5310</v>
      </c>
      <c r="AD89" s="100">
        <v>10</v>
      </c>
      <c r="AE89" s="100">
        <v>10620</v>
      </c>
      <c r="AF89" s="100">
        <v>5.9801980198019429</v>
      </c>
      <c r="AG89" s="100">
        <v>6350.970297029663</v>
      </c>
      <c r="AH89" s="100">
        <v>11</v>
      </c>
      <c r="AI89" s="100">
        <v>11682</v>
      </c>
      <c r="AJ89" s="100">
        <v>5.8563535911602038</v>
      </c>
      <c r="AK89" s="100">
        <v>6219.4475138121361</v>
      </c>
      <c r="AL89" s="100">
        <v>6.7105263157894663</v>
      </c>
      <c r="AM89" s="100">
        <v>7126.5789473684135</v>
      </c>
      <c r="AN89" s="100">
        <v>5</v>
      </c>
      <c r="AO89" s="100">
        <v>5310</v>
      </c>
      <c r="AP89" s="100">
        <v>8</v>
      </c>
      <c r="AQ89" s="100">
        <v>8496</v>
      </c>
      <c r="AR89" s="100">
        <v>5.3934426229508023</v>
      </c>
      <c r="AS89" s="100">
        <v>5727.8360655737524</v>
      </c>
      <c r="AT89" s="100">
        <v>7.7272727272727195</v>
      </c>
      <c r="AU89" s="100">
        <v>8206.3636363636288</v>
      </c>
      <c r="AV89" s="100">
        <v>8.7179487179487101</v>
      </c>
      <c r="AW89" s="100">
        <v>9258.4615384615299</v>
      </c>
      <c r="AX89" s="100">
        <v>7</v>
      </c>
      <c r="AY89" s="100">
        <v>7434</v>
      </c>
      <c r="AZ89" s="100">
        <v>6.9811320754716837</v>
      </c>
      <c r="BA89" s="100">
        <v>7413.9622641509277</v>
      </c>
      <c r="BB89" s="100">
        <v>9</v>
      </c>
      <c r="BC89" s="100">
        <v>9558</v>
      </c>
      <c r="BD89" s="100">
        <v>8</v>
      </c>
      <c r="BE89" s="100">
        <v>8496</v>
      </c>
      <c r="BF89" s="100">
        <v>7</v>
      </c>
      <c r="BG89" s="100">
        <v>7434</v>
      </c>
      <c r="BH89" s="100">
        <v>2.7961165048543446</v>
      </c>
      <c r="BI89" s="100">
        <v>2969.4757281553138</v>
      </c>
      <c r="BJ89" s="100">
        <v>6.2100456621004501</v>
      </c>
      <c r="BK89" s="100">
        <v>6595.0684931506776</v>
      </c>
      <c r="BL89" s="100">
        <v>6.5745856353591101</v>
      </c>
      <c r="BM89" s="100">
        <v>6982.2099447513747</v>
      </c>
      <c r="BN89" s="100">
        <v>8</v>
      </c>
      <c r="BO89" s="100">
        <v>8496</v>
      </c>
      <c r="BP89" s="100">
        <v>6.1395348837209154</v>
      </c>
      <c r="BQ89" s="100">
        <v>6520.1860465116124</v>
      </c>
      <c r="BR89" s="100">
        <v>8</v>
      </c>
      <c r="BS89" s="100">
        <v>8496</v>
      </c>
      <c r="BT89" s="100">
        <v>10.944606975493878</v>
      </c>
      <c r="BU89" s="100">
        <v>11623.172607974499</v>
      </c>
      <c r="BV89" s="100">
        <v>1.7768608373894106</v>
      </c>
      <c r="BW89" s="100">
        <v>1887.0262093075542</v>
      </c>
      <c r="BX89" s="100">
        <v>5.828571428571423</v>
      </c>
      <c r="BY89" s="100">
        <v>6189.9428571428516</v>
      </c>
      <c r="BZ89" s="100">
        <v>6.1979166666666616</v>
      </c>
      <c r="CA89" s="100">
        <v>6582.1874999999945</v>
      </c>
      <c r="CB89" s="100">
        <v>8.1339712918660201</v>
      </c>
      <c r="CC89" s="100">
        <v>8638.2775119617127</v>
      </c>
      <c r="CD89" s="100">
        <v>0.4959091578634286</v>
      </c>
      <c r="CE89" s="100">
        <v>526.65552565096118</v>
      </c>
      <c r="CF89" s="100">
        <v>12</v>
      </c>
      <c r="CG89" s="100">
        <v>12744</v>
      </c>
      <c r="CH89" s="100">
        <v>3.6818181818181692</v>
      </c>
      <c r="CI89" s="100">
        <v>3910.0909090908958</v>
      </c>
      <c r="CJ89" s="100">
        <v>11</v>
      </c>
      <c r="CK89" s="100">
        <v>11682</v>
      </c>
      <c r="CL89" s="100">
        <v>10</v>
      </c>
      <c r="CM89" s="100">
        <v>10620</v>
      </c>
      <c r="CN89" s="100">
        <v>8.2776774874227748</v>
      </c>
      <c r="CO89" s="100">
        <v>8790.8934916429862</v>
      </c>
      <c r="CP89" s="100">
        <v>9.042553191489354</v>
      </c>
      <c r="CQ89" s="100">
        <v>9603.191489361694</v>
      </c>
      <c r="CR89" s="100">
        <v>8.1339712918660201</v>
      </c>
      <c r="CS89" s="100">
        <v>8638.2775119617127</v>
      </c>
      <c r="CT89" s="100">
        <v>7.024793388429746</v>
      </c>
      <c r="CU89" s="100">
        <v>7460.3305785123903</v>
      </c>
    </row>
    <row r="90" spans="2:99">
      <c r="C90" s="99" t="s">
        <v>256</v>
      </c>
      <c r="D90" s="100">
        <v>8</v>
      </c>
      <c r="E90" s="100">
        <v>8870.4</v>
      </c>
      <c r="F90" s="100">
        <v>6</v>
      </c>
      <c r="G90" s="100">
        <v>6652.7999999999993</v>
      </c>
      <c r="H90" s="100">
        <v>8</v>
      </c>
      <c r="I90" s="100">
        <v>8870.4</v>
      </c>
      <c r="J90" s="100">
        <v>9</v>
      </c>
      <c r="K90" s="100">
        <v>9979.1999999999989</v>
      </c>
      <c r="L90" s="100">
        <v>4.3219572256041729</v>
      </c>
      <c r="M90" s="100">
        <v>4792.1861717499069</v>
      </c>
      <c r="N90" s="100">
        <v>5.4838709677419297</v>
      </c>
      <c r="O90" s="100">
        <v>6080.5161290322512</v>
      </c>
      <c r="P90" s="100">
        <v>5</v>
      </c>
      <c r="Q90" s="100">
        <v>5544</v>
      </c>
      <c r="R90" s="100">
        <v>7.8947368421052504</v>
      </c>
      <c r="S90" s="100">
        <v>8753.6842105263004</v>
      </c>
      <c r="T90" s="100">
        <v>0.64924948957119921</v>
      </c>
      <c r="U90" s="100">
        <v>719.88783403654566</v>
      </c>
      <c r="V90" s="100">
        <v>7</v>
      </c>
      <c r="W90" s="100">
        <v>7761.5999999999995</v>
      </c>
      <c r="X90" s="100">
        <v>6</v>
      </c>
      <c r="Y90" s="100">
        <v>6652.7999999999993</v>
      </c>
      <c r="Z90" s="100">
        <v>9</v>
      </c>
      <c r="AA90" s="100">
        <v>9979.1999999999989</v>
      </c>
      <c r="AB90" s="100">
        <v>6</v>
      </c>
      <c r="AC90" s="100">
        <v>6652.7999999999993</v>
      </c>
      <c r="AD90" s="100">
        <v>10</v>
      </c>
      <c r="AE90" s="100">
        <v>11088</v>
      </c>
      <c r="AF90" s="100">
        <v>5.2326732673267005</v>
      </c>
      <c r="AG90" s="100">
        <v>5801.9881188118452</v>
      </c>
      <c r="AH90" s="100">
        <v>10</v>
      </c>
      <c r="AI90" s="100">
        <v>11088</v>
      </c>
      <c r="AJ90" s="100">
        <v>4.6850828729281631</v>
      </c>
      <c r="AK90" s="100">
        <v>5194.8198895027472</v>
      </c>
      <c r="AL90" s="100">
        <v>5.9649122807017481</v>
      </c>
      <c r="AM90" s="100">
        <v>6613.8947368420977</v>
      </c>
      <c r="AN90" s="100">
        <v>5</v>
      </c>
      <c r="AO90" s="100">
        <v>5544</v>
      </c>
      <c r="AP90" s="100">
        <v>9</v>
      </c>
      <c r="AQ90" s="100">
        <v>9979.1999999999989</v>
      </c>
      <c r="AR90" s="100">
        <v>4.6229508196721163</v>
      </c>
      <c r="AS90" s="100">
        <v>5125.9278688524428</v>
      </c>
      <c r="AT90" s="100">
        <v>7.7272727272727195</v>
      </c>
      <c r="AU90" s="100">
        <v>8567.9999999999909</v>
      </c>
      <c r="AV90" s="100">
        <v>7.8461538461538396</v>
      </c>
      <c r="AW90" s="100">
        <v>8699.8153846153764</v>
      </c>
      <c r="AX90" s="100">
        <v>6</v>
      </c>
      <c r="AY90" s="100">
        <v>6652.7999999999993</v>
      </c>
      <c r="AZ90" s="100">
        <v>7.6792452830188518</v>
      </c>
      <c r="BA90" s="100">
        <v>8514.7471698113022</v>
      </c>
      <c r="BB90" s="100">
        <v>9</v>
      </c>
      <c r="BC90" s="100">
        <v>9979.1999999999989</v>
      </c>
      <c r="BD90" s="100">
        <v>8</v>
      </c>
      <c r="BE90" s="100">
        <v>8870.4</v>
      </c>
      <c r="BF90" s="100">
        <v>6</v>
      </c>
      <c r="BG90" s="100">
        <v>6652.7999999999993</v>
      </c>
      <c r="BH90" s="100">
        <v>2.7961165048543446</v>
      </c>
      <c r="BI90" s="100">
        <v>3100.3339805824971</v>
      </c>
      <c r="BJ90" s="100">
        <v>6.2100456621004501</v>
      </c>
      <c r="BK90" s="100">
        <v>6885.6986301369789</v>
      </c>
      <c r="BL90" s="100">
        <v>5.6353591160220944</v>
      </c>
      <c r="BM90" s="100">
        <v>6248.4861878452984</v>
      </c>
      <c r="BN90" s="100">
        <v>9</v>
      </c>
      <c r="BO90" s="100">
        <v>9979.1999999999989</v>
      </c>
      <c r="BP90" s="100">
        <v>5.5255813953488238</v>
      </c>
      <c r="BQ90" s="100">
        <v>6126.7646511627754</v>
      </c>
      <c r="BR90" s="100">
        <v>8</v>
      </c>
      <c r="BS90" s="100">
        <v>8870.4</v>
      </c>
      <c r="BT90" s="100">
        <v>10.944606975493878</v>
      </c>
      <c r="BU90" s="100">
        <v>12135.380214427611</v>
      </c>
      <c r="BV90" s="100">
        <v>1.7768608373894106</v>
      </c>
      <c r="BW90" s="100">
        <v>1970.1832964973785</v>
      </c>
      <c r="BX90" s="100">
        <v>5.828571428571423</v>
      </c>
      <c r="BY90" s="100">
        <v>6462.7199999999939</v>
      </c>
      <c r="BZ90" s="100">
        <v>6.1979166666666616</v>
      </c>
      <c r="CA90" s="100">
        <v>6872.2499999999945</v>
      </c>
      <c r="CB90" s="100">
        <v>8.947368421052623</v>
      </c>
      <c r="CC90" s="100">
        <v>9920.8421052631475</v>
      </c>
      <c r="CD90" s="100">
        <v>0.55789780259635713</v>
      </c>
      <c r="CE90" s="100">
        <v>618.5970835188408</v>
      </c>
      <c r="CF90" s="100">
        <v>11</v>
      </c>
      <c r="CG90" s="100">
        <v>12196.8</v>
      </c>
      <c r="CH90" s="100">
        <v>3.6818181818181692</v>
      </c>
      <c r="CI90" s="100">
        <v>4082.399999999986</v>
      </c>
      <c r="CJ90" s="100">
        <v>11</v>
      </c>
      <c r="CK90" s="100">
        <v>12196.8</v>
      </c>
      <c r="CL90" s="100">
        <v>10</v>
      </c>
      <c r="CM90" s="100">
        <v>11088</v>
      </c>
      <c r="CN90" s="100">
        <v>7.4499097386804971</v>
      </c>
      <c r="CO90" s="100">
        <v>8260.4599182489346</v>
      </c>
      <c r="CP90" s="100">
        <v>8.1382978723404182</v>
      </c>
      <c r="CQ90" s="100">
        <v>9023.7446808510558</v>
      </c>
      <c r="CR90" s="100">
        <v>8.1339712918660201</v>
      </c>
      <c r="CS90" s="100">
        <v>9018.9473684210425</v>
      </c>
      <c r="CT90" s="100">
        <v>7.024793388429746</v>
      </c>
      <c r="CU90" s="100">
        <v>7789.0909090909017</v>
      </c>
    </row>
    <row r="91" spans="2:99">
      <c r="C91" s="99" t="s">
        <v>257</v>
      </c>
      <c r="D91" s="100">
        <v>9</v>
      </c>
      <c r="E91" s="100">
        <v>10227.599999999999</v>
      </c>
      <c r="F91" s="100">
        <v>6</v>
      </c>
      <c r="G91" s="100">
        <v>6818.4</v>
      </c>
      <c r="H91" s="100">
        <v>7</v>
      </c>
      <c r="I91" s="100">
        <v>7954.7999999999993</v>
      </c>
      <c r="J91" s="100">
        <v>9</v>
      </c>
      <c r="K91" s="100">
        <v>10227.599999999999</v>
      </c>
      <c r="L91" s="100">
        <v>5.0422834298715351</v>
      </c>
      <c r="M91" s="100">
        <v>5730.0508897060117</v>
      </c>
      <c r="N91" s="100">
        <v>4.5698924731182746</v>
      </c>
      <c r="O91" s="100">
        <v>5193.2258064516063</v>
      </c>
      <c r="P91" s="100">
        <v>6</v>
      </c>
      <c r="Q91" s="100">
        <v>6818.4</v>
      </c>
      <c r="R91" s="100">
        <v>7.0175438596491118</v>
      </c>
      <c r="S91" s="100">
        <v>7974.7368421052497</v>
      </c>
      <c r="T91" s="100">
        <v>0.64924948957119921</v>
      </c>
      <c r="U91" s="100">
        <v>737.80711994871069</v>
      </c>
      <c r="V91" s="100">
        <v>8</v>
      </c>
      <c r="W91" s="100">
        <v>9091.1999999999989</v>
      </c>
      <c r="X91" s="100">
        <v>5</v>
      </c>
      <c r="Y91" s="100">
        <v>5681.9999999999991</v>
      </c>
      <c r="Z91" s="100">
        <v>9</v>
      </c>
      <c r="AA91" s="100">
        <v>10227.599999999999</v>
      </c>
      <c r="AB91" s="100">
        <v>5</v>
      </c>
      <c r="AC91" s="100">
        <v>5681.9999999999991</v>
      </c>
      <c r="AD91" s="100">
        <v>10</v>
      </c>
      <c r="AE91" s="100">
        <v>11363.999999999998</v>
      </c>
      <c r="AF91" s="100">
        <v>5.9801980198019429</v>
      </c>
      <c r="AG91" s="100">
        <v>6795.8970297029273</v>
      </c>
      <c r="AH91" s="100">
        <v>10</v>
      </c>
      <c r="AI91" s="100">
        <v>11363.999999999998</v>
      </c>
      <c r="AJ91" s="100">
        <v>5.8563535911602038</v>
      </c>
      <c r="AK91" s="100">
        <v>6655.1602209944549</v>
      </c>
      <c r="AL91" s="100">
        <v>6.7105263157894663</v>
      </c>
      <c r="AM91" s="100">
        <v>7625.8421052631484</v>
      </c>
      <c r="AN91" s="100">
        <v>5</v>
      </c>
      <c r="AO91" s="100">
        <v>5681.9999999999991</v>
      </c>
      <c r="AP91" s="100">
        <v>9</v>
      </c>
      <c r="AQ91" s="100">
        <v>10227.599999999999</v>
      </c>
      <c r="AR91" s="100">
        <v>5.3934426229508023</v>
      </c>
      <c r="AS91" s="100">
        <v>6129.1081967212913</v>
      </c>
      <c r="AT91" s="100">
        <v>8.5858585858585776</v>
      </c>
      <c r="AU91" s="100">
        <v>9756.969696969687</v>
      </c>
      <c r="AV91" s="100">
        <v>7.8461538461538396</v>
      </c>
      <c r="AW91" s="100">
        <v>8916.3692307692218</v>
      </c>
      <c r="AX91" s="100">
        <v>7</v>
      </c>
      <c r="AY91" s="100">
        <v>7954.7999999999993</v>
      </c>
      <c r="AZ91" s="100">
        <v>7.6792452830188518</v>
      </c>
      <c r="BA91" s="100">
        <v>8726.6943396226216</v>
      </c>
      <c r="BB91" s="100">
        <v>9</v>
      </c>
      <c r="BC91" s="100">
        <v>10227.599999999999</v>
      </c>
      <c r="BD91" s="100">
        <v>9</v>
      </c>
      <c r="BE91" s="100">
        <v>10227.599999999999</v>
      </c>
      <c r="BF91" s="100">
        <v>6</v>
      </c>
      <c r="BG91" s="100">
        <v>6818.4</v>
      </c>
      <c r="BH91" s="100">
        <v>2.4466019417475513</v>
      </c>
      <c r="BI91" s="100">
        <v>2780.318446601917</v>
      </c>
      <c r="BJ91" s="100">
        <v>6.2100456621004501</v>
      </c>
      <c r="BK91" s="100">
        <v>7057.0958904109502</v>
      </c>
      <c r="BL91" s="100">
        <v>5.6353591160220944</v>
      </c>
      <c r="BM91" s="100">
        <v>6404.0220994475076</v>
      </c>
      <c r="BN91" s="100">
        <v>8</v>
      </c>
      <c r="BO91" s="100">
        <v>9091.1999999999989</v>
      </c>
      <c r="BP91" s="100">
        <v>5.5255813953488238</v>
      </c>
      <c r="BQ91" s="100">
        <v>6279.270697674403</v>
      </c>
      <c r="BR91" s="100">
        <v>9</v>
      </c>
      <c r="BS91" s="100">
        <v>10227.599999999999</v>
      </c>
      <c r="BT91" s="100">
        <v>10.944606975493878</v>
      </c>
      <c r="BU91" s="100">
        <v>12437.451366951242</v>
      </c>
      <c r="BV91" s="100">
        <v>1.7768608373894106</v>
      </c>
      <c r="BW91" s="100">
        <v>2019.224655609326</v>
      </c>
      <c r="BX91" s="100">
        <v>6.7999999999999936</v>
      </c>
      <c r="BY91" s="100">
        <v>7727.5199999999923</v>
      </c>
      <c r="BZ91" s="100">
        <v>5.3124999999999956</v>
      </c>
      <c r="CA91" s="100">
        <v>6037.1249999999945</v>
      </c>
      <c r="CB91" s="100">
        <v>8.947368421052623</v>
      </c>
      <c r="CC91" s="100">
        <v>10167.789473684199</v>
      </c>
      <c r="CD91" s="100">
        <v>0.4959091578634286</v>
      </c>
      <c r="CE91" s="100">
        <v>563.55116699600023</v>
      </c>
      <c r="CF91" s="100">
        <v>11</v>
      </c>
      <c r="CG91" s="100">
        <v>12500.399999999998</v>
      </c>
      <c r="CH91" s="100">
        <v>3.6818181818181692</v>
      </c>
      <c r="CI91" s="100">
        <v>4184.0181818181672</v>
      </c>
      <c r="CJ91" s="100">
        <v>11</v>
      </c>
      <c r="CK91" s="100">
        <v>12500.399999999998</v>
      </c>
      <c r="CL91" s="100">
        <v>11</v>
      </c>
      <c r="CM91" s="100">
        <v>12500.399999999998</v>
      </c>
      <c r="CN91" s="100">
        <v>9.1054452361650515</v>
      </c>
      <c r="CO91" s="100">
        <v>10347.427966377963</v>
      </c>
      <c r="CP91" s="100">
        <v>8.1382978723404182</v>
      </c>
      <c r="CQ91" s="100">
        <v>9248.3617021276496</v>
      </c>
      <c r="CR91" s="100">
        <v>8.1339712918660201</v>
      </c>
      <c r="CS91" s="100">
        <v>9243.4449760765438</v>
      </c>
      <c r="CT91" s="100">
        <v>7.7272727272727213</v>
      </c>
      <c r="CU91" s="100">
        <v>8781.2727272727188</v>
      </c>
    </row>
    <row r="92" spans="2:99">
      <c r="C92" s="99" t="s">
        <v>258</v>
      </c>
      <c r="D92" s="100">
        <v>9</v>
      </c>
      <c r="E92" s="100">
        <v>7063.2</v>
      </c>
      <c r="F92" s="100">
        <v>6</v>
      </c>
      <c r="G92" s="100">
        <v>4708.7999999999993</v>
      </c>
      <c r="H92" s="100">
        <v>8</v>
      </c>
      <c r="I92" s="100">
        <v>6278.4</v>
      </c>
      <c r="J92" s="100">
        <v>11</v>
      </c>
      <c r="K92" s="100">
        <v>8632.7999999999993</v>
      </c>
      <c r="L92" s="100">
        <v>5.0422834298715351</v>
      </c>
      <c r="M92" s="100">
        <v>3957.1840357631804</v>
      </c>
      <c r="N92" s="100">
        <v>5.4838709677419297</v>
      </c>
      <c r="O92" s="100">
        <v>4303.7419354838657</v>
      </c>
      <c r="P92" s="100">
        <v>5</v>
      </c>
      <c r="Q92" s="100">
        <v>3924</v>
      </c>
      <c r="R92" s="100">
        <v>8.7719298245613899</v>
      </c>
      <c r="S92" s="100">
        <v>6884.2105263157782</v>
      </c>
      <c r="T92" s="100">
        <v>0.64924948957119921</v>
      </c>
      <c r="U92" s="100">
        <v>509.53099941547714</v>
      </c>
      <c r="V92" s="100">
        <v>7</v>
      </c>
      <c r="W92" s="100">
        <v>5493.5999999999995</v>
      </c>
      <c r="X92" s="100">
        <v>6</v>
      </c>
      <c r="Y92" s="100">
        <v>4708.7999999999993</v>
      </c>
      <c r="Z92" s="100">
        <v>10</v>
      </c>
      <c r="AA92" s="100">
        <v>7848</v>
      </c>
      <c r="AB92" s="100">
        <v>5</v>
      </c>
      <c r="AC92" s="100">
        <v>3924</v>
      </c>
      <c r="AD92" s="100">
        <v>10</v>
      </c>
      <c r="AE92" s="100">
        <v>7848</v>
      </c>
      <c r="AF92" s="100">
        <v>5.2326732673267005</v>
      </c>
      <c r="AG92" s="100">
        <v>4106.6019801979946</v>
      </c>
      <c r="AH92" s="100">
        <v>10</v>
      </c>
      <c r="AI92" s="100">
        <v>7848</v>
      </c>
      <c r="AJ92" s="100">
        <v>5.8563535911602038</v>
      </c>
      <c r="AK92" s="100">
        <v>4596.0662983425273</v>
      </c>
      <c r="AL92" s="100">
        <v>7.4561403508771855</v>
      </c>
      <c r="AM92" s="100">
        <v>5851.5789473684144</v>
      </c>
      <c r="AN92" s="100">
        <v>5</v>
      </c>
      <c r="AO92" s="100">
        <v>3924</v>
      </c>
      <c r="AP92" s="100">
        <v>9</v>
      </c>
      <c r="AQ92" s="100">
        <v>7063.2</v>
      </c>
      <c r="AR92" s="100">
        <v>5.3934426229508023</v>
      </c>
      <c r="AS92" s="100">
        <v>4232.773770491789</v>
      </c>
      <c r="AT92" s="100">
        <v>7.7272727272727195</v>
      </c>
      <c r="AU92" s="100">
        <v>6064.3636363636297</v>
      </c>
      <c r="AV92" s="100">
        <v>8.7179487179487101</v>
      </c>
      <c r="AW92" s="100">
        <v>6841.846153846147</v>
      </c>
      <c r="AX92" s="100">
        <v>6</v>
      </c>
      <c r="AY92" s="100">
        <v>4708.7999999999993</v>
      </c>
      <c r="AZ92" s="100">
        <v>6.9811320754716837</v>
      </c>
      <c r="BA92" s="100">
        <v>5478.7924528301774</v>
      </c>
      <c r="BB92" s="100">
        <v>9</v>
      </c>
      <c r="BC92" s="100">
        <v>7063.2</v>
      </c>
      <c r="BD92" s="100">
        <v>9</v>
      </c>
      <c r="BE92" s="100">
        <v>7063.2</v>
      </c>
      <c r="BF92" s="100">
        <v>7</v>
      </c>
      <c r="BG92" s="100">
        <v>5493.5999999999995</v>
      </c>
      <c r="BH92" s="100">
        <v>2.4466019417475513</v>
      </c>
      <c r="BI92" s="100">
        <v>1920.0932038834781</v>
      </c>
      <c r="BJ92" s="100">
        <v>6.2100456621004501</v>
      </c>
      <c r="BK92" s="100">
        <v>4873.6438356164326</v>
      </c>
      <c r="BL92" s="100">
        <v>5.6353591160220944</v>
      </c>
      <c r="BM92" s="100">
        <v>4422.6298342541395</v>
      </c>
      <c r="BN92" s="100">
        <v>9</v>
      </c>
      <c r="BO92" s="100">
        <v>7063.2</v>
      </c>
      <c r="BP92" s="100">
        <v>5.5255813953488238</v>
      </c>
      <c r="BQ92" s="100">
        <v>4336.4762790697569</v>
      </c>
      <c r="BR92" s="100">
        <v>8</v>
      </c>
      <c r="BS92" s="100">
        <v>6278.4</v>
      </c>
      <c r="BT92" s="100">
        <v>10.944606975493878</v>
      </c>
      <c r="BU92" s="100">
        <v>8589.3275543675954</v>
      </c>
      <c r="BV92" s="100">
        <v>1.9989684420630869</v>
      </c>
      <c r="BW92" s="100">
        <v>1568.7904333311105</v>
      </c>
      <c r="BX92" s="100">
        <v>5.828571428571423</v>
      </c>
      <c r="BY92" s="100">
        <v>4574.2628571428522</v>
      </c>
      <c r="BZ92" s="100">
        <v>5.3124999999999956</v>
      </c>
      <c r="CA92" s="100">
        <v>4169.2499999999964</v>
      </c>
      <c r="CB92" s="100">
        <v>8.947368421052623</v>
      </c>
      <c r="CC92" s="100">
        <v>7021.8947368420977</v>
      </c>
      <c r="CD92" s="100">
        <v>0.61988644732928577</v>
      </c>
      <c r="CE92" s="100">
        <v>486.48688386402347</v>
      </c>
      <c r="CF92" s="100">
        <v>12</v>
      </c>
      <c r="CG92" s="100">
        <v>9417.5999999999985</v>
      </c>
      <c r="CH92" s="100">
        <v>3.6818181818181692</v>
      </c>
      <c r="CI92" s="100">
        <v>2889.4909090908991</v>
      </c>
      <c r="CJ92" s="100">
        <v>12</v>
      </c>
      <c r="CK92" s="100">
        <v>9417.5999999999985</v>
      </c>
      <c r="CL92" s="100">
        <v>11</v>
      </c>
      <c r="CM92" s="100">
        <v>8632.7999999999993</v>
      </c>
      <c r="CN92" s="100">
        <v>9.1054452361650515</v>
      </c>
      <c r="CO92" s="100">
        <v>7145.9534213423321</v>
      </c>
      <c r="CP92" s="100">
        <v>8.1382978723404182</v>
      </c>
      <c r="CQ92" s="100">
        <v>6386.9361702127599</v>
      </c>
      <c r="CR92" s="100">
        <v>8.1339712918660201</v>
      </c>
      <c r="CS92" s="100">
        <v>6383.540669856452</v>
      </c>
      <c r="CT92" s="100">
        <v>8.4297520661156948</v>
      </c>
      <c r="CU92" s="100">
        <v>6615.669421487597</v>
      </c>
    </row>
    <row r="93" spans="2:99">
      <c r="C93" s="99" t="s">
        <v>259</v>
      </c>
      <c r="D93" s="100">
        <v>9</v>
      </c>
      <c r="E93" s="100">
        <v>6242.4000000000005</v>
      </c>
      <c r="F93" s="100">
        <v>5</v>
      </c>
      <c r="G93" s="100">
        <v>3468</v>
      </c>
      <c r="H93" s="100">
        <v>7</v>
      </c>
      <c r="I93" s="100">
        <v>4855.2</v>
      </c>
      <c r="J93" s="100">
        <v>10</v>
      </c>
      <c r="K93" s="100">
        <v>6936</v>
      </c>
      <c r="L93" s="100">
        <v>4.3219572256041729</v>
      </c>
      <c r="M93" s="100">
        <v>2997.7095316790546</v>
      </c>
      <c r="N93" s="100">
        <v>5.4838709677419297</v>
      </c>
      <c r="O93" s="100">
        <v>3803.6129032258027</v>
      </c>
      <c r="P93" s="100">
        <v>6</v>
      </c>
      <c r="Q93" s="100">
        <v>4161.6000000000004</v>
      </c>
      <c r="R93" s="100">
        <v>7.8947368421052504</v>
      </c>
      <c r="S93" s="100">
        <v>5475.7894736842018</v>
      </c>
      <c r="T93" s="100">
        <v>0.58432454061407935</v>
      </c>
      <c r="U93" s="100">
        <v>405.28750136992545</v>
      </c>
      <c r="V93" s="100">
        <v>7</v>
      </c>
      <c r="W93" s="100">
        <v>4855.2</v>
      </c>
      <c r="X93" s="100">
        <v>6</v>
      </c>
      <c r="Y93" s="100">
        <v>4161.6000000000004</v>
      </c>
      <c r="Z93" s="100">
        <v>10</v>
      </c>
      <c r="AA93" s="100">
        <v>6936</v>
      </c>
      <c r="AB93" s="100">
        <v>6</v>
      </c>
      <c r="AC93" s="100">
        <v>4161.6000000000004</v>
      </c>
      <c r="AD93" s="100">
        <v>11</v>
      </c>
      <c r="AE93" s="100">
        <v>7629.6</v>
      </c>
      <c r="AF93" s="100">
        <v>5.2326732673267005</v>
      </c>
      <c r="AG93" s="100">
        <v>3629.3821782177997</v>
      </c>
      <c r="AH93" s="100">
        <v>10</v>
      </c>
      <c r="AI93" s="100">
        <v>6936</v>
      </c>
      <c r="AJ93" s="100">
        <v>5.2707182320441834</v>
      </c>
      <c r="AK93" s="100">
        <v>3655.7701657458456</v>
      </c>
      <c r="AL93" s="100">
        <v>6.7105263157894663</v>
      </c>
      <c r="AM93" s="100">
        <v>4654.4210526315737</v>
      </c>
      <c r="AN93" s="100">
        <v>5</v>
      </c>
      <c r="AO93" s="100">
        <v>3468</v>
      </c>
      <c r="AP93" s="100">
        <v>8</v>
      </c>
      <c r="AQ93" s="100">
        <v>5548.8</v>
      </c>
      <c r="AR93" s="100">
        <v>5.3934426229508023</v>
      </c>
      <c r="AS93" s="100">
        <v>3740.8918032786764</v>
      </c>
      <c r="AT93" s="100">
        <v>7.7272727272727195</v>
      </c>
      <c r="AU93" s="100">
        <v>5359.6363636363585</v>
      </c>
      <c r="AV93" s="100">
        <v>9.5897435897435823</v>
      </c>
      <c r="AW93" s="100">
        <v>6651.4461538461492</v>
      </c>
      <c r="AX93" s="100">
        <v>6</v>
      </c>
      <c r="AY93" s="100">
        <v>4161.6000000000004</v>
      </c>
      <c r="AZ93" s="100">
        <v>7.6792452830188518</v>
      </c>
      <c r="BA93" s="100">
        <v>5326.3245283018759</v>
      </c>
      <c r="BB93" s="100">
        <v>8</v>
      </c>
      <c r="BC93" s="100">
        <v>5548.8</v>
      </c>
      <c r="BD93" s="100">
        <v>9</v>
      </c>
      <c r="BE93" s="100">
        <v>6242.4000000000005</v>
      </c>
      <c r="BF93" s="100">
        <v>7</v>
      </c>
      <c r="BG93" s="100">
        <v>4855.2</v>
      </c>
      <c r="BH93" s="100">
        <v>2.7961165048543446</v>
      </c>
      <c r="BI93" s="100">
        <v>1939.3864077669734</v>
      </c>
      <c r="BJ93" s="100">
        <v>6.9863013698630061</v>
      </c>
      <c r="BK93" s="100">
        <v>4845.6986301369816</v>
      </c>
      <c r="BL93" s="100">
        <v>6.5745856353591101</v>
      </c>
      <c r="BM93" s="100">
        <v>4560.1325966850791</v>
      </c>
      <c r="BN93" s="100">
        <v>8</v>
      </c>
      <c r="BO93" s="100">
        <v>5548.8</v>
      </c>
      <c r="BP93" s="100">
        <v>6.1395348837209154</v>
      </c>
      <c r="BQ93" s="100">
        <v>4258.381395348827</v>
      </c>
      <c r="BR93" s="100">
        <v>8</v>
      </c>
      <c r="BS93" s="100">
        <v>5548.8</v>
      </c>
      <c r="BT93" s="100">
        <v>9.9496427049944334</v>
      </c>
      <c r="BU93" s="100">
        <v>6901.0721801841391</v>
      </c>
      <c r="BV93" s="100">
        <v>1.9989684420630869</v>
      </c>
      <c r="BW93" s="100">
        <v>1386.4845114149571</v>
      </c>
      <c r="BX93" s="100">
        <v>5.828571428571423</v>
      </c>
      <c r="BY93" s="100">
        <v>4042.6971428571392</v>
      </c>
      <c r="BZ93" s="100">
        <v>5.3124999999999956</v>
      </c>
      <c r="CA93" s="100">
        <v>3684.7499999999968</v>
      </c>
      <c r="CB93" s="100">
        <v>8.1339712918660201</v>
      </c>
      <c r="CC93" s="100">
        <v>5641.7224880382719</v>
      </c>
      <c r="CD93" s="100">
        <v>0.55789780259635713</v>
      </c>
      <c r="CE93" s="100">
        <v>386.9579158808333</v>
      </c>
      <c r="CF93" s="100">
        <v>11</v>
      </c>
      <c r="CG93" s="100">
        <v>7629.6</v>
      </c>
      <c r="CH93" s="100">
        <v>3.2727272727272614</v>
      </c>
      <c r="CI93" s="100">
        <v>2269.9636363636287</v>
      </c>
      <c r="CJ93" s="100">
        <v>12</v>
      </c>
      <c r="CK93" s="100">
        <v>8323.2000000000007</v>
      </c>
      <c r="CL93" s="100">
        <v>12</v>
      </c>
      <c r="CM93" s="100">
        <v>8323.2000000000007</v>
      </c>
      <c r="CN93" s="100">
        <v>7.4499097386804971</v>
      </c>
      <c r="CO93" s="100">
        <v>5167.2573947487926</v>
      </c>
      <c r="CP93" s="100">
        <v>9.042553191489354</v>
      </c>
      <c r="CQ93" s="100">
        <v>6271.9148936170159</v>
      </c>
      <c r="CR93" s="100">
        <v>8.947368421052623</v>
      </c>
      <c r="CS93" s="100">
        <v>6205.8947368420995</v>
      </c>
      <c r="CT93" s="100">
        <v>7.7272727272727213</v>
      </c>
      <c r="CU93" s="100">
        <v>5359.6363636363594</v>
      </c>
    </row>
    <row r="94" spans="2:99">
      <c r="C94" s="99" t="s">
        <v>260</v>
      </c>
      <c r="D94" s="100">
        <v>8</v>
      </c>
      <c r="E94" s="100">
        <v>9542.4</v>
      </c>
      <c r="F94" s="100">
        <v>6</v>
      </c>
      <c r="G94" s="100">
        <v>7156.7999999999993</v>
      </c>
      <c r="H94" s="100">
        <v>8</v>
      </c>
      <c r="I94" s="100">
        <v>9542.4</v>
      </c>
      <c r="J94" s="100">
        <v>11</v>
      </c>
      <c r="K94" s="100">
        <v>13120.8</v>
      </c>
      <c r="L94" s="100">
        <v>4.3219572256041729</v>
      </c>
      <c r="M94" s="100">
        <v>5155.2305787006571</v>
      </c>
      <c r="N94" s="100">
        <v>4.5698924731182746</v>
      </c>
      <c r="O94" s="100">
        <v>5450.9677419354775</v>
      </c>
      <c r="P94" s="100">
        <v>6</v>
      </c>
      <c r="Q94" s="100">
        <v>7156.7999999999993</v>
      </c>
      <c r="R94" s="100">
        <v>8.7719298245613899</v>
      </c>
      <c r="S94" s="100">
        <v>10463.157894736825</v>
      </c>
      <c r="T94" s="100">
        <v>0.64924948957119921</v>
      </c>
      <c r="U94" s="100">
        <v>774.42479116052641</v>
      </c>
      <c r="V94" s="100">
        <v>8</v>
      </c>
      <c r="W94" s="100">
        <v>9542.4</v>
      </c>
      <c r="X94" s="100">
        <v>6</v>
      </c>
      <c r="Y94" s="100">
        <v>7156.7999999999993</v>
      </c>
      <c r="Z94" s="100">
        <v>10</v>
      </c>
      <c r="AA94" s="100">
        <v>11928</v>
      </c>
      <c r="AB94" s="100">
        <v>5</v>
      </c>
      <c r="AC94" s="100">
        <v>5964</v>
      </c>
      <c r="AD94" s="100">
        <v>10</v>
      </c>
      <c r="AE94" s="100">
        <v>11928</v>
      </c>
      <c r="AF94" s="100">
        <v>5.2326732673267005</v>
      </c>
      <c r="AG94" s="100">
        <v>6241.5326732672884</v>
      </c>
      <c r="AH94" s="100">
        <v>10</v>
      </c>
      <c r="AI94" s="100">
        <v>11928</v>
      </c>
      <c r="AJ94" s="100">
        <v>5.8563535911602038</v>
      </c>
      <c r="AK94" s="100">
        <v>6985.4585635358908</v>
      </c>
      <c r="AL94" s="100">
        <v>6.7105263157894663</v>
      </c>
      <c r="AM94" s="100">
        <v>8004.3157894736751</v>
      </c>
      <c r="AN94" s="100">
        <v>5</v>
      </c>
      <c r="AO94" s="100">
        <v>5964</v>
      </c>
      <c r="AP94" s="100">
        <v>8</v>
      </c>
      <c r="AQ94" s="100">
        <v>9542.4</v>
      </c>
      <c r="AR94" s="100">
        <v>5.3934426229508023</v>
      </c>
      <c r="AS94" s="100">
        <v>6433.2983606557164</v>
      </c>
      <c r="AT94" s="100">
        <v>7.7272727272727195</v>
      </c>
      <c r="AU94" s="100">
        <v>9217.090909090899</v>
      </c>
      <c r="AV94" s="100">
        <v>8.7179487179487101</v>
      </c>
      <c r="AW94" s="100">
        <v>10398.769230769221</v>
      </c>
      <c r="AX94" s="100">
        <v>7</v>
      </c>
      <c r="AY94" s="100">
        <v>8349.6</v>
      </c>
      <c r="AZ94" s="100">
        <v>7.6792452830188518</v>
      </c>
      <c r="BA94" s="100">
        <v>9159.8037735848866</v>
      </c>
      <c r="BB94" s="100">
        <v>9</v>
      </c>
      <c r="BC94" s="100">
        <v>10735.199999999999</v>
      </c>
      <c r="BD94" s="100">
        <v>8</v>
      </c>
      <c r="BE94" s="100">
        <v>9542.4</v>
      </c>
      <c r="BF94" s="100">
        <v>6</v>
      </c>
      <c r="BG94" s="100">
        <v>7156.7999999999993</v>
      </c>
      <c r="BH94" s="100">
        <v>2.4466019417475513</v>
      </c>
      <c r="BI94" s="100">
        <v>2918.3067961164793</v>
      </c>
      <c r="BJ94" s="100">
        <v>6.9863013698630061</v>
      </c>
      <c r="BK94" s="100">
        <v>8333.2602739725935</v>
      </c>
      <c r="BL94" s="100">
        <v>6.5745856353591101</v>
      </c>
      <c r="BM94" s="100">
        <v>7842.1657458563459</v>
      </c>
      <c r="BN94" s="100">
        <v>8</v>
      </c>
      <c r="BO94" s="100">
        <v>9542.4</v>
      </c>
      <c r="BP94" s="100">
        <v>4.9116279069767321</v>
      </c>
      <c r="BQ94" s="100">
        <v>5858.5897674418457</v>
      </c>
      <c r="BR94" s="100">
        <v>8</v>
      </c>
      <c r="BS94" s="100">
        <v>9542.4</v>
      </c>
      <c r="BT94" s="100">
        <v>11.939571245993321</v>
      </c>
      <c r="BU94" s="100">
        <v>14241.520582220832</v>
      </c>
      <c r="BV94" s="100">
        <v>1.7768608373894106</v>
      </c>
      <c r="BW94" s="100">
        <v>2119.4396068380888</v>
      </c>
      <c r="BX94" s="100">
        <v>5.828571428571423</v>
      </c>
      <c r="BY94" s="100">
        <v>6952.3199999999933</v>
      </c>
      <c r="BZ94" s="100">
        <v>6.1979166666666616</v>
      </c>
      <c r="CA94" s="100">
        <v>7392.8749999999936</v>
      </c>
      <c r="CB94" s="100">
        <v>8.1339712918660201</v>
      </c>
      <c r="CC94" s="100">
        <v>9702.2009569377879</v>
      </c>
      <c r="CD94" s="100">
        <v>0.55789780259635713</v>
      </c>
      <c r="CE94" s="100">
        <v>665.46049893693475</v>
      </c>
      <c r="CF94" s="100">
        <v>11</v>
      </c>
      <c r="CG94" s="100">
        <v>13120.8</v>
      </c>
      <c r="CH94" s="100">
        <v>3.6818181818181692</v>
      </c>
      <c r="CI94" s="100">
        <v>4391.6727272727121</v>
      </c>
      <c r="CJ94" s="100">
        <v>10</v>
      </c>
      <c r="CK94" s="100">
        <v>11928</v>
      </c>
      <c r="CL94" s="100">
        <v>11</v>
      </c>
      <c r="CM94" s="100">
        <v>13120.8</v>
      </c>
      <c r="CN94" s="100">
        <v>9.1054452361650515</v>
      </c>
      <c r="CO94" s="100">
        <v>10860.975077697673</v>
      </c>
      <c r="CP94" s="100">
        <v>9.042553191489354</v>
      </c>
      <c r="CQ94" s="100">
        <v>10785.957446808501</v>
      </c>
      <c r="CR94" s="100">
        <v>8.1339712918660201</v>
      </c>
      <c r="CS94" s="100">
        <v>9702.2009569377879</v>
      </c>
      <c r="CT94" s="100">
        <v>7.7272727272727213</v>
      </c>
      <c r="CU94" s="100">
        <v>9217.0909090909008</v>
      </c>
    </row>
    <row r="95" spans="2:99">
      <c r="B95" s="99" t="s">
        <v>132</v>
      </c>
      <c r="C95" s="99" t="s">
        <v>261</v>
      </c>
      <c r="D95" s="100">
        <v>8</v>
      </c>
      <c r="E95" s="100">
        <v>2630.4</v>
      </c>
      <c r="F95" s="100">
        <v>10</v>
      </c>
      <c r="G95" s="100">
        <v>3288</v>
      </c>
      <c r="H95" s="100">
        <v>12</v>
      </c>
      <c r="I95" s="100">
        <v>3945.6000000000004</v>
      </c>
      <c r="J95" s="100">
        <v>7</v>
      </c>
      <c r="K95" s="100">
        <v>2301.6</v>
      </c>
      <c r="L95" s="100">
        <v>9.3642406554757081</v>
      </c>
      <c r="M95" s="100">
        <v>3078.9623275204131</v>
      </c>
      <c r="N95" s="100">
        <v>10.053763440860205</v>
      </c>
      <c r="O95" s="100">
        <v>3305.6774193548358</v>
      </c>
      <c r="P95" s="100">
        <v>7</v>
      </c>
      <c r="Q95" s="100">
        <v>2301.6</v>
      </c>
      <c r="R95" s="100">
        <v>10.526315789473667</v>
      </c>
      <c r="S95" s="100">
        <v>3461.0526315789421</v>
      </c>
      <c r="T95" s="100">
        <v>0.51939959165695937</v>
      </c>
      <c r="U95" s="100">
        <v>170.77858573680825</v>
      </c>
      <c r="V95" s="100">
        <v>8</v>
      </c>
      <c r="W95" s="100">
        <v>2630.4</v>
      </c>
      <c r="X95" s="100">
        <v>9</v>
      </c>
      <c r="Y95" s="100">
        <v>2959.2000000000003</v>
      </c>
      <c r="Z95" s="100">
        <v>11</v>
      </c>
      <c r="AA95" s="100">
        <v>3616.8</v>
      </c>
      <c r="AB95" s="100">
        <v>8</v>
      </c>
      <c r="AC95" s="100">
        <v>2630.4</v>
      </c>
      <c r="AD95" s="100">
        <v>9</v>
      </c>
      <c r="AE95" s="100">
        <v>2959.2000000000003</v>
      </c>
      <c r="AF95" s="100">
        <v>8.222772277227671</v>
      </c>
      <c r="AG95" s="100">
        <v>2703.6475247524581</v>
      </c>
      <c r="AH95" s="100">
        <v>12</v>
      </c>
      <c r="AI95" s="100">
        <v>3945.6000000000004</v>
      </c>
      <c r="AJ95" s="100">
        <v>4.6850828729281631</v>
      </c>
      <c r="AK95" s="100">
        <v>1540.4552486187802</v>
      </c>
      <c r="AL95" s="100">
        <v>8.947368421052623</v>
      </c>
      <c r="AM95" s="100">
        <v>2941.8947368421027</v>
      </c>
      <c r="AN95" s="100">
        <v>9</v>
      </c>
      <c r="AO95" s="100">
        <v>2959.2000000000003</v>
      </c>
      <c r="AP95" s="100">
        <v>10</v>
      </c>
      <c r="AQ95" s="100">
        <v>3288</v>
      </c>
      <c r="AR95" s="100">
        <v>7.7049180327868605</v>
      </c>
      <c r="AS95" s="100">
        <v>2533.3770491803198</v>
      </c>
      <c r="AT95" s="100">
        <v>7.7272727272727195</v>
      </c>
      <c r="AU95" s="100">
        <v>2540.7272727272702</v>
      </c>
      <c r="AV95" s="100">
        <v>7.8461538461538396</v>
      </c>
      <c r="AW95" s="100">
        <v>2579.8153846153828</v>
      </c>
      <c r="AX95" s="100">
        <v>12</v>
      </c>
      <c r="AY95" s="100">
        <v>3945.6000000000004</v>
      </c>
      <c r="AZ95" s="100">
        <v>6.2830188679245147</v>
      </c>
      <c r="BA95" s="100">
        <v>2065.8566037735804</v>
      </c>
      <c r="BB95" s="100">
        <v>12</v>
      </c>
      <c r="BC95" s="100">
        <v>3945.6000000000004</v>
      </c>
      <c r="BD95" s="100">
        <v>12</v>
      </c>
      <c r="BE95" s="100">
        <v>3945.6000000000004</v>
      </c>
      <c r="BF95" s="100">
        <v>9</v>
      </c>
      <c r="BG95" s="100">
        <v>2959.2000000000003</v>
      </c>
      <c r="BH95" s="100">
        <v>4.1941747572815169</v>
      </c>
      <c r="BI95" s="100">
        <v>1379.0446601941628</v>
      </c>
      <c r="BJ95" s="100">
        <v>9.3150684931506742</v>
      </c>
      <c r="BK95" s="100">
        <v>3062.7945205479418</v>
      </c>
      <c r="BL95" s="100">
        <v>9.3922651933701573</v>
      </c>
      <c r="BM95" s="100">
        <v>3088.1767955801079</v>
      </c>
      <c r="BN95" s="100">
        <v>11</v>
      </c>
      <c r="BO95" s="100">
        <v>3616.8</v>
      </c>
      <c r="BP95" s="100">
        <v>6.753488372093007</v>
      </c>
      <c r="BQ95" s="100">
        <v>2220.5469767441809</v>
      </c>
      <c r="BR95" s="100">
        <v>8</v>
      </c>
      <c r="BS95" s="100">
        <v>2630.4</v>
      </c>
      <c r="BT95" s="100">
        <v>8.9546784344949906</v>
      </c>
      <c r="BU95" s="100">
        <v>2944.298269261953</v>
      </c>
      <c r="BV95" s="100">
        <v>2.8873988607577923</v>
      </c>
      <c r="BW95" s="100">
        <v>949.37674541716217</v>
      </c>
      <c r="BX95" s="100">
        <v>10.685714285714276</v>
      </c>
      <c r="BY95" s="100">
        <v>3513.4628571428543</v>
      </c>
      <c r="BZ95" s="100">
        <v>10.624999999999991</v>
      </c>
      <c r="CA95" s="100">
        <v>3493.4999999999973</v>
      </c>
      <c r="CB95" s="100">
        <v>8.1339712918660201</v>
      </c>
      <c r="CC95" s="100">
        <v>2674.4497607655476</v>
      </c>
      <c r="CD95" s="100">
        <v>0.61988644732928577</v>
      </c>
      <c r="CE95" s="100">
        <v>203.81866388186916</v>
      </c>
      <c r="CF95" s="100">
        <v>14</v>
      </c>
      <c r="CG95" s="100">
        <v>4603.2</v>
      </c>
      <c r="CH95" s="100">
        <v>5.3181818181817997</v>
      </c>
      <c r="CI95" s="100">
        <v>1748.6181818181758</v>
      </c>
      <c r="CJ95" s="100">
        <v>13</v>
      </c>
      <c r="CK95" s="100">
        <v>4274.4000000000005</v>
      </c>
      <c r="CL95" s="100">
        <v>11</v>
      </c>
      <c r="CM95" s="100">
        <v>3616.8</v>
      </c>
      <c r="CN95" s="100">
        <v>11.588748482391885</v>
      </c>
      <c r="CO95" s="100">
        <v>3810.380501010452</v>
      </c>
      <c r="CP95" s="100">
        <v>7.2340425531914834</v>
      </c>
      <c r="CQ95" s="100">
        <v>2378.55319148936</v>
      </c>
      <c r="CR95" s="100">
        <v>8.1339712918660201</v>
      </c>
      <c r="CS95" s="100">
        <v>2674.4497607655476</v>
      </c>
      <c r="CT95" s="100">
        <v>9.1322314049586701</v>
      </c>
      <c r="CU95" s="100">
        <v>3002.6776859504107</v>
      </c>
    </row>
    <row r="96" spans="2:99">
      <c r="C96" s="99" t="s">
        <v>262</v>
      </c>
      <c r="D96" s="100">
        <v>8</v>
      </c>
      <c r="E96" s="100">
        <v>5558.4</v>
      </c>
      <c r="F96" s="100">
        <v>9</v>
      </c>
      <c r="G96" s="100">
        <v>6253.2</v>
      </c>
      <c r="H96" s="100">
        <v>11</v>
      </c>
      <c r="I96" s="100">
        <v>7642.7999999999993</v>
      </c>
      <c r="J96" s="100">
        <v>7</v>
      </c>
      <c r="K96" s="100">
        <v>4863.5999999999995</v>
      </c>
      <c r="L96" s="100">
        <v>7.9235882469409828</v>
      </c>
      <c r="M96" s="100">
        <v>5505.3091139745948</v>
      </c>
      <c r="N96" s="100">
        <v>9.1397849462365492</v>
      </c>
      <c r="O96" s="100">
        <v>6350.3225806451537</v>
      </c>
      <c r="P96" s="100">
        <v>7</v>
      </c>
      <c r="Q96" s="100">
        <v>4863.5999999999995</v>
      </c>
      <c r="R96" s="100">
        <v>11.403508771929806</v>
      </c>
      <c r="S96" s="100">
        <v>7923.1578947368289</v>
      </c>
      <c r="T96" s="100">
        <v>0.51939959165695937</v>
      </c>
      <c r="U96" s="100">
        <v>360.87883628325534</v>
      </c>
      <c r="V96" s="100">
        <v>8</v>
      </c>
      <c r="W96" s="100">
        <v>5558.4</v>
      </c>
      <c r="X96" s="100">
        <v>10</v>
      </c>
      <c r="Y96" s="100">
        <v>6948</v>
      </c>
      <c r="Z96" s="100">
        <v>10</v>
      </c>
      <c r="AA96" s="100">
        <v>6948</v>
      </c>
      <c r="AB96" s="100">
        <v>8</v>
      </c>
      <c r="AC96" s="100">
        <v>5558.4</v>
      </c>
      <c r="AD96" s="100">
        <v>10</v>
      </c>
      <c r="AE96" s="100">
        <v>6948</v>
      </c>
      <c r="AF96" s="100">
        <v>8.222772277227671</v>
      </c>
      <c r="AG96" s="100">
        <v>5713.1821782177858</v>
      </c>
      <c r="AH96" s="100">
        <v>12</v>
      </c>
      <c r="AI96" s="100">
        <v>8337.5999999999985</v>
      </c>
      <c r="AJ96" s="100">
        <v>4.6850828729281631</v>
      </c>
      <c r="AK96" s="100">
        <v>3255.1955801104873</v>
      </c>
      <c r="AL96" s="100">
        <v>8.947368421052623</v>
      </c>
      <c r="AM96" s="100">
        <v>6216.631578947362</v>
      </c>
      <c r="AN96" s="100">
        <v>11</v>
      </c>
      <c r="AO96" s="100">
        <v>7642.7999999999993</v>
      </c>
      <c r="AP96" s="100">
        <v>11</v>
      </c>
      <c r="AQ96" s="100">
        <v>7642.7999999999993</v>
      </c>
      <c r="AR96" s="100">
        <v>7.7049180327868605</v>
      </c>
      <c r="AS96" s="100">
        <v>5353.3770491803107</v>
      </c>
      <c r="AT96" s="100">
        <v>8.5858585858585776</v>
      </c>
      <c r="AU96" s="100">
        <v>5965.4545454545396</v>
      </c>
      <c r="AV96" s="100">
        <v>8.7179487179487101</v>
      </c>
      <c r="AW96" s="100">
        <v>6057.2307692307631</v>
      </c>
      <c r="AX96" s="100">
        <v>11</v>
      </c>
      <c r="AY96" s="100">
        <v>7642.7999999999993</v>
      </c>
      <c r="AZ96" s="100">
        <v>6.2830188679245147</v>
      </c>
      <c r="BA96" s="100">
        <v>4365.4415094339529</v>
      </c>
      <c r="BB96" s="100">
        <v>12</v>
      </c>
      <c r="BC96" s="100">
        <v>8337.5999999999985</v>
      </c>
      <c r="BD96" s="100">
        <v>12</v>
      </c>
      <c r="BE96" s="100">
        <v>8337.5999999999985</v>
      </c>
      <c r="BF96" s="100">
        <v>10</v>
      </c>
      <c r="BG96" s="100">
        <v>6948</v>
      </c>
      <c r="BH96" s="100">
        <v>4.5436893203883102</v>
      </c>
      <c r="BI96" s="100">
        <v>3156.9553398057978</v>
      </c>
      <c r="BJ96" s="100">
        <v>10.091324200913231</v>
      </c>
      <c r="BK96" s="100">
        <v>7011.4520547945122</v>
      </c>
      <c r="BL96" s="100">
        <v>10.331491712707173</v>
      </c>
      <c r="BM96" s="100">
        <v>7178.3204419889435</v>
      </c>
      <c r="BN96" s="100">
        <v>12</v>
      </c>
      <c r="BO96" s="100">
        <v>8337.5999999999985</v>
      </c>
      <c r="BP96" s="100">
        <v>7.3674418604650986</v>
      </c>
      <c r="BQ96" s="100">
        <v>5118.89860465115</v>
      </c>
      <c r="BR96" s="100">
        <v>7</v>
      </c>
      <c r="BS96" s="100">
        <v>4863.5999999999995</v>
      </c>
      <c r="BT96" s="100">
        <v>7.9597141639955469</v>
      </c>
      <c r="BU96" s="100">
        <v>5530.4094011441057</v>
      </c>
      <c r="BV96" s="100">
        <v>2.4431836514104392</v>
      </c>
      <c r="BW96" s="100">
        <v>1697.5240009999732</v>
      </c>
      <c r="BX96" s="100">
        <v>9.7142857142857046</v>
      </c>
      <c r="BY96" s="100">
        <v>6749.4857142857072</v>
      </c>
      <c r="BZ96" s="100">
        <v>8.854166666666659</v>
      </c>
      <c r="CA96" s="100">
        <v>6151.8749999999945</v>
      </c>
      <c r="CB96" s="100">
        <v>8.1339712918660201</v>
      </c>
      <c r="CC96" s="100">
        <v>5651.4832535885107</v>
      </c>
      <c r="CD96" s="100">
        <v>0.68187509206221431</v>
      </c>
      <c r="CE96" s="100">
        <v>473.76681396482644</v>
      </c>
      <c r="CF96" s="100">
        <v>13</v>
      </c>
      <c r="CG96" s="100">
        <v>9032.4</v>
      </c>
      <c r="CH96" s="100">
        <v>4.4999999999999849</v>
      </c>
      <c r="CI96" s="100">
        <v>3126.5999999999894</v>
      </c>
      <c r="CJ96" s="100">
        <v>12</v>
      </c>
      <c r="CK96" s="100">
        <v>8337.5999999999985</v>
      </c>
      <c r="CL96" s="100">
        <v>11</v>
      </c>
      <c r="CM96" s="100">
        <v>7642.7999999999993</v>
      </c>
      <c r="CN96" s="100">
        <v>9.9332129849073301</v>
      </c>
      <c r="CO96" s="100">
        <v>6901.5963819136123</v>
      </c>
      <c r="CP96" s="100">
        <v>8.1382978723404182</v>
      </c>
      <c r="CQ96" s="100">
        <v>5654.4893617021226</v>
      </c>
      <c r="CR96" s="100">
        <v>8.1339712918660201</v>
      </c>
      <c r="CS96" s="100">
        <v>5651.4832535885107</v>
      </c>
      <c r="CT96" s="100">
        <v>8.4297520661156948</v>
      </c>
      <c r="CU96" s="100">
        <v>5856.9917355371845</v>
      </c>
    </row>
    <row r="97" spans="2:99">
      <c r="C97" s="99" t="s">
        <v>263</v>
      </c>
      <c r="D97" s="100">
        <v>7</v>
      </c>
      <c r="E97" s="100">
        <v>2746.7999999999997</v>
      </c>
      <c r="F97" s="100">
        <v>9</v>
      </c>
      <c r="G97" s="100">
        <v>3531.6</v>
      </c>
      <c r="H97" s="100">
        <v>12</v>
      </c>
      <c r="I97" s="100">
        <v>4708.7999999999993</v>
      </c>
      <c r="J97" s="100">
        <v>7</v>
      </c>
      <c r="K97" s="100">
        <v>2746.7999999999997</v>
      </c>
      <c r="L97" s="100">
        <v>9.3642406554757081</v>
      </c>
      <c r="M97" s="100">
        <v>3674.5280332086677</v>
      </c>
      <c r="N97" s="100">
        <v>10.967741935483859</v>
      </c>
      <c r="O97" s="100">
        <v>4303.7419354838657</v>
      </c>
      <c r="P97" s="100">
        <v>8</v>
      </c>
      <c r="Q97" s="100">
        <v>3139.2</v>
      </c>
      <c r="R97" s="100">
        <v>11.403508771929806</v>
      </c>
      <c r="S97" s="100">
        <v>4474.7368421052552</v>
      </c>
      <c r="T97" s="100">
        <v>0.58432454061407935</v>
      </c>
      <c r="U97" s="100">
        <v>229.28894973696472</v>
      </c>
      <c r="V97" s="100">
        <v>7</v>
      </c>
      <c r="W97" s="100">
        <v>2746.7999999999997</v>
      </c>
      <c r="X97" s="100">
        <v>9</v>
      </c>
      <c r="Y97" s="100">
        <v>3531.6</v>
      </c>
      <c r="Z97" s="100">
        <v>11</v>
      </c>
      <c r="AA97" s="100">
        <v>4316.3999999999996</v>
      </c>
      <c r="AB97" s="100">
        <v>8</v>
      </c>
      <c r="AC97" s="100">
        <v>3139.2</v>
      </c>
      <c r="AD97" s="100">
        <v>10</v>
      </c>
      <c r="AE97" s="100">
        <v>3924</v>
      </c>
      <c r="AF97" s="100">
        <v>8.9702970297029143</v>
      </c>
      <c r="AG97" s="100">
        <v>3519.9445544554233</v>
      </c>
      <c r="AH97" s="100">
        <v>12</v>
      </c>
      <c r="AI97" s="100">
        <v>4708.7999999999993</v>
      </c>
      <c r="AJ97" s="100">
        <v>4.6850828729281631</v>
      </c>
      <c r="AK97" s="100">
        <v>1838.4265193370111</v>
      </c>
      <c r="AL97" s="100">
        <v>10.43859649122806</v>
      </c>
      <c r="AM97" s="100">
        <v>4096.1052631578905</v>
      </c>
      <c r="AN97" s="100">
        <v>9</v>
      </c>
      <c r="AO97" s="100">
        <v>3531.6</v>
      </c>
      <c r="AP97" s="100">
        <v>10</v>
      </c>
      <c r="AQ97" s="100">
        <v>3924</v>
      </c>
      <c r="AR97" s="100">
        <v>7.7049180327868605</v>
      </c>
      <c r="AS97" s="100">
        <v>3023.4098360655639</v>
      </c>
      <c r="AT97" s="100">
        <v>9.444444444444434</v>
      </c>
      <c r="AU97" s="100">
        <v>3705.9999999999959</v>
      </c>
      <c r="AV97" s="100">
        <v>7.8461538461538396</v>
      </c>
      <c r="AW97" s="100">
        <v>3078.8307692307667</v>
      </c>
      <c r="AX97" s="100">
        <v>10</v>
      </c>
      <c r="AY97" s="100">
        <v>3924</v>
      </c>
      <c r="AZ97" s="100">
        <v>6.9811320754716837</v>
      </c>
      <c r="BA97" s="100">
        <v>2739.3962264150887</v>
      </c>
      <c r="BB97" s="100">
        <v>11</v>
      </c>
      <c r="BC97" s="100">
        <v>4316.3999999999996</v>
      </c>
      <c r="BD97" s="100">
        <v>12</v>
      </c>
      <c r="BE97" s="100">
        <v>4708.7999999999993</v>
      </c>
      <c r="BF97" s="100">
        <v>10</v>
      </c>
      <c r="BG97" s="100">
        <v>3924</v>
      </c>
      <c r="BH97" s="100">
        <v>4.5436893203883102</v>
      </c>
      <c r="BI97" s="100">
        <v>1782.9436893203729</v>
      </c>
      <c r="BJ97" s="100">
        <v>10.867579908675788</v>
      </c>
      <c r="BK97" s="100">
        <v>4264.438356164379</v>
      </c>
      <c r="BL97" s="100">
        <v>10.331491712707173</v>
      </c>
      <c r="BM97" s="100">
        <v>4054.0773480662947</v>
      </c>
      <c r="BN97" s="100">
        <v>12</v>
      </c>
      <c r="BO97" s="100">
        <v>4708.7999999999993</v>
      </c>
      <c r="BP97" s="100">
        <v>6.753488372093007</v>
      </c>
      <c r="BQ97" s="100">
        <v>2650.0688372092959</v>
      </c>
      <c r="BR97" s="100">
        <v>8</v>
      </c>
      <c r="BS97" s="100">
        <v>3139.2</v>
      </c>
      <c r="BT97" s="100">
        <v>8.9546784344949906</v>
      </c>
      <c r="BU97" s="100">
        <v>3513.8158176958341</v>
      </c>
      <c r="BV97" s="100">
        <v>2.4431836514104392</v>
      </c>
      <c r="BW97" s="100">
        <v>958.70526481345632</v>
      </c>
      <c r="BX97" s="100">
        <v>8.7428571428571331</v>
      </c>
      <c r="BY97" s="100">
        <v>3430.6971428571387</v>
      </c>
      <c r="BZ97" s="100">
        <v>9.739583333333325</v>
      </c>
      <c r="CA97" s="100">
        <v>3821.8124999999964</v>
      </c>
      <c r="CB97" s="100">
        <v>8.1339712918660201</v>
      </c>
      <c r="CC97" s="100">
        <v>3191.770334928226</v>
      </c>
      <c r="CD97" s="100">
        <v>0.61988644732928577</v>
      </c>
      <c r="CE97" s="100">
        <v>243.24344193201173</v>
      </c>
      <c r="CF97" s="100">
        <v>13</v>
      </c>
      <c r="CG97" s="100">
        <v>5101.2</v>
      </c>
      <c r="CH97" s="100">
        <v>5.3181818181817997</v>
      </c>
      <c r="CI97" s="100">
        <v>2086.8545454545379</v>
      </c>
      <c r="CJ97" s="100">
        <v>12</v>
      </c>
      <c r="CK97" s="100">
        <v>4708.7999999999993</v>
      </c>
      <c r="CL97" s="100">
        <v>12</v>
      </c>
      <c r="CM97" s="100">
        <v>4708.7999999999993</v>
      </c>
      <c r="CN97" s="100">
        <v>9.9332129849073301</v>
      </c>
      <c r="CO97" s="100">
        <v>3897.7927752776359</v>
      </c>
      <c r="CP97" s="100">
        <v>8.1382978723404182</v>
      </c>
      <c r="CQ97" s="100">
        <v>3193.4680851063799</v>
      </c>
      <c r="CR97" s="100">
        <v>8.1339712918660201</v>
      </c>
      <c r="CS97" s="100">
        <v>3191.770334928226</v>
      </c>
      <c r="CT97" s="100">
        <v>7.7272727272727213</v>
      </c>
      <c r="CU97" s="100">
        <v>3032.1818181818157</v>
      </c>
    </row>
    <row r="98" spans="2:99">
      <c r="C98" s="99" t="s">
        <v>264</v>
      </c>
      <c r="D98" s="100">
        <v>8</v>
      </c>
      <c r="E98" s="100">
        <v>4204.8</v>
      </c>
      <c r="F98" s="100">
        <v>10</v>
      </c>
      <c r="G98" s="100">
        <v>5256</v>
      </c>
      <c r="H98" s="100">
        <v>11</v>
      </c>
      <c r="I98" s="100">
        <v>5781.6</v>
      </c>
      <c r="J98" s="100">
        <v>6</v>
      </c>
      <c r="K98" s="100">
        <v>3153.6000000000004</v>
      </c>
      <c r="L98" s="100">
        <v>9.3642406554757081</v>
      </c>
      <c r="M98" s="100">
        <v>4921.8448885180323</v>
      </c>
      <c r="N98" s="100">
        <v>10.967741935483859</v>
      </c>
      <c r="O98" s="100">
        <v>5764.6451612903165</v>
      </c>
      <c r="P98" s="100">
        <v>7</v>
      </c>
      <c r="Q98" s="100">
        <v>3679.2000000000003</v>
      </c>
      <c r="R98" s="100">
        <v>10.526315789473667</v>
      </c>
      <c r="S98" s="100">
        <v>5532.6315789473601</v>
      </c>
      <c r="T98" s="100">
        <v>0.58432454061407935</v>
      </c>
      <c r="U98" s="100">
        <v>307.12097854676011</v>
      </c>
      <c r="V98" s="100">
        <v>7</v>
      </c>
      <c r="W98" s="100">
        <v>3679.2000000000003</v>
      </c>
      <c r="X98" s="100">
        <v>9</v>
      </c>
      <c r="Y98" s="100">
        <v>4730.4000000000005</v>
      </c>
      <c r="Z98" s="100">
        <v>11</v>
      </c>
      <c r="AA98" s="100">
        <v>5781.6</v>
      </c>
      <c r="AB98" s="100">
        <v>8</v>
      </c>
      <c r="AC98" s="100">
        <v>4204.8</v>
      </c>
      <c r="AD98" s="100">
        <v>10</v>
      </c>
      <c r="AE98" s="100">
        <v>5256</v>
      </c>
      <c r="AF98" s="100">
        <v>8.9702970297029143</v>
      </c>
      <c r="AG98" s="100">
        <v>4714.7881188118517</v>
      </c>
      <c r="AH98" s="100">
        <v>13</v>
      </c>
      <c r="AI98" s="100">
        <v>6832.8</v>
      </c>
      <c r="AJ98" s="100">
        <v>4.6850828729281631</v>
      </c>
      <c r="AK98" s="100">
        <v>2462.4795580110426</v>
      </c>
      <c r="AL98" s="100">
        <v>9.6929824561403404</v>
      </c>
      <c r="AM98" s="100">
        <v>5094.6315789473629</v>
      </c>
      <c r="AN98" s="100">
        <v>9</v>
      </c>
      <c r="AO98" s="100">
        <v>4730.4000000000005</v>
      </c>
      <c r="AP98" s="100">
        <v>11</v>
      </c>
      <c r="AQ98" s="100">
        <v>5781.6</v>
      </c>
      <c r="AR98" s="100">
        <v>6.9344262295081744</v>
      </c>
      <c r="AS98" s="100">
        <v>3644.7344262294964</v>
      </c>
      <c r="AT98" s="100">
        <v>8.5858585858585776</v>
      </c>
      <c r="AU98" s="100">
        <v>4512.7272727272684</v>
      </c>
      <c r="AV98" s="100">
        <v>7.8461538461538396</v>
      </c>
      <c r="AW98" s="100">
        <v>4123.9384615384579</v>
      </c>
      <c r="AX98" s="100">
        <v>12</v>
      </c>
      <c r="AY98" s="100">
        <v>6307.2000000000007</v>
      </c>
      <c r="AZ98" s="100">
        <v>7.6792452830188518</v>
      </c>
      <c r="BA98" s="100">
        <v>4036.2113207547086</v>
      </c>
      <c r="BB98" s="100">
        <v>12</v>
      </c>
      <c r="BC98" s="100">
        <v>6307.2000000000007</v>
      </c>
      <c r="BD98" s="100">
        <v>12</v>
      </c>
      <c r="BE98" s="100">
        <v>6307.2000000000007</v>
      </c>
      <c r="BF98" s="100">
        <v>10</v>
      </c>
      <c r="BG98" s="100">
        <v>5256</v>
      </c>
      <c r="BH98" s="100">
        <v>4.1941747572815169</v>
      </c>
      <c r="BI98" s="100">
        <v>2204.4582524271655</v>
      </c>
      <c r="BJ98" s="100">
        <v>10.091324200913231</v>
      </c>
      <c r="BK98" s="100">
        <v>5303.9999999999945</v>
      </c>
      <c r="BL98" s="100">
        <v>9.3922651933701573</v>
      </c>
      <c r="BM98" s="100">
        <v>4936.5745856353551</v>
      </c>
      <c r="BN98" s="100">
        <v>10</v>
      </c>
      <c r="BO98" s="100">
        <v>5256</v>
      </c>
      <c r="BP98" s="100">
        <v>6.753488372093007</v>
      </c>
      <c r="BQ98" s="100">
        <v>3549.6334883720847</v>
      </c>
      <c r="BR98" s="100">
        <v>7</v>
      </c>
      <c r="BS98" s="100">
        <v>3679.2000000000003</v>
      </c>
      <c r="BT98" s="100">
        <v>8.9546784344949906</v>
      </c>
      <c r="BU98" s="100">
        <v>4706.5789851705676</v>
      </c>
      <c r="BV98" s="100">
        <v>2.8873988607577923</v>
      </c>
      <c r="BW98" s="100">
        <v>1517.6168412142956</v>
      </c>
      <c r="BX98" s="100">
        <v>9.7142857142857046</v>
      </c>
      <c r="BY98" s="100">
        <v>5105.8285714285666</v>
      </c>
      <c r="BZ98" s="100">
        <v>8.854166666666659</v>
      </c>
      <c r="CA98" s="100">
        <v>4653.7499999999964</v>
      </c>
      <c r="CB98" s="100">
        <v>7.320574162679419</v>
      </c>
      <c r="CC98" s="100">
        <v>3847.6937799043026</v>
      </c>
      <c r="CD98" s="100">
        <v>0.61988644732928577</v>
      </c>
      <c r="CE98" s="100">
        <v>325.81231671627262</v>
      </c>
      <c r="CF98" s="100">
        <v>13</v>
      </c>
      <c r="CG98" s="100">
        <v>6832.8</v>
      </c>
      <c r="CH98" s="100">
        <v>5.3181818181817997</v>
      </c>
      <c r="CI98" s="100">
        <v>2795.2363636363539</v>
      </c>
      <c r="CJ98" s="100">
        <v>12</v>
      </c>
      <c r="CK98" s="100">
        <v>6307.2000000000007</v>
      </c>
      <c r="CL98" s="100">
        <v>13</v>
      </c>
      <c r="CM98" s="100">
        <v>6832.8</v>
      </c>
      <c r="CN98" s="100">
        <v>9.9332129849073301</v>
      </c>
      <c r="CO98" s="100">
        <v>5220.8967448672929</v>
      </c>
      <c r="CP98" s="100">
        <v>8.1382978723404182</v>
      </c>
      <c r="CQ98" s="100">
        <v>4277.4893617021244</v>
      </c>
      <c r="CR98" s="100">
        <v>8.1339712918660201</v>
      </c>
      <c r="CS98" s="100">
        <v>4275.2153110047802</v>
      </c>
      <c r="CT98" s="100">
        <v>8.4297520661156948</v>
      </c>
      <c r="CU98" s="100">
        <v>4430.6776859504098</v>
      </c>
    </row>
    <row r="99" spans="2:99">
      <c r="C99" s="99" t="s">
        <v>265</v>
      </c>
      <c r="D99" s="100">
        <v>7</v>
      </c>
      <c r="E99" s="100">
        <v>29458.799999999996</v>
      </c>
      <c r="F99" s="100">
        <v>9</v>
      </c>
      <c r="G99" s="100">
        <v>37875.599999999999</v>
      </c>
      <c r="H99" s="100">
        <v>10</v>
      </c>
      <c r="I99" s="100">
        <v>42084</v>
      </c>
      <c r="J99" s="100">
        <v>5</v>
      </c>
      <c r="K99" s="100">
        <v>21042</v>
      </c>
      <c r="L99" s="100">
        <v>7.9235882469409828</v>
      </c>
      <c r="M99" s="100">
        <v>33345.628778426428</v>
      </c>
      <c r="N99" s="100">
        <v>9.1397849462365492</v>
      </c>
      <c r="O99" s="100">
        <v>38463.870967741888</v>
      </c>
      <c r="P99" s="100">
        <v>7</v>
      </c>
      <c r="Q99" s="100">
        <v>29458.799999999996</v>
      </c>
      <c r="R99" s="100">
        <v>9.6491228070175286</v>
      </c>
      <c r="S99" s="100">
        <v>40607.368421052561</v>
      </c>
      <c r="T99" s="100">
        <v>0.51939959165695937</v>
      </c>
      <c r="U99" s="100">
        <v>2185.8412415291477</v>
      </c>
      <c r="V99" s="100">
        <v>7</v>
      </c>
      <c r="W99" s="100">
        <v>29458.799999999996</v>
      </c>
      <c r="X99" s="100">
        <v>8</v>
      </c>
      <c r="Y99" s="100">
        <v>33667.199999999997</v>
      </c>
      <c r="Z99" s="100">
        <v>9</v>
      </c>
      <c r="AA99" s="100">
        <v>37875.599999999999</v>
      </c>
      <c r="AB99" s="100">
        <v>7</v>
      </c>
      <c r="AC99" s="100">
        <v>29458.799999999996</v>
      </c>
      <c r="AD99" s="100">
        <v>7</v>
      </c>
      <c r="AE99" s="100">
        <v>29458.799999999996</v>
      </c>
      <c r="AF99" s="100">
        <v>7.4752475247524295</v>
      </c>
      <c r="AG99" s="100">
        <v>31458.831683168122</v>
      </c>
      <c r="AH99" s="100">
        <v>9</v>
      </c>
      <c r="AI99" s="100">
        <v>37875.599999999999</v>
      </c>
      <c r="AJ99" s="100">
        <v>4.0994475138121427</v>
      </c>
      <c r="AK99" s="100">
        <v>17252.114917127019</v>
      </c>
      <c r="AL99" s="100">
        <v>7.4561403508771855</v>
      </c>
      <c r="AM99" s="100">
        <v>31378.421052631544</v>
      </c>
      <c r="AN99" s="100">
        <v>8</v>
      </c>
      <c r="AO99" s="100">
        <v>33667.199999999997</v>
      </c>
      <c r="AP99" s="100">
        <v>9</v>
      </c>
      <c r="AQ99" s="100">
        <v>37875.599999999999</v>
      </c>
      <c r="AR99" s="100">
        <v>6.1639344262294884</v>
      </c>
      <c r="AS99" s="100">
        <v>25940.301639344176</v>
      </c>
      <c r="AT99" s="100">
        <v>6.8686868686868623</v>
      </c>
      <c r="AU99" s="100">
        <v>28906.181818181787</v>
      </c>
      <c r="AV99" s="100">
        <v>6.1025641025640969</v>
      </c>
      <c r="AW99" s="100">
        <v>25682.030769230743</v>
      </c>
      <c r="AX99" s="100">
        <v>9</v>
      </c>
      <c r="AY99" s="100">
        <v>37875.599999999999</v>
      </c>
      <c r="AZ99" s="100">
        <v>6.2830188679245147</v>
      </c>
      <c r="BA99" s="100">
        <v>26441.456603773524</v>
      </c>
      <c r="BB99" s="100">
        <v>9</v>
      </c>
      <c r="BC99" s="100">
        <v>37875.599999999999</v>
      </c>
      <c r="BD99" s="100">
        <v>11</v>
      </c>
      <c r="BE99" s="100">
        <v>46292.399999999994</v>
      </c>
      <c r="BF99" s="100">
        <v>8</v>
      </c>
      <c r="BG99" s="100">
        <v>33667.199999999997</v>
      </c>
      <c r="BH99" s="100">
        <v>3.1456310679611379</v>
      </c>
      <c r="BI99" s="100">
        <v>13238.073786407651</v>
      </c>
      <c r="BJ99" s="100">
        <v>8.5388127853881191</v>
      </c>
      <c r="BK99" s="100">
        <v>35934.739726027357</v>
      </c>
      <c r="BL99" s="100">
        <v>8.4530386740331416</v>
      </c>
      <c r="BM99" s="100">
        <v>35573.767955801071</v>
      </c>
      <c r="BN99" s="100">
        <v>9</v>
      </c>
      <c r="BO99" s="100">
        <v>37875.599999999999</v>
      </c>
      <c r="BP99" s="100">
        <v>5.5255813953488238</v>
      </c>
      <c r="BQ99" s="100">
        <v>23253.856744185989</v>
      </c>
      <c r="BR99" s="100">
        <v>6</v>
      </c>
      <c r="BS99" s="100">
        <v>25250.399999999998</v>
      </c>
      <c r="BT99" s="100">
        <v>6.9647498934961032</v>
      </c>
      <c r="BU99" s="100">
        <v>29310.453451788999</v>
      </c>
      <c r="BV99" s="100">
        <v>2.221076046736763</v>
      </c>
      <c r="BW99" s="100">
        <v>9347.1764350869926</v>
      </c>
      <c r="BX99" s="100">
        <v>7.7714285714285634</v>
      </c>
      <c r="BY99" s="100">
        <v>32705.279999999962</v>
      </c>
      <c r="BZ99" s="100">
        <v>8.854166666666659</v>
      </c>
      <c r="CA99" s="100">
        <v>37261.874999999964</v>
      </c>
      <c r="CB99" s="100">
        <v>6.5071770334928161</v>
      </c>
      <c r="CC99" s="100">
        <v>27384.803827751166</v>
      </c>
      <c r="CD99" s="100">
        <v>0.55789780259635713</v>
      </c>
      <c r="CE99" s="100">
        <v>2347.8571124465093</v>
      </c>
      <c r="CF99" s="100">
        <v>11</v>
      </c>
      <c r="CG99" s="100">
        <v>46292.399999999994</v>
      </c>
      <c r="CH99" s="100">
        <v>4.0909090909090766</v>
      </c>
      <c r="CI99" s="100">
        <v>17216.181818181758</v>
      </c>
      <c r="CJ99" s="100">
        <v>9</v>
      </c>
      <c r="CK99" s="100">
        <v>37875.599999999999</v>
      </c>
      <c r="CL99" s="100">
        <v>10</v>
      </c>
      <c r="CM99" s="100">
        <v>42084</v>
      </c>
      <c r="CN99" s="100">
        <v>8.2776774874227748</v>
      </c>
      <c r="CO99" s="100">
        <v>34835.777938070001</v>
      </c>
      <c r="CP99" s="100">
        <v>6.3297872340425476</v>
      </c>
      <c r="CQ99" s="100">
        <v>26638.276595744654</v>
      </c>
      <c r="CR99" s="100">
        <v>6.5071770334928161</v>
      </c>
      <c r="CS99" s="100">
        <v>27384.803827751166</v>
      </c>
      <c r="CT99" s="100">
        <v>7.7272727272727213</v>
      </c>
      <c r="CU99" s="100">
        <v>32519.454545454519</v>
      </c>
    </row>
    <row r="100" spans="2:99">
      <c r="C100" s="99" t="s">
        <v>266</v>
      </c>
      <c r="D100" s="100">
        <v>7</v>
      </c>
      <c r="E100" s="100">
        <v>2268</v>
      </c>
      <c r="F100" s="100">
        <v>10</v>
      </c>
      <c r="G100" s="100">
        <v>3240</v>
      </c>
      <c r="H100" s="100">
        <v>12</v>
      </c>
      <c r="I100" s="100">
        <v>3888</v>
      </c>
      <c r="J100" s="100">
        <v>7</v>
      </c>
      <c r="K100" s="100">
        <v>2268</v>
      </c>
      <c r="L100" s="100">
        <v>8.6439144512083459</v>
      </c>
      <c r="M100" s="100">
        <v>2800.6282821915042</v>
      </c>
      <c r="N100" s="100">
        <v>9.1397849462365492</v>
      </c>
      <c r="O100" s="100">
        <v>2961.2903225806422</v>
      </c>
      <c r="P100" s="100">
        <v>8</v>
      </c>
      <c r="Q100" s="100">
        <v>2592</v>
      </c>
      <c r="R100" s="100">
        <v>9.6491228070175286</v>
      </c>
      <c r="S100" s="100">
        <v>3126.3157894736792</v>
      </c>
      <c r="T100" s="100">
        <v>0.58432454061407935</v>
      </c>
      <c r="U100" s="100">
        <v>189.3211511589617</v>
      </c>
      <c r="V100" s="100">
        <v>8</v>
      </c>
      <c r="W100" s="100">
        <v>2592</v>
      </c>
      <c r="X100" s="100">
        <v>10</v>
      </c>
      <c r="Y100" s="100">
        <v>3240</v>
      </c>
      <c r="Z100" s="100">
        <v>10</v>
      </c>
      <c r="AA100" s="100">
        <v>3240</v>
      </c>
      <c r="AB100" s="100">
        <v>8</v>
      </c>
      <c r="AC100" s="100">
        <v>2592</v>
      </c>
      <c r="AD100" s="100">
        <v>9</v>
      </c>
      <c r="AE100" s="100">
        <v>2916</v>
      </c>
      <c r="AF100" s="100">
        <v>8.9702970297029143</v>
      </c>
      <c r="AG100" s="100">
        <v>2906.3762376237441</v>
      </c>
      <c r="AH100" s="100">
        <v>13</v>
      </c>
      <c r="AI100" s="100">
        <v>4212</v>
      </c>
      <c r="AJ100" s="100">
        <v>5.2707182320441834</v>
      </c>
      <c r="AK100" s="100">
        <v>1707.7127071823154</v>
      </c>
      <c r="AL100" s="100">
        <v>8.947368421052623</v>
      </c>
      <c r="AM100" s="100">
        <v>2898.9473684210498</v>
      </c>
      <c r="AN100" s="100">
        <v>11</v>
      </c>
      <c r="AO100" s="100">
        <v>3564</v>
      </c>
      <c r="AP100" s="100">
        <v>12</v>
      </c>
      <c r="AQ100" s="100">
        <v>3888</v>
      </c>
      <c r="AR100" s="100">
        <v>7.7049180327868605</v>
      </c>
      <c r="AS100" s="100">
        <v>2496.393442622943</v>
      </c>
      <c r="AT100" s="100">
        <v>8.5858585858585776</v>
      </c>
      <c r="AU100" s="100">
        <v>2781.8181818181793</v>
      </c>
      <c r="AV100" s="100">
        <v>7.8461538461538396</v>
      </c>
      <c r="AW100" s="100">
        <v>2542.1538461538439</v>
      </c>
      <c r="AX100" s="100">
        <v>13</v>
      </c>
      <c r="AY100" s="100">
        <v>4212</v>
      </c>
      <c r="AZ100" s="100">
        <v>6.9811320754716837</v>
      </c>
      <c r="BA100" s="100">
        <v>2261.8867924528254</v>
      </c>
      <c r="BB100" s="100">
        <v>12</v>
      </c>
      <c r="BC100" s="100">
        <v>3888</v>
      </c>
      <c r="BD100" s="100">
        <v>13</v>
      </c>
      <c r="BE100" s="100">
        <v>4212</v>
      </c>
      <c r="BF100" s="100">
        <v>10</v>
      </c>
      <c r="BG100" s="100">
        <v>3240</v>
      </c>
      <c r="BH100" s="100">
        <v>4.1941747572815169</v>
      </c>
      <c r="BI100" s="100">
        <v>1358.9126213592115</v>
      </c>
      <c r="BJ100" s="100">
        <v>9.3150684931506742</v>
      </c>
      <c r="BK100" s="100">
        <v>3018.0821917808184</v>
      </c>
      <c r="BL100" s="100">
        <v>9.3922651933701573</v>
      </c>
      <c r="BM100" s="100">
        <v>3043.0939226519308</v>
      </c>
      <c r="BN100" s="100">
        <v>11</v>
      </c>
      <c r="BO100" s="100">
        <v>3564</v>
      </c>
      <c r="BP100" s="100">
        <v>7.3674418604650986</v>
      </c>
      <c r="BQ100" s="100">
        <v>2387.0511627906922</v>
      </c>
      <c r="BR100" s="100">
        <v>8</v>
      </c>
      <c r="BS100" s="100">
        <v>2592</v>
      </c>
      <c r="BT100" s="100">
        <v>8.9546784344949906</v>
      </c>
      <c r="BU100" s="100">
        <v>2901.3158127763768</v>
      </c>
      <c r="BV100" s="100">
        <v>2.6652912560841155</v>
      </c>
      <c r="BW100" s="100">
        <v>863.55436697125344</v>
      </c>
      <c r="BX100" s="100">
        <v>10.685714285714276</v>
      </c>
      <c r="BY100" s="100">
        <v>3462.1714285714256</v>
      </c>
      <c r="BZ100" s="100">
        <v>8.854166666666659</v>
      </c>
      <c r="CA100" s="100">
        <v>2868.7499999999977</v>
      </c>
      <c r="CB100" s="100">
        <v>8.947368421052623</v>
      </c>
      <c r="CC100" s="100">
        <v>2898.9473684210498</v>
      </c>
      <c r="CD100" s="100">
        <v>0.61988644732928577</v>
      </c>
      <c r="CE100" s="100">
        <v>200.84320893468859</v>
      </c>
      <c r="CF100" s="100">
        <v>14</v>
      </c>
      <c r="CG100" s="100">
        <v>4536</v>
      </c>
      <c r="CH100" s="100">
        <v>4.4999999999999849</v>
      </c>
      <c r="CI100" s="100">
        <v>1457.999999999995</v>
      </c>
      <c r="CJ100" s="100">
        <v>12</v>
      </c>
      <c r="CK100" s="100">
        <v>3888</v>
      </c>
      <c r="CL100" s="100">
        <v>12</v>
      </c>
      <c r="CM100" s="100">
        <v>3888</v>
      </c>
      <c r="CN100" s="100">
        <v>10.760980733649607</v>
      </c>
      <c r="CO100" s="100">
        <v>3486.5577577024728</v>
      </c>
      <c r="CP100" s="100">
        <v>7.2340425531914834</v>
      </c>
      <c r="CQ100" s="100">
        <v>2343.8297872340404</v>
      </c>
      <c r="CR100" s="100">
        <v>8.1339712918660201</v>
      </c>
      <c r="CS100" s="100">
        <v>2635.4066985645904</v>
      </c>
      <c r="CT100" s="100">
        <v>8.4297520661156948</v>
      </c>
      <c r="CU100" s="100">
        <v>2731.2396694214849</v>
      </c>
    </row>
    <row r="101" spans="2:99">
      <c r="C101" s="99" t="s">
        <v>267</v>
      </c>
      <c r="D101" s="100">
        <v>7</v>
      </c>
      <c r="E101" s="100">
        <v>5065.2</v>
      </c>
      <c r="F101" s="100">
        <v>11</v>
      </c>
      <c r="G101" s="100">
        <v>7959.6</v>
      </c>
      <c r="H101" s="100">
        <v>12</v>
      </c>
      <c r="I101" s="100">
        <v>8683.2000000000007</v>
      </c>
      <c r="J101" s="100">
        <v>7</v>
      </c>
      <c r="K101" s="100">
        <v>5065.2</v>
      </c>
      <c r="L101" s="100">
        <v>9.3642406554757081</v>
      </c>
      <c r="M101" s="100">
        <v>6775.9645383022225</v>
      </c>
      <c r="N101" s="100">
        <v>10.053763440860205</v>
      </c>
      <c r="O101" s="100">
        <v>7274.9032258064444</v>
      </c>
      <c r="P101" s="100">
        <v>7</v>
      </c>
      <c r="Q101" s="100">
        <v>5065.2</v>
      </c>
      <c r="R101" s="100">
        <v>11.403508771929806</v>
      </c>
      <c r="S101" s="100">
        <v>8251.5789473684072</v>
      </c>
      <c r="T101" s="100">
        <v>0.58432454061407935</v>
      </c>
      <c r="U101" s="100">
        <v>422.81723758834784</v>
      </c>
      <c r="V101" s="100">
        <v>8</v>
      </c>
      <c r="W101" s="100">
        <v>5788.8</v>
      </c>
      <c r="X101" s="100">
        <v>9</v>
      </c>
      <c r="Y101" s="100">
        <v>6512.4000000000005</v>
      </c>
      <c r="Z101" s="100">
        <v>10</v>
      </c>
      <c r="AA101" s="100">
        <v>7236</v>
      </c>
      <c r="AB101" s="100">
        <v>8</v>
      </c>
      <c r="AC101" s="100">
        <v>5788.8</v>
      </c>
      <c r="AD101" s="100">
        <v>9</v>
      </c>
      <c r="AE101" s="100">
        <v>6512.4000000000005</v>
      </c>
      <c r="AF101" s="100">
        <v>8.222772277227671</v>
      </c>
      <c r="AG101" s="100">
        <v>5949.998019801943</v>
      </c>
      <c r="AH101" s="100">
        <v>13</v>
      </c>
      <c r="AI101" s="100">
        <v>9406.8000000000011</v>
      </c>
      <c r="AJ101" s="100">
        <v>5.2707182320441834</v>
      </c>
      <c r="AK101" s="100">
        <v>3813.8917127071713</v>
      </c>
      <c r="AL101" s="100">
        <v>8.947368421052623</v>
      </c>
      <c r="AM101" s="100">
        <v>6474.3157894736778</v>
      </c>
      <c r="AN101" s="100">
        <v>9</v>
      </c>
      <c r="AO101" s="100">
        <v>6512.4000000000005</v>
      </c>
      <c r="AP101" s="100">
        <v>10</v>
      </c>
      <c r="AQ101" s="100">
        <v>7236</v>
      </c>
      <c r="AR101" s="100">
        <v>7.7049180327868605</v>
      </c>
      <c r="AS101" s="100">
        <v>5575.2786885245723</v>
      </c>
      <c r="AT101" s="100">
        <v>8.5858585858585776</v>
      </c>
      <c r="AU101" s="100">
        <v>6212.7272727272666</v>
      </c>
      <c r="AV101" s="100">
        <v>7.8461538461538396</v>
      </c>
      <c r="AW101" s="100">
        <v>5677.4769230769189</v>
      </c>
      <c r="AX101" s="100">
        <v>12</v>
      </c>
      <c r="AY101" s="100">
        <v>8683.2000000000007</v>
      </c>
      <c r="AZ101" s="100">
        <v>7.6792452830188518</v>
      </c>
      <c r="BA101" s="100">
        <v>5556.7018867924417</v>
      </c>
      <c r="BB101" s="100">
        <v>12</v>
      </c>
      <c r="BC101" s="100">
        <v>8683.2000000000007</v>
      </c>
      <c r="BD101" s="100">
        <v>12</v>
      </c>
      <c r="BE101" s="100">
        <v>8683.2000000000007</v>
      </c>
      <c r="BF101" s="100">
        <v>9</v>
      </c>
      <c r="BG101" s="100">
        <v>6512.4000000000005</v>
      </c>
      <c r="BH101" s="100">
        <v>3.8446601941747236</v>
      </c>
      <c r="BI101" s="100">
        <v>2781.9961165048303</v>
      </c>
      <c r="BJ101" s="100">
        <v>10.091324200913231</v>
      </c>
      <c r="BK101" s="100">
        <v>7302.0821917808144</v>
      </c>
      <c r="BL101" s="100">
        <v>9.3922651933701573</v>
      </c>
      <c r="BM101" s="100">
        <v>6796.243093922646</v>
      </c>
      <c r="BN101" s="100">
        <v>11</v>
      </c>
      <c r="BO101" s="100">
        <v>7959.6</v>
      </c>
      <c r="BP101" s="100">
        <v>7.3674418604650986</v>
      </c>
      <c r="BQ101" s="100">
        <v>5331.0809302325451</v>
      </c>
      <c r="BR101" s="100">
        <v>8</v>
      </c>
      <c r="BS101" s="100">
        <v>5788.8</v>
      </c>
      <c r="BT101" s="100">
        <v>7.9597141639955469</v>
      </c>
      <c r="BU101" s="100">
        <v>5759.6491690671783</v>
      </c>
      <c r="BV101" s="100">
        <v>2.6652912560841155</v>
      </c>
      <c r="BW101" s="100">
        <v>1928.6047529024661</v>
      </c>
      <c r="BX101" s="100">
        <v>9.7142857142857046</v>
      </c>
      <c r="BY101" s="100">
        <v>7029.2571428571364</v>
      </c>
      <c r="BZ101" s="100">
        <v>9.739583333333325</v>
      </c>
      <c r="CA101" s="100">
        <v>7047.5624999999945</v>
      </c>
      <c r="CB101" s="100">
        <v>7.320574162679419</v>
      </c>
      <c r="CC101" s="100">
        <v>5297.1674641148275</v>
      </c>
      <c r="CD101" s="100">
        <v>0.61988644732928577</v>
      </c>
      <c r="CE101" s="100">
        <v>448.54983328747119</v>
      </c>
      <c r="CF101" s="100">
        <v>12</v>
      </c>
      <c r="CG101" s="100">
        <v>8683.2000000000007</v>
      </c>
      <c r="CH101" s="100">
        <v>5.3181818181817997</v>
      </c>
      <c r="CI101" s="100">
        <v>3848.2363636363502</v>
      </c>
      <c r="CJ101" s="100">
        <v>11</v>
      </c>
      <c r="CK101" s="100">
        <v>7959.6</v>
      </c>
      <c r="CL101" s="100">
        <v>12</v>
      </c>
      <c r="CM101" s="100">
        <v>8683.2000000000007</v>
      </c>
      <c r="CN101" s="100">
        <v>10.760980733649607</v>
      </c>
      <c r="CO101" s="100">
        <v>7786.6456588688561</v>
      </c>
      <c r="CP101" s="100">
        <v>7.2340425531914834</v>
      </c>
      <c r="CQ101" s="100">
        <v>5234.5531914893572</v>
      </c>
      <c r="CR101" s="100">
        <v>8.1339712918660201</v>
      </c>
      <c r="CS101" s="100">
        <v>5885.7416267942526</v>
      </c>
      <c r="CT101" s="100">
        <v>9.1322314049586701</v>
      </c>
      <c r="CU101" s="100">
        <v>6608.0826446280935</v>
      </c>
    </row>
    <row r="102" spans="2:99">
      <c r="C102" s="99" t="s">
        <v>268</v>
      </c>
      <c r="D102" s="100">
        <v>8</v>
      </c>
      <c r="E102" s="100">
        <v>4252.8</v>
      </c>
      <c r="F102" s="100">
        <v>10</v>
      </c>
      <c r="G102" s="100">
        <v>5316</v>
      </c>
      <c r="H102" s="100">
        <v>12</v>
      </c>
      <c r="I102" s="100">
        <v>6379.2000000000007</v>
      </c>
      <c r="J102" s="100">
        <v>7</v>
      </c>
      <c r="K102" s="100">
        <v>3721.2000000000003</v>
      </c>
      <c r="L102" s="100">
        <v>8.6439144512083459</v>
      </c>
      <c r="M102" s="100">
        <v>4595.1049222623569</v>
      </c>
      <c r="N102" s="100">
        <v>10.967741935483859</v>
      </c>
      <c r="O102" s="100">
        <v>5830.4516129032199</v>
      </c>
      <c r="P102" s="100">
        <v>7</v>
      </c>
      <c r="Q102" s="100">
        <v>3721.2000000000003</v>
      </c>
      <c r="R102" s="100">
        <v>11.403508771929806</v>
      </c>
      <c r="S102" s="100">
        <v>6062.105263157885</v>
      </c>
      <c r="T102" s="100">
        <v>0.58432454061407935</v>
      </c>
      <c r="U102" s="100">
        <v>310.6269257904446</v>
      </c>
      <c r="V102" s="100">
        <v>8</v>
      </c>
      <c r="W102" s="100">
        <v>4252.8</v>
      </c>
      <c r="X102" s="100">
        <v>9</v>
      </c>
      <c r="Y102" s="100">
        <v>4784.4000000000005</v>
      </c>
      <c r="Z102" s="100">
        <v>10</v>
      </c>
      <c r="AA102" s="100">
        <v>5316</v>
      </c>
      <c r="AB102" s="100">
        <v>9</v>
      </c>
      <c r="AC102" s="100">
        <v>4784.4000000000005</v>
      </c>
      <c r="AD102" s="100">
        <v>10</v>
      </c>
      <c r="AE102" s="100">
        <v>5316</v>
      </c>
      <c r="AF102" s="100">
        <v>8.9702970297029143</v>
      </c>
      <c r="AG102" s="100">
        <v>4768.609900990069</v>
      </c>
      <c r="AH102" s="100">
        <v>13</v>
      </c>
      <c r="AI102" s="100">
        <v>6910.8</v>
      </c>
      <c r="AJ102" s="100">
        <v>4.6850828729281631</v>
      </c>
      <c r="AK102" s="100">
        <v>2490.5900552486114</v>
      </c>
      <c r="AL102" s="100">
        <v>8.947368421052623</v>
      </c>
      <c r="AM102" s="100">
        <v>4756.4210526315746</v>
      </c>
      <c r="AN102" s="100">
        <v>10</v>
      </c>
      <c r="AO102" s="100">
        <v>5316</v>
      </c>
      <c r="AP102" s="100">
        <v>11</v>
      </c>
      <c r="AQ102" s="100">
        <v>5847.6</v>
      </c>
      <c r="AR102" s="100">
        <v>7.7049180327868605</v>
      </c>
      <c r="AS102" s="100">
        <v>4095.9344262294953</v>
      </c>
      <c r="AT102" s="100">
        <v>9.444444444444434</v>
      </c>
      <c r="AU102" s="100">
        <v>5020.6666666666615</v>
      </c>
      <c r="AV102" s="100">
        <v>7.8461538461538396</v>
      </c>
      <c r="AW102" s="100">
        <v>4171.0153846153817</v>
      </c>
      <c r="AX102" s="100">
        <v>10</v>
      </c>
      <c r="AY102" s="100">
        <v>5316</v>
      </c>
      <c r="AZ102" s="100">
        <v>6.2830188679245147</v>
      </c>
      <c r="BA102" s="100">
        <v>3340.052830188672</v>
      </c>
      <c r="BB102" s="100">
        <v>12</v>
      </c>
      <c r="BC102" s="100">
        <v>6379.2000000000007</v>
      </c>
      <c r="BD102" s="100">
        <v>12</v>
      </c>
      <c r="BE102" s="100">
        <v>6379.2000000000007</v>
      </c>
      <c r="BF102" s="100">
        <v>9</v>
      </c>
      <c r="BG102" s="100">
        <v>4784.4000000000005</v>
      </c>
      <c r="BH102" s="100">
        <v>4.1941747572815169</v>
      </c>
      <c r="BI102" s="100">
        <v>2229.6233009708544</v>
      </c>
      <c r="BJ102" s="100">
        <v>9.3150684931506742</v>
      </c>
      <c r="BK102" s="100">
        <v>4951.8904109588984</v>
      </c>
      <c r="BL102" s="100">
        <v>10.331491712707173</v>
      </c>
      <c r="BM102" s="100">
        <v>5492.220994475133</v>
      </c>
      <c r="BN102" s="100">
        <v>11</v>
      </c>
      <c r="BO102" s="100">
        <v>5847.6</v>
      </c>
      <c r="BP102" s="100">
        <v>6.753488372093007</v>
      </c>
      <c r="BQ102" s="100">
        <v>3590.1544186046426</v>
      </c>
      <c r="BR102" s="100">
        <v>7</v>
      </c>
      <c r="BS102" s="100">
        <v>3721.2000000000003</v>
      </c>
      <c r="BT102" s="100">
        <v>7.9597141639955469</v>
      </c>
      <c r="BU102" s="100">
        <v>4231.3840495800332</v>
      </c>
      <c r="BV102" s="100">
        <v>2.4431836514104392</v>
      </c>
      <c r="BW102" s="100">
        <v>1298.7964290897896</v>
      </c>
      <c r="BX102" s="100">
        <v>9.7142857142857046</v>
      </c>
      <c r="BY102" s="100">
        <v>5164.1142857142804</v>
      </c>
      <c r="BZ102" s="100">
        <v>9.739583333333325</v>
      </c>
      <c r="CA102" s="100">
        <v>5177.5624999999955</v>
      </c>
      <c r="CB102" s="100">
        <v>8.947368421052623</v>
      </c>
      <c r="CC102" s="100">
        <v>4756.4210526315746</v>
      </c>
      <c r="CD102" s="100">
        <v>0.74386373679514284</v>
      </c>
      <c r="CE102" s="100">
        <v>395.43796248029793</v>
      </c>
      <c r="CF102" s="100">
        <v>13</v>
      </c>
      <c r="CG102" s="100">
        <v>6910.8</v>
      </c>
      <c r="CH102" s="100">
        <v>4.4999999999999849</v>
      </c>
      <c r="CI102" s="100">
        <v>2392.1999999999921</v>
      </c>
      <c r="CJ102" s="100">
        <v>13</v>
      </c>
      <c r="CK102" s="100">
        <v>6910.8</v>
      </c>
      <c r="CL102" s="100">
        <v>11</v>
      </c>
      <c r="CM102" s="100">
        <v>5847.6</v>
      </c>
      <c r="CN102" s="100">
        <v>10.760980733649607</v>
      </c>
      <c r="CO102" s="100">
        <v>5720.5373580081314</v>
      </c>
      <c r="CP102" s="100">
        <v>8.1382978723404182</v>
      </c>
      <c r="CQ102" s="100">
        <v>4326.3191489361661</v>
      </c>
      <c r="CR102" s="100">
        <v>8.1339712918660201</v>
      </c>
      <c r="CS102" s="100">
        <v>4324.0191387559762</v>
      </c>
      <c r="CT102" s="100">
        <v>9.1322314049586701</v>
      </c>
      <c r="CU102" s="100">
        <v>4854.694214876029</v>
      </c>
    </row>
    <row r="103" spans="2:99">
      <c r="C103" s="99" t="s">
        <v>269</v>
      </c>
      <c r="D103" s="100">
        <v>8</v>
      </c>
      <c r="E103" s="100">
        <v>4713.5999999999995</v>
      </c>
      <c r="F103" s="100">
        <v>10</v>
      </c>
      <c r="G103" s="100">
        <v>5891.9999999999991</v>
      </c>
      <c r="H103" s="100">
        <v>10</v>
      </c>
      <c r="I103" s="100">
        <v>5891.9999999999991</v>
      </c>
      <c r="J103" s="100">
        <v>7</v>
      </c>
      <c r="K103" s="100">
        <v>4124.3999999999996</v>
      </c>
      <c r="L103" s="100">
        <v>9.3642406554757081</v>
      </c>
      <c r="M103" s="100">
        <v>5517.410594206287</v>
      </c>
      <c r="N103" s="100">
        <v>10.053763440860205</v>
      </c>
      <c r="O103" s="100">
        <v>5923.6774193548326</v>
      </c>
      <c r="P103" s="100">
        <v>7</v>
      </c>
      <c r="Q103" s="100">
        <v>4124.3999999999996</v>
      </c>
      <c r="R103" s="100">
        <v>11.403508771929806</v>
      </c>
      <c r="S103" s="100">
        <v>6718.9473684210407</v>
      </c>
      <c r="T103" s="100">
        <v>0.51939959165695937</v>
      </c>
      <c r="U103" s="100">
        <v>306.03023940428045</v>
      </c>
      <c r="V103" s="100">
        <v>7</v>
      </c>
      <c r="W103" s="100">
        <v>4124.3999999999996</v>
      </c>
      <c r="X103" s="100">
        <v>9</v>
      </c>
      <c r="Y103" s="100">
        <v>5302.7999999999993</v>
      </c>
      <c r="Z103" s="100">
        <v>10</v>
      </c>
      <c r="AA103" s="100">
        <v>5891.9999999999991</v>
      </c>
      <c r="AB103" s="100">
        <v>8</v>
      </c>
      <c r="AC103" s="100">
        <v>4713.5999999999995</v>
      </c>
      <c r="AD103" s="100">
        <v>9</v>
      </c>
      <c r="AE103" s="100">
        <v>5302.7999999999993</v>
      </c>
      <c r="AF103" s="100">
        <v>9.7178217821781576</v>
      </c>
      <c r="AG103" s="100">
        <v>5725.7405940593699</v>
      </c>
      <c r="AH103" s="100">
        <v>12</v>
      </c>
      <c r="AI103" s="100">
        <v>7070.4</v>
      </c>
      <c r="AJ103" s="100">
        <v>5.2707182320441834</v>
      </c>
      <c r="AK103" s="100">
        <v>3105.5071823204325</v>
      </c>
      <c r="AL103" s="100">
        <v>10.43859649122806</v>
      </c>
      <c r="AM103" s="100">
        <v>6150.4210526315719</v>
      </c>
      <c r="AN103" s="100">
        <v>10</v>
      </c>
      <c r="AO103" s="100">
        <v>5891.9999999999991</v>
      </c>
      <c r="AP103" s="100">
        <v>10</v>
      </c>
      <c r="AQ103" s="100">
        <v>5891.9999999999991</v>
      </c>
      <c r="AR103" s="100">
        <v>6.9344262295081744</v>
      </c>
      <c r="AS103" s="100">
        <v>4085.7639344262161</v>
      </c>
      <c r="AT103" s="100">
        <v>9.444444444444434</v>
      </c>
      <c r="AU103" s="100">
        <v>5564.6666666666597</v>
      </c>
      <c r="AV103" s="100">
        <v>7.8461538461538396</v>
      </c>
      <c r="AW103" s="100">
        <v>4622.9538461538414</v>
      </c>
      <c r="AX103" s="100">
        <v>11</v>
      </c>
      <c r="AY103" s="100">
        <v>6481.1999999999989</v>
      </c>
      <c r="AZ103" s="100">
        <v>6.9811320754716837</v>
      </c>
      <c r="BA103" s="100">
        <v>4113.2830188679154</v>
      </c>
      <c r="BB103" s="100">
        <v>13</v>
      </c>
      <c r="BC103" s="100">
        <v>7659.5999999999995</v>
      </c>
      <c r="BD103" s="100">
        <v>13</v>
      </c>
      <c r="BE103" s="100">
        <v>7659.5999999999995</v>
      </c>
      <c r="BF103" s="100">
        <v>9</v>
      </c>
      <c r="BG103" s="100">
        <v>5302.7999999999993</v>
      </c>
      <c r="BH103" s="100">
        <v>3.8446601941747236</v>
      </c>
      <c r="BI103" s="100">
        <v>2265.2737864077467</v>
      </c>
      <c r="BJ103" s="100">
        <v>9.3150684931506742</v>
      </c>
      <c r="BK103" s="100">
        <v>5488.4383561643763</v>
      </c>
      <c r="BL103" s="100">
        <v>10.331491712707173</v>
      </c>
      <c r="BM103" s="100">
        <v>6087.3149171270652</v>
      </c>
      <c r="BN103" s="100">
        <v>12</v>
      </c>
      <c r="BO103" s="100">
        <v>7070.4</v>
      </c>
      <c r="BP103" s="100">
        <v>7.3674418604650986</v>
      </c>
      <c r="BQ103" s="100">
        <v>4340.8967441860359</v>
      </c>
      <c r="BR103" s="100">
        <v>7</v>
      </c>
      <c r="BS103" s="100">
        <v>4124.3999999999996</v>
      </c>
      <c r="BT103" s="100">
        <v>7.9597141639955469</v>
      </c>
      <c r="BU103" s="100">
        <v>4689.8635854261756</v>
      </c>
      <c r="BV103" s="100">
        <v>2.6652912560841155</v>
      </c>
      <c r="BW103" s="100">
        <v>1570.3896080847608</v>
      </c>
      <c r="BX103" s="100">
        <v>10.685714285714276</v>
      </c>
      <c r="BY103" s="100">
        <v>6296.0228571428506</v>
      </c>
      <c r="BZ103" s="100">
        <v>10.624999999999991</v>
      </c>
      <c r="CA103" s="100">
        <v>6260.2499999999936</v>
      </c>
      <c r="CB103" s="100">
        <v>8.1339712918660201</v>
      </c>
      <c r="CC103" s="100">
        <v>4792.5358851674582</v>
      </c>
      <c r="CD103" s="100">
        <v>0.68187509206221431</v>
      </c>
      <c r="CE103" s="100">
        <v>401.76080424305661</v>
      </c>
      <c r="CF103" s="100">
        <v>14</v>
      </c>
      <c r="CG103" s="100">
        <v>8248.7999999999993</v>
      </c>
      <c r="CH103" s="100">
        <v>5.7272727272727071</v>
      </c>
      <c r="CI103" s="100">
        <v>3374.5090909090786</v>
      </c>
      <c r="CJ103" s="100">
        <v>12</v>
      </c>
      <c r="CK103" s="100">
        <v>7070.4</v>
      </c>
      <c r="CL103" s="100">
        <v>11</v>
      </c>
      <c r="CM103" s="100">
        <v>6481.1999999999989</v>
      </c>
      <c r="CN103" s="100">
        <v>10.760980733649607</v>
      </c>
      <c r="CO103" s="100">
        <v>6340.3698482663476</v>
      </c>
      <c r="CP103" s="100">
        <v>7.2340425531914834</v>
      </c>
      <c r="CQ103" s="100">
        <v>4262.2978723404212</v>
      </c>
      <c r="CR103" s="100">
        <v>8.1339712918660201</v>
      </c>
      <c r="CS103" s="100">
        <v>4792.5358851674582</v>
      </c>
      <c r="CT103" s="100">
        <v>8.4297520661156948</v>
      </c>
      <c r="CU103" s="100">
        <v>4966.8099173553665</v>
      </c>
    </row>
    <row r="104" spans="2:99">
      <c r="C104" s="99" t="s">
        <v>270</v>
      </c>
      <c r="D104" s="100">
        <v>8</v>
      </c>
      <c r="E104" s="100">
        <v>5059.2</v>
      </c>
      <c r="F104" s="100">
        <v>10</v>
      </c>
      <c r="G104" s="100">
        <v>6324</v>
      </c>
      <c r="H104" s="100">
        <v>12</v>
      </c>
      <c r="I104" s="100">
        <v>7588.7999999999993</v>
      </c>
      <c r="J104" s="100">
        <v>7</v>
      </c>
      <c r="K104" s="100">
        <v>4426.8</v>
      </c>
      <c r="L104" s="100">
        <v>9.3642406554757081</v>
      </c>
      <c r="M104" s="100">
        <v>5921.9457905228373</v>
      </c>
      <c r="N104" s="100">
        <v>10.967741935483859</v>
      </c>
      <c r="O104" s="100">
        <v>6935.9999999999927</v>
      </c>
      <c r="P104" s="100">
        <v>7</v>
      </c>
      <c r="Q104" s="100">
        <v>4426.8</v>
      </c>
      <c r="R104" s="100">
        <v>9.6491228070175286</v>
      </c>
      <c r="S104" s="100">
        <v>6102.105263157885</v>
      </c>
      <c r="T104" s="100">
        <v>0.58432454061407935</v>
      </c>
      <c r="U104" s="100">
        <v>369.52683948434378</v>
      </c>
      <c r="V104" s="100">
        <v>8</v>
      </c>
      <c r="W104" s="100">
        <v>5059.2</v>
      </c>
      <c r="X104" s="100">
        <v>8</v>
      </c>
      <c r="Y104" s="100">
        <v>5059.2</v>
      </c>
      <c r="Z104" s="100">
        <v>10</v>
      </c>
      <c r="AA104" s="100">
        <v>6324</v>
      </c>
      <c r="AB104" s="100">
        <v>8</v>
      </c>
      <c r="AC104" s="100">
        <v>5059.2</v>
      </c>
      <c r="AD104" s="100">
        <v>8</v>
      </c>
      <c r="AE104" s="100">
        <v>5059.2</v>
      </c>
      <c r="AF104" s="100">
        <v>7.4752475247524295</v>
      </c>
      <c r="AG104" s="100">
        <v>4727.3465346534358</v>
      </c>
      <c r="AH104" s="100">
        <v>13</v>
      </c>
      <c r="AI104" s="100">
        <v>8221.1999999999989</v>
      </c>
      <c r="AJ104" s="100">
        <v>4.6850828729281631</v>
      </c>
      <c r="AK104" s="100">
        <v>2962.84640883977</v>
      </c>
      <c r="AL104" s="100">
        <v>9.6929824561403404</v>
      </c>
      <c r="AM104" s="100">
        <v>6129.8421052631511</v>
      </c>
      <c r="AN104" s="100">
        <v>10</v>
      </c>
      <c r="AO104" s="100">
        <v>6324</v>
      </c>
      <c r="AP104" s="100">
        <v>11</v>
      </c>
      <c r="AQ104" s="100">
        <v>6956.4</v>
      </c>
      <c r="AR104" s="100">
        <v>8.4754098360655465</v>
      </c>
      <c r="AS104" s="100">
        <v>5359.8491803278512</v>
      </c>
      <c r="AT104" s="100">
        <v>9.444444444444434</v>
      </c>
      <c r="AU104" s="100">
        <v>5972.6666666666597</v>
      </c>
      <c r="AV104" s="100">
        <v>6.9743589743589682</v>
      </c>
      <c r="AW104" s="100">
        <v>4410.5846153846114</v>
      </c>
      <c r="AX104" s="100">
        <v>11</v>
      </c>
      <c r="AY104" s="100">
        <v>6956.4</v>
      </c>
      <c r="AZ104" s="100">
        <v>6.9811320754716837</v>
      </c>
      <c r="BA104" s="100">
        <v>4414.8679245282929</v>
      </c>
      <c r="BB104" s="100">
        <v>11</v>
      </c>
      <c r="BC104" s="100">
        <v>6956.4</v>
      </c>
      <c r="BD104" s="100">
        <v>13</v>
      </c>
      <c r="BE104" s="100">
        <v>8221.1999999999989</v>
      </c>
      <c r="BF104" s="100">
        <v>10</v>
      </c>
      <c r="BG104" s="100">
        <v>6324</v>
      </c>
      <c r="BH104" s="100">
        <v>4.1941747572815169</v>
      </c>
      <c r="BI104" s="100">
        <v>2652.3961165048313</v>
      </c>
      <c r="BJ104" s="100">
        <v>9.3150684931506742</v>
      </c>
      <c r="BK104" s="100">
        <v>5890.8493150684862</v>
      </c>
      <c r="BL104" s="100">
        <v>9.3922651933701573</v>
      </c>
      <c r="BM104" s="100">
        <v>5939.6685082872873</v>
      </c>
      <c r="BN104" s="100">
        <v>11</v>
      </c>
      <c r="BO104" s="100">
        <v>6956.4</v>
      </c>
      <c r="BP104" s="100">
        <v>6.753488372093007</v>
      </c>
      <c r="BQ104" s="100">
        <v>4270.9060465116172</v>
      </c>
      <c r="BR104" s="100">
        <v>7</v>
      </c>
      <c r="BS104" s="100">
        <v>4426.8</v>
      </c>
      <c r="BT104" s="100">
        <v>7.9597141639955469</v>
      </c>
      <c r="BU104" s="100">
        <v>5033.7232373107836</v>
      </c>
      <c r="BV104" s="100">
        <v>2.6652912560841155</v>
      </c>
      <c r="BW104" s="100">
        <v>1685.5301903475945</v>
      </c>
      <c r="BX104" s="100">
        <v>9.7142857142857046</v>
      </c>
      <c r="BY104" s="100">
        <v>6143.3142857142793</v>
      </c>
      <c r="BZ104" s="100">
        <v>8.854166666666659</v>
      </c>
      <c r="CA104" s="100">
        <v>5599.3749999999945</v>
      </c>
      <c r="CB104" s="100">
        <v>8.1339712918660201</v>
      </c>
      <c r="CC104" s="100">
        <v>5143.9234449760706</v>
      </c>
      <c r="CD104" s="100">
        <v>0.61988644732928577</v>
      </c>
      <c r="CE104" s="100">
        <v>392.01618929104029</v>
      </c>
      <c r="CF104" s="100">
        <v>12</v>
      </c>
      <c r="CG104" s="100">
        <v>7588.7999999999993</v>
      </c>
      <c r="CH104" s="100">
        <v>4.9090909090908914</v>
      </c>
      <c r="CI104" s="100">
        <v>3104.5090909090795</v>
      </c>
      <c r="CJ104" s="100">
        <v>11</v>
      </c>
      <c r="CK104" s="100">
        <v>6956.4</v>
      </c>
      <c r="CL104" s="100">
        <v>12</v>
      </c>
      <c r="CM104" s="100">
        <v>7588.7999999999993</v>
      </c>
      <c r="CN104" s="100">
        <v>9.9332129849073301</v>
      </c>
      <c r="CO104" s="100">
        <v>6281.7638916553951</v>
      </c>
      <c r="CP104" s="100">
        <v>8.1382978723404182</v>
      </c>
      <c r="CQ104" s="100">
        <v>5146.6595744680799</v>
      </c>
      <c r="CR104" s="100">
        <v>8.1339712918660201</v>
      </c>
      <c r="CS104" s="100">
        <v>5143.9234449760706</v>
      </c>
      <c r="CT104" s="100">
        <v>9.1322314049586701</v>
      </c>
      <c r="CU104" s="100">
        <v>5775.2231404958629</v>
      </c>
    </row>
    <row r="105" spans="2:99">
      <c r="C105" s="99" t="s">
        <v>271</v>
      </c>
      <c r="D105" s="100">
        <v>7</v>
      </c>
      <c r="E105" s="100">
        <v>3897.5999999999995</v>
      </c>
      <c r="F105" s="100">
        <v>10</v>
      </c>
      <c r="G105" s="100">
        <v>5568</v>
      </c>
      <c r="H105" s="100">
        <v>11</v>
      </c>
      <c r="I105" s="100">
        <v>6124.7999999999993</v>
      </c>
      <c r="J105" s="100">
        <v>7</v>
      </c>
      <c r="K105" s="100">
        <v>3897.5999999999995</v>
      </c>
      <c r="L105" s="100">
        <v>9.3642406554757081</v>
      </c>
      <c r="M105" s="100">
        <v>5214.0091969688738</v>
      </c>
      <c r="N105" s="100">
        <v>10.053763440860205</v>
      </c>
      <c r="O105" s="100">
        <v>5597.9354838709614</v>
      </c>
      <c r="P105" s="100">
        <v>8</v>
      </c>
      <c r="Q105" s="100">
        <v>4454.3999999999996</v>
      </c>
      <c r="R105" s="100">
        <v>11.403508771929806</v>
      </c>
      <c r="S105" s="100">
        <v>6349.4736842105158</v>
      </c>
      <c r="T105" s="100">
        <v>0.58432454061407935</v>
      </c>
      <c r="U105" s="100">
        <v>325.35190421391934</v>
      </c>
      <c r="V105" s="100">
        <v>8</v>
      </c>
      <c r="W105" s="100">
        <v>4454.3999999999996</v>
      </c>
      <c r="X105" s="100">
        <v>9</v>
      </c>
      <c r="Y105" s="100">
        <v>5011.2</v>
      </c>
      <c r="Z105" s="100">
        <v>9</v>
      </c>
      <c r="AA105" s="100">
        <v>5011.2</v>
      </c>
      <c r="AB105" s="100">
        <v>8</v>
      </c>
      <c r="AC105" s="100">
        <v>4454.3999999999996</v>
      </c>
      <c r="AD105" s="100">
        <v>9</v>
      </c>
      <c r="AE105" s="100">
        <v>5011.2</v>
      </c>
      <c r="AF105" s="100">
        <v>8.222772277227671</v>
      </c>
      <c r="AG105" s="100">
        <v>4578.4396039603671</v>
      </c>
      <c r="AH105" s="100">
        <v>11</v>
      </c>
      <c r="AI105" s="100">
        <v>6124.7999999999993</v>
      </c>
      <c r="AJ105" s="100">
        <v>5.2707182320441834</v>
      </c>
      <c r="AK105" s="100">
        <v>2934.7359116022012</v>
      </c>
      <c r="AL105" s="100">
        <v>9.6929824561403404</v>
      </c>
      <c r="AM105" s="100">
        <v>5397.0526315789411</v>
      </c>
      <c r="AN105" s="100">
        <v>10</v>
      </c>
      <c r="AO105" s="100">
        <v>5568</v>
      </c>
      <c r="AP105" s="100">
        <v>11</v>
      </c>
      <c r="AQ105" s="100">
        <v>6124.7999999999993</v>
      </c>
      <c r="AR105" s="100">
        <v>7.7049180327868605</v>
      </c>
      <c r="AS105" s="100">
        <v>4290.0983606557238</v>
      </c>
      <c r="AT105" s="100">
        <v>9.444444444444434</v>
      </c>
      <c r="AU105" s="100">
        <v>5258.6666666666606</v>
      </c>
      <c r="AV105" s="100">
        <v>7.8461538461538396</v>
      </c>
      <c r="AW105" s="100">
        <v>4368.7384615384572</v>
      </c>
      <c r="AX105" s="100">
        <v>10</v>
      </c>
      <c r="AY105" s="100">
        <v>5568</v>
      </c>
      <c r="AZ105" s="100">
        <v>6.9811320754716837</v>
      </c>
      <c r="BA105" s="100">
        <v>3887.094339622633</v>
      </c>
      <c r="BB105" s="100">
        <v>11</v>
      </c>
      <c r="BC105" s="100">
        <v>6124.7999999999993</v>
      </c>
      <c r="BD105" s="100">
        <v>12</v>
      </c>
      <c r="BE105" s="100">
        <v>6681.5999999999995</v>
      </c>
      <c r="BF105" s="100">
        <v>10</v>
      </c>
      <c r="BG105" s="100">
        <v>5568</v>
      </c>
      <c r="BH105" s="100">
        <v>3.8446601941747236</v>
      </c>
      <c r="BI105" s="100">
        <v>2140.7067961164857</v>
      </c>
      <c r="BJ105" s="100">
        <v>10.867579908675788</v>
      </c>
      <c r="BK105" s="100">
        <v>6051.0684931506785</v>
      </c>
      <c r="BL105" s="100">
        <v>10.331491712707173</v>
      </c>
      <c r="BM105" s="100">
        <v>5752.5745856353533</v>
      </c>
      <c r="BN105" s="100">
        <v>11</v>
      </c>
      <c r="BO105" s="100">
        <v>6124.7999999999993</v>
      </c>
      <c r="BP105" s="100">
        <v>7.3674418604650986</v>
      </c>
      <c r="BQ105" s="100">
        <v>4102.1916279069665</v>
      </c>
      <c r="BR105" s="100">
        <v>8</v>
      </c>
      <c r="BS105" s="100">
        <v>4454.3999999999996</v>
      </c>
      <c r="BT105" s="100">
        <v>9.9496427049944334</v>
      </c>
      <c r="BU105" s="100">
        <v>5539.9610581408997</v>
      </c>
      <c r="BV105" s="100">
        <v>2.6652912560841155</v>
      </c>
      <c r="BW105" s="100">
        <v>1484.0341713876355</v>
      </c>
      <c r="BX105" s="100">
        <v>9.7142857142857046</v>
      </c>
      <c r="BY105" s="100">
        <v>5408.9142857142797</v>
      </c>
      <c r="BZ105" s="100">
        <v>9.739583333333325</v>
      </c>
      <c r="CA105" s="100">
        <v>5422.9999999999945</v>
      </c>
      <c r="CB105" s="100">
        <v>8.1339712918660201</v>
      </c>
      <c r="CC105" s="100">
        <v>4528.9952153109998</v>
      </c>
      <c r="CD105" s="100">
        <v>0.68187509206221431</v>
      </c>
      <c r="CE105" s="100">
        <v>379.66805126024087</v>
      </c>
      <c r="CF105" s="100">
        <v>14</v>
      </c>
      <c r="CG105" s="100">
        <v>7795.1999999999989</v>
      </c>
      <c r="CH105" s="100">
        <v>5.3181818181817997</v>
      </c>
      <c r="CI105" s="100">
        <v>2961.1636363636258</v>
      </c>
      <c r="CJ105" s="100">
        <v>13</v>
      </c>
      <c r="CK105" s="100">
        <v>7238.4</v>
      </c>
      <c r="CL105" s="100">
        <v>12</v>
      </c>
      <c r="CM105" s="100">
        <v>6681.5999999999995</v>
      </c>
      <c r="CN105" s="100">
        <v>9.9332129849073301</v>
      </c>
      <c r="CO105" s="100">
        <v>5530.8129899964006</v>
      </c>
      <c r="CP105" s="100">
        <v>8.1382978723404182</v>
      </c>
      <c r="CQ105" s="100">
        <v>4531.4042553191448</v>
      </c>
      <c r="CR105" s="100">
        <v>8.947368421052623</v>
      </c>
      <c r="CS105" s="100">
        <v>4981.8947368421004</v>
      </c>
      <c r="CT105" s="100">
        <v>8.4297520661156948</v>
      </c>
      <c r="CU105" s="100">
        <v>4693.6859504132181</v>
      </c>
    </row>
    <row r="107" spans="2:99">
      <c r="B107" s="104" t="s">
        <v>276</v>
      </c>
    </row>
    <row r="108" spans="2:99">
      <c r="C108" s="99" t="s">
        <v>277</v>
      </c>
      <c r="D108" s="99" t="s">
        <v>92</v>
      </c>
      <c r="E108" s="99" t="s">
        <v>93</v>
      </c>
      <c r="F108" s="99" t="s">
        <v>94</v>
      </c>
      <c r="G108" s="99" t="s">
        <v>95</v>
      </c>
      <c r="H108" s="99" t="s">
        <v>96</v>
      </c>
      <c r="I108" s="99" t="s">
        <v>97</v>
      </c>
      <c r="J108" s="99" t="s">
        <v>98</v>
      </c>
      <c r="K108" s="99" t="s">
        <v>99</v>
      </c>
      <c r="L108" s="99" t="s">
        <v>100</v>
      </c>
      <c r="M108" s="99" t="s">
        <v>101</v>
      </c>
      <c r="N108" s="99" t="s">
        <v>102</v>
      </c>
      <c r="O108" s="99" t="s">
        <v>103</v>
      </c>
    </row>
    <row r="109" spans="2:99">
      <c r="C109" s="99" t="s">
        <v>126</v>
      </c>
      <c r="D109" s="100">
        <f>SUM(D$6:D$19)+SUM(F$6:F$19)+SUM(H$6:H$19)+SUM(J$6:J$19)</f>
        <v>394.82848802296746</v>
      </c>
      <c r="E109" s="100">
        <f>SUM(L$6:L$19)+SUM(N$6:N$19)+SUM(P$6:P$19)+SUM(R$6:R$19)</f>
        <v>524</v>
      </c>
      <c r="F109" s="100">
        <f>SUM(T$6:T$19)+SUM(V$6:V$19)+SUM(X$6:X$19)+SUM(Z$6:Z$19)</f>
        <v>362.62566407380132</v>
      </c>
      <c r="G109" s="100">
        <f>SUM(AB$6:AB$19)+SUM(AD$6:AD$19)+SUM(AF$6:AF$19)+SUM(AH$6:AH$19)</f>
        <v>279.72873904013323</v>
      </c>
      <c r="H109" s="100">
        <f>SUM(AJ$6:AJ$19)+SUM(AL$6:AL$19)+SUM(AN$6:AN$19)+SUM(AP$6:AP$19)</f>
        <v>535</v>
      </c>
      <c r="I109" s="100">
        <f>SUM(AR$6:AR$19)+SUM(AT$6:AT$19)+SUM(AV$6:AV$19)+SUM(AX$6:AX$19)</f>
        <v>520</v>
      </c>
      <c r="J109" s="100">
        <f>SUM(AZ$6:AZ$19)+SUM(BB$6:BB$19)+SUM(BD$6:BD$19)+SUM(BF$6:BF$19)</f>
        <v>320.32357809493868</v>
      </c>
      <c r="K109" s="100">
        <f>SUM(BH$6:BH$19)+SUM(BJ$6:BJ$19)+SUM(BL$6:BL$19)+SUM(BN$6:BN$19)</f>
        <v>519.68198570201571</v>
      </c>
      <c r="L109" s="100">
        <f>SUM(BP$6:BP$19)+SUM(BR$6:BR$19)+SUM(BT$6:BT$19)+SUM(BV$6:BV$19)</f>
        <v>379.57900910430044</v>
      </c>
      <c r="M109" s="100">
        <f>SUM(BX$6:BX$19)+SUM(BZ$6:BZ$19)+SUM(CB$6:CB$19)+SUM(CD$6:CD$19)</f>
        <v>467</v>
      </c>
      <c r="N109" s="100">
        <f>SUM(CF$6:CF$19)+SUM(CH$6:CH$19)+SUM(CJ$6:CJ$19)+SUM(CL$6:CL$19)</f>
        <v>407.73380463127216</v>
      </c>
      <c r="O109" s="100">
        <f>SUM(CN$6:CN$19)+SUM(CP$6:CP$19)+SUM(CR$6:CR$19)+SUM(CT$6:CT$19)</f>
        <v>533.07422428575819</v>
      </c>
    </row>
    <row r="110" spans="2:99">
      <c r="C110" s="99" t="s">
        <v>127</v>
      </c>
      <c r="D110" s="100">
        <f>SUM(D$20:D$36)+SUM(F$20:F$36)+SUM(H$20:H$36)+SUM(J$20:J$36)</f>
        <v>976.31137159012133</v>
      </c>
      <c r="E110" s="100">
        <f>SUM(L$20:L$36)+SUM(N$20:N$36)+SUM(P$20:P$36)+SUM(R$20:R$36)</f>
        <v>1144</v>
      </c>
      <c r="F110" s="100">
        <f>SUM(T$20:T$36)+SUM(V$20:V$36)+SUM(X$20:X$36)+SUM(Z$20:Z$36)</f>
        <v>918.9499129669241</v>
      </c>
      <c r="G110" s="100">
        <f>SUM(AB$20:AB$36)+SUM(AD$20:AD$36)+SUM(AF$20:AF$36)+SUM(AH$20:AH$36)</f>
        <v>846.79413084605585</v>
      </c>
      <c r="H110" s="100">
        <f>SUM(AJ$20:AJ$36)+SUM(AL$20:AL$36)+SUM(AN$20:AN$36)+SUM(AP$20:AP$36)</f>
        <v>1099</v>
      </c>
      <c r="I110" s="100">
        <f>SUM(AR$20:AR$36)+SUM(AT$20:AT$36)+SUM(AV$20:AV$36)+SUM(AX$20:AX$36)</f>
        <v>1124</v>
      </c>
      <c r="J110" s="100">
        <f>SUM(AZ$20:AZ$36)+SUM(BB$20:BB$36)+SUM(BD$20:BD$36)+SUM(BF$20:BF$36)</f>
        <v>908.97599618913762</v>
      </c>
      <c r="K110" s="100">
        <f>SUM(BH$20:BH$36)+SUM(BJ$20:BJ$36)+SUM(BL$20:BL$36)+SUM(BN$20:BN$36)</f>
        <v>975.02424973788391</v>
      </c>
      <c r="L110" s="100">
        <f>SUM(BP$20:BP$36)+SUM(BR$20:BR$36)+SUM(BT$20:BT$36)+SUM(BV$20:BV$36)</f>
        <v>1138.1601876770733</v>
      </c>
      <c r="M110" s="100">
        <f>SUM(BX$20:BX$36)+SUM(BZ$20:BZ$36)+SUM(CB$20:CB$36)+SUM(CD$20:CD$36)</f>
        <v>1220</v>
      </c>
      <c r="N110" s="100">
        <f>SUM(CF$20:CF$36)+SUM(CH$20:CH$36)+SUM(CJ$20:CJ$36)+SUM(CL$20:CL$36)</f>
        <v>887.22650368792915</v>
      </c>
      <c r="O110" s="100">
        <f>SUM(CN$20:CN$36)+SUM(CP$20:CP$36)+SUM(CR$20:CR$36)+SUM(CT$20:CT$36)</f>
        <v>1090.1502981615029</v>
      </c>
    </row>
    <row r="111" spans="2:99">
      <c r="C111" s="99" t="s">
        <v>128</v>
      </c>
      <c r="D111" s="100">
        <f>SUM(D$37:D$48)+SUM(F$37:F$48)+SUM(H$37:H$48)+SUM(J$37:J$48)</f>
        <v>400.47944289815615</v>
      </c>
      <c r="E111" s="100">
        <f>SUM(L$37:L$48)+SUM(N$37:N$48)+SUM(P$37:P$48)+SUM(R$37:R$48)</f>
        <v>520</v>
      </c>
      <c r="F111" s="100">
        <f>SUM(T$37:T$48)+SUM(V$37:V$48)+SUM(X$37:X$48)+SUM(Z$37:Z$48)</f>
        <v>500.23672979628674</v>
      </c>
      <c r="G111" s="100">
        <f>SUM(AB$37:AB$48)+SUM(AD$37:AD$48)+SUM(AF$37:AF$48)+SUM(AH$37:AH$48)</f>
        <v>405.79289643854997</v>
      </c>
      <c r="H111" s="100">
        <f>SUM(AJ$37:AJ$48)+SUM(AL$37:AL$48)+SUM(AN$37:AN$48)+SUM(AP$37:AP$48)</f>
        <v>521</v>
      </c>
      <c r="I111" s="100">
        <f>SUM(AR$37:AR$48)+SUM(AT$37:AT$48)+SUM(AV$37:AV$48)+SUM(AX$37:AX$48)</f>
        <v>498</v>
      </c>
      <c r="J111" s="100">
        <f>SUM(AZ$37:AZ$48)+SUM(BB$37:BB$48)+SUM(BD$37:BD$48)+SUM(BF$37:BF$48)</f>
        <v>354.2519569520498</v>
      </c>
      <c r="K111" s="100">
        <f>SUM(BH$37:BH$48)+SUM(BJ$37:BJ$48)+SUM(BL$37:BL$48)+SUM(BN$37:BN$48)</f>
        <v>386.46347771994942</v>
      </c>
      <c r="L111" s="100">
        <f>SUM(BP$37:BP$48)+SUM(BR$37:BR$48)+SUM(BT$37:BT$48)+SUM(BV$37:BV$48)</f>
        <v>444.9832307430745</v>
      </c>
      <c r="M111" s="100">
        <f>SUM(BX$37:BX$48)+SUM(BZ$37:BZ$48)+SUM(CB$37:CB$48)+SUM(CD$37:CD$48)</f>
        <v>428</v>
      </c>
      <c r="N111" s="100">
        <f>SUM(CF$37:CF$48)+SUM(CH$37:CH$48)+SUM(CJ$37:CJ$48)+SUM(CL$37:CL$48)</f>
        <v>401.59943216127482</v>
      </c>
      <c r="O111" s="100">
        <f>SUM(CN$37:CN$48)+SUM(CP$37:CP$48)+SUM(CR$37:CR$48)+SUM(CT$37:CT$48)</f>
        <v>544.01324574080331</v>
      </c>
    </row>
    <row r="112" spans="2:99">
      <c r="C112" s="99" t="s">
        <v>129</v>
      </c>
      <c r="D112" s="100">
        <f>SUM(D$49:D$70)+SUM(F$49:F$70)+SUM(H$49:H$70)+SUM(J$49:J$70)</f>
        <v>578.08110105268293</v>
      </c>
      <c r="E112" s="100">
        <f>SUM(L$49:L$70)+SUM(N$49:N$70)+SUM(P$49:P$70)+SUM(R$49:R$70)</f>
        <v>768.22460502043555</v>
      </c>
      <c r="F112" s="100">
        <f>SUM(T$49:T$70)+SUM(V$49:V$70)+SUM(X$49:X$70)+SUM(Z$49:Z$70)</f>
        <v>631.62232306609837</v>
      </c>
      <c r="G112" s="100">
        <f>SUM(AB$49:AB$70)+SUM(AD$49:AD$70)+SUM(AF$49:AF$70)+SUM(AH$49:AH$70)</f>
        <v>656.41363245837169</v>
      </c>
      <c r="H112" s="100">
        <f>SUM(AJ$49:AJ$70)+SUM(AL$49:AL$70)+SUM(AN$49:AN$70)+SUM(AP$49:AP$70)</f>
        <v>766.20728862804106</v>
      </c>
      <c r="I112" s="100">
        <f>SUM(AR$49:AR$70)+SUM(AT$49:AT$70)+SUM(AV$49:AV$70)+SUM(AX$49:AX$70)</f>
        <v>773.20358664250386</v>
      </c>
      <c r="J112" s="100">
        <f>SUM(AZ$49:AZ$70)+SUM(BB$49:BB$70)+SUM(BD$49:BD$70)+SUM(BF$49:BF$70)</f>
        <v>564.24407985747041</v>
      </c>
      <c r="K112" s="100">
        <f>SUM(BH$49:BH$70)+SUM(BJ$49:BJ$70)+SUM(BL$49:BL$70)+SUM(BN$49:BN$70)</f>
        <v>667.55097018891024</v>
      </c>
      <c r="L112" s="100">
        <f>SUM(BP$49:BP$70)+SUM(BR$49:BR$70)+SUM(BT$49:BT$70)+SUM(BV$49:BV$70)</f>
        <v>532.21469220039444</v>
      </c>
      <c r="M112" s="100">
        <f>SUM(BX$49:BX$70)+SUM(BZ$49:BZ$70)+SUM(CB$49:CB$70)+SUM(CD$49:CD$70)</f>
        <v>708.26254796405999</v>
      </c>
      <c r="N112" s="100">
        <f>SUM(CF$49:CF$70)+SUM(CH$49:CH$70)+SUM(CJ$49:CJ$70)+SUM(CL$49:CL$70)</f>
        <v>615.93765149516116</v>
      </c>
      <c r="O112" s="100">
        <f>SUM(CN$49:CN$70)+SUM(CP$49:CP$70)+SUM(CR$49:CR$70)+SUM(CT$49:CT$70)</f>
        <v>820.2805787074542</v>
      </c>
    </row>
    <row r="113" spans="2:15">
      <c r="C113" s="99" t="s">
        <v>130</v>
      </c>
      <c r="D113" s="100">
        <f>SUM(D$71:D$86)+SUM(F$71:F$86)+SUM(H$71:H$86)+SUM(J$71:J$86)</f>
        <v>634.29698071412042</v>
      </c>
      <c r="E113" s="100">
        <f>SUM(L$71:L$86)+SUM(N$71:N$86)+SUM(P$71:P$86)+SUM(R$71:R$86)</f>
        <v>489.65071770334919</v>
      </c>
      <c r="F113" s="100">
        <f>SUM(T$71:T$86)+SUM(V$71:V$86)+SUM(X$71:X$86)+SUM(Z$71:Z$86)</f>
        <v>708</v>
      </c>
      <c r="G113" s="100">
        <f>SUM(AB$71:AB$86)+SUM(AD$71:AD$86)+SUM(AF$71:AF$86)+SUM(AH$71:AH$86)</f>
        <v>720</v>
      </c>
      <c r="H113" s="100">
        <f>SUM(AJ$71:AJ$86)+SUM(AL$71:AL$86)+SUM(AN$71:AN$86)+SUM(AP$71:AP$86)</f>
        <v>625.19955315473555</v>
      </c>
      <c r="I113" s="100">
        <f>SUM(AR$71:AR$86)+SUM(AT$71:AT$86)+SUM(AV$71:AV$86)+SUM(AX$71:AX$86)</f>
        <v>658.74257102496517</v>
      </c>
      <c r="J113" s="100">
        <f>SUM(AZ$71:AZ$86)+SUM(BB$71:BB$86)+SUM(BD$71:BD$86)+SUM(BF$71:BF$86)</f>
        <v>613.43927277156104</v>
      </c>
      <c r="K113" s="100">
        <f>SUM(BH$71:BH$86)+SUM(BJ$71:BJ$86)+SUM(BL$71:BL$86)+SUM(BN$71:BN$86)</f>
        <v>614.90995260663499</v>
      </c>
      <c r="L113" s="100">
        <f>SUM(BP$71:BP$86)+SUM(BR$71:BR$86)+SUM(BT$71:BT$86)+SUM(BV$71:BV$86)</f>
        <v>603.73333810438726</v>
      </c>
      <c r="M113" s="100">
        <f>SUM(BX$71:BX$86)+SUM(BZ$71:BZ$86)+SUM(CB$71:CB$86)+SUM(CD$71:CD$86)</f>
        <v>708</v>
      </c>
      <c r="N113" s="100">
        <f>SUM(CF$71:CF$86)+SUM(CH$71:CH$86)+SUM(CJ$71:CJ$86)+SUM(CL$71:CL$86)</f>
        <v>695.68448720075264</v>
      </c>
      <c r="O113" s="100">
        <f>SUM(CN$71:CN$86)+SUM(CP$71:CP$86)+SUM(CR$71:CR$86)+SUM(CT$71:CT$86)</f>
        <v>639.43746875806005</v>
      </c>
    </row>
    <row r="114" spans="2:15">
      <c r="C114" s="99" t="s">
        <v>131</v>
      </c>
      <c r="D114" s="100">
        <f>SUM(D$87:D$94)+SUM(F$87:F$94)+SUM(H$87:H$94)+SUM(J$87:J$94)</f>
        <v>256</v>
      </c>
      <c r="E114" s="100">
        <f>SUM(L$87:L$94)+SUM(N$87:N$94)+SUM(P$87:P$94)+SUM(R$87:R$94)</f>
        <v>184.1804301907307</v>
      </c>
      <c r="F114" s="100">
        <f>SUM(T$87:T$94)+SUM(V$87:V$94)+SUM(X$87:X$94)+SUM(Z$87:Z$94)</f>
        <v>189.06414601865535</v>
      </c>
      <c r="G114" s="100">
        <f>SUM(AB$87:AB$94)+SUM(AD$87:AD$94)+SUM(AF$87:AF$94)+SUM(AH$87:AH$94)</f>
        <v>249.10396039603933</v>
      </c>
      <c r="H114" s="100">
        <f>SUM(AJ$87:AJ$94)+SUM(AL$87:AL$94)+SUM(AN$87:AN$94)+SUM(AP$87:AP$94)</f>
        <v>208.35247649510498</v>
      </c>
      <c r="I114" s="100">
        <f>SUM(AR$87:AR$94)+SUM(AT$87:AT$94)+SUM(AV$87:AV$94)+SUM(AX$87:AX$94)</f>
        <v>226.88550065599219</v>
      </c>
      <c r="J114" s="100">
        <f>SUM(AZ$87:AZ$94)+SUM(BB$87:BB$94)+SUM(BD$87:BD$94)+SUM(BF$87:BF$94)</f>
        <v>251.64150943396214</v>
      </c>
      <c r="K114" s="100">
        <f>SUM(BH$87:BH$94)+SUM(BJ$87:BJ$94)+SUM(BL$87:BL$94)+SUM(BN$87:BN$94)</f>
        <v>189.16929977513047</v>
      </c>
      <c r="L114" s="100">
        <f>SUM(BP$87:BP$94)+SUM(BR$87:BR$94)+SUM(BT$87:BT$94)+SUM(BV$87:BV$94)</f>
        <v>213.24659850924888</v>
      </c>
      <c r="M114" s="100">
        <f>SUM(BX$87:BX$94)+SUM(BZ$87:BZ$94)+SUM(CB$87:CB$94)+SUM(CD$87:CD$94)</f>
        <v>170.82328736227606</v>
      </c>
      <c r="N114" s="100">
        <f>SUM(CF$87:CF$94)+SUM(CH$87:CH$94)+SUM(CJ$87:CJ$94)+SUM(CL$87:CL$94)</f>
        <v>294.22727272727263</v>
      </c>
      <c r="O114" s="100">
        <f>SUM(CN$87:CN$94)+SUM(CP$87:CP$94)+SUM(CR$87:CR$94)+SUM(CT$87:CT$94)</f>
        <v>263.49031180529573</v>
      </c>
    </row>
    <row r="115" spans="2:15">
      <c r="C115" s="99" t="s">
        <v>132</v>
      </c>
      <c r="D115" s="100">
        <f>SUM(D$95:D$105)+SUM(F$95:F$105)+SUM(H$95:H$105)+SUM(J$95:J$105)</f>
        <v>390</v>
      </c>
      <c r="E115" s="100">
        <f>SUM(L$95:L$105)+SUM(N$95:N$105)+SUM(P$95:P$105)+SUM(R$95:R$105)</f>
        <v>408.61111896029331</v>
      </c>
      <c r="F115" s="100">
        <f>SUM(T$95:T$105)+SUM(V$95:V$105)+SUM(X$95:X$105)+SUM(Z$95:Z$105)</f>
        <v>300.16787015092638</v>
      </c>
      <c r="G115" s="100">
        <f>SUM(AB$95:AB$105)+SUM(AD$95:AD$105)+SUM(AF$95:AF$105)+SUM(AH$95:AH$105)</f>
        <v>414.44059405940538</v>
      </c>
      <c r="H115" s="100">
        <f>SUM(AJ$95:AJ$105)+SUM(AL$95:AL$105)+SUM(AN$95:AN$105)+SUM(AP$95:AP$105)</f>
        <v>377.44194048657528</v>
      </c>
      <c r="I115" s="100">
        <f>SUM(AR$95:AR$105)+SUM(AT$95:AT$105)+SUM(AV$95:AV$105)+SUM(AX$95:AX$105)</f>
        <v>384.16834167653792</v>
      </c>
      <c r="J115" s="100">
        <f>SUM(AZ$95:AZ$105)+SUM(BB$95:BB$105)+SUM(BD$95:BD$105)+SUM(BF$95:BF$105)</f>
        <v>440.39622641509419</v>
      </c>
      <c r="K115" s="100">
        <f>SUM(BH$95:BH$105)+SUM(BJ$95:BJ$105)+SUM(BL$95:BL$105)+SUM(BN$95:BN$105)</f>
        <v>379.93297495332206</v>
      </c>
      <c r="L115" s="100">
        <f>SUM(BP$95:BP$105)+SUM(BR$95:BR$105)+SUM(BT$95:BT$105)+SUM(BV$95:BV$105)</f>
        <v>278.31379071749183</v>
      </c>
      <c r="M115" s="100">
        <f>SUM(BX$95:BX$105)+SUM(BZ$95:BZ$105)+SUM(CB$95:CB$105)+SUM(CD$95:CD$105)</f>
        <v>306.24990497551624</v>
      </c>
      <c r="N115" s="100">
        <f>SUM(CF$95:CF$105)+SUM(CH$95:CH$105)+SUM(CJ$95:CJ$105)+SUM(CL$95:CL$105)</f>
        <v>454.81818181818164</v>
      </c>
      <c r="O115" s="100">
        <f>SUM(CN$95:CN$105)+SUM(CP$95:CP$105)+SUM(CR$95:CR$105)+SUM(CT$95:CT$105)</f>
        <v>379.46467699609889</v>
      </c>
    </row>
    <row r="116" spans="2:15">
      <c r="C116" s="99" t="s">
        <v>278</v>
      </c>
      <c r="D116" s="100">
        <f t="shared" ref="D116:O116" si="0">SUM(D$109:D$115)</f>
        <v>3629.9973842780482</v>
      </c>
      <c r="E116" s="100">
        <f t="shared" si="0"/>
        <v>4038.6668718748087</v>
      </c>
      <c r="F116" s="100">
        <f t="shared" si="0"/>
        <v>3610.6666460726919</v>
      </c>
      <c r="G116" s="100">
        <f t="shared" si="0"/>
        <v>3572.2739532385558</v>
      </c>
      <c r="H116" s="100">
        <f t="shared" si="0"/>
        <v>4132.2012587644567</v>
      </c>
      <c r="I116" s="100">
        <f t="shared" si="0"/>
        <v>4184.9999999999991</v>
      </c>
      <c r="J116" s="100">
        <f t="shared" si="0"/>
        <v>3453.2726197142142</v>
      </c>
      <c r="K116" s="100">
        <f t="shared" si="0"/>
        <v>3732.7329106838465</v>
      </c>
      <c r="L116" s="100">
        <f t="shared" si="0"/>
        <v>3590.230847055971</v>
      </c>
      <c r="M116" s="100">
        <f t="shared" si="0"/>
        <v>4008.3357403018522</v>
      </c>
      <c r="N116" s="100">
        <f t="shared" si="0"/>
        <v>3757.2273337218444</v>
      </c>
      <c r="O116" s="100">
        <f t="shared" si="0"/>
        <v>4269.910804454973</v>
      </c>
    </row>
    <row r="118" spans="2:15">
      <c r="B118" s="103" t="s">
        <v>279</v>
      </c>
    </row>
    <row r="119" spans="2:15">
      <c r="C119" s="99" t="s">
        <v>277</v>
      </c>
      <c r="D119" s="99" t="s">
        <v>92</v>
      </c>
      <c r="E119" s="99" t="s">
        <v>93</v>
      </c>
      <c r="F119" s="99" t="s">
        <v>94</v>
      </c>
      <c r="G119" s="99" t="s">
        <v>95</v>
      </c>
      <c r="H119" s="99" t="s">
        <v>96</v>
      </c>
      <c r="I119" s="99" t="s">
        <v>97</v>
      </c>
      <c r="J119" s="99" t="s">
        <v>98</v>
      </c>
      <c r="K119" s="99" t="s">
        <v>99</v>
      </c>
      <c r="L119" s="99" t="s">
        <v>100</v>
      </c>
      <c r="M119" s="99" t="s">
        <v>101</v>
      </c>
      <c r="N119" s="99" t="s">
        <v>102</v>
      </c>
      <c r="O119" s="99" t="s">
        <v>103</v>
      </c>
    </row>
    <row r="120" spans="2:15">
      <c r="C120" s="99" t="s">
        <v>126</v>
      </c>
      <c r="D120" s="100">
        <f>D109*pricing!D15*2000</f>
        <v>2763799.4161607721</v>
      </c>
      <c r="E120" s="100">
        <f>E109*pricing!E15*2000</f>
        <v>3668000</v>
      </c>
      <c r="F120" s="100">
        <f>F109*pricing!F15*2000</f>
        <v>2538379.6485166093</v>
      </c>
      <c r="G120" s="100">
        <f>G109*pricing!G15*2000</f>
        <v>1958101.1732809327</v>
      </c>
      <c r="H120" s="100">
        <f>H109*pricing!H15*2000</f>
        <v>3745000</v>
      </c>
      <c r="I120" s="100">
        <f>I109*pricing!I15*2000</f>
        <v>3640000</v>
      </c>
      <c r="J120" s="100">
        <f>J109*pricing!J15*2000</f>
        <v>2242265.0466645709</v>
      </c>
      <c r="K120" s="100">
        <f>K109*pricing!K15*2000</f>
        <v>3637773.8999141101</v>
      </c>
      <c r="L120" s="100">
        <f>L109*pricing!L15*2000</f>
        <v>2657053.063730103</v>
      </c>
      <c r="M120" s="100">
        <f>M109*pricing!M15*2000</f>
        <v>3269000</v>
      </c>
      <c r="N120" s="100">
        <f>N109*pricing!N15*2000</f>
        <v>2854136.6324189054</v>
      </c>
      <c r="O120" s="100">
        <f>O109*pricing!O15*2000</f>
        <v>3731519.5700003072</v>
      </c>
    </row>
    <row r="121" spans="2:15">
      <c r="C121" s="99" t="s">
        <v>127</v>
      </c>
      <c r="D121" s="100">
        <f>D110*pricing!D16*2000</f>
        <v>6834179.6011308488</v>
      </c>
      <c r="E121" s="100">
        <f>E110*pricing!E16*2000</f>
        <v>8008000</v>
      </c>
      <c r="F121" s="100">
        <f>F110*pricing!F16*2000</f>
        <v>6432649.3907684693</v>
      </c>
      <c r="G121" s="100">
        <f>G110*pricing!G16*2000</f>
        <v>5927558.9159223912</v>
      </c>
      <c r="H121" s="100">
        <f>H110*pricing!H16*2000</f>
        <v>7693000</v>
      </c>
      <c r="I121" s="100">
        <f>I110*pricing!I16*2000</f>
        <v>7868000</v>
      </c>
      <c r="J121" s="100">
        <f>J110*pricing!J16*2000</f>
        <v>6362831.9733239636</v>
      </c>
      <c r="K121" s="100">
        <f>K110*pricing!K16*2000</f>
        <v>6825169.7481651874</v>
      </c>
      <c r="L121" s="100">
        <f>L110*pricing!L16*2000</f>
        <v>7967121.313739513</v>
      </c>
      <c r="M121" s="100">
        <f>M110*pricing!M16*2000</f>
        <v>8540000</v>
      </c>
      <c r="N121" s="100">
        <f>N110*pricing!N16*2000</f>
        <v>6210585.5258155046</v>
      </c>
      <c r="O121" s="100">
        <f>O110*pricing!O16*2000</f>
        <v>7631052.0871305196</v>
      </c>
    </row>
    <row r="122" spans="2:15">
      <c r="C122" s="99" t="s">
        <v>128</v>
      </c>
      <c r="D122" s="100">
        <f>D111*pricing!D17*2000</f>
        <v>2803356.1002870928</v>
      </c>
      <c r="E122" s="100">
        <f>E111*pricing!E17*2000</f>
        <v>3640000</v>
      </c>
      <c r="F122" s="100">
        <f>F111*pricing!F17*2000</f>
        <v>3501657.1085740072</v>
      </c>
      <c r="G122" s="100">
        <f>G111*pricing!G17*2000</f>
        <v>2840550.2750698496</v>
      </c>
      <c r="H122" s="100">
        <f>H111*pricing!H17*2000</f>
        <v>3647000</v>
      </c>
      <c r="I122" s="100">
        <f>I111*pricing!I17*2000</f>
        <v>3486000</v>
      </c>
      <c r="J122" s="100">
        <f>J111*pricing!J17*2000</f>
        <v>2479763.6986643486</v>
      </c>
      <c r="K122" s="100">
        <f>K111*pricing!K17*2000</f>
        <v>2705244.344039646</v>
      </c>
      <c r="L122" s="100">
        <f>L111*pricing!L17*2000</f>
        <v>3114882.6152015217</v>
      </c>
      <c r="M122" s="100">
        <f>M111*pricing!M17*2000</f>
        <v>2996000</v>
      </c>
      <c r="N122" s="100">
        <f>N111*pricing!N17*2000</f>
        <v>2811196.0251289238</v>
      </c>
      <c r="O122" s="100">
        <f>O111*pricing!O17*2000</f>
        <v>3808092.720185623</v>
      </c>
    </row>
    <row r="123" spans="2:15">
      <c r="C123" s="99" t="s">
        <v>129</v>
      </c>
      <c r="D123" s="100">
        <f>D112*pricing!D18*2000</f>
        <v>4046567.7073687804</v>
      </c>
      <c r="E123" s="100">
        <f>E112*pricing!E18*2000</f>
        <v>5377572.2351430487</v>
      </c>
      <c r="F123" s="100">
        <f>F112*pricing!F18*2000</f>
        <v>4421356.2614626894</v>
      </c>
      <c r="G123" s="100">
        <f>G112*pricing!G18*2000</f>
        <v>4594895.4272086024</v>
      </c>
      <c r="H123" s="100">
        <f>H112*pricing!H18*2000</f>
        <v>5363451.0203962876</v>
      </c>
      <c r="I123" s="100">
        <f>I112*pricing!I18*2000</f>
        <v>5412425.1064975271</v>
      </c>
      <c r="J123" s="100">
        <f>J112*pricing!J18*2000</f>
        <v>3949708.5590022928</v>
      </c>
      <c r="K123" s="100">
        <f>K112*pricing!K18*2000</f>
        <v>4672856.7913223719</v>
      </c>
      <c r="L123" s="100">
        <f>L112*pricing!L18*2000</f>
        <v>3725502.8454027609</v>
      </c>
      <c r="M123" s="100">
        <f>M112*pricing!M18*2000</f>
        <v>4957837.8357484201</v>
      </c>
      <c r="N123" s="100">
        <f>N112*pricing!N18*2000</f>
        <v>4311563.5604661284</v>
      </c>
      <c r="O123" s="100">
        <f>O112*pricing!O18*2000</f>
        <v>5741964.0509521794</v>
      </c>
    </row>
    <row r="124" spans="2:15">
      <c r="C124" s="99" t="s">
        <v>130</v>
      </c>
      <c r="D124" s="100">
        <f>D113*pricing!D19*2000</f>
        <v>4440078.8649988426</v>
      </c>
      <c r="E124" s="100">
        <f>E113*pricing!E19*2000</f>
        <v>3427555.0239234446</v>
      </c>
      <c r="F124" s="100">
        <f>F113*pricing!F19*2000</f>
        <v>4956000</v>
      </c>
      <c r="G124" s="100">
        <f>G113*pricing!G19*2000</f>
        <v>5040000</v>
      </c>
      <c r="H124" s="100">
        <f>H113*pricing!H19*2000</f>
        <v>4376396.8720831489</v>
      </c>
      <c r="I124" s="100">
        <f>I113*pricing!I19*2000</f>
        <v>4611197.9971747557</v>
      </c>
      <c r="J124" s="100">
        <f>J113*pricing!J19*2000</f>
        <v>4294074.9094009269</v>
      </c>
      <c r="K124" s="100">
        <f>K113*pricing!K19*2000</f>
        <v>4304369.6682464452</v>
      </c>
      <c r="L124" s="100">
        <f>L113*pricing!L19*2000</f>
        <v>4226133.3667307105</v>
      </c>
      <c r="M124" s="100">
        <f>M113*pricing!M19*2000</f>
        <v>4956000</v>
      </c>
      <c r="N124" s="100">
        <f>N113*pricing!N19*2000</f>
        <v>4869791.4104052689</v>
      </c>
      <c r="O124" s="100">
        <f>O113*pricing!O19*2000</f>
        <v>4476062.2813064205</v>
      </c>
    </row>
    <row r="125" spans="2:15">
      <c r="C125" s="99" t="s">
        <v>131</v>
      </c>
      <c r="D125" s="100">
        <f>D114*pricing!D20*2000</f>
        <v>1792000</v>
      </c>
      <c r="E125" s="100">
        <f>E114*pricing!E20*2000</f>
        <v>1289263.0113351149</v>
      </c>
      <c r="F125" s="100">
        <f>F114*pricing!F20*2000</f>
        <v>1323449.0221305876</v>
      </c>
      <c r="G125" s="100">
        <f>G114*pricing!G20*2000</f>
        <v>1743727.7227722753</v>
      </c>
      <c r="H125" s="100">
        <f>H114*pricing!H20*2000</f>
        <v>1458467.3354657348</v>
      </c>
      <c r="I125" s="100">
        <f>I114*pricing!I20*2000</f>
        <v>1588198.5045919453</v>
      </c>
      <c r="J125" s="100">
        <f>J114*pricing!J20*2000</f>
        <v>1761490.566037735</v>
      </c>
      <c r="K125" s="100">
        <f>K114*pricing!K20*2000</f>
        <v>1324185.0984259134</v>
      </c>
      <c r="L125" s="100">
        <f>L114*pricing!L20*2000</f>
        <v>1492726.1895647421</v>
      </c>
      <c r="M125" s="100">
        <f>M114*pricing!M20*2000</f>
        <v>1195763.0115359325</v>
      </c>
      <c r="N125" s="100">
        <f>N114*pricing!N20*2000</f>
        <v>2059590.9090909085</v>
      </c>
      <c r="O125" s="100">
        <f>O114*pricing!O20*2000</f>
        <v>1844432.1826370701</v>
      </c>
    </row>
    <row r="126" spans="2:15">
      <c r="C126" s="99" t="s">
        <v>132</v>
      </c>
      <c r="D126" s="100">
        <f>D115*pricing!D21*2000</f>
        <v>2730000</v>
      </c>
      <c r="E126" s="100">
        <f>E115*pricing!E21*2000</f>
        <v>2860277.8327220529</v>
      </c>
      <c r="F126" s="100">
        <f>F115*pricing!F21*2000</f>
        <v>2101175.0910564847</v>
      </c>
      <c r="G126" s="100">
        <f>G115*pricing!G21*2000</f>
        <v>2901084.1584158381</v>
      </c>
      <c r="H126" s="100">
        <f>H115*pricing!H21*2000</f>
        <v>2642093.5834060269</v>
      </c>
      <c r="I126" s="100">
        <f>I115*pricing!I21*2000</f>
        <v>2689178.3917357652</v>
      </c>
      <c r="J126" s="100">
        <f>J115*pricing!J21*2000</f>
        <v>3082773.5849056593</v>
      </c>
      <c r="K126" s="100">
        <f>K115*pricing!K21*2000</f>
        <v>2659530.8246732545</v>
      </c>
      <c r="L126" s="100">
        <f>L115*pricing!L21*2000</f>
        <v>1948196.5350224427</v>
      </c>
      <c r="M126" s="100">
        <f>M115*pricing!M21*2000</f>
        <v>2143749.3348286138</v>
      </c>
      <c r="N126" s="100">
        <f>N115*pricing!N21*2000</f>
        <v>3183727.2727272715</v>
      </c>
      <c r="O126" s="100">
        <f>O115*pricing!O21*2000</f>
        <v>2656252.7389726918</v>
      </c>
    </row>
    <row r="127" spans="2:15">
      <c r="C127" s="99" t="s">
        <v>278</v>
      </c>
      <c r="D127" s="100">
        <f t="shared" ref="D127:O127" si="1">SUM(D$120:D$126)</f>
        <v>25409981.689946335</v>
      </c>
      <c r="E127" s="100">
        <f t="shared" si="1"/>
        <v>28270668.103123665</v>
      </c>
      <c r="F127" s="100">
        <f t="shared" si="1"/>
        <v>25274666.522508845</v>
      </c>
      <c r="G127" s="100">
        <f t="shared" si="1"/>
        <v>25005917.672669891</v>
      </c>
      <c r="H127" s="100">
        <f t="shared" si="1"/>
        <v>28925408.811351199</v>
      </c>
      <c r="I127" s="100">
        <f t="shared" si="1"/>
        <v>29294999.999999993</v>
      </c>
      <c r="J127" s="100">
        <f t="shared" si="1"/>
        <v>24172908.337999497</v>
      </c>
      <c r="K127" s="100">
        <f t="shared" si="1"/>
        <v>26129130.374786928</v>
      </c>
      <c r="L127" s="100">
        <f t="shared" si="1"/>
        <v>25131615.92939179</v>
      </c>
      <c r="M127" s="100">
        <f t="shared" si="1"/>
        <v>28058350.182112966</v>
      </c>
      <c r="N127" s="100">
        <f t="shared" si="1"/>
        <v>26300591.336052909</v>
      </c>
      <c r="O127" s="100">
        <f t="shared" si="1"/>
        <v>29889375.631184809</v>
      </c>
    </row>
    <row r="129" spans="2:15">
      <c r="B129" s="103" t="s">
        <v>280</v>
      </c>
    </row>
    <row r="130" spans="2:15">
      <c r="C130" s="105" t="s">
        <v>277</v>
      </c>
      <c r="D130" s="105" t="s">
        <v>92</v>
      </c>
      <c r="E130" s="105" t="s">
        <v>93</v>
      </c>
      <c r="F130" s="105" t="s">
        <v>94</v>
      </c>
      <c r="G130" s="105" t="s">
        <v>95</v>
      </c>
      <c r="H130" s="105" t="s">
        <v>96</v>
      </c>
      <c r="I130" s="105" t="s">
        <v>97</v>
      </c>
      <c r="J130" s="105" t="s">
        <v>98</v>
      </c>
      <c r="K130" s="105" t="s">
        <v>99</v>
      </c>
      <c r="L130" s="105" t="s">
        <v>100</v>
      </c>
      <c r="M130" s="105" t="s">
        <v>101</v>
      </c>
      <c r="N130" s="105" t="s">
        <v>102</v>
      </c>
      <c r="O130" s="105" t="s">
        <v>103</v>
      </c>
    </row>
    <row r="131" spans="2:15">
      <c r="C131" s="105" t="s">
        <v>126</v>
      </c>
      <c r="D131" s="106">
        <f>SUM(E$6:E$19)+SUM(G$6:G$19)+SUM(I$6:I$19)+SUM(K$6:K$19)</f>
        <v>199777.32889171341</v>
      </c>
      <c r="E131" s="106">
        <f>SUM(M$6:M$19)+SUM(O$6:O$19)+SUM(Q$6:Q$19)+SUM(S$6:S$19)</f>
        <v>264274.8</v>
      </c>
      <c r="F131" s="106">
        <f>SUM(U$6:U$19)+SUM(W$6:W$19)+SUM(Y$6:Y$19)+SUM(AA$6:AA$19)</f>
        <v>183668.32586257707</v>
      </c>
      <c r="G131" s="106">
        <f>SUM(AC$6:AC$19)+SUM(AE$6:AE$19)+SUM(AG$6:AG$19)+SUM(AI$6:AI$19)</f>
        <v>141445.23115396779</v>
      </c>
      <c r="H131" s="106">
        <f>SUM(AK$6:AK$19)+SUM(AM$6:AM$19)+SUM(AO$6:AO$19)+SUM(AQ$6:AQ$19)</f>
        <v>269218.8</v>
      </c>
      <c r="I131" s="106">
        <f>SUM(AS$6:AS$19)+SUM(AU$6:AU$19)+SUM(AW$6:AW$19)+SUM(AY$6:AY$19)</f>
        <v>262123.19999999998</v>
      </c>
      <c r="J131" s="106">
        <f>SUM(BA$6:BA$19)+SUM(BC$6:BC$19)+SUM(BE$6:BE$19)+SUM(BG$6:BG$19)</f>
        <v>163391.63815230504</v>
      </c>
      <c r="K131" s="106">
        <f>SUM(BI$6:BI$19)+SUM(BK$6:BK$19)+SUM(BM$6:BM$19)+SUM(BO$6:BO$19)</f>
        <v>263106.00001748308</v>
      </c>
      <c r="L131" s="106">
        <f>SUM(BQ$6:BQ$19)+SUM(BS$6:BS$19)+SUM(BU$6:BU$19)+SUM(BW$6:BW$19)</f>
        <v>193130.12546104673</v>
      </c>
      <c r="M131" s="106">
        <f>SUM(BY$6:BY$19)+SUM(CA$6:CA$19)+SUM(CC$6:CC$19)+SUM(CE$6:CE$19)</f>
        <v>236389.19999999998</v>
      </c>
      <c r="N131" s="106">
        <f>SUM(CG$6:CG$19)+SUM(CI$6:CI$19)+SUM(CK$6:CK$19)+SUM(CM$6:CM$19)</f>
        <v>205833.6351236981</v>
      </c>
      <c r="O131" s="106">
        <f>SUM(CO$6:CO$19)+SUM(CQ$6:CQ$19)+SUM(CS$6:CS$19)+SUM(CU$6:CU$19)</f>
        <v>269409.53667691129</v>
      </c>
    </row>
    <row r="132" spans="2:15">
      <c r="C132" s="105" t="s">
        <v>127</v>
      </c>
      <c r="D132" s="106">
        <f>SUM(E$20:E$36)+SUM(G$20:G$36)+SUM(I$20:I$36)+SUM(K$20:K$36)</f>
        <v>417720.25847366429</v>
      </c>
      <c r="E132" s="106">
        <f>SUM(M$20:M$36)+SUM(O$20:O$36)+SUM(Q$20:Q$36)+SUM(S$20:S$36)</f>
        <v>488980.79999999993</v>
      </c>
      <c r="F132" s="106">
        <f>SUM(U$20:U$36)+SUM(W$20:W$36)+SUM(Y$20:Y$36)+SUM(AA$20:AA$36)</f>
        <v>394916.62008264824</v>
      </c>
      <c r="G132" s="106">
        <f>SUM(AC$20:AC$36)+SUM(AE$20:AE$36)+SUM(AG$20:AG$36)+SUM(AI$20:AI$36)</f>
        <v>363905.54572419322</v>
      </c>
      <c r="H132" s="106">
        <f>SUM(AK$20:AK$36)+SUM(AM$20:AM$36)+SUM(AO$20:AO$36)+SUM(AQ$20:AQ$36)</f>
        <v>469663.19999999995</v>
      </c>
      <c r="I132" s="106">
        <f>SUM(AS$20:AS$36)+SUM(AU$20:AU$36)+SUM(AW$20:AW$36)+SUM(AY$20:AY$36)</f>
        <v>482465.99999999994</v>
      </c>
      <c r="J132" s="106">
        <f>SUM(BA$20:BA$36)+SUM(BC$20:BC$36)+SUM(BE$20:BE$36)+SUM(BG$20:BG$36)</f>
        <v>390843.53670341882</v>
      </c>
      <c r="K132" s="106">
        <f>SUM(BI$20:BI$36)+SUM(BK$20:BK$36)+SUM(BM$20:BM$36)+SUM(BO$20:BO$36)</f>
        <v>415997.00971554115</v>
      </c>
      <c r="L132" s="106">
        <f>SUM(BQ$20:BQ$36)+SUM(BS$20:BS$36)+SUM(BU$20:BU$36)+SUM(BW$20:BW$36)</f>
        <v>484244.59646766342</v>
      </c>
      <c r="M132" s="106">
        <f>SUM(BY$20:BY$36)+SUM(CA$20:CA$36)+SUM(CC$20:CC$36)+SUM(CE$20:CE$36)</f>
        <v>521182.80000000005</v>
      </c>
      <c r="N132" s="106">
        <f>SUM(CG$20:CG$36)+SUM(CI$20:CI$36)+SUM(CK$20:CK$36)+SUM(CM$20:CM$36)</f>
        <v>380255.20142999501</v>
      </c>
      <c r="O132" s="106">
        <f>SUM(CO$20:CO$36)+SUM(CQ$20:CQ$36)+SUM(CS$20:CS$36)+SUM(CU$20:CU$36)</f>
        <v>465706.45754262502</v>
      </c>
    </row>
    <row r="133" spans="2:15">
      <c r="C133" s="105" t="s">
        <v>128</v>
      </c>
      <c r="D133" s="106">
        <f>SUM(E$37:E$48)+SUM(G$37:G$48)+SUM(I$37:I$48)+SUM(K$37:K$48)</f>
        <v>421093.39618891419</v>
      </c>
      <c r="E133" s="106">
        <f>SUM(M$37:M$48)+SUM(O$37:O$48)+SUM(Q$37:Q$48)+SUM(S$37:S$48)</f>
        <v>548172</v>
      </c>
      <c r="F133" s="106">
        <f>SUM(U$37:U$48)+SUM(W$37:W$48)+SUM(Y$37:Y$48)+SUM(AA$37:AA$48)</f>
        <v>525273.5149016967</v>
      </c>
      <c r="G133" s="106">
        <f>SUM(AC$37:AC$48)+SUM(AE$37:AE$48)+SUM(AG$37:AG$48)+SUM(AI$37:AI$48)</f>
        <v>427727.13530303771</v>
      </c>
      <c r="H133" s="106">
        <f>SUM(AK$37:AK$48)+SUM(AM$37:AM$48)+SUM(AO$37:AO$48)+SUM(AQ$37:AQ$48)</f>
        <v>546937.19999999995</v>
      </c>
      <c r="I133" s="106">
        <f>SUM(AS$37:AS$48)+SUM(AU$37:AU$48)+SUM(AW$37:AW$48)+SUM(AY$37:AY$48)</f>
        <v>523838.4</v>
      </c>
      <c r="J133" s="106">
        <f>SUM(BA$37:BA$48)+SUM(BC$37:BC$48)+SUM(BE$37:BE$48)+SUM(BG$37:BG$48)</f>
        <v>371283.18075210904</v>
      </c>
      <c r="K133" s="106">
        <f>SUM(BI$37:BI$48)+SUM(BK$37:BK$48)+SUM(BM$37:BM$48)+SUM(BO$37:BO$48)</f>
        <v>407031.13974111615</v>
      </c>
      <c r="L133" s="106">
        <f>SUM(BQ$37:BQ$48)+SUM(BS$37:BS$48)+SUM(BU$37:BU$48)+SUM(BW$37:BW$48)</f>
        <v>468397.49356425984</v>
      </c>
      <c r="M133" s="106">
        <f>SUM(BY$37:BY$48)+SUM(CA$37:CA$48)+SUM(CC$37:CC$48)+SUM(CE$37:CE$48)</f>
        <v>449821.19999999995</v>
      </c>
      <c r="N133" s="106">
        <f>SUM(CG$37:CG$48)+SUM(CI$37:CI$48)+SUM(CK$37:CK$48)+SUM(CM$37:CM$48)</f>
        <v>422403.49397674843</v>
      </c>
      <c r="O133" s="106">
        <f>SUM(CO$37:CO$48)+SUM(CQ$37:CQ$48)+SUM(CS$37:CS$48)+SUM(CU$37:CU$48)</f>
        <v>571827.22151157423</v>
      </c>
    </row>
    <row r="134" spans="2:15">
      <c r="C134" s="105" t="s">
        <v>129</v>
      </c>
      <c r="D134" s="106">
        <f>SUM(E$49:E$70)+SUM(G$49:G$70)+SUM(I$49:I$70)+SUM(K$49:K$70)</f>
        <v>489941.9257201429</v>
      </c>
      <c r="E134" s="106">
        <f>SUM(M$49:M$70)+SUM(O$49:O$70)+SUM(Q$49:Q$70)+SUM(S$49:S$70)</f>
        <v>639776.6455919398</v>
      </c>
      <c r="F134" s="106">
        <f>SUM(U$49:U$70)+SUM(W$49:W$70)+SUM(Y$49:Y$70)+SUM(AA$49:AA$70)</f>
        <v>529597.67356182216</v>
      </c>
      <c r="G134" s="106">
        <f>SUM(AC$49:AC$70)+SUM(AE$49:AE$70)+SUM(AG$49:AG$70)+SUM(AI$49:AI$70)</f>
        <v>562923.13187661837</v>
      </c>
      <c r="H134" s="106">
        <f>SUM(AK$49:AK$70)+SUM(AM$49:AM$70)+SUM(AO$49:AO$70)+SUM(AQ$49:AQ$70)</f>
        <v>639673.01150166267</v>
      </c>
      <c r="I134" s="106">
        <f>SUM(AS$49:AS$70)+SUM(AU$49:AU$70)+SUM(AW$49:AW$70)+SUM(AY$49:AY$70)</f>
        <v>645645.74807993125</v>
      </c>
      <c r="J134" s="106">
        <f>SUM(BA$49:BA$70)+SUM(BC$49:BC$70)+SUM(BE$49:BE$70)+SUM(BG$49:BG$70)</f>
        <v>487435.69228932925</v>
      </c>
      <c r="K134" s="106">
        <f>SUM(BI$49:BI$70)+SUM(BK$49:BK$70)+SUM(BM$49:BM$70)+SUM(BO$49:BO$70)</f>
        <v>558529.63637690176</v>
      </c>
      <c r="L134" s="106">
        <f>SUM(BQ$49:BQ$70)+SUM(BS$49:BS$70)+SUM(BU$49:BU$70)+SUM(BW$49:BW$70)</f>
        <v>440928.03949789889</v>
      </c>
      <c r="M134" s="106">
        <f>SUM(BY$49:BY$70)+SUM(CA$49:CA$70)+SUM(CC$49:CC$70)+SUM(CE$49:CE$70)</f>
        <v>589099.02075457945</v>
      </c>
      <c r="N134" s="106">
        <f>SUM(CG$49:CG$70)+SUM(CI$49:CI$70)+SUM(CK$49:CK$70)+SUM(CM$49:CM$70)</f>
        <v>523399.73456824524</v>
      </c>
      <c r="O134" s="106">
        <f>SUM(CO$49:CO$70)+SUM(CQ$49:CQ$70)+SUM(CS$49:CS$70)+SUM(CU$49:CU$70)</f>
        <v>683034.98584421829</v>
      </c>
    </row>
    <row r="135" spans="2:15">
      <c r="C135" s="105" t="s">
        <v>130</v>
      </c>
      <c r="D135" s="106">
        <f>SUM(E$71:E$86)+SUM(G$71:G$86)+SUM(I$71:I$86)+SUM(K$71:K$86)</f>
        <v>354890.8590278675</v>
      </c>
      <c r="E135" s="106">
        <f>SUM(M$71:M$86)+SUM(O$71:O$86)+SUM(Q$71:Q$86)+SUM(S$71:S$86)</f>
        <v>275236.75980861241</v>
      </c>
      <c r="F135" s="106">
        <f>SUM(U$71:U$86)+SUM(W$71:W$86)+SUM(Y$71:Y$86)+SUM(AA$71:AA$86)</f>
        <v>395740.80000000005</v>
      </c>
      <c r="G135" s="106">
        <f>SUM(AC$71:AC$86)+SUM(AE$71:AE$86)+SUM(AG$71:AG$86)+SUM(AI$71:AI$86)</f>
        <v>403087.19999999995</v>
      </c>
      <c r="H135" s="106">
        <f>SUM(AK$71:AK$86)+SUM(AM$71:AM$86)+SUM(AO$71:AO$86)+SUM(AQ$71:AQ$86)</f>
        <v>352006.42607530602</v>
      </c>
      <c r="I135" s="106">
        <f>SUM(AS$71:AS$86)+SUM(AU$71:AU$86)+SUM(AW$71:AW$86)+SUM(AY$71:AY$86)</f>
        <v>370868.81874022883</v>
      </c>
      <c r="J135" s="106">
        <f>SUM(BA$71:BA$86)+SUM(BC$71:BC$86)+SUM(BE$71:BE$86)+SUM(BG$71:BG$86)</f>
        <v>342824.28726735641</v>
      </c>
      <c r="K135" s="106">
        <f>SUM(BI$71:BI$86)+SUM(BK$71:BK$86)+SUM(BM$71:BM$86)+SUM(BO$71:BO$86)</f>
        <v>346093.55260663503</v>
      </c>
      <c r="L135" s="106">
        <f>SUM(BQ$71:BQ$86)+SUM(BS$71:BS$86)+SUM(BU$71:BU$86)+SUM(BW$71:BW$86)</f>
        <v>338648.72572899866</v>
      </c>
      <c r="M135" s="106">
        <f>SUM(BY$71:BY$86)+SUM(CA$71:CA$86)+SUM(CC$71:CC$86)+SUM(CE$71:CE$86)</f>
        <v>398733.6</v>
      </c>
      <c r="N135" s="106">
        <f>SUM(CG$71:CG$86)+SUM(CI$71:CI$86)+SUM(CK$71:CK$86)+SUM(CM$71:CM$86)</f>
        <v>389946.08017792832</v>
      </c>
      <c r="O135" s="106">
        <f>SUM(CO$71:CO$86)+SUM(CQ$71:CQ$86)+SUM(CS$71:CS$86)+SUM(CU$71:CU$86)</f>
        <v>357540.54670959275</v>
      </c>
    </row>
    <row r="136" spans="2:15">
      <c r="C136" s="105" t="s">
        <v>131</v>
      </c>
      <c r="D136" s="106">
        <f>SUM(E$87:E$94)+SUM(G$87:G$94)+SUM(I$87:I$94)+SUM(K$87:K$94)</f>
        <v>257257.19999999998</v>
      </c>
      <c r="E136" s="106">
        <f>SUM(M$87:M$94)+SUM(O$87:O$94)+SUM(Q$87:Q$94)+SUM(S$87:S$94)</f>
        <v>184669.16743835874</v>
      </c>
      <c r="F136" s="106">
        <f>SUM(U$87:U$94)+SUM(W$87:W$94)+SUM(Y$87:Y$94)+SUM(AA$87:AA$94)</f>
        <v>190079.50005331324</v>
      </c>
      <c r="G136" s="106">
        <f>SUM(AC$87:AC$94)+SUM(AE$87:AE$94)+SUM(AG$87:AG$94)+SUM(AI$87:AI$94)</f>
        <v>250212.40990098982</v>
      </c>
      <c r="H136" s="106">
        <f>SUM(AK$87:AK$94)+SUM(AM$87:AM$94)+SUM(AO$87:AO$94)+SUM(AQ$87:AQ$94)</f>
        <v>209352.54533294542</v>
      </c>
      <c r="I136" s="106">
        <f>SUM(AS$87:AS$94)+SUM(AU$87:AU$94)+SUM(AW$87:AW$94)+SUM(AY$87:AY$94)</f>
        <v>228080.10507088515</v>
      </c>
      <c r="J136" s="106">
        <f>SUM(BA$87:BA$94)+SUM(BC$87:BC$94)+SUM(BE$87:BE$94)+SUM(BG$87:BG$94)</f>
        <v>252589.33584905643</v>
      </c>
      <c r="K136" s="106">
        <f>SUM(BI$87:BI$94)+SUM(BK$87:BK$94)+SUM(BM$87:BM$94)+SUM(BO$87:BO$94)</f>
        <v>190101.69421641942</v>
      </c>
      <c r="L136" s="106">
        <f>SUM(BQ$87:BQ$94)+SUM(BS$87:BS$94)+SUM(BU$87:BU$94)+SUM(BW$87:BW$94)</f>
        <v>214761.38227620401</v>
      </c>
      <c r="M136" s="106">
        <f>SUM(BY$87:BY$94)+SUM(CA$87:CA$94)+SUM(CC$87:CC$94)+SUM(CE$87:CE$94)</f>
        <v>172402.50234601225</v>
      </c>
      <c r="N136" s="106">
        <f>SUM(CG$87:CG$94)+SUM(CI$87:CI$94)+SUM(CK$87:CK$94)+SUM(CM$87:CM$94)</f>
        <v>294623.99999999988</v>
      </c>
      <c r="O136" s="106">
        <f>SUM(CO$87:CO$94)+SUM(CQ$87:CQ$94)+SUM(CS$87:CS$94)+SUM(CU$87:CU$94)</f>
        <v>264746.01133231714</v>
      </c>
    </row>
    <row r="137" spans="2:15">
      <c r="C137" s="105" t="s">
        <v>132</v>
      </c>
      <c r="D137" s="106">
        <f>SUM(E$95:E$105)+SUM(G$95:G$105)+SUM(I$95:I$105)+SUM(K$95:K$105)</f>
        <v>320689.2</v>
      </c>
      <c r="E137" s="106">
        <f>SUM(M$95:M$105)+SUM(O$95:O$105)+SUM(Q$95:Q$105)+SUM(S$95:S$105)</f>
        <v>340499.7262793447</v>
      </c>
      <c r="F137" s="106">
        <f>SUM(U$95:U$105)+SUM(W$95:W$105)+SUM(Y$95:Y$105)+SUM(AA$95:AA$105)</f>
        <v>248826.78288947319</v>
      </c>
      <c r="G137" s="106">
        <f>SUM(AC$95:AC$105)+SUM(AE$95:AE$105)+SUM(AG$95:AG$105)+SUM(AI$95:AI$105)</f>
        <v>331460.90495049453</v>
      </c>
      <c r="H137" s="106">
        <f>SUM(AK$95:AK$105)+SUM(AM$95:AM$105)+SUM(AO$95:AO$105)+SUM(AQ$95:AQ$105)</f>
        <v>305063.04001163109</v>
      </c>
      <c r="I137" s="106">
        <f>SUM(AS$95:AS$105)+SUM(AU$95:AU$105)+SUM(AW$95:AW$105)+SUM(AY$95:AY$105)</f>
        <v>307067.59029385872</v>
      </c>
      <c r="J137" s="106">
        <f>SUM(BA$95:BA$105)+SUM(BC$95:BC$105)+SUM(BE$95:BE$105)+SUM(BG$95:BG$105)</f>
        <v>359610.24905660364</v>
      </c>
      <c r="K137" s="106">
        <f>SUM(BI$95:BI$105)+SUM(BK$95:BK$105)+SUM(BM$95:BM$105)+SUM(BO$95:BO$105)</f>
        <v>308729.85323162854</v>
      </c>
      <c r="L137" s="106">
        <f>SUM(BQ$95:BQ$105)+SUM(BS$95:BS$105)+SUM(BU$95:BU$105)+SUM(BW$95:BW$105)</f>
        <v>222948.4472250735</v>
      </c>
      <c r="M137" s="106">
        <f>SUM(BY$95:BY$105)+SUM(CA$95:CA$105)+SUM(CC$95:CC$105)+SUM(CE$95:CE$105)</f>
        <v>248748.82685742647</v>
      </c>
      <c r="N137" s="106">
        <f>SUM(CG$95:CG$105)+SUM(CI$95:CI$105)+SUM(CK$95:CK$105)+SUM(CM$95:CM$105)</f>
        <v>365319.70909090893</v>
      </c>
      <c r="O137" s="106">
        <f>SUM(CO$95:CO$105)+SUM(CQ$95:CQ$105)+SUM(CS$95:CS$105)+SUM(CU$95:CU$105)</f>
        <v>307213.43529857148</v>
      </c>
    </row>
    <row r="138" spans="2:15">
      <c r="C138" s="105" t="s">
        <v>278</v>
      </c>
      <c r="D138" s="100">
        <f t="shared" ref="D138:O138" si="2">SUM(D$131:D$137)</f>
        <v>2461370.1683023022</v>
      </c>
      <c r="E138" s="100">
        <f t="shared" si="2"/>
        <v>2741609.8991182554</v>
      </c>
      <c r="F138" s="100">
        <f t="shared" si="2"/>
        <v>2468103.2173515307</v>
      </c>
      <c r="G138" s="100">
        <f t="shared" si="2"/>
        <v>2480761.5589093012</v>
      </c>
      <c r="H138" s="100">
        <f t="shared" si="2"/>
        <v>2791914.2229215447</v>
      </c>
      <c r="I138" s="100">
        <f t="shared" si="2"/>
        <v>2820089.8621849041</v>
      </c>
      <c r="J138" s="100">
        <f t="shared" si="2"/>
        <v>2367977.9200701788</v>
      </c>
      <c r="K138" s="100">
        <f t="shared" si="2"/>
        <v>2489588.885905725</v>
      </c>
      <c r="L138" s="100">
        <f t="shared" si="2"/>
        <v>2363058.8102211449</v>
      </c>
      <c r="M138" s="100">
        <f t="shared" si="2"/>
        <v>2616377.1499580182</v>
      </c>
      <c r="N138" s="100">
        <f t="shared" si="2"/>
        <v>2581781.8543675239</v>
      </c>
      <c r="O138" s="100">
        <f t="shared" si="2"/>
        <v>2919478.1949158101</v>
      </c>
    </row>
  </sheetData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baseColWidth="10" defaultColWidth="8.83203125" defaultRowHeight="12" x14ac:dyDescent="0"/>
  <cols>
    <col min="1" max="16384" width="8.83203125" style="100"/>
  </cols>
  <sheetData>
    <row r="2" spans="1:99">
      <c r="B2" s="102" t="s">
        <v>272</v>
      </c>
    </row>
    <row r="3" spans="1:99">
      <c r="B3" s="103" t="s">
        <v>281</v>
      </c>
    </row>
    <row r="4" spans="1:99">
      <c r="A4" s="101"/>
      <c r="B4" s="101"/>
      <c r="C4" s="99" t="s">
        <v>274</v>
      </c>
      <c r="D4" s="99" t="s">
        <v>92</v>
      </c>
      <c r="E4" s="101"/>
      <c r="F4" s="101"/>
      <c r="G4" s="101"/>
      <c r="H4" s="101"/>
      <c r="I4" s="101"/>
      <c r="J4" s="101"/>
      <c r="K4" s="101"/>
      <c r="L4" s="99" t="s">
        <v>93</v>
      </c>
      <c r="M4" s="101"/>
      <c r="N4" s="101"/>
      <c r="O4" s="101"/>
      <c r="P4" s="101"/>
      <c r="Q4" s="101"/>
      <c r="R4" s="101"/>
      <c r="S4" s="101"/>
      <c r="T4" s="99" t="s">
        <v>94</v>
      </c>
      <c r="U4" s="101"/>
      <c r="V4" s="101"/>
      <c r="W4" s="101"/>
      <c r="X4" s="101"/>
      <c r="Y4" s="101"/>
      <c r="Z4" s="101"/>
      <c r="AA4" s="101"/>
      <c r="AB4" s="99" t="s">
        <v>95</v>
      </c>
      <c r="AC4" s="101"/>
      <c r="AD4" s="101"/>
      <c r="AE4" s="101"/>
      <c r="AF4" s="101"/>
      <c r="AG4" s="101"/>
      <c r="AH4" s="101"/>
      <c r="AI4" s="101"/>
      <c r="AJ4" s="99" t="s">
        <v>96</v>
      </c>
      <c r="AK4" s="101"/>
      <c r="AL4" s="101"/>
      <c r="AM4" s="101"/>
      <c r="AN4" s="101"/>
      <c r="AO4" s="101"/>
      <c r="AP4" s="101"/>
      <c r="AQ4" s="101"/>
      <c r="AR4" s="99" t="s">
        <v>97</v>
      </c>
      <c r="AS4" s="101"/>
      <c r="AT4" s="101"/>
      <c r="AU4" s="101"/>
      <c r="AV4" s="101"/>
      <c r="AW4" s="101"/>
      <c r="AX4" s="101"/>
      <c r="AY4" s="101"/>
      <c r="AZ4" s="99" t="s">
        <v>98</v>
      </c>
      <c r="BA4" s="101"/>
      <c r="BB4" s="101"/>
      <c r="BC4" s="101"/>
      <c r="BD4" s="101"/>
      <c r="BE4" s="101"/>
      <c r="BF4" s="101"/>
      <c r="BG4" s="101"/>
      <c r="BH4" s="99" t="s">
        <v>99</v>
      </c>
      <c r="BI4" s="101"/>
      <c r="BJ4" s="101"/>
      <c r="BK4" s="101"/>
      <c r="BL4" s="101"/>
      <c r="BM4" s="101"/>
      <c r="BN4" s="101"/>
      <c r="BO4" s="101"/>
      <c r="BP4" s="99" t="s">
        <v>100</v>
      </c>
      <c r="BQ4" s="101"/>
      <c r="BR4" s="101"/>
      <c r="BS4" s="101"/>
      <c r="BT4" s="101"/>
      <c r="BU4" s="101"/>
      <c r="BV4" s="101"/>
      <c r="BW4" s="101"/>
      <c r="BX4" s="99" t="s">
        <v>101</v>
      </c>
      <c r="BY4" s="101"/>
      <c r="BZ4" s="101"/>
      <c r="CA4" s="101"/>
      <c r="CB4" s="101"/>
      <c r="CC4" s="101"/>
      <c r="CD4" s="101"/>
      <c r="CE4" s="101"/>
      <c r="CF4" s="99" t="s">
        <v>102</v>
      </c>
      <c r="CG4" s="101"/>
      <c r="CH4" s="101"/>
      <c r="CI4" s="101"/>
      <c r="CJ4" s="101"/>
      <c r="CK4" s="101"/>
      <c r="CL4" s="101"/>
      <c r="CM4" s="101"/>
      <c r="CN4" s="99" t="s">
        <v>103</v>
      </c>
      <c r="CO4" s="101"/>
      <c r="CP4" s="101"/>
      <c r="CQ4" s="101"/>
      <c r="CR4" s="101"/>
      <c r="CS4" s="101"/>
      <c r="CT4" s="101"/>
      <c r="CU4" s="101"/>
    </row>
    <row r="5" spans="1:99">
      <c r="B5" s="99" t="s">
        <v>167</v>
      </c>
      <c r="C5" s="99" t="s">
        <v>275</v>
      </c>
      <c r="D5" s="99">
        <v>1</v>
      </c>
      <c r="E5" s="99"/>
      <c r="F5" s="99">
        <v>2</v>
      </c>
      <c r="G5" s="99"/>
      <c r="H5" s="99">
        <v>3</v>
      </c>
      <c r="I5" s="99"/>
      <c r="J5" s="99">
        <v>4</v>
      </c>
      <c r="K5" s="99"/>
      <c r="L5" s="99">
        <v>1</v>
      </c>
      <c r="M5" s="99"/>
      <c r="N5" s="99">
        <v>2</v>
      </c>
      <c r="O5" s="99"/>
      <c r="P5" s="99">
        <v>3</v>
      </c>
      <c r="Q5" s="99"/>
      <c r="R5" s="99">
        <v>4</v>
      </c>
      <c r="S5" s="99"/>
      <c r="T5" s="99">
        <v>1</v>
      </c>
      <c r="U5" s="99"/>
      <c r="V5" s="99">
        <v>2</v>
      </c>
      <c r="W5" s="99"/>
      <c r="X5" s="99">
        <v>3</v>
      </c>
      <c r="Y5" s="99"/>
      <c r="Z5" s="99">
        <v>4</v>
      </c>
      <c r="AA5" s="99"/>
      <c r="AB5" s="99">
        <v>1</v>
      </c>
      <c r="AC5" s="99"/>
      <c r="AD5" s="99">
        <v>2</v>
      </c>
      <c r="AE5" s="99"/>
      <c r="AF5" s="99">
        <v>3</v>
      </c>
      <c r="AG5" s="99"/>
      <c r="AH5" s="99">
        <v>4</v>
      </c>
      <c r="AI5" s="99"/>
      <c r="AJ5" s="99">
        <v>1</v>
      </c>
      <c r="AK5" s="99"/>
      <c r="AL5" s="99">
        <v>2</v>
      </c>
      <c r="AM5" s="99"/>
      <c r="AN5" s="99">
        <v>3</v>
      </c>
      <c r="AO5" s="99"/>
      <c r="AP5" s="99">
        <v>4</v>
      </c>
      <c r="AQ5" s="99"/>
      <c r="AR5" s="99">
        <v>1</v>
      </c>
      <c r="AS5" s="99"/>
      <c r="AT5" s="99">
        <v>2</v>
      </c>
      <c r="AU5" s="99"/>
      <c r="AV5" s="99">
        <v>3</v>
      </c>
      <c r="AW5" s="99"/>
      <c r="AX5" s="99">
        <v>4</v>
      </c>
      <c r="AY5" s="99"/>
      <c r="AZ5" s="99">
        <v>1</v>
      </c>
      <c r="BA5" s="99"/>
      <c r="BB5" s="99">
        <v>2</v>
      </c>
      <c r="BC5" s="99"/>
      <c r="BD5" s="99">
        <v>3</v>
      </c>
      <c r="BE5" s="99"/>
      <c r="BF5" s="99">
        <v>4</v>
      </c>
      <c r="BG5" s="99"/>
      <c r="BH5" s="99">
        <v>1</v>
      </c>
      <c r="BI5" s="99"/>
      <c r="BJ5" s="99">
        <v>2</v>
      </c>
      <c r="BK5" s="99"/>
      <c r="BL5" s="99">
        <v>3</v>
      </c>
      <c r="BM5" s="99"/>
      <c r="BN5" s="99">
        <v>4</v>
      </c>
      <c r="BO5" s="99"/>
      <c r="BP5" s="99">
        <v>1</v>
      </c>
      <c r="BQ5" s="99"/>
      <c r="BR5" s="99">
        <v>2</v>
      </c>
      <c r="BS5" s="99"/>
      <c r="BT5" s="99">
        <v>3</v>
      </c>
      <c r="BU5" s="99"/>
      <c r="BV5" s="99">
        <v>4</v>
      </c>
      <c r="BW5" s="99"/>
      <c r="BX5" s="99">
        <v>1</v>
      </c>
      <c r="BY5" s="99"/>
      <c r="BZ5" s="99">
        <v>2</v>
      </c>
      <c r="CA5" s="99"/>
      <c r="CB5" s="99">
        <v>3</v>
      </c>
      <c r="CC5" s="99"/>
      <c r="CD5" s="99">
        <v>4</v>
      </c>
      <c r="CE5" s="99"/>
      <c r="CF5" s="99">
        <v>1</v>
      </c>
      <c r="CG5" s="99"/>
      <c r="CH5" s="99">
        <v>2</v>
      </c>
      <c r="CI5" s="99"/>
      <c r="CJ5" s="99">
        <v>3</v>
      </c>
      <c r="CK5" s="99"/>
      <c r="CL5" s="99">
        <v>4</v>
      </c>
      <c r="CM5" s="99"/>
      <c r="CN5" s="99">
        <v>1</v>
      </c>
      <c r="CO5" s="99"/>
      <c r="CP5" s="99">
        <v>2</v>
      </c>
      <c r="CQ5" s="99"/>
      <c r="CR5" s="99">
        <v>3</v>
      </c>
      <c r="CS5" s="99"/>
      <c r="CT5" s="99">
        <v>4</v>
      </c>
      <c r="CU5" s="99"/>
    </row>
    <row r="6" spans="1:99">
      <c r="B6" s="99" t="s">
        <v>126</v>
      </c>
      <c r="C6" s="99" t="s">
        <v>172</v>
      </c>
      <c r="D6" s="100">
        <v>3.2356499844765252</v>
      </c>
      <c r="E6" s="100">
        <v>1871.4999510212222</v>
      </c>
      <c r="F6" s="100">
        <v>4.8145680834456028</v>
      </c>
      <c r="G6" s="100">
        <v>2784.7461794649366</v>
      </c>
      <c r="H6" s="100">
        <v>1.5419515290107995</v>
      </c>
      <c r="I6" s="100">
        <v>891.86476437984641</v>
      </c>
      <c r="J6" s="100">
        <v>5</v>
      </c>
      <c r="K6" s="100">
        <v>2892</v>
      </c>
      <c r="L6" s="100">
        <v>6</v>
      </c>
      <c r="M6" s="100">
        <v>3470.3999999999996</v>
      </c>
      <c r="N6" s="100">
        <v>5</v>
      </c>
      <c r="O6" s="100">
        <v>2892</v>
      </c>
      <c r="P6" s="100">
        <v>8</v>
      </c>
      <c r="Q6" s="100">
        <v>4627.2</v>
      </c>
      <c r="R6" s="100">
        <v>6</v>
      </c>
      <c r="S6" s="100">
        <v>3470.3999999999996</v>
      </c>
      <c r="T6" s="100">
        <v>7.3312243439263813</v>
      </c>
      <c r="U6" s="100">
        <v>4240.3801605270191</v>
      </c>
      <c r="V6" s="100">
        <v>8.1006640448863916</v>
      </c>
      <c r="W6" s="100">
        <v>4685.4240835622886</v>
      </c>
      <c r="X6" s="100">
        <v>9</v>
      </c>
      <c r="Y6" s="100">
        <v>5205.5999999999995</v>
      </c>
      <c r="Z6" s="100">
        <v>9</v>
      </c>
      <c r="AA6" s="100">
        <v>5205.5999999999995</v>
      </c>
      <c r="AB6" s="100">
        <v>9</v>
      </c>
      <c r="AC6" s="100">
        <v>5205.5999999999995</v>
      </c>
      <c r="AD6" s="100">
        <v>6.6501795633478231</v>
      </c>
      <c r="AE6" s="100">
        <v>3846.4638594403809</v>
      </c>
      <c r="AF6" s="100">
        <v>4.0513047107186786</v>
      </c>
      <c r="AG6" s="100">
        <v>2343.2746446796837</v>
      </c>
      <c r="AH6" s="100">
        <v>1.4311336573159767</v>
      </c>
      <c r="AI6" s="100">
        <v>827.76770739156098</v>
      </c>
      <c r="AJ6" s="100">
        <v>10</v>
      </c>
      <c r="AK6" s="100">
        <v>5784</v>
      </c>
      <c r="AL6" s="100">
        <v>9</v>
      </c>
      <c r="AM6" s="100">
        <v>5205.5999999999995</v>
      </c>
      <c r="AN6" s="100">
        <v>7</v>
      </c>
      <c r="AO6" s="100">
        <v>4048.7999999999997</v>
      </c>
      <c r="AP6" s="100">
        <v>7</v>
      </c>
      <c r="AQ6" s="100">
        <v>4048.7999999999997</v>
      </c>
      <c r="AR6" s="100">
        <v>7</v>
      </c>
      <c r="AS6" s="100">
        <v>4048.7999999999997</v>
      </c>
      <c r="AT6" s="100">
        <v>6</v>
      </c>
      <c r="AU6" s="100">
        <v>3470.3999999999996</v>
      </c>
      <c r="AV6" s="100">
        <v>5</v>
      </c>
      <c r="AW6" s="100">
        <v>2892</v>
      </c>
      <c r="AX6" s="100">
        <v>8</v>
      </c>
      <c r="AY6" s="100">
        <v>4627.2</v>
      </c>
      <c r="AZ6" s="100">
        <v>9.0094734918206054</v>
      </c>
      <c r="BA6" s="100">
        <v>5211.0794676690384</v>
      </c>
      <c r="BB6" s="100">
        <v>7</v>
      </c>
      <c r="BC6" s="100">
        <v>4048.7999999999997</v>
      </c>
      <c r="BD6" s="100">
        <v>2.4725551966300654</v>
      </c>
      <c r="BE6" s="100">
        <v>1430.1259257308297</v>
      </c>
      <c r="BF6" s="100">
        <v>9</v>
      </c>
      <c r="BG6" s="100">
        <v>5205.5999999999995</v>
      </c>
      <c r="BH6" s="100">
        <v>6.3308323834461548</v>
      </c>
      <c r="BI6" s="100">
        <v>3661.7534505852559</v>
      </c>
      <c r="BJ6" s="100">
        <v>1.9160186815990343</v>
      </c>
      <c r="BK6" s="100">
        <v>1108.2252054368814</v>
      </c>
      <c r="BL6" s="100">
        <v>9.1758861853576459</v>
      </c>
      <c r="BM6" s="100">
        <v>5307.3325696108623</v>
      </c>
      <c r="BN6" s="100">
        <v>5.3985654748461007</v>
      </c>
      <c r="BO6" s="100">
        <v>3122.5302706509847</v>
      </c>
      <c r="BP6" s="100">
        <v>9</v>
      </c>
      <c r="BQ6" s="100">
        <v>5205.5999999999995</v>
      </c>
      <c r="BR6" s="100">
        <v>8</v>
      </c>
      <c r="BS6" s="100">
        <v>4627.2</v>
      </c>
      <c r="BT6" s="100">
        <v>7</v>
      </c>
      <c r="BU6" s="100">
        <v>4048.7999999999997</v>
      </c>
      <c r="BV6" s="100">
        <v>8.8630873891175774</v>
      </c>
      <c r="BW6" s="100">
        <v>5126.409745865607</v>
      </c>
      <c r="BX6" s="100">
        <v>1.5184359283505042</v>
      </c>
      <c r="BY6" s="100">
        <v>878.26334095793163</v>
      </c>
      <c r="BZ6" s="100">
        <v>6</v>
      </c>
      <c r="CA6" s="100">
        <v>3470.3999999999996</v>
      </c>
      <c r="CB6" s="100">
        <v>6</v>
      </c>
      <c r="CC6" s="100">
        <v>3470.3999999999996</v>
      </c>
      <c r="CD6" s="100">
        <v>9</v>
      </c>
      <c r="CE6" s="100">
        <v>5205.5999999999995</v>
      </c>
      <c r="CF6" s="100">
        <v>9</v>
      </c>
      <c r="CG6" s="100">
        <v>5205.5999999999995</v>
      </c>
      <c r="CH6" s="100">
        <v>5.4347247718898508</v>
      </c>
      <c r="CI6" s="100">
        <v>3143.4448080610896</v>
      </c>
      <c r="CJ6" s="100">
        <v>6.7178196759445559</v>
      </c>
      <c r="CK6" s="100">
        <v>3885.5869005663308</v>
      </c>
      <c r="CL6" s="100">
        <v>4.3353037127826454E-4</v>
      </c>
      <c r="CM6" s="100">
        <v>0.25075396674734818</v>
      </c>
      <c r="CN6" s="100">
        <v>8</v>
      </c>
      <c r="CO6" s="100">
        <v>4627.2</v>
      </c>
      <c r="CP6" s="100">
        <v>9</v>
      </c>
      <c r="CQ6" s="100">
        <v>5205.5999999999995</v>
      </c>
      <c r="CR6" s="100">
        <v>6.2312481194447642</v>
      </c>
      <c r="CS6" s="100">
        <v>3604.1539122868517</v>
      </c>
      <c r="CT6" s="100">
        <v>10.908844596550773</v>
      </c>
      <c r="CU6" s="100">
        <v>6309.6757146449672</v>
      </c>
    </row>
    <row r="7" spans="1:99">
      <c r="C7" s="99" t="s">
        <v>173</v>
      </c>
      <c r="D7" s="100">
        <v>3.2356499844765252</v>
      </c>
      <c r="E7" s="100">
        <v>2550.9864477612923</v>
      </c>
      <c r="F7" s="100">
        <v>4.7829941435471088</v>
      </c>
      <c r="G7" s="100">
        <v>3770.9125827725406</v>
      </c>
      <c r="H7" s="100">
        <v>1.2849596075089995</v>
      </c>
      <c r="I7" s="100">
        <v>1013.0621545600952</v>
      </c>
      <c r="J7" s="100">
        <v>5</v>
      </c>
      <c r="K7" s="100">
        <v>3942</v>
      </c>
      <c r="L7" s="100">
        <v>5</v>
      </c>
      <c r="M7" s="100">
        <v>3942</v>
      </c>
      <c r="N7" s="100">
        <v>5</v>
      </c>
      <c r="O7" s="100">
        <v>3942</v>
      </c>
      <c r="P7" s="100">
        <v>7</v>
      </c>
      <c r="Q7" s="100">
        <v>5518.8</v>
      </c>
      <c r="R7" s="100">
        <v>7</v>
      </c>
      <c r="S7" s="100">
        <v>5518.8</v>
      </c>
      <c r="T7" s="100">
        <v>7.3312243439263813</v>
      </c>
      <c r="U7" s="100">
        <v>5779.9372727515592</v>
      </c>
      <c r="V7" s="100">
        <v>7.1132470504971899</v>
      </c>
      <c r="W7" s="100">
        <v>5608.0839746119846</v>
      </c>
      <c r="X7" s="100">
        <v>9</v>
      </c>
      <c r="Y7" s="100">
        <v>7095.5999999999995</v>
      </c>
      <c r="Z7" s="100">
        <v>9</v>
      </c>
      <c r="AA7" s="100">
        <v>7095.5999999999995</v>
      </c>
      <c r="AB7" s="100">
        <v>8</v>
      </c>
      <c r="AC7" s="100">
        <v>6307.2</v>
      </c>
      <c r="AD7" s="100">
        <v>6.6501795633478231</v>
      </c>
      <c r="AE7" s="100">
        <v>5243.0015677434239</v>
      </c>
      <c r="AF7" s="100">
        <v>4.0713479049154939</v>
      </c>
      <c r="AG7" s="100">
        <v>3209.8506882353754</v>
      </c>
      <c r="AH7" s="100">
        <v>1.6696559335353063</v>
      </c>
      <c r="AI7" s="100">
        <v>1316.3567379992355</v>
      </c>
      <c r="AJ7" s="100">
        <v>8</v>
      </c>
      <c r="AK7" s="100">
        <v>6307.2</v>
      </c>
      <c r="AL7" s="100">
        <v>9</v>
      </c>
      <c r="AM7" s="100">
        <v>7095.5999999999995</v>
      </c>
      <c r="AN7" s="100">
        <v>6</v>
      </c>
      <c r="AO7" s="100">
        <v>4730.3999999999996</v>
      </c>
      <c r="AP7" s="100">
        <v>8</v>
      </c>
      <c r="AQ7" s="100">
        <v>6307.2</v>
      </c>
      <c r="AR7" s="100">
        <v>7</v>
      </c>
      <c r="AS7" s="100">
        <v>5518.8</v>
      </c>
      <c r="AT7" s="100">
        <v>6</v>
      </c>
      <c r="AU7" s="100">
        <v>4730.3999999999996</v>
      </c>
      <c r="AV7" s="100">
        <v>5</v>
      </c>
      <c r="AW7" s="100">
        <v>3942</v>
      </c>
      <c r="AX7" s="100">
        <v>8</v>
      </c>
      <c r="AY7" s="100">
        <v>6307.2</v>
      </c>
      <c r="AZ7" s="100">
        <v>9.0094734918206054</v>
      </c>
      <c r="BA7" s="100">
        <v>7103.0689009513653</v>
      </c>
      <c r="BB7" s="100">
        <v>7</v>
      </c>
      <c r="BC7" s="100">
        <v>5518.8</v>
      </c>
      <c r="BD7" s="100">
        <v>2.4725551966300654</v>
      </c>
      <c r="BE7" s="100">
        <v>1949.3625170231435</v>
      </c>
      <c r="BF7" s="100">
        <v>9</v>
      </c>
      <c r="BG7" s="100">
        <v>7095.5999999999995</v>
      </c>
      <c r="BH7" s="100">
        <v>7.2646659067569237</v>
      </c>
      <c r="BI7" s="100">
        <v>5727.4626008871583</v>
      </c>
      <c r="BJ7" s="100">
        <v>1.676516346399155</v>
      </c>
      <c r="BK7" s="100">
        <v>1321.7654875010937</v>
      </c>
      <c r="BL7" s="100">
        <v>8.1758861853576459</v>
      </c>
      <c r="BM7" s="100">
        <v>6445.868668535968</v>
      </c>
      <c r="BN7" s="100">
        <v>5.3985654748461007</v>
      </c>
      <c r="BO7" s="100">
        <v>4256.2290203686653</v>
      </c>
      <c r="BP7" s="100">
        <v>8</v>
      </c>
      <c r="BQ7" s="100">
        <v>6307.2</v>
      </c>
      <c r="BR7" s="100">
        <v>8</v>
      </c>
      <c r="BS7" s="100">
        <v>6307.2</v>
      </c>
      <c r="BT7" s="100">
        <v>7</v>
      </c>
      <c r="BU7" s="100">
        <v>5518.8</v>
      </c>
      <c r="BV7" s="100">
        <v>9.8139721475211434</v>
      </c>
      <c r="BW7" s="100">
        <v>7737.3356411056693</v>
      </c>
      <c r="BX7" s="100">
        <v>1.5184359283505042</v>
      </c>
      <c r="BY7" s="100">
        <v>1197.1348859115376</v>
      </c>
      <c r="BZ7" s="100">
        <v>6</v>
      </c>
      <c r="CA7" s="100">
        <v>4730.3999999999996</v>
      </c>
      <c r="CB7" s="100">
        <v>7</v>
      </c>
      <c r="CC7" s="100">
        <v>5518.8</v>
      </c>
      <c r="CD7" s="100">
        <v>9</v>
      </c>
      <c r="CE7" s="100">
        <v>7095.5999999999995</v>
      </c>
      <c r="CF7" s="100">
        <v>9</v>
      </c>
      <c r="CG7" s="100">
        <v>7095.5999999999995</v>
      </c>
      <c r="CH7" s="100">
        <v>6.1140653683760826</v>
      </c>
      <c r="CI7" s="100">
        <v>4820.3291364277038</v>
      </c>
      <c r="CJ7" s="100">
        <v>7.5164886065253569</v>
      </c>
      <c r="CK7" s="100">
        <v>5925.9996173845911</v>
      </c>
      <c r="CL7" s="100">
        <v>4.3353037127826454E-4</v>
      </c>
      <c r="CM7" s="100">
        <v>0.34179534471578377</v>
      </c>
      <c r="CN7" s="100">
        <v>7</v>
      </c>
      <c r="CO7" s="100">
        <v>5518.8</v>
      </c>
      <c r="CP7" s="100">
        <v>9</v>
      </c>
      <c r="CQ7" s="100">
        <v>7095.5999999999995</v>
      </c>
      <c r="CR7" s="100">
        <v>6.2312481194447642</v>
      </c>
      <c r="CS7" s="100">
        <v>4912.7160173702523</v>
      </c>
      <c r="CT7" s="100">
        <v>9.9171314514097944</v>
      </c>
      <c r="CU7" s="100">
        <v>7818.6664362914817</v>
      </c>
    </row>
    <row r="8" spans="1:99">
      <c r="C8" s="99" t="s">
        <v>174</v>
      </c>
      <c r="D8" s="100">
        <v>2.5885199875812201</v>
      </c>
      <c r="E8" s="100">
        <v>801.40578815514561</v>
      </c>
      <c r="F8" s="100">
        <v>4.7514202036486148</v>
      </c>
      <c r="G8" s="100">
        <v>1471.0396950496111</v>
      </c>
      <c r="H8" s="100">
        <v>1.2849596075089995</v>
      </c>
      <c r="I8" s="100">
        <v>397.82349448478618</v>
      </c>
      <c r="J8" s="100">
        <v>5</v>
      </c>
      <c r="K8" s="100">
        <v>1547.9999999999998</v>
      </c>
      <c r="L8" s="100">
        <v>6</v>
      </c>
      <c r="M8" s="100">
        <v>1857.6</v>
      </c>
      <c r="N8" s="100">
        <v>5</v>
      </c>
      <c r="O8" s="100">
        <v>1547.9999999999998</v>
      </c>
      <c r="P8" s="100">
        <v>8</v>
      </c>
      <c r="Q8" s="100">
        <v>2476.7999999999997</v>
      </c>
      <c r="R8" s="100">
        <v>6</v>
      </c>
      <c r="S8" s="100">
        <v>1857.6</v>
      </c>
      <c r="T8" s="100">
        <v>7.3312243439263813</v>
      </c>
      <c r="U8" s="100">
        <v>2269.7470568796075</v>
      </c>
      <c r="V8" s="100">
        <v>7.1132470504971899</v>
      </c>
      <c r="W8" s="100">
        <v>2202.2612868339297</v>
      </c>
      <c r="X8" s="100">
        <v>8</v>
      </c>
      <c r="Y8" s="100">
        <v>2476.7999999999997</v>
      </c>
      <c r="Z8" s="100">
        <v>9</v>
      </c>
      <c r="AA8" s="100">
        <v>2786.3999999999996</v>
      </c>
      <c r="AB8" s="100">
        <v>8</v>
      </c>
      <c r="AC8" s="100">
        <v>2476.7999999999997</v>
      </c>
      <c r="AD8" s="100">
        <v>7.3715677278260721</v>
      </c>
      <c r="AE8" s="100">
        <v>2282.2373685349517</v>
      </c>
      <c r="AF8" s="100">
        <v>4.0713479049154939</v>
      </c>
      <c r="AG8" s="100">
        <v>1260.4893113618368</v>
      </c>
      <c r="AH8" s="100">
        <v>1.4311336573159767</v>
      </c>
      <c r="AI8" s="100">
        <v>443.07898030502633</v>
      </c>
      <c r="AJ8" s="100">
        <v>9</v>
      </c>
      <c r="AK8" s="100">
        <v>2786.3999999999996</v>
      </c>
      <c r="AL8" s="100">
        <v>8</v>
      </c>
      <c r="AM8" s="100">
        <v>2476.7999999999997</v>
      </c>
      <c r="AN8" s="100">
        <v>7</v>
      </c>
      <c r="AO8" s="100">
        <v>2167.1999999999998</v>
      </c>
      <c r="AP8" s="100">
        <v>8</v>
      </c>
      <c r="AQ8" s="100">
        <v>2476.7999999999997</v>
      </c>
      <c r="AR8" s="100">
        <v>6</v>
      </c>
      <c r="AS8" s="100">
        <v>1857.6</v>
      </c>
      <c r="AT8" s="100">
        <v>7</v>
      </c>
      <c r="AU8" s="100">
        <v>2167.1999999999998</v>
      </c>
      <c r="AV8" s="100">
        <v>6</v>
      </c>
      <c r="AW8" s="100">
        <v>1857.6</v>
      </c>
      <c r="AX8" s="100">
        <v>8</v>
      </c>
      <c r="AY8" s="100">
        <v>2476.7999999999997</v>
      </c>
      <c r="AZ8" s="100">
        <v>11.009473491820605</v>
      </c>
      <c r="BA8" s="100">
        <v>3408.5329930676589</v>
      </c>
      <c r="BB8" s="100">
        <v>7</v>
      </c>
      <c r="BC8" s="100">
        <v>2167.1999999999998</v>
      </c>
      <c r="BD8" s="100">
        <v>2.7816245962088235</v>
      </c>
      <c r="BE8" s="100">
        <v>861.19097498625172</v>
      </c>
      <c r="BF8" s="100">
        <v>9</v>
      </c>
      <c r="BG8" s="100">
        <v>2786.3999999999996</v>
      </c>
      <c r="BH8" s="100">
        <v>7.2977491451015393</v>
      </c>
      <c r="BI8" s="100">
        <v>2259.3831353234364</v>
      </c>
      <c r="BJ8" s="100">
        <v>1.9160186815990343</v>
      </c>
      <c r="BK8" s="100">
        <v>593.199383823061</v>
      </c>
      <c r="BL8" s="100">
        <v>10.197871958527353</v>
      </c>
      <c r="BM8" s="100">
        <v>3157.2611583600678</v>
      </c>
      <c r="BN8" s="100">
        <v>6.1697891141098289</v>
      </c>
      <c r="BO8" s="100">
        <v>1910.1667097284028</v>
      </c>
      <c r="BP8" s="100">
        <v>10</v>
      </c>
      <c r="BQ8" s="100">
        <v>3095.9999999999995</v>
      </c>
      <c r="BR8" s="100">
        <v>8</v>
      </c>
      <c r="BS8" s="100">
        <v>2476.7999999999997</v>
      </c>
      <c r="BT8" s="100">
        <v>6</v>
      </c>
      <c r="BU8" s="100">
        <v>1857.6</v>
      </c>
      <c r="BV8" s="100">
        <v>9.8139721475211434</v>
      </c>
      <c r="BW8" s="100">
        <v>3038.4057768725456</v>
      </c>
      <c r="BX8" s="100">
        <v>1.5184359283505042</v>
      </c>
      <c r="BY8" s="100">
        <v>470.10776341731605</v>
      </c>
      <c r="BZ8" s="100">
        <v>6</v>
      </c>
      <c r="CA8" s="100">
        <v>1857.6</v>
      </c>
      <c r="CB8" s="100">
        <v>8</v>
      </c>
      <c r="CC8" s="100">
        <v>2476.7999999999997</v>
      </c>
      <c r="CD8" s="100">
        <v>9</v>
      </c>
      <c r="CE8" s="100">
        <v>2786.3999999999996</v>
      </c>
      <c r="CF8" s="100">
        <v>10</v>
      </c>
      <c r="CG8" s="100">
        <v>3095.9999999999995</v>
      </c>
      <c r="CH8" s="100">
        <v>5.4347247718898508</v>
      </c>
      <c r="CI8" s="100">
        <v>1682.5907893770977</v>
      </c>
      <c r="CJ8" s="100">
        <v>7.5408195866215149</v>
      </c>
      <c r="CK8" s="100">
        <v>2334.6377440180208</v>
      </c>
      <c r="CL8" s="100">
        <v>4.3353037127826454E-4</v>
      </c>
      <c r="CM8" s="100">
        <v>0.13422100294775069</v>
      </c>
      <c r="CN8" s="100">
        <v>8</v>
      </c>
      <c r="CO8" s="100">
        <v>2476.7999999999997</v>
      </c>
      <c r="CP8" s="100">
        <v>10</v>
      </c>
      <c r="CQ8" s="100">
        <v>3095.9999999999995</v>
      </c>
      <c r="CR8" s="100">
        <v>6.2023421045141687</v>
      </c>
      <c r="CS8" s="100">
        <v>1920.2451155575864</v>
      </c>
      <c r="CT8" s="100">
        <v>11.900557741691753</v>
      </c>
      <c r="CU8" s="100">
        <v>3684.4126768277661</v>
      </c>
    </row>
    <row r="9" spans="1:99">
      <c r="C9" s="99" t="s">
        <v>175</v>
      </c>
      <c r="D9" s="100">
        <v>3.2356499844765252</v>
      </c>
      <c r="E9" s="100">
        <v>2271.4262891025205</v>
      </c>
      <c r="F9" s="100">
        <v>4.7829941435471088</v>
      </c>
      <c r="G9" s="100">
        <v>3357.6618887700706</v>
      </c>
      <c r="H9" s="100">
        <v>1.2849596075089995</v>
      </c>
      <c r="I9" s="100">
        <v>902.04164447131768</v>
      </c>
      <c r="J9" s="100">
        <v>4</v>
      </c>
      <c r="K9" s="100">
        <v>2808</v>
      </c>
      <c r="L9" s="100">
        <v>6</v>
      </c>
      <c r="M9" s="100">
        <v>4212</v>
      </c>
      <c r="N9" s="100">
        <v>5</v>
      </c>
      <c r="O9" s="100">
        <v>3510</v>
      </c>
      <c r="P9" s="100">
        <v>8</v>
      </c>
      <c r="Q9" s="100">
        <v>5616</v>
      </c>
      <c r="R9" s="100">
        <v>6</v>
      </c>
      <c r="S9" s="100">
        <v>4212</v>
      </c>
      <c r="T9" s="100">
        <v>7.2839065805083267</v>
      </c>
      <c r="U9" s="100">
        <v>5113.3024195168455</v>
      </c>
      <c r="V9" s="100">
        <v>7.1006640448863916</v>
      </c>
      <c r="W9" s="100">
        <v>4984.6661595102469</v>
      </c>
      <c r="X9" s="100">
        <v>9</v>
      </c>
      <c r="Y9" s="100">
        <v>6318</v>
      </c>
      <c r="Z9" s="100">
        <v>8</v>
      </c>
      <c r="AA9" s="100">
        <v>5616</v>
      </c>
      <c r="AB9" s="100">
        <v>8</v>
      </c>
      <c r="AC9" s="100">
        <v>5616</v>
      </c>
      <c r="AD9" s="100">
        <v>6.6764605771884211</v>
      </c>
      <c r="AE9" s="100">
        <v>4686.8753251862718</v>
      </c>
      <c r="AF9" s="100">
        <v>4.0513047107186786</v>
      </c>
      <c r="AG9" s="100">
        <v>2844.0159069245124</v>
      </c>
      <c r="AH9" s="100">
        <v>1.4311336573159767</v>
      </c>
      <c r="AI9" s="100">
        <v>1004.6558274358157</v>
      </c>
      <c r="AJ9" s="100">
        <v>10</v>
      </c>
      <c r="AK9" s="100">
        <v>7020</v>
      </c>
      <c r="AL9" s="100">
        <v>9</v>
      </c>
      <c r="AM9" s="100">
        <v>6318</v>
      </c>
      <c r="AN9" s="100">
        <v>6</v>
      </c>
      <c r="AO9" s="100">
        <v>4212</v>
      </c>
      <c r="AP9" s="100">
        <v>6</v>
      </c>
      <c r="AQ9" s="100">
        <v>4212</v>
      </c>
      <c r="AR9" s="100">
        <v>7</v>
      </c>
      <c r="AS9" s="100">
        <v>4914</v>
      </c>
      <c r="AT9" s="100">
        <v>7</v>
      </c>
      <c r="AU9" s="100">
        <v>4914</v>
      </c>
      <c r="AV9" s="100">
        <v>6</v>
      </c>
      <c r="AW9" s="100">
        <v>4212</v>
      </c>
      <c r="AX9" s="100">
        <v>8</v>
      </c>
      <c r="AY9" s="100">
        <v>5616</v>
      </c>
      <c r="AZ9" s="100">
        <v>9.0094734918206054</v>
      </c>
      <c r="BA9" s="100">
        <v>6324.6503912580647</v>
      </c>
      <c r="BB9" s="100">
        <v>6</v>
      </c>
      <c r="BC9" s="100">
        <v>4212</v>
      </c>
      <c r="BD9" s="100">
        <v>2.7816245962088235</v>
      </c>
      <c r="BE9" s="100">
        <v>1952.7004665385941</v>
      </c>
      <c r="BF9" s="100">
        <v>8</v>
      </c>
      <c r="BG9" s="100">
        <v>5616</v>
      </c>
      <c r="BH9" s="100">
        <v>6.2646659067569237</v>
      </c>
      <c r="BI9" s="100">
        <v>4397.7954665433608</v>
      </c>
      <c r="BJ9" s="100">
        <v>1.9160186815990343</v>
      </c>
      <c r="BK9" s="100">
        <v>1345.0451144825222</v>
      </c>
      <c r="BL9" s="100">
        <v>9.1978719585273527</v>
      </c>
      <c r="BM9" s="100">
        <v>6456.906114886202</v>
      </c>
      <c r="BN9" s="100">
        <v>6.1697891141098289</v>
      </c>
      <c r="BO9" s="100">
        <v>4331.1919581050997</v>
      </c>
      <c r="BP9" s="100">
        <v>8</v>
      </c>
      <c r="BQ9" s="100">
        <v>5616</v>
      </c>
      <c r="BR9" s="100">
        <v>8</v>
      </c>
      <c r="BS9" s="100">
        <v>5616</v>
      </c>
      <c r="BT9" s="100">
        <v>8</v>
      </c>
      <c r="BU9" s="100">
        <v>5616</v>
      </c>
      <c r="BV9" s="100">
        <v>10.764856905924708</v>
      </c>
      <c r="BW9" s="100">
        <v>7556.9295479591447</v>
      </c>
      <c r="BX9" s="100">
        <v>1.5184359283505042</v>
      </c>
      <c r="BY9" s="100">
        <v>1065.942021702054</v>
      </c>
      <c r="BZ9" s="100">
        <v>6</v>
      </c>
      <c r="CA9" s="100">
        <v>4212</v>
      </c>
      <c r="CB9" s="100">
        <v>7</v>
      </c>
      <c r="CC9" s="100">
        <v>4914</v>
      </c>
      <c r="CD9" s="100">
        <v>10</v>
      </c>
      <c r="CE9" s="100">
        <v>7020</v>
      </c>
      <c r="CF9" s="100">
        <v>9</v>
      </c>
      <c r="CG9" s="100">
        <v>6318</v>
      </c>
      <c r="CH9" s="100">
        <v>5.4347247718898508</v>
      </c>
      <c r="CI9" s="100">
        <v>3815.1767898666753</v>
      </c>
      <c r="CJ9" s="100">
        <v>7.5408195866215149</v>
      </c>
      <c r="CK9" s="100">
        <v>5293.6553498083031</v>
      </c>
      <c r="CL9" s="100">
        <v>3.612753093985538E-4</v>
      </c>
      <c r="CM9" s="100">
        <v>0.25361526719778477</v>
      </c>
      <c r="CN9" s="100">
        <v>7</v>
      </c>
      <c r="CO9" s="100">
        <v>4914</v>
      </c>
      <c r="CP9" s="100">
        <v>10</v>
      </c>
      <c r="CQ9" s="100">
        <v>7020</v>
      </c>
      <c r="CR9" s="100">
        <v>6.2312481194447642</v>
      </c>
      <c r="CS9" s="100">
        <v>4374.3361798502247</v>
      </c>
      <c r="CT9" s="100">
        <v>10.908844596550773</v>
      </c>
      <c r="CU9" s="100">
        <v>7658.008906778643</v>
      </c>
    </row>
    <row r="10" spans="1:99">
      <c r="C10" s="99" t="s">
        <v>176</v>
      </c>
      <c r="D10" s="100">
        <v>2.5885199875812201</v>
      </c>
      <c r="E10" s="100">
        <v>1410.2256892342486</v>
      </c>
      <c r="F10" s="100">
        <v>4.7829941435471088</v>
      </c>
      <c r="G10" s="100">
        <v>2605.7752094044645</v>
      </c>
      <c r="H10" s="100">
        <v>1.2849596075089995</v>
      </c>
      <c r="I10" s="100">
        <v>700.04599417090287</v>
      </c>
      <c r="J10" s="100">
        <v>5</v>
      </c>
      <c r="K10" s="100">
        <v>2724</v>
      </c>
      <c r="L10" s="100">
        <v>5</v>
      </c>
      <c r="M10" s="100">
        <v>2724</v>
      </c>
      <c r="N10" s="100">
        <v>5</v>
      </c>
      <c r="O10" s="100">
        <v>2724</v>
      </c>
      <c r="P10" s="100">
        <v>7</v>
      </c>
      <c r="Q10" s="100">
        <v>3813.5999999999995</v>
      </c>
      <c r="R10" s="100">
        <v>6</v>
      </c>
      <c r="S10" s="100">
        <v>3268.7999999999997</v>
      </c>
      <c r="T10" s="100">
        <v>8.3312243439263813</v>
      </c>
      <c r="U10" s="100">
        <v>4538.8510225710925</v>
      </c>
      <c r="V10" s="100">
        <v>7.1132470504971899</v>
      </c>
      <c r="W10" s="100">
        <v>3875.2969931108687</v>
      </c>
      <c r="X10" s="100">
        <v>8</v>
      </c>
      <c r="Y10" s="100">
        <v>4358.3999999999996</v>
      </c>
      <c r="Z10" s="100">
        <v>10</v>
      </c>
      <c r="AA10" s="100">
        <v>5448</v>
      </c>
      <c r="AB10" s="100">
        <v>8</v>
      </c>
      <c r="AC10" s="100">
        <v>4358.3999999999996</v>
      </c>
      <c r="AD10" s="100">
        <v>7.3715677278260721</v>
      </c>
      <c r="AE10" s="100">
        <v>4016.0300981196438</v>
      </c>
      <c r="AF10" s="100">
        <v>4.5752555944807272</v>
      </c>
      <c r="AG10" s="100">
        <v>2492.5992478731</v>
      </c>
      <c r="AH10" s="100">
        <v>1.4311336573159767</v>
      </c>
      <c r="AI10" s="100">
        <v>779.68161650574405</v>
      </c>
      <c r="AJ10" s="100">
        <v>8</v>
      </c>
      <c r="AK10" s="100">
        <v>4358.3999999999996</v>
      </c>
      <c r="AL10" s="100">
        <v>9</v>
      </c>
      <c r="AM10" s="100">
        <v>4903.2</v>
      </c>
      <c r="AN10" s="100">
        <v>6</v>
      </c>
      <c r="AO10" s="100">
        <v>3268.7999999999997</v>
      </c>
      <c r="AP10" s="100">
        <v>7</v>
      </c>
      <c r="AQ10" s="100">
        <v>3813.5999999999995</v>
      </c>
      <c r="AR10" s="100">
        <v>6</v>
      </c>
      <c r="AS10" s="100">
        <v>3268.7999999999997</v>
      </c>
      <c r="AT10" s="100">
        <v>7</v>
      </c>
      <c r="AU10" s="100">
        <v>3813.5999999999995</v>
      </c>
      <c r="AV10" s="100">
        <v>5</v>
      </c>
      <c r="AW10" s="100">
        <v>2724</v>
      </c>
      <c r="AX10" s="100">
        <v>9</v>
      </c>
      <c r="AY10" s="100">
        <v>4903.2</v>
      </c>
      <c r="AZ10" s="100">
        <v>9.0094734918206054</v>
      </c>
      <c r="BA10" s="100">
        <v>4908.3611583438651</v>
      </c>
      <c r="BB10" s="100">
        <v>7</v>
      </c>
      <c r="BC10" s="100">
        <v>3813.5999999999995</v>
      </c>
      <c r="BD10" s="100">
        <v>2.7816245962088235</v>
      </c>
      <c r="BE10" s="100">
        <v>1515.429080014567</v>
      </c>
      <c r="BF10" s="100">
        <v>9</v>
      </c>
      <c r="BG10" s="100">
        <v>4903.2</v>
      </c>
      <c r="BH10" s="100">
        <v>7.2977491451015393</v>
      </c>
      <c r="BI10" s="100">
        <v>3975.8137342513182</v>
      </c>
      <c r="BJ10" s="100">
        <v>1.676516346399155</v>
      </c>
      <c r="BK10" s="100">
        <v>913.36610551825959</v>
      </c>
      <c r="BL10" s="100">
        <v>10.175886185357646</v>
      </c>
      <c r="BM10" s="100">
        <v>5543.8227937828451</v>
      </c>
      <c r="BN10" s="100">
        <v>6.1697891141098289</v>
      </c>
      <c r="BO10" s="100">
        <v>3361.3011093670343</v>
      </c>
      <c r="BP10" s="100">
        <v>9</v>
      </c>
      <c r="BQ10" s="100">
        <v>4903.2</v>
      </c>
      <c r="BR10" s="100">
        <v>8</v>
      </c>
      <c r="BS10" s="100">
        <v>4358.3999999999996</v>
      </c>
      <c r="BT10" s="100">
        <v>7</v>
      </c>
      <c r="BU10" s="100">
        <v>3813.5999999999995</v>
      </c>
      <c r="BV10" s="100">
        <v>10.764856905924708</v>
      </c>
      <c r="BW10" s="100">
        <v>5864.6940423477799</v>
      </c>
      <c r="BX10" s="100">
        <v>1.5184359283505042</v>
      </c>
      <c r="BY10" s="100">
        <v>827.24389376535464</v>
      </c>
      <c r="BZ10" s="100">
        <v>6</v>
      </c>
      <c r="CA10" s="100">
        <v>3268.7999999999997</v>
      </c>
      <c r="CB10" s="100">
        <v>7</v>
      </c>
      <c r="CC10" s="100">
        <v>3813.5999999999995</v>
      </c>
      <c r="CD10" s="100">
        <v>10</v>
      </c>
      <c r="CE10" s="100">
        <v>5448</v>
      </c>
      <c r="CF10" s="100">
        <v>9</v>
      </c>
      <c r="CG10" s="100">
        <v>4903.2</v>
      </c>
      <c r="CH10" s="100">
        <v>6.1140653683760826</v>
      </c>
      <c r="CI10" s="100">
        <v>3330.9428126912894</v>
      </c>
      <c r="CJ10" s="100">
        <v>7.5408195866215149</v>
      </c>
      <c r="CK10" s="100">
        <v>4108.2385107914006</v>
      </c>
      <c r="CL10" s="100">
        <v>3.612753093985538E-4</v>
      </c>
      <c r="CM10" s="100">
        <v>0.19682278856033208</v>
      </c>
      <c r="CN10" s="100">
        <v>8</v>
      </c>
      <c r="CO10" s="100">
        <v>4358.3999999999996</v>
      </c>
      <c r="CP10" s="100">
        <v>9</v>
      </c>
      <c r="CQ10" s="100">
        <v>4903.2</v>
      </c>
      <c r="CR10" s="100">
        <v>6.2312481194447642</v>
      </c>
      <c r="CS10" s="100">
        <v>3394.7839754735073</v>
      </c>
      <c r="CT10" s="100">
        <v>9.9171314514097944</v>
      </c>
      <c r="CU10" s="100">
        <v>5402.8532147280557</v>
      </c>
    </row>
    <row r="11" spans="1:99">
      <c r="C11" s="99" t="s">
        <v>177</v>
      </c>
      <c r="D11" s="100">
        <v>2.5885199875812201</v>
      </c>
      <c r="E11" s="100">
        <v>1379.1634493832739</v>
      </c>
      <c r="F11" s="100">
        <v>4.7829941435471088</v>
      </c>
      <c r="G11" s="100">
        <v>2548.3792796818993</v>
      </c>
      <c r="H11" s="100">
        <v>1.2849596075089995</v>
      </c>
      <c r="I11" s="100">
        <v>684.62647888079493</v>
      </c>
      <c r="J11" s="100">
        <v>5</v>
      </c>
      <c r="K11" s="100">
        <v>2664</v>
      </c>
      <c r="L11" s="100">
        <v>6</v>
      </c>
      <c r="M11" s="100">
        <v>3196.7999999999997</v>
      </c>
      <c r="N11" s="100">
        <v>5</v>
      </c>
      <c r="O11" s="100">
        <v>2664</v>
      </c>
      <c r="P11" s="100">
        <v>8</v>
      </c>
      <c r="Q11" s="100">
        <v>4262.3999999999996</v>
      </c>
      <c r="R11" s="100">
        <v>6</v>
      </c>
      <c r="S11" s="100">
        <v>3196.7999999999997</v>
      </c>
      <c r="T11" s="100">
        <v>7.3312243439263813</v>
      </c>
      <c r="U11" s="100">
        <v>3906.0763304439756</v>
      </c>
      <c r="V11" s="100">
        <v>8.1006640448863916</v>
      </c>
      <c r="W11" s="100">
        <v>4316.0338031154688</v>
      </c>
      <c r="X11" s="100">
        <v>9</v>
      </c>
      <c r="Y11" s="100">
        <v>4795.2</v>
      </c>
      <c r="Z11" s="100">
        <v>10</v>
      </c>
      <c r="AA11" s="100">
        <v>5328</v>
      </c>
      <c r="AB11" s="100">
        <v>9</v>
      </c>
      <c r="AC11" s="100">
        <v>4795.2</v>
      </c>
      <c r="AD11" s="100">
        <v>6.6764605771884211</v>
      </c>
      <c r="AE11" s="100">
        <v>3557.2181955259903</v>
      </c>
      <c r="AF11" s="100">
        <v>4.5752555944807272</v>
      </c>
      <c r="AG11" s="100">
        <v>2437.6961807393313</v>
      </c>
      <c r="AH11" s="100">
        <v>1.6696559335353063</v>
      </c>
      <c r="AI11" s="100">
        <v>889.59268138761115</v>
      </c>
      <c r="AJ11" s="100">
        <v>8</v>
      </c>
      <c r="AK11" s="100">
        <v>4262.3999999999996</v>
      </c>
      <c r="AL11" s="100">
        <v>8</v>
      </c>
      <c r="AM11" s="100">
        <v>4262.3999999999996</v>
      </c>
      <c r="AN11" s="100">
        <v>7</v>
      </c>
      <c r="AO11" s="100">
        <v>3729.5999999999995</v>
      </c>
      <c r="AP11" s="100">
        <v>7</v>
      </c>
      <c r="AQ11" s="100">
        <v>3729.5999999999995</v>
      </c>
      <c r="AR11" s="100">
        <v>7</v>
      </c>
      <c r="AS11" s="100">
        <v>3729.5999999999995</v>
      </c>
      <c r="AT11" s="100">
        <v>7</v>
      </c>
      <c r="AU11" s="100">
        <v>3729.5999999999995</v>
      </c>
      <c r="AV11" s="100">
        <v>5</v>
      </c>
      <c r="AW11" s="100">
        <v>2664</v>
      </c>
      <c r="AX11" s="100">
        <v>9</v>
      </c>
      <c r="AY11" s="100">
        <v>4795.2</v>
      </c>
      <c r="AZ11" s="100">
        <v>10.009473491820605</v>
      </c>
      <c r="BA11" s="100">
        <v>5333.0474764420178</v>
      </c>
      <c r="BB11" s="100">
        <v>6</v>
      </c>
      <c r="BC11" s="100">
        <v>3196.7999999999997</v>
      </c>
      <c r="BD11" s="100">
        <v>2.4725551966300654</v>
      </c>
      <c r="BE11" s="100">
        <v>1317.3774087644988</v>
      </c>
      <c r="BF11" s="100">
        <v>9</v>
      </c>
      <c r="BG11" s="100">
        <v>4795.2</v>
      </c>
      <c r="BH11" s="100">
        <v>6.3308323834461548</v>
      </c>
      <c r="BI11" s="100">
        <v>3373.067493900111</v>
      </c>
      <c r="BJ11" s="100">
        <v>1.9160186815990343</v>
      </c>
      <c r="BK11" s="100">
        <v>1020.8547535559654</v>
      </c>
      <c r="BL11" s="100">
        <v>9.1978719585273527</v>
      </c>
      <c r="BM11" s="100">
        <v>4900.6261795033734</v>
      </c>
      <c r="BN11" s="100">
        <v>5.3985654748461007</v>
      </c>
      <c r="BO11" s="100">
        <v>2876.3556849980023</v>
      </c>
      <c r="BP11" s="100">
        <v>9</v>
      </c>
      <c r="BQ11" s="100">
        <v>4795.2</v>
      </c>
      <c r="BR11" s="100">
        <v>8</v>
      </c>
      <c r="BS11" s="100">
        <v>4262.3999999999996</v>
      </c>
      <c r="BT11" s="100">
        <v>7</v>
      </c>
      <c r="BU11" s="100">
        <v>3729.5999999999995</v>
      </c>
      <c r="BV11" s="100">
        <v>8.8630873891175774</v>
      </c>
      <c r="BW11" s="100">
        <v>4722.2529609218445</v>
      </c>
      <c r="BX11" s="100">
        <v>1.5184359283505042</v>
      </c>
      <c r="BY11" s="100">
        <v>809.02266262514854</v>
      </c>
      <c r="BZ11" s="100">
        <v>7</v>
      </c>
      <c r="CA11" s="100">
        <v>3729.5999999999995</v>
      </c>
      <c r="CB11" s="100">
        <v>8</v>
      </c>
      <c r="CC11" s="100">
        <v>4262.3999999999996</v>
      </c>
      <c r="CD11" s="100">
        <v>10</v>
      </c>
      <c r="CE11" s="100">
        <v>5328</v>
      </c>
      <c r="CF11" s="100">
        <v>10</v>
      </c>
      <c r="CG11" s="100">
        <v>5328</v>
      </c>
      <c r="CH11" s="100">
        <v>6.1140653683760826</v>
      </c>
      <c r="CI11" s="100">
        <v>3257.5740282707766</v>
      </c>
      <c r="CJ11" s="100">
        <v>7.5286540965734359</v>
      </c>
      <c r="CK11" s="100">
        <v>4011.2669026543263</v>
      </c>
      <c r="CL11" s="100">
        <v>3.612753093985538E-4</v>
      </c>
      <c r="CM11" s="100">
        <v>0.19248748484754946</v>
      </c>
      <c r="CN11" s="100">
        <v>7</v>
      </c>
      <c r="CO11" s="100">
        <v>3729.5999999999995</v>
      </c>
      <c r="CP11" s="100">
        <v>9</v>
      </c>
      <c r="CQ11" s="100">
        <v>4795.2</v>
      </c>
      <c r="CR11" s="100">
        <v>5.2023421045141687</v>
      </c>
      <c r="CS11" s="100">
        <v>2771.8078732851486</v>
      </c>
      <c r="CT11" s="100">
        <v>10.908844596550773</v>
      </c>
      <c r="CU11" s="100">
        <v>5812.2324010422517</v>
      </c>
    </row>
    <row r="12" spans="1:99">
      <c r="C12" s="99" t="s">
        <v>178</v>
      </c>
      <c r="D12" s="100">
        <v>3.2356499844765252</v>
      </c>
      <c r="E12" s="100">
        <v>1821.0238112633883</v>
      </c>
      <c r="F12" s="100">
        <v>4.0226647161708335</v>
      </c>
      <c r="G12" s="100">
        <v>2263.9557022609451</v>
      </c>
      <c r="H12" s="100">
        <v>1.2849596075089995</v>
      </c>
      <c r="I12" s="100">
        <v>723.17526710606489</v>
      </c>
      <c r="J12" s="100">
        <v>5</v>
      </c>
      <c r="K12" s="100">
        <v>2814</v>
      </c>
      <c r="L12" s="100">
        <v>6</v>
      </c>
      <c r="M12" s="100">
        <v>3376.7999999999997</v>
      </c>
      <c r="N12" s="100">
        <v>5</v>
      </c>
      <c r="O12" s="100">
        <v>2814</v>
      </c>
      <c r="P12" s="100">
        <v>7</v>
      </c>
      <c r="Q12" s="100">
        <v>3939.5999999999995</v>
      </c>
      <c r="R12" s="100">
        <v>6</v>
      </c>
      <c r="S12" s="100">
        <v>3376.7999999999997</v>
      </c>
      <c r="T12" s="100">
        <v>7.2839065805083267</v>
      </c>
      <c r="U12" s="100">
        <v>4099.382623510086</v>
      </c>
      <c r="V12" s="100">
        <v>7.1006640448863916</v>
      </c>
      <c r="W12" s="100">
        <v>3996.2537244620607</v>
      </c>
      <c r="X12" s="100">
        <v>9</v>
      </c>
      <c r="Y12" s="100">
        <v>5065.2</v>
      </c>
      <c r="Z12" s="100">
        <v>10</v>
      </c>
      <c r="AA12" s="100">
        <v>5628</v>
      </c>
      <c r="AB12" s="100">
        <v>8</v>
      </c>
      <c r="AC12" s="100">
        <v>4502.3999999999996</v>
      </c>
      <c r="AD12" s="100">
        <v>6.6501795633478231</v>
      </c>
      <c r="AE12" s="100">
        <v>3742.7210582521548</v>
      </c>
      <c r="AF12" s="100">
        <v>4.0913910991123092</v>
      </c>
      <c r="AG12" s="100">
        <v>2302.6349105804074</v>
      </c>
      <c r="AH12" s="100">
        <v>1.4311336573159767</v>
      </c>
      <c r="AI12" s="100">
        <v>805.44202233743169</v>
      </c>
      <c r="AJ12" s="100">
        <v>10</v>
      </c>
      <c r="AK12" s="100">
        <v>5628</v>
      </c>
      <c r="AL12" s="100">
        <v>9</v>
      </c>
      <c r="AM12" s="100">
        <v>5065.2</v>
      </c>
      <c r="AN12" s="100">
        <v>6</v>
      </c>
      <c r="AO12" s="100">
        <v>3376.7999999999997</v>
      </c>
      <c r="AP12" s="100">
        <v>7</v>
      </c>
      <c r="AQ12" s="100">
        <v>3939.5999999999995</v>
      </c>
      <c r="AR12" s="100">
        <v>6</v>
      </c>
      <c r="AS12" s="100">
        <v>3376.7999999999997</v>
      </c>
      <c r="AT12" s="100">
        <v>7</v>
      </c>
      <c r="AU12" s="100">
        <v>3939.5999999999995</v>
      </c>
      <c r="AV12" s="100">
        <v>5</v>
      </c>
      <c r="AW12" s="100">
        <v>2814</v>
      </c>
      <c r="AX12" s="100">
        <v>8</v>
      </c>
      <c r="AY12" s="100">
        <v>4502.3999999999996</v>
      </c>
      <c r="AZ12" s="100">
        <v>10.011052407124041</v>
      </c>
      <c r="BA12" s="100">
        <v>5634.2202947294099</v>
      </c>
      <c r="BB12" s="100">
        <v>7</v>
      </c>
      <c r="BC12" s="100">
        <v>3939.5999999999995</v>
      </c>
      <c r="BD12" s="100">
        <v>2.4725551966300654</v>
      </c>
      <c r="BE12" s="100">
        <v>1391.5540646634006</v>
      </c>
      <c r="BF12" s="100">
        <v>10</v>
      </c>
      <c r="BG12" s="100">
        <v>5628</v>
      </c>
      <c r="BH12" s="100">
        <v>7.2977491451015393</v>
      </c>
      <c r="BI12" s="100">
        <v>4107.1732188631458</v>
      </c>
      <c r="BJ12" s="100">
        <v>1.9160186815990343</v>
      </c>
      <c r="BK12" s="100">
        <v>1078.3353140039364</v>
      </c>
      <c r="BL12" s="100">
        <v>9.1758861853576459</v>
      </c>
      <c r="BM12" s="100">
        <v>5164.1887451192824</v>
      </c>
      <c r="BN12" s="100">
        <v>5.3985654748461007</v>
      </c>
      <c r="BO12" s="100">
        <v>3038.3126492433853</v>
      </c>
      <c r="BP12" s="100">
        <v>8</v>
      </c>
      <c r="BQ12" s="100">
        <v>4502.3999999999996</v>
      </c>
      <c r="BR12" s="100">
        <v>8</v>
      </c>
      <c r="BS12" s="100">
        <v>4502.3999999999996</v>
      </c>
      <c r="BT12" s="100">
        <v>7</v>
      </c>
      <c r="BU12" s="100">
        <v>3939.5999999999995</v>
      </c>
      <c r="BV12" s="100">
        <v>10.764856905924708</v>
      </c>
      <c r="BW12" s="100">
        <v>6058.4614666544248</v>
      </c>
      <c r="BX12" s="100">
        <v>1.5184359283505042</v>
      </c>
      <c r="BY12" s="100">
        <v>854.57574047566368</v>
      </c>
      <c r="BZ12" s="100">
        <v>7</v>
      </c>
      <c r="CA12" s="100">
        <v>3939.5999999999995</v>
      </c>
      <c r="CB12" s="100">
        <v>7</v>
      </c>
      <c r="CC12" s="100">
        <v>3939.5999999999995</v>
      </c>
      <c r="CD12" s="100">
        <v>9</v>
      </c>
      <c r="CE12" s="100">
        <v>5065.2</v>
      </c>
      <c r="CF12" s="100">
        <v>8</v>
      </c>
      <c r="CG12" s="100">
        <v>4502.3999999999996</v>
      </c>
      <c r="CH12" s="100">
        <v>5.4347247718898508</v>
      </c>
      <c r="CI12" s="100">
        <v>3058.6631016196079</v>
      </c>
      <c r="CJ12" s="100">
        <v>8.351654007250394</v>
      </c>
      <c r="CK12" s="100">
        <v>4700.310875280521</v>
      </c>
      <c r="CL12" s="100">
        <v>4.3353037127826454E-4</v>
      </c>
      <c r="CM12" s="100">
        <v>0.24399089295540727</v>
      </c>
      <c r="CN12" s="100">
        <v>8</v>
      </c>
      <c r="CO12" s="100">
        <v>4502.3999999999996</v>
      </c>
      <c r="CP12" s="100">
        <v>10</v>
      </c>
      <c r="CQ12" s="100">
        <v>5628</v>
      </c>
      <c r="CR12" s="100">
        <v>6.2312481194447642</v>
      </c>
      <c r="CS12" s="100">
        <v>3506.9464416235128</v>
      </c>
      <c r="CT12" s="100">
        <v>10.908844596550773</v>
      </c>
      <c r="CU12" s="100">
        <v>6139.497738938775</v>
      </c>
    </row>
    <row r="13" spans="1:99">
      <c r="C13" s="99" t="s">
        <v>179</v>
      </c>
      <c r="D13" s="100">
        <v>3.2356499844765252</v>
      </c>
      <c r="E13" s="100">
        <v>275.67737867739993</v>
      </c>
      <c r="F13" s="100">
        <v>4.7829941435471088</v>
      </c>
      <c r="G13" s="100">
        <v>407.51110103021369</v>
      </c>
      <c r="H13" s="100">
        <v>1.5419515290107995</v>
      </c>
      <c r="I13" s="100">
        <v>131.37427027172012</v>
      </c>
      <c r="J13" s="100">
        <v>5</v>
      </c>
      <c r="K13" s="100">
        <v>426</v>
      </c>
      <c r="L13" s="100">
        <v>6</v>
      </c>
      <c r="M13" s="100">
        <v>511.20000000000005</v>
      </c>
      <c r="N13" s="100">
        <v>5</v>
      </c>
      <c r="O13" s="100">
        <v>426</v>
      </c>
      <c r="P13" s="100">
        <v>8</v>
      </c>
      <c r="Q13" s="100">
        <v>681.6</v>
      </c>
      <c r="R13" s="100">
        <v>7</v>
      </c>
      <c r="S13" s="100">
        <v>596.4</v>
      </c>
      <c r="T13" s="100">
        <v>7.3312243439263813</v>
      </c>
      <c r="U13" s="100">
        <v>624.62031410252769</v>
      </c>
      <c r="V13" s="100">
        <v>8.1006640448863916</v>
      </c>
      <c r="W13" s="100">
        <v>690.17657662432055</v>
      </c>
      <c r="X13" s="100">
        <v>8</v>
      </c>
      <c r="Y13" s="100">
        <v>681.6</v>
      </c>
      <c r="Z13" s="100">
        <v>10</v>
      </c>
      <c r="AA13" s="100">
        <v>852</v>
      </c>
      <c r="AB13" s="100">
        <v>9</v>
      </c>
      <c r="AC13" s="100">
        <v>766.80000000000007</v>
      </c>
      <c r="AD13" s="100">
        <v>5.9550724127101731</v>
      </c>
      <c r="AE13" s="100">
        <v>507.37216956290678</v>
      </c>
      <c r="AF13" s="100">
        <v>4.5552124002839109</v>
      </c>
      <c r="AG13" s="100">
        <v>388.10409650418922</v>
      </c>
      <c r="AH13" s="100">
        <v>1.4311336573159767</v>
      </c>
      <c r="AI13" s="100">
        <v>121.93258760332122</v>
      </c>
      <c r="AJ13" s="100">
        <v>9</v>
      </c>
      <c r="AK13" s="100">
        <v>766.80000000000007</v>
      </c>
      <c r="AL13" s="100">
        <v>9</v>
      </c>
      <c r="AM13" s="100">
        <v>766.80000000000007</v>
      </c>
      <c r="AN13" s="100">
        <v>6</v>
      </c>
      <c r="AO13" s="100">
        <v>511.20000000000005</v>
      </c>
      <c r="AP13" s="100">
        <v>8</v>
      </c>
      <c r="AQ13" s="100">
        <v>681.6</v>
      </c>
      <c r="AR13" s="100">
        <v>6</v>
      </c>
      <c r="AS13" s="100">
        <v>511.20000000000005</v>
      </c>
      <c r="AT13" s="100">
        <v>7</v>
      </c>
      <c r="AU13" s="100">
        <v>596.4</v>
      </c>
      <c r="AV13" s="100">
        <v>5</v>
      </c>
      <c r="AW13" s="100">
        <v>426</v>
      </c>
      <c r="AX13" s="100">
        <v>8</v>
      </c>
      <c r="AY13" s="100">
        <v>681.6</v>
      </c>
      <c r="AZ13" s="100">
        <v>9.0094734918206054</v>
      </c>
      <c r="BA13" s="100">
        <v>767.6071415031156</v>
      </c>
      <c r="BB13" s="100">
        <v>7</v>
      </c>
      <c r="BC13" s="100">
        <v>596.4</v>
      </c>
      <c r="BD13" s="100">
        <v>2.4725551966300654</v>
      </c>
      <c r="BE13" s="100">
        <v>210.66170275288158</v>
      </c>
      <c r="BF13" s="100">
        <v>8</v>
      </c>
      <c r="BG13" s="100">
        <v>681.6</v>
      </c>
      <c r="BH13" s="100">
        <v>7.2977491451015393</v>
      </c>
      <c r="BI13" s="100">
        <v>621.76822716265121</v>
      </c>
      <c r="BJ13" s="100">
        <v>2.1555210167989132</v>
      </c>
      <c r="BK13" s="100">
        <v>183.65039063126741</v>
      </c>
      <c r="BL13" s="100">
        <v>8.1978719585273527</v>
      </c>
      <c r="BM13" s="100">
        <v>698.45869086653045</v>
      </c>
      <c r="BN13" s="100">
        <v>5.3985654748461007</v>
      </c>
      <c r="BO13" s="100">
        <v>459.95777845688781</v>
      </c>
      <c r="BP13" s="100">
        <v>9</v>
      </c>
      <c r="BQ13" s="100">
        <v>766.80000000000007</v>
      </c>
      <c r="BR13" s="100">
        <v>8</v>
      </c>
      <c r="BS13" s="100">
        <v>681.6</v>
      </c>
      <c r="BT13" s="100">
        <v>7</v>
      </c>
      <c r="BU13" s="100">
        <v>596.4</v>
      </c>
      <c r="BV13" s="100">
        <v>10.808446129279776</v>
      </c>
      <c r="BW13" s="100">
        <v>920.87961021463695</v>
      </c>
      <c r="BX13" s="100">
        <v>1.7715085830755881</v>
      </c>
      <c r="BY13" s="100">
        <v>150.9325312780401</v>
      </c>
      <c r="BZ13" s="100">
        <v>6</v>
      </c>
      <c r="CA13" s="100">
        <v>511.20000000000005</v>
      </c>
      <c r="CB13" s="100">
        <v>8</v>
      </c>
      <c r="CC13" s="100">
        <v>681.6</v>
      </c>
      <c r="CD13" s="100">
        <v>10</v>
      </c>
      <c r="CE13" s="100">
        <v>852</v>
      </c>
      <c r="CF13" s="100">
        <v>9</v>
      </c>
      <c r="CG13" s="100">
        <v>766.80000000000007</v>
      </c>
      <c r="CH13" s="100">
        <v>5.4347247718898508</v>
      </c>
      <c r="CI13" s="100">
        <v>463.03855056501533</v>
      </c>
      <c r="CJ13" s="100">
        <v>8.351654007250394</v>
      </c>
      <c r="CK13" s="100">
        <v>711.56092141773354</v>
      </c>
      <c r="CL13" s="100">
        <v>4.3353037127826454E-4</v>
      </c>
      <c r="CM13" s="100">
        <v>3.6936787632908141E-2</v>
      </c>
      <c r="CN13" s="100">
        <v>7</v>
      </c>
      <c r="CO13" s="100">
        <v>596.4</v>
      </c>
      <c r="CP13" s="100">
        <v>9</v>
      </c>
      <c r="CQ13" s="100">
        <v>766.80000000000007</v>
      </c>
      <c r="CR13" s="100">
        <v>6.2312481194447642</v>
      </c>
      <c r="CS13" s="100">
        <v>530.90233977669391</v>
      </c>
      <c r="CT13" s="100">
        <v>9.9171314514097944</v>
      </c>
      <c r="CU13" s="100">
        <v>844.93959966011448</v>
      </c>
    </row>
    <row r="14" spans="1:99">
      <c r="C14" s="99" t="s">
        <v>180</v>
      </c>
      <c r="D14" s="100">
        <v>3.2356499844765252</v>
      </c>
      <c r="E14" s="100">
        <v>1580.2914524183348</v>
      </c>
      <c r="F14" s="100">
        <v>4.7829941435471088</v>
      </c>
      <c r="G14" s="100">
        <v>2336.014339708408</v>
      </c>
      <c r="H14" s="100">
        <v>1.2849596075089995</v>
      </c>
      <c r="I14" s="100">
        <v>627.57427230739529</v>
      </c>
      <c r="J14" s="100">
        <v>4</v>
      </c>
      <c r="K14" s="100">
        <v>1953.6</v>
      </c>
      <c r="L14" s="100">
        <v>5</v>
      </c>
      <c r="M14" s="100">
        <v>2442</v>
      </c>
      <c r="N14" s="100">
        <v>5</v>
      </c>
      <c r="O14" s="100">
        <v>2442</v>
      </c>
      <c r="P14" s="100">
        <v>8</v>
      </c>
      <c r="Q14" s="100">
        <v>3907.2</v>
      </c>
      <c r="R14" s="100">
        <v>6</v>
      </c>
      <c r="S14" s="100">
        <v>2930.3999999999996</v>
      </c>
      <c r="T14" s="100">
        <v>8.2839065805083276</v>
      </c>
      <c r="U14" s="100">
        <v>4045.8599739202668</v>
      </c>
      <c r="V14" s="100">
        <v>7.1006640448863916</v>
      </c>
      <c r="W14" s="100">
        <v>3467.9643195225135</v>
      </c>
      <c r="X14" s="100">
        <v>9</v>
      </c>
      <c r="Y14" s="100">
        <v>4395.5999999999995</v>
      </c>
      <c r="Z14" s="100">
        <v>8</v>
      </c>
      <c r="AA14" s="100">
        <v>3907.2</v>
      </c>
      <c r="AB14" s="100">
        <v>9</v>
      </c>
      <c r="AC14" s="100">
        <v>4395.5999999999995</v>
      </c>
      <c r="AD14" s="100">
        <v>5.9550724127101731</v>
      </c>
      <c r="AE14" s="100">
        <v>2908.4573663676483</v>
      </c>
      <c r="AF14" s="100">
        <v>4.5752555944807272</v>
      </c>
      <c r="AG14" s="100">
        <v>2234.5548323443873</v>
      </c>
      <c r="AH14" s="100">
        <v>1.6696559335353063</v>
      </c>
      <c r="AI14" s="100">
        <v>815.45995793864358</v>
      </c>
      <c r="AJ14" s="100">
        <v>10</v>
      </c>
      <c r="AK14" s="100">
        <v>4884</v>
      </c>
      <c r="AL14" s="100">
        <v>9</v>
      </c>
      <c r="AM14" s="100">
        <v>4395.5999999999995</v>
      </c>
      <c r="AN14" s="100">
        <v>6</v>
      </c>
      <c r="AO14" s="100">
        <v>2930.3999999999996</v>
      </c>
      <c r="AP14" s="100">
        <v>7</v>
      </c>
      <c r="AQ14" s="100">
        <v>3418.7999999999997</v>
      </c>
      <c r="AR14" s="100">
        <v>7</v>
      </c>
      <c r="AS14" s="100">
        <v>3418.7999999999997</v>
      </c>
      <c r="AT14" s="100">
        <v>6</v>
      </c>
      <c r="AU14" s="100">
        <v>2930.3999999999996</v>
      </c>
      <c r="AV14" s="100">
        <v>6</v>
      </c>
      <c r="AW14" s="100">
        <v>2930.3999999999996</v>
      </c>
      <c r="AX14" s="100">
        <v>8</v>
      </c>
      <c r="AY14" s="100">
        <v>3907.2</v>
      </c>
      <c r="AZ14" s="100">
        <v>10.009473491820605</v>
      </c>
      <c r="BA14" s="100">
        <v>4888.6268534051833</v>
      </c>
      <c r="BB14" s="100">
        <v>6</v>
      </c>
      <c r="BC14" s="100">
        <v>2930.3999999999996</v>
      </c>
      <c r="BD14" s="100">
        <v>2.7816245962088235</v>
      </c>
      <c r="BE14" s="100">
        <v>1358.5454527883894</v>
      </c>
      <c r="BF14" s="100">
        <v>8</v>
      </c>
      <c r="BG14" s="100">
        <v>3907.2</v>
      </c>
      <c r="BH14" s="100">
        <v>7.2977491451015393</v>
      </c>
      <c r="BI14" s="100">
        <v>3564.2206824675918</v>
      </c>
      <c r="BJ14" s="100">
        <v>1.9160186815990343</v>
      </c>
      <c r="BK14" s="100">
        <v>935.78352409296826</v>
      </c>
      <c r="BL14" s="100">
        <v>8.1758861853576459</v>
      </c>
      <c r="BM14" s="100">
        <v>3993.1028129286742</v>
      </c>
      <c r="BN14" s="100">
        <v>5.3985654748461007</v>
      </c>
      <c r="BO14" s="100">
        <v>2636.6593779148357</v>
      </c>
      <c r="BP14" s="100">
        <v>8</v>
      </c>
      <c r="BQ14" s="100">
        <v>3907.2</v>
      </c>
      <c r="BR14" s="100">
        <v>8</v>
      </c>
      <c r="BS14" s="100">
        <v>3907.2</v>
      </c>
      <c r="BT14" s="100">
        <v>7</v>
      </c>
      <c r="BU14" s="100">
        <v>3418.7999999999997</v>
      </c>
      <c r="BV14" s="100">
        <v>9.8139721475211434</v>
      </c>
      <c r="BW14" s="100">
        <v>4793.143996849326</v>
      </c>
      <c r="BX14" s="100">
        <v>1.7715085830755881</v>
      </c>
      <c r="BY14" s="100">
        <v>865.20479197411714</v>
      </c>
      <c r="BZ14" s="100">
        <v>6</v>
      </c>
      <c r="CA14" s="100">
        <v>2930.3999999999996</v>
      </c>
      <c r="CB14" s="100">
        <v>8</v>
      </c>
      <c r="CC14" s="100">
        <v>3907.2</v>
      </c>
      <c r="CD14" s="100">
        <v>10</v>
      </c>
      <c r="CE14" s="100">
        <v>4884</v>
      </c>
      <c r="CF14" s="100">
        <v>8</v>
      </c>
      <c r="CG14" s="100">
        <v>3907.2</v>
      </c>
      <c r="CH14" s="100">
        <v>5.4347247718898508</v>
      </c>
      <c r="CI14" s="100">
        <v>2654.3195785910029</v>
      </c>
      <c r="CJ14" s="100">
        <v>7.5286540965734359</v>
      </c>
      <c r="CK14" s="100">
        <v>3676.994660766466</v>
      </c>
      <c r="CL14" s="100">
        <v>3.612753093985538E-4</v>
      </c>
      <c r="CM14" s="100">
        <v>0.17644686111025368</v>
      </c>
      <c r="CN14" s="100">
        <v>7</v>
      </c>
      <c r="CO14" s="100">
        <v>3418.7999999999997</v>
      </c>
      <c r="CP14" s="100">
        <v>8</v>
      </c>
      <c r="CQ14" s="100">
        <v>3907.2</v>
      </c>
      <c r="CR14" s="100">
        <v>6.2023421045141687</v>
      </c>
      <c r="CS14" s="100">
        <v>3029.2238838447197</v>
      </c>
      <c r="CT14" s="100">
        <v>10.908844596550773</v>
      </c>
      <c r="CU14" s="100">
        <v>5327.8797009553973</v>
      </c>
    </row>
    <row r="15" spans="1:99">
      <c r="C15" s="99" t="s">
        <v>181</v>
      </c>
      <c r="D15" s="100">
        <v>3.2356499844765252</v>
      </c>
      <c r="E15" s="100">
        <v>2469.4480681524838</v>
      </c>
      <c r="F15" s="100">
        <v>4.7829941435471088</v>
      </c>
      <c r="G15" s="100">
        <v>3650.3811303551533</v>
      </c>
      <c r="H15" s="100">
        <v>1.2849596075089995</v>
      </c>
      <c r="I15" s="100">
        <v>980.6811724508683</v>
      </c>
      <c r="J15" s="100">
        <v>5</v>
      </c>
      <c r="K15" s="100">
        <v>3815.9999999999995</v>
      </c>
      <c r="L15" s="100">
        <v>5</v>
      </c>
      <c r="M15" s="100">
        <v>3815.9999999999995</v>
      </c>
      <c r="N15" s="100">
        <v>5</v>
      </c>
      <c r="O15" s="100">
        <v>3815.9999999999995</v>
      </c>
      <c r="P15" s="100">
        <v>7</v>
      </c>
      <c r="Q15" s="100">
        <v>5342.4</v>
      </c>
      <c r="R15" s="100">
        <v>7</v>
      </c>
      <c r="S15" s="100">
        <v>5342.4</v>
      </c>
      <c r="T15" s="100">
        <v>7.2839065805083267</v>
      </c>
      <c r="U15" s="100">
        <v>5559.0775022439548</v>
      </c>
      <c r="V15" s="100">
        <v>8.1132470504971899</v>
      </c>
      <c r="W15" s="100">
        <v>6192.0301489394551</v>
      </c>
      <c r="X15" s="100">
        <v>8</v>
      </c>
      <c r="Y15" s="100">
        <v>6105.5999999999995</v>
      </c>
      <c r="Z15" s="100">
        <v>8</v>
      </c>
      <c r="AA15" s="100">
        <v>6105.5999999999995</v>
      </c>
      <c r="AB15" s="100">
        <v>7</v>
      </c>
      <c r="AC15" s="100">
        <v>5342.4</v>
      </c>
      <c r="AD15" s="100">
        <v>6.6764605771884211</v>
      </c>
      <c r="AE15" s="100">
        <v>5095.4747125102022</v>
      </c>
      <c r="AF15" s="100">
        <v>4.0913910991123092</v>
      </c>
      <c r="AG15" s="100">
        <v>3122.5496868425143</v>
      </c>
      <c r="AH15" s="100">
        <v>1.6696559335353063</v>
      </c>
      <c r="AI15" s="100">
        <v>1274.2814084741456</v>
      </c>
      <c r="AJ15" s="100">
        <v>9</v>
      </c>
      <c r="AK15" s="100">
        <v>6868.7999999999993</v>
      </c>
      <c r="AL15" s="100">
        <v>8</v>
      </c>
      <c r="AM15" s="100">
        <v>6105.5999999999995</v>
      </c>
      <c r="AN15" s="100">
        <v>6</v>
      </c>
      <c r="AO15" s="100">
        <v>4579.2</v>
      </c>
      <c r="AP15" s="100">
        <v>7</v>
      </c>
      <c r="AQ15" s="100">
        <v>5342.4</v>
      </c>
      <c r="AR15" s="100">
        <v>7</v>
      </c>
      <c r="AS15" s="100">
        <v>5342.4</v>
      </c>
      <c r="AT15" s="100">
        <v>6</v>
      </c>
      <c r="AU15" s="100">
        <v>4579.2</v>
      </c>
      <c r="AV15" s="100">
        <v>5</v>
      </c>
      <c r="AW15" s="100">
        <v>3815.9999999999995</v>
      </c>
      <c r="AX15" s="100">
        <v>9</v>
      </c>
      <c r="AY15" s="100">
        <v>6868.7999999999993</v>
      </c>
      <c r="AZ15" s="100">
        <v>10.009473491820605</v>
      </c>
      <c r="BA15" s="100">
        <v>7639.2301689574851</v>
      </c>
      <c r="BB15" s="100">
        <v>6</v>
      </c>
      <c r="BC15" s="100">
        <v>4579.2</v>
      </c>
      <c r="BD15" s="100">
        <v>2.4725551966300654</v>
      </c>
      <c r="BE15" s="100">
        <v>1887.0541260680657</v>
      </c>
      <c r="BF15" s="100">
        <v>10</v>
      </c>
      <c r="BG15" s="100">
        <v>7631.9999999999991</v>
      </c>
      <c r="BH15" s="100">
        <v>6.2977491451015393</v>
      </c>
      <c r="BI15" s="100">
        <v>4806.4421475414947</v>
      </c>
      <c r="BJ15" s="100">
        <v>1.9160186815990343</v>
      </c>
      <c r="BK15" s="100">
        <v>1462.3054577963828</v>
      </c>
      <c r="BL15" s="100">
        <v>8.1758861853576459</v>
      </c>
      <c r="BM15" s="100">
        <v>6239.8363366649546</v>
      </c>
      <c r="BN15" s="100">
        <v>5.3985654748461007</v>
      </c>
      <c r="BO15" s="100">
        <v>4120.1851704025439</v>
      </c>
      <c r="BP15" s="100">
        <v>9</v>
      </c>
      <c r="BQ15" s="100">
        <v>6868.7999999999993</v>
      </c>
      <c r="BR15" s="100">
        <v>8</v>
      </c>
      <c r="BS15" s="100">
        <v>6105.5999999999995</v>
      </c>
      <c r="BT15" s="100">
        <v>7</v>
      </c>
      <c r="BU15" s="100">
        <v>5342.4</v>
      </c>
      <c r="BV15" s="100">
        <v>10.764856905924708</v>
      </c>
      <c r="BW15" s="100">
        <v>8215.7387906017357</v>
      </c>
      <c r="BX15" s="100">
        <v>1.5184359283505042</v>
      </c>
      <c r="BY15" s="100">
        <v>1158.8703005171046</v>
      </c>
      <c r="BZ15" s="100">
        <v>6</v>
      </c>
      <c r="CA15" s="100">
        <v>4579.2</v>
      </c>
      <c r="CB15" s="100">
        <v>7</v>
      </c>
      <c r="CC15" s="100">
        <v>5342.4</v>
      </c>
      <c r="CD15" s="100">
        <v>10</v>
      </c>
      <c r="CE15" s="100">
        <v>7631.9999999999991</v>
      </c>
      <c r="CF15" s="100">
        <v>9</v>
      </c>
      <c r="CG15" s="100">
        <v>6868.7999999999993</v>
      </c>
      <c r="CH15" s="100">
        <v>5.4347247718898508</v>
      </c>
      <c r="CI15" s="100">
        <v>4147.7819459063339</v>
      </c>
      <c r="CJ15" s="100">
        <v>8.351654007250394</v>
      </c>
      <c r="CK15" s="100">
        <v>6373.9823383334997</v>
      </c>
      <c r="CL15" s="100">
        <v>4.3353037127826454E-4</v>
      </c>
      <c r="CM15" s="100">
        <v>0.33087037935957148</v>
      </c>
      <c r="CN15" s="100">
        <v>7</v>
      </c>
      <c r="CO15" s="100">
        <v>5342.4</v>
      </c>
      <c r="CP15" s="100">
        <v>9</v>
      </c>
      <c r="CQ15" s="100">
        <v>6868.7999999999993</v>
      </c>
      <c r="CR15" s="100">
        <v>6.2312481194447642</v>
      </c>
      <c r="CS15" s="100">
        <v>4755.6885647602439</v>
      </c>
      <c r="CT15" s="100">
        <v>10.908844596550773</v>
      </c>
      <c r="CU15" s="100">
        <v>8325.6301960875498</v>
      </c>
    </row>
    <row r="16" spans="1:99">
      <c r="C16" s="99" t="s">
        <v>182</v>
      </c>
      <c r="D16" s="100">
        <v>3.2356499844765252</v>
      </c>
      <c r="E16" s="100">
        <v>1102.7095147095997</v>
      </c>
      <c r="F16" s="100">
        <v>4.7829941435471088</v>
      </c>
      <c r="G16" s="100">
        <v>1630.0444041208548</v>
      </c>
      <c r="H16" s="100">
        <v>1.5419515290107995</v>
      </c>
      <c r="I16" s="100">
        <v>525.49708108688048</v>
      </c>
      <c r="J16" s="100">
        <v>5</v>
      </c>
      <c r="K16" s="100">
        <v>1704</v>
      </c>
      <c r="L16" s="100">
        <v>5</v>
      </c>
      <c r="M16" s="100">
        <v>1704</v>
      </c>
      <c r="N16" s="100">
        <v>5</v>
      </c>
      <c r="O16" s="100">
        <v>1704</v>
      </c>
      <c r="P16" s="100">
        <v>7</v>
      </c>
      <c r="Q16" s="100">
        <v>2385.6</v>
      </c>
      <c r="R16" s="100">
        <v>7</v>
      </c>
      <c r="S16" s="100">
        <v>2385.6</v>
      </c>
      <c r="T16" s="100">
        <v>7.2839065805083267</v>
      </c>
      <c r="U16" s="100">
        <v>2482.3553626372377</v>
      </c>
      <c r="V16" s="100">
        <v>7.1006640448863916</v>
      </c>
      <c r="W16" s="100">
        <v>2419.9063064972825</v>
      </c>
      <c r="X16" s="100">
        <v>9</v>
      </c>
      <c r="Y16" s="100">
        <v>3067.2000000000003</v>
      </c>
      <c r="Z16" s="100">
        <v>9</v>
      </c>
      <c r="AA16" s="100">
        <v>3067.2000000000003</v>
      </c>
      <c r="AB16" s="100">
        <v>7</v>
      </c>
      <c r="AC16" s="100">
        <v>2385.6</v>
      </c>
      <c r="AD16" s="100">
        <v>5.928791398869576</v>
      </c>
      <c r="AE16" s="100">
        <v>2020.5321087347515</v>
      </c>
      <c r="AF16" s="100">
        <v>4.0713479049154939</v>
      </c>
      <c r="AG16" s="100">
        <v>1387.5153659952005</v>
      </c>
      <c r="AH16" s="100">
        <v>1.4311336573159767</v>
      </c>
      <c r="AI16" s="100">
        <v>487.7303504132849</v>
      </c>
      <c r="AJ16" s="100">
        <v>9</v>
      </c>
      <c r="AK16" s="100">
        <v>3067.2000000000003</v>
      </c>
      <c r="AL16" s="100">
        <v>9</v>
      </c>
      <c r="AM16" s="100">
        <v>3067.2000000000003</v>
      </c>
      <c r="AN16" s="100">
        <v>7</v>
      </c>
      <c r="AO16" s="100">
        <v>2385.6</v>
      </c>
      <c r="AP16" s="100">
        <v>7</v>
      </c>
      <c r="AQ16" s="100">
        <v>2385.6</v>
      </c>
      <c r="AR16" s="100">
        <v>7</v>
      </c>
      <c r="AS16" s="100">
        <v>2385.6</v>
      </c>
      <c r="AT16" s="100">
        <v>6</v>
      </c>
      <c r="AU16" s="100">
        <v>2044.8000000000002</v>
      </c>
      <c r="AV16" s="100">
        <v>6</v>
      </c>
      <c r="AW16" s="100">
        <v>2044.8000000000002</v>
      </c>
      <c r="AX16" s="100">
        <v>9</v>
      </c>
      <c r="AY16" s="100">
        <v>3067.2000000000003</v>
      </c>
      <c r="AZ16" s="100">
        <v>10.009473491820605</v>
      </c>
      <c r="BA16" s="100">
        <v>3411.2285660124626</v>
      </c>
      <c r="BB16" s="100">
        <v>7</v>
      </c>
      <c r="BC16" s="100">
        <v>2385.6</v>
      </c>
      <c r="BD16" s="100">
        <v>2.7816245962088235</v>
      </c>
      <c r="BE16" s="100">
        <v>947.97766238796714</v>
      </c>
      <c r="BF16" s="100">
        <v>8</v>
      </c>
      <c r="BG16" s="100">
        <v>2726.4</v>
      </c>
      <c r="BH16" s="100">
        <v>6.2977491451015393</v>
      </c>
      <c r="BI16" s="100">
        <v>2146.2729086506047</v>
      </c>
      <c r="BJ16" s="100">
        <v>1.9160186815990343</v>
      </c>
      <c r="BK16" s="100">
        <v>652.97916668895095</v>
      </c>
      <c r="BL16" s="100">
        <v>10.197871958527353</v>
      </c>
      <c r="BM16" s="100">
        <v>3475.4347634661221</v>
      </c>
      <c r="BN16" s="100">
        <v>5.3985654748461007</v>
      </c>
      <c r="BO16" s="100">
        <v>1839.8311138275512</v>
      </c>
      <c r="BP16" s="100">
        <v>10</v>
      </c>
      <c r="BQ16" s="100">
        <v>3408</v>
      </c>
      <c r="BR16" s="100">
        <v>8</v>
      </c>
      <c r="BS16" s="100">
        <v>2726.4</v>
      </c>
      <c r="BT16" s="100">
        <v>7</v>
      </c>
      <c r="BU16" s="100">
        <v>2385.6</v>
      </c>
      <c r="BV16" s="100">
        <v>10.764856905924708</v>
      </c>
      <c r="BW16" s="100">
        <v>3668.6632335391405</v>
      </c>
      <c r="BX16" s="100">
        <v>1.5184359283505042</v>
      </c>
      <c r="BY16" s="100">
        <v>517.48296438185184</v>
      </c>
      <c r="BZ16" s="100">
        <v>7</v>
      </c>
      <c r="CA16" s="100">
        <v>2385.6</v>
      </c>
      <c r="CB16" s="100">
        <v>7</v>
      </c>
      <c r="CC16" s="100">
        <v>2385.6</v>
      </c>
      <c r="CD16" s="100">
        <v>10</v>
      </c>
      <c r="CE16" s="100">
        <v>3408</v>
      </c>
      <c r="CF16" s="100">
        <v>9</v>
      </c>
      <c r="CG16" s="100">
        <v>3067.2000000000003</v>
      </c>
      <c r="CH16" s="100">
        <v>5.4347247718898508</v>
      </c>
      <c r="CI16" s="100">
        <v>1852.1542022600613</v>
      </c>
      <c r="CJ16" s="100">
        <v>7.5408195866215149</v>
      </c>
      <c r="CK16" s="100">
        <v>2569.9113151206125</v>
      </c>
      <c r="CL16" s="100">
        <v>3.612753093985538E-4</v>
      </c>
      <c r="CM16" s="100">
        <v>0.12312262544302714</v>
      </c>
      <c r="CN16" s="100">
        <v>7</v>
      </c>
      <c r="CO16" s="100">
        <v>2385.6</v>
      </c>
      <c r="CP16" s="100">
        <v>9</v>
      </c>
      <c r="CQ16" s="100">
        <v>3067.2000000000003</v>
      </c>
      <c r="CR16" s="100">
        <v>6.2601541343753597</v>
      </c>
      <c r="CS16" s="100">
        <v>2133.4605289951228</v>
      </c>
      <c r="CT16" s="100">
        <v>9.9171314514097944</v>
      </c>
      <c r="CU16" s="100">
        <v>3379.7583986404579</v>
      </c>
    </row>
    <row r="17" spans="2:99">
      <c r="C17" s="99" t="s">
        <v>183</v>
      </c>
      <c r="D17" s="100">
        <v>3.2356499844765252</v>
      </c>
      <c r="E17" s="100">
        <v>1366.7385534428843</v>
      </c>
      <c r="F17" s="100">
        <v>4.0226647161708335</v>
      </c>
      <c r="G17" s="100">
        <v>1699.1735761105599</v>
      </c>
      <c r="H17" s="100">
        <v>1.5419515290107995</v>
      </c>
      <c r="I17" s="100">
        <v>651.32032585416164</v>
      </c>
      <c r="J17" s="100">
        <v>5</v>
      </c>
      <c r="K17" s="100">
        <v>2112</v>
      </c>
      <c r="L17" s="100">
        <v>5</v>
      </c>
      <c r="M17" s="100">
        <v>2112</v>
      </c>
      <c r="N17" s="100">
        <v>5</v>
      </c>
      <c r="O17" s="100">
        <v>2112</v>
      </c>
      <c r="P17" s="100">
        <v>7</v>
      </c>
      <c r="Q17" s="100">
        <v>2956.7999999999997</v>
      </c>
      <c r="R17" s="100">
        <v>6</v>
      </c>
      <c r="S17" s="100">
        <v>2534.3999999999996</v>
      </c>
      <c r="T17" s="100">
        <v>8.2839065805083276</v>
      </c>
      <c r="U17" s="100">
        <v>3499.1221396067176</v>
      </c>
      <c r="V17" s="100">
        <v>7.125830056107989</v>
      </c>
      <c r="W17" s="100">
        <v>3009.9506157000146</v>
      </c>
      <c r="X17" s="100">
        <v>9</v>
      </c>
      <c r="Y17" s="100">
        <v>3801.6</v>
      </c>
      <c r="Z17" s="100">
        <v>10</v>
      </c>
      <c r="AA17" s="100">
        <v>4224</v>
      </c>
      <c r="AB17" s="100">
        <v>8</v>
      </c>
      <c r="AC17" s="100">
        <v>3379.2</v>
      </c>
      <c r="AD17" s="100">
        <v>6.6764605771884211</v>
      </c>
      <c r="AE17" s="100">
        <v>2820.1369478043889</v>
      </c>
      <c r="AF17" s="100">
        <v>4.5752555944807272</v>
      </c>
      <c r="AG17" s="100">
        <v>1932.5879631086591</v>
      </c>
      <c r="AH17" s="100">
        <v>1.4311336573159767</v>
      </c>
      <c r="AI17" s="100">
        <v>604.51085685026851</v>
      </c>
      <c r="AJ17" s="100">
        <v>8</v>
      </c>
      <c r="AK17" s="100">
        <v>3379.2</v>
      </c>
      <c r="AL17" s="100">
        <v>9</v>
      </c>
      <c r="AM17" s="100">
        <v>3801.6</v>
      </c>
      <c r="AN17" s="100">
        <v>6</v>
      </c>
      <c r="AO17" s="100">
        <v>2534.3999999999996</v>
      </c>
      <c r="AP17" s="100">
        <v>8</v>
      </c>
      <c r="AQ17" s="100">
        <v>3379.2</v>
      </c>
      <c r="AR17" s="100">
        <v>6</v>
      </c>
      <c r="AS17" s="100">
        <v>2534.3999999999996</v>
      </c>
      <c r="AT17" s="100">
        <v>7</v>
      </c>
      <c r="AU17" s="100">
        <v>2956.7999999999997</v>
      </c>
      <c r="AV17" s="100">
        <v>5</v>
      </c>
      <c r="AW17" s="100">
        <v>2112</v>
      </c>
      <c r="AX17" s="100">
        <v>8</v>
      </c>
      <c r="AY17" s="100">
        <v>3379.2</v>
      </c>
      <c r="AZ17" s="100">
        <v>9.0094734918206054</v>
      </c>
      <c r="BA17" s="100">
        <v>3805.6016029450234</v>
      </c>
      <c r="BB17" s="100">
        <v>7</v>
      </c>
      <c r="BC17" s="100">
        <v>2956.7999999999997</v>
      </c>
      <c r="BD17" s="100">
        <v>2.4725551966300654</v>
      </c>
      <c r="BE17" s="100">
        <v>1044.4073150565396</v>
      </c>
      <c r="BF17" s="100">
        <v>9</v>
      </c>
      <c r="BG17" s="100">
        <v>3801.6</v>
      </c>
      <c r="BH17" s="100">
        <v>7.2977491451015393</v>
      </c>
      <c r="BI17" s="100">
        <v>3082.5692388908901</v>
      </c>
      <c r="BJ17" s="100">
        <v>1.9160186815990343</v>
      </c>
      <c r="BK17" s="100">
        <v>809.3262911074321</v>
      </c>
      <c r="BL17" s="100">
        <v>9.1758861853576459</v>
      </c>
      <c r="BM17" s="100">
        <v>3875.8943246950694</v>
      </c>
      <c r="BN17" s="100">
        <v>5.3985654748461007</v>
      </c>
      <c r="BO17" s="100">
        <v>2280.3540565749927</v>
      </c>
      <c r="BP17" s="100">
        <v>9</v>
      </c>
      <c r="BQ17" s="100">
        <v>3801.6</v>
      </c>
      <c r="BR17" s="100">
        <v>7</v>
      </c>
      <c r="BS17" s="100">
        <v>2956.7999999999997</v>
      </c>
      <c r="BT17" s="100">
        <v>6</v>
      </c>
      <c r="BU17" s="100">
        <v>2534.3999999999996</v>
      </c>
      <c r="BV17" s="100">
        <v>9.8139721475211434</v>
      </c>
      <c r="BW17" s="100">
        <v>4145.4218351129311</v>
      </c>
      <c r="BX17" s="100">
        <v>1.7715085830755881</v>
      </c>
      <c r="BY17" s="100">
        <v>748.28522549112836</v>
      </c>
      <c r="BZ17" s="100">
        <v>7</v>
      </c>
      <c r="CA17" s="100">
        <v>2956.7999999999997</v>
      </c>
      <c r="CB17" s="100">
        <v>7</v>
      </c>
      <c r="CC17" s="100">
        <v>2956.7999999999997</v>
      </c>
      <c r="CD17" s="100">
        <v>9</v>
      </c>
      <c r="CE17" s="100">
        <v>3801.6</v>
      </c>
      <c r="CF17" s="100">
        <v>10</v>
      </c>
      <c r="CG17" s="100">
        <v>4224</v>
      </c>
      <c r="CH17" s="100">
        <v>6.1140653683760826</v>
      </c>
      <c r="CI17" s="100">
        <v>2582.581211602057</v>
      </c>
      <c r="CJ17" s="100">
        <v>8.351654007250394</v>
      </c>
      <c r="CK17" s="100">
        <v>3527.7386526625664</v>
      </c>
      <c r="CL17" s="100">
        <v>4.3353037127826454E-4</v>
      </c>
      <c r="CM17" s="100">
        <v>0.18312322882793894</v>
      </c>
      <c r="CN17" s="100">
        <v>7</v>
      </c>
      <c r="CO17" s="100">
        <v>2956.7999999999997</v>
      </c>
      <c r="CP17" s="100">
        <v>9</v>
      </c>
      <c r="CQ17" s="100">
        <v>3801.6</v>
      </c>
      <c r="CR17" s="100">
        <v>5.2023421045141687</v>
      </c>
      <c r="CS17" s="100">
        <v>2197.4693049467846</v>
      </c>
      <c r="CT17" s="100">
        <v>9.9171314514097944</v>
      </c>
      <c r="CU17" s="100">
        <v>4188.9963250754972</v>
      </c>
    </row>
    <row r="18" spans="2:99">
      <c r="C18" s="99" t="s">
        <v>184</v>
      </c>
      <c r="D18" s="100">
        <v>2.5885199875812201</v>
      </c>
      <c r="E18" s="100">
        <v>1689.7858478930204</v>
      </c>
      <c r="F18" s="100">
        <v>4.7829941435471088</v>
      </c>
      <c r="G18" s="100">
        <v>3122.3385769075526</v>
      </c>
      <c r="H18" s="100">
        <v>1.2849596075089995</v>
      </c>
      <c r="I18" s="100">
        <v>838.82163178187477</v>
      </c>
      <c r="J18" s="100">
        <v>5</v>
      </c>
      <c r="K18" s="100">
        <v>3264</v>
      </c>
      <c r="L18" s="100">
        <v>5</v>
      </c>
      <c r="M18" s="100">
        <v>3264</v>
      </c>
      <c r="N18" s="100">
        <v>4</v>
      </c>
      <c r="O18" s="100">
        <v>2611.1999999999998</v>
      </c>
      <c r="P18" s="100">
        <v>7</v>
      </c>
      <c r="Q18" s="100">
        <v>4569.5999999999995</v>
      </c>
      <c r="R18" s="100">
        <v>6</v>
      </c>
      <c r="S18" s="100">
        <v>3916.7999999999997</v>
      </c>
      <c r="T18" s="100">
        <v>7.3312243439263813</v>
      </c>
      <c r="U18" s="100">
        <v>4785.8232517151419</v>
      </c>
      <c r="V18" s="100">
        <v>8.1006640448863916</v>
      </c>
      <c r="W18" s="100">
        <v>5288.1134885018364</v>
      </c>
      <c r="X18" s="100">
        <v>9</v>
      </c>
      <c r="Y18" s="100">
        <v>5875.2</v>
      </c>
      <c r="Z18" s="100">
        <v>9</v>
      </c>
      <c r="AA18" s="100">
        <v>5875.2</v>
      </c>
      <c r="AB18" s="100">
        <v>7</v>
      </c>
      <c r="AC18" s="100">
        <v>4569.5999999999995</v>
      </c>
      <c r="AD18" s="100">
        <v>5.9550724127101731</v>
      </c>
      <c r="AE18" s="100">
        <v>3887.4712710172007</v>
      </c>
      <c r="AF18" s="100">
        <v>4.0913910991123092</v>
      </c>
      <c r="AG18" s="100">
        <v>2670.8601095005151</v>
      </c>
      <c r="AH18" s="100">
        <v>1.4311336573159767</v>
      </c>
      <c r="AI18" s="100">
        <v>934.2440514958696</v>
      </c>
      <c r="AJ18" s="100">
        <v>9</v>
      </c>
      <c r="AK18" s="100">
        <v>5875.2</v>
      </c>
      <c r="AL18" s="100">
        <v>9</v>
      </c>
      <c r="AM18" s="100">
        <v>5875.2</v>
      </c>
      <c r="AN18" s="100">
        <v>6</v>
      </c>
      <c r="AO18" s="100">
        <v>3916.7999999999997</v>
      </c>
      <c r="AP18" s="100">
        <v>7</v>
      </c>
      <c r="AQ18" s="100">
        <v>4569.5999999999995</v>
      </c>
      <c r="AR18" s="100">
        <v>6</v>
      </c>
      <c r="AS18" s="100">
        <v>3916.7999999999997</v>
      </c>
      <c r="AT18" s="100">
        <v>6</v>
      </c>
      <c r="AU18" s="100">
        <v>3916.7999999999997</v>
      </c>
      <c r="AV18" s="100">
        <v>5</v>
      </c>
      <c r="AW18" s="100">
        <v>3264</v>
      </c>
      <c r="AX18" s="100">
        <v>8</v>
      </c>
      <c r="AY18" s="100">
        <v>5222.3999999999996</v>
      </c>
      <c r="AZ18" s="100">
        <v>9.0094734918206054</v>
      </c>
      <c r="BA18" s="100">
        <v>5881.3842954604906</v>
      </c>
      <c r="BB18" s="100">
        <v>6</v>
      </c>
      <c r="BC18" s="100">
        <v>3916.7999999999997</v>
      </c>
      <c r="BD18" s="100">
        <v>2.4725551966300654</v>
      </c>
      <c r="BE18" s="100">
        <v>1614.0840323601067</v>
      </c>
      <c r="BF18" s="100">
        <v>10</v>
      </c>
      <c r="BG18" s="100">
        <v>6528</v>
      </c>
      <c r="BH18" s="100">
        <v>7.2977491451015393</v>
      </c>
      <c r="BI18" s="100">
        <v>4763.9706419222848</v>
      </c>
      <c r="BJ18" s="100">
        <v>1.9160186815990343</v>
      </c>
      <c r="BK18" s="100">
        <v>1250.7769953478496</v>
      </c>
      <c r="BL18" s="100">
        <v>9.1978719585273527</v>
      </c>
      <c r="BM18" s="100">
        <v>6004.3708145266555</v>
      </c>
      <c r="BN18" s="100">
        <v>6.1697891141098289</v>
      </c>
      <c r="BO18" s="100">
        <v>4027.6383336908962</v>
      </c>
      <c r="BP18" s="100">
        <v>9</v>
      </c>
      <c r="BQ18" s="100">
        <v>5875.2</v>
      </c>
      <c r="BR18" s="100">
        <v>8</v>
      </c>
      <c r="BS18" s="100">
        <v>5222.3999999999996</v>
      </c>
      <c r="BT18" s="100">
        <v>7</v>
      </c>
      <c r="BU18" s="100">
        <v>4569.5999999999995</v>
      </c>
      <c r="BV18" s="100">
        <v>10.808446129279776</v>
      </c>
      <c r="BW18" s="100">
        <v>7055.7536331938372</v>
      </c>
      <c r="BX18" s="100">
        <v>1.5184359283505042</v>
      </c>
      <c r="BY18" s="100">
        <v>991.23497402720909</v>
      </c>
      <c r="BZ18" s="100">
        <v>7</v>
      </c>
      <c r="CA18" s="100">
        <v>4569.5999999999995</v>
      </c>
      <c r="CB18" s="100">
        <v>7</v>
      </c>
      <c r="CC18" s="100">
        <v>4569.5999999999995</v>
      </c>
      <c r="CD18" s="100">
        <v>9</v>
      </c>
      <c r="CE18" s="100">
        <v>5875.2</v>
      </c>
      <c r="CF18" s="100">
        <v>8</v>
      </c>
      <c r="CG18" s="100">
        <v>5222.3999999999996</v>
      </c>
      <c r="CH18" s="100">
        <v>6.1140653683760826</v>
      </c>
      <c r="CI18" s="100">
        <v>3991.2618724759063</v>
      </c>
      <c r="CJ18" s="100">
        <v>8.3638194972984756</v>
      </c>
      <c r="CK18" s="100">
        <v>5459.9013678364445</v>
      </c>
      <c r="CL18" s="100">
        <v>3.612753093985538E-4</v>
      </c>
      <c r="CM18" s="100">
        <v>0.23584052197537592</v>
      </c>
      <c r="CN18" s="100">
        <v>7</v>
      </c>
      <c r="CO18" s="100">
        <v>4569.5999999999995</v>
      </c>
      <c r="CP18" s="100">
        <v>10</v>
      </c>
      <c r="CQ18" s="100">
        <v>6528</v>
      </c>
      <c r="CR18" s="100">
        <v>6.2312481194447642</v>
      </c>
      <c r="CS18" s="100">
        <v>4067.7587723735419</v>
      </c>
      <c r="CT18" s="100">
        <v>10.908844596550773</v>
      </c>
      <c r="CU18" s="100">
        <v>7121.293752628344</v>
      </c>
    </row>
    <row r="19" spans="2:99">
      <c r="C19" s="99" t="s">
        <v>185</v>
      </c>
      <c r="D19" s="100">
        <v>3.2356499844765252</v>
      </c>
      <c r="E19" s="100">
        <v>1067.7644948772534</v>
      </c>
      <c r="F19" s="100">
        <v>4.7829941435471088</v>
      </c>
      <c r="G19" s="100">
        <v>1578.388067370546</v>
      </c>
      <c r="H19" s="100">
        <v>1.2849596075089995</v>
      </c>
      <c r="I19" s="100">
        <v>424.03667047796984</v>
      </c>
      <c r="J19" s="100">
        <v>5</v>
      </c>
      <c r="K19" s="100">
        <v>1650</v>
      </c>
      <c r="L19" s="100">
        <v>5</v>
      </c>
      <c r="M19" s="100">
        <v>1650</v>
      </c>
      <c r="N19" s="100">
        <v>5</v>
      </c>
      <c r="O19" s="100">
        <v>1650</v>
      </c>
      <c r="P19" s="100">
        <v>7</v>
      </c>
      <c r="Q19" s="100">
        <v>2310</v>
      </c>
      <c r="R19" s="100">
        <v>6</v>
      </c>
      <c r="S19" s="100">
        <v>1980</v>
      </c>
      <c r="T19" s="100">
        <v>7.3312243439263813</v>
      </c>
      <c r="U19" s="100">
        <v>2419.3040334957059</v>
      </c>
      <c r="V19" s="100">
        <v>7.1132470504971899</v>
      </c>
      <c r="W19" s="100">
        <v>2347.3715266640725</v>
      </c>
      <c r="X19" s="100">
        <v>8</v>
      </c>
      <c r="Y19" s="100">
        <v>2640</v>
      </c>
      <c r="Z19" s="100">
        <v>10</v>
      </c>
      <c r="AA19" s="100">
        <v>3300</v>
      </c>
      <c r="AB19" s="100">
        <v>9</v>
      </c>
      <c r="AC19" s="100">
        <v>2970</v>
      </c>
      <c r="AD19" s="100">
        <v>6.6764605771884211</v>
      </c>
      <c r="AE19" s="100">
        <v>2203.2319904721789</v>
      </c>
      <c r="AF19" s="100">
        <v>4.5752555944807272</v>
      </c>
      <c r="AG19" s="100">
        <v>1509.8343461786399</v>
      </c>
      <c r="AH19" s="100">
        <v>1.4311336573159767</v>
      </c>
      <c r="AI19" s="100">
        <v>472.27410691427235</v>
      </c>
      <c r="AJ19" s="100">
        <v>9</v>
      </c>
      <c r="AK19" s="100">
        <v>2970</v>
      </c>
      <c r="AL19" s="100">
        <v>8</v>
      </c>
      <c r="AM19" s="100">
        <v>2640</v>
      </c>
      <c r="AN19" s="100">
        <v>6</v>
      </c>
      <c r="AO19" s="100">
        <v>1980</v>
      </c>
      <c r="AP19" s="100">
        <v>7</v>
      </c>
      <c r="AQ19" s="100">
        <v>2310</v>
      </c>
      <c r="AR19" s="100">
        <v>7</v>
      </c>
      <c r="AS19" s="100">
        <v>2310</v>
      </c>
      <c r="AT19" s="100">
        <v>7</v>
      </c>
      <c r="AU19" s="100">
        <v>2310</v>
      </c>
      <c r="AV19" s="100">
        <v>6</v>
      </c>
      <c r="AW19" s="100">
        <v>1980</v>
      </c>
      <c r="AX19" s="100">
        <v>9</v>
      </c>
      <c r="AY19" s="100">
        <v>2970</v>
      </c>
      <c r="AZ19" s="100">
        <v>10.009473491820605</v>
      </c>
      <c r="BA19" s="100">
        <v>3303.1262523007999</v>
      </c>
      <c r="BB19" s="100">
        <v>7</v>
      </c>
      <c r="BC19" s="100">
        <v>2310</v>
      </c>
      <c r="BD19" s="100">
        <v>2.7816245962088235</v>
      </c>
      <c r="BE19" s="100">
        <v>917.93611674891179</v>
      </c>
      <c r="BF19" s="100">
        <v>8</v>
      </c>
      <c r="BG19" s="100">
        <v>2640</v>
      </c>
      <c r="BH19" s="100">
        <v>7.2977491451015393</v>
      </c>
      <c r="BI19" s="100">
        <v>2408.257217883508</v>
      </c>
      <c r="BJ19" s="100">
        <v>1.9160186815990343</v>
      </c>
      <c r="BK19" s="100">
        <v>632.28616492768128</v>
      </c>
      <c r="BL19" s="100">
        <v>10.197871958527353</v>
      </c>
      <c r="BM19" s="100">
        <v>3365.2977463140264</v>
      </c>
      <c r="BN19" s="100">
        <v>6.1697891141098289</v>
      </c>
      <c r="BO19" s="100">
        <v>2036.0304076562436</v>
      </c>
      <c r="BP19" s="100">
        <v>9</v>
      </c>
      <c r="BQ19" s="100">
        <v>2970</v>
      </c>
      <c r="BR19" s="100">
        <v>8</v>
      </c>
      <c r="BS19" s="100">
        <v>2640</v>
      </c>
      <c r="BT19" s="100">
        <v>7</v>
      </c>
      <c r="BU19" s="100">
        <v>2310</v>
      </c>
      <c r="BV19" s="100">
        <v>10.764856905924708</v>
      </c>
      <c r="BW19" s="100">
        <v>3552.4027789551537</v>
      </c>
      <c r="BX19" s="100">
        <v>1.5184359283505042</v>
      </c>
      <c r="BY19" s="100">
        <v>501.0838563556664</v>
      </c>
      <c r="BZ19" s="100">
        <v>6</v>
      </c>
      <c r="CA19" s="100">
        <v>1980</v>
      </c>
      <c r="CB19" s="100">
        <v>8</v>
      </c>
      <c r="CC19" s="100">
        <v>2640</v>
      </c>
      <c r="CD19" s="100">
        <v>9</v>
      </c>
      <c r="CE19" s="100">
        <v>2970</v>
      </c>
      <c r="CF19" s="100">
        <v>9</v>
      </c>
      <c r="CG19" s="100">
        <v>2970</v>
      </c>
      <c r="CH19" s="100">
        <v>5.4347247718898508</v>
      </c>
      <c r="CI19" s="100">
        <v>1793.4591747236507</v>
      </c>
      <c r="CJ19" s="100">
        <v>6.7178196759445559</v>
      </c>
      <c r="CK19" s="100">
        <v>2216.8804930617034</v>
      </c>
      <c r="CL19" s="100">
        <v>4.3353037127826454E-4</v>
      </c>
      <c r="CM19" s="100">
        <v>0.14306502252182729</v>
      </c>
      <c r="CN19" s="100">
        <v>7</v>
      </c>
      <c r="CO19" s="100">
        <v>2310</v>
      </c>
      <c r="CP19" s="100">
        <v>9</v>
      </c>
      <c r="CQ19" s="100">
        <v>2970</v>
      </c>
      <c r="CR19" s="100">
        <v>6.2023421045141687</v>
      </c>
      <c r="CS19" s="100">
        <v>2046.7728944896758</v>
      </c>
      <c r="CT19" s="100">
        <v>11.900557741691753</v>
      </c>
      <c r="CU19" s="100">
        <v>3927.1840547582783</v>
      </c>
    </row>
    <row r="20" spans="2:99">
      <c r="B20" s="99" t="s">
        <v>127</v>
      </c>
      <c r="C20" s="99" t="s">
        <v>186</v>
      </c>
      <c r="D20" s="100">
        <v>4.5299099782671348</v>
      </c>
      <c r="E20" s="100">
        <v>1299.1781817670144</v>
      </c>
      <c r="F20" s="100">
        <v>11.276090781237732</v>
      </c>
      <c r="G20" s="100">
        <v>3233.9828360589818</v>
      </c>
      <c r="H20" s="100">
        <v>2.569919215017999</v>
      </c>
      <c r="I20" s="100">
        <v>737.05283086716213</v>
      </c>
      <c r="J20" s="100">
        <v>12</v>
      </c>
      <c r="K20" s="100">
        <v>3441.6000000000004</v>
      </c>
      <c r="L20" s="100">
        <v>13</v>
      </c>
      <c r="M20" s="100">
        <v>3728.4</v>
      </c>
      <c r="N20" s="100">
        <v>15</v>
      </c>
      <c r="O20" s="100">
        <v>4302</v>
      </c>
      <c r="P20" s="100">
        <v>8</v>
      </c>
      <c r="Q20" s="100">
        <v>2294.4</v>
      </c>
      <c r="R20" s="100">
        <v>10</v>
      </c>
      <c r="S20" s="100">
        <v>2868</v>
      </c>
      <c r="T20" s="100">
        <v>13.615130924434709</v>
      </c>
      <c r="U20" s="100">
        <v>3904.8195491278748</v>
      </c>
      <c r="V20" s="100">
        <v>11.22649410099438</v>
      </c>
      <c r="W20" s="100">
        <v>3219.7585081651882</v>
      </c>
      <c r="X20" s="100">
        <v>9</v>
      </c>
      <c r="Y20" s="100">
        <v>2581.2000000000003</v>
      </c>
      <c r="Z20" s="100">
        <v>13</v>
      </c>
      <c r="AA20" s="100">
        <v>3728.4</v>
      </c>
      <c r="AB20" s="100">
        <v>10</v>
      </c>
      <c r="AC20" s="100">
        <v>2868</v>
      </c>
      <c r="AD20" s="100">
        <v>10.467368496463852</v>
      </c>
      <c r="AE20" s="100">
        <v>3002.0412847858329</v>
      </c>
      <c r="AF20" s="100">
        <v>6.5307567701512124</v>
      </c>
      <c r="AG20" s="100">
        <v>1873.0210416793677</v>
      </c>
      <c r="AH20" s="100">
        <v>3.3393118670706126</v>
      </c>
      <c r="AI20" s="100">
        <v>957.71464347585174</v>
      </c>
      <c r="AJ20" s="100">
        <v>11</v>
      </c>
      <c r="AK20" s="100">
        <v>3154.8</v>
      </c>
      <c r="AL20" s="100">
        <v>12</v>
      </c>
      <c r="AM20" s="100">
        <v>3441.6000000000004</v>
      </c>
      <c r="AN20" s="100">
        <v>10</v>
      </c>
      <c r="AO20" s="100">
        <v>2868</v>
      </c>
      <c r="AP20" s="100">
        <v>8</v>
      </c>
      <c r="AQ20" s="100">
        <v>2294.4</v>
      </c>
      <c r="AR20" s="100">
        <v>8</v>
      </c>
      <c r="AS20" s="100">
        <v>2294.4</v>
      </c>
      <c r="AT20" s="100">
        <v>9</v>
      </c>
      <c r="AU20" s="100">
        <v>2581.2000000000003</v>
      </c>
      <c r="AV20" s="100">
        <v>13</v>
      </c>
      <c r="AW20" s="100">
        <v>3728.4</v>
      </c>
      <c r="AX20" s="100">
        <v>8</v>
      </c>
      <c r="AY20" s="100">
        <v>2294.4</v>
      </c>
      <c r="AZ20" s="100">
        <v>15.034736136675557</v>
      </c>
      <c r="BA20" s="100">
        <v>4311.9623239985494</v>
      </c>
      <c r="BB20" s="100">
        <v>16</v>
      </c>
      <c r="BC20" s="100">
        <v>4588.8</v>
      </c>
      <c r="BD20" s="100">
        <v>2.4725551966300654</v>
      </c>
      <c r="BE20" s="100">
        <v>709.12883039350277</v>
      </c>
      <c r="BF20" s="100">
        <v>14</v>
      </c>
      <c r="BG20" s="100">
        <v>4015.2000000000003</v>
      </c>
      <c r="BH20" s="100">
        <v>14.562415051858464</v>
      </c>
      <c r="BI20" s="100">
        <v>4176.5006368730074</v>
      </c>
      <c r="BJ20" s="100">
        <v>3.3530326927983101</v>
      </c>
      <c r="BK20" s="100">
        <v>961.64977629455541</v>
      </c>
      <c r="BL20" s="100">
        <v>8.3517723707152935</v>
      </c>
      <c r="BM20" s="100">
        <v>2395.2883159211465</v>
      </c>
      <c r="BN20" s="100">
        <v>8.4834600319010161</v>
      </c>
      <c r="BO20" s="100">
        <v>2433.0563371492117</v>
      </c>
      <c r="BP20" s="100">
        <v>10</v>
      </c>
      <c r="BQ20" s="100">
        <v>2868</v>
      </c>
      <c r="BR20" s="100">
        <v>13</v>
      </c>
      <c r="BS20" s="100">
        <v>3728.4</v>
      </c>
      <c r="BT20" s="100">
        <v>10</v>
      </c>
      <c r="BU20" s="100">
        <v>2868</v>
      </c>
      <c r="BV20" s="100">
        <v>15.047877396444733</v>
      </c>
      <c r="BW20" s="100">
        <v>4315.7312373003497</v>
      </c>
      <c r="BX20" s="100">
        <v>3.0368718567010085</v>
      </c>
      <c r="BY20" s="100">
        <v>870.97484850184924</v>
      </c>
      <c r="BZ20" s="100">
        <v>11</v>
      </c>
      <c r="CA20" s="100">
        <v>3154.8</v>
      </c>
      <c r="CB20" s="100">
        <v>9</v>
      </c>
      <c r="CC20" s="100">
        <v>2581.2000000000003</v>
      </c>
      <c r="CD20" s="100">
        <v>14</v>
      </c>
      <c r="CE20" s="100">
        <v>4015.2000000000003</v>
      </c>
      <c r="CF20" s="100">
        <v>9</v>
      </c>
      <c r="CG20" s="100">
        <v>2581.2000000000003</v>
      </c>
      <c r="CH20" s="100">
        <v>10.190108947293471</v>
      </c>
      <c r="CI20" s="100">
        <v>2922.5232460837674</v>
      </c>
      <c r="CJ20" s="100">
        <v>10.917977659665913</v>
      </c>
      <c r="CK20" s="100">
        <v>3131.2759927921843</v>
      </c>
      <c r="CL20" s="100">
        <v>8.6706074255652908E-4</v>
      </c>
      <c r="CM20" s="100">
        <v>0.24867302096521254</v>
      </c>
      <c r="CN20" s="100">
        <v>14</v>
      </c>
      <c r="CO20" s="100">
        <v>4015.2000000000003</v>
      </c>
      <c r="CP20" s="100">
        <v>8</v>
      </c>
      <c r="CQ20" s="100">
        <v>2294.4</v>
      </c>
      <c r="CR20" s="100">
        <v>9.5203082687507194</v>
      </c>
      <c r="CS20" s="100">
        <v>2730.4244114777066</v>
      </c>
      <c r="CT20" s="100">
        <v>14.875697177114692</v>
      </c>
      <c r="CU20" s="100">
        <v>4266.349950396494</v>
      </c>
    </row>
    <row r="21" spans="2:99">
      <c r="C21" s="99" t="s">
        <v>187</v>
      </c>
      <c r="D21" s="100">
        <v>5.1770399751624403</v>
      </c>
      <c r="E21" s="100">
        <v>323.04729445013629</v>
      </c>
      <c r="F21" s="100">
        <v>10.578909233658445</v>
      </c>
      <c r="G21" s="100">
        <v>660.12393618028693</v>
      </c>
      <c r="H21" s="100">
        <v>2.569919215017999</v>
      </c>
      <c r="I21" s="100">
        <v>160.36295901712313</v>
      </c>
      <c r="J21" s="100">
        <v>12</v>
      </c>
      <c r="K21" s="100">
        <v>748.8</v>
      </c>
      <c r="L21" s="100">
        <v>12</v>
      </c>
      <c r="M21" s="100">
        <v>748.8</v>
      </c>
      <c r="N21" s="100">
        <v>16</v>
      </c>
      <c r="O21" s="100">
        <v>998.4</v>
      </c>
      <c r="P21" s="100">
        <v>9</v>
      </c>
      <c r="Q21" s="100">
        <v>561.6</v>
      </c>
      <c r="R21" s="100">
        <v>11</v>
      </c>
      <c r="S21" s="100">
        <v>686.4</v>
      </c>
      <c r="T21" s="100">
        <v>13.615130924434709</v>
      </c>
      <c r="U21" s="100">
        <v>849.58416968472579</v>
      </c>
      <c r="V21" s="100">
        <v>10.213911095383581</v>
      </c>
      <c r="W21" s="100">
        <v>637.34805235193551</v>
      </c>
      <c r="X21" s="100">
        <v>8</v>
      </c>
      <c r="Y21" s="100">
        <v>499.2</v>
      </c>
      <c r="Z21" s="100">
        <v>14</v>
      </c>
      <c r="AA21" s="100">
        <v>873.6</v>
      </c>
      <c r="AB21" s="100">
        <v>11</v>
      </c>
      <c r="AC21" s="100">
        <v>686.4</v>
      </c>
      <c r="AD21" s="100">
        <v>11.188756660942099</v>
      </c>
      <c r="AE21" s="100">
        <v>698.17841564278694</v>
      </c>
      <c r="AF21" s="100">
        <v>6.02684908058598</v>
      </c>
      <c r="AG21" s="100">
        <v>376.07538262856514</v>
      </c>
      <c r="AH21" s="100">
        <v>3.8163564195092716</v>
      </c>
      <c r="AI21" s="100">
        <v>238.14064057737855</v>
      </c>
      <c r="AJ21" s="100">
        <v>11</v>
      </c>
      <c r="AK21" s="100">
        <v>686.4</v>
      </c>
      <c r="AL21" s="100">
        <v>13</v>
      </c>
      <c r="AM21" s="100">
        <v>811.19999999999993</v>
      </c>
      <c r="AN21" s="100">
        <v>12</v>
      </c>
      <c r="AO21" s="100">
        <v>748.8</v>
      </c>
      <c r="AP21" s="100">
        <v>8</v>
      </c>
      <c r="AQ21" s="100">
        <v>499.2</v>
      </c>
      <c r="AR21" s="100">
        <v>9</v>
      </c>
      <c r="AS21" s="100">
        <v>561.6</v>
      </c>
      <c r="AT21" s="100">
        <v>8</v>
      </c>
      <c r="AU21" s="100">
        <v>499.2</v>
      </c>
      <c r="AV21" s="100">
        <v>13</v>
      </c>
      <c r="AW21" s="100">
        <v>811.19999999999993</v>
      </c>
      <c r="AX21" s="100">
        <v>8</v>
      </c>
      <c r="AY21" s="100">
        <v>499.2</v>
      </c>
      <c r="AZ21" s="100">
        <v>15.03631505197899</v>
      </c>
      <c r="BA21" s="100">
        <v>938.26605924348894</v>
      </c>
      <c r="BB21" s="100">
        <v>15</v>
      </c>
      <c r="BC21" s="100">
        <v>936</v>
      </c>
      <c r="BD21" s="100">
        <v>2.7816245962088235</v>
      </c>
      <c r="BE21" s="100">
        <v>173.5733748034306</v>
      </c>
      <c r="BF21" s="100">
        <v>14</v>
      </c>
      <c r="BG21" s="100">
        <v>873.6</v>
      </c>
      <c r="BH21" s="100">
        <v>13.562415051858464</v>
      </c>
      <c r="BI21" s="100">
        <v>846.2946992359681</v>
      </c>
      <c r="BJ21" s="100">
        <v>3.5925350279981889</v>
      </c>
      <c r="BK21" s="100">
        <v>224.17418574708699</v>
      </c>
      <c r="BL21" s="100">
        <v>9.3517723707152935</v>
      </c>
      <c r="BM21" s="100">
        <v>583.55059593263434</v>
      </c>
      <c r="BN21" s="100">
        <v>10.025907310428472</v>
      </c>
      <c r="BO21" s="100">
        <v>625.61661617073662</v>
      </c>
      <c r="BP21" s="100">
        <v>8</v>
      </c>
      <c r="BQ21" s="100">
        <v>499.2</v>
      </c>
      <c r="BR21" s="100">
        <v>11</v>
      </c>
      <c r="BS21" s="100">
        <v>686.4</v>
      </c>
      <c r="BT21" s="100">
        <v>11</v>
      </c>
      <c r="BU21" s="100">
        <v>686.4</v>
      </c>
      <c r="BV21" s="100">
        <v>14.0534034146861</v>
      </c>
      <c r="BW21" s="100">
        <v>876.93237307641266</v>
      </c>
      <c r="BX21" s="100">
        <v>3.0368718567010085</v>
      </c>
      <c r="BY21" s="100">
        <v>189.50080385814292</v>
      </c>
      <c r="BZ21" s="100">
        <v>9</v>
      </c>
      <c r="CA21" s="100">
        <v>561.6</v>
      </c>
      <c r="CB21" s="100">
        <v>10</v>
      </c>
      <c r="CC21" s="100">
        <v>624</v>
      </c>
      <c r="CD21" s="100">
        <v>16</v>
      </c>
      <c r="CE21" s="100">
        <v>998.4</v>
      </c>
      <c r="CF21" s="100">
        <v>10</v>
      </c>
      <c r="CG21" s="100">
        <v>624</v>
      </c>
      <c r="CH21" s="100">
        <v>11.548790140265934</v>
      </c>
      <c r="CI21" s="100">
        <v>720.64450475259423</v>
      </c>
      <c r="CJ21" s="100">
        <v>13.374811901648712</v>
      </c>
      <c r="CK21" s="100">
        <v>834.58826266287963</v>
      </c>
      <c r="CL21" s="100">
        <v>7.9480568067681839E-4</v>
      </c>
      <c r="CM21" s="100">
        <v>4.959587447423347E-2</v>
      </c>
      <c r="CN21" s="100">
        <v>13</v>
      </c>
      <c r="CO21" s="100">
        <v>811.19999999999993</v>
      </c>
      <c r="CP21" s="100">
        <v>8</v>
      </c>
      <c r="CQ21" s="100">
        <v>499.2</v>
      </c>
      <c r="CR21" s="100">
        <v>11.607026313542505</v>
      </c>
      <c r="CS21" s="100">
        <v>724.27844196505225</v>
      </c>
      <c r="CT21" s="100">
        <v>15.867410322255672</v>
      </c>
      <c r="CU21" s="100">
        <v>990.12640410875395</v>
      </c>
    </row>
    <row r="22" spans="2:99">
      <c r="C22" s="99" t="s">
        <v>188</v>
      </c>
      <c r="D22" s="100">
        <v>5.8241699720577458</v>
      </c>
      <c r="E22" s="100">
        <v>1090.2846187692101</v>
      </c>
      <c r="F22" s="100">
        <v>10.452613474064469</v>
      </c>
      <c r="G22" s="100">
        <v>1956.7292423448685</v>
      </c>
      <c r="H22" s="100">
        <v>2.569919215017999</v>
      </c>
      <c r="I22" s="100">
        <v>481.08887705136937</v>
      </c>
      <c r="J22" s="100">
        <v>12</v>
      </c>
      <c r="K22" s="100">
        <v>2246.3999999999996</v>
      </c>
      <c r="L22" s="100">
        <v>13</v>
      </c>
      <c r="M22" s="100">
        <v>2433.6</v>
      </c>
      <c r="N22" s="100">
        <v>16</v>
      </c>
      <c r="O22" s="100">
        <v>2995.2</v>
      </c>
      <c r="P22" s="100">
        <v>8</v>
      </c>
      <c r="Q22" s="100">
        <v>1497.6</v>
      </c>
      <c r="R22" s="100">
        <v>10</v>
      </c>
      <c r="S22" s="100">
        <v>1872</v>
      </c>
      <c r="T22" s="100">
        <v>12.615130924434709</v>
      </c>
      <c r="U22" s="100">
        <v>2361.5525090541773</v>
      </c>
      <c r="V22" s="100">
        <v>9.2390771066051798</v>
      </c>
      <c r="W22" s="100">
        <v>1729.5552343564896</v>
      </c>
      <c r="X22" s="100">
        <v>9</v>
      </c>
      <c r="Y22" s="100">
        <v>1684.8</v>
      </c>
      <c r="Z22" s="100">
        <v>13</v>
      </c>
      <c r="AA22" s="100">
        <v>2433.6</v>
      </c>
      <c r="AB22" s="100">
        <v>11</v>
      </c>
      <c r="AC22" s="100">
        <v>2059.1999999999998</v>
      </c>
      <c r="AD22" s="100">
        <v>10.467368496463852</v>
      </c>
      <c r="AE22" s="100">
        <v>1959.4913825380329</v>
      </c>
      <c r="AF22" s="100">
        <v>5.5429845852175621</v>
      </c>
      <c r="AG22" s="100">
        <v>1037.6467143527275</v>
      </c>
      <c r="AH22" s="100">
        <v>3.3393118670706126</v>
      </c>
      <c r="AI22" s="100">
        <v>625.11918151561861</v>
      </c>
      <c r="AJ22" s="100">
        <v>11</v>
      </c>
      <c r="AK22" s="100">
        <v>2059.1999999999998</v>
      </c>
      <c r="AL22" s="100">
        <v>11</v>
      </c>
      <c r="AM22" s="100">
        <v>2059.1999999999998</v>
      </c>
      <c r="AN22" s="100">
        <v>11</v>
      </c>
      <c r="AO22" s="100">
        <v>2059.1999999999998</v>
      </c>
      <c r="AP22" s="100">
        <v>8</v>
      </c>
      <c r="AQ22" s="100">
        <v>1497.6</v>
      </c>
      <c r="AR22" s="100">
        <v>9</v>
      </c>
      <c r="AS22" s="100">
        <v>1684.8</v>
      </c>
      <c r="AT22" s="100">
        <v>8</v>
      </c>
      <c r="AU22" s="100">
        <v>1497.6</v>
      </c>
      <c r="AV22" s="100">
        <v>12</v>
      </c>
      <c r="AW22" s="100">
        <v>2246.3999999999996</v>
      </c>
      <c r="AX22" s="100">
        <v>8</v>
      </c>
      <c r="AY22" s="100">
        <v>1497.6</v>
      </c>
      <c r="AZ22" s="100">
        <v>14.031578306068687</v>
      </c>
      <c r="BA22" s="100">
        <v>2626.711458896058</v>
      </c>
      <c r="BB22" s="100">
        <v>16</v>
      </c>
      <c r="BC22" s="100">
        <v>2995.2</v>
      </c>
      <c r="BD22" s="100">
        <v>3.0906939957875816</v>
      </c>
      <c r="BE22" s="100">
        <v>578.57791601143526</v>
      </c>
      <c r="BF22" s="100">
        <v>13</v>
      </c>
      <c r="BG22" s="100">
        <v>2433.6</v>
      </c>
      <c r="BH22" s="100">
        <v>15.595498290203079</v>
      </c>
      <c r="BI22" s="100">
        <v>2919.4772799260163</v>
      </c>
      <c r="BJ22" s="100">
        <v>3.5925350279981889</v>
      </c>
      <c r="BK22" s="100">
        <v>672.52255724126087</v>
      </c>
      <c r="BL22" s="100">
        <v>8.3297865975455867</v>
      </c>
      <c r="BM22" s="100">
        <v>1559.3360510605337</v>
      </c>
      <c r="BN22" s="100">
        <v>9.2546836711647433</v>
      </c>
      <c r="BO22" s="100">
        <v>1732.4767832420398</v>
      </c>
      <c r="BP22" s="100">
        <v>9</v>
      </c>
      <c r="BQ22" s="100">
        <v>1684.8</v>
      </c>
      <c r="BR22" s="100">
        <v>13</v>
      </c>
      <c r="BS22" s="100">
        <v>2433.6</v>
      </c>
      <c r="BT22" s="100">
        <v>10</v>
      </c>
      <c r="BU22" s="100">
        <v>1872</v>
      </c>
      <c r="BV22" s="100">
        <v>15.998762154848299</v>
      </c>
      <c r="BW22" s="100">
        <v>2994.9682753876014</v>
      </c>
      <c r="BX22" s="100">
        <v>2.7837992019759241</v>
      </c>
      <c r="BY22" s="100">
        <v>521.12721060989293</v>
      </c>
      <c r="BZ22" s="100">
        <v>9</v>
      </c>
      <c r="CA22" s="100">
        <v>1684.8</v>
      </c>
      <c r="CB22" s="100">
        <v>9</v>
      </c>
      <c r="CC22" s="100">
        <v>1684.8</v>
      </c>
      <c r="CD22" s="100">
        <v>14</v>
      </c>
      <c r="CE22" s="100">
        <v>2620.7999999999997</v>
      </c>
      <c r="CF22" s="100">
        <v>9</v>
      </c>
      <c r="CG22" s="100">
        <v>1684.8</v>
      </c>
      <c r="CH22" s="100">
        <v>11.548790140265934</v>
      </c>
      <c r="CI22" s="100">
        <v>2161.9335142577829</v>
      </c>
      <c r="CJ22" s="100">
        <v>12.539646500923672</v>
      </c>
      <c r="CK22" s="100">
        <v>2347.4218249729111</v>
      </c>
      <c r="CL22" s="100">
        <v>7.225506187971076E-4</v>
      </c>
      <c r="CM22" s="100">
        <v>0.13526147583881853</v>
      </c>
      <c r="CN22" s="100">
        <v>14</v>
      </c>
      <c r="CO22" s="100">
        <v>2620.7999999999997</v>
      </c>
      <c r="CP22" s="100">
        <v>9</v>
      </c>
      <c r="CQ22" s="100">
        <v>1684.8</v>
      </c>
      <c r="CR22" s="100">
        <v>11.549214283681314</v>
      </c>
      <c r="CS22" s="100">
        <v>2162.0129139051419</v>
      </c>
      <c r="CT22" s="100">
        <v>15.867410322255672</v>
      </c>
      <c r="CU22" s="100">
        <v>2970.3792123262615</v>
      </c>
    </row>
    <row r="23" spans="2:99">
      <c r="C23" s="99" t="s">
        <v>189</v>
      </c>
      <c r="D23" s="100">
        <v>5.1770399751624403</v>
      </c>
      <c r="E23" s="100">
        <v>1522.0497526977574</v>
      </c>
      <c r="F23" s="100">
        <v>10.578909233658445</v>
      </c>
      <c r="G23" s="100">
        <v>3110.1993146955829</v>
      </c>
      <c r="H23" s="100">
        <v>2.826911136519799</v>
      </c>
      <c r="I23" s="100">
        <v>831.11187413682092</v>
      </c>
      <c r="J23" s="100">
        <v>12</v>
      </c>
      <c r="K23" s="100">
        <v>3528</v>
      </c>
      <c r="L23" s="100">
        <v>12</v>
      </c>
      <c r="M23" s="100">
        <v>3528</v>
      </c>
      <c r="N23" s="100">
        <v>15</v>
      </c>
      <c r="O23" s="100">
        <v>4410</v>
      </c>
      <c r="P23" s="100">
        <v>8</v>
      </c>
      <c r="Q23" s="100">
        <v>2352</v>
      </c>
      <c r="R23" s="100">
        <v>9</v>
      </c>
      <c r="S23" s="100">
        <v>2646</v>
      </c>
      <c r="T23" s="100">
        <v>13.662448687852763</v>
      </c>
      <c r="U23" s="100">
        <v>4016.7599142287122</v>
      </c>
      <c r="V23" s="100">
        <v>10.201328089772783</v>
      </c>
      <c r="W23" s="100">
        <v>2999.1904583931982</v>
      </c>
      <c r="X23" s="100">
        <v>8</v>
      </c>
      <c r="Y23" s="100">
        <v>2352</v>
      </c>
      <c r="Z23" s="100">
        <v>14</v>
      </c>
      <c r="AA23" s="100">
        <v>4116</v>
      </c>
      <c r="AB23" s="100">
        <v>10</v>
      </c>
      <c r="AC23" s="100">
        <v>2940</v>
      </c>
      <c r="AD23" s="100">
        <v>10.493649510304451</v>
      </c>
      <c r="AE23" s="100">
        <v>3085.1329560295085</v>
      </c>
      <c r="AF23" s="100">
        <v>6.5307567701512124</v>
      </c>
      <c r="AG23" s="100">
        <v>1920.0424904244564</v>
      </c>
      <c r="AH23" s="100">
        <v>3.1007895908512833</v>
      </c>
      <c r="AI23" s="100">
        <v>911.63213971027733</v>
      </c>
      <c r="AJ23" s="100">
        <v>11</v>
      </c>
      <c r="AK23" s="100">
        <v>3234</v>
      </c>
      <c r="AL23" s="100">
        <v>13</v>
      </c>
      <c r="AM23" s="100">
        <v>3822</v>
      </c>
      <c r="AN23" s="100">
        <v>10</v>
      </c>
      <c r="AO23" s="100">
        <v>2940</v>
      </c>
      <c r="AP23" s="100">
        <v>8</v>
      </c>
      <c r="AQ23" s="100">
        <v>2352</v>
      </c>
      <c r="AR23" s="100">
        <v>9</v>
      </c>
      <c r="AS23" s="100">
        <v>2646</v>
      </c>
      <c r="AT23" s="100">
        <v>8</v>
      </c>
      <c r="AU23" s="100">
        <v>2352</v>
      </c>
      <c r="AV23" s="100">
        <v>12</v>
      </c>
      <c r="AW23" s="100">
        <v>3528</v>
      </c>
      <c r="AX23" s="100">
        <v>7</v>
      </c>
      <c r="AY23" s="100">
        <v>2058</v>
      </c>
      <c r="AZ23" s="100">
        <v>16.036315051978992</v>
      </c>
      <c r="BA23" s="100">
        <v>4714.6766252818234</v>
      </c>
      <c r="BB23" s="100">
        <v>16</v>
      </c>
      <c r="BC23" s="100">
        <v>4704</v>
      </c>
      <c r="BD23" s="100">
        <v>2.4725551966300654</v>
      </c>
      <c r="BE23" s="100">
        <v>726.9312278092392</v>
      </c>
      <c r="BF23" s="100">
        <v>13</v>
      </c>
      <c r="BG23" s="100">
        <v>3822</v>
      </c>
      <c r="BH23" s="100">
        <v>13.595498290203079</v>
      </c>
      <c r="BI23" s="100">
        <v>3997.0764973197051</v>
      </c>
      <c r="BJ23" s="100">
        <v>3.3530326927983101</v>
      </c>
      <c r="BK23" s="100">
        <v>985.79161168270321</v>
      </c>
      <c r="BL23" s="100">
        <v>9.3297865975455867</v>
      </c>
      <c r="BM23" s="100">
        <v>2742.9572596784024</v>
      </c>
      <c r="BN23" s="100">
        <v>8.4834600319010161</v>
      </c>
      <c r="BO23" s="100">
        <v>2494.1372493788986</v>
      </c>
      <c r="BP23" s="100">
        <v>10</v>
      </c>
      <c r="BQ23" s="100">
        <v>2940</v>
      </c>
      <c r="BR23" s="100">
        <v>12</v>
      </c>
      <c r="BS23" s="100">
        <v>3528</v>
      </c>
      <c r="BT23" s="100">
        <v>10</v>
      </c>
      <c r="BU23" s="100">
        <v>2940</v>
      </c>
      <c r="BV23" s="100">
        <v>16.042351378203364</v>
      </c>
      <c r="BW23" s="100">
        <v>4716.4513051917893</v>
      </c>
      <c r="BX23" s="100">
        <v>3.0368718567010085</v>
      </c>
      <c r="BY23" s="100">
        <v>892.84032587009654</v>
      </c>
      <c r="BZ23" s="100">
        <v>10</v>
      </c>
      <c r="CA23" s="100">
        <v>2940</v>
      </c>
      <c r="CB23" s="100">
        <v>9</v>
      </c>
      <c r="CC23" s="100">
        <v>2646</v>
      </c>
      <c r="CD23" s="100">
        <v>15</v>
      </c>
      <c r="CE23" s="100">
        <v>4410</v>
      </c>
      <c r="CF23" s="100">
        <v>9</v>
      </c>
      <c r="CG23" s="100">
        <v>2646</v>
      </c>
      <c r="CH23" s="100">
        <v>11.548790140265934</v>
      </c>
      <c r="CI23" s="100">
        <v>3395.3443012381845</v>
      </c>
      <c r="CJ23" s="100">
        <v>12.551811990971753</v>
      </c>
      <c r="CK23" s="100">
        <v>3690.2327253456956</v>
      </c>
      <c r="CL23" s="100">
        <v>7.225506187971076E-4</v>
      </c>
      <c r="CM23" s="100">
        <v>0.21242988192634962</v>
      </c>
      <c r="CN23" s="100">
        <v>12</v>
      </c>
      <c r="CO23" s="100">
        <v>3528</v>
      </c>
      <c r="CP23" s="100">
        <v>8</v>
      </c>
      <c r="CQ23" s="100">
        <v>2352</v>
      </c>
      <c r="CR23" s="100">
        <v>11.520308268750719</v>
      </c>
      <c r="CS23" s="100">
        <v>3386.9706310127117</v>
      </c>
      <c r="CT23" s="100">
        <v>16.85912346739665</v>
      </c>
      <c r="CU23" s="100">
        <v>4956.5822994146147</v>
      </c>
    </row>
    <row r="24" spans="2:99">
      <c r="C24" s="99" t="s">
        <v>190</v>
      </c>
      <c r="D24" s="100">
        <v>5.1770399751624403</v>
      </c>
      <c r="E24" s="100">
        <v>1901.0090788796481</v>
      </c>
      <c r="F24" s="100">
        <v>9.7238579865866868</v>
      </c>
      <c r="G24" s="100">
        <v>3570.6006526746314</v>
      </c>
      <c r="H24" s="100">
        <v>2.826911136519799</v>
      </c>
      <c r="I24" s="100">
        <v>1038.0417693300701</v>
      </c>
      <c r="J24" s="100">
        <v>12</v>
      </c>
      <c r="K24" s="100">
        <v>4406.3999999999996</v>
      </c>
      <c r="L24" s="100">
        <v>12</v>
      </c>
      <c r="M24" s="100">
        <v>4406.3999999999996</v>
      </c>
      <c r="N24" s="100">
        <v>14</v>
      </c>
      <c r="O24" s="100">
        <v>5140.8</v>
      </c>
      <c r="P24" s="100">
        <v>7</v>
      </c>
      <c r="Q24" s="100">
        <v>2570.4</v>
      </c>
      <c r="R24" s="100">
        <v>10</v>
      </c>
      <c r="S24" s="100">
        <v>3672</v>
      </c>
      <c r="T24" s="100">
        <v>12.615130924434709</v>
      </c>
      <c r="U24" s="100">
        <v>4632.2760754524252</v>
      </c>
      <c r="V24" s="100">
        <v>11.213911095383581</v>
      </c>
      <c r="W24" s="100">
        <v>4117.7481542248506</v>
      </c>
      <c r="X24" s="100">
        <v>8</v>
      </c>
      <c r="Y24" s="100">
        <v>2937.6</v>
      </c>
      <c r="Z24" s="100">
        <v>14</v>
      </c>
      <c r="AA24" s="100">
        <v>5140.8</v>
      </c>
      <c r="AB24" s="100">
        <v>9</v>
      </c>
      <c r="AC24" s="100">
        <v>3304.7999999999997</v>
      </c>
      <c r="AD24" s="100">
        <v>10.467368496463852</v>
      </c>
      <c r="AE24" s="100">
        <v>3843.6177119015265</v>
      </c>
      <c r="AF24" s="100">
        <v>6.02684908058598</v>
      </c>
      <c r="AG24" s="100">
        <v>2213.0589823911719</v>
      </c>
      <c r="AH24" s="100">
        <v>3.5778341432899419</v>
      </c>
      <c r="AI24" s="100">
        <v>1313.7806974160667</v>
      </c>
      <c r="AJ24" s="100">
        <v>11</v>
      </c>
      <c r="AK24" s="100">
        <v>4039.2</v>
      </c>
      <c r="AL24" s="100">
        <v>11</v>
      </c>
      <c r="AM24" s="100">
        <v>4039.2</v>
      </c>
      <c r="AN24" s="100">
        <v>10</v>
      </c>
      <c r="AO24" s="100">
        <v>3672</v>
      </c>
      <c r="AP24" s="100">
        <v>8</v>
      </c>
      <c r="AQ24" s="100">
        <v>2937.6</v>
      </c>
      <c r="AR24" s="100">
        <v>8</v>
      </c>
      <c r="AS24" s="100">
        <v>2937.6</v>
      </c>
      <c r="AT24" s="100">
        <v>7</v>
      </c>
      <c r="AU24" s="100">
        <v>2570.4</v>
      </c>
      <c r="AV24" s="100">
        <v>13</v>
      </c>
      <c r="AW24" s="100">
        <v>4773.5999999999995</v>
      </c>
      <c r="AX24" s="100">
        <v>9</v>
      </c>
      <c r="AY24" s="100">
        <v>3304.7999999999997</v>
      </c>
      <c r="AZ24" s="100">
        <v>15.03631505197899</v>
      </c>
      <c r="BA24" s="100">
        <v>5521.3348870866848</v>
      </c>
      <c r="BB24" s="100">
        <v>13</v>
      </c>
      <c r="BC24" s="100">
        <v>4773.5999999999995</v>
      </c>
      <c r="BD24" s="100">
        <v>3.0906939957875816</v>
      </c>
      <c r="BE24" s="100">
        <v>1134.9028352532</v>
      </c>
      <c r="BF24" s="100">
        <v>13</v>
      </c>
      <c r="BG24" s="100">
        <v>4773.5999999999995</v>
      </c>
      <c r="BH24" s="100">
        <v>13.595498290203079</v>
      </c>
      <c r="BI24" s="100">
        <v>4992.2669721625707</v>
      </c>
      <c r="BJ24" s="100">
        <v>3.1135303575984303</v>
      </c>
      <c r="BK24" s="100">
        <v>1143.2883473101435</v>
      </c>
      <c r="BL24" s="100">
        <v>8.3517723707152935</v>
      </c>
      <c r="BM24" s="100">
        <v>3066.7708145266556</v>
      </c>
      <c r="BN24" s="100">
        <v>8.4834600319010161</v>
      </c>
      <c r="BO24" s="100">
        <v>3115.1265237140528</v>
      </c>
      <c r="BP24" s="100">
        <v>10</v>
      </c>
      <c r="BQ24" s="100">
        <v>3672</v>
      </c>
      <c r="BR24" s="100">
        <v>12</v>
      </c>
      <c r="BS24" s="100">
        <v>4406.3999999999996</v>
      </c>
      <c r="BT24" s="100">
        <v>10</v>
      </c>
      <c r="BU24" s="100">
        <v>3672</v>
      </c>
      <c r="BV24" s="100">
        <v>15.95517293149323</v>
      </c>
      <c r="BW24" s="100">
        <v>5858.7395004443142</v>
      </c>
      <c r="BX24" s="100">
        <v>3.2899445114260919</v>
      </c>
      <c r="BY24" s="100">
        <v>1208.0676245956608</v>
      </c>
      <c r="BZ24" s="100">
        <v>10</v>
      </c>
      <c r="CA24" s="100">
        <v>3672</v>
      </c>
      <c r="CB24" s="100">
        <v>9</v>
      </c>
      <c r="CC24" s="100">
        <v>3304.7999999999997</v>
      </c>
      <c r="CD24" s="100">
        <v>14</v>
      </c>
      <c r="CE24" s="100">
        <v>5140.8</v>
      </c>
      <c r="CF24" s="100">
        <v>9</v>
      </c>
      <c r="CG24" s="100">
        <v>3304.7999999999997</v>
      </c>
      <c r="CH24" s="100">
        <v>10.869449543779702</v>
      </c>
      <c r="CI24" s="100">
        <v>3991.2618724759063</v>
      </c>
      <c r="CJ24" s="100">
        <v>11.728812080294794</v>
      </c>
      <c r="CK24" s="100">
        <v>4306.8197958842484</v>
      </c>
      <c r="CL24" s="100">
        <v>7.9480568067681839E-4</v>
      </c>
      <c r="CM24" s="100">
        <v>0.2918526459445277</v>
      </c>
      <c r="CN24" s="100">
        <v>13</v>
      </c>
      <c r="CO24" s="100">
        <v>4773.5999999999995</v>
      </c>
      <c r="CP24" s="100">
        <v>9</v>
      </c>
      <c r="CQ24" s="100">
        <v>3304.7999999999997</v>
      </c>
      <c r="CR24" s="100">
        <v>11.491402253820123</v>
      </c>
      <c r="CS24" s="100">
        <v>4219.6429076027489</v>
      </c>
      <c r="CT24" s="100">
        <v>16.85912346739665</v>
      </c>
      <c r="CU24" s="100">
        <v>6190.6701372280495</v>
      </c>
    </row>
    <row r="25" spans="2:99">
      <c r="C25" s="99" t="s">
        <v>191</v>
      </c>
      <c r="D25" s="100">
        <v>5.1770399751624403</v>
      </c>
      <c r="E25" s="100">
        <v>2745.9020028261584</v>
      </c>
      <c r="F25" s="100">
        <v>11.276090781237732</v>
      </c>
      <c r="G25" s="100">
        <v>5980.8385503684931</v>
      </c>
      <c r="H25" s="100">
        <v>2.569919215017999</v>
      </c>
      <c r="I25" s="100">
        <v>1363.0851516455466</v>
      </c>
      <c r="J25" s="100">
        <v>12</v>
      </c>
      <c r="K25" s="100">
        <v>6364.7999999999993</v>
      </c>
      <c r="L25" s="100">
        <v>13</v>
      </c>
      <c r="M25" s="100">
        <v>6895.2</v>
      </c>
      <c r="N25" s="100">
        <v>14</v>
      </c>
      <c r="O25" s="100">
        <v>7425.5999999999995</v>
      </c>
      <c r="P25" s="100">
        <v>7</v>
      </c>
      <c r="Q25" s="100">
        <v>3712.7999999999997</v>
      </c>
      <c r="R25" s="100">
        <v>9</v>
      </c>
      <c r="S25" s="100">
        <v>4773.5999999999995</v>
      </c>
      <c r="T25" s="100">
        <v>11.567813161016653</v>
      </c>
      <c r="U25" s="100">
        <v>6135.5681006032328</v>
      </c>
      <c r="V25" s="100">
        <v>10.213911095383581</v>
      </c>
      <c r="W25" s="100">
        <v>5417.458444991451</v>
      </c>
      <c r="X25" s="100">
        <v>8</v>
      </c>
      <c r="Y25" s="100">
        <v>4243.2</v>
      </c>
      <c r="Z25" s="100">
        <v>13</v>
      </c>
      <c r="AA25" s="100">
        <v>6895.2</v>
      </c>
      <c r="AB25" s="100">
        <v>10</v>
      </c>
      <c r="AC25" s="100">
        <v>5304</v>
      </c>
      <c r="AD25" s="100">
        <v>9.7459803319856029</v>
      </c>
      <c r="AE25" s="100">
        <v>5169.2679680851634</v>
      </c>
      <c r="AF25" s="100">
        <v>5.5630277794143774</v>
      </c>
      <c r="AG25" s="100">
        <v>2950.6299342013858</v>
      </c>
      <c r="AH25" s="100">
        <v>3.5778341432899419</v>
      </c>
      <c r="AI25" s="100">
        <v>1897.683229600985</v>
      </c>
      <c r="AJ25" s="100">
        <v>11</v>
      </c>
      <c r="AK25" s="100">
        <v>5834.4</v>
      </c>
      <c r="AL25" s="100">
        <v>11</v>
      </c>
      <c r="AM25" s="100">
        <v>5834.4</v>
      </c>
      <c r="AN25" s="100">
        <v>10</v>
      </c>
      <c r="AO25" s="100">
        <v>5304</v>
      </c>
      <c r="AP25" s="100">
        <v>8</v>
      </c>
      <c r="AQ25" s="100">
        <v>4243.2</v>
      </c>
      <c r="AR25" s="100">
        <v>8</v>
      </c>
      <c r="AS25" s="100">
        <v>4243.2</v>
      </c>
      <c r="AT25" s="100">
        <v>8</v>
      </c>
      <c r="AU25" s="100">
        <v>4243.2</v>
      </c>
      <c r="AV25" s="100">
        <v>12</v>
      </c>
      <c r="AW25" s="100">
        <v>6364.7999999999993</v>
      </c>
      <c r="AX25" s="100">
        <v>8</v>
      </c>
      <c r="AY25" s="100">
        <v>4243.2</v>
      </c>
      <c r="AZ25" s="100">
        <v>15.03631505197899</v>
      </c>
      <c r="BA25" s="100">
        <v>7975.2615035696563</v>
      </c>
      <c r="BB25" s="100">
        <v>14</v>
      </c>
      <c r="BC25" s="100">
        <v>7425.5999999999995</v>
      </c>
      <c r="BD25" s="100">
        <v>2.4725551966300654</v>
      </c>
      <c r="BE25" s="100">
        <v>1311.4432762925867</v>
      </c>
      <c r="BF25" s="100">
        <v>15</v>
      </c>
      <c r="BG25" s="100">
        <v>7956</v>
      </c>
      <c r="BH25" s="100">
        <v>15.628581528547695</v>
      </c>
      <c r="BI25" s="100">
        <v>8289.3996427416969</v>
      </c>
      <c r="BJ25" s="100">
        <v>3.5925350279981889</v>
      </c>
      <c r="BK25" s="100">
        <v>1905.4805788502392</v>
      </c>
      <c r="BL25" s="100">
        <v>9.3078008243758816</v>
      </c>
      <c r="BM25" s="100">
        <v>4936.8575572489672</v>
      </c>
      <c r="BN25" s="100">
        <v>7.7122363926372861</v>
      </c>
      <c r="BO25" s="100">
        <v>4090.5701826548166</v>
      </c>
      <c r="BP25" s="100">
        <v>10</v>
      </c>
      <c r="BQ25" s="100">
        <v>5304</v>
      </c>
      <c r="BR25" s="100">
        <v>12</v>
      </c>
      <c r="BS25" s="100">
        <v>6364.7999999999993</v>
      </c>
      <c r="BT25" s="100">
        <v>9</v>
      </c>
      <c r="BU25" s="100">
        <v>4773.5999999999995</v>
      </c>
      <c r="BV25" s="100">
        <v>14.140581861396237</v>
      </c>
      <c r="BW25" s="100">
        <v>7500.1646192845637</v>
      </c>
      <c r="BX25" s="100">
        <v>2.7837992019759241</v>
      </c>
      <c r="BY25" s="100">
        <v>1476.5270967280301</v>
      </c>
      <c r="BZ25" s="100">
        <v>9</v>
      </c>
      <c r="CA25" s="100">
        <v>4773.5999999999995</v>
      </c>
      <c r="CB25" s="100">
        <v>8</v>
      </c>
      <c r="CC25" s="100">
        <v>4243.2</v>
      </c>
      <c r="CD25" s="100">
        <v>14</v>
      </c>
      <c r="CE25" s="100">
        <v>7425.5999999999995</v>
      </c>
      <c r="CF25" s="100">
        <v>9</v>
      </c>
      <c r="CG25" s="100">
        <v>4773.5999999999995</v>
      </c>
      <c r="CH25" s="100">
        <v>10.190108947293471</v>
      </c>
      <c r="CI25" s="100">
        <v>5404.8337856444568</v>
      </c>
      <c r="CJ25" s="100">
        <v>12.551811990971753</v>
      </c>
      <c r="CK25" s="100">
        <v>6657.4810800114174</v>
      </c>
      <c r="CL25" s="100">
        <v>7.225506187971076E-4</v>
      </c>
      <c r="CM25" s="100">
        <v>0.38324084820998583</v>
      </c>
      <c r="CN25" s="100">
        <v>13</v>
      </c>
      <c r="CO25" s="100">
        <v>6895.2</v>
      </c>
      <c r="CP25" s="100">
        <v>8</v>
      </c>
      <c r="CQ25" s="100">
        <v>4243.2</v>
      </c>
      <c r="CR25" s="100">
        <v>11.549214283681314</v>
      </c>
      <c r="CS25" s="100">
        <v>6125.7032560645684</v>
      </c>
      <c r="CT25" s="100">
        <v>15.867410322255672</v>
      </c>
      <c r="CU25" s="100">
        <v>8416.0744349244087</v>
      </c>
    </row>
    <row r="26" spans="2:99">
      <c r="C26" s="99" t="s">
        <v>192</v>
      </c>
      <c r="D26" s="100">
        <v>4.5299099782671348</v>
      </c>
      <c r="E26" s="100">
        <v>2201.5362494378273</v>
      </c>
      <c r="F26" s="100">
        <v>11.276090781237732</v>
      </c>
      <c r="G26" s="100">
        <v>5480.1801196815377</v>
      </c>
      <c r="H26" s="100">
        <v>2.3129272935161991</v>
      </c>
      <c r="I26" s="100">
        <v>1124.0826646488727</v>
      </c>
      <c r="J26" s="100">
        <v>12</v>
      </c>
      <c r="K26" s="100">
        <v>5832</v>
      </c>
      <c r="L26" s="100">
        <v>13</v>
      </c>
      <c r="M26" s="100">
        <v>6318</v>
      </c>
      <c r="N26" s="100">
        <v>13</v>
      </c>
      <c r="O26" s="100">
        <v>6318</v>
      </c>
      <c r="P26" s="100">
        <v>7</v>
      </c>
      <c r="Q26" s="100">
        <v>3402</v>
      </c>
      <c r="R26" s="100">
        <v>9</v>
      </c>
      <c r="S26" s="100">
        <v>4374</v>
      </c>
      <c r="T26" s="100">
        <v>13.662448687852763</v>
      </c>
      <c r="U26" s="100">
        <v>6639.9500622964424</v>
      </c>
      <c r="V26" s="100">
        <v>11.23907710660518</v>
      </c>
      <c r="W26" s="100">
        <v>5462.1914738101177</v>
      </c>
      <c r="X26" s="100">
        <v>7</v>
      </c>
      <c r="Y26" s="100">
        <v>3402</v>
      </c>
      <c r="Z26" s="100">
        <v>13</v>
      </c>
      <c r="AA26" s="100">
        <v>6318</v>
      </c>
      <c r="AB26" s="100">
        <v>9</v>
      </c>
      <c r="AC26" s="100">
        <v>4374</v>
      </c>
      <c r="AD26" s="100">
        <v>10.467368496463852</v>
      </c>
      <c r="AE26" s="100">
        <v>5087.141089281432</v>
      </c>
      <c r="AF26" s="100">
        <v>5.5229413910207468</v>
      </c>
      <c r="AG26" s="100">
        <v>2684.1495160360828</v>
      </c>
      <c r="AH26" s="100">
        <v>3.1007895908512833</v>
      </c>
      <c r="AI26" s="100">
        <v>1506.9837411537237</v>
      </c>
      <c r="AJ26" s="100">
        <v>11</v>
      </c>
      <c r="AK26" s="100">
        <v>5346</v>
      </c>
      <c r="AL26" s="100">
        <v>11</v>
      </c>
      <c r="AM26" s="100">
        <v>5346</v>
      </c>
      <c r="AN26" s="100">
        <v>9</v>
      </c>
      <c r="AO26" s="100">
        <v>4374</v>
      </c>
      <c r="AP26" s="100">
        <v>9</v>
      </c>
      <c r="AQ26" s="100">
        <v>4374</v>
      </c>
      <c r="AR26" s="100">
        <v>9</v>
      </c>
      <c r="AS26" s="100">
        <v>4374</v>
      </c>
      <c r="AT26" s="100">
        <v>7</v>
      </c>
      <c r="AU26" s="100">
        <v>3402</v>
      </c>
      <c r="AV26" s="100">
        <v>13</v>
      </c>
      <c r="AW26" s="100">
        <v>6318</v>
      </c>
      <c r="AX26" s="100">
        <v>9</v>
      </c>
      <c r="AY26" s="100">
        <v>4374</v>
      </c>
      <c r="AZ26" s="100">
        <v>15.03631505197899</v>
      </c>
      <c r="BA26" s="100">
        <v>7307.6491152617891</v>
      </c>
      <c r="BB26" s="100">
        <v>14</v>
      </c>
      <c r="BC26" s="100">
        <v>6804</v>
      </c>
      <c r="BD26" s="100">
        <v>3.0906939957875816</v>
      </c>
      <c r="BE26" s="100">
        <v>1502.0772819527647</v>
      </c>
      <c r="BF26" s="100">
        <v>13</v>
      </c>
      <c r="BG26" s="100">
        <v>6318</v>
      </c>
      <c r="BH26" s="100">
        <v>14.562415051858464</v>
      </c>
      <c r="BI26" s="100">
        <v>7077.3337152032136</v>
      </c>
      <c r="BJ26" s="100">
        <v>3.3530326927983101</v>
      </c>
      <c r="BK26" s="100">
        <v>1629.5738886999786</v>
      </c>
      <c r="BL26" s="100">
        <v>9.3517723707152935</v>
      </c>
      <c r="BM26" s="100">
        <v>4544.9613721676324</v>
      </c>
      <c r="BN26" s="100">
        <v>9.2546836711647433</v>
      </c>
      <c r="BO26" s="100">
        <v>4497.7762641860654</v>
      </c>
      <c r="BP26" s="100">
        <v>10</v>
      </c>
      <c r="BQ26" s="100">
        <v>4860</v>
      </c>
      <c r="BR26" s="100">
        <v>12</v>
      </c>
      <c r="BS26" s="100">
        <v>5832</v>
      </c>
      <c r="BT26" s="100">
        <v>10</v>
      </c>
      <c r="BU26" s="100">
        <v>4860</v>
      </c>
      <c r="BV26" s="100">
        <v>15.95517293149323</v>
      </c>
      <c r="BW26" s="100">
        <v>7754.21404470571</v>
      </c>
      <c r="BX26" s="100">
        <v>2.7837992019759241</v>
      </c>
      <c r="BY26" s="100">
        <v>1352.9264121602992</v>
      </c>
      <c r="BZ26" s="100">
        <v>10</v>
      </c>
      <c r="CA26" s="100">
        <v>4860</v>
      </c>
      <c r="CB26" s="100">
        <v>9</v>
      </c>
      <c r="CC26" s="100">
        <v>4374</v>
      </c>
      <c r="CD26" s="100">
        <v>13</v>
      </c>
      <c r="CE26" s="100">
        <v>6318</v>
      </c>
      <c r="CF26" s="100">
        <v>10</v>
      </c>
      <c r="CG26" s="100">
        <v>4860</v>
      </c>
      <c r="CH26" s="100">
        <v>11.548790140265934</v>
      </c>
      <c r="CI26" s="100">
        <v>5612.7120081692437</v>
      </c>
      <c r="CJ26" s="100">
        <v>10.917977659665913</v>
      </c>
      <c r="CK26" s="100">
        <v>5306.137142597634</v>
      </c>
      <c r="CL26" s="100">
        <v>7.225506187971076E-4</v>
      </c>
      <c r="CM26" s="100">
        <v>0.35115960073539432</v>
      </c>
      <c r="CN26" s="100">
        <v>13</v>
      </c>
      <c r="CO26" s="100">
        <v>6318</v>
      </c>
      <c r="CP26" s="100">
        <v>8</v>
      </c>
      <c r="CQ26" s="100">
        <v>3888</v>
      </c>
      <c r="CR26" s="100">
        <v>11.520308268750719</v>
      </c>
      <c r="CS26" s="100">
        <v>5598.8698186128495</v>
      </c>
      <c r="CT26" s="100">
        <v>15.867410322255672</v>
      </c>
      <c r="CU26" s="100">
        <v>7711.5614166162568</v>
      </c>
    </row>
    <row r="27" spans="2:99">
      <c r="C27" s="99" t="s">
        <v>193</v>
      </c>
      <c r="D27" s="100">
        <v>4.5299099782671348</v>
      </c>
      <c r="E27" s="100">
        <v>1935.1775427157199</v>
      </c>
      <c r="F27" s="100">
        <v>11.307664721136227</v>
      </c>
      <c r="G27" s="100">
        <v>4830.634368869396</v>
      </c>
      <c r="H27" s="100">
        <v>2.569919215017999</v>
      </c>
      <c r="I27" s="100">
        <v>1097.8694886556891</v>
      </c>
      <c r="J27" s="100">
        <v>12</v>
      </c>
      <c r="K27" s="100">
        <v>5126.3999999999996</v>
      </c>
      <c r="L27" s="100">
        <v>11</v>
      </c>
      <c r="M27" s="100">
        <v>4699.2</v>
      </c>
      <c r="N27" s="100">
        <v>14</v>
      </c>
      <c r="O27" s="100">
        <v>5980.8</v>
      </c>
      <c r="P27" s="100">
        <v>8</v>
      </c>
      <c r="Q27" s="100">
        <v>3417.6</v>
      </c>
      <c r="R27" s="100">
        <v>10</v>
      </c>
      <c r="S27" s="100">
        <v>4272</v>
      </c>
      <c r="T27" s="100">
        <v>11.615130924434709</v>
      </c>
      <c r="U27" s="100">
        <v>4961.9839309185072</v>
      </c>
      <c r="V27" s="100">
        <v>9.2264941009943797</v>
      </c>
      <c r="W27" s="100">
        <v>3941.5582799447989</v>
      </c>
      <c r="X27" s="100">
        <v>8</v>
      </c>
      <c r="Y27" s="100">
        <v>3417.6</v>
      </c>
      <c r="Z27" s="100">
        <v>14</v>
      </c>
      <c r="AA27" s="100">
        <v>5980.8</v>
      </c>
      <c r="AB27" s="100">
        <v>9</v>
      </c>
      <c r="AC27" s="100">
        <v>3844.7999999999997</v>
      </c>
      <c r="AD27" s="100">
        <v>11.241318688623297</v>
      </c>
      <c r="AE27" s="100">
        <v>4802.2913437798725</v>
      </c>
      <c r="AF27" s="100">
        <v>5.5630277794143774</v>
      </c>
      <c r="AG27" s="100">
        <v>2376.5254673658219</v>
      </c>
      <c r="AH27" s="100">
        <v>3.5778341432899419</v>
      </c>
      <c r="AI27" s="100">
        <v>1528.4507460134632</v>
      </c>
      <c r="AJ27" s="100">
        <v>10</v>
      </c>
      <c r="AK27" s="100">
        <v>4272</v>
      </c>
      <c r="AL27" s="100">
        <v>11</v>
      </c>
      <c r="AM27" s="100">
        <v>4699.2</v>
      </c>
      <c r="AN27" s="100">
        <v>12</v>
      </c>
      <c r="AO27" s="100">
        <v>5126.3999999999996</v>
      </c>
      <c r="AP27" s="100">
        <v>8</v>
      </c>
      <c r="AQ27" s="100">
        <v>3417.6</v>
      </c>
      <c r="AR27" s="100">
        <v>9</v>
      </c>
      <c r="AS27" s="100">
        <v>3844.7999999999997</v>
      </c>
      <c r="AT27" s="100">
        <v>7</v>
      </c>
      <c r="AU27" s="100">
        <v>2990.4</v>
      </c>
      <c r="AV27" s="100">
        <v>13</v>
      </c>
      <c r="AW27" s="100">
        <v>5553.5999999999995</v>
      </c>
      <c r="AX27" s="100">
        <v>8</v>
      </c>
      <c r="AY27" s="100">
        <v>3417.6</v>
      </c>
      <c r="AZ27" s="100">
        <v>14.03631505197899</v>
      </c>
      <c r="BA27" s="100">
        <v>5996.3137902054241</v>
      </c>
      <c r="BB27" s="100">
        <v>14</v>
      </c>
      <c r="BC27" s="100">
        <v>5980.8</v>
      </c>
      <c r="BD27" s="100">
        <v>2.4725551966300654</v>
      </c>
      <c r="BE27" s="100">
        <v>1056.275580000364</v>
      </c>
      <c r="BF27" s="100">
        <v>14</v>
      </c>
      <c r="BG27" s="100">
        <v>5980.8</v>
      </c>
      <c r="BH27" s="100">
        <v>13.562415051858464</v>
      </c>
      <c r="BI27" s="100">
        <v>5793.8637101539352</v>
      </c>
      <c r="BJ27" s="100">
        <v>3.5925350279981889</v>
      </c>
      <c r="BK27" s="100">
        <v>1534.7309639608263</v>
      </c>
      <c r="BL27" s="100">
        <v>9.3078008243758816</v>
      </c>
      <c r="BM27" s="100">
        <v>3976.2925121733765</v>
      </c>
      <c r="BN27" s="100">
        <v>10.025907310428472</v>
      </c>
      <c r="BO27" s="100">
        <v>4283.0676030150435</v>
      </c>
      <c r="BP27" s="100">
        <v>8</v>
      </c>
      <c r="BQ27" s="100">
        <v>3417.6</v>
      </c>
      <c r="BR27" s="100">
        <v>13</v>
      </c>
      <c r="BS27" s="100">
        <v>5553.5999999999995</v>
      </c>
      <c r="BT27" s="100">
        <v>10</v>
      </c>
      <c r="BU27" s="100">
        <v>4272</v>
      </c>
      <c r="BV27" s="100">
        <v>14.0534034146861</v>
      </c>
      <c r="BW27" s="100">
        <v>6003.6139387539015</v>
      </c>
      <c r="BX27" s="100">
        <v>3.0368718567010085</v>
      </c>
      <c r="BY27" s="100">
        <v>1297.3516571826708</v>
      </c>
      <c r="BZ27" s="100">
        <v>9</v>
      </c>
      <c r="CA27" s="100">
        <v>3844.7999999999997</v>
      </c>
      <c r="CB27" s="100">
        <v>10</v>
      </c>
      <c r="CC27" s="100">
        <v>4272</v>
      </c>
      <c r="CD27" s="100">
        <v>15</v>
      </c>
      <c r="CE27" s="100">
        <v>6408</v>
      </c>
      <c r="CF27" s="100">
        <v>9</v>
      </c>
      <c r="CG27" s="100">
        <v>3844.7999999999997</v>
      </c>
      <c r="CH27" s="100">
        <v>11.548790140265934</v>
      </c>
      <c r="CI27" s="100">
        <v>4933.6431479216071</v>
      </c>
      <c r="CJ27" s="100">
        <v>11.716646590246713</v>
      </c>
      <c r="CK27" s="100">
        <v>5005.3514233533951</v>
      </c>
      <c r="CL27" s="100">
        <v>7.9480568067681839E-4</v>
      </c>
      <c r="CM27" s="100">
        <v>0.33954098678513683</v>
      </c>
      <c r="CN27" s="100">
        <v>14</v>
      </c>
      <c r="CO27" s="100">
        <v>5980.8</v>
      </c>
      <c r="CP27" s="100">
        <v>8</v>
      </c>
      <c r="CQ27" s="100">
        <v>3417.6</v>
      </c>
      <c r="CR27" s="100">
        <v>10.549214283681314</v>
      </c>
      <c r="CS27" s="100">
        <v>4506.6243419886569</v>
      </c>
      <c r="CT27" s="100">
        <v>14.875697177114692</v>
      </c>
      <c r="CU27" s="100">
        <v>6354.8978340633957</v>
      </c>
    </row>
    <row r="28" spans="2:99">
      <c r="C28" s="99" t="s">
        <v>194</v>
      </c>
      <c r="D28" s="100">
        <v>5.1770399751624403</v>
      </c>
      <c r="E28" s="100">
        <v>3820.6555016698808</v>
      </c>
      <c r="F28" s="100">
        <v>11.244516841339237</v>
      </c>
      <c r="G28" s="100">
        <v>8298.4534289083567</v>
      </c>
      <c r="H28" s="100">
        <v>2.3129272935161991</v>
      </c>
      <c r="I28" s="100">
        <v>1706.9403426149549</v>
      </c>
      <c r="J28" s="100">
        <v>12</v>
      </c>
      <c r="K28" s="100">
        <v>8856</v>
      </c>
      <c r="L28" s="100">
        <v>11</v>
      </c>
      <c r="M28" s="100">
        <v>8118</v>
      </c>
      <c r="N28" s="100">
        <v>14</v>
      </c>
      <c r="O28" s="100">
        <v>10332</v>
      </c>
      <c r="P28" s="100">
        <v>7</v>
      </c>
      <c r="Q28" s="100">
        <v>5166</v>
      </c>
      <c r="R28" s="100">
        <v>10</v>
      </c>
      <c r="S28" s="100">
        <v>7380</v>
      </c>
      <c r="T28" s="100">
        <v>11.662448687852763</v>
      </c>
      <c r="U28" s="100">
        <v>8606.8871316353398</v>
      </c>
      <c r="V28" s="100">
        <v>9.2013280897727832</v>
      </c>
      <c r="W28" s="100">
        <v>6790.5801302523141</v>
      </c>
      <c r="X28" s="100">
        <v>8</v>
      </c>
      <c r="Y28" s="100">
        <v>5904</v>
      </c>
      <c r="Z28" s="100">
        <v>12</v>
      </c>
      <c r="AA28" s="100">
        <v>8856</v>
      </c>
      <c r="AB28" s="100">
        <v>9</v>
      </c>
      <c r="AC28" s="100">
        <v>6642</v>
      </c>
      <c r="AD28" s="100">
        <v>9.7722613458262035</v>
      </c>
      <c r="AE28" s="100">
        <v>7211.9288732197383</v>
      </c>
      <c r="AF28" s="100">
        <v>5.5429845852175621</v>
      </c>
      <c r="AG28" s="100">
        <v>4090.722623890561</v>
      </c>
      <c r="AH28" s="100">
        <v>3.5778341432899419</v>
      </c>
      <c r="AI28" s="100">
        <v>2640.4415977479771</v>
      </c>
      <c r="AJ28" s="100">
        <v>10</v>
      </c>
      <c r="AK28" s="100">
        <v>7380</v>
      </c>
      <c r="AL28" s="100">
        <v>12</v>
      </c>
      <c r="AM28" s="100">
        <v>8856</v>
      </c>
      <c r="AN28" s="100">
        <v>11</v>
      </c>
      <c r="AO28" s="100">
        <v>8118</v>
      </c>
      <c r="AP28" s="100">
        <v>9</v>
      </c>
      <c r="AQ28" s="100">
        <v>6642</v>
      </c>
      <c r="AR28" s="100">
        <v>9</v>
      </c>
      <c r="AS28" s="100">
        <v>6642</v>
      </c>
      <c r="AT28" s="100">
        <v>7</v>
      </c>
      <c r="AU28" s="100">
        <v>5166</v>
      </c>
      <c r="AV28" s="100">
        <v>13</v>
      </c>
      <c r="AW28" s="100">
        <v>9594</v>
      </c>
      <c r="AX28" s="100">
        <v>8</v>
      </c>
      <c r="AY28" s="100">
        <v>5904</v>
      </c>
      <c r="AZ28" s="100">
        <v>14.034736136675557</v>
      </c>
      <c r="BA28" s="100">
        <v>10357.635268866561</v>
      </c>
      <c r="BB28" s="100">
        <v>13</v>
      </c>
      <c r="BC28" s="100">
        <v>9594</v>
      </c>
      <c r="BD28" s="100">
        <v>2.7816245962088235</v>
      </c>
      <c r="BE28" s="100">
        <v>2052.8389520021119</v>
      </c>
      <c r="BF28" s="100">
        <v>14</v>
      </c>
      <c r="BG28" s="100">
        <v>10332</v>
      </c>
      <c r="BH28" s="100">
        <v>13.595498290203079</v>
      </c>
      <c r="BI28" s="100">
        <v>10033.477738169871</v>
      </c>
      <c r="BJ28" s="100">
        <v>3.1135303575984303</v>
      </c>
      <c r="BK28" s="100">
        <v>2297.7854039076415</v>
      </c>
      <c r="BL28" s="100">
        <v>9.3078008243758816</v>
      </c>
      <c r="BM28" s="100">
        <v>6869.1570083894003</v>
      </c>
      <c r="BN28" s="100">
        <v>9.2546836711647433</v>
      </c>
      <c r="BO28" s="100">
        <v>6829.9565493195805</v>
      </c>
      <c r="BP28" s="100">
        <v>9</v>
      </c>
      <c r="BQ28" s="100">
        <v>6642</v>
      </c>
      <c r="BR28" s="100">
        <v>11</v>
      </c>
      <c r="BS28" s="100">
        <v>8118</v>
      </c>
      <c r="BT28" s="100">
        <v>9</v>
      </c>
      <c r="BU28" s="100">
        <v>6642</v>
      </c>
      <c r="BV28" s="100">
        <v>15.998762154848299</v>
      </c>
      <c r="BW28" s="100">
        <v>11807.086470278044</v>
      </c>
      <c r="BX28" s="100">
        <v>2.5307265472508402</v>
      </c>
      <c r="BY28" s="100">
        <v>1867.6761918711202</v>
      </c>
      <c r="BZ28" s="100">
        <v>9</v>
      </c>
      <c r="CA28" s="100">
        <v>6642</v>
      </c>
      <c r="CB28" s="100">
        <v>8</v>
      </c>
      <c r="CC28" s="100">
        <v>5904</v>
      </c>
      <c r="CD28" s="100">
        <v>13</v>
      </c>
      <c r="CE28" s="100">
        <v>9594</v>
      </c>
      <c r="CF28" s="100">
        <v>9</v>
      </c>
      <c r="CG28" s="100">
        <v>6642</v>
      </c>
      <c r="CH28" s="100">
        <v>9.5107683508072398</v>
      </c>
      <c r="CI28" s="100">
        <v>7018.9470428957429</v>
      </c>
      <c r="CJ28" s="100">
        <v>13.386977391696794</v>
      </c>
      <c r="CK28" s="100">
        <v>9879.5893150722331</v>
      </c>
      <c r="CL28" s="100">
        <v>8.6706074255652908E-4</v>
      </c>
      <c r="CM28" s="100">
        <v>0.63989082800671848</v>
      </c>
      <c r="CN28" s="100">
        <v>14</v>
      </c>
      <c r="CO28" s="100">
        <v>10332</v>
      </c>
      <c r="CP28" s="100">
        <v>9</v>
      </c>
      <c r="CQ28" s="100">
        <v>6642</v>
      </c>
      <c r="CR28" s="100">
        <v>10.491402253820123</v>
      </c>
      <c r="CS28" s="100">
        <v>7742.6548633192506</v>
      </c>
      <c r="CT28" s="100">
        <v>15.867410322255672</v>
      </c>
      <c r="CU28" s="100">
        <v>11710.148817824685</v>
      </c>
    </row>
    <row r="29" spans="2:99">
      <c r="C29" s="99" t="s">
        <v>195</v>
      </c>
      <c r="D29" s="100">
        <v>5.1770399751624403</v>
      </c>
      <c r="E29" s="100">
        <v>1751.9103275949697</v>
      </c>
      <c r="F29" s="100">
        <v>11.276090781237732</v>
      </c>
      <c r="G29" s="100">
        <v>3815.8291203708482</v>
      </c>
      <c r="H29" s="100">
        <v>2.3129272935161991</v>
      </c>
      <c r="I29" s="100">
        <v>782.69459612588173</v>
      </c>
      <c r="J29" s="100">
        <v>12</v>
      </c>
      <c r="K29" s="100">
        <v>4060.7999999999997</v>
      </c>
      <c r="L29" s="100">
        <v>12</v>
      </c>
      <c r="M29" s="100">
        <v>4060.7999999999997</v>
      </c>
      <c r="N29" s="100">
        <v>14</v>
      </c>
      <c r="O29" s="100">
        <v>4737.5999999999995</v>
      </c>
      <c r="P29" s="100">
        <v>8</v>
      </c>
      <c r="Q29" s="100">
        <v>2707.2</v>
      </c>
      <c r="R29" s="100">
        <v>10</v>
      </c>
      <c r="S29" s="100">
        <v>3384</v>
      </c>
      <c r="T29" s="100">
        <v>11.567813161016653</v>
      </c>
      <c r="U29" s="100">
        <v>3914.5479736880352</v>
      </c>
      <c r="V29" s="100">
        <v>10.213911095383581</v>
      </c>
      <c r="W29" s="100">
        <v>3456.3875146778037</v>
      </c>
      <c r="X29" s="100">
        <v>8</v>
      </c>
      <c r="Y29" s="100">
        <v>2707.2</v>
      </c>
      <c r="Z29" s="100">
        <v>12</v>
      </c>
      <c r="AA29" s="100">
        <v>4060.7999999999997</v>
      </c>
      <c r="AB29" s="100">
        <v>11</v>
      </c>
      <c r="AC29" s="100">
        <v>3722.3999999999996</v>
      </c>
      <c r="AD29" s="100">
        <v>10.467368496463852</v>
      </c>
      <c r="AE29" s="100">
        <v>3542.157499203367</v>
      </c>
      <c r="AF29" s="100">
        <v>6.02684908058598</v>
      </c>
      <c r="AG29" s="100">
        <v>2039.4857288702956</v>
      </c>
      <c r="AH29" s="100">
        <v>3.3393118670706126</v>
      </c>
      <c r="AI29" s="100">
        <v>1130.0231358166952</v>
      </c>
      <c r="AJ29" s="100">
        <v>11</v>
      </c>
      <c r="AK29" s="100">
        <v>3722.3999999999996</v>
      </c>
      <c r="AL29" s="100">
        <v>12</v>
      </c>
      <c r="AM29" s="100">
        <v>4060.7999999999997</v>
      </c>
      <c r="AN29" s="100">
        <v>11</v>
      </c>
      <c r="AO29" s="100">
        <v>3722.3999999999996</v>
      </c>
      <c r="AP29" s="100">
        <v>8</v>
      </c>
      <c r="AQ29" s="100">
        <v>2707.2</v>
      </c>
      <c r="AR29" s="100">
        <v>10</v>
      </c>
      <c r="AS29" s="100">
        <v>3384</v>
      </c>
      <c r="AT29" s="100">
        <v>8</v>
      </c>
      <c r="AU29" s="100">
        <v>2707.2</v>
      </c>
      <c r="AV29" s="100">
        <v>14</v>
      </c>
      <c r="AW29" s="100">
        <v>4737.5999999999995</v>
      </c>
      <c r="AX29" s="100">
        <v>8</v>
      </c>
      <c r="AY29" s="100">
        <v>2707.2</v>
      </c>
      <c r="AZ29" s="100">
        <v>17.036315051978992</v>
      </c>
      <c r="BA29" s="100">
        <v>5765.0890135896907</v>
      </c>
      <c r="BB29" s="100">
        <v>16</v>
      </c>
      <c r="BC29" s="100">
        <v>5414.4</v>
      </c>
      <c r="BD29" s="100">
        <v>2.7816245962088235</v>
      </c>
      <c r="BE29" s="100">
        <v>941.30176335706585</v>
      </c>
      <c r="BF29" s="100">
        <v>14</v>
      </c>
      <c r="BG29" s="100">
        <v>4737.5999999999995</v>
      </c>
      <c r="BH29" s="100">
        <v>13.562415051858464</v>
      </c>
      <c r="BI29" s="100">
        <v>4589.5212535489036</v>
      </c>
      <c r="BJ29" s="100">
        <v>3.1135303575984303</v>
      </c>
      <c r="BK29" s="100">
        <v>1053.6186730113088</v>
      </c>
      <c r="BL29" s="100">
        <v>8.3078008243758816</v>
      </c>
      <c r="BM29" s="100">
        <v>2811.3597989687983</v>
      </c>
      <c r="BN29" s="100">
        <v>8.4834600319010161</v>
      </c>
      <c r="BO29" s="100">
        <v>2870.8028747953035</v>
      </c>
      <c r="BP29" s="100">
        <v>10</v>
      </c>
      <c r="BQ29" s="100">
        <v>3384</v>
      </c>
      <c r="BR29" s="100">
        <v>13</v>
      </c>
      <c r="BS29" s="100">
        <v>4399.2</v>
      </c>
      <c r="BT29" s="100">
        <v>9</v>
      </c>
      <c r="BU29" s="100">
        <v>3045.6</v>
      </c>
      <c r="BV29" s="100">
        <v>16.042351378203364</v>
      </c>
      <c r="BW29" s="100">
        <v>5428.7317063840183</v>
      </c>
      <c r="BX29" s="100">
        <v>2.7837992019759241</v>
      </c>
      <c r="BY29" s="100">
        <v>942.03764994865264</v>
      </c>
      <c r="BZ29" s="100">
        <v>10</v>
      </c>
      <c r="CA29" s="100">
        <v>3384</v>
      </c>
      <c r="CB29" s="100">
        <v>9</v>
      </c>
      <c r="CC29" s="100">
        <v>3045.6</v>
      </c>
      <c r="CD29" s="100">
        <v>15</v>
      </c>
      <c r="CE29" s="100">
        <v>5076</v>
      </c>
      <c r="CF29" s="100">
        <v>8</v>
      </c>
      <c r="CG29" s="100">
        <v>2707.2</v>
      </c>
      <c r="CH29" s="100">
        <v>10.190108947293471</v>
      </c>
      <c r="CI29" s="100">
        <v>3448.3328677641102</v>
      </c>
      <c r="CJ29" s="100">
        <v>11.704481100198635</v>
      </c>
      <c r="CK29" s="100">
        <v>3960.7964043072175</v>
      </c>
      <c r="CL29" s="100">
        <v>7.9480568067681839E-4</v>
      </c>
      <c r="CM29" s="100">
        <v>0.26896224234103533</v>
      </c>
      <c r="CN29" s="100">
        <v>14</v>
      </c>
      <c r="CO29" s="100">
        <v>4737.5999999999995</v>
      </c>
      <c r="CP29" s="100">
        <v>8</v>
      </c>
      <c r="CQ29" s="100">
        <v>2707.2</v>
      </c>
      <c r="CR29" s="100">
        <v>11.549214283681314</v>
      </c>
      <c r="CS29" s="100">
        <v>3908.2541135977563</v>
      </c>
      <c r="CT29" s="100">
        <v>14.875697177114692</v>
      </c>
      <c r="CU29" s="100">
        <v>5033.9359247356115</v>
      </c>
    </row>
    <row r="30" spans="2:99">
      <c r="C30" s="99" t="s">
        <v>196</v>
      </c>
      <c r="D30" s="100">
        <v>5.1770399751624403</v>
      </c>
      <c r="E30" s="100">
        <v>720.64396454261168</v>
      </c>
      <c r="F30" s="100">
        <v>11.276090781237732</v>
      </c>
      <c r="G30" s="100">
        <v>1569.6318367482922</v>
      </c>
      <c r="H30" s="100">
        <v>2.569919215017999</v>
      </c>
      <c r="I30" s="100">
        <v>357.73275473050546</v>
      </c>
      <c r="J30" s="100">
        <v>12</v>
      </c>
      <c r="K30" s="100">
        <v>1670.3999999999999</v>
      </c>
      <c r="L30" s="100">
        <v>13</v>
      </c>
      <c r="M30" s="100">
        <v>1809.6</v>
      </c>
      <c r="N30" s="100">
        <v>15</v>
      </c>
      <c r="O30" s="100">
        <v>2088</v>
      </c>
      <c r="P30" s="100">
        <v>7</v>
      </c>
      <c r="Q30" s="100">
        <v>974.39999999999986</v>
      </c>
      <c r="R30" s="100">
        <v>9</v>
      </c>
      <c r="S30" s="100">
        <v>1252.8</v>
      </c>
      <c r="T30" s="100">
        <v>12.662448687852763</v>
      </c>
      <c r="U30" s="100">
        <v>1762.6128573491044</v>
      </c>
      <c r="V30" s="100">
        <v>9.2264941009943797</v>
      </c>
      <c r="W30" s="100">
        <v>1284.3279788584175</v>
      </c>
      <c r="X30" s="100">
        <v>9</v>
      </c>
      <c r="Y30" s="100">
        <v>1252.8</v>
      </c>
      <c r="Z30" s="100">
        <v>14</v>
      </c>
      <c r="AA30" s="100">
        <v>1948.7999999999997</v>
      </c>
      <c r="AB30" s="100">
        <v>11</v>
      </c>
      <c r="AC30" s="100">
        <v>1531.1999999999998</v>
      </c>
      <c r="AD30" s="100">
        <v>11.936425839260945</v>
      </c>
      <c r="AE30" s="100">
        <v>1661.5504768251235</v>
      </c>
      <c r="AF30" s="100">
        <v>6.5107135759543979</v>
      </c>
      <c r="AG30" s="100">
        <v>906.29132977285212</v>
      </c>
      <c r="AH30" s="100">
        <v>3.5778341432899419</v>
      </c>
      <c r="AI30" s="100">
        <v>498.03451274595989</v>
      </c>
      <c r="AJ30" s="100">
        <v>10</v>
      </c>
      <c r="AK30" s="100">
        <v>1392</v>
      </c>
      <c r="AL30" s="100">
        <v>12</v>
      </c>
      <c r="AM30" s="100">
        <v>1670.3999999999999</v>
      </c>
      <c r="AN30" s="100">
        <v>11</v>
      </c>
      <c r="AO30" s="100">
        <v>1531.1999999999998</v>
      </c>
      <c r="AP30" s="100">
        <v>8</v>
      </c>
      <c r="AQ30" s="100">
        <v>1113.5999999999999</v>
      </c>
      <c r="AR30" s="100">
        <v>8</v>
      </c>
      <c r="AS30" s="100">
        <v>1113.5999999999999</v>
      </c>
      <c r="AT30" s="100">
        <v>8</v>
      </c>
      <c r="AU30" s="100">
        <v>1113.5999999999999</v>
      </c>
      <c r="AV30" s="100">
        <v>12</v>
      </c>
      <c r="AW30" s="100">
        <v>1670.3999999999999</v>
      </c>
      <c r="AX30" s="100">
        <v>9</v>
      </c>
      <c r="AY30" s="100">
        <v>1252.8</v>
      </c>
      <c r="AZ30" s="100">
        <v>15.034736136675557</v>
      </c>
      <c r="BA30" s="100">
        <v>2092.8352702252373</v>
      </c>
      <c r="BB30" s="100">
        <v>13</v>
      </c>
      <c r="BC30" s="100">
        <v>1809.6</v>
      </c>
      <c r="BD30" s="100">
        <v>3.0906939957875816</v>
      </c>
      <c r="BE30" s="100">
        <v>430.22460421363132</v>
      </c>
      <c r="BF30" s="100">
        <v>15</v>
      </c>
      <c r="BG30" s="100">
        <v>2088</v>
      </c>
      <c r="BH30" s="100">
        <v>15.628581528547695</v>
      </c>
      <c r="BI30" s="100">
        <v>2175.498548773839</v>
      </c>
      <c r="BJ30" s="100">
        <v>3.8320373631980686</v>
      </c>
      <c r="BK30" s="100">
        <v>533.41960095717116</v>
      </c>
      <c r="BL30" s="100">
        <v>9.3517723707152935</v>
      </c>
      <c r="BM30" s="100">
        <v>1301.7667140035687</v>
      </c>
      <c r="BN30" s="100">
        <v>9.2546836711647433</v>
      </c>
      <c r="BO30" s="100">
        <v>1288.2519670261322</v>
      </c>
      <c r="BP30" s="100">
        <v>9</v>
      </c>
      <c r="BQ30" s="100">
        <v>1252.8</v>
      </c>
      <c r="BR30" s="100">
        <v>13</v>
      </c>
      <c r="BS30" s="100">
        <v>1809.6</v>
      </c>
      <c r="BT30" s="100">
        <v>10</v>
      </c>
      <c r="BU30" s="100">
        <v>1392</v>
      </c>
      <c r="BV30" s="100">
        <v>16.993236136606932</v>
      </c>
      <c r="BW30" s="100">
        <v>2365.4584702156849</v>
      </c>
      <c r="BX30" s="100">
        <v>3.0368718567010085</v>
      </c>
      <c r="BY30" s="100">
        <v>422.73256245278031</v>
      </c>
      <c r="BZ30" s="100">
        <v>10</v>
      </c>
      <c r="CA30" s="100">
        <v>1392</v>
      </c>
      <c r="CB30" s="100">
        <v>9</v>
      </c>
      <c r="CC30" s="100">
        <v>1252.8</v>
      </c>
      <c r="CD30" s="100">
        <v>16</v>
      </c>
      <c r="CE30" s="100">
        <v>2227.1999999999998</v>
      </c>
      <c r="CF30" s="100">
        <v>10</v>
      </c>
      <c r="CG30" s="100">
        <v>1392</v>
      </c>
      <c r="CH30" s="100">
        <v>12.228130736752165</v>
      </c>
      <c r="CI30" s="100">
        <v>1702.1557985559014</v>
      </c>
      <c r="CJ30" s="100">
        <v>13.374811901648712</v>
      </c>
      <c r="CK30" s="100">
        <v>1861.7738167095006</v>
      </c>
      <c r="CL30" s="100">
        <v>7.9480568067681839E-4</v>
      </c>
      <c r="CM30" s="100">
        <v>0.11063695075021311</v>
      </c>
      <c r="CN30" s="100">
        <v>13</v>
      </c>
      <c r="CO30" s="100">
        <v>1809.6</v>
      </c>
      <c r="CP30" s="100">
        <v>8</v>
      </c>
      <c r="CQ30" s="100">
        <v>1113.5999999999999</v>
      </c>
      <c r="CR30" s="100">
        <v>9.5781202986119105</v>
      </c>
      <c r="CS30" s="100">
        <v>1333.2743455667778</v>
      </c>
      <c r="CT30" s="100">
        <v>15.867410322255672</v>
      </c>
      <c r="CU30" s="100">
        <v>2208.7435168579896</v>
      </c>
    </row>
    <row r="31" spans="2:99">
      <c r="C31" s="99" t="s">
        <v>197</v>
      </c>
      <c r="D31" s="100">
        <v>5.1770399751624403</v>
      </c>
      <c r="E31" s="100">
        <v>1764.3352235353598</v>
      </c>
      <c r="F31" s="100">
        <v>10.547335293759952</v>
      </c>
      <c r="G31" s="100">
        <v>3594.5318681133917</v>
      </c>
      <c r="H31" s="100">
        <v>2.3129272935161991</v>
      </c>
      <c r="I31" s="100">
        <v>788.24562163032067</v>
      </c>
      <c r="J31" s="100">
        <v>11</v>
      </c>
      <c r="K31" s="100">
        <v>3748.8</v>
      </c>
      <c r="L31" s="100">
        <v>12</v>
      </c>
      <c r="M31" s="100">
        <v>4089.6000000000004</v>
      </c>
      <c r="N31" s="100">
        <v>13</v>
      </c>
      <c r="O31" s="100">
        <v>4430.4000000000005</v>
      </c>
      <c r="P31" s="100">
        <v>9</v>
      </c>
      <c r="Q31" s="100">
        <v>3067.2000000000003</v>
      </c>
      <c r="R31" s="100">
        <v>10</v>
      </c>
      <c r="S31" s="100">
        <v>3408</v>
      </c>
      <c r="T31" s="100">
        <v>13.615130924434709</v>
      </c>
      <c r="U31" s="100">
        <v>4640.0366190473487</v>
      </c>
      <c r="V31" s="100">
        <v>9.2390771066051798</v>
      </c>
      <c r="W31" s="100">
        <v>3148.6774779310454</v>
      </c>
      <c r="X31" s="100">
        <v>8</v>
      </c>
      <c r="Y31" s="100">
        <v>2726.4</v>
      </c>
      <c r="Z31" s="100">
        <v>13</v>
      </c>
      <c r="AA31" s="100">
        <v>4430.4000000000005</v>
      </c>
      <c r="AB31" s="100">
        <v>11</v>
      </c>
      <c r="AC31" s="100">
        <v>3748.8</v>
      </c>
      <c r="AD31" s="100">
        <v>9.7459803319856029</v>
      </c>
      <c r="AE31" s="100">
        <v>3321.4300971406938</v>
      </c>
      <c r="AF31" s="100">
        <v>5.5630277794143774</v>
      </c>
      <c r="AG31" s="100">
        <v>1895.87986722442</v>
      </c>
      <c r="AH31" s="100">
        <v>3.3393118670706126</v>
      </c>
      <c r="AI31" s="100">
        <v>1138.0374842976648</v>
      </c>
      <c r="AJ31" s="100">
        <v>10</v>
      </c>
      <c r="AK31" s="100">
        <v>3408</v>
      </c>
      <c r="AL31" s="100">
        <v>12</v>
      </c>
      <c r="AM31" s="100">
        <v>4089.6000000000004</v>
      </c>
      <c r="AN31" s="100">
        <v>12</v>
      </c>
      <c r="AO31" s="100">
        <v>4089.6000000000004</v>
      </c>
      <c r="AP31" s="100">
        <v>8</v>
      </c>
      <c r="AQ31" s="100">
        <v>2726.4</v>
      </c>
      <c r="AR31" s="100">
        <v>10</v>
      </c>
      <c r="AS31" s="100">
        <v>3408</v>
      </c>
      <c r="AT31" s="100">
        <v>7</v>
      </c>
      <c r="AU31" s="100">
        <v>2385.6</v>
      </c>
      <c r="AV31" s="100">
        <v>13</v>
      </c>
      <c r="AW31" s="100">
        <v>4430.4000000000005</v>
      </c>
      <c r="AX31" s="100">
        <v>8</v>
      </c>
      <c r="AY31" s="100">
        <v>2726.4</v>
      </c>
      <c r="AZ31" s="100">
        <v>14.031578306068687</v>
      </c>
      <c r="BA31" s="100">
        <v>4781.9618867082081</v>
      </c>
      <c r="BB31" s="100">
        <v>15</v>
      </c>
      <c r="BC31" s="100">
        <v>5112</v>
      </c>
      <c r="BD31" s="100">
        <v>2.7816245962088235</v>
      </c>
      <c r="BE31" s="100">
        <v>947.97766238796714</v>
      </c>
      <c r="BF31" s="100">
        <v>15</v>
      </c>
      <c r="BG31" s="100">
        <v>5112</v>
      </c>
      <c r="BH31" s="100">
        <v>13.562415051858464</v>
      </c>
      <c r="BI31" s="100">
        <v>4622.0710496733645</v>
      </c>
      <c r="BJ31" s="100">
        <v>3.5925350279981889</v>
      </c>
      <c r="BK31" s="100">
        <v>1224.3359375417829</v>
      </c>
      <c r="BL31" s="100">
        <v>9.3297865975455867</v>
      </c>
      <c r="BM31" s="100">
        <v>3179.5912724435361</v>
      </c>
      <c r="BN31" s="100">
        <v>9.2546836711647433</v>
      </c>
      <c r="BO31" s="100">
        <v>3153.9961951329446</v>
      </c>
      <c r="BP31" s="100">
        <v>10</v>
      </c>
      <c r="BQ31" s="100">
        <v>3408</v>
      </c>
      <c r="BR31" s="100">
        <v>12</v>
      </c>
      <c r="BS31" s="100">
        <v>4089.6000000000004</v>
      </c>
      <c r="BT31" s="100">
        <v>10</v>
      </c>
      <c r="BU31" s="100">
        <v>3408</v>
      </c>
      <c r="BV31" s="100">
        <v>14.096992638041165</v>
      </c>
      <c r="BW31" s="100">
        <v>4804.2550910444288</v>
      </c>
      <c r="BX31" s="100">
        <v>3.0368718567010085</v>
      </c>
      <c r="BY31" s="100">
        <v>1034.9659287637037</v>
      </c>
      <c r="BZ31" s="100">
        <v>9</v>
      </c>
      <c r="CA31" s="100">
        <v>3067.2000000000003</v>
      </c>
      <c r="CB31" s="100">
        <v>10</v>
      </c>
      <c r="CC31" s="100">
        <v>3408</v>
      </c>
      <c r="CD31" s="100">
        <v>14</v>
      </c>
      <c r="CE31" s="100">
        <v>4771.2</v>
      </c>
      <c r="CF31" s="100">
        <v>9</v>
      </c>
      <c r="CG31" s="100">
        <v>3067.2000000000003</v>
      </c>
      <c r="CH31" s="100">
        <v>11.548790140265934</v>
      </c>
      <c r="CI31" s="100">
        <v>3935.8276798026304</v>
      </c>
      <c r="CJ31" s="100">
        <v>12.563977481019831</v>
      </c>
      <c r="CK31" s="100">
        <v>4281.803525531559</v>
      </c>
      <c r="CL31" s="100">
        <v>7.9480568067681839E-4</v>
      </c>
      <c r="CM31" s="100">
        <v>0.27086977597465972</v>
      </c>
      <c r="CN31" s="100">
        <v>13</v>
      </c>
      <c r="CO31" s="100">
        <v>4430.4000000000005</v>
      </c>
      <c r="CP31" s="100">
        <v>8</v>
      </c>
      <c r="CQ31" s="100">
        <v>2726.4</v>
      </c>
      <c r="CR31" s="100">
        <v>11.549214283681314</v>
      </c>
      <c r="CS31" s="100">
        <v>3935.9722278785921</v>
      </c>
      <c r="CT31" s="100">
        <v>15.867410322255672</v>
      </c>
      <c r="CU31" s="100">
        <v>5407.6134378247334</v>
      </c>
    </row>
    <row r="32" spans="2:99">
      <c r="C32" s="99" t="s">
        <v>198</v>
      </c>
      <c r="D32" s="100">
        <v>5.1770399751624403</v>
      </c>
      <c r="E32" s="100">
        <v>4348.7135791364499</v>
      </c>
      <c r="F32" s="100">
        <v>9.7238579865866868</v>
      </c>
      <c r="G32" s="100">
        <v>8168.0407087328167</v>
      </c>
      <c r="H32" s="100">
        <v>2.569919215017999</v>
      </c>
      <c r="I32" s="100">
        <v>2158.7321406151191</v>
      </c>
      <c r="J32" s="100">
        <v>11</v>
      </c>
      <c r="K32" s="100">
        <v>9240</v>
      </c>
      <c r="L32" s="100">
        <v>13</v>
      </c>
      <c r="M32" s="100">
        <v>10920</v>
      </c>
      <c r="N32" s="100">
        <v>13</v>
      </c>
      <c r="O32" s="100">
        <v>10920</v>
      </c>
      <c r="P32" s="100">
        <v>9</v>
      </c>
      <c r="Q32" s="100">
        <v>7560</v>
      </c>
      <c r="R32" s="100">
        <v>9</v>
      </c>
      <c r="S32" s="100">
        <v>7560</v>
      </c>
      <c r="T32" s="100">
        <v>12.615130924434709</v>
      </c>
      <c r="U32" s="100">
        <v>10596.709976525155</v>
      </c>
      <c r="V32" s="100">
        <v>9.2013280897727832</v>
      </c>
      <c r="W32" s="100">
        <v>7729.1155954091382</v>
      </c>
      <c r="X32" s="100">
        <v>8</v>
      </c>
      <c r="Y32" s="100">
        <v>6720</v>
      </c>
      <c r="Z32" s="100">
        <v>13</v>
      </c>
      <c r="AA32" s="100">
        <v>10920</v>
      </c>
      <c r="AB32" s="100">
        <v>10</v>
      </c>
      <c r="AC32" s="100">
        <v>8400</v>
      </c>
      <c r="AD32" s="100">
        <v>11.215037674782698</v>
      </c>
      <c r="AE32" s="100">
        <v>9420.6316468174664</v>
      </c>
      <c r="AF32" s="100">
        <v>6.0468922747827953</v>
      </c>
      <c r="AG32" s="100">
        <v>5079.3895108175484</v>
      </c>
      <c r="AH32" s="100">
        <v>3.3393118670706126</v>
      </c>
      <c r="AI32" s="100">
        <v>2805.0219683393148</v>
      </c>
      <c r="AJ32" s="100">
        <v>10</v>
      </c>
      <c r="AK32" s="100">
        <v>8400</v>
      </c>
      <c r="AL32" s="100">
        <v>12</v>
      </c>
      <c r="AM32" s="100">
        <v>10080</v>
      </c>
      <c r="AN32" s="100">
        <v>10</v>
      </c>
      <c r="AO32" s="100">
        <v>8400</v>
      </c>
      <c r="AP32" s="100">
        <v>8</v>
      </c>
      <c r="AQ32" s="100">
        <v>6720</v>
      </c>
      <c r="AR32" s="100">
        <v>9</v>
      </c>
      <c r="AS32" s="100">
        <v>7560</v>
      </c>
      <c r="AT32" s="100">
        <v>8</v>
      </c>
      <c r="AU32" s="100">
        <v>6720</v>
      </c>
      <c r="AV32" s="100">
        <v>12</v>
      </c>
      <c r="AW32" s="100">
        <v>10080</v>
      </c>
      <c r="AX32" s="100">
        <v>7</v>
      </c>
      <c r="AY32" s="100">
        <v>5880</v>
      </c>
      <c r="AZ32" s="100">
        <v>16.036315051978992</v>
      </c>
      <c r="BA32" s="100">
        <v>13470.504643662352</v>
      </c>
      <c r="BB32" s="100">
        <v>13</v>
      </c>
      <c r="BC32" s="100">
        <v>10920</v>
      </c>
      <c r="BD32" s="100">
        <v>3.0906939957875816</v>
      </c>
      <c r="BE32" s="100">
        <v>2596.1829564615687</v>
      </c>
      <c r="BF32" s="100">
        <v>14</v>
      </c>
      <c r="BG32" s="100">
        <v>11760</v>
      </c>
      <c r="BH32" s="100">
        <v>14.595498290203079</v>
      </c>
      <c r="BI32" s="100">
        <v>12260.218563770586</v>
      </c>
      <c r="BJ32" s="100">
        <v>3.5925350279981889</v>
      </c>
      <c r="BK32" s="100">
        <v>3017.7294235184786</v>
      </c>
      <c r="BL32" s="100">
        <v>8.3297865975455867</v>
      </c>
      <c r="BM32" s="100">
        <v>6997.0207419382932</v>
      </c>
      <c r="BN32" s="100">
        <v>8.4834600319010161</v>
      </c>
      <c r="BO32" s="100">
        <v>7126.1064267968532</v>
      </c>
      <c r="BP32" s="100">
        <v>8</v>
      </c>
      <c r="BQ32" s="100">
        <v>6720</v>
      </c>
      <c r="BR32" s="100">
        <v>11</v>
      </c>
      <c r="BS32" s="100">
        <v>9240</v>
      </c>
      <c r="BT32" s="100">
        <v>9</v>
      </c>
      <c r="BU32" s="100">
        <v>7560</v>
      </c>
      <c r="BV32" s="100">
        <v>15.91158370813816</v>
      </c>
      <c r="BW32" s="100">
        <v>13365.730314836055</v>
      </c>
      <c r="BX32" s="100">
        <v>2.7837992019759241</v>
      </c>
      <c r="BY32" s="100">
        <v>2338.3913296597761</v>
      </c>
      <c r="BZ32" s="100">
        <v>10</v>
      </c>
      <c r="CA32" s="100">
        <v>8400</v>
      </c>
      <c r="CB32" s="100">
        <v>10</v>
      </c>
      <c r="CC32" s="100">
        <v>8400</v>
      </c>
      <c r="CD32" s="100">
        <v>14</v>
      </c>
      <c r="CE32" s="100">
        <v>11760</v>
      </c>
      <c r="CF32" s="100">
        <v>8</v>
      </c>
      <c r="CG32" s="100">
        <v>6720</v>
      </c>
      <c r="CH32" s="100">
        <v>10.190108947293471</v>
      </c>
      <c r="CI32" s="100">
        <v>8559.6915157265157</v>
      </c>
      <c r="CJ32" s="100">
        <v>12.539646500923672</v>
      </c>
      <c r="CK32" s="100">
        <v>10533.303060775885</v>
      </c>
      <c r="CL32" s="100">
        <v>7.225506187971076E-4</v>
      </c>
      <c r="CM32" s="100">
        <v>0.60694251978957037</v>
      </c>
      <c r="CN32" s="100">
        <v>13</v>
      </c>
      <c r="CO32" s="100">
        <v>10920</v>
      </c>
      <c r="CP32" s="100">
        <v>8</v>
      </c>
      <c r="CQ32" s="100">
        <v>6720</v>
      </c>
      <c r="CR32" s="100">
        <v>10.491402253820123</v>
      </c>
      <c r="CS32" s="100">
        <v>8812.7778932089041</v>
      </c>
      <c r="CT32" s="100">
        <v>14.875697177114692</v>
      </c>
      <c r="CU32" s="100">
        <v>12495.585628776342</v>
      </c>
    </row>
    <row r="33" spans="2:99">
      <c r="C33" s="99" t="s">
        <v>199</v>
      </c>
      <c r="D33" s="100">
        <v>4.5299099782671348</v>
      </c>
      <c r="E33" s="100">
        <v>2147.1773296986221</v>
      </c>
      <c r="F33" s="100">
        <v>11.244516841339237</v>
      </c>
      <c r="G33" s="100">
        <v>5329.9009827947984</v>
      </c>
      <c r="H33" s="100">
        <v>2.569919215017999</v>
      </c>
      <c r="I33" s="100">
        <v>1218.1417079185314</v>
      </c>
      <c r="J33" s="100">
        <v>11</v>
      </c>
      <c r="K33" s="100">
        <v>5214</v>
      </c>
      <c r="L33" s="100">
        <v>12</v>
      </c>
      <c r="M33" s="100">
        <v>5688</v>
      </c>
      <c r="N33" s="100">
        <v>14</v>
      </c>
      <c r="O33" s="100">
        <v>6636</v>
      </c>
      <c r="P33" s="100">
        <v>7</v>
      </c>
      <c r="Q33" s="100">
        <v>3318</v>
      </c>
      <c r="R33" s="100">
        <v>10</v>
      </c>
      <c r="S33" s="100">
        <v>4740</v>
      </c>
      <c r="T33" s="100">
        <v>12.615130924434709</v>
      </c>
      <c r="U33" s="100">
        <v>5979.5720581820524</v>
      </c>
      <c r="V33" s="100">
        <v>11.22649410099438</v>
      </c>
      <c r="W33" s="100">
        <v>5321.3582038713357</v>
      </c>
      <c r="X33" s="100">
        <v>9</v>
      </c>
      <c r="Y33" s="100">
        <v>4266</v>
      </c>
      <c r="Z33" s="100">
        <v>14</v>
      </c>
      <c r="AA33" s="100">
        <v>6636</v>
      </c>
      <c r="AB33" s="100">
        <v>10</v>
      </c>
      <c r="AC33" s="100">
        <v>4740</v>
      </c>
      <c r="AD33" s="100">
        <v>11.162475647101502</v>
      </c>
      <c r="AE33" s="100">
        <v>5291.0134567261121</v>
      </c>
      <c r="AF33" s="100">
        <v>6.0468922747827953</v>
      </c>
      <c r="AG33" s="100">
        <v>2866.2269382470449</v>
      </c>
      <c r="AH33" s="100">
        <v>3.1007895908512833</v>
      </c>
      <c r="AI33" s="100">
        <v>1469.7742660635083</v>
      </c>
      <c r="AJ33" s="100">
        <v>10</v>
      </c>
      <c r="AK33" s="100">
        <v>4740</v>
      </c>
      <c r="AL33" s="100">
        <v>11</v>
      </c>
      <c r="AM33" s="100">
        <v>5214</v>
      </c>
      <c r="AN33" s="100">
        <v>10</v>
      </c>
      <c r="AO33" s="100">
        <v>4740</v>
      </c>
      <c r="AP33" s="100">
        <v>9</v>
      </c>
      <c r="AQ33" s="100">
        <v>4266</v>
      </c>
      <c r="AR33" s="100">
        <v>9</v>
      </c>
      <c r="AS33" s="100">
        <v>4266</v>
      </c>
      <c r="AT33" s="100">
        <v>7</v>
      </c>
      <c r="AU33" s="100">
        <v>3318</v>
      </c>
      <c r="AV33" s="100">
        <v>12</v>
      </c>
      <c r="AW33" s="100">
        <v>5688</v>
      </c>
      <c r="AX33" s="100">
        <v>8</v>
      </c>
      <c r="AY33" s="100">
        <v>3792</v>
      </c>
      <c r="AZ33" s="100">
        <v>16.034736136675555</v>
      </c>
      <c r="BA33" s="100">
        <v>7600.464928784213</v>
      </c>
      <c r="BB33" s="100">
        <v>14</v>
      </c>
      <c r="BC33" s="100">
        <v>6636</v>
      </c>
      <c r="BD33" s="100">
        <v>2.4725551966300654</v>
      </c>
      <c r="BE33" s="100">
        <v>1171.991163202651</v>
      </c>
      <c r="BF33" s="100">
        <v>15</v>
      </c>
      <c r="BG33" s="100">
        <v>7110</v>
      </c>
      <c r="BH33" s="100">
        <v>14.595498290203079</v>
      </c>
      <c r="BI33" s="100">
        <v>6918.2661895562596</v>
      </c>
      <c r="BJ33" s="100">
        <v>3.3530326927983101</v>
      </c>
      <c r="BK33" s="100">
        <v>1589.3374963863989</v>
      </c>
      <c r="BL33" s="100">
        <v>9.2858150512061766</v>
      </c>
      <c r="BM33" s="100">
        <v>4401.4763342717279</v>
      </c>
      <c r="BN33" s="100">
        <v>9.2546836711647433</v>
      </c>
      <c r="BO33" s="100">
        <v>4386.7200601320883</v>
      </c>
      <c r="BP33" s="100">
        <v>8</v>
      </c>
      <c r="BQ33" s="100">
        <v>3792</v>
      </c>
      <c r="BR33" s="100">
        <v>11</v>
      </c>
      <c r="BS33" s="100">
        <v>5214</v>
      </c>
      <c r="BT33" s="100">
        <v>10</v>
      </c>
      <c r="BU33" s="100">
        <v>4740</v>
      </c>
      <c r="BV33" s="100">
        <v>16.085940601558438</v>
      </c>
      <c r="BW33" s="100">
        <v>7624.735845138699</v>
      </c>
      <c r="BX33" s="100">
        <v>2.7837992019759241</v>
      </c>
      <c r="BY33" s="100">
        <v>1319.520821736588</v>
      </c>
      <c r="BZ33" s="100">
        <v>9</v>
      </c>
      <c r="CA33" s="100">
        <v>4266</v>
      </c>
      <c r="CB33" s="100">
        <v>9</v>
      </c>
      <c r="CC33" s="100">
        <v>4266</v>
      </c>
      <c r="CD33" s="100">
        <v>13</v>
      </c>
      <c r="CE33" s="100">
        <v>6162</v>
      </c>
      <c r="CF33" s="100">
        <v>9</v>
      </c>
      <c r="CG33" s="100">
        <v>4266</v>
      </c>
      <c r="CH33" s="100">
        <v>10.869449543779702</v>
      </c>
      <c r="CI33" s="100">
        <v>5152.1190837515787</v>
      </c>
      <c r="CJ33" s="100">
        <v>12.563977481019831</v>
      </c>
      <c r="CK33" s="100">
        <v>5955.3253260033998</v>
      </c>
      <c r="CL33" s="100">
        <v>8.6706074255652908E-4</v>
      </c>
      <c r="CM33" s="100">
        <v>0.41098679197179477</v>
      </c>
      <c r="CN33" s="100">
        <v>13</v>
      </c>
      <c r="CO33" s="100">
        <v>6162</v>
      </c>
      <c r="CP33" s="100">
        <v>9</v>
      </c>
      <c r="CQ33" s="100">
        <v>4266</v>
      </c>
      <c r="CR33" s="100">
        <v>11.520308268750719</v>
      </c>
      <c r="CS33" s="100">
        <v>5460.6261193878408</v>
      </c>
      <c r="CT33" s="100">
        <v>16.85912346739665</v>
      </c>
      <c r="CU33" s="100">
        <v>7991.2245235460123</v>
      </c>
    </row>
    <row r="34" spans="2:99">
      <c r="C34" s="99" t="s">
        <v>200</v>
      </c>
      <c r="D34" s="100">
        <v>5.1770399751624403</v>
      </c>
      <c r="E34" s="100">
        <v>2839.0887223790824</v>
      </c>
      <c r="F34" s="100">
        <v>9.8185798062821696</v>
      </c>
      <c r="G34" s="100">
        <v>5384.5091657651419</v>
      </c>
      <c r="H34" s="100">
        <v>2.569919215017999</v>
      </c>
      <c r="I34" s="100">
        <v>1409.3436975158706</v>
      </c>
      <c r="J34" s="100">
        <v>12</v>
      </c>
      <c r="K34" s="100">
        <v>6580.7999999999993</v>
      </c>
      <c r="L34" s="100">
        <v>14</v>
      </c>
      <c r="M34" s="100">
        <v>7677.5999999999995</v>
      </c>
      <c r="N34" s="100">
        <v>16</v>
      </c>
      <c r="O34" s="100">
        <v>8774.4</v>
      </c>
      <c r="P34" s="100">
        <v>7</v>
      </c>
      <c r="Q34" s="100">
        <v>3838.7999999999997</v>
      </c>
      <c r="R34" s="100">
        <v>9</v>
      </c>
      <c r="S34" s="100">
        <v>4935.5999999999995</v>
      </c>
      <c r="T34" s="100">
        <v>12.615130924434709</v>
      </c>
      <c r="U34" s="100">
        <v>6918.1377989599941</v>
      </c>
      <c r="V34" s="100">
        <v>10.23907710660518</v>
      </c>
      <c r="W34" s="100">
        <v>5615.1098852622799</v>
      </c>
      <c r="X34" s="100">
        <v>9</v>
      </c>
      <c r="Y34" s="100">
        <v>4935.5999999999995</v>
      </c>
      <c r="Z34" s="100">
        <v>13</v>
      </c>
      <c r="AA34" s="100">
        <v>7129.2</v>
      </c>
      <c r="AB34" s="100">
        <v>9</v>
      </c>
      <c r="AC34" s="100">
        <v>4935.5999999999995</v>
      </c>
      <c r="AD34" s="100">
        <v>9.7459803319856029</v>
      </c>
      <c r="AE34" s="100">
        <v>5344.6956140609045</v>
      </c>
      <c r="AF34" s="100">
        <v>6.02684908058598</v>
      </c>
      <c r="AG34" s="100">
        <v>3305.1240357933511</v>
      </c>
      <c r="AH34" s="100">
        <v>3.3393118670706126</v>
      </c>
      <c r="AI34" s="100">
        <v>1831.2786279015238</v>
      </c>
      <c r="AJ34" s="100">
        <v>9</v>
      </c>
      <c r="AK34" s="100">
        <v>4935.5999999999995</v>
      </c>
      <c r="AL34" s="100">
        <v>11</v>
      </c>
      <c r="AM34" s="100">
        <v>6032.4</v>
      </c>
      <c r="AN34" s="100">
        <v>11</v>
      </c>
      <c r="AO34" s="100">
        <v>6032.4</v>
      </c>
      <c r="AP34" s="100">
        <v>8</v>
      </c>
      <c r="AQ34" s="100">
        <v>4387.2</v>
      </c>
      <c r="AR34" s="100">
        <v>8</v>
      </c>
      <c r="AS34" s="100">
        <v>4387.2</v>
      </c>
      <c r="AT34" s="100">
        <v>8</v>
      </c>
      <c r="AU34" s="100">
        <v>4387.2</v>
      </c>
      <c r="AV34" s="100">
        <v>12</v>
      </c>
      <c r="AW34" s="100">
        <v>6580.7999999999993</v>
      </c>
      <c r="AX34" s="100">
        <v>8</v>
      </c>
      <c r="AY34" s="100">
        <v>4387.2</v>
      </c>
      <c r="AZ34" s="100">
        <v>15.03631505197899</v>
      </c>
      <c r="BA34" s="100">
        <v>8245.9151745052786</v>
      </c>
      <c r="BB34" s="100">
        <v>13</v>
      </c>
      <c r="BC34" s="100">
        <v>7129.2</v>
      </c>
      <c r="BD34" s="100">
        <v>2.4725551966300654</v>
      </c>
      <c r="BE34" s="100">
        <v>1355.9492698319277</v>
      </c>
      <c r="BF34" s="100">
        <v>13</v>
      </c>
      <c r="BG34" s="100">
        <v>7129.2</v>
      </c>
      <c r="BH34" s="100">
        <v>14.562415051858464</v>
      </c>
      <c r="BI34" s="100">
        <v>7986.0284144391817</v>
      </c>
      <c r="BJ34" s="100">
        <v>3.1135303575984303</v>
      </c>
      <c r="BK34" s="100">
        <v>1707.4600481069792</v>
      </c>
      <c r="BL34" s="100">
        <v>8.2858150512061766</v>
      </c>
      <c r="BM34" s="100">
        <v>4543.9409740814672</v>
      </c>
      <c r="BN34" s="100">
        <v>10.025907310428472</v>
      </c>
      <c r="BO34" s="100">
        <v>5498.2075690389738</v>
      </c>
      <c r="BP34" s="100">
        <v>8</v>
      </c>
      <c r="BQ34" s="100">
        <v>4387.2</v>
      </c>
      <c r="BR34" s="100">
        <v>13</v>
      </c>
      <c r="BS34" s="100">
        <v>7129.2</v>
      </c>
      <c r="BT34" s="100">
        <v>9</v>
      </c>
      <c r="BU34" s="100">
        <v>4935.5999999999995</v>
      </c>
      <c r="BV34" s="100">
        <v>16.906057689896798</v>
      </c>
      <c r="BW34" s="100">
        <v>9271.2820371394027</v>
      </c>
      <c r="BX34" s="100">
        <v>3.0368718567010085</v>
      </c>
      <c r="BY34" s="100">
        <v>1665.420526214833</v>
      </c>
      <c r="BZ34" s="100">
        <v>9</v>
      </c>
      <c r="CA34" s="100">
        <v>4935.5999999999995</v>
      </c>
      <c r="CB34" s="100">
        <v>8</v>
      </c>
      <c r="CC34" s="100">
        <v>4387.2</v>
      </c>
      <c r="CD34" s="100">
        <v>15</v>
      </c>
      <c r="CE34" s="100">
        <v>8226</v>
      </c>
      <c r="CF34" s="100">
        <v>10</v>
      </c>
      <c r="CG34" s="100">
        <v>5484</v>
      </c>
      <c r="CH34" s="100">
        <v>10.190108947293471</v>
      </c>
      <c r="CI34" s="100">
        <v>5588.2557466957387</v>
      </c>
      <c r="CJ34" s="100">
        <v>12.551811990971753</v>
      </c>
      <c r="CK34" s="100">
        <v>6883.4136958489089</v>
      </c>
      <c r="CL34" s="100">
        <v>8.6706074255652908E-4</v>
      </c>
      <c r="CM34" s="100">
        <v>0.47549611121800051</v>
      </c>
      <c r="CN34" s="100">
        <v>12</v>
      </c>
      <c r="CO34" s="100">
        <v>6580.7999999999993</v>
      </c>
      <c r="CP34" s="100">
        <v>9</v>
      </c>
      <c r="CQ34" s="100">
        <v>4935.5999999999995</v>
      </c>
      <c r="CR34" s="100">
        <v>11.520308268750719</v>
      </c>
      <c r="CS34" s="100">
        <v>6317.7370545828944</v>
      </c>
      <c r="CT34" s="100">
        <v>16.85912346739665</v>
      </c>
      <c r="CU34" s="100">
        <v>9245.5433095203225</v>
      </c>
    </row>
    <row r="35" spans="2:99">
      <c r="C35" s="99" t="s">
        <v>201</v>
      </c>
      <c r="D35" s="100">
        <v>4.5299099782671348</v>
      </c>
      <c r="E35" s="100">
        <v>2277.6387370727148</v>
      </c>
      <c r="F35" s="100">
        <v>9.6922840466881937</v>
      </c>
      <c r="G35" s="100">
        <v>4873.2804186748226</v>
      </c>
      <c r="H35" s="100">
        <v>2.569919215017999</v>
      </c>
      <c r="I35" s="100">
        <v>1292.1553813110497</v>
      </c>
      <c r="J35" s="100">
        <v>12</v>
      </c>
      <c r="K35" s="100">
        <v>6033.5999999999985</v>
      </c>
      <c r="L35" s="100">
        <v>14</v>
      </c>
      <c r="M35" s="100">
        <v>7039.1999999999989</v>
      </c>
      <c r="N35" s="100">
        <v>15</v>
      </c>
      <c r="O35" s="100">
        <v>7541.9999999999982</v>
      </c>
      <c r="P35" s="100">
        <v>8</v>
      </c>
      <c r="Q35" s="100">
        <v>4022.3999999999992</v>
      </c>
      <c r="R35" s="100">
        <v>10</v>
      </c>
      <c r="S35" s="100">
        <v>5027.9999999999991</v>
      </c>
      <c r="T35" s="100">
        <v>13.615130924434709</v>
      </c>
      <c r="U35" s="100">
        <v>6845.6878288057706</v>
      </c>
      <c r="V35" s="100">
        <v>9.2390771066051798</v>
      </c>
      <c r="W35" s="100">
        <v>4645.4079692010837</v>
      </c>
      <c r="X35" s="100">
        <v>8</v>
      </c>
      <c r="Y35" s="100">
        <v>4022.3999999999992</v>
      </c>
      <c r="Z35" s="100">
        <v>14</v>
      </c>
      <c r="AA35" s="100">
        <v>7039.1999999999989</v>
      </c>
      <c r="AB35" s="100">
        <v>9</v>
      </c>
      <c r="AC35" s="100">
        <v>4525.1999999999989</v>
      </c>
      <c r="AD35" s="100">
        <v>10.441087482623255</v>
      </c>
      <c r="AE35" s="100">
        <v>5249.7787862629712</v>
      </c>
      <c r="AF35" s="100">
        <v>6.5107135759543979</v>
      </c>
      <c r="AG35" s="100">
        <v>3273.5867859898708</v>
      </c>
      <c r="AH35" s="100">
        <v>3.5778341432899419</v>
      </c>
      <c r="AI35" s="100">
        <v>1798.9350072461823</v>
      </c>
      <c r="AJ35" s="100">
        <v>10</v>
      </c>
      <c r="AK35" s="100">
        <v>5027.9999999999991</v>
      </c>
      <c r="AL35" s="100">
        <v>13</v>
      </c>
      <c r="AM35" s="100">
        <v>6536.3999999999987</v>
      </c>
      <c r="AN35" s="100">
        <v>11</v>
      </c>
      <c r="AO35" s="100">
        <v>5530.7999999999993</v>
      </c>
      <c r="AP35" s="100">
        <v>9</v>
      </c>
      <c r="AQ35" s="100">
        <v>4525.1999999999989</v>
      </c>
      <c r="AR35" s="100">
        <v>10</v>
      </c>
      <c r="AS35" s="100">
        <v>5027.9999999999991</v>
      </c>
      <c r="AT35" s="100">
        <v>8</v>
      </c>
      <c r="AU35" s="100">
        <v>4022.3999999999992</v>
      </c>
      <c r="AV35" s="100">
        <v>14</v>
      </c>
      <c r="AW35" s="100">
        <v>7039.1999999999989</v>
      </c>
      <c r="AX35" s="100">
        <v>8</v>
      </c>
      <c r="AY35" s="100">
        <v>4022.3999999999992</v>
      </c>
      <c r="AZ35" s="100">
        <v>15.033157221372122</v>
      </c>
      <c r="BA35" s="100">
        <v>7558.6714509059011</v>
      </c>
      <c r="BB35" s="100">
        <v>15</v>
      </c>
      <c r="BC35" s="100">
        <v>7541.9999999999982</v>
      </c>
      <c r="BD35" s="100">
        <v>2.4725551966300654</v>
      </c>
      <c r="BE35" s="100">
        <v>1243.2007528655965</v>
      </c>
      <c r="BF35" s="100">
        <v>14</v>
      </c>
      <c r="BG35" s="100">
        <v>7039.1999999999989</v>
      </c>
      <c r="BH35" s="100">
        <v>13.562415051858464</v>
      </c>
      <c r="BI35" s="100">
        <v>6819.1822880744339</v>
      </c>
      <c r="BJ35" s="100">
        <v>3.5925350279981889</v>
      </c>
      <c r="BK35" s="100">
        <v>1806.326612077489</v>
      </c>
      <c r="BL35" s="100">
        <v>9.3297865975455867</v>
      </c>
      <c r="BM35" s="100">
        <v>4691.0167012459196</v>
      </c>
      <c r="BN35" s="100">
        <v>9.2546836711647433</v>
      </c>
      <c r="BO35" s="100">
        <v>4653.2549498616318</v>
      </c>
      <c r="BP35" s="100">
        <v>9</v>
      </c>
      <c r="BQ35" s="100">
        <v>4525.1999999999989</v>
      </c>
      <c r="BR35" s="100">
        <v>12</v>
      </c>
      <c r="BS35" s="100">
        <v>6033.5999999999985</v>
      </c>
      <c r="BT35" s="100">
        <v>10</v>
      </c>
      <c r="BU35" s="100">
        <v>5027.9999999999991</v>
      </c>
      <c r="BV35" s="100">
        <v>14.0534034146861</v>
      </c>
      <c r="BW35" s="100">
        <v>7066.0512369041699</v>
      </c>
      <c r="BX35" s="100">
        <v>2.5307265472508402</v>
      </c>
      <c r="BY35" s="100">
        <v>1272.4493079577221</v>
      </c>
      <c r="BZ35" s="100">
        <v>10</v>
      </c>
      <c r="CA35" s="100">
        <v>5027.9999999999991</v>
      </c>
      <c r="CB35" s="100">
        <v>10</v>
      </c>
      <c r="CC35" s="100">
        <v>5027.9999999999991</v>
      </c>
      <c r="CD35" s="100">
        <v>15</v>
      </c>
      <c r="CE35" s="100">
        <v>7541.9999999999982</v>
      </c>
      <c r="CF35" s="100">
        <v>8</v>
      </c>
      <c r="CG35" s="100">
        <v>4022.3999999999992</v>
      </c>
      <c r="CH35" s="100">
        <v>9.5107683508072398</v>
      </c>
      <c r="CI35" s="100">
        <v>4782.0143267858793</v>
      </c>
      <c r="CJ35" s="100">
        <v>11.728812080294794</v>
      </c>
      <c r="CK35" s="100">
        <v>5897.2467139722212</v>
      </c>
      <c r="CL35" s="100">
        <v>8.6706074255652908E-4</v>
      </c>
      <c r="CM35" s="100">
        <v>0.43595814135742272</v>
      </c>
      <c r="CN35" s="100">
        <v>13</v>
      </c>
      <c r="CO35" s="100">
        <v>6536.3999999999987</v>
      </c>
      <c r="CP35" s="100">
        <v>9</v>
      </c>
      <c r="CQ35" s="100">
        <v>4525.1999999999989</v>
      </c>
      <c r="CR35" s="100">
        <v>11.549214283681314</v>
      </c>
      <c r="CS35" s="100">
        <v>5806.9449418349632</v>
      </c>
      <c r="CT35" s="100">
        <v>16.85912346739665</v>
      </c>
      <c r="CU35" s="100">
        <v>8476.7672794070331</v>
      </c>
    </row>
    <row r="36" spans="2:99">
      <c r="C36" s="99" t="s">
        <v>202</v>
      </c>
      <c r="D36" s="100">
        <v>4.5299099782671348</v>
      </c>
      <c r="E36" s="100">
        <v>3446.355511465636</v>
      </c>
      <c r="F36" s="100">
        <v>11.307664721136227</v>
      </c>
      <c r="G36" s="100">
        <v>8602.8713198404403</v>
      </c>
      <c r="H36" s="100">
        <v>2.3129272935161991</v>
      </c>
      <c r="I36" s="100">
        <v>1759.6750849071241</v>
      </c>
      <c r="J36" s="100">
        <v>10</v>
      </c>
      <c r="K36" s="100">
        <v>7608</v>
      </c>
      <c r="L36" s="100">
        <v>13</v>
      </c>
      <c r="M36" s="100">
        <v>9890.4</v>
      </c>
      <c r="N36" s="100">
        <v>13</v>
      </c>
      <c r="O36" s="100">
        <v>9890.4</v>
      </c>
      <c r="P36" s="100">
        <v>8</v>
      </c>
      <c r="Q36" s="100">
        <v>6086.4</v>
      </c>
      <c r="R36" s="100">
        <v>9</v>
      </c>
      <c r="S36" s="100">
        <v>6847.2</v>
      </c>
      <c r="T36" s="100">
        <v>13.615130924434709</v>
      </c>
      <c r="U36" s="100">
        <v>10358.391607309926</v>
      </c>
      <c r="V36" s="100">
        <v>9.2390771066051798</v>
      </c>
      <c r="W36" s="100">
        <v>7029.0898627052202</v>
      </c>
      <c r="X36" s="100">
        <v>9</v>
      </c>
      <c r="Y36" s="100">
        <v>6847.2</v>
      </c>
      <c r="Z36" s="100">
        <v>14</v>
      </c>
      <c r="AA36" s="100">
        <v>10651.199999999999</v>
      </c>
      <c r="AB36" s="100">
        <v>10</v>
      </c>
      <c r="AC36" s="100">
        <v>7608</v>
      </c>
      <c r="AD36" s="100">
        <v>9.7985423596668024</v>
      </c>
      <c r="AE36" s="100">
        <v>7454.731027234503</v>
      </c>
      <c r="AF36" s="100">
        <v>5.5229413910207468</v>
      </c>
      <c r="AG36" s="100">
        <v>4201.8538102885841</v>
      </c>
      <c r="AH36" s="100">
        <v>3.1007895908512833</v>
      </c>
      <c r="AI36" s="100">
        <v>2359.0807207196563</v>
      </c>
      <c r="AJ36" s="100">
        <v>11</v>
      </c>
      <c r="AK36" s="100">
        <v>8368.7999999999993</v>
      </c>
      <c r="AL36" s="100">
        <v>12</v>
      </c>
      <c r="AM36" s="100">
        <v>9129.5999999999985</v>
      </c>
      <c r="AN36" s="100">
        <v>10</v>
      </c>
      <c r="AO36" s="100">
        <v>7608</v>
      </c>
      <c r="AP36" s="100">
        <v>8</v>
      </c>
      <c r="AQ36" s="100">
        <v>6086.4</v>
      </c>
      <c r="AR36" s="100">
        <v>10</v>
      </c>
      <c r="AS36" s="100">
        <v>7608</v>
      </c>
      <c r="AT36" s="100">
        <v>7</v>
      </c>
      <c r="AU36" s="100">
        <v>5325.5999999999995</v>
      </c>
      <c r="AV36" s="100">
        <v>14</v>
      </c>
      <c r="AW36" s="100">
        <v>10651.199999999999</v>
      </c>
      <c r="AX36" s="100">
        <v>8</v>
      </c>
      <c r="AY36" s="100">
        <v>6086.4</v>
      </c>
      <c r="AZ36" s="100">
        <v>16.037893967282425</v>
      </c>
      <c r="BA36" s="100">
        <v>12201.629730308468</v>
      </c>
      <c r="BB36" s="100">
        <v>15</v>
      </c>
      <c r="BC36" s="100">
        <v>11412</v>
      </c>
      <c r="BD36" s="100">
        <v>2.4725551966300654</v>
      </c>
      <c r="BE36" s="100">
        <v>1881.1199935961536</v>
      </c>
      <c r="BF36" s="100">
        <v>15</v>
      </c>
      <c r="BG36" s="100">
        <v>11412</v>
      </c>
      <c r="BH36" s="100">
        <v>13.562415051858464</v>
      </c>
      <c r="BI36" s="100">
        <v>10318.285371453918</v>
      </c>
      <c r="BJ36" s="100">
        <v>3.1135303575984303</v>
      </c>
      <c r="BK36" s="100">
        <v>2368.7738960608858</v>
      </c>
      <c r="BL36" s="100">
        <v>8.2858150512061766</v>
      </c>
      <c r="BM36" s="100">
        <v>6303.8480909576583</v>
      </c>
      <c r="BN36" s="100">
        <v>9.2546836711647433</v>
      </c>
      <c r="BO36" s="100">
        <v>7040.9633370221363</v>
      </c>
      <c r="BP36" s="100">
        <v>9</v>
      </c>
      <c r="BQ36" s="100">
        <v>6847.2</v>
      </c>
      <c r="BR36" s="100">
        <v>12</v>
      </c>
      <c r="BS36" s="100">
        <v>9129.5999999999985</v>
      </c>
      <c r="BT36" s="100">
        <v>10</v>
      </c>
      <c r="BU36" s="100">
        <v>7608</v>
      </c>
      <c r="BV36" s="100">
        <v>14.096992638041165</v>
      </c>
      <c r="BW36" s="100">
        <v>10724.991999021719</v>
      </c>
      <c r="BX36" s="100">
        <v>2.7837992019759241</v>
      </c>
      <c r="BY36" s="100">
        <v>2117.9144328632829</v>
      </c>
      <c r="BZ36" s="100">
        <v>9</v>
      </c>
      <c r="CA36" s="100">
        <v>6847.2</v>
      </c>
      <c r="CB36" s="100">
        <v>9</v>
      </c>
      <c r="CC36" s="100">
        <v>6847.2</v>
      </c>
      <c r="CD36" s="100">
        <v>13</v>
      </c>
      <c r="CE36" s="100">
        <v>9890.4</v>
      </c>
      <c r="CF36" s="100">
        <v>9</v>
      </c>
      <c r="CG36" s="100">
        <v>6847.2</v>
      </c>
      <c r="CH36" s="100">
        <v>9.5107683508072398</v>
      </c>
      <c r="CI36" s="100">
        <v>7235.7925612941472</v>
      </c>
      <c r="CJ36" s="100">
        <v>12.551811990971753</v>
      </c>
      <c r="CK36" s="100">
        <v>9549.4185627313091</v>
      </c>
      <c r="CL36" s="100">
        <v>7.9480568067681839E-4</v>
      </c>
      <c r="CM36" s="100">
        <v>0.60468816185892338</v>
      </c>
      <c r="CN36" s="100">
        <v>12</v>
      </c>
      <c r="CO36" s="100">
        <v>9129.5999999999985</v>
      </c>
      <c r="CP36" s="100">
        <v>8</v>
      </c>
      <c r="CQ36" s="100">
        <v>6086.4</v>
      </c>
      <c r="CR36" s="100">
        <v>10.491402253820123</v>
      </c>
      <c r="CS36" s="100">
        <v>7981.8588347063487</v>
      </c>
      <c r="CT36" s="100">
        <v>13.883984031973711</v>
      </c>
      <c r="CU36" s="100">
        <v>10562.935051525599</v>
      </c>
    </row>
    <row r="37" spans="2:99">
      <c r="B37" s="99" t="s">
        <v>128</v>
      </c>
      <c r="C37" s="99" t="s">
        <v>203</v>
      </c>
      <c r="D37" s="100">
        <v>5.1770399751624403</v>
      </c>
      <c r="E37" s="100">
        <v>4454.3251946297632</v>
      </c>
      <c r="F37" s="100">
        <v>4.2752562353587846</v>
      </c>
      <c r="G37" s="100">
        <v>3678.4304649026981</v>
      </c>
      <c r="H37" s="100">
        <v>2.3129272935161991</v>
      </c>
      <c r="I37" s="100">
        <v>1990.0426433413377</v>
      </c>
      <c r="J37" s="100">
        <v>8</v>
      </c>
      <c r="K37" s="100">
        <v>6883.2</v>
      </c>
      <c r="L37" s="100">
        <v>8</v>
      </c>
      <c r="M37" s="100">
        <v>6883.2</v>
      </c>
      <c r="N37" s="100">
        <v>5</v>
      </c>
      <c r="O37" s="100">
        <v>4302</v>
      </c>
      <c r="P37" s="100">
        <v>6</v>
      </c>
      <c r="Q37" s="100">
        <v>5162.3999999999996</v>
      </c>
      <c r="R37" s="100">
        <v>5</v>
      </c>
      <c r="S37" s="100">
        <v>4302</v>
      </c>
      <c r="T37" s="100">
        <v>6.5678131610166544</v>
      </c>
      <c r="U37" s="100">
        <v>5650.9464437387296</v>
      </c>
      <c r="V37" s="100">
        <v>7.1132470504971899</v>
      </c>
      <c r="W37" s="100">
        <v>6120.2377622477816</v>
      </c>
      <c r="X37" s="100">
        <v>6</v>
      </c>
      <c r="Y37" s="100">
        <v>5162.3999999999996</v>
      </c>
      <c r="Z37" s="100">
        <v>9</v>
      </c>
      <c r="AA37" s="100">
        <v>7743.5999999999995</v>
      </c>
      <c r="AB37" s="100">
        <v>6</v>
      </c>
      <c r="AC37" s="100">
        <v>5162.3999999999996</v>
      </c>
      <c r="AD37" s="100">
        <v>6.1390395095943635</v>
      </c>
      <c r="AE37" s="100">
        <v>5282.0295940549904</v>
      </c>
      <c r="AF37" s="100">
        <v>5.0791632840459595</v>
      </c>
      <c r="AG37" s="100">
        <v>4370.1120895931435</v>
      </c>
      <c r="AH37" s="100">
        <v>1.1926113810966472</v>
      </c>
      <c r="AI37" s="100">
        <v>1026.1228322955553</v>
      </c>
      <c r="AJ37" s="100">
        <v>9</v>
      </c>
      <c r="AK37" s="100">
        <v>7743.5999999999995</v>
      </c>
      <c r="AL37" s="100">
        <v>7</v>
      </c>
      <c r="AM37" s="100">
        <v>6022.8</v>
      </c>
      <c r="AN37" s="100">
        <v>8</v>
      </c>
      <c r="AO37" s="100">
        <v>6883.2</v>
      </c>
      <c r="AP37" s="100">
        <v>6</v>
      </c>
      <c r="AQ37" s="100">
        <v>5162.3999999999996</v>
      </c>
      <c r="AR37" s="100">
        <v>8</v>
      </c>
      <c r="AS37" s="100">
        <v>6883.2</v>
      </c>
      <c r="AT37" s="100">
        <v>5</v>
      </c>
      <c r="AU37" s="100">
        <v>4302</v>
      </c>
      <c r="AV37" s="100">
        <v>7</v>
      </c>
      <c r="AW37" s="100">
        <v>6022.8</v>
      </c>
      <c r="AX37" s="100">
        <v>7</v>
      </c>
      <c r="AY37" s="100">
        <v>6022.8</v>
      </c>
      <c r="AZ37" s="100">
        <v>5.0126313224274748</v>
      </c>
      <c r="BA37" s="100">
        <v>4312.8679898165992</v>
      </c>
      <c r="BB37" s="100">
        <v>8</v>
      </c>
      <c r="BC37" s="100">
        <v>6883.2</v>
      </c>
      <c r="BD37" s="100">
        <v>3.0906939957875816</v>
      </c>
      <c r="BE37" s="100">
        <v>2659.2331139756352</v>
      </c>
      <c r="BF37" s="100">
        <v>8</v>
      </c>
      <c r="BG37" s="100">
        <v>6883.2</v>
      </c>
      <c r="BH37" s="100">
        <v>7.2315826684123081</v>
      </c>
      <c r="BI37" s="100">
        <v>6222.05372790195</v>
      </c>
      <c r="BJ37" s="100">
        <v>1.9160186815990343</v>
      </c>
      <c r="BK37" s="100">
        <v>1648.5424736478092</v>
      </c>
      <c r="BL37" s="100">
        <v>7.2198577316970587</v>
      </c>
      <c r="BM37" s="100">
        <v>6211.9655923521495</v>
      </c>
      <c r="BN37" s="100">
        <v>4.6273418355823717</v>
      </c>
      <c r="BO37" s="100">
        <v>3981.3649153350725</v>
      </c>
      <c r="BP37" s="100">
        <v>8</v>
      </c>
      <c r="BQ37" s="100">
        <v>6883.2</v>
      </c>
      <c r="BR37" s="100">
        <v>8</v>
      </c>
      <c r="BS37" s="100">
        <v>6883.2</v>
      </c>
      <c r="BT37" s="100">
        <v>5</v>
      </c>
      <c r="BU37" s="100">
        <v>4302</v>
      </c>
      <c r="BV37" s="100">
        <v>6.1847900073271553</v>
      </c>
      <c r="BW37" s="100">
        <v>5321.3933223042841</v>
      </c>
      <c r="BX37" s="100">
        <v>1.7715085830755881</v>
      </c>
      <c r="BY37" s="100">
        <v>1524.205984878236</v>
      </c>
      <c r="BZ37" s="100">
        <v>5</v>
      </c>
      <c r="CA37" s="100">
        <v>4302</v>
      </c>
      <c r="CB37" s="100">
        <v>9</v>
      </c>
      <c r="CC37" s="100">
        <v>7743.5999999999995</v>
      </c>
      <c r="CD37" s="100">
        <v>6</v>
      </c>
      <c r="CE37" s="100">
        <v>5162.3999999999996</v>
      </c>
      <c r="CF37" s="100">
        <v>8</v>
      </c>
      <c r="CG37" s="100">
        <v>6883.2</v>
      </c>
      <c r="CH37" s="100">
        <v>4.7553841754036199</v>
      </c>
      <c r="CI37" s="100">
        <v>4091.5325445172743</v>
      </c>
      <c r="CJ37" s="100">
        <v>5.8704887851714362</v>
      </c>
      <c r="CK37" s="100">
        <v>5050.968550761504</v>
      </c>
      <c r="CL37" s="100">
        <v>3.612753093985538E-4</v>
      </c>
      <c r="CM37" s="100">
        <v>0.31084127620651569</v>
      </c>
      <c r="CN37" s="100">
        <v>5</v>
      </c>
      <c r="CO37" s="100">
        <v>4302</v>
      </c>
      <c r="CP37" s="100">
        <v>9</v>
      </c>
      <c r="CQ37" s="100">
        <v>7743.5999999999995</v>
      </c>
      <c r="CR37" s="100">
        <v>10.346872179167146</v>
      </c>
      <c r="CS37" s="100">
        <v>8902.4488229554117</v>
      </c>
      <c r="CT37" s="100">
        <v>7.9337051611278362</v>
      </c>
      <c r="CU37" s="100">
        <v>6826.1599206343899</v>
      </c>
    </row>
    <row r="38" spans="2:99">
      <c r="C38" s="99" t="s">
        <v>204</v>
      </c>
      <c r="D38" s="100">
        <v>5.1770399751624403</v>
      </c>
      <c r="E38" s="100">
        <v>6429.8836491517504</v>
      </c>
      <c r="F38" s="100">
        <v>5.0355856627350599</v>
      </c>
      <c r="G38" s="100">
        <v>6254.1973931169441</v>
      </c>
      <c r="H38" s="100">
        <v>2.3129272935161991</v>
      </c>
      <c r="I38" s="100">
        <v>2872.6556985471193</v>
      </c>
      <c r="J38" s="100">
        <v>8</v>
      </c>
      <c r="K38" s="100">
        <v>9936</v>
      </c>
      <c r="L38" s="100">
        <v>8</v>
      </c>
      <c r="M38" s="100">
        <v>9936</v>
      </c>
      <c r="N38" s="100">
        <v>5</v>
      </c>
      <c r="O38" s="100">
        <v>6210</v>
      </c>
      <c r="P38" s="100">
        <v>6</v>
      </c>
      <c r="Q38" s="100">
        <v>7452</v>
      </c>
      <c r="R38" s="100">
        <v>5</v>
      </c>
      <c r="S38" s="100">
        <v>6210</v>
      </c>
      <c r="T38" s="100">
        <v>6.5678131610166544</v>
      </c>
      <c r="U38" s="100">
        <v>8157.2239459826851</v>
      </c>
      <c r="V38" s="100">
        <v>8.1384130617187882</v>
      </c>
      <c r="W38" s="100">
        <v>10107.909022654734</v>
      </c>
      <c r="X38" s="100">
        <v>6</v>
      </c>
      <c r="Y38" s="100">
        <v>7452</v>
      </c>
      <c r="Z38" s="100">
        <v>9</v>
      </c>
      <c r="AA38" s="100">
        <v>11178</v>
      </c>
      <c r="AB38" s="100">
        <v>6</v>
      </c>
      <c r="AC38" s="100">
        <v>7452</v>
      </c>
      <c r="AD38" s="100">
        <v>6.1390395095943635</v>
      </c>
      <c r="AE38" s="100">
        <v>7624.6870709161994</v>
      </c>
      <c r="AF38" s="100">
        <v>4.5752555944807272</v>
      </c>
      <c r="AG38" s="100">
        <v>5682.4674483450635</v>
      </c>
      <c r="AH38" s="100">
        <v>1.1926113810966472</v>
      </c>
      <c r="AI38" s="100">
        <v>1481.2233353220358</v>
      </c>
      <c r="AJ38" s="100">
        <v>8</v>
      </c>
      <c r="AK38" s="100">
        <v>9936</v>
      </c>
      <c r="AL38" s="100">
        <v>7</v>
      </c>
      <c r="AM38" s="100">
        <v>8694</v>
      </c>
      <c r="AN38" s="100">
        <v>7</v>
      </c>
      <c r="AO38" s="100">
        <v>8694</v>
      </c>
      <c r="AP38" s="100">
        <v>6</v>
      </c>
      <c r="AQ38" s="100">
        <v>7452</v>
      </c>
      <c r="AR38" s="100">
        <v>9</v>
      </c>
      <c r="AS38" s="100">
        <v>11178</v>
      </c>
      <c r="AT38" s="100">
        <v>5</v>
      </c>
      <c r="AU38" s="100">
        <v>6210</v>
      </c>
      <c r="AV38" s="100">
        <v>7</v>
      </c>
      <c r="AW38" s="100">
        <v>8694</v>
      </c>
      <c r="AX38" s="100">
        <v>7</v>
      </c>
      <c r="AY38" s="100">
        <v>8694</v>
      </c>
      <c r="AZ38" s="100">
        <v>5.0126313224274748</v>
      </c>
      <c r="BA38" s="100">
        <v>6225.6881024549239</v>
      </c>
      <c r="BB38" s="100">
        <v>8</v>
      </c>
      <c r="BC38" s="100">
        <v>9936</v>
      </c>
      <c r="BD38" s="100">
        <v>3.0906939957875816</v>
      </c>
      <c r="BE38" s="100">
        <v>3838.6419427681762</v>
      </c>
      <c r="BF38" s="100">
        <v>8</v>
      </c>
      <c r="BG38" s="100">
        <v>9936</v>
      </c>
      <c r="BH38" s="100">
        <v>7.2315826684123081</v>
      </c>
      <c r="BI38" s="100">
        <v>8981.6256741680863</v>
      </c>
      <c r="BJ38" s="100">
        <v>1.9160186815990343</v>
      </c>
      <c r="BK38" s="100">
        <v>2379.6952025460005</v>
      </c>
      <c r="BL38" s="100">
        <v>6.2418435048667638</v>
      </c>
      <c r="BM38" s="100">
        <v>7752.3696330445209</v>
      </c>
      <c r="BN38" s="100">
        <v>4.6273418355823717</v>
      </c>
      <c r="BO38" s="100">
        <v>5747.1585597933054</v>
      </c>
      <c r="BP38" s="100">
        <v>8</v>
      </c>
      <c r="BQ38" s="100">
        <v>9936</v>
      </c>
      <c r="BR38" s="100">
        <v>7</v>
      </c>
      <c r="BS38" s="100">
        <v>8694</v>
      </c>
      <c r="BT38" s="100">
        <v>5</v>
      </c>
      <c r="BU38" s="100">
        <v>6210</v>
      </c>
      <c r="BV38" s="100">
        <v>6.1412007839720868</v>
      </c>
      <c r="BW38" s="100">
        <v>7627.3713736933314</v>
      </c>
      <c r="BX38" s="100">
        <v>1.7715085830755881</v>
      </c>
      <c r="BY38" s="100">
        <v>2200.2136601798807</v>
      </c>
      <c r="BZ38" s="100">
        <v>5</v>
      </c>
      <c r="CA38" s="100">
        <v>6210</v>
      </c>
      <c r="CB38" s="100">
        <v>9</v>
      </c>
      <c r="CC38" s="100">
        <v>11178</v>
      </c>
      <c r="CD38" s="100">
        <v>7</v>
      </c>
      <c r="CE38" s="100">
        <v>8694</v>
      </c>
      <c r="CF38" s="100">
        <v>7</v>
      </c>
      <c r="CG38" s="100">
        <v>8694</v>
      </c>
      <c r="CH38" s="100">
        <v>4.7553841754036199</v>
      </c>
      <c r="CI38" s="100">
        <v>5906.187145851296</v>
      </c>
      <c r="CJ38" s="100">
        <v>5.8704887851714362</v>
      </c>
      <c r="CK38" s="100">
        <v>7291.1470711829243</v>
      </c>
      <c r="CL38" s="100">
        <v>4.3353037127826454E-4</v>
      </c>
      <c r="CM38" s="100">
        <v>0.53844472112760455</v>
      </c>
      <c r="CN38" s="100">
        <v>5</v>
      </c>
      <c r="CO38" s="100">
        <v>6210</v>
      </c>
      <c r="CP38" s="100">
        <v>8</v>
      </c>
      <c r="CQ38" s="100">
        <v>9936</v>
      </c>
      <c r="CR38" s="100">
        <v>9</v>
      </c>
      <c r="CS38" s="100">
        <v>11178</v>
      </c>
      <c r="CT38" s="100">
        <v>7.9337051611278362</v>
      </c>
      <c r="CU38" s="100">
        <v>9853.6618101207732</v>
      </c>
    </row>
    <row r="39" spans="2:99">
      <c r="C39" s="99" t="s">
        <v>205</v>
      </c>
      <c r="D39" s="100">
        <v>4.5299099782671348</v>
      </c>
      <c r="E39" s="100">
        <v>6446.9678810697869</v>
      </c>
      <c r="F39" s="100">
        <v>4.2436822954602915</v>
      </c>
      <c r="G39" s="100">
        <v>6039.6086428990875</v>
      </c>
      <c r="H39" s="100">
        <v>2.3129272935161991</v>
      </c>
      <c r="I39" s="100">
        <v>3291.7581241322546</v>
      </c>
      <c r="J39" s="100">
        <v>7</v>
      </c>
      <c r="K39" s="100">
        <v>9962.4</v>
      </c>
      <c r="L39" s="100">
        <v>7</v>
      </c>
      <c r="M39" s="100">
        <v>9962.4</v>
      </c>
      <c r="N39" s="100">
        <v>4</v>
      </c>
      <c r="O39" s="100">
        <v>5692.8</v>
      </c>
      <c r="P39" s="100">
        <v>5</v>
      </c>
      <c r="Q39" s="100">
        <v>7116</v>
      </c>
      <c r="R39" s="100">
        <v>5</v>
      </c>
      <c r="S39" s="100">
        <v>7116</v>
      </c>
      <c r="T39" s="100">
        <v>5.615130924434709</v>
      </c>
      <c r="U39" s="100">
        <v>7991.4543316554782</v>
      </c>
      <c r="V39" s="100">
        <v>7.125830056107989</v>
      </c>
      <c r="W39" s="100">
        <v>10141.48133585289</v>
      </c>
      <c r="X39" s="100">
        <v>6</v>
      </c>
      <c r="Y39" s="100">
        <v>8539.2000000000007</v>
      </c>
      <c r="Z39" s="100">
        <v>8</v>
      </c>
      <c r="AA39" s="100">
        <v>11385.6</v>
      </c>
      <c r="AB39" s="100">
        <v>5</v>
      </c>
      <c r="AC39" s="100">
        <v>7116</v>
      </c>
      <c r="AD39" s="100">
        <v>6.1127584957537664</v>
      </c>
      <c r="AE39" s="100">
        <v>8699.6778911567599</v>
      </c>
      <c r="AF39" s="100">
        <v>4.0713479049154939</v>
      </c>
      <c r="AG39" s="100">
        <v>5794.342338275731</v>
      </c>
      <c r="AH39" s="100">
        <v>1.1926113810966472</v>
      </c>
      <c r="AI39" s="100">
        <v>1697.3245175767483</v>
      </c>
      <c r="AJ39" s="100">
        <v>8</v>
      </c>
      <c r="AK39" s="100">
        <v>11385.6</v>
      </c>
      <c r="AL39" s="100">
        <v>7</v>
      </c>
      <c r="AM39" s="100">
        <v>9962.4</v>
      </c>
      <c r="AN39" s="100">
        <v>7</v>
      </c>
      <c r="AO39" s="100">
        <v>9962.4</v>
      </c>
      <c r="AP39" s="100">
        <v>6</v>
      </c>
      <c r="AQ39" s="100">
        <v>8539.2000000000007</v>
      </c>
      <c r="AR39" s="100">
        <v>9</v>
      </c>
      <c r="AS39" s="100">
        <v>12808.800000000001</v>
      </c>
      <c r="AT39" s="100">
        <v>5</v>
      </c>
      <c r="AU39" s="100">
        <v>7116</v>
      </c>
      <c r="AV39" s="100">
        <v>7</v>
      </c>
      <c r="AW39" s="100">
        <v>9962.4</v>
      </c>
      <c r="AX39" s="100">
        <v>8</v>
      </c>
      <c r="AY39" s="100">
        <v>11385.6</v>
      </c>
      <c r="AZ39" s="100">
        <v>5.0126313224274748</v>
      </c>
      <c r="BA39" s="100">
        <v>7133.9768980787821</v>
      </c>
      <c r="BB39" s="100">
        <v>7</v>
      </c>
      <c r="BC39" s="100">
        <v>9962.4</v>
      </c>
      <c r="BD39" s="100">
        <v>3.0906939957875816</v>
      </c>
      <c r="BE39" s="100">
        <v>4398.675694804886</v>
      </c>
      <c r="BF39" s="100">
        <v>9</v>
      </c>
      <c r="BG39" s="100">
        <v>12808.800000000001</v>
      </c>
      <c r="BH39" s="100">
        <v>7.2646659067569237</v>
      </c>
      <c r="BI39" s="100">
        <v>10339.072518496454</v>
      </c>
      <c r="BJ39" s="100">
        <v>1.9160186815990343</v>
      </c>
      <c r="BK39" s="100">
        <v>2726.8777876517456</v>
      </c>
      <c r="BL39" s="100">
        <v>6.2198577316970587</v>
      </c>
      <c r="BM39" s="100">
        <v>8852.1015237512547</v>
      </c>
      <c r="BN39" s="100">
        <v>4.6273418355823717</v>
      </c>
      <c r="BO39" s="100">
        <v>6585.6329004008312</v>
      </c>
      <c r="BP39" s="100">
        <v>8</v>
      </c>
      <c r="BQ39" s="100">
        <v>11385.6</v>
      </c>
      <c r="BR39" s="100">
        <v>8</v>
      </c>
      <c r="BS39" s="100">
        <v>11385.6</v>
      </c>
      <c r="BT39" s="100">
        <v>5</v>
      </c>
      <c r="BU39" s="100">
        <v>7116</v>
      </c>
      <c r="BV39" s="100">
        <v>6.0976115606170174</v>
      </c>
      <c r="BW39" s="100">
        <v>8678.120773070139</v>
      </c>
      <c r="BX39" s="100">
        <v>1.7715085830755881</v>
      </c>
      <c r="BY39" s="100">
        <v>2521.2110154331772</v>
      </c>
      <c r="BZ39" s="100">
        <v>5</v>
      </c>
      <c r="CA39" s="100">
        <v>7116</v>
      </c>
      <c r="CB39" s="100">
        <v>8</v>
      </c>
      <c r="CC39" s="100">
        <v>11385.6</v>
      </c>
      <c r="CD39" s="100">
        <v>6</v>
      </c>
      <c r="CE39" s="100">
        <v>8539.2000000000007</v>
      </c>
      <c r="CF39" s="100">
        <v>6</v>
      </c>
      <c r="CG39" s="100">
        <v>8539.2000000000007</v>
      </c>
      <c r="CH39" s="100">
        <v>4.076043578917389</v>
      </c>
      <c r="CI39" s="100">
        <v>5801.0252215152286</v>
      </c>
      <c r="CJ39" s="100">
        <v>5.8704887851714362</v>
      </c>
      <c r="CK39" s="100">
        <v>8354.8796390559892</v>
      </c>
      <c r="CL39" s="100">
        <v>3.612753093985538E-4</v>
      </c>
      <c r="CM39" s="100">
        <v>0.5141670203360218</v>
      </c>
      <c r="CN39" s="100">
        <v>6</v>
      </c>
      <c r="CO39" s="100">
        <v>8539.2000000000007</v>
      </c>
      <c r="CP39" s="100">
        <v>9</v>
      </c>
      <c r="CQ39" s="100">
        <v>12808.800000000001</v>
      </c>
      <c r="CR39" s="100">
        <v>9.4046842090283373</v>
      </c>
      <c r="CS39" s="100">
        <v>13384.74656628913</v>
      </c>
      <c r="CT39" s="100">
        <v>6.9419920159868553</v>
      </c>
      <c r="CU39" s="100">
        <v>9879.8430371524937</v>
      </c>
    </row>
    <row r="40" spans="2:99">
      <c r="C40" s="99" t="s">
        <v>206</v>
      </c>
      <c r="D40" s="100">
        <v>5.8241699720577458</v>
      </c>
      <c r="E40" s="100">
        <v>4221.3583957474539</v>
      </c>
      <c r="F40" s="100">
        <v>5.0355856627350599</v>
      </c>
      <c r="G40" s="100">
        <v>3649.7924883503711</v>
      </c>
      <c r="H40" s="100">
        <v>2.569919215017999</v>
      </c>
      <c r="I40" s="100">
        <v>1862.6774470450455</v>
      </c>
      <c r="J40" s="100">
        <v>7</v>
      </c>
      <c r="K40" s="100">
        <v>5073.5999999999995</v>
      </c>
      <c r="L40" s="100">
        <v>7</v>
      </c>
      <c r="M40" s="100">
        <v>5073.5999999999995</v>
      </c>
      <c r="N40" s="100">
        <v>5</v>
      </c>
      <c r="O40" s="100">
        <v>3624</v>
      </c>
      <c r="P40" s="100">
        <v>5</v>
      </c>
      <c r="Q40" s="100">
        <v>3624</v>
      </c>
      <c r="R40" s="100">
        <v>5</v>
      </c>
      <c r="S40" s="100">
        <v>3624</v>
      </c>
      <c r="T40" s="100">
        <v>6.615130924434709</v>
      </c>
      <c r="U40" s="100">
        <v>4794.6468940302766</v>
      </c>
      <c r="V40" s="100">
        <v>7.1384130617187882</v>
      </c>
      <c r="W40" s="100">
        <v>5173.9217871337778</v>
      </c>
      <c r="X40" s="100">
        <v>6</v>
      </c>
      <c r="Y40" s="100">
        <v>4348.7999999999993</v>
      </c>
      <c r="Z40" s="100">
        <v>9</v>
      </c>
      <c r="AA40" s="100">
        <v>6523.2</v>
      </c>
      <c r="AB40" s="100">
        <v>5</v>
      </c>
      <c r="AC40" s="100">
        <v>3624</v>
      </c>
      <c r="AD40" s="100">
        <v>6.1390395095943635</v>
      </c>
      <c r="AE40" s="100">
        <v>4449.5758365539941</v>
      </c>
      <c r="AF40" s="100">
        <v>4.5952987886775425</v>
      </c>
      <c r="AG40" s="100">
        <v>3330.6725620334828</v>
      </c>
      <c r="AH40" s="100">
        <v>1.1926113810966472</v>
      </c>
      <c r="AI40" s="100">
        <v>864.40472901884982</v>
      </c>
      <c r="AJ40" s="100">
        <v>9</v>
      </c>
      <c r="AK40" s="100">
        <v>6523.2</v>
      </c>
      <c r="AL40" s="100">
        <v>7</v>
      </c>
      <c r="AM40" s="100">
        <v>5073.5999999999995</v>
      </c>
      <c r="AN40" s="100">
        <v>7</v>
      </c>
      <c r="AO40" s="100">
        <v>5073.5999999999995</v>
      </c>
      <c r="AP40" s="100">
        <v>6</v>
      </c>
      <c r="AQ40" s="100">
        <v>4348.7999999999993</v>
      </c>
      <c r="AR40" s="100">
        <v>8</v>
      </c>
      <c r="AS40" s="100">
        <v>5798.4</v>
      </c>
      <c r="AT40" s="100">
        <v>6</v>
      </c>
      <c r="AU40" s="100">
        <v>4348.7999999999993</v>
      </c>
      <c r="AV40" s="100">
        <v>7</v>
      </c>
      <c r="AW40" s="100">
        <v>5073.5999999999995</v>
      </c>
      <c r="AX40" s="100">
        <v>7</v>
      </c>
      <c r="AY40" s="100">
        <v>5073.5999999999995</v>
      </c>
      <c r="AZ40" s="100">
        <v>5.0110524071240405</v>
      </c>
      <c r="BA40" s="100">
        <v>3632.0107846835044</v>
      </c>
      <c r="BB40" s="100">
        <v>8</v>
      </c>
      <c r="BC40" s="100">
        <v>5798.4</v>
      </c>
      <c r="BD40" s="100">
        <v>2.7816245962088235</v>
      </c>
      <c r="BE40" s="100">
        <v>2016.1215073321553</v>
      </c>
      <c r="BF40" s="100">
        <v>8</v>
      </c>
      <c r="BG40" s="100">
        <v>5798.4</v>
      </c>
      <c r="BH40" s="100">
        <v>7.2646659067569237</v>
      </c>
      <c r="BI40" s="100">
        <v>5265.4298492174175</v>
      </c>
      <c r="BJ40" s="100">
        <v>1.9160186815990343</v>
      </c>
      <c r="BK40" s="100">
        <v>1388.7303404229799</v>
      </c>
      <c r="BL40" s="100">
        <v>7.2198577316970587</v>
      </c>
      <c r="BM40" s="100">
        <v>5232.9528839340283</v>
      </c>
      <c r="BN40" s="100">
        <v>5.3985654748461007</v>
      </c>
      <c r="BO40" s="100">
        <v>3912.8802561684533</v>
      </c>
      <c r="BP40" s="100">
        <v>9</v>
      </c>
      <c r="BQ40" s="100">
        <v>6523.2</v>
      </c>
      <c r="BR40" s="100">
        <v>8</v>
      </c>
      <c r="BS40" s="100">
        <v>5798.4</v>
      </c>
      <c r="BT40" s="100">
        <v>5</v>
      </c>
      <c r="BU40" s="100">
        <v>3624</v>
      </c>
      <c r="BV40" s="100">
        <v>7.0484963190205825</v>
      </c>
      <c r="BW40" s="100">
        <v>5108.7501320261181</v>
      </c>
      <c r="BX40" s="100">
        <v>2.0245812378006725</v>
      </c>
      <c r="BY40" s="100">
        <v>1467.4164811579274</v>
      </c>
      <c r="BZ40" s="100">
        <v>5</v>
      </c>
      <c r="CA40" s="100">
        <v>3624</v>
      </c>
      <c r="CB40" s="100">
        <v>8</v>
      </c>
      <c r="CC40" s="100">
        <v>5798.4</v>
      </c>
      <c r="CD40" s="100">
        <v>6</v>
      </c>
      <c r="CE40" s="100">
        <v>4348.7999999999993</v>
      </c>
      <c r="CF40" s="100">
        <v>7</v>
      </c>
      <c r="CG40" s="100">
        <v>5073.5999999999995</v>
      </c>
      <c r="CH40" s="100">
        <v>4.7553841754036199</v>
      </c>
      <c r="CI40" s="100">
        <v>3446.7024503325433</v>
      </c>
      <c r="CJ40" s="100">
        <v>5.8704887851714362</v>
      </c>
      <c r="CK40" s="100">
        <v>4254.9302714922569</v>
      </c>
      <c r="CL40" s="100">
        <v>4.3353037127826454E-4</v>
      </c>
      <c r="CM40" s="100">
        <v>0.31422281310248612</v>
      </c>
      <c r="CN40" s="100">
        <v>6</v>
      </c>
      <c r="CO40" s="100">
        <v>4348.7999999999993</v>
      </c>
      <c r="CP40" s="100">
        <v>9</v>
      </c>
      <c r="CQ40" s="100">
        <v>6523.2</v>
      </c>
      <c r="CR40" s="100">
        <v>9.3468721791671463</v>
      </c>
      <c r="CS40" s="100">
        <v>6774.6129554603476</v>
      </c>
      <c r="CT40" s="100">
        <v>8.9254183062688153</v>
      </c>
      <c r="CU40" s="100">
        <v>6469.1431883836367</v>
      </c>
    </row>
    <row r="41" spans="2:99">
      <c r="C41" s="99" t="s">
        <v>207</v>
      </c>
      <c r="D41" s="100">
        <v>5.1770399751624403</v>
      </c>
      <c r="E41" s="100">
        <v>3416.8463836072106</v>
      </c>
      <c r="F41" s="100">
        <v>5.0040117228365668</v>
      </c>
      <c r="G41" s="100">
        <v>3302.6477370721341</v>
      </c>
      <c r="H41" s="100">
        <v>2.3129272935161991</v>
      </c>
      <c r="I41" s="100">
        <v>1526.5320137206913</v>
      </c>
      <c r="J41" s="100">
        <v>8</v>
      </c>
      <c r="K41" s="100">
        <v>5280</v>
      </c>
      <c r="L41" s="100">
        <v>9</v>
      </c>
      <c r="M41" s="100">
        <v>5940</v>
      </c>
      <c r="N41" s="100">
        <v>5</v>
      </c>
      <c r="O41" s="100">
        <v>3300</v>
      </c>
      <c r="P41" s="100">
        <v>5</v>
      </c>
      <c r="Q41" s="100">
        <v>3300</v>
      </c>
      <c r="R41" s="100">
        <v>5</v>
      </c>
      <c r="S41" s="100">
        <v>3300</v>
      </c>
      <c r="T41" s="100">
        <v>6.6624486878527636</v>
      </c>
      <c r="U41" s="100">
        <v>4397.2161339828235</v>
      </c>
      <c r="V41" s="100">
        <v>8.1384130617187882</v>
      </c>
      <c r="W41" s="100">
        <v>5371.3526207344003</v>
      </c>
      <c r="X41" s="100">
        <v>6</v>
      </c>
      <c r="Y41" s="100">
        <v>3960</v>
      </c>
      <c r="Z41" s="100">
        <v>9</v>
      </c>
      <c r="AA41" s="100">
        <v>5940</v>
      </c>
      <c r="AB41" s="100">
        <v>5</v>
      </c>
      <c r="AC41" s="100">
        <v>3300</v>
      </c>
      <c r="AD41" s="100">
        <v>6.8341466602320136</v>
      </c>
      <c r="AE41" s="100">
        <v>4510.5367957531289</v>
      </c>
      <c r="AF41" s="100">
        <v>5.0591200898491451</v>
      </c>
      <c r="AG41" s="100">
        <v>3339.0192593004358</v>
      </c>
      <c r="AH41" s="100">
        <v>1.1926113810966472</v>
      </c>
      <c r="AI41" s="100">
        <v>787.12351152378722</v>
      </c>
      <c r="AJ41" s="100">
        <v>9</v>
      </c>
      <c r="AK41" s="100">
        <v>5940</v>
      </c>
      <c r="AL41" s="100">
        <v>8</v>
      </c>
      <c r="AM41" s="100">
        <v>5280</v>
      </c>
      <c r="AN41" s="100">
        <v>8</v>
      </c>
      <c r="AO41" s="100">
        <v>5280</v>
      </c>
      <c r="AP41" s="100">
        <v>6</v>
      </c>
      <c r="AQ41" s="100">
        <v>3960</v>
      </c>
      <c r="AR41" s="100">
        <v>10</v>
      </c>
      <c r="AS41" s="100">
        <v>6600</v>
      </c>
      <c r="AT41" s="100">
        <v>5</v>
      </c>
      <c r="AU41" s="100">
        <v>3300</v>
      </c>
      <c r="AV41" s="100">
        <v>8</v>
      </c>
      <c r="AW41" s="100">
        <v>5280</v>
      </c>
      <c r="AX41" s="100">
        <v>8</v>
      </c>
      <c r="AY41" s="100">
        <v>5280</v>
      </c>
      <c r="AZ41" s="100">
        <v>5.014210237730909</v>
      </c>
      <c r="BA41" s="100">
        <v>3309.3787569023998</v>
      </c>
      <c r="BB41" s="100">
        <v>8</v>
      </c>
      <c r="BC41" s="100">
        <v>5280</v>
      </c>
      <c r="BD41" s="100">
        <v>2.7816245962088235</v>
      </c>
      <c r="BE41" s="100">
        <v>1835.8722334978236</v>
      </c>
      <c r="BF41" s="100">
        <v>8</v>
      </c>
      <c r="BG41" s="100">
        <v>5280</v>
      </c>
      <c r="BH41" s="100">
        <v>7.2315826684123081</v>
      </c>
      <c r="BI41" s="100">
        <v>4772.8445611521238</v>
      </c>
      <c r="BJ41" s="100">
        <v>2.1555210167989132</v>
      </c>
      <c r="BK41" s="100">
        <v>1422.6438710872826</v>
      </c>
      <c r="BL41" s="100">
        <v>7.1978719585273527</v>
      </c>
      <c r="BM41" s="100">
        <v>4750.5954926280529</v>
      </c>
      <c r="BN41" s="100">
        <v>5.3985654748461007</v>
      </c>
      <c r="BO41" s="100">
        <v>3563.0532133984266</v>
      </c>
      <c r="BP41" s="100">
        <v>9</v>
      </c>
      <c r="BQ41" s="100">
        <v>5940</v>
      </c>
      <c r="BR41" s="100">
        <v>8</v>
      </c>
      <c r="BS41" s="100">
        <v>5280</v>
      </c>
      <c r="BT41" s="100">
        <v>5</v>
      </c>
      <c r="BU41" s="100">
        <v>3300</v>
      </c>
      <c r="BV41" s="100">
        <v>7.0920855423756528</v>
      </c>
      <c r="BW41" s="100">
        <v>4680.7764579679306</v>
      </c>
      <c r="BX41" s="100">
        <v>2.0245812378006725</v>
      </c>
      <c r="BY41" s="100">
        <v>1336.2236169484438</v>
      </c>
      <c r="BZ41" s="100">
        <v>6</v>
      </c>
      <c r="CA41" s="100">
        <v>3960</v>
      </c>
      <c r="CB41" s="100">
        <v>9</v>
      </c>
      <c r="CC41" s="100">
        <v>5940</v>
      </c>
      <c r="CD41" s="100">
        <v>7</v>
      </c>
      <c r="CE41" s="100">
        <v>4620</v>
      </c>
      <c r="CF41" s="100">
        <v>7</v>
      </c>
      <c r="CG41" s="100">
        <v>4620</v>
      </c>
      <c r="CH41" s="100">
        <v>5.4347247718898508</v>
      </c>
      <c r="CI41" s="100">
        <v>3586.9183494473014</v>
      </c>
      <c r="CJ41" s="100">
        <v>5.0596543645425571</v>
      </c>
      <c r="CK41" s="100">
        <v>3339.3718805980875</v>
      </c>
      <c r="CL41" s="100">
        <v>4.3353037127826454E-4</v>
      </c>
      <c r="CM41" s="100">
        <v>0.28613004504365458</v>
      </c>
      <c r="CN41" s="100">
        <v>6</v>
      </c>
      <c r="CO41" s="100">
        <v>3960</v>
      </c>
      <c r="CP41" s="100">
        <v>8</v>
      </c>
      <c r="CQ41" s="100">
        <v>5280</v>
      </c>
      <c r="CR41" s="100">
        <v>10.346872179167146</v>
      </c>
      <c r="CS41" s="100">
        <v>6828.9356382503165</v>
      </c>
      <c r="CT41" s="100">
        <v>8.9254183062688153</v>
      </c>
      <c r="CU41" s="100">
        <v>5890.7760821374177</v>
      </c>
    </row>
    <row r="42" spans="2:99">
      <c r="C42" s="99" t="s">
        <v>208</v>
      </c>
      <c r="D42" s="100">
        <v>5.1770399751624403</v>
      </c>
      <c r="E42" s="100">
        <v>4379.7758189874248</v>
      </c>
      <c r="F42" s="100">
        <v>4.2436822954602915</v>
      </c>
      <c r="G42" s="100">
        <v>3590.1552219594068</v>
      </c>
      <c r="H42" s="100">
        <v>2.3129272935161991</v>
      </c>
      <c r="I42" s="100">
        <v>1956.7364903147045</v>
      </c>
      <c r="J42" s="100">
        <v>9</v>
      </c>
      <c r="K42" s="100">
        <v>7614</v>
      </c>
      <c r="L42" s="100">
        <v>7</v>
      </c>
      <c r="M42" s="100">
        <v>5922</v>
      </c>
      <c r="N42" s="100">
        <v>5</v>
      </c>
      <c r="O42" s="100">
        <v>4230</v>
      </c>
      <c r="P42" s="100">
        <v>5</v>
      </c>
      <c r="Q42" s="100">
        <v>4230</v>
      </c>
      <c r="R42" s="100">
        <v>5</v>
      </c>
      <c r="S42" s="100">
        <v>4230</v>
      </c>
      <c r="T42" s="100">
        <v>6.615130924434709</v>
      </c>
      <c r="U42" s="100">
        <v>5596.4007620717639</v>
      </c>
      <c r="V42" s="100">
        <v>7.1384130617187882</v>
      </c>
      <c r="W42" s="100">
        <v>6039.0974502140953</v>
      </c>
      <c r="X42" s="100">
        <v>6</v>
      </c>
      <c r="Y42" s="100">
        <v>5076</v>
      </c>
      <c r="Z42" s="100">
        <v>9</v>
      </c>
      <c r="AA42" s="100">
        <v>7614</v>
      </c>
      <c r="AB42" s="100">
        <v>6</v>
      </c>
      <c r="AC42" s="100">
        <v>5076</v>
      </c>
      <c r="AD42" s="100">
        <v>6.1127584957537664</v>
      </c>
      <c r="AE42" s="100">
        <v>5171.3936874076862</v>
      </c>
      <c r="AF42" s="100">
        <v>4.1114342933091246</v>
      </c>
      <c r="AG42" s="100">
        <v>3478.2734121395192</v>
      </c>
      <c r="AH42" s="100">
        <v>0.95408910487731791</v>
      </c>
      <c r="AI42" s="100">
        <v>807.15938272621099</v>
      </c>
      <c r="AJ42" s="100">
        <v>8</v>
      </c>
      <c r="AK42" s="100">
        <v>6768</v>
      </c>
      <c r="AL42" s="100">
        <v>7</v>
      </c>
      <c r="AM42" s="100">
        <v>5922</v>
      </c>
      <c r="AN42" s="100">
        <v>8</v>
      </c>
      <c r="AO42" s="100">
        <v>6768</v>
      </c>
      <c r="AP42" s="100">
        <v>6</v>
      </c>
      <c r="AQ42" s="100">
        <v>5076</v>
      </c>
      <c r="AR42" s="100">
        <v>9</v>
      </c>
      <c r="AS42" s="100">
        <v>7614</v>
      </c>
      <c r="AT42" s="100">
        <v>5</v>
      </c>
      <c r="AU42" s="100">
        <v>4230</v>
      </c>
      <c r="AV42" s="100">
        <v>8</v>
      </c>
      <c r="AW42" s="100">
        <v>6768</v>
      </c>
      <c r="AX42" s="100">
        <v>7</v>
      </c>
      <c r="AY42" s="100">
        <v>5922</v>
      </c>
      <c r="AZ42" s="100">
        <v>5.0110524071240405</v>
      </c>
      <c r="BA42" s="100">
        <v>4239.3503364269382</v>
      </c>
      <c r="BB42" s="100">
        <v>8</v>
      </c>
      <c r="BC42" s="100">
        <v>6768</v>
      </c>
      <c r="BD42" s="100">
        <v>3.0906939957875816</v>
      </c>
      <c r="BE42" s="100">
        <v>2614.7271204362942</v>
      </c>
      <c r="BF42" s="100">
        <v>8</v>
      </c>
      <c r="BG42" s="100">
        <v>6768</v>
      </c>
      <c r="BH42" s="100">
        <v>6.2646659067569237</v>
      </c>
      <c r="BI42" s="100">
        <v>5299.9073571163572</v>
      </c>
      <c r="BJ42" s="100">
        <v>1.9160186815990343</v>
      </c>
      <c r="BK42" s="100">
        <v>1620.951804632783</v>
      </c>
      <c r="BL42" s="100">
        <v>7.2198577316970587</v>
      </c>
      <c r="BM42" s="100">
        <v>6107.9996410157119</v>
      </c>
      <c r="BN42" s="100">
        <v>4.6273418355823717</v>
      </c>
      <c r="BO42" s="100">
        <v>3914.7311929026864</v>
      </c>
      <c r="BP42" s="100">
        <v>9</v>
      </c>
      <c r="BQ42" s="100">
        <v>7614</v>
      </c>
      <c r="BR42" s="100">
        <v>7</v>
      </c>
      <c r="BS42" s="100">
        <v>5922</v>
      </c>
      <c r="BT42" s="100">
        <v>5</v>
      </c>
      <c r="BU42" s="100">
        <v>4230</v>
      </c>
      <c r="BV42" s="100">
        <v>6.0976115606170174</v>
      </c>
      <c r="BW42" s="100">
        <v>5158.5793802819971</v>
      </c>
      <c r="BX42" s="100">
        <v>2.0245812378006725</v>
      </c>
      <c r="BY42" s="100">
        <v>1712.7957271793689</v>
      </c>
      <c r="BZ42" s="100">
        <v>5</v>
      </c>
      <c r="CA42" s="100">
        <v>4230</v>
      </c>
      <c r="CB42" s="100">
        <v>8</v>
      </c>
      <c r="CC42" s="100">
        <v>6768</v>
      </c>
      <c r="CD42" s="100">
        <v>7</v>
      </c>
      <c r="CE42" s="100">
        <v>5922</v>
      </c>
      <c r="CF42" s="100">
        <v>7</v>
      </c>
      <c r="CG42" s="100">
        <v>5922</v>
      </c>
      <c r="CH42" s="100">
        <v>4.076043578917389</v>
      </c>
      <c r="CI42" s="100">
        <v>3448.3328677641111</v>
      </c>
      <c r="CJ42" s="100">
        <v>5.8704887851714362</v>
      </c>
      <c r="CK42" s="100">
        <v>4966.4335122550347</v>
      </c>
      <c r="CL42" s="100">
        <v>4.3353037127826454E-4</v>
      </c>
      <c r="CM42" s="100">
        <v>0.36676669410141183</v>
      </c>
      <c r="CN42" s="100">
        <v>6</v>
      </c>
      <c r="CO42" s="100">
        <v>5076</v>
      </c>
      <c r="CP42" s="100">
        <v>9</v>
      </c>
      <c r="CQ42" s="100">
        <v>7614</v>
      </c>
      <c r="CR42" s="100">
        <v>10.404684209028337</v>
      </c>
      <c r="CS42" s="100">
        <v>8802.3628408379736</v>
      </c>
      <c r="CT42" s="100">
        <v>6.9419920159868553</v>
      </c>
      <c r="CU42" s="100">
        <v>5872.9252455248798</v>
      </c>
    </row>
    <row r="43" spans="2:99">
      <c r="C43" s="99" t="s">
        <v>209</v>
      </c>
      <c r="D43" s="100">
        <v>4.5299099782671348</v>
      </c>
      <c r="E43" s="100">
        <v>4631.3799617803188</v>
      </c>
      <c r="F43" s="100">
        <v>4.2752562353587846</v>
      </c>
      <c r="G43" s="100">
        <v>4371.0219750308215</v>
      </c>
      <c r="H43" s="100">
        <v>2.3129272935161991</v>
      </c>
      <c r="I43" s="100">
        <v>2364.7368648909619</v>
      </c>
      <c r="J43" s="100">
        <v>8</v>
      </c>
      <c r="K43" s="100">
        <v>8179.2</v>
      </c>
      <c r="L43" s="100">
        <v>8</v>
      </c>
      <c r="M43" s="100">
        <v>8179.2</v>
      </c>
      <c r="N43" s="100">
        <v>5</v>
      </c>
      <c r="O43" s="100">
        <v>5112</v>
      </c>
      <c r="P43" s="100">
        <v>6</v>
      </c>
      <c r="Q43" s="100">
        <v>6134.4</v>
      </c>
      <c r="R43" s="100">
        <v>5</v>
      </c>
      <c r="S43" s="100">
        <v>5112</v>
      </c>
      <c r="T43" s="100">
        <v>6.5678131610166544</v>
      </c>
      <c r="U43" s="100">
        <v>6714.9321758234273</v>
      </c>
      <c r="V43" s="100">
        <v>8.1132470504971899</v>
      </c>
      <c r="W43" s="100">
        <v>8294.9837844283265</v>
      </c>
      <c r="X43" s="100">
        <v>6</v>
      </c>
      <c r="Y43" s="100">
        <v>6134.4</v>
      </c>
      <c r="Z43" s="100">
        <v>9</v>
      </c>
      <c r="AA43" s="100">
        <v>9201.6</v>
      </c>
      <c r="AB43" s="100">
        <v>5</v>
      </c>
      <c r="AC43" s="100">
        <v>5112</v>
      </c>
      <c r="AD43" s="100">
        <v>6.1127584957537664</v>
      </c>
      <c r="AE43" s="100">
        <v>6249.6842860586503</v>
      </c>
      <c r="AF43" s="100">
        <v>4.1114342933091246</v>
      </c>
      <c r="AG43" s="100">
        <v>4203.5304214792486</v>
      </c>
      <c r="AH43" s="100">
        <v>0.95408910487731791</v>
      </c>
      <c r="AI43" s="100">
        <v>975.46070082656979</v>
      </c>
      <c r="AJ43" s="100">
        <v>8</v>
      </c>
      <c r="AK43" s="100">
        <v>8179.2</v>
      </c>
      <c r="AL43" s="100">
        <v>8</v>
      </c>
      <c r="AM43" s="100">
        <v>8179.2</v>
      </c>
      <c r="AN43" s="100">
        <v>8</v>
      </c>
      <c r="AO43" s="100">
        <v>8179.2</v>
      </c>
      <c r="AP43" s="100">
        <v>6</v>
      </c>
      <c r="AQ43" s="100">
        <v>6134.4</v>
      </c>
      <c r="AR43" s="100">
        <v>9</v>
      </c>
      <c r="AS43" s="100">
        <v>9201.6</v>
      </c>
      <c r="AT43" s="100">
        <v>5</v>
      </c>
      <c r="AU43" s="100">
        <v>5112</v>
      </c>
      <c r="AV43" s="100">
        <v>7</v>
      </c>
      <c r="AW43" s="100">
        <v>7156.8</v>
      </c>
      <c r="AX43" s="100">
        <v>7</v>
      </c>
      <c r="AY43" s="100">
        <v>7156.8</v>
      </c>
      <c r="AZ43" s="100">
        <v>5.0126313224274748</v>
      </c>
      <c r="BA43" s="100">
        <v>5124.9142640498503</v>
      </c>
      <c r="BB43" s="100">
        <v>8</v>
      </c>
      <c r="BC43" s="100">
        <v>8179.2</v>
      </c>
      <c r="BD43" s="100">
        <v>2.7816245962088235</v>
      </c>
      <c r="BE43" s="100">
        <v>2843.9329871639011</v>
      </c>
      <c r="BF43" s="100">
        <v>9</v>
      </c>
      <c r="BG43" s="100">
        <v>9201.6</v>
      </c>
      <c r="BH43" s="100">
        <v>6.2646659067569237</v>
      </c>
      <c r="BI43" s="100">
        <v>6404.9944230682786</v>
      </c>
      <c r="BJ43" s="100">
        <v>1.9160186815990343</v>
      </c>
      <c r="BK43" s="100">
        <v>1958.9375000668526</v>
      </c>
      <c r="BL43" s="100">
        <v>7.2198577316970587</v>
      </c>
      <c r="BM43" s="100">
        <v>7381.5825448870728</v>
      </c>
      <c r="BN43" s="100">
        <v>5.3985654748461007</v>
      </c>
      <c r="BO43" s="100">
        <v>5519.4933414826537</v>
      </c>
      <c r="BP43" s="100">
        <v>8</v>
      </c>
      <c r="BQ43" s="100">
        <v>8179.2</v>
      </c>
      <c r="BR43" s="100">
        <v>8</v>
      </c>
      <c r="BS43" s="100">
        <v>8179.2</v>
      </c>
      <c r="BT43" s="100">
        <v>5</v>
      </c>
      <c r="BU43" s="100">
        <v>5112</v>
      </c>
      <c r="BV43" s="100">
        <v>7.0920855423756528</v>
      </c>
      <c r="BW43" s="100">
        <v>7250.948258524867</v>
      </c>
      <c r="BX43" s="100">
        <v>1.7715085830755881</v>
      </c>
      <c r="BY43" s="100">
        <v>1811.1903753364813</v>
      </c>
      <c r="BZ43" s="100">
        <v>5</v>
      </c>
      <c r="CA43" s="100">
        <v>5112</v>
      </c>
      <c r="CB43" s="100">
        <v>9</v>
      </c>
      <c r="CC43" s="100">
        <v>9201.6</v>
      </c>
      <c r="CD43" s="100">
        <v>7</v>
      </c>
      <c r="CE43" s="100">
        <v>7156.8</v>
      </c>
      <c r="CF43" s="100">
        <v>7</v>
      </c>
      <c r="CG43" s="100">
        <v>7156.8</v>
      </c>
      <c r="CH43" s="100">
        <v>5.4347247718898508</v>
      </c>
      <c r="CI43" s="100">
        <v>5556.4626067801837</v>
      </c>
      <c r="CJ43" s="100">
        <v>5.8704887851714362</v>
      </c>
      <c r="CK43" s="100">
        <v>6001.9877339592758</v>
      </c>
      <c r="CL43" s="100">
        <v>4.3353037127826454E-4</v>
      </c>
      <c r="CM43" s="100">
        <v>0.44324145159489764</v>
      </c>
      <c r="CN43" s="100">
        <v>6</v>
      </c>
      <c r="CO43" s="100">
        <v>6134.4</v>
      </c>
      <c r="CP43" s="100">
        <v>9</v>
      </c>
      <c r="CQ43" s="100">
        <v>9201.6</v>
      </c>
      <c r="CR43" s="100">
        <v>9.3468721791671463</v>
      </c>
      <c r="CS43" s="100">
        <v>9556.2421159804908</v>
      </c>
      <c r="CT43" s="100">
        <v>7.9337051611278362</v>
      </c>
      <c r="CU43" s="100">
        <v>8111.4201567370992</v>
      </c>
    </row>
    <row r="44" spans="2:99">
      <c r="C44" s="99" t="s">
        <v>210</v>
      </c>
      <c r="D44" s="100">
        <v>5.1770399751624403</v>
      </c>
      <c r="E44" s="100">
        <v>5293.0056706060786</v>
      </c>
      <c r="F44" s="100">
        <v>5.0355856627350599</v>
      </c>
      <c r="G44" s="100">
        <v>5148.3827815803252</v>
      </c>
      <c r="H44" s="100">
        <v>2.3129272935161991</v>
      </c>
      <c r="I44" s="100">
        <v>2364.7368648909619</v>
      </c>
      <c r="J44" s="100">
        <v>9</v>
      </c>
      <c r="K44" s="100">
        <v>9201.6</v>
      </c>
      <c r="L44" s="100">
        <v>8</v>
      </c>
      <c r="M44" s="100">
        <v>8179.2</v>
      </c>
      <c r="N44" s="100">
        <v>4</v>
      </c>
      <c r="O44" s="100">
        <v>4089.6</v>
      </c>
      <c r="P44" s="100">
        <v>5</v>
      </c>
      <c r="Q44" s="100">
        <v>5112</v>
      </c>
      <c r="R44" s="100">
        <v>5</v>
      </c>
      <c r="S44" s="100">
        <v>5112</v>
      </c>
      <c r="T44" s="100">
        <v>6.6624486878527636</v>
      </c>
      <c r="U44" s="100">
        <v>6811.6875384606656</v>
      </c>
      <c r="V44" s="100">
        <v>7.125830056107989</v>
      </c>
      <c r="W44" s="100">
        <v>7285.4486493648083</v>
      </c>
      <c r="X44" s="100">
        <v>6</v>
      </c>
      <c r="Y44" s="100">
        <v>6134.4</v>
      </c>
      <c r="Z44" s="100">
        <v>8</v>
      </c>
      <c r="AA44" s="100">
        <v>8179.2</v>
      </c>
      <c r="AB44" s="100">
        <v>5</v>
      </c>
      <c r="AC44" s="100">
        <v>5112</v>
      </c>
      <c r="AD44" s="100">
        <v>6.1390395095943635</v>
      </c>
      <c r="AE44" s="100">
        <v>6276.5539946092767</v>
      </c>
      <c r="AF44" s="100">
        <v>4.5952987886775425</v>
      </c>
      <c r="AG44" s="100">
        <v>4698.233481543919</v>
      </c>
      <c r="AH44" s="100">
        <v>1.1926113810966472</v>
      </c>
      <c r="AI44" s="100">
        <v>1219.3258760332121</v>
      </c>
      <c r="AJ44" s="100">
        <v>9</v>
      </c>
      <c r="AK44" s="100">
        <v>9201.6</v>
      </c>
      <c r="AL44" s="100">
        <v>8</v>
      </c>
      <c r="AM44" s="100">
        <v>8179.2</v>
      </c>
      <c r="AN44" s="100">
        <v>8</v>
      </c>
      <c r="AO44" s="100">
        <v>8179.2</v>
      </c>
      <c r="AP44" s="100">
        <v>5</v>
      </c>
      <c r="AQ44" s="100">
        <v>5112</v>
      </c>
      <c r="AR44" s="100">
        <v>9</v>
      </c>
      <c r="AS44" s="100">
        <v>9201.6</v>
      </c>
      <c r="AT44" s="100">
        <v>5</v>
      </c>
      <c r="AU44" s="100">
        <v>5112</v>
      </c>
      <c r="AV44" s="100">
        <v>7</v>
      </c>
      <c r="AW44" s="100">
        <v>7156.8</v>
      </c>
      <c r="AX44" s="100">
        <v>8</v>
      </c>
      <c r="AY44" s="100">
        <v>8179.2</v>
      </c>
      <c r="AZ44" s="100">
        <v>5.0126313224274748</v>
      </c>
      <c r="BA44" s="100">
        <v>5124.9142640498503</v>
      </c>
      <c r="BB44" s="100">
        <v>8</v>
      </c>
      <c r="BC44" s="100">
        <v>8179.2</v>
      </c>
      <c r="BD44" s="100">
        <v>2.7816245962088235</v>
      </c>
      <c r="BE44" s="100">
        <v>2843.9329871639011</v>
      </c>
      <c r="BF44" s="100">
        <v>8</v>
      </c>
      <c r="BG44" s="100">
        <v>8179.2</v>
      </c>
      <c r="BH44" s="100">
        <v>6.2646659067569237</v>
      </c>
      <c r="BI44" s="100">
        <v>6404.9944230682786</v>
      </c>
      <c r="BJ44" s="100">
        <v>1.676516346399155</v>
      </c>
      <c r="BK44" s="100">
        <v>1714.070312558496</v>
      </c>
      <c r="BL44" s="100">
        <v>6.1978719585273527</v>
      </c>
      <c r="BM44" s="100">
        <v>6336.7042903983656</v>
      </c>
      <c r="BN44" s="100">
        <v>5.3985654748461007</v>
      </c>
      <c r="BO44" s="100">
        <v>5519.4933414826537</v>
      </c>
      <c r="BP44" s="100">
        <v>8</v>
      </c>
      <c r="BQ44" s="100">
        <v>8179.2</v>
      </c>
      <c r="BR44" s="100">
        <v>8</v>
      </c>
      <c r="BS44" s="100">
        <v>8179.2</v>
      </c>
      <c r="BT44" s="100">
        <v>5</v>
      </c>
      <c r="BU44" s="100">
        <v>5112</v>
      </c>
      <c r="BV44" s="100">
        <v>7.1356747657307213</v>
      </c>
      <c r="BW44" s="100">
        <v>7295.5138804830895</v>
      </c>
      <c r="BX44" s="100">
        <v>1.7715085830755881</v>
      </c>
      <c r="BY44" s="100">
        <v>1811.1903753364813</v>
      </c>
      <c r="BZ44" s="100">
        <v>6</v>
      </c>
      <c r="CA44" s="100">
        <v>6134.4</v>
      </c>
      <c r="CB44" s="100">
        <v>8</v>
      </c>
      <c r="CC44" s="100">
        <v>8179.2</v>
      </c>
      <c r="CD44" s="100">
        <v>6</v>
      </c>
      <c r="CE44" s="100">
        <v>6134.4</v>
      </c>
      <c r="CF44" s="100">
        <v>7</v>
      </c>
      <c r="CG44" s="100">
        <v>7156.8</v>
      </c>
      <c r="CH44" s="100">
        <v>4.7553841754036199</v>
      </c>
      <c r="CI44" s="100">
        <v>4861.9047809326612</v>
      </c>
      <c r="CJ44" s="100">
        <v>5.8704887851714362</v>
      </c>
      <c r="CK44" s="100">
        <v>6001.9877339592758</v>
      </c>
      <c r="CL44" s="100">
        <v>4.3353037127826454E-4</v>
      </c>
      <c r="CM44" s="100">
        <v>0.44324145159489764</v>
      </c>
      <c r="CN44" s="100">
        <v>6</v>
      </c>
      <c r="CO44" s="100">
        <v>6134.4</v>
      </c>
      <c r="CP44" s="100">
        <v>9</v>
      </c>
      <c r="CQ44" s="100">
        <v>9201.6</v>
      </c>
      <c r="CR44" s="100">
        <v>9.3468721791671463</v>
      </c>
      <c r="CS44" s="100">
        <v>9556.2421159804908</v>
      </c>
      <c r="CT44" s="100">
        <v>6.9419920159868553</v>
      </c>
      <c r="CU44" s="100">
        <v>7097.492637144961</v>
      </c>
    </row>
    <row r="45" spans="2:99">
      <c r="C45" s="99" t="s">
        <v>211</v>
      </c>
      <c r="D45" s="100">
        <v>4.5299099782671348</v>
      </c>
      <c r="E45" s="100">
        <v>5658.7635448513047</v>
      </c>
      <c r="F45" s="100">
        <v>4.2436822954602915</v>
      </c>
      <c r="G45" s="100">
        <v>5301.2079234889961</v>
      </c>
      <c r="H45" s="100">
        <v>2.3129272935161991</v>
      </c>
      <c r="I45" s="100">
        <v>2889.3087750604359</v>
      </c>
      <c r="J45" s="100">
        <v>8</v>
      </c>
      <c r="K45" s="100">
        <v>9993.6</v>
      </c>
      <c r="L45" s="100">
        <v>8</v>
      </c>
      <c r="M45" s="100">
        <v>9993.6</v>
      </c>
      <c r="N45" s="100">
        <v>4</v>
      </c>
      <c r="O45" s="100">
        <v>4996.8</v>
      </c>
      <c r="P45" s="100">
        <v>5</v>
      </c>
      <c r="Q45" s="100">
        <v>6246</v>
      </c>
      <c r="R45" s="100">
        <v>5</v>
      </c>
      <c r="S45" s="100">
        <v>6246</v>
      </c>
      <c r="T45" s="100">
        <v>6.5678131610166544</v>
      </c>
      <c r="U45" s="100">
        <v>8204.512200742005</v>
      </c>
      <c r="V45" s="100">
        <v>8.1384130617187882</v>
      </c>
      <c r="W45" s="100">
        <v>10166.505596699111</v>
      </c>
      <c r="X45" s="100">
        <v>6</v>
      </c>
      <c r="Y45" s="100">
        <v>7495.2000000000007</v>
      </c>
      <c r="Z45" s="100">
        <v>7</v>
      </c>
      <c r="AA45" s="100">
        <v>8744.4</v>
      </c>
      <c r="AB45" s="100">
        <v>5</v>
      </c>
      <c r="AC45" s="100">
        <v>6246</v>
      </c>
      <c r="AD45" s="100">
        <v>6.8604276740726116</v>
      </c>
      <c r="AE45" s="100">
        <v>8570.0462504515071</v>
      </c>
      <c r="AF45" s="100">
        <v>4.5952987886775425</v>
      </c>
      <c r="AG45" s="100">
        <v>5740.4472468159865</v>
      </c>
      <c r="AH45" s="100">
        <v>0.95408910487731791</v>
      </c>
      <c r="AI45" s="100">
        <v>1191.8481098127456</v>
      </c>
      <c r="AJ45" s="100">
        <v>9</v>
      </c>
      <c r="AK45" s="100">
        <v>11242.800000000001</v>
      </c>
      <c r="AL45" s="100">
        <v>7</v>
      </c>
      <c r="AM45" s="100">
        <v>8744.4</v>
      </c>
      <c r="AN45" s="100">
        <v>7</v>
      </c>
      <c r="AO45" s="100">
        <v>8744.4</v>
      </c>
      <c r="AP45" s="100">
        <v>5</v>
      </c>
      <c r="AQ45" s="100">
        <v>6246</v>
      </c>
      <c r="AR45" s="100">
        <v>9</v>
      </c>
      <c r="AS45" s="100">
        <v>11242.800000000001</v>
      </c>
      <c r="AT45" s="100">
        <v>5</v>
      </c>
      <c r="AU45" s="100">
        <v>6246</v>
      </c>
      <c r="AV45" s="100">
        <v>8</v>
      </c>
      <c r="AW45" s="100">
        <v>9993.6</v>
      </c>
      <c r="AX45" s="100">
        <v>8</v>
      </c>
      <c r="AY45" s="100">
        <v>9993.6</v>
      </c>
      <c r="AZ45" s="100">
        <v>5.0126313224274748</v>
      </c>
      <c r="BA45" s="100">
        <v>6261.7790479764017</v>
      </c>
      <c r="BB45" s="100">
        <v>8</v>
      </c>
      <c r="BC45" s="100">
        <v>9993.6</v>
      </c>
      <c r="BD45" s="100">
        <v>2.7816245962088235</v>
      </c>
      <c r="BE45" s="100">
        <v>3474.8054455840625</v>
      </c>
      <c r="BF45" s="100">
        <v>8</v>
      </c>
      <c r="BG45" s="100">
        <v>9993.6</v>
      </c>
      <c r="BH45" s="100">
        <v>7.2315826684123081</v>
      </c>
      <c r="BI45" s="100">
        <v>9033.6930693806553</v>
      </c>
      <c r="BJ45" s="100">
        <v>1.9160186815990343</v>
      </c>
      <c r="BK45" s="100">
        <v>2393.4905370535139</v>
      </c>
      <c r="BL45" s="100">
        <v>6.2198577316970587</v>
      </c>
      <c r="BM45" s="100">
        <v>7769.8462784359663</v>
      </c>
      <c r="BN45" s="100">
        <v>4.6273418355823717</v>
      </c>
      <c r="BO45" s="100">
        <v>5780.4754210094989</v>
      </c>
      <c r="BP45" s="100">
        <v>9</v>
      </c>
      <c r="BQ45" s="100">
        <v>11242.800000000001</v>
      </c>
      <c r="BR45" s="100">
        <v>7</v>
      </c>
      <c r="BS45" s="100">
        <v>8744.4</v>
      </c>
      <c r="BT45" s="100">
        <v>4</v>
      </c>
      <c r="BU45" s="100">
        <v>4996.8</v>
      </c>
      <c r="BV45" s="100">
        <v>6.1412007839720868</v>
      </c>
      <c r="BW45" s="100">
        <v>7671.5880193379307</v>
      </c>
      <c r="BX45" s="100">
        <v>1.7715085830755881</v>
      </c>
      <c r="BY45" s="100">
        <v>2212.9685219780249</v>
      </c>
      <c r="BZ45" s="100">
        <v>6</v>
      </c>
      <c r="CA45" s="100">
        <v>7495.2000000000007</v>
      </c>
      <c r="CB45" s="100">
        <v>9</v>
      </c>
      <c r="CC45" s="100">
        <v>11242.800000000001</v>
      </c>
      <c r="CD45" s="100">
        <v>7</v>
      </c>
      <c r="CE45" s="100">
        <v>8744.4</v>
      </c>
      <c r="CF45" s="100">
        <v>7</v>
      </c>
      <c r="CG45" s="100">
        <v>8744.4</v>
      </c>
      <c r="CH45" s="100">
        <v>4.076043578917389</v>
      </c>
      <c r="CI45" s="100">
        <v>5091.7936387836025</v>
      </c>
      <c r="CJ45" s="100">
        <v>5.8583232951233564</v>
      </c>
      <c r="CK45" s="100">
        <v>7318.2174602680971</v>
      </c>
      <c r="CL45" s="100">
        <v>4.3353037127826454E-4</v>
      </c>
      <c r="CM45" s="100">
        <v>0.54156613980080803</v>
      </c>
      <c r="CN45" s="100">
        <v>6</v>
      </c>
      <c r="CO45" s="100">
        <v>7495.2000000000007</v>
      </c>
      <c r="CP45" s="100">
        <v>9</v>
      </c>
      <c r="CQ45" s="100">
        <v>11242.800000000001</v>
      </c>
      <c r="CR45" s="100">
        <v>10.375778194097741</v>
      </c>
      <c r="CS45" s="100">
        <v>12961.422120066898</v>
      </c>
      <c r="CT45" s="100">
        <v>6.9419920159868553</v>
      </c>
      <c r="CU45" s="100">
        <v>8671.9364263707794</v>
      </c>
    </row>
    <row r="46" spans="2:99">
      <c r="C46" s="99" t="s">
        <v>212</v>
      </c>
      <c r="D46" s="100">
        <v>4.5299099782671348</v>
      </c>
      <c r="E46" s="100">
        <v>5490.2508936597678</v>
      </c>
      <c r="F46" s="100">
        <v>4.3068301752572786</v>
      </c>
      <c r="G46" s="100">
        <v>5219.8781724118217</v>
      </c>
      <c r="H46" s="100">
        <v>2.0559353720143991</v>
      </c>
      <c r="I46" s="100">
        <v>2491.7936708814518</v>
      </c>
      <c r="J46" s="100">
        <v>8</v>
      </c>
      <c r="K46" s="100">
        <v>9696</v>
      </c>
      <c r="L46" s="100">
        <v>7</v>
      </c>
      <c r="M46" s="100">
        <v>8484</v>
      </c>
      <c r="N46" s="100">
        <v>5</v>
      </c>
      <c r="O46" s="100">
        <v>6060</v>
      </c>
      <c r="P46" s="100">
        <v>6</v>
      </c>
      <c r="Q46" s="100">
        <v>7272</v>
      </c>
      <c r="R46" s="100">
        <v>5</v>
      </c>
      <c r="S46" s="100">
        <v>6060</v>
      </c>
      <c r="T46" s="100">
        <v>6.5678131610166544</v>
      </c>
      <c r="U46" s="100">
        <v>7960.1895511521852</v>
      </c>
      <c r="V46" s="100">
        <v>7.125830056107989</v>
      </c>
      <c r="W46" s="100">
        <v>8636.5060280028829</v>
      </c>
      <c r="X46" s="100">
        <v>6</v>
      </c>
      <c r="Y46" s="100">
        <v>7272</v>
      </c>
      <c r="Z46" s="100">
        <v>9</v>
      </c>
      <c r="AA46" s="100">
        <v>10908</v>
      </c>
      <c r="AB46" s="100">
        <v>5</v>
      </c>
      <c r="AC46" s="100">
        <v>6060</v>
      </c>
      <c r="AD46" s="100">
        <v>6.1653205234349624</v>
      </c>
      <c r="AE46" s="100">
        <v>7472.3684744031743</v>
      </c>
      <c r="AF46" s="100">
        <v>4.5552124002839109</v>
      </c>
      <c r="AG46" s="100">
        <v>5520.9174291441004</v>
      </c>
      <c r="AH46" s="100">
        <v>0.95408910487731791</v>
      </c>
      <c r="AI46" s="100">
        <v>1156.3559951113093</v>
      </c>
      <c r="AJ46" s="100">
        <v>9</v>
      </c>
      <c r="AK46" s="100">
        <v>10908</v>
      </c>
      <c r="AL46" s="100">
        <v>8</v>
      </c>
      <c r="AM46" s="100">
        <v>9696</v>
      </c>
      <c r="AN46" s="100">
        <v>7</v>
      </c>
      <c r="AO46" s="100">
        <v>8484</v>
      </c>
      <c r="AP46" s="100">
        <v>6</v>
      </c>
      <c r="AQ46" s="100">
        <v>7272</v>
      </c>
      <c r="AR46" s="100">
        <v>9</v>
      </c>
      <c r="AS46" s="100">
        <v>10908</v>
      </c>
      <c r="AT46" s="100">
        <v>5</v>
      </c>
      <c r="AU46" s="100">
        <v>6060</v>
      </c>
      <c r="AV46" s="100">
        <v>8</v>
      </c>
      <c r="AW46" s="100">
        <v>9696</v>
      </c>
      <c r="AX46" s="100">
        <v>7</v>
      </c>
      <c r="AY46" s="100">
        <v>8484</v>
      </c>
      <c r="AZ46" s="100">
        <v>5.0126313224274748</v>
      </c>
      <c r="BA46" s="100">
        <v>6075.3091627820995</v>
      </c>
      <c r="BB46" s="100">
        <v>7</v>
      </c>
      <c r="BC46" s="100">
        <v>8484</v>
      </c>
      <c r="BD46" s="100">
        <v>2.7816245962088235</v>
      </c>
      <c r="BE46" s="100">
        <v>3371.329010605094</v>
      </c>
      <c r="BF46" s="100">
        <v>10</v>
      </c>
      <c r="BG46" s="100">
        <v>12120</v>
      </c>
      <c r="BH46" s="100">
        <v>6.2315826684123081</v>
      </c>
      <c r="BI46" s="100">
        <v>7552.6781941157178</v>
      </c>
      <c r="BJ46" s="100">
        <v>1.9160186815990343</v>
      </c>
      <c r="BK46" s="100">
        <v>2322.2146420980298</v>
      </c>
      <c r="BL46" s="100">
        <v>6.1978719585273527</v>
      </c>
      <c r="BM46" s="100">
        <v>7511.8208137351512</v>
      </c>
      <c r="BN46" s="100">
        <v>5.3985654748461007</v>
      </c>
      <c r="BO46" s="100">
        <v>6543.0613555134742</v>
      </c>
      <c r="BP46" s="100">
        <v>8</v>
      </c>
      <c r="BQ46" s="100">
        <v>9696</v>
      </c>
      <c r="BR46" s="100">
        <v>8</v>
      </c>
      <c r="BS46" s="100">
        <v>9696</v>
      </c>
      <c r="BT46" s="100">
        <v>5</v>
      </c>
      <c r="BU46" s="100">
        <v>6060</v>
      </c>
      <c r="BV46" s="100">
        <v>6.0976115606170174</v>
      </c>
      <c r="BW46" s="100">
        <v>7390.3052114678248</v>
      </c>
      <c r="BX46" s="100">
        <v>2.0245812378006725</v>
      </c>
      <c r="BY46" s="100">
        <v>2453.7924602144149</v>
      </c>
      <c r="BZ46" s="100">
        <v>5</v>
      </c>
      <c r="CA46" s="100">
        <v>6060</v>
      </c>
      <c r="CB46" s="100">
        <v>8</v>
      </c>
      <c r="CC46" s="100">
        <v>9696</v>
      </c>
      <c r="CD46" s="100">
        <v>6</v>
      </c>
      <c r="CE46" s="100">
        <v>7272</v>
      </c>
      <c r="CF46" s="100">
        <v>8</v>
      </c>
      <c r="CG46" s="100">
        <v>9696</v>
      </c>
      <c r="CH46" s="100">
        <v>4.076043578917389</v>
      </c>
      <c r="CI46" s="100">
        <v>4940.1648176478757</v>
      </c>
      <c r="CJ46" s="100">
        <v>6.6813232058003162</v>
      </c>
      <c r="CK46" s="100">
        <v>8097.7637254299834</v>
      </c>
      <c r="CL46" s="100">
        <v>4.3353037127826454E-4</v>
      </c>
      <c r="CM46" s="100">
        <v>0.52543880998925663</v>
      </c>
      <c r="CN46" s="100">
        <v>5</v>
      </c>
      <c r="CO46" s="100">
        <v>6060</v>
      </c>
      <c r="CP46" s="100">
        <v>8</v>
      </c>
      <c r="CQ46" s="100">
        <v>9696</v>
      </c>
      <c r="CR46" s="100">
        <v>8.3757781940977409</v>
      </c>
      <c r="CS46" s="100">
        <v>10151.443171246461</v>
      </c>
      <c r="CT46" s="100">
        <v>7.9337051611278362</v>
      </c>
      <c r="CU46" s="100">
        <v>9615.6506552869378</v>
      </c>
    </row>
    <row r="47" spans="2:99">
      <c r="C47" s="99" t="s">
        <v>213</v>
      </c>
      <c r="D47" s="100">
        <v>4.5299099782671348</v>
      </c>
      <c r="E47" s="100">
        <v>6919.8904828008745</v>
      </c>
      <c r="F47" s="100">
        <v>4.9724377829380719</v>
      </c>
      <c r="G47" s="100">
        <v>7595.8959572161984</v>
      </c>
      <c r="H47" s="100">
        <v>2.0559353720143991</v>
      </c>
      <c r="I47" s="100">
        <v>3140.6468742891961</v>
      </c>
      <c r="J47" s="100">
        <v>8</v>
      </c>
      <c r="K47" s="100">
        <v>12220.8</v>
      </c>
      <c r="L47" s="100">
        <v>8</v>
      </c>
      <c r="M47" s="100">
        <v>12220.8</v>
      </c>
      <c r="N47" s="100">
        <v>5</v>
      </c>
      <c r="O47" s="100">
        <v>7638</v>
      </c>
      <c r="P47" s="100">
        <v>5</v>
      </c>
      <c r="Q47" s="100">
        <v>7638</v>
      </c>
      <c r="R47" s="100">
        <v>5</v>
      </c>
      <c r="S47" s="100">
        <v>7638</v>
      </c>
      <c r="T47" s="100">
        <v>6.5678131610166544</v>
      </c>
      <c r="U47" s="100">
        <v>10032.99138476904</v>
      </c>
      <c r="V47" s="100">
        <v>8.1258300561079899</v>
      </c>
      <c r="W47" s="100">
        <v>12413.017993710564</v>
      </c>
      <c r="X47" s="100">
        <v>6</v>
      </c>
      <c r="Y47" s="100">
        <v>9165.5999999999985</v>
      </c>
      <c r="Z47" s="100">
        <v>7</v>
      </c>
      <c r="AA47" s="100">
        <v>10693.199999999999</v>
      </c>
      <c r="AB47" s="100">
        <v>5</v>
      </c>
      <c r="AC47" s="100">
        <v>7638</v>
      </c>
      <c r="AD47" s="100">
        <v>6.0864774819131666</v>
      </c>
      <c r="AE47" s="100">
        <v>9297.7030013705535</v>
      </c>
      <c r="AF47" s="100">
        <v>4.5752555944807272</v>
      </c>
      <c r="AG47" s="100">
        <v>6989.1604461287588</v>
      </c>
      <c r="AH47" s="100">
        <v>1.1926113810966472</v>
      </c>
      <c r="AI47" s="100">
        <v>1821.8331457632382</v>
      </c>
      <c r="AJ47" s="100">
        <v>8</v>
      </c>
      <c r="AK47" s="100">
        <v>12220.8</v>
      </c>
      <c r="AL47" s="100">
        <v>6</v>
      </c>
      <c r="AM47" s="100">
        <v>9165.5999999999985</v>
      </c>
      <c r="AN47" s="100">
        <v>7</v>
      </c>
      <c r="AO47" s="100">
        <v>10693.199999999999</v>
      </c>
      <c r="AP47" s="100">
        <v>6</v>
      </c>
      <c r="AQ47" s="100">
        <v>9165.5999999999985</v>
      </c>
      <c r="AR47" s="100">
        <v>9</v>
      </c>
      <c r="AS47" s="100">
        <v>13748.4</v>
      </c>
      <c r="AT47" s="100">
        <v>5</v>
      </c>
      <c r="AU47" s="100">
        <v>7638</v>
      </c>
      <c r="AV47" s="100">
        <v>7</v>
      </c>
      <c r="AW47" s="100">
        <v>10693.199999999999</v>
      </c>
      <c r="AX47" s="100">
        <v>7</v>
      </c>
      <c r="AY47" s="100">
        <v>10693.199999999999</v>
      </c>
      <c r="AZ47" s="100">
        <v>5.0110524071240405</v>
      </c>
      <c r="BA47" s="100">
        <v>7654.8836571226839</v>
      </c>
      <c r="BB47" s="100">
        <v>8</v>
      </c>
      <c r="BC47" s="100">
        <v>12220.8</v>
      </c>
      <c r="BD47" s="100">
        <v>2.7816245962088235</v>
      </c>
      <c r="BE47" s="100">
        <v>4249.2097331685982</v>
      </c>
      <c r="BF47" s="100">
        <v>8</v>
      </c>
      <c r="BG47" s="100">
        <v>12220.8</v>
      </c>
      <c r="BH47" s="100">
        <v>6.2646659067569237</v>
      </c>
      <c r="BI47" s="100">
        <v>9569.9036391618756</v>
      </c>
      <c r="BJ47" s="100">
        <v>1.9160186815990343</v>
      </c>
      <c r="BK47" s="100">
        <v>2926.9101380106845</v>
      </c>
      <c r="BL47" s="100">
        <v>7.1978719585273527</v>
      </c>
      <c r="BM47" s="100">
        <v>10995.469203846384</v>
      </c>
      <c r="BN47" s="100">
        <v>5.3985654748461007</v>
      </c>
      <c r="BO47" s="100">
        <v>8246.8486193749031</v>
      </c>
      <c r="BP47" s="100">
        <v>8</v>
      </c>
      <c r="BQ47" s="100">
        <v>12220.8</v>
      </c>
      <c r="BR47" s="100">
        <v>8</v>
      </c>
      <c r="BS47" s="100">
        <v>12220.8</v>
      </c>
      <c r="BT47" s="100">
        <v>5</v>
      </c>
      <c r="BU47" s="100">
        <v>7638</v>
      </c>
      <c r="BV47" s="100">
        <v>6.0976115606170174</v>
      </c>
      <c r="BW47" s="100">
        <v>9314.7114199985554</v>
      </c>
      <c r="BX47" s="100">
        <v>2.0245812378006725</v>
      </c>
      <c r="BY47" s="100">
        <v>3092.7502988643068</v>
      </c>
      <c r="BZ47" s="100">
        <v>5</v>
      </c>
      <c r="CA47" s="100">
        <v>7638</v>
      </c>
      <c r="CB47" s="100">
        <v>8</v>
      </c>
      <c r="CC47" s="100">
        <v>12220.8</v>
      </c>
      <c r="CD47" s="100">
        <v>6</v>
      </c>
      <c r="CE47" s="100">
        <v>9165.5999999999985</v>
      </c>
      <c r="CF47" s="100">
        <v>6</v>
      </c>
      <c r="CG47" s="100">
        <v>9165.5999999999985</v>
      </c>
      <c r="CH47" s="100">
        <v>4.076043578917389</v>
      </c>
      <c r="CI47" s="100">
        <v>6226.564171154203</v>
      </c>
      <c r="CJ47" s="100">
        <v>5.8704887851714362</v>
      </c>
      <c r="CK47" s="100">
        <v>8967.7586682278852</v>
      </c>
      <c r="CL47" s="100">
        <v>4.3353037127826454E-4</v>
      </c>
      <c r="CM47" s="100">
        <v>0.66226099516467685</v>
      </c>
      <c r="CN47" s="100">
        <v>6</v>
      </c>
      <c r="CO47" s="100">
        <v>9165.5999999999985</v>
      </c>
      <c r="CP47" s="100">
        <v>9</v>
      </c>
      <c r="CQ47" s="100">
        <v>13748.4</v>
      </c>
      <c r="CR47" s="100">
        <v>9.3468721791671463</v>
      </c>
      <c r="CS47" s="100">
        <v>14278.281940895731</v>
      </c>
      <c r="CT47" s="100">
        <v>6.9419920159868553</v>
      </c>
      <c r="CU47" s="100">
        <v>10604.58700362152</v>
      </c>
    </row>
    <row r="48" spans="2:99">
      <c r="C48" s="99" t="s">
        <v>214</v>
      </c>
      <c r="D48" s="100">
        <v>5.1770399751624403</v>
      </c>
      <c r="E48" s="100">
        <v>4491.5998824509334</v>
      </c>
      <c r="F48" s="100">
        <v>4.2752562353587846</v>
      </c>
      <c r="G48" s="100">
        <v>3709.2123097972817</v>
      </c>
      <c r="H48" s="100">
        <v>2.0559353720143991</v>
      </c>
      <c r="I48" s="100">
        <v>1783.7295287596928</v>
      </c>
      <c r="J48" s="100">
        <v>8</v>
      </c>
      <c r="K48" s="100">
        <v>6940.8</v>
      </c>
      <c r="L48" s="100">
        <v>8</v>
      </c>
      <c r="M48" s="100">
        <v>6940.8</v>
      </c>
      <c r="N48" s="100">
        <v>5</v>
      </c>
      <c r="O48" s="100">
        <v>4338</v>
      </c>
      <c r="P48" s="100">
        <v>6</v>
      </c>
      <c r="Q48" s="100">
        <v>5205.6000000000004</v>
      </c>
      <c r="R48" s="100">
        <v>5</v>
      </c>
      <c r="S48" s="100">
        <v>4338</v>
      </c>
      <c r="T48" s="100">
        <v>5.615130924434709</v>
      </c>
      <c r="U48" s="100">
        <v>4871.6875900395535</v>
      </c>
      <c r="V48" s="100">
        <v>8.1384130617187882</v>
      </c>
      <c r="W48" s="100">
        <v>7060.8871723472212</v>
      </c>
      <c r="X48" s="100">
        <v>6</v>
      </c>
      <c r="Y48" s="100">
        <v>5205.6000000000004</v>
      </c>
      <c r="Z48" s="100">
        <v>8</v>
      </c>
      <c r="AA48" s="100">
        <v>6940.8</v>
      </c>
      <c r="AB48" s="100">
        <v>5</v>
      </c>
      <c r="AC48" s="100">
        <v>4338</v>
      </c>
      <c r="AD48" s="100">
        <v>6.8604276740726116</v>
      </c>
      <c r="AE48" s="100">
        <v>5952.1070500253982</v>
      </c>
      <c r="AF48" s="100">
        <v>4.0913910991123092</v>
      </c>
      <c r="AG48" s="100">
        <v>3549.6909175898395</v>
      </c>
      <c r="AH48" s="100">
        <v>1.1926113810966472</v>
      </c>
      <c r="AI48" s="100">
        <v>1034.7096342394511</v>
      </c>
      <c r="AJ48" s="100">
        <v>8</v>
      </c>
      <c r="AK48" s="100">
        <v>6940.8</v>
      </c>
      <c r="AL48" s="100">
        <v>8</v>
      </c>
      <c r="AM48" s="100">
        <v>6940.8</v>
      </c>
      <c r="AN48" s="100">
        <v>8</v>
      </c>
      <c r="AO48" s="100">
        <v>6940.8</v>
      </c>
      <c r="AP48" s="100">
        <v>6</v>
      </c>
      <c r="AQ48" s="100">
        <v>5205.6000000000004</v>
      </c>
      <c r="AR48" s="100">
        <v>8</v>
      </c>
      <c r="AS48" s="100">
        <v>6940.8</v>
      </c>
      <c r="AT48" s="100">
        <v>5</v>
      </c>
      <c r="AU48" s="100">
        <v>4338</v>
      </c>
      <c r="AV48" s="100">
        <v>7</v>
      </c>
      <c r="AW48" s="100">
        <v>6073.2</v>
      </c>
      <c r="AX48" s="100">
        <v>8</v>
      </c>
      <c r="AY48" s="100">
        <v>6940.8</v>
      </c>
      <c r="AZ48" s="100">
        <v>5.0126313224274748</v>
      </c>
      <c r="BA48" s="100">
        <v>4348.958935338077</v>
      </c>
      <c r="BB48" s="100">
        <v>8</v>
      </c>
      <c r="BC48" s="100">
        <v>6940.8</v>
      </c>
      <c r="BD48" s="100">
        <v>3.0906939957875816</v>
      </c>
      <c r="BE48" s="100">
        <v>2681.4861107453057</v>
      </c>
      <c r="BF48" s="100">
        <v>9</v>
      </c>
      <c r="BG48" s="100">
        <v>7808.4000000000005</v>
      </c>
      <c r="BH48" s="100">
        <v>7.2315826684123081</v>
      </c>
      <c r="BI48" s="100">
        <v>6274.1211231145189</v>
      </c>
      <c r="BJ48" s="100">
        <v>2.1555210167989132</v>
      </c>
      <c r="BK48" s="100">
        <v>1870.1300341747371</v>
      </c>
      <c r="BL48" s="100">
        <v>6.2198577316970587</v>
      </c>
      <c r="BM48" s="100">
        <v>5396.3485680203685</v>
      </c>
      <c r="BN48" s="100">
        <v>5.3985654748461007</v>
      </c>
      <c r="BO48" s="100">
        <v>4683.795405976477</v>
      </c>
      <c r="BP48" s="100">
        <v>8</v>
      </c>
      <c r="BQ48" s="100">
        <v>6940.8</v>
      </c>
      <c r="BR48" s="100">
        <v>8</v>
      </c>
      <c r="BS48" s="100">
        <v>6940.8</v>
      </c>
      <c r="BT48" s="100">
        <v>5</v>
      </c>
      <c r="BU48" s="100">
        <v>4338</v>
      </c>
      <c r="BV48" s="100">
        <v>6.1847900073271553</v>
      </c>
      <c r="BW48" s="100">
        <v>5365.9238103570406</v>
      </c>
      <c r="BX48" s="100">
        <v>1.7715085830755881</v>
      </c>
      <c r="BY48" s="100">
        <v>1536.9608466763802</v>
      </c>
      <c r="BZ48" s="100">
        <v>5</v>
      </c>
      <c r="CA48" s="100">
        <v>4338</v>
      </c>
      <c r="CB48" s="100">
        <v>9</v>
      </c>
      <c r="CC48" s="100">
        <v>7808.4000000000005</v>
      </c>
      <c r="CD48" s="100">
        <v>7</v>
      </c>
      <c r="CE48" s="100">
        <v>6073.2</v>
      </c>
      <c r="CF48" s="100">
        <v>7</v>
      </c>
      <c r="CG48" s="100">
        <v>6073.2</v>
      </c>
      <c r="CH48" s="100">
        <v>4.7553841754036199</v>
      </c>
      <c r="CI48" s="100">
        <v>4125.7713105801804</v>
      </c>
      <c r="CJ48" s="100">
        <v>5.8704887851714362</v>
      </c>
      <c r="CK48" s="100">
        <v>5093.2360700147383</v>
      </c>
      <c r="CL48" s="100">
        <v>4.3353037127826454E-4</v>
      </c>
      <c r="CM48" s="100">
        <v>0.37613095012102232</v>
      </c>
      <c r="CN48" s="100">
        <v>5</v>
      </c>
      <c r="CO48" s="100">
        <v>4338</v>
      </c>
      <c r="CP48" s="100">
        <v>9</v>
      </c>
      <c r="CQ48" s="100">
        <v>7808.4000000000005</v>
      </c>
      <c r="CR48" s="100">
        <v>9.4046842090283373</v>
      </c>
      <c r="CS48" s="100">
        <v>8159.5040197529861</v>
      </c>
      <c r="CT48" s="100">
        <v>7.9337051611278362</v>
      </c>
      <c r="CU48" s="100">
        <v>6883.2825977945113</v>
      </c>
    </row>
    <row r="49" spans="2:99">
      <c r="B49" s="99" t="s">
        <v>129</v>
      </c>
      <c r="C49" s="99" t="s">
        <v>215</v>
      </c>
      <c r="D49" s="100">
        <v>5.3609050224187005</v>
      </c>
      <c r="E49" s="100">
        <v>5281.563628086903</v>
      </c>
      <c r="F49" s="100">
        <v>4</v>
      </c>
      <c r="G49" s="100">
        <v>3940.7999999999997</v>
      </c>
      <c r="H49" s="100">
        <v>5.5695709381144942</v>
      </c>
      <c r="I49" s="100">
        <v>5487.1412882303994</v>
      </c>
      <c r="J49" s="100">
        <v>6.3795691848247253</v>
      </c>
      <c r="K49" s="100">
        <v>6285.1515608893187</v>
      </c>
      <c r="L49" s="100">
        <v>4</v>
      </c>
      <c r="M49" s="100">
        <v>3940.7999999999997</v>
      </c>
      <c r="N49" s="100">
        <v>2.5136553681426208</v>
      </c>
      <c r="O49" s="100">
        <v>2476.4532686941097</v>
      </c>
      <c r="P49" s="100">
        <v>6.0684049918658811</v>
      </c>
      <c r="Q49" s="100">
        <v>5978.5925979862659</v>
      </c>
      <c r="R49" s="100">
        <v>6.62733703059037</v>
      </c>
      <c r="S49" s="100">
        <v>6529.2524425376323</v>
      </c>
      <c r="T49" s="100">
        <v>6</v>
      </c>
      <c r="U49" s="100">
        <v>5911.2</v>
      </c>
      <c r="V49" s="100">
        <v>5</v>
      </c>
      <c r="W49" s="100">
        <v>4926</v>
      </c>
      <c r="X49" s="100">
        <v>6</v>
      </c>
      <c r="Y49" s="100">
        <v>5911.2</v>
      </c>
      <c r="Z49" s="100">
        <v>6</v>
      </c>
      <c r="AA49" s="100">
        <v>5911.2</v>
      </c>
      <c r="AB49" s="100">
        <v>7</v>
      </c>
      <c r="AC49" s="100">
        <v>6896.4</v>
      </c>
      <c r="AD49" s="100">
        <v>3</v>
      </c>
      <c r="AE49" s="100">
        <v>2955.6</v>
      </c>
      <c r="AF49" s="100">
        <v>4</v>
      </c>
      <c r="AG49" s="100">
        <v>3940.7999999999997</v>
      </c>
      <c r="AH49" s="100">
        <v>5</v>
      </c>
      <c r="AI49" s="100">
        <v>4926</v>
      </c>
      <c r="AJ49" s="100">
        <v>6.2212436172351344</v>
      </c>
      <c r="AK49" s="100">
        <v>6129.1692117000539</v>
      </c>
      <c r="AL49" s="100">
        <v>5</v>
      </c>
      <c r="AM49" s="100">
        <v>4926</v>
      </c>
      <c r="AN49" s="100">
        <v>5</v>
      </c>
      <c r="AO49" s="100">
        <v>4926</v>
      </c>
      <c r="AP49" s="100">
        <v>4.4449570331138917</v>
      </c>
      <c r="AQ49" s="100">
        <v>4379.1716690238054</v>
      </c>
      <c r="AR49" s="100">
        <v>4.3111554715538665</v>
      </c>
      <c r="AS49" s="100">
        <v>4247.350370574869</v>
      </c>
      <c r="AT49" s="100">
        <v>6.0144912013640752</v>
      </c>
      <c r="AU49" s="100">
        <v>5925.4767315838862</v>
      </c>
      <c r="AV49" s="100">
        <v>7.3558163549640216</v>
      </c>
      <c r="AW49" s="100">
        <v>7246.9502729105534</v>
      </c>
      <c r="AX49" s="100">
        <v>5</v>
      </c>
      <c r="AY49" s="100">
        <v>4926</v>
      </c>
      <c r="AZ49" s="100">
        <v>5.4969284997757795</v>
      </c>
      <c r="BA49" s="100">
        <v>5415.5739579790979</v>
      </c>
      <c r="BB49" s="100">
        <v>3.1143817992380249</v>
      </c>
      <c r="BC49" s="100">
        <v>3068.2889486093018</v>
      </c>
      <c r="BD49" s="100">
        <v>5.0200426676897161</v>
      </c>
      <c r="BE49" s="100">
        <v>4945.7460362079082</v>
      </c>
      <c r="BF49" s="100">
        <v>5</v>
      </c>
      <c r="BG49" s="100">
        <v>4926</v>
      </c>
      <c r="BH49" s="100">
        <v>5</v>
      </c>
      <c r="BI49" s="100">
        <v>4926</v>
      </c>
      <c r="BJ49" s="100">
        <v>5</v>
      </c>
      <c r="BK49" s="100">
        <v>4926</v>
      </c>
      <c r="BL49" s="100">
        <v>5.0858201747489957</v>
      </c>
      <c r="BM49" s="100">
        <v>5010.5500361627101</v>
      </c>
      <c r="BN49" s="100">
        <v>6</v>
      </c>
      <c r="BO49" s="100">
        <v>5911.2</v>
      </c>
      <c r="BP49" s="100">
        <v>3</v>
      </c>
      <c r="BQ49" s="100">
        <v>2955.6</v>
      </c>
      <c r="BR49" s="100">
        <v>6</v>
      </c>
      <c r="BS49" s="100">
        <v>5911.2</v>
      </c>
      <c r="BT49" s="100">
        <v>3.7235600578053072</v>
      </c>
      <c r="BU49" s="100">
        <v>3668.4513689497885</v>
      </c>
      <c r="BV49" s="100">
        <v>1.244144171040555</v>
      </c>
      <c r="BW49" s="100">
        <v>1225.7308373091546</v>
      </c>
      <c r="BX49" s="100">
        <v>4.8695083986362819</v>
      </c>
      <c r="BY49" s="100">
        <v>4797.439674336465</v>
      </c>
      <c r="BZ49" s="100">
        <v>6</v>
      </c>
      <c r="CA49" s="100">
        <v>5911.2</v>
      </c>
      <c r="CB49" s="100">
        <v>6</v>
      </c>
      <c r="CC49" s="100">
        <v>5911.2</v>
      </c>
      <c r="CD49" s="100">
        <v>4</v>
      </c>
      <c r="CE49" s="100">
        <v>3940.7999999999997</v>
      </c>
      <c r="CF49" s="100">
        <v>4</v>
      </c>
      <c r="CG49" s="100">
        <v>3940.7999999999997</v>
      </c>
      <c r="CH49" s="100">
        <v>6</v>
      </c>
      <c r="CI49" s="100">
        <v>5911.2</v>
      </c>
      <c r="CJ49" s="100">
        <v>6</v>
      </c>
      <c r="CK49" s="100">
        <v>5911.2</v>
      </c>
      <c r="CL49" s="100">
        <v>6.3856212751471038</v>
      </c>
      <c r="CM49" s="100">
        <v>6291.114080274926</v>
      </c>
      <c r="CN49" s="100">
        <v>4.4712389296626585</v>
      </c>
      <c r="CO49" s="100">
        <v>4405.0645935036509</v>
      </c>
      <c r="CP49" s="100">
        <v>5.3772854829425452</v>
      </c>
      <c r="CQ49" s="100">
        <v>5297.7016577949953</v>
      </c>
      <c r="CR49" s="100">
        <v>4.1576953799376435</v>
      </c>
      <c r="CS49" s="100">
        <v>4096.1614883145658</v>
      </c>
      <c r="CT49" s="100">
        <v>4.2350917284063234</v>
      </c>
      <c r="CU49" s="100">
        <v>4172.4123708259094</v>
      </c>
    </row>
    <row r="50" spans="2:99">
      <c r="C50" s="99" t="s">
        <v>216</v>
      </c>
      <c r="D50" s="100">
        <v>3.8827799813718302</v>
      </c>
      <c r="E50" s="100">
        <v>1094.9439547468562</v>
      </c>
      <c r="F50" s="100">
        <v>4.0226647161708335</v>
      </c>
      <c r="G50" s="100">
        <v>1134.3914499601751</v>
      </c>
      <c r="H50" s="100">
        <v>1.5419515290107995</v>
      </c>
      <c r="I50" s="100">
        <v>434.83033118104544</v>
      </c>
      <c r="J50" s="100">
        <v>6</v>
      </c>
      <c r="K50" s="100">
        <v>1692</v>
      </c>
      <c r="L50" s="100">
        <v>4</v>
      </c>
      <c r="M50" s="100">
        <v>1128</v>
      </c>
      <c r="N50" s="100">
        <v>7</v>
      </c>
      <c r="O50" s="100">
        <v>1974</v>
      </c>
      <c r="P50" s="100">
        <v>7</v>
      </c>
      <c r="Q50" s="100">
        <v>1974</v>
      </c>
      <c r="R50" s="100">
        <v>7</v>
      </c>
      <c r="S50" s="100">
        <v>1974</v>
      </c>
      <c r="T50" s="100">
        <v>7.3785421073444359</v>
      </c>
      <c r="U50" s="100">
        <v>2080.7488742711307</v>
      </c>
      <c r="V50" s="100">
        <v>5.062915028053995</v>
      </c>
      <c r="W50" s="100">
        <v>1427.7420379112266</v>
      </c>
      <c r="X50" s="100">
        <v>5</v>
      </c>
      <c r="Y50" s="100">
        <v>1410</v>
      </c>
      <c r="Z50" s="100">
        <v>6</v>
      </c>
      <c r="AA50" s="100">
        <v>1692</v>
      </c>
      <c r="AB50" s="100">
        <v>7</v>
      </c>
      <c r="AC50" s="100">
        <v>1974</v>
      </c>
      <c r="AD50" s="100">
        <v>3.1220817824783791</v>
      </c>
      <c r="AE50" s="100">
        <v>880.42706265890286</v>
      </c>
      <c r="AF50" s="100">
        <v>2.135889923441824</v>
      </c>
      <c r="AG50" s="100">
        <v>602.32095841059436</v>
      </c>
      <c r="AH50" s="100">
        <v>1.4311336573159767</v>
      </c>
      <c r="AI50" s="100">
        <v>403.57969136310544</v>
      </c>
      <c r="AJ50" s="100">
        <v>7</v>
      </c>
      <c r="AK50" s="100">
        <v>1974</v>
      </c>
      <c r="AL50" s="100">
        <v>5</v>
      </c>
      <c r="AM50" s="100">
        <v>1410</v>
      </c>
      <c r="AN50" s="100">
        <v>5</v>
      </c>
      <c r="AO50" s="100">
        <v>1410</v>
      </c>
      <c r="AP50" s="100">
        <v>4</v>
      </c>
      <c r="AQ50" s="100">
        <v>1128</v>
      </c>
      <c r="AR50" s="100">
        <v>5</v>
      </c>
      <c r="AS50" s="100">
        <v>1410</v>
      </c>
      <c r="AT50" s="100">
        <v>5</v>
      </c>
      <c r="AU50" s="100">
        <v>1410</v>
      </c>
      <c r="AV50" s="100">
        <v>6</v>
      </c>
      <c r="AW50" s="100">
        <v>1692</v>
      </c>
      <c r="AX50" s="100">
        <v>5</v>
      </c>
      <c r="AY50" s="100">
        <v>1410</v>
      </c>
      <c r="AZ50" s="100">
        <v>5</v>
      </c>
      <c r="BA50" s="100">
        <v>1410</v>
      </c>
      <c r="BB50" s="100">
        <v>4</v>
      </c>
      <c r="BC50" s="100">
        <v>1128</v>
      </c>
      <c r="BD50" s="100">
        <v>2.1634857970513073</v>
      </c>
      <c r="BE50" s="100">
        <v>610.10299476846865</v>
      </c>
      <c r="BF50" s="100">
        <v>5</v>
      </c>
      <c r="BG50" s="100">
        <v>1410</v>
      </c>
      <c r="BH50" s="100">
        <v>6.3308323834461548</v>
      </c>
      <c r="BI50" s="100">
        <v>1785.2947321318156</v>
      </c>
      <c r="BJ50" s="100">
        <v>1.4370140111992757</v>
      </c>
      <c r="BK50" s="100">
        <v>405.23795115819576</v>
      </c>
      <c r="BL50" s="100">
        <v>5.1758861853576468</v>
      </c>
      <c r="BM50" s="100">
        <v>1459.5999042708563</v>
      </c>
      <c r="BN50" s="100">
        <v>4.6273418355823717</v>
      </c>
      <c r="BO50" s="100">
        <v>1304.9103976342287</v>
      </c>
      <c r="BP50" s="100">
        <v>4</v>
      </c>
      <c r="BQ50" s="100">
        <v>1128</v>
      </c>
      <c r="BR50" s="100">
        <v>6</v>
      </c>
      <c r="BS50" s="100">
        <v>1692</v>
      </c>
      <c r="BT50" s="100">
        <v>4</v>
      </c>
      <c r="BU50" s="100">
        <v>1128</v>
      </c>
      <c r="BV50" s="100">
        <v>4.1522528204548168</v>
      </c>
      <c r="BW50" s="100">
        <v>1170.9352953682583</v>
      </c>
      <c r="BX50" s="100">
        <v>1.2653632736254201</v>
      </c>
      <c r="BY50" s="100">
        <v>356.83244316236846</v>
      </c>
      <c r="BZ50" s="100">
        <v>6</v>
      </c>
      <c r="CA50" s="100">
        <v>1692</v>
      </c>
      <c r="CB50" s="100">
        <v>7</v>
      </c>
      <c r="CC50" s="100">
        <v>1974</v>
      </c>
      <c r="CD50" s="100">
        <v>4</v>
      </c>
      <c r="CE50" s="100">
        <v>1128</v>
      </c>
      <c r="CF50" s="100">
        <v>5</v>
      </c>
      <c r="CG50" s="100">
        <v>1410</v>
      </c>
      <c r="CH50" s="100">
        <v>4.076043578917389</v>
      </c>
      <c r="CI50" s="100">
        <v>1149.4442892547038</v>
      </c>
      <c r="CJ50" s="100">
        <v>5.882654275219517</v>
      </c>
      <c r="CK50" s="100">
        <v>1658.9085056119038</v>
      </c>
      <c r="CL50" s="100">
        <v>5.0578543315797533E-4</v>
      </c>
      <c r="CM50" s="100">
        <v>0.14263149215054904</v>
      </c>
      <c r="CN50" s="100">
        <v>4</v>
      </c>
      <c r="CO50" s="100">
        <v>1128</v>
      </c>
      <c r="CP50" s="100">
        <v>5</v>
      </c>
      <c r="CQ50" s="100">
        <v>1410</v>
      </c>
      <c r="CR50" s="100">
        <v>5.2601541343753597</v>
      </c>
      <c r="CS50" s="100">
        <v>1483.3634658938515</v>
      </c>
      <c r="CT50" s="100">
        <v>5.9502788708458763</v>
      </c>
      <c r="CU50" s="100">
        <v>1677.978641578537</v>
      </c>
    </row>
    <row r="51" spans="2:99">
      <c r="C51" s="99" t="s">
        <v>217</v>
      </c>
      <c r="D51" s="100">
        <v>3.2356499844765252</v>
      </c>
      <c r="E51" s="100">
        <v>2764.539346736743</v>
      </c>
      <c r="F51" s="100">
        <v>3.9910907762723395</v>
      </c>
      <c r="G51" s="100">
        <v>3409.987959247087</v>
      </c>
      <c r="H51" s="100">
        <v>1.5419515290107995</v>
      </c>
      <c r="I51" s="100">
        <v>1317.4433863868271</v>
      </c>
      <c r="J51" s="100">
        <v>6</v>
      </c>
      <c r="K51" s="100">
        <v>5126.3999999999996</v>
      </c>
      <c r="L51" s="100">
        <v>5</v>
      </c>
      <c r="M51" s="100">
        <v>4272</v>
      </c>
      <c r="N51" s="100">
        <v>6</v>
      </c>
      <c r="O51" s="100">
        <v>5126.3999999999996</v>
      </c>
      <c r="P51" s="100">
        <v>7</v>
      </c>
      <c r="Q51" s="100">
        <v>5980.8</v>
      </c>
      <c r="R51" s="100">
        <v>6</v>
      </c>
      <c r="S51" s="100">
        <v>5126.3999999999996</v>
      </c>
      <c r="T51" s="100">
        <v>7.3785421073444359</v>
      </c>
      <c r="U51" s="100">
        <v>6304.2263765150856</v>
      </c>
      <c r="V51" s="100">
        <v>5.0754980336647932</v>
      </c>
      <c r="W51" s="100">
        <v>4336.5055199631988</v>
      </c>
      <c r="X51" s="100">
        <v>5</v>
      </c>
      <c r="Y51" s="100">
        <v>4272</v>
      </c>
      <c r="Z51" s="100">
        <v>6</v>
      </c>
      <c r="AA51" s="100">
        <v>5126.3999999999996</v>
      </c>
      <c r="AB51" s="100">
        <v>7</v>
      </c>
      <c r="AC51" s="100">
        <v>5980.8</v>
      </c>
      <c r="AD51" s="100">
        <v>2.3744126041595326</v>
      </c>
      <c r="AE51" s="100">
        <v>2028.6981289939047</v>
      </c>
      <c r="AF51" s="100">
        <v>2.1158467292450092</v>
      </c>
      <c r="AG51" s="100">
        <v>1807.7794454669358</v>
      </c>
      <c r="AH51" s="100">
        <v>1.1926113810966472</v>
      </c>
      <c r="AI51" s="100">
        <v>1018.9671640089754</v>
      </c>
      <c r="AJ51" s="100">
        <v>7</v>
      </c>
      <c r="AK51" s="100">
        <v>5980.8</v>
      </c>
      <c r="AL51" s="100">
        <v>5</v>
      </c>
      <c r="AM51" s="100">
        <v>4272</v>
      </c>
      <c r="AN51" s="100">
        <v>4</v>
      </c>
      <c r="AO51" s="100">
        <v>3417.6</v>
      </c>
      <c r="AP51" s="100">
        <v>4</v>
      </c>
      <c r="AQ51" s="100">
        <v>3417.6</v>
      </c>
      <c r="AR51" s="100">
        <v>4</v>
      </c>
      <c r="AS51" s="100">
        <v>3417.6</v>
      </c>
      <c r="AT51" s="100">
        <v>5</v>
      </c>
      <c r="AU51" s="100">
        <v>4272</v>
      </c>
      <c r="AV51" s="100">
        <v>6</v>
      </c>
      <c r="AW51" s="100">
        <v>5126.3999999999996</v>
      </c>
      <c r="AX51" s="100">
        <v>4</v>
      </c>
      <c r="AY51" s="100">
        <v>3417.6</v>
      </c>
      <c r="AZ51" s="100">
        <v>5</v>
      </c>
      <c r="BA51" s="100">
        <v>4272</v>
      </c>
      <c r="BB51" s="100">
        <v>4</v>
      </c>
      <c r="BC51" s="100">
        <v>3417.6</v>
      </c>
      <c r="BD51" s="100">
        <v>1.8544163974725489</v>
      </c>
      <c r="BE51" s="100">
        <v>1584.4133700005457</v>
      </c>
      <c r="BF51" s="100">
        <v>5</v>
      </c>
      <c r="BG51" s="100">
        <v>4272</v>
      </c>
      <c r="BH51" s="100">
        <v>6.2977491451015393</v>
      </c>
      <c r="BI51" s="100">
        <v>5380.796869574755</v>
      </c>
      <c r="BJ51" s="100">
        <v>1.4370140111992757</v>
      </c>
      <c r="BK51" s="100">
        <v>1227.7847711686611</v>
      </c>
      <c r="BL51" s="100">
        <v>5.1539004121879408</v>
      </c>
      <c r="BM51" s="100">
        <v>4403.4925121733768</v>
      </c>
      <c r="BN51" s="100">
        <v>3.8561181963186431</v>
      </c>
      <c r="BO51" s="100">
        <v>3294.6673869346487</v>
      </c>
      <c r="BP51" s="100">
        <v>3</v>
      </c>
      <c r="BQ51" s="100">
        <v>2563.1999999999998</v>
      </c>
      <c r="BR51" s="100">
        <v>5</v>
      </c>
      <c r="BS51" s="100">
        <v>4272</v>
      </c>
      <c r="BT51" s="100">
        <v>4</v>
      </c>
      <c r="BU51" s="100">
        <v>3417.6</v>
      </c>
      <c r="BV51" s="100">
        <v>3.1577788386961818</v>
      </c>
      <c r="BW51" s="100">
        <v>2698.0062397820175</v>
      </c>
      <c r="BX51" s="100">
        <v>1.2653632736254201</v>
      </c>
      <c r="BY51" s="100">
        <v>1081.1263809855589</v>
      </c>
      <c r="BZ51" s="100">
        <v>6</v>
      </c>
      <c r="CA51" s="100">
        <v>5126.3999999999996</v>
      </c>
      <c r="CB51" s="100">
        <v>7</v>
      </c>
      <c r="CC51" s="100">
        <v>5980.8</v>
      </c>
      <c r="CD51" s="100">
        <v>4</v>
      </c>
      <c r="CE51" s="100">
        <v>3417.6</v>
      </c>
      <c r="CF51" s="100">
        <v>4</v>
      </c>
      <c r="CG51" s="100">
        <v>3417.6</v>
      </c>
      <c r="CH51" s="100">
        <v>4.076043578917389</v>
      </c>
      <c r="CI51" s="100">
        <v>3482.5716338270172</v>
      </c>
      <c r="CJ51" s="100">
        <v>5.0474888744944773</v>
      </c>
      <c r="CK51" s="100">
        <v>4312.5744943680811</v>
      </c>
      <c r="CL51" s="100">
        <v>4.3353037127826454E-4</v>
      </c>
      <c r="CM51" s="100">
        <v>0.3704083492201492</v>
      </c>
      <c r="CN51" s="100">
        <v>4</v>
      </c>
      <c r="CO51" s="100">
        <v>3417.6</v>
      </c>
      <c r="CP51" s="100">
        <v>5</v>
      </c>
      <c r="CQ51" s="100">
        <v>4272</v>
      </c>
      <c r="CR51" s="100">
        <v>5.2890601493059552</v>
      </c>
      <c r="CS51" s="100">
        <v>4518.9729915670077</v>
      </c>
      <c r="CT51" s="100">
        <v>4.9585657257048972</v>
      </c>
      <c r="CU51" s="100">
        <v>4236.5985560422641</v>
      </c>
    </row>
    <row r="52" spans="2:99">
      <c r="C52" s="99" t="s">
        <v>218</v>
      </c>
      <c r="D52" s="100">
        <v>3.8827799813718302</v>
      </c>
      <c r="E52" s="100">
        <v>2096.7011899407885</v>
      </c>
      <c r="F52" s="100">
        <v>4.0226647161708335</v>
      </c>
      <c r="G52" s="100">
        <v>2172.23894673225</v>
      </c>
      <c r="H52" s="100">
        <v>1.2849596075089995</v>
      </c>
      <c r="I52" s="100">
        <v>693.87818805485972</v>
      </c>
      <c r="J52" s="100">
        <v>6</v>
      </c>
      <c r="K52" s="100">
        <v>3240</v>
      </c>
      <c r="L52" s="100">
        <v>4</v>
      </c>
      <c r="M52" s="100">
        <v>2160</v>
      </c>
      <c r="N52" s="100">
        <v>6</v>
      </c>
      <c r="O52" s="100">
        <v>3240</v>
      </c>
      <c r="P52" s="100">
        <v>6</v>
      </c>
      <c r="Q52" s="100">
        <v>3240</v>
      </c>
      <c r="R52" s="100">
        <v>7</v>
      </c>
      <c r="S52" s="100">
        <v>3780</v>
      </c>
      <c r="T52" s="100">
        <v>6.3785421073444359</v>
      </c>
      <c r="U52" s="100">
        <v>3444.4127379659953</v>
      </c>
      <c r="V52" s="100">
        <v>5.0754980336647932</v>
      </c>
      <c r="W52" s="100">
        <v>2740.7689381789883</v>
      </c>
      <c r="X52" s="100">
        <v>5</v>
      </c>
      <c r="Y52" s="100">
        <v>2700</v>
      </c>
      <c r="Z52" s="100">
        <v>6</v>
      </c>
      <c r="AA52" s="100">
        <v>3240</v>
      </c>
      <c r="AB52" s="100">
        <v>7</v>
      </c>
      <c r="AC52" s="100">
        <v>3780</v>
      </c>
      <c r="AD52" s="100">
        <v>3.1220817824783791</v>
      </c>
      <c r="AE52" s="100">
        <v>1685.9241625383247</v>
      </c>
      <c r="AF52" s="100">
        <v>2.135889923441824</v>
      </c>
      <c r="AG52" s="100">
        <v>1153.380558658585</v>
      </c>
      <c r="AH52" s="100">
        <v>1.1926113810966472</v>
      </c>
      <c r="AI52" s="100">
        <v>644.01014579218952</v>
      </c>
      <c r="AJ52" s="100">
        <v>7</v>
      </c>
      <c r="AK52" s="100">
        <v>3780</v>
      </c>
      <c r="AL52" s="100">
        <v>5</v>
      </c>
      <c r="AM52" s="100">
        <v>2700</v>
      </c>
      <c r="AN52" s="100">
        <v>5</v>
      </c>
      <c r="AO52" s="100">
        <v>2700</v>
      </c>
      <c r="AP52" s="100">
        <v>4</v>
      </c>
      <c r="AQ52" s="100">
        <v>2160</v>
      </c>
      <c r="AR52" s="100">
        <v>5</v>
      </c>
      <c r="AS52" s="100">
        <v>2700</v>
      </c>
      <c r="AT52" s="100">
        <v>6</v>
      </c>
      <c r="AU52" s="100">
        <v>3240</v>
      </c>
      <c r="AV52" s="100">
        <v>6</v>
      </c>
      <c r="AW52" s="100">
        <v>3240</v>
      </c>
      <c r="AX52" s="100">
        <v>5</v>
      </c>
      <c r="AY52" s="100">
        <v>2700</v>
      </c>
      <c r="AZ52" s="100">
        <v>5</v>
      </c>
      <c r="BA52" s="100">
        <v>2700</v>
      </c>
      <c r="BB52" s="100">
        <v>4</v>
      </c>
      <c r="BC52" s="100">
        <v>2160</v>
      </c>
      <c r="BD52" s="100">
        <v>1.8544163974725489</v>
      </c>
      <c r="BE52" s="100">
        <v>1001.3848546351765</v>
      </c>
      <c r="BF52" s="100">
        <v>5</v>
      </c>
      <c r="BG52" s="100">
        <v>2700</v>
      </c>
      <c r="BH52" s="100">
        <v>6.2977491451015393</v>
      </c>
      <c r="BI52" s="100">
        <v>3400.7845383548311</v>
      </c>
      <c r="BJ52" s="100">
        <v>1.4370140111992757</v>
      </c>
      <c r="BK52" s="100">
        <v>775.98756604760888</v>
      </c>
      <c r="BL52" s="100">
        <v>6.1758861853576468</v>
      </c>
      <c r="BM52" s="100">
        <v>3334.9785400931291</v>
      </c>
      <c r="BN52" s="100">
        <v>3.8561181963186431</v>
      </c>
      <c r="BO52" s="100">
        <v>2082.3038260120675</v>
      </c>
      <c r="BP52" s="100">
        <v>4</v>
      </c>
      <c r="BQ52" s="100">
        <v>2160</v>
      </c>
      <c r="BR52" s="100">
        <v>6</v>
      </c>
      <c r="BS52" s="100">
        <v>3240</v>
      </c>
      <c r="BT52" s="100">
        <v>5</v>
      </c>
      <c r="BU52" s="100">
        <v>2700</v>
      </c>
      <c r="BV52" s="100">
        <v>4.1522528204548168</v>
      </c>
      <c r="BW52" s="100">
        <v>2242.2165230456012</v>
      </c>
      <c r="BX52" s="100">
        <v>1.2653632736254201</v>
      </c>
      <c r="BY52" s="100">
        <v>683.29616775772683</v>
      </c>
      <c r="BZ52" s="100">
        <v>5</v>
      </c>
      <c r="CA52" s="100">
        <v>2700</v>
      </c>
      <c r="CB52" s="100">
        <v>6</v>
      </c>
      <c r="CC52" s="100">
        <v>3240</v>
      </c>
      <c r="CD52" s="100">
        <v>4</v>
      </c>
      <c r="CE52" s="100">
        <v>2160</v>
      </c>
      <c r="CF52" s="100">
        <v>5</v>
      </c>
      <c r="CG52" s="100">
        <v>2700</v>
      </c>
      <c r="CH52" s="100">
        <v>4.076043578917389</v>
      </c>
      <c r="CI52" s="100">
        <v>2201.0635326153902</v>
      </c>
      <c r="CJ52" s="100">
        <v>5.882654275219517</v>
      </c>
      <c r="CK52" s="100">
        <v>3176.6333086185391</v>
      </c>
      <c r="CL52" s="100">
        <v>4.3353037127826454E-4</v>
      </c>
      <c r="CM52" s="100">
        <v>0.23410640049026285</v>
      </c>
      <c r="CN52" s="100">
        <v>4</v>
      </c>
      <c r="CO52" s="100">
        <v>2160</v>
      </c>
      <c r="CP52" s="100">
        <v>6</v>
      </c>
      <c r="CQ52" s="100">
        <v>3240</v>
      </c>
      <c r="CR52" s="100">
        <v>5.3179661642365508</v>
      </c>
      <c r="CS52" s="100">
        <v>2871.7017286877376</v>
      </c>
      <c r="CT52" s="100">
        <v>5.9502788708458763</v>
      </c>
      <c r="CU52" s="100">
        <v>3213.1505902567733</v>
      </c>
    </row>
    <row r="53" spans="2:99">
      <c r="C53" s="99" t="s">
        <v>219</v>
      </c>
      <c r="D53" s="100">
        <v>3.2356499844765252</v>
      </c>
      <c r="E53" s="100">
        <v>1316.2624136850504</v>
      </c>
      <c r="F53" s="100">
        <v>4.0226647161708335</v>
      </c>
      <c r="G53" s="100">
        <v>1636.4200065382952</v>
      </c>
      <c r="H53" s="100">
        <v>1.7989434505125994</v>
      </c>
      <c r="I53" s="100">
        <v>731.81019566852547</v>
      </c>
      <c r="J53" s="100">
        <v>6</v>
      </c>
      <c r="K53" s="100">
        <v>2440.8000000000002</v>
      </c>
      <c r="L53" s="100">
        <v>5</v>
      </c>
      <c r="M53" s="100">
        <v>2034</v>
      </c>
      <c r="N53" s="100">
        <v>6</v>
      </c>
      <c r="O53" s="100">
        <v>2440.8000000000002</v>
      </c>
      <c r="P53" s="100">
        <v>6</v>
      </c>
      <c r="Q53" s="100">
        <v>2440.8000000000002</v>
      </c>
      <c r="R53" s="100">
        <v>7</v>
      </c>
      <c r="S53" s="100">
        <v>2847.6</v>
      </c>
      <c r="T53" s="100">
        <v>6.4258598707624905</v>
      </c>
      <c r="U53" s="100">
        <v>2614.0397954261812</v>
      </c>
      <c r="V53" s="100">
        <v>5.0754980336647932</v>
      </c>
      <c r="W53" s="100">
        <v>2064.7126000948379</v>
      </c>
      <c r="X53" s="100">
        <v>5</v>
      </c>
      <c r="Y53" s="100">
        <v>2034</v>
      </c>
      <c r="Z53" s="100">
        <v>7</v>
      </c>
      <c r="AA53" s="100">
        <v>2847.6</v>
      </c>
      <c r="AB53" s="100">
        <v>7</v>
      </c>
      <c r="AC53" s="100">
        <v>2847.6</v>
      </c>
      <c r="AD53" s="100">
        <v>3.0958007686377806</v>
      </c>
      <c r="AE53" s="100">
        <v>1259.3717526818491</v>
      </c>
      <c r="AF53" s="100">
        <v>2.135889923441824</v>
      </c>
      <c r="AG53" s="100">
        <v>868.88002085613402</v>
      </c>
      <c r="AH53" s="100">
        <v>1.4311336573159767</v>
      </c>
      <c r="AI53" s="100">
        <v>582.18517179613934</v>
      </c>
      <c r="AJ53" s="100">
        <v>6</v>
      </c>
      <c r="AK53" s="100">
        <v>2440.8000000000002</v>
      </c>
      <c r="AL53" s="100">
        <v>5</v>
      </c>
      <c r="AM53" s="100">
        <v>2034</v>
      </c>
      <c r="AN53" s="100">
        <v>4</v>
      </c>
      <c r="AO53" s="100">
        <v>1627.2</v>
      </c>
      <c r="AP53" s="100">
        <v>4</v>
      </c>
      <c r="AQ53" s="100">
        <v>1627.2</v>
      </c>
      <c r="AR53" s="100">
        <v>5</v>
      </c>
      <c r="AS53" s="100">
        <v>2034</v>
      </c>
      <c r="AT53" s="100">
        <v>6</v>
      </c>
      <c r="AU53" s="100">
        <v>2440.8000000000002</v>
      </c>
      <c r="AV53" s="100">
        <v>6</v>
      </c>
      <c r="AW53" s="100">
        <v>2440.8000000000002</v>
      </c>
      <c r="AX53" s="100">
        <v>5</v>
      </c>
      <c r="AY53" s="100">
        <v>2034</v>
      </c>
      <c r="AZ53" s="100">
        <v>6</v>
      </c>
      <c r="BA53" s="100">
        <v>2440.8000000000002</v>
      </c>
      <c r="BB53" s="100">
        <v>4</v>
      </c>
      <c r="BC53" s="100">
        <v>1627.2</v>
      </c>
      <c r="BD53" s="100">
        <v>2.1634857970513073</v>
      </c>
      <c r="BE53" s="100">
        <v>880.10602224047182</v>
      </c>
      <c r="BF53" s="100">
        <v>5</v>
      </c>
      <c r="BG53" s="100">
        <v>2034</v>
      </c>
      <c r="BH53" s="100">
        <v>5.2646659067569237</v>
      </c>
      <c r="BI53" s="100">
        <v>2141.6660908687168</v>
      </c>
      <c r="BJ53" s="100">
        <v>1.676516346399155</v>
      </c>
      <c r="BK53" s="100">
        <v>682.00684971517626</v>
      </c>
      <c r="BL53" s="100">
        <v>6.1539004121879408</v>
      </c>
      <c r="BM53" s="100">
        <v>2503.4066876780544</v>
      </c>
      <c r="BN53" s="100">
        <v>3.8561181963186431</v>
      </c>
      <c r="BO53" s="100">
        <v>1568.6688822624239</v>
      </c>
      <c r="BP53" s="100">
        <v>4</v>
      </c>
      <c r="BQ53" s="100">
        <v>1627.2</v>
      </c>
      <c r="BR53" s="100">
        <v>6</v>
      </c>
      <c r="BS53" s="100">
        <v>2440.8000000000002</v>
      </c>
      <c r="BT53" s="100">
        <v>5</v>
      </c>
      <c r="BU53" s="100">
        <v>2034</v>
      </c>
      <c r="BV53" s="100">
        <v>4.1522528204548168</v>
      </c>
      <c r="BW53" s="100">
        <v>1689.1364473610195</v>
      </c>
      <c r="BX53" s="100">
        <v>1.2653632736254201</v>
      </c>
      <c r="BY53" s="100">
        <v>514.74977971082092</v>
      </c>
      <c r="BZ53" s="100">
        <v>6</v>
      </c>
      <c r="CA53" s="100">
        <v>2440.8000000000002</v>
      </c>
      <c r="CB53" s="100">
        <v>6</v>
      </c>
      <c r="CC53" s="100">
        <v>2440.8000000000002</v>
      </c>
      <c r="CD53" s="100">
        <v>4</v>
      </c>
      <c r="CE53" s="100">
        <v>1627.2</v>
      </c>
      <c r="CF53" s="100">
        <v>4</v>
      </c>
      <c r="CG53" s="100">
        <v>1627.2</v>
      </c>
      <c r="CH53" s="100">
        <v>4.7553841754036199</v>
      </c>
      <c r="CI53" s="100">
        <v>1934.4902825541926</v>
      </c>
      <c r="CJ53" s="100">
        <v>5.0596543645425571</v>
      </c>
      <c r="CK53" s="100">
        <v>2058.2673954959123</v>
      </c>
      <c r="CL53" s="100">
        <v>4.3353037127826454E-4</v>
      </c>
      <c r="CM53" s="100">
        <v>0.17636015503599803</v>
      </c>
      <c r="CN53" s="100">
        <v>4</v>
      </c>
      <c r="CO53" s="100">
        <v>1627.2</v>
      </c>
      <c r="CP53" s="100">
        <v>6</v>
      </c>
      <c r="CQ53" s="100">
        <v>2440.8000000000002</v>
      </c>
      <c r="CR53" s="100">
        <v>5.2601541343753597</v>
      </c>
      <c r="CS53" s="100">
        <v>2139.8307018638966</v>
      </c>
      <c r="CT53" s="100">
        <v>4.9585657257048972</v>
      </c>
      <c r="CU53" s="100">
        <v>2017.1445372167523</v>
      </c>
    </row>
    <row r="54" spans="2:99">
      <c r="C54" s="99" t="s">
        <v>220</v>
      </c>
      <c r="D54" s="100">
        <v>3.8827799813718302</v>
      </c>
      <c r="E54" s="100">
        <v>1299.9547377632889</v>
      </c>
      <c r="F54" s="100">
        <v>3.9910907762723395</v>
      </c>
      <c r="G54" s="100">
        <v>1336.2171918959793</v>
      </c>
      <c r="H54" s="100">
        <v>1.5419515290107995</v>
      </c>
      <c r="I54" s="100">
        <v>516.2453719128157</v>
      </c>
      <c r="J54" s="100">
        <v>6</v>
      </c>
      <c r="K54" s="100">
        <v>2008.8000000000002</v>
      </c>
      <c r="L54" s="100">
        <v>4</v>
      </c>
      <c r="M54" s="100">
        <v>1339.2</v>
      </c>
      <c r="N54" s="100">
        <v>7</v>
      </c>
      <c r="O54" s="100">
        <v>2343.6</v>
      </c>
      <c r="P54" s="100">
        <v>6</v>
      </c>
      <c r="Q54" s="100">
        <v>2008.8000000000002</v>
      </c>
      <c r="R54" s="100">
        <v>6</v>
      </c>
      <c r="S54" s="100">
        <v>2008.8000000000002</v>
      </c>
      <c r="T54" s="100">
        <v>7.4258598707624905</v>
      </c>
      <c r="U54" s="100">
        <v>2486.1778847312821</v>
      </c>
      <c r="V54" s="100">
        <v>5.0754980336647932</v>
      </c>
      <c r="W54" s="100">
        <v>1699.2767416709728</v>
      </c>
      <c r="X54" s="100">
        <v>5</v>
      </c>
      <c r="Y54" s="100">
        <v>1674</v>
      </c>
      <c r="Z54" s="100">
        <v>6</v>
      </c>
      <c r="AA54" s="100">
        <v>2008.8000000000002</v>
      </c>
      <c r="AB54" s="100">
        <v>8</v>
      </c>
      <c r="AC54" s="100">
        <v>2678.4</v>
      </c>
      <c r="AD54" s="100">
        <v>3.1220817824783791</v>
      </c>
      <c r="AE54" s="100">
        <v>1045.2729807737614</v>
      </c>
      <c r="AF54" s="100">
        <v>2.1559331176386394</v>
      </c>
      <c r="AG54" s="100">
        <v>721.80640778541647</v>
      </c>
      <c r="AH54" s="100">
        <v>1.1926113810966472</v>
      </c>
      <c r="AI54" s="100">
        <v>399.28629039115748</v>
      </c>
      <c r="AJ54" s="100">
        <v>7</v>
      </c>
      <c r="AK54" s="100">
        <v>2343.6</v>
      </c>
      <c r="AL54" s="100">
        <v>5</v>
      </c>
      <c r="AM54" s="100">
        <v>1674</v>
      </c>
      <c r="AN54" s="100">
        <v>5</v>
      </c>
      <c r="AO54" s="100">
        <v>1674</v>
      </c>
      <c r="AP54" s="100">
        <v>4</v>
      </c>
      <c r="AQ54" s="100">
        <v>1339.2</v>
      </c>
      <c r="AR54" s="100">
        <v>5</v>
      </c>
      <c r="AS54" s="100">
        <v>1674</v>
      </c>
      <c r="AT54" s="100">
        <v>6</v>
      </c>
      <c r="AU54" s="100">
        <v>2008.8000000000002</v>
      </c>
      <c r="AV54" s="100">
        <v>7</v>
      </c>
      <c r="AW54" s="100">
        <v>2343.6</v>
      </c>
      <c r="AX54" s="100">
        <v>5</v>
      </c>
      <c r="AY54" s="100">
        <v>1674</v>
      </c>
      <c r="AZ54" s="100">
        <v>6</v>
      </c>
      <c r="BA54" s="100">
        <v>2008.8000000000002</v>
      </c>
      <c r="BB54" s="100">
        <v>4</v>
      </c>
      <c r="BC54" s="100">
        <v>1339.2</v>
      </c>
      <c r="BD54" s="100">
        <v>1.8544163974725489</v>
      </c>
      <c r="BE54" s="100">
        <v>620.85860987380943</v>
      </c>
      <c r="BF54" s="100">
        <v>5</v>
      </c>
      <c r="BG54" s="100">
        <v>1674</v>
      </c>
      <c r="BH54" s="100">
        <v>6.2977491451015393</v>
      </c>
      <c r="BI54" s="100">
        <v>2108.4864137799955</v>
      </c>
      <c r="BJ54" s="100">
        <v>1.4370140111992757</v>
      </c>
      <c r="BK54" s="100">
        <v>481.11229094951756</v>
      </c>
      <c r="BL54" s="100">
        <v>5.1539004121879408</v>
      </c>
      <c r="BM54" s="100">
        <v>1725.5258580005227</v>
      </c>
      <c r="BN54" s="100">
        <v>3.8561181963186431</v>
      </c>
      <c r="BO54" s="100">
        <v>1291.0283721274818</v>
      </c>
      <c r="BP54" s="100">
        <v>4</v>
      </c>
      <c r="BQ54" s="100">
        <v>1339.2</v>
      </c>
      <c r="BR54" s="100">
        <v>6</v>
      </c>
      <c r="BS54" s="100">
        <v>2008.8000000000002</v>
      </c>
      <c r="BT54" s="100">
        <v>5</v>
      </c>
      <c r="BU54" s="100">
        <v>1674</v>
      </c>
      <c r="BV54" s="100">
        <v>4.1958420438098853</v>
      </c>
      <c r="BW54" s="100">
        <v>1404.7679162675497</v>
      </c>
      <c r="BX54" s="100">
        <v>1.5184359283505042</v>
      </c>
      <c r="BY54" s="100">
        <v>508.37234881174885</v>
      </c>
      <c r="BZ54" s="100">
        <v>5</v>
      </c>
      <c r="CA54" s="100">
        <v>1674</v>
      </c>
      <c r="CB54" s="100">
        <v>6</v>
      </c>
      <c r="CC54" s="100">
        <v>2008.8000000000002</v>
      </c>
      <c r="CD54" s="100">
        <v>4</v>
      </c>
      <c r="CE54" s="100">
        <v>1339.2</v>
      </c>
      <c r="CF54" s="100">
        <v>5</v>
      </c>
      <c r="CG54" s="100">
        <v>1674</v>
      </c>
      <c r="CH54" s="100">
        <v>4.076043578917389</v>
      </c>
      <c r="CI54" s="100">
        <v>1364.6593902215418</v>
      </c>
      <c r="CJ54" s="100">
        <v>5.0596543645425571</v>
      </c>
      <c r="CK54" s="100">
        <v>1693.9722812488483</v>
      </c>
      <c r="CL54" s="100">
        <v>5.0578543315797533E-4</v>
      </c>
      <c r="CM54" s="100">
        <v>0.16933696302129014</v>
      </c>
      <c r="CN54" s="100">
        <v>4</v>
      </c>
      <c r="CO54" s="100">
        <v>1339.2</v>
      </c>
      <c r="CP54" s="100">
        <v>6</v>
      </c>
      <c r="CQ54" s="100">
        <v>2008.8000000000002</v>
      </c>
      <c r="CR54" s="100">
        <v>5.2890601493059552</v>
      </c>
      <c r="CS54" s="100">
        <v>1770.7773379876339</v>
      </c>
      <c r="CT54" s="100">
        <v>5.9502788708458763</v>
      </c>
      <c r="CU54" s="100">
        <v>1992.1533659591994</v>
      </c>
    </row>
    <row r="55" spans="2:99">
      <c r="C55" s="99" t="s">
        <v>221</v>
      </c>
      <c r="D55" s="100">
        <v>3.8827799813718302</v>
      </c>
      <c r="E55" s="100">
        <v>2576.6127956383466</v>
      </c>
      <c r="F55" s="100">
        <v>3.2623352887945587</v>
      </c>
      <c r="G55" s="100">
        <v>2164.8856976440693</v>
      </c>
      <c r="H55" s="100">
        <v>1.5419515290107995</v>
      </c>
      <c r="I55" s="100">
        <v>1023.2390346515666</v>
      </c>
      <c r="J55" s="100">
        <v>6</v>
      </c>
      <c r="K55" s="100">
        <v>3981.6000000000004</v>
      </c>
      <c r="L55" s="100">
        <v>5</v>
      </c>
      <c r="M55" s="100">
        <v>3318</v>
      </c>
      <c r="N55" s="100">
        <v>6</v>
      </c>
      <c r="O55" s="100">
        <v>3981.6000000000004</v>
      </c>
      <c r="P55" s="100">
        <v>7</v>
      </c>
      <c r="Q55" s="100">
        <v>4645.2</v>
      </c>
      <c r="R55" s="100">
        <v>6</v>
      </c>
      <c r="S55" s="100">
        <v>3981.6000000000004</v>
      </c>
      <c r="T55" s="100">
        <v>6.3785421073444359</v>
      </c>
      <c r="U55" s="100">
        <v>4232.800542433768</v>
      </c>
      <c r="V55" s="100">
        <v>5.0754980336647932</v>
      </c>
      <c r="W55" s="100">
        <v>3368.1004951399568</v>
      </c>
      <c r="X55" s="100">
        <v>5</v>
      </c>
      <c r="Y55" s="100">
        <v>3318</v>
      </c>
      <c r="Z55" s="100">
        <v>7</v>
      </c>
      <c r="AA55" s="100">
        <v>4645.2</v>
      </c>
      <c r="AB55" s="100">
        <v>6</v>
      </c>
      <c r="AC55" s="100">
        <v>3981.6000000000004</v>
      </c>
      <c r="AD55" s="100">
        <v>2.3744126041595326</v>
      </c>
      <c r="AE55" s="100">
        <v>1575.6602041202659</v>
      </c>
      <c r="AF55" s="100">
        <v>2.135889923441824</v>
      </c>
      <c r="AG55" s="100">
        <v>1417.3765531959946</v>
      </c>
      <c r="AH55" s="100">
        <v>1.1926113810966472</v>
      </c>
      <c r="AI55" s="100">
        <v>791.41691249573512</v>
      </c>
      <c r="AJ55" s="100">
        <v>7</v>
      </c>
      <c r="AK55" s="100">
        <v>4645.2</v>
      </c>
      <c r="AL55" s="100">
        <v>5</v>
      </c>
      <c r="AM55" s="100">
        <v>3318</v>
      </c>
      <c r="AN55" s="100">
        <v>5</v>
      </c>
      <c r="AO55" s="100">
        <v>3318</v>
      </c>
      <c r="AP55" s="100">
        <v>4</v>
      </c>
      <c r="AQ55" s="100">
        <v>2654.4</v>
      </c>
      <c r="AR55" s="100">
        <v>5</v>
      </c>
      <c r="AS55" s="100">
        <v>3318</v>
      </c>
      <c r="AT55" s="100">
        <v>6</v>
      </c>
      <c r="AU55" s="100">
        <v>3981.6000000000004</v>
      </c>
      <c r="AV55" s="100">
        <v>6</v>
      </c>
      <c r="AW55" s="100">
        <v>3981.6000000000004</v>
      </c>
      <c r="AX55" s="100">
        <v>5</v>
      </c>
      <c r="AY55" s="100">
        <v>3318</v>
      </c>
      <c r="AZ55" s="100">
        <v>6</v>
      </c>
      <c r="BA55" s="100">
        <v>3981.6000000000004</v>
      </c>
      <c r="BB55" s="100">
        <v>4</v>
      </c>
      <c r="BC55" s="100">
        <v>2654.4</v>
      </c>
      <c r="BD55" s="100">
        <v>2.1634857970513073</v>
      </c>
      <c r="BE55" s="100">
        <v>1435.6891749232475</v>
      </c>
      <c r="BF55" s="100">
        <v>5</v>
      </c>
      <c r="BG55" s="100">
        <v>3318</v>
      </c>
      <c r="BH55" s="100">
        <v>6.2646659067569237</v>
      </c>
      <c r="BI55" s="100">
        <v>4157.2322957238948</v>
      </c>
      <c r="BJ55" s="100">
        <v>1.4370140111992757</v>
      </c>
      <c r="BK55" s="100">
        <v>953.6024978318394</v>
      </c>
      <c r="BL55" s="100">
        <v>5.1758861853576468</v>
      </c>
      <c r="BM55" s="100">
        <v>3434.7180726033343</v>
      </c>
      <c r="BN55" s="100">
        <v>3.8561181963186431</v>
      </c>
      <c r="BO55" s="100">
        <v>2558.9200350770516</v>
      </c>
      <c r="BP55" s="100">
        <v>4</v>
      </c>
      <c r="BQ55" s="100">
        <v>2654.4</v>
      </c>
      <c r="BR55" s="100">
        <v>6</v>
      </c>
      <c r="BS55" s="100">
        <v>3981.6000000000004</v>
      </c>
      <c r="BT55" s="100">
        <v>4</v>
      </c>
      <c r="BU55" s="100">
        <v>2654.4</v>
      </c>
      <c r="BV55" s="100">
        <v>3.2013680620512512</v>
      </c>
      <c r="BW55" s="100">
        <v>2124.4278459772104</v>
      </c>
      <c r="BX55" s="100">
        <v>1.2653632736254201</v>
      </c>
      <c r="BY55" s="100">
        <v>839.69506837782876</v>
      </c>
      <c r="BZ55" s="100">
        <v>5</v>
      </c>
      <c r="CA55" s="100">
        <v>3318</v>
      </c>
      <c r="CB55" s="100">
        <v>6</v>
      </c>
      <c r="CC55" s="100">
        <v>3981.6000000000004</v>
      </c>
      <c r="CD55" s="100">
        <v>4</v>
      </c>
      <c r="CE55" s="100">
        <v>2654.4</v>
      </c>
      <c r="CF55" s="100">
        <v>5</v>
      </c>
      <c r="CG55" s="100">
        <v>3318</v>
      </c>
      <c r="CH55" s="100">
        <v>4.076043578917389</v>
      </c>
      <c r="CI55" s="100">
        <v>2704.8625189695795</v>
      </c>
      <c r="CJ55" s="100">
        <v>5.882654275219517</v>
      </c>
      <c r="CK55" s="100">
        <v>3903.7293770356714</v>
      </c>
      <c r="CL55" s="100">
        <v>4.3353037127826454E-4</v>
      </c>
      <c r="CM55" s="100">
        <v>0.28769075438025637</v>
      </c>
      <c r="CN55" s="100">
        <v>4</v>
      </c>
      <c r="CO55" s="100">
        <v>2654.4</v>
      </c>
      <c r="CP55" s="100">
        <v>6</v>
      </c>
      <c r="CQ55" s="100">
        <v>3981.6000000000004</v>
      </c>
      <c r="CR55" s="100">
        <v>4.2890601493059552</v>
      </c>
      <c r="CS55" s="100">
        <v>2846.2203150794321</v>
      </c>
      <c r="CT55" s="100">
        <v>4.9585657257048972</v>
      </c>
      <c r="CU55" s="100">
        <v>3290.5042155777701</v>
      </c>
    </row>
    <row r="56" spans="2:99">
      <c r="C56" s="99" t="s">
        <v>222</v>
      </c>
      <c r="D56" s="100">
        <v>5</v>
      </c>
      <c r="E56" s="100">
        <v>4908</v>
      </c>
      <c r="F56" s="100">
        <v>5</v>
      </c>
      <c r="G56" s="100">
        <v>4908</v>
      </c>
      <c r="H56" s="100">
        <v>5</v>
      </c>
      <c r="I56" s="100">
        <v>4908</v>
      </c>
      <c r="J56" s="100">
        <v>6</v>
      </c>
      <c r="K56" s="100">
        <v>5889.5999999999995</v>
      </c>
      <c r="L56" s="100">
        <v>5.3626214546836461</v>
      </c>
      <c r="M56" s="100">
        <v>5263.9492199174665</v>
      </c>
      <c r="N56" s="100">
        <v>2.5683605966872953</v>
      </c>
      <c r="O56" s="100">
        <v>2521.1027617082486</v>
      </c>
      <c r="P56" s="100">
        <v>5.4135338345864623</v>
      </c>
      <c r="Q56" s="100">
        <v>5313.9248120300708</v>
      </c>
      <c r="R56" s="100">
        <v>4.9985045410384865</v>
      </c>
      <c r="S56" s="100">
        <v>4906.5320574833777</v>
      </c>
      <c r="T56" s="100">
        <v>4.4891733738188115</v>
      </c>
      <c r="U56" s="100">
        <v>4406.5725837405453</v>
      </c>
      <c r="V56" s="100">
        <v>0.34864556663997109</v>
      </c>
      <c r="W56" s="100">
        <v>342.23048821379558</v>
      </c>
      <c r="X56" s="100">
        <v>6</v>
      </c>
      <c r="Y56" s="100">
        <v>5889.5999999999995</v>
      </c>
      <c r="Z56" s="100">
        <v>6</v>
      </c>
      <c r="AA56" s="100">
        <v>5889.5999999999995</v>
      </c>
      <c r="AB56" s="100">
        <v>6</v>
      </c>
      <c r="AC56" s="100">
        <v>5889.5999999999995</v>
      </c>
      <c r="AD56" s="100">
        <v>3</v>
      </c>
      <c r="AE56" s="100">
        <v>2944.7999999999997</v>
      </c>
      <c r="AF56" s="100">
        <v>3.5203015626783909</v>
      </c>
      <c r="AG56" s="100">
        <v>3455.5280139251081</v>
      </c>
      <c r="AH56" s="100">
        <v>0.31315470057482431</v>
      </c>
      <c r="AI56" s="100">
        <v>307.39265408424751</v>
      </c>
      <c r="AJ56" s="100">
        <v>6.3882665364305122</v>
      </c>
      <c r="AK56" s="100">
        <v>6270.7224321601898</v>
      </c>
      <c r="AL56" s="100">
        <v>4.1950747087096767</v>
      </c>
      <c r="AM56" s="100">
        <v>4117.8853340694186</v>
      </c>
      <c r="AN56" s="100">
        <v>4</v>
      </c>
      <c r="AO56" s="100">
        <v>3926.3999999999996</v>
      </c>
      <c r="AP56" s="100">
        <v>3.3377483443708567</v>
      </c>
      <c r="AQ56" s="100">
        <v>3276.3337748344325</v>
      </c>
      <c r="AR56" s="100">
        <v>4.4244020424617068</v>
      </c>
      <c r="AS56" s="100">
        <v>4342.9930448804107</v>
      </c>
      <c r="AT56" s="100">
        <v>5.8243332789946232</v>
      </c>
      <c r="AU56" s="100">
        <v>5717.1655466611219</v>
      </c>
      <c r="AV56" s="100">
        <v>4.4264372311302278</v>
      </c>
      <c r="AW56" s="100">
        <v>4344.990786077431</v>
      </c>
      <c r="AX56" s="100">
        <v>3.4782608695652151</v>
      </c>
      <c r="AY56" s="100">
        <v>3414.2608695652148</v>
      </c>
      <c r="AZ56" s="100">
        <v>6.3793520825916703</v>
      </c>
      <c r="BA56" s="100">
        <v>6261.9720042719828</v>
      </c>
      <c r="BB56" s="100">
        <v>2.2332694981690508</v>
      </c>
      <c r="BC56" s="100">
        <v>2192.17733940274</v>
      </c>
      <c r="BD56" s="100">
        <v>7</v>
      </c>
      <c r="BE56" s="100">
        <v>6871.1999999999989</v>
      </c>
      <c r="BF56" s="100">
        <v>5</v>
      </c>
      <c r="BG56" s="100">
        <v>4908</v>
      </c>
      <c r="BH56" s="100">
        <v>6.4092374399095089</v>
      </c>
      <c r="BI56" s="100">
        <v>6291.3074710151732</v>
      </c>
      <c r="BJ56" s="100">
        <v>1.2636225241966408</v>
      </c>
      <c r="BK56" s="100">
        <v>1240.3718697514225</v>
      </c>
      <c r="BL56" s="100">
        <v>4.9467736021524784</v>
      </c>
      <c r="BM56" s="100">
        <v>4855.7529678728724</v>
      </c>
      <c r="BN56" s="100">
        <v>3.9473684210526288</v>
      </c>
      <c r="BO56" s="100">
        <v>3874.7368421052602</v>
      </c>
      <c r="BP56" s="100">
        <v>3.4266262844780968</v>
      </c>
      <c r="BQ56" s="100">
        <v>3363.5763608436996</v>
      </c>
      <c r="BR56" s="100">
        <v>3.9726691430832344</v>
      </c>
      <c r="BS56" s="100">
        <v>3899.5720308505024</v>
      </c>
      <c r="BT56" s="100">
        <v>4.0060124451147443</v>
      </c>
      <c r="BU56" s="100">
        <v>3932.3018161246328</v>
      </c>
      <c r="BV56" s="100">
        <v>2.1441801019596967</v>
      </c>
      <c r="BW56" s="100">
        <v>2104.7271880836379</v>
      </c>
      <c r="BX56" s="100">
        <v>0.92514079808607996</v>
      </c>
      <c r="BY56" s="100">
        <v>908.11820740129599</v>
      </c>
      <c r="BZ56" s="100">
        <v>4.3300894466990441</v>
      </c>
      <c r="CA56" s="100">
        <v>4250.4158008797813</v>
      </c>
      <c r="CB56" s="100">
        <v>5.7466100479064144</v>
      </c>
      <c r="CC56" s="100">
        <v>5640.8724230249354</v>
      </c>
      <c r="CD56" s="100">
        <v>3.3704104167549613</v>
      </c>
      <c r="CE56" s="100">
        <v>3308.3948650866696</v>
      </c>
      <c r="CF56" s="100">
        <v>0.27936343480766912</v>
      </c>
      <c r="CG56" s="100">
        <v>274.22314760720798</v>
      </c>
      <c r="CH56" s="100">
        <v>6.3867768595041321</v>
      </c>
      <c r="CI56" s="100">
        <v>6269.2601652892554</v>
      </c>
      <c r="CJ56" s="100">
        <v>6.3096231456692244</v>
      </c>
      <c r="CK56" s="100">
        <v>6193.5260797889105</v>
      </c>
      <c r="CL56" s="100">
        <v>7</v>
      </c>
      <c r="CM56" s="100">
        <v>6871.1999999999989</v>
      </c>
      <c r="CN56" s="100">
        <v>3.3136502663457224</v>
      </c>
      <c r="CO56" s="100">
        <v>3252.6791014449609</v>
      </c>
      <c r="CP56" s="100">
        <v>5.1558397464916261</v>
      </c>
      <c r="CQ56" s="100">
        <v>5060.9722951561798</v>
      </c>
      <c r="CR56" s="100">
        <v>5</v>
      </c>
      <c r="CS56" s="100">
        <v>4908</v>
      </c>
      <c r="CT56" s="100">
        <v>4.5025507081837111</v>
      </c>
      <c r="CU56" s="100">
        <v>4419.7037751531307</v>
      </c>
    </row>
    <row r="57" spans="2:99">
      <c r="C57" s="99" t="s">
        <v>223</v>
      </c>
      <c r="D57" s="100">
        <v>3.8827799813718302</v>
      </c>
      <c r="E57" s="100">
        <v>5479.3791097119274</v>
      </c>
      <c r="F57" s="100">
        <v>3.9910907762723395</v>
      </c>
      <c r="G57" s="100">
        <v>5632.2273034755253</v>
      </c>
      <c r="H57" s="100">
        <v>1.5419515290107995</v>
      </c>
      <c r="I57" s="100">
        <v>2176.0019977400402</v>
      </c>
      <c r="J57" s="100">
        <v>5</v>
      </c>
      <c r="K57" s="100">
        <v>7056</v>
      </c>
      <c r="L57" s="100">
        <v>4</v>
      </c>
      <c r="M57" s="100">
        <v>5644.8</v>
      </c>
      <c r="N57" s="100">
        <v>6</v>
      </c>
      <c r="O57" s="100">
        <v>8467.2000000000007</v>
      </c>
      <c r="P57" s="100">
        <v>5</v>
      </c>
      <c r="Q57" s="100">
        <v>7056</v>
      </c>
      <c r="R57" s="100">
        <v>6</v>
      </c>
      <c r="S57" s="100">
        <v>8467.2000000000007</v>
      </c>
      <c r="T57" s="100">
        <v>6.3785421073444359</v>
      </c>
      <c r="U57" s="100">
        <v>9001.3986218844675</v>
      </c>
      <c r="V57" s="100">
        <v>5.062915028053995</v>
      </c>
      <c r="W57" s="100">
        <v>7144.7856875897978</v>
      </c>
      <c r="X57" s="100">
        <v>5</v>
      </c>
      <c r="Y57" s="100">
        <v>7056</v>
      </c>
      <c r="Z57" s="100">
        <v>6</v>
      </c>
      <c r="AA57" s="100">
        <v>8467.2000000000007</v>
      </c>
      <c r="AB57" s="100">
        <v>6</v>
      </c>
      <c r="AC57" s="100">
        <v>8467.2000000000007</v>
      </c>
      <c r="AD57" s="100">
        <v>3.1220817824783791</v>
      </c>
      <c r="AE57" s="100">
        <v>4405.881811433489</v>
      </c>
      <c r="AF57" s="100">
        <v>1.6319822338765912</v>
      </c>
      <c r="AG57" s="100">
        <v>2303.0533284466455</v>
      </c>
      <c r="AH57" s="100">
        <v>1.4311336573159767</v>
      </c>
      <c r="AI57" s="100">
        <v>2019.6158172043065</v>
      </c>
      <c r="AJ57" s="100">
        <v>6</v>
      </c>
      <c r="AK57" s="100">
        <v>8467.2000000000007</v>
      </c>
      <c r="AL57" s="100">
        <v>4</v>
      </c>
      <c r="AM57" s="100">
        <v>5644.8</v>
      </c>
      <c r="AN57" s="100">
        <v>5</v>
      </c>
      <c r="AO57" s="100">
        <v>7056</v>
      </c>
      <c r="AP57" s="100">
        <v>4</v>
      </c>
      <c r="AQ57" s="100">
        <v>5644.8</v>
      </c>
      <c r="AR57" s="100">
        <v>5</v>
      </c>
      <c r="AS57" s="100">
        <v>7056</v>
      </c>
      <c r="AT57" s="100">
        <v>6</v>
      </c>
      <c r="AU57" s="100">
        <v>8467.2000000000007</v>
      </c>
      <c r="AV57" s="100">
        <v>6</v>
      </c>
      <c r="AW57" s="100">
        <v>8467.2000000000007</v>
      </c>
      <c r="AX57" s="100">
        <v>4</v>
      </c>
      <c r="AY57" s="100">
        <v>5644.8</v>
      </c>
      <c r="AZ57" s="100">
        <v>5</v>
      </c>
      <c r="BA57" s="100">
        <v>7056</v>
      </c>
      <c r="BB57" s="100">
        <v>4</v>
      </c>
      <c r="BC57" s="100">
        <v>5644.8</v>
      </c>
      <c r="BD57" s="100">
        <v>1.8544163974725489</v>
      </c>
      <c r="BE57" s="100">
        <v>2616.9524201132613</v>
      </c>
      <c r="BF57" s="100">
        <v>5</v>
      </c>
      <c r="BG57" s="100">
        <v>7056</v>
      </c>
      <c r="BH57" s="100">
        <v>6.2977491451015393</v>
      </c>
      <c r="BI57" s="100">
        <v>8887.3835935672923</v>
      </c>
      <c r="BJ57" s="100">
        <v>1.4370140111992757</v>
      </c>
      <c r="BK57" s="100">
        <v>2027.9141726044179</v>
      </c>
      <c r="BL57" s="100">
        <v>5.1539004121879408</v>
      </c>
      <c r="BM57" s="100">
        <v>7273.1842616796221</v>
      </c>
      <c r="BN57" s="100">
        <v>3.8561181963186431</v>
      </c>
      <c r="BO57" s="100">
        <v>5441.7539986448692</v>
      </c>
      <c r="BP57" s="100">
        <v>3</v>
      </c>
      <c r="BQ57" s="100">
        <v>4233.6000000000004</v>
      </c>
      <c r="BR57" s="100">
        <v>6</v>
      </c>
      <c r="BS57" s="100">
        <v>8467.2000000000007</v>
      </c>
      <c r="BT57" s="100">
        <v>4</v>
      </c>
      <c r="BU57" s="100">
        <v>5644.8</v>
      </c>
      <c r="BV57" s="100">
        <v>4.1522528204548168</v>
      </c>
      <c r="BW57" s="100">
        <v>5859.6591802258381</v>
      </c>
      <c r="BX57" s="100">
        <v>1.0122906189003362</v>
      </c>
      <c r="BY57" s="100">
        <v>1428.5445213921546</v>
      </c>
      <c r="BZ57" s="100">
        <v>5</v>
      </c>
      <c r="CA57" s="100">
        <v>7056</v>
      </c>
      <c r="CB57" s="100">
        <v>6</v>
      </c>
      <c r="CC57" s="100">
        <v>8467.2000000000007</v>
      </c>
      <c r="CD57" s="100">
        <v>4</v>
      </c>
      <c r="CE57" s="100">
        <v>5644.8</v>
      </c>
      <c r="CF57" s="100">
        <v>4</v>
      </c>
      <c r="CG57" s="100">
        <v>5644.8</v>
      </c>
      <c r="CH57" s="100">
        <v>4.076043578917389</v>
      </c>
      <c r="CI57" s="100">
        <v>5752.1126985682195</v>
      </c>
      <c r="CJ57" s="100">
        <v>5.0596543645425571</v>
      </c>
      <c r="CK57" s="100">
        <v>7140.1842392424569</v>
      </c>
      <c r="CL57" s="100">
        <v>4.3353037127826454E-4</v>
      </c>
      <c r="CM57" s="100">
        <v>0.61179805994788694</v>
      </c>
      <c r="CN57" s="100">
        <v>3</v>
      </c>
      <c r="CO57" s="100">
        <v>4233.6000000000004</v>
      </c>
      <c r="CP57" s="100">
        <v>5</v>
      </c>
      <c r="CQ57" s="100">
        <v>7056</v>
      </c>
      <c r="CR57" s="100">
        <v>5.2601541343753597</v>
      </c>
      <c r="CS57" s="100">
        <v>7423.1295144305077</v>
      </c>
      <c r="CT57" s="100">
        <v>4.9585657257048972</v>
      </c>
      <c r="CU57" s="100">
        <v>6997.5279521147513</v>
      </c>
    </row>
    <row r="58" spans="2:99">
      <c r="C58" s="99" t="s">
        <v>224</v>
      </c>
      <c r="D58" s="100">
        <v>6.3609050224187005</v>
      </c>
      <c r="E58" s="100">
        <v>7488.0573923912943</v>
      </c>
      <c r="F58" s="100">
        <v>4</v>
      </c>
      <c r="G58" s="100">
        <v>4708.8</v>
      </c>
      <c r="H58" s="100">
        <v>5.5695709381144942</v>
      </c>
      <c r="I58" s="100">
        <v>6556.4989083483824</v>
      </c>
      <c r="J58" s="100">
        <v>6.3416122663422527</v>
      </c>
      <c r="K58" s="100">
        <v>7465.3459599381003</v>
      </c>
      <c r="L58" s="100">
        <v>4</v>
      </c>
      <c r="M58" s="100">
        <v>4708.8</v>
      </c>
      <c r="N58" s="100">
        <v>1.7954681201018718</v>
      </c>
      <c r="O58" s="100">
        <v>2113.6250709839237</v>
      </c>
      <c r="P58" s="100">
        <v>5.2014899930278986</v>
      </c>
      <c r="Q58" s="100">
        <v>6123.1940197924423</v>
      </c>
      <c r="R58" s="100">
        <v>5.6805745976488886</v>
      </c>
      <c r="S58" s="100">
        <v>6687.1724163522722</v>
      </c>
      <c r="T58" s="100">
        <v>5</v>
      </c>
      <c r="U58" s="100">
        <v>5886</v>
      </c>
      <c r="V58" s="100">
        <v>5</v>
      </c>
      <c r="W58" s="100">
        <v>5886</v>
      </c>
      <c r="X58" s="100">
        <v>5</v>
      </c>
      <c r="Y58" s="100">
        <v>5886</v>
      </c>
      <c r="Z58" s="100">
        <v>6</v>
      </c>
      <c r="AA58" s="100">
        <v>7063.2000000000007</v>
      </c>
      <c r="AB58" s="100">
        <v>7</v>
      </c>
      <c r="AC58" s="100">
        <v>8240.4</v>
      </c>
      <c r="AD58" s="100">
        <v>4</v>
      </c>
      <c r="AE58" s="100">
        <v>4708.8</v>
      </c>
      <c r="AF58" s="100">
        <v>4</v>
      </c>
      <c r="AG58" s="100">
        <v>4708.8</v>
      </c>
      <c r="AH58" s="100">
        <v>5</v>
      </c>
      <c r="AI58" s="100">
        <v>5886</v>
      </c>
      <c r="AJ58" s="100">
        <v>7.2528498482687249</v>
      </c>
      <c r="AK58" s="100">
        <v>8538.0548413819433</v>
      </c>
      <c r="AL58" s="100">
        <v>5</v>
      </c>
      <c r="AM58" s="100">
        <v>5886</v>
      </c>
      <c r="AN58" s="100">
        <v>4</v>
      </c>
      <c r="AO58" s="100">
        <v>4708.8</v>
      </c>
      <c r="AP58" s="100">
        <v>4.4449570331138917</v>
      </c>
      <c r="AQ58" s="100">
        <v>5232.6034193816731</v>
      </c>
      <c r="AR58" s="100">
        <v>4.282868610503515</v>
      </c>
      <c r="AS58" s="100">
        <v>5041.7929282847381</v>
      </c>
      <c r="AT58" s="100">
        <v>6.0144912013640752</v>
      </c>
      <c r="AU58" s="100">
        <v>7080.2590422457897</v>
      </c>
      <c r="AV58" s="100">
        <v>6.3558163549640216</v>
      </c>
      <c r="AW58" s="100">
        <v>7482.0670130636463</v>
      </c>
      <c r="AX58" s="100">
        <v>5</v>
      </c>
      <c r="AY58" s="100">
        <v>5886</v>
      </c>
      <c r="AZ58" s="100">
        <v>5.546621349753357</v>
      </c>
      <c r="BA58" s="100">
        <v>6529.4826529296524</v>
      </c>
      <c r="BB58" s="100">
        <v>3.0986349249722145</v>
      </c>
      <c r="BC58" s="100">
        <v>3647.7130336772912</v>
      </c>
      <c r="BD58" s="100">
        <v>5.0200426676897161</v>
      </c>
      <c r="BE58" s="100">
        <v>5909.594228404334</v>
      </c>
      <c r="BF58" s="100">
        <v>5</v>
      </c>
      <c r="BG58" s="100">
        <v>5886</v>
      </c>
      <c r="BH58" s="100">
        <v>6</v>
      </c>
      <c r="BI58" s="100">
        <v>7063.2000000000007</v>
      </c>
      <c r="BJ58" s="100">
        <v>6</v>
      </c>
      <c r="BK58" s="100">
        <v>7063.2000000000007</v>
      </c>
      <c r="BL58" s="100">
        <v>5.0858201747489957</v>
      </c>
      <c r="BM58" s="100">
        <v>5987.0275097145177</v>
      </c>
      <c r="BN58" s="100">
        <v>5</v>
      </c>
      <c r="BO58" s="100">
        <v>5886</v>
      </c>
      <c r="BP58" s="100">
        <v>3</v>
      </c>
      <c r="BQ58" s="100">
        <v>3531.6000000000004</v>
      </c>
      <c r="BR58" s="100">
        <v>6</v>
      </c>
      <c r="BS58" s="100">
        <v>7063.2000000000007</v>
      </c>
      <c r="BT58" s="100">
        <v>3.7235600578053072</v>
      </c>
      <c r="BU58" s="100">
        <v>4383.3749000484077</v>
      </c>
      <c r="BV58" s="100">
        <v>0.95428638330840554</v>
      </c>
      <c r="BW58" s="100">
        <v>1123.385930430655</v>
      </c>
      <c r="BX58" s="100">
        <v>4.8695083986362819</v>
      </c>
      <c r="BY58" s="100">
        <v>5732.3852868746317</v>
      </c>
      <c r="BZ58" s="100">
        <v>5</v>
      </c>
      <c r="CA58" s="100">
        <v>5886</v>
      </c>
      <c r="CB58" s="100">
        <v>7</v>
      </c>
      <c r="CC58" s="100">
        <v>8240.4</v>
      </c>
      <c r="CD58" s="100">
        <v>4</v>
      </c>
      <c r="CE58" s="100">
        <v>4708.8</v>
      </c>
      <c r="CF58" s="100">
        <v>4</v>
      </c>
      <c r="CG58" s="100">
        <v>4708.8</v>
      </c>
      <c r="CH58" s="100">
        <v>6</v>
      </c>
      <c r="CI58" s="100">
        <v>7063.2000000000007</v>
      </c>
      <c r="CJ58" s="100">
        <v>6</v>
      </c>
      <c r="CK58" s="100">
        <v>7063.2000000000007</v>
      </c>
      <c r="CL58" s="100">
        <v>6.3856212751471038</v>
      </c>
      <c r="CM58" s="100">
        <v>7517.1533651031705</v>
      </c>
      <c r="CN58" s="100">
        <v>3.4712389296626585</v>
      </c>
      <c r="CO58" s="100">
        <v>4086.3424679988816</v>
      </c>
      <c r="CP58" s="100">
        <v>4.4810712357854543</v>
      </c>
      <c r="CQ58" s="100">
        <v>5275.1170587666375</v>
      </c>
      <c r="CR58" s="100">
        <v>5.1576953799376435</v>
      </c>
      <c r="CS58" s="100">
        <v>6071.6390012625943</v>
      </c>
      <c r="CT58" s="100">
        <v>4.2350917284063234</v>
      </c>
      <c r="CU58" s="100">
        <v>4985.5499826799241</v>
      </c>
    </row>
    <row r="59" spans="2:99">
      <c r="C59" s="99" t="s">
        <v>225</v>
      </c>
      <c r="D59" s="100">
        <v>3.2356499844765252</v>
      </c>
      <c r="E59" s="100">
        <v>982.34333528707293</v>
      </c>
      <c r="F59" s="100">
        <v>3.9910907762723395</v>
      </c>
      <c r="G59" s="100">
        <v>1211.6951596762822</v>
      </c>
      <c r="H59" s="100">
        <v>1.5419515290107995</v>
      </c>
      <c r="I59" s="100">
        <v>468.13648420767868</v>
      </c>
      <c r="J59" s="100">
        <v>6</v>
      </c>
      <c r="K59" s="100">
        <v>1821.6</v>
      </c>
      <c r="L59" s="100">
        <v>5</v>
      </c>
      <c r="M59" s="100">
        <v>1517.9999999999998</v>
      </c>
      <c r="N59" s="100">
        <v>6</v>
      </c>
      <c r="O59" s="100">
        <v>1821.6</v>
      </c>
      <c r="P59" s="100">
        <v>7</v>
      </c>
      <c r="Q59" s="100">
        <v>2125.1999999999998</v>
      </c>
      <c r="R59" s="100">
        <v>7</v>
      </c>
      <c r="S59" s="100">
        <v>2125.1999999999998</v>
      </c>
      <c r="T59" s="100">
        <v>6.3785421073444359</v>
      </c>
      <c r="U59" s="100">
        <v>1936.5253837897706</v>
      </c>
      <c r="V59" s="100">
        <v>5.0754980336647932</v>
      </c>
      <c r="W59" s="100">
        <v>1540.9212030206311</v>
      </c>
      <c r="X59" s="100">
        <v>6</v>
      </c>
      <c r="Y59" s="100">
        <v>1821.6</v>
      </c>
      <c r="Z59" s="100">
        <v>6</v>
      </c>
      <c r="AA59" s="100">
        <v>1821.6</v>
      </c>
      <c r="AB59" s="100">
        <v>7</v>
      </c>
      <c r="AC59" s="100">
        <v>2125.1999999999998</v>
      </c>
      <c r="AD59" s="100">
        <v>3.1220817824783791</v>
      </c>
      <c r="AE59" s="100">
        <v>947.86402916043573</v>
      </c>
      <c r="AF59" s="100">
        <v>2.1158467292450092</v>
      </c>
      <c r="AG59" s="100">
        <v>642.37106699878473</v>
      </c>
      <c r="AH59" s="100">
        <v>1.4311336573159767</v>
      </c>
      <c r="AI59" s="100">
        <v>434.49217836113047</v>
      </c>
      <c r="AJ59" s="100">
        <v>6</v>
      </c>
      <c r="AK59" s="100">
        <v>1821.6</v>
      </c>
      <c r="AL59" s="100">
        <v>5</v>
      </c>
      <c r="AM59" s="100">
        <v>1517.9999999999998</v>
      </c>
      <c r="AN59" s="100">
        <v>5</v>
      </c>
      <c r="AO59" s="100">
        <v>1517.9999999999998</v>
      </c>
      <c r="AP59" s="100">
        <v>4</v>
      </c>
      <c r="AQ59" s="100">
        <v>1214.3999999999999</v>
      </c>
      <c r="AR59" s="100">
        <v>5</v>
      </c>
      <c r="AS59" s="100">
        <v>1517.9999999999998</v>
      </c>
      <c r="AT59" s="100">
        <v>5</v>
      </c>
      <c r="AU59" s="100">
        <v>1517.9999999999998</v>
      </c>
      <c r="AV59" s="100">
        <v>7</v>
      </c>
      <c r="AW59" s="100">
        <v>2125.1999999999998</v>
      </c>
      <c r="AX59" s="100">
        <v>5</v>
      </c>
      <c r="AY59" s="100">
        <v>1517.9999999999998</v>
      </c>
      <c r="AZ59" s="100">
        <v>5</v>
      </c>
      <c r="BA59" s="100">
        <v>1517.9999999999998</v>
      </c>
      <c r="BB59" s="100">
        <v>4</v>
      </c>
      <c r="BC59" s="100">
        <v>1214.3999999999999</v>
      </c>
      <c r="BD59" s="100">
        <v>2.1634857970513073</v>
      </c>
      <c r="BE59" s="100">
        <v>656.83428798477678</v>
      </c>
      <c r="BF59" s="100">
        <v>5</v>
      </c>
      <c r="BG59" s="100">
        <v>1517.9999999999998</v>
      </c>
      <c r="BH59" s="100">
        <v>5.2977491451015393</v>
      </c>
      <c r="BI59" s="100">
        <v>1608.3966404528271</v>
      </c>
      <c r="BJ59" s="100">
        <v>1.676516346399155</v>
      </c>
      <c r="BK59" s="100">
        <v>508.99036276678339</v>
      </c>
      <c r="BL59" s="100">
        <v>6.1758861853576468</v>
      </c>
      <c r="BM59" s="100">
        <v>1874.9990458745813</v>
      </c>
      <c r="BN59" s="100">
        <v>4.6273418355823717</v>
      </c>
      <c r="BO59" s="100">
        <v>1404.8609812828079</v>
      </c>
      <c r="BP59" s="100">
        <v>3</v>
      </c>
      <c r="BQ59" s="100">
        <v>910.8</v>
      </c>
      <c r="BR59" s="100">
        <v>6</v>
      </c>
      <c r="BS59" s="100">
        <v>1821.6</v>
      </c>
      <c r="BT59" s="100">
        <v>4</v>
      </c>
      <c r="BU59" s="100">
        <v>1214.3999999999999</v>
      </c>
      <c r="BV59" s="100">
        <v>4.1086635970997474</v>
      </c>
      <c r="BW59" s="100">
        <v>1247.3902680794831</v>
      </c>
      <c r="BX59" s="100">
        <v>1.2653632736254201</v>
      </c>
      <c r="BY59" s="100">
        <v>384.1642898726775</v>
      </c>
      <c r="BZ59" s="100">
        <v>6</v>
      </c>
      <c r="CA59" s="100">
        <v>1821.6</v>
      </c>
      <c r="CB59" s="100">
        <v>6</v>
      </c>
      <c r="CC59" s="100">
        <v>1821.6</v>
      </c>
      <c r="CD59" s="100">
        <v>4</v>
      </c>
      <c r="CE59" s="100">
        <v>1214.3999999999999</v>
      </c>
      <c r="CF59" s="100">
        <v>5</v>
      </c>
      <c r="CG59" s="100">
        <v>1517.9999999999998</v>
      </c>
      <c r="CH59" s="100">
        <v>4.076043578917389</v>
      </c>
      <c r="CI59" s="100">
        <v>1237.4868305593191</v>
      </c>
      <c r="CJ59" s="100">
        <v>5.0596543645425571</v>
      </c>
      <c r="CK59" s="100">
        <v>1536.1110650751202</v>
      </c>
      <c r="CL59" s="100">
        <v>4.3353037127826454E-4</v>
      </c>
      <c r="CM59" s="100">
        <v>0.1316198207200811</v>
      </c>
      <c r="CN59" s="100">
        <v>3</v>
      </c>
      <c r="CO59" s="100">
        <v>910.8</v>
      </c>
      <c r="CP59" s="100">
        <v>6</v>
      </c>
      <c r="CQ59" s="100">
        <v>1821.6</v>
      </c>
      <c r="CR59" s="100">
        <v>5.3179661642365508</v>
      </c>
      <c r="CS59" s="100">
        <v>1614.5345274622166</v>
      </c>
      <c r="CT59" s="100">
        <v>4.9585657257048972</v>
      </c>
      <c r="CU59" s="100">
        <v>1505.4205543240066</v>
      </c>
    </row>
    <row r="60" spans="2:99">
      <c r="C60" s="99" t="s">
        <v>226</v>
      </c>
      <c r="D60" s="100">
        <v>3.8827799813718302</v>
      </c>
      <c r="E60" s="100">
        <v>2530.0194358618846</v>
      </c>
      <c r="F60" s="100">
        <v>4.0226647161708335</v>
      </c>
      <c r="G60" s="100">
        <v>2621.1683290569154</v>
      </c>
      <c r="H60" s="100">
        <v>1.5419515290107995</v>
      </c>
      <c r="I60" s="100">
        <v>1004.7356163034369</v>
      </c>
      <c r="J60" s="100">
        <v>6</v>
      </c>
      <c r="K60" s="100">
        <v>3909.6000000000004</v>
      </c>
      <c r="L60" s="100">
        <v>5</v>
      </c>
      <c r="M60" s="100">
        <v>3258</v>
      </c>
      <c r="N60" s="100">
        <v>6</v>
      </c>
      <c r="O60" s="100">
        <v>3909.6000000000004</v>
      </c>
      <c r="P60" s="100">
        <v>7</v>
      </c>
      <c r="Q60" s="100">
        <v>4561.2</v>
      </c>
      <c r="R60" s="100">
        <v>6</v>
      </c>
      <c r="S60" s="100">
        <v>3909.6000000000004</v>
      </c>
      <c r="T60" s="100">
        <v>6.3785421073444359</v>
      </c>
      <c r="U60" s="100">
        <v>4156.2580371456343</v>
      </c>
      <c r="V60" s="100">
        <v>5.0754980336647932</v>
      </c>
      <c r="W60" s="100">
        <v>3307.1945187359793</v>
      </c>
      <c r="X60" s="100">
        <v>5</v>
      </c>
      <c r="Y60" s="100">
        <v>3258</v>
      </c>
      <c r="Z60" s="100">
        <v>7</v>
      </c>
      <c r="AA60" s="100">
        <v>4561.2</v>
      </c>
      <c r="AB60" s="100">
        <v>7</v>
      </c>
      <c r="AC60" s="100">
        <v>4561.2</v>
      </c>
      <c r="AD60" s="100">
        <v>2.4006936180001315</v>
      </c>
      <c r="AE60" s="100">
        <v>1564.2919614888858</v>
      </c>
      <c r="AF60" s="100">
        <v>2.135889923441824</v>
      </c>
      <c r="AG60" s="100">
        <v>1391.7458741146927</v>
      </c>
      <c r="AH60" s="100">
        <v>1.4311336573159767</v>
      </c>
      <c r="AI60" s="100">
        <v>932.52669110709053</v>
      </c>
      <c r="AJ60" s="100">
        <v>7</v>
      </c>
      <c r="AK60" s="100">
        <v>4561.2</v>
      </c>
      <c r="AL60" s="100">
        <v>5</v>
      </c>
      <c r="AM60" s="100">
        <v>3258</v>
      </c>
      <c r="AN60" s="100">
        <v>5</v>
      </c>
      <c r="AO60" s="100">
        <v>3258</v>
      </c>
      <c r="AP60" s="100">
        <v>4</v>
      </c>
      <c r="AQ60" s="100">
        <v>2606.4</v>
      </c>
      <c r="AR60" s="100">
        <v>5</v>
      </c>
      <c r="AS60" s="100">
        <v>3258</v>
      </c>
      <c r="AT60" s="100">
        <v>5</v>
      </c>
      <c r="AU60" s="100">
        <v>3258</v>
      </c>
      <c r="AV60" s="100">
        <v>6</v>
      </c>
      <c r="AW60" s="100">
        <v>3909.6000000000004</v>
      </c>
      <c r="AX60" s="100">
        <v>5</v>
      </c>
      <c r="AY60" s="100">
        <v>3258</v>
      </c>
      <c r="AZ60" s="100">
        <v>5</v>
      </c>
      <c r="BA60" s="100">
        <v>3258</v>
      </c>
      <c r="BB60" s="100">
        <v>4</v>
      </c>
      <c r="BC60" s="100">
        <v>2606.4</v>
      </c>
      <c r="BD60" s="100">
        <v>1.8544163974725489</v>
      </c>
      <c r="BE60" s="100">
        <v>1208.3377245931129</v>
      </c>
      <c r="BF60" s="100">
        <v>5</v>
      </c>
      <c r="BG60" s="100">
        <v>3258</v>
      </c>
      <c r="BH60" s="100">
        <v>6.2977491451015393</v>
      </c>
      <c r="BI60" s="100">
        <v>4103.6133429481633</v>
      </c>
      <c r="BJ60" s="100">
        <v>1.4370140111992757</v>
      </c>
      <c r="BK60" s="100">
        <v>936.35832969744808</v>
      </c>
      <c r="BL60" s="100">
        <v>5.1758861853576468</v>
      </c>
      <c r="BM60" s="100">
        <v>3372.6074383790428</v>
      </c>
      <c r="BN60" s="100">
        <v>3.8561181963186431</v>
      </c>
      <c r="BO60" s="100">
        <v>2512.6466167212279</v>
      </c>
      <c r="BP60" s="100">
        <v>3</v>
      </c>
      <c r="BQ60" s="100">
        <v>1954.8000000000002</v>
      </c>
      <c r="BR60" s="100">
        <v>6</v>
      </c>
      <c r="BS60" s="100">
        <v>3909.6000000000004</v>
      </c>
      <c r="BT60" s="100">
        <v>5</v>
      </c>
      <c r="BU60" s="100">
        <v>3258</v>
      </c>
      <c r="BV60" s="100">
        <v>4.1086635970997474</v>
      </c>
      <c r="BW60" s="100">
        <v>2677.2051998701954</v>
      </c>
      <c r="BX60" s="100">
        <v>1.2653632736254201</v>
      </c>
      <c r="BY60" s="100">
        <v>824.51070909432383</v>
      </c>
      <c r="BZ60" s="100">
        <v>6</v>
      </c>
      <c r="CA60" s="100">
        <v>3909.6000000000004</v>
      </c>
      <c r="CB60" s="100">
        <v>6</v>
      </c>
      <c r="CC60" s="100">
        <v>3909.6000000000004</v>
      </c>
      <c r="CD60" s="100">
        <v>4</v>
      </c>
      <c r="CE60" s="100">
        <v>2606.4</v>
      </c>
      <c r="CF60" s="100">
        <v>5</v>
      </c>
      <c r="CG60" s="100">
        <v>3258</v>
      </c>
      <c r="CH60" s="100">
        <v>4.7553841754036199</v>
      </c>
      <c r="CI60" s="100">
        <v>3098.6083286929988</v>
      </c>
      <c r="CJ60" s="100">
        <v>5.8948197652675969</v>
      </c>
      <c r="CK60" s="100">
        <v>3841.0645590483664</v>
      </c>
      <c r="CL60" s="100">
        <v>4.3353037127826454E-4</v>
      </c>
      <c r="CM60" s="100">
        <v>0.2824883899249172</v>
      </c>
      <c r="CN60" s="100">
        <v>3</v>
      </c>
      <c r="CO60" s="100">
        <v>1954.8000000000002</v>
      </c>
      <c r="CP60" s="100">
        <v>6</v>
      </c>
      <c r="CQ60" s="100">
        <v>3909.6000000000004</v>
      </c>
      <c r="CR60" s="100">
        <v>5.3179661642365508</v>
      </c>
      <c r="CS60" s="100">
        <v>3465.1867526165365</v>
      </c>
      <c r="CT60" s="100">
        <v>5.9502788708458763</v>
      </c>
      <c r="CU60" s="100">
        <v>3877.201712243173</v>
      </c>
    </row>
    <row r="61" spans="2:99">
      <c r="C61" s="99" t="s">
        <v>227</v>
      </c>
      <c r="D61" s="100">
        <v>3.8827799813718302</v>
      </c>
      <c r="E61" s="100">
        <v>3694.8534302734333</v>
      </c>
      <c r="F61" s="100">
        <v>3.9910907762723395</v>
      </c>
      <c r="G61" s="100">
        <v>3797.9219827007578</v>
      </c>
      <c r="H61" s="100">
        <v>1.5419515290107995</v>
      </c>
      <c r="I61" s="100">
        <v>1467.3210750066767</v>
      </c>
      <c r="J61" s="100">
        <v>5</v>
      </c>
      <c r="K61" s="100">
        <v>4758</v>
      </c>
      <c r="L61" s="100">
        <v>5</v>
      </c>
      <c r="M61" s="100">
        <v>4758</v>
      </c>
      <c r="N61" s="100">
        <v>6</v>
      </c>
      <c r="O61" s="100">
        <v>5709.5999999999995</v>
      </c>
      <c r="P61" s="100">
        <v>7</v>
      </c>
      <c r="Q61" s="100">
        <v>6661.1999999999989</v>
      </c>
      <c r="R61" s="100">
        <v>6</v>
      </c>
      <c r="S61" s="100">
        <v>5709.5999999999995</v>
      </c>
      <c r="T61" s="100">
        <v>6.4258598707624905</v>
      </c>
      <c r="U61" s="100">
        <v>6114.8482530175852</v>
      </c>
      <c r="V61" s="100">
        <v>5.0754980336647932</v>
      </c>
      <c r="W61" s="100">
        <v>4829.8439288354166</v>
      </c>
      <c r="X61" s="100">
        <v>5</v>
      </c>
      <c r="Y61" s="100">
        <v>4758</v>
      </c>
      <c r="Z61" s="100">
        <v>6</v>
      </c>
      <c r="AA61" s="100">
        <v>5709.5999999999995</v>
      </c>
      <c r="AB61" s="100">
        <v>7</v>
      </c>
      <c r="AC61" s="100">
        <v>6661.1999999999989</v>
      </c>
      <c r="AD61" s="100">
        <v>2.4006936180001315</v>
      </c>
      <c r="AE61" s="100">
        <v>2284.5000468889248</v>
      </c>
      <c r="AF61" s="100">
        <v>2.135889923441824</v>
      </c>
      <c r="AG61" s="100">
        <v>2032.5128511472396</v>
      </c>
      <c r="AH61" s="100">
        <v>1.4311336573159767</v>
      </c>
      <c r="AI61" s="100">
        <v>1361.8667883018834</v>
      </c>
      <c r="AJ61" s="100">
        <v>6</v>
      </c>
      <c r="AK61" s="100">
        <v>5709.5999999999995</v>
      </c>
      <c r="AL61" s="100">
        <v>5</v>
      </c>
      <c r="AM61" s="100">
        <v>4758</v>
      </c>
      <c r="AN61" s="100">
        <v>5</v>
      </c>
      <c r="AO61" s="100">
        <v>4758</v>
      </c>
      <c r="AP61" s="100">
        <v>4</v>
      </c>
      <c r="AQ61" s="100">
        <v>3806.3999999999996</v>
      </c>
      <c r="AR61" s="100">
        <v>5</v>
      </c>
      <c r="AS61" s="100">
        <v>4758</v>
      </c>
      <c r="AT61" s="100">
        <v>6</v>
      </c>
      <c r="AU61" s="100">
        <v>5709.5999999999995</v>
      </c>
      <c r="AV61" s="100">
        <v>7</v>
      </c>
      <c r="AW61" s="100">
        <v>6661.1999999999989</v>
      </c>
      <c r="AX61" s="100">
        <v>5</v>
      </c>
      <c r="AY61" s="100">
        <v>4758</v>
      </c>
      <c r="AZ61" s="100">
        <v>5</v>
      </c>
      <c r="BA61" s="100">
        <v>4758</v>
      </c>
      <c r="BB61" s="100">
        <v>4</v>
      </c>
      <c r="BC61" s="100">
        <v>3806.3999999999996</v>
      </c>
      <c r="BD61" s="100">
        <v>1.8544163974725489</v>
      </c>
      <c r="BE61" s="100">
        <v>1764.6626438348774</v>
      </c>
      <c r="BF61" s="100">
        <v>5</v>
      </c>
      <c r="BG61" s="100">
        <v>4758</v>
      </c>
      <c r="BH61" s="100">
        <v>5.2646659067569237</v>
      </c>
      <c r="BI61" s="100">
        <v>5009.8560768698881</v>
      </c>
      <c r="BJ61" s="100">
        <v>1.4370140111992757</v>
      </c>
      <c r="BK61" s="100">
        <v>1367.4625330572308</v>
      </c>
      <c r="BL61" s="100">
        <v>5.1539004121879408</v>
      </c>
      <c r="BM61" s="100">
        <v>4904.4516322380441</v>
      </c>
      <c r="BN61" s="100">
        <v>3.8561181963186431</v>
      </c>
      <c r="BO61" s="100">
        <v>3669.4820756168206</v>
      </c>
      <c r="BP61" s="100">
        <v>3</v>
      </c>
      <c r="BQ61" s="100">
        <v>2854.7999999999997</v>
      </c>
      <c r="BR61" s="100">
        <v>6</v>
      </c>
      <c r="BS61" s="100">
        <v>5709.5999999999995</v>
      </c>
      <c r="BT61" s="100">
        <v>5</v>
      </c>
      <c r="BU61" s="100">
        <v>4758</v>
      </c>
      <c r="BV61" s="100">
        <v>3.2013680620512512</v>
      </c>
      <c r="BW61" s="100">
        <v>3046.4218478479702</v>
      </c>
      <c r="BX61" s="100">
        <v>1.2653632736254201</v>
      </c>
      <c r="BY61" s="100">
        <v>1204.1196911819497</v>
      </c>
      <c r="BZ61" s="100">
        <v>5</v>
      </c>
      <c r="CA61" s="100">
        <v>4758</v>
      </c>
      <c r="CB61" s="100">
        <v>6</v>
      </c>
      <c r="CC61" s="100">
        <v>5709.5999999999995</v>
      </c>
      <c r="CD61" s="100">
        <v>4</v>
      </c>
      <c r="CE61" s="100">
        <v>3806.3999999999996</v>
      </c>
      <c r="CF61" s="100">
        <v>4</v>
      </c>
      <c r="CG61" s="100">
        <v>3806.3999999999996</v>
      </c>
      <c r="CH61" s="100">
        <v>4.076043578917389</v>
      </c>
      <c r="CI61" s="100">
        <v>3878.7630696977872</v>
      </c>
      <c r="CJ61" s="100">
        <v>5.0596543645425571</v>
      </c>
      <c r="CK61" s="100">
        <v>4814.7670932986966</v>
      </c>
      <c r="CL61" s="100">
        <v>5.0578543315797533E-4</v>
      </c>
      <c r="CM61" s="100">
        <v>0.48130541819312928</v>
      </c>
      <c r="CN61" s="100">
        <v>3</v>
      </c>
      <c r="CO61" s="100">
        <v>2854.7999999999997</v>
      </c>
      <c r="CP61" s="100">
        <v>6</v>
      </c>
      <c r="CQ61" s="100">
        <v>5709.5999999999995</v>
      </c>
      <c r="CR61" s="100">
        <v>4.2890601493059552</v>
      </c>
      <c r="CS61" s="100">
        <v>4081.4696380795467</v>
      </c>
      <c r="CT61" s="100">
        <v>4.9585657257048972</v>
      </c>
      <c r="CU61" s="100">
        <v>4718.5711445807801</v>
      </c>
    </row>
    <row r="62" spans="2:99">
      <c r="C62" s="99" t="s">
        <v>228</v>
      </c>
      <c r="D62" s="100">
        <v>5</v>
      </c>
      <c r="E62" s="100">
        <v>8346</v>
      </c>
      <c r="F62" s="100">
        <v>4</v>
      </c>
      <c r="G62" s="100">
        <v>6676.8</v>
      </c>
      <c r="H62" s="100">
        <v>6</v>
      </c>
      <c r="I62" s="100">
        <v>10015.200000000001</v>
      </c>
      <c r="J62" s="100">
        <v>5</v>
      </c>
      <c r="K62" s="100">
        <v>8346</v>
      </c>
      <c r="L62" s="100">
        <v>4.3626214546836461</v>
      </c>
      <c r="M62" s="100">
        <v>7282.0877321579419</v>
      </c>
      <c r="N62" s="100">
        <v>2.5683605966872953</v>
      </c>
      <c r="O62" s="100">
        <v>4287.1075079904331</v>
      </c>
      <c r="P62" s="100">
        <v>4.5112781954887184</v>
      </c>
      <c r="Q62" s="100">
        <v>7530.2255639097693</v>
      </c>
      <c r="R62" s="100">
        <v>4.825237571704676</v>
      </c>
      <c r="S62" s="100">
        <v>8054.2865546894454</v>
      </c>
      <c r="T62" s="100">
        <v>3.7454388360865973</v>
      </c>
      <c r="U62" s="100">
        <v>6251.8865051957482</v>
      </c>
      <c r="V62" s="100">
        <v>0.34864556663997109</v>
      </c>
      <c r="W62" s="100">
        <v>581.95917983543973</v>
      </c>
      <c r="X62" s="100">
        <v>5</v>
      </c>
      <c r="Y62" s="100">
        <v>8346</v>
      </c>
      <c r="Z62" s="100">
        <v>6</v>
      </c>
      <c r="AA62" s="100">
        <v>10015.200000000001</v>
      </c>
      <c r="AB62" s="100">
        <v>6</v>
      </c>
      <c r="AC62" s="100">
        <v>10015.200000000001</v>
      </c>
      <c r="AD62" s="100">
        <v>3</v>
      </c>
      <c r="AE62" s="100">
        <v>5007.6000000000004</v>
      </c>
      <c r="AF62" s="100">
        <v>3.5203015626783909</v>
      </c>
      <c r="AG62" s="100">
        <v>5876.0873684227699</v>
      </c>
      <c r="AH62" s="100">
        <v>0.31315470057482431</v>
      </c>
      <c r="AI62" s="100">
        <v>522.7178261994967</v>
      </c>
      <c r="AJ62" s="100">
        <v>7.339733219376698</v>
      </c>
      <c r="AK62" s="100">
        <v>12251.482689783585</v>
      </c>
      <c r="AL62" s="100">
        <v>4.1359080134902841</v>
      </c>
      <c r="AM62" s="100">
        <v>6903.6576561179827</v>
      </c>
      <c r="AN62" s="100">
        <v>4</v>
      </c>
      <c r="AO62" s="100">
        <v>6676.8</v>
      </c>
      <c r="AP62" s="100">
        <v>3.3377483443708567</v>
      </c>
      <c r="AQ62" s="100">
        <v>5571.3695364238338</v>
      </c>
      <c r="AR62" s="100">
        <v>4.3536683687180897</v>
      </c>
      <c r="AS62" s="100">
        <v>7267.1432410642356</v>
      </c>
      <c r="AT62" s="100">
        <v>4.8766245021007375</v>
      </c>
      <c r="AU62" s="100">
        <v>8140.0616189065513</v>
      </c>
      <c r="AV62" s="100">
        <v>4.4264372311302278</v>
      </c>
      <c r="AW62" s="100">
        <v>7388.6090262025764</v>
      </c>
      <c r="AX62" s="100">
        <v>4.3478260869565188</v>
      </c>
      <c r="AY62" s="100">
        <v>7257.3913043478215</v>
      </c>
      <c r="AZ62" s="100">
        <v>5.4636525453898201</v>
      </c>
      <c r="BA62" s="100">
        <v>9119.9288287646887</v>
      </c>
      <c r="BB62" s="100">
        <v>2.2332694981690508</v>
      </c>
      <c r="BC62" s="100">
        <v>3727.7734463437796</v>
      </c>
      <c r="BD62" s="100">
        <v>5</v>
      </c>
      <c r="BE62" s="100">
        <v>8346</v>
      </c>
      <c r="BF62" s="100">
        <v>4</v>
      </c>
      <c r="BG62" s="100">
        <v>6676.8</v>
      </c>
      <c r="BH62" s="100">
        <v>6.3637666132528974</v>
      </c>
      <c r="BI62" s="100">
        <v>10622.399230841736</v>
      </c>
      <c r="BJ62" s="100">
        <v>1.0612212795468583</v>
      </c>
      <c r="BK62" s="100">
        <v>1771.3905598196159</v>
      </c>
      <c r="BL62" s="100">
        <v>4.1254016536095861</v>
      </c>
      <c r="BM62" s="100">
        <v>6886.1204402051217</v>
      </c>
      <c r="BN62" s="100">
        <v>3.9473684210526288</v>
      </c>
      <c r="BO62" s="100">
        <v>6588.9473684210479</v>
      </c>
      <c r="BP62" s="100">
        <v>3.4266262844780968</v>
      </c>
      <c r="BQ62" s="100">
        <v>5719.7245940508392</v>
      </c>
      <c r="BR62" s="100">
        <v>3.3105576192360289</v>
      </c>
      <c r="BS62" s="100">
        <v>5525.9827780287796</v>
      </c>
      <c r="BT62" s="100">
        <v>4.0060124451147443</v>
      </c>
      <c r="BU62" s="100">
        <v>6686.8359733855314</v>
      </c>
      <c r="BV62" s="100">
        <v>2.1441801019596967</v>
      </c>
      <c r="BW62" s="100">
        <v>3579.0654261911259</v>
      </c>
      <c r="BX62" s="100">
        <v>0.92514079808607996</v>
      </c>
      <c r="BY62" s="100">
        <v>1544.2450201652848</v>
      </c>
      <c r="BZ62" s="100">
        <v>3.7548428271343175</v>
      </c>
      <c r="CA62" s="100">
        <v>6267.5836470526028</v>
      </c>
      <c r="CB62" s="100">
        <v>5.7746900165229196</v>
      </c>
      <c r="CC62" s="100">
        <v>9639.1125755800567</v>
      </c>
      <c r="CD62" s="100">
        <v>3.3704104167549613</v>
      </c>
      <c r="CE62" s="100">
        <v>5625.889067647382</v>
      </c>
      <c r="CF62" s="100">
        <v>0.22349074784613529</v>
      </c>
      <c r="CG62" s="100">
        <v>373.05075630476904</v>
      </c>
      <c r="CH62" s="100">
        <v>5.4351239669421485</v>
      </c>
      <c r="CI62" s="100">
        <v>9072.3089256198346</v>
      </c>
      <c r="CJ62" s="100">
        <v>5.4082484105736217</v>
      </c>
      <c r="CK62" s="100">
        <v>9027.448246929489</v>
      </c>
      <c r="CL62" s="100">
        <v>7</v>
      </c>
      <c r="CM62" s="100">
        <v>11684.4</v>
      </c>
      <c r="CN62" s="100">
        <v>3.3136502663457224</v>
      </c>
      <c r="CO62" s="100">
        <v>5531.1450245842798</v>
      </c>
      <c r="CP62" s="100">
        <v>5</v>
      </c>
      <c r="CQ62" s="100">
        <v>8346</v>
      </c>
      <c r="CR62" s="100">
        <v>5</v>
      </c>
      <c r="CS62" s="100">
        <v>8346</v>
      </c>
      <c r="CT62" s="100">
        <v>4.5025507081837111</v>
      </c>
      <c r="CU62" s="100">
        <v>7515.657642100251</v>
      </c>
    </row>
    <row r="63" spans="2:99">
      <c r="C63" s="99" t="s">
        <v>229</v>
      </c>
      <c r="D63" s="100">
        <v>3.8827799813718302</v>
      </c>
      <c r="E63" s="100">
        <v>3089.1397531794282</v>
      </c>
      <c r="F63" s="100">
        <v>3.2307613488960643</v>
      </c>
      <c r="G63" s="100">
        <v>2570.3937291817087</v>
      </c>
      <c r="H63" s="100">
        <v>1.5419515290107995</v>
      </c>
      <c r="I63" s="100">
        <v>1226.776636480992</v>
      </c>
      <c r="J63" s="100">
        <v>6</v>
      </c>
      <c r="K63" s="100">
        <v>4773.6000000000004</v>
      </c>
      <c r="L63" s="100">
        <v>5</v>
      </c>
      <c r="M63" s="100">
        <v>3978</v>
      </c>
      <c r="N63" s="100">
        <v>6</v>
      </c>
      <c r="O63" s="100">
        <v>4773.6000000000004</v>
      </c>
      <c r="P63" s="100">
        <v>6</v>
      </c>
      <c r="Q63" s="100">
        <v>4773.6000000000004</v>
      </c>
      <c r="R63" s="100">
        <v>6</v>
      </c>
      <c r="S63" s="100">
        <v>4773.6000000000004</v>
      </c>
      <c r="T63" s="100">
        <v>6.4258598707624905</v>
      </c>
      <c r="U63" s="100">
        <v>5112.4141131786373</v>
      </c>
      <c r="V63" s="100">
        <v>5.0754980336647932</v>
      </c>
      <c r="W63" s="100">
        <v>4038.0662355837098</v>
      </c>
      <c r="X63" s="100">
        <v>6</v>
      </c>
      <c r="Y63" s="100">
        <v>4773.6000000000004</v>
      </c>
      <c r="Z63" s="100">
        <v>7</v>
      </c>
      <c r="AA63" s="100">
        <v>5569.2</v>
      </c>
      <c r="AB63" s="100">
        <v>7</v>
      </c>
      <c r="AC63" s="100">
        <v>5569.2</v>
      </c>
      <c r="AD63" s="100">
        <v>2.4006936180001315</v>
      </c>
      <c r="AE63" s="100">
        <v>1909.9918424809046</v>
      </c>
      <c r="AF63" s="100">
        <v>2.1158467292450092</v>
      </c>
      <c r="AG63" s="100">
        <v>1683.3676577873293</v>
      </c>
      <c r="AH63" s="100">
        <v>1.4311336573159767</v>
      </c>
      <c r="AI63" s="100">
        <v>1138.609937760591</v>
      </c>
      <c r="AJ63" s="100">
        <v>6</v>
      </c>
      <c r="AK63" s="100">
        <v>4773.6000000000004</v>
      </c>
      <c r="AL63" s="100">
        <v>5</v>
      </c>
      <c r="AM63" s="100">
        <v>3978</v>
      </c>
      <c r="AN63" s="100">
        <v>5</v>
      </c>
      <c r="AO63" s="100">
        <v>3978</v>
      </c>
      <c r="AP63" s="100">
        <v>4</v>
      </c>
      <c r="AQ63" s="100">
        <v>3182.4</v>
      </c>
      <c r="AR63" s="100">
        <v>5</v>
      </c>
      <c r="AS63" s="100">
        <v>3978</v>
      </c>
      <c r="AT63" s="100">
        <v>6</v>
      </c>
      <c r="AU63" s="100">
        <v>4773.6000000000004</v>
      </c>
      <c r="AV63" s="100">
        <v>6</v>
      </c>
      <c r="AW63" s="100">
        <v>4773.6000000000004</v>
      </c>
      <c r="AX63" s="100">
        <v>5</v>
      </c>
      <c r="AY63" s="100">
        <v>3978</v>
      </c>
      <c r="AZ63" s="100">
        <v>5</v>
      </c>
      <c r="BA63" s="100">
        <v>3978</v>
      </c>
      <c r="BB63" s="100">
        <v>4</v>
      </c>
      <c r="BC63" s="100">
        <v>3182.4</v>
      </c>
      <c r="BD63" s="100">
        <v>2.1634857970513073</v>
      </c>
      <c r="BE63" s="100">
        <v>1721.2693001340201</v>
      </c>
      <c r="BF63" s="100">
        <v>5</v>
      </c>
      <c r="BG63" s="100">
        <v>3978</v>
      </c>
      <c r="BH63" s="100">
        <v>6.2646659067569237</v>
      </c>
      <c r="BI63" s="100">
        <v>4984.1681954158084</v>
      </c>
      <c r="BJ63" s="100">
        <v>1.4370140111992757</v>
      </c>
      <c r="BK63" s="100">
        <v>1143.2883473101438</v>
      </c>
      <c r="BL63" s="100">
        <v>5.1539004121879408</v>
      </c>
      <c r="BM63" s="100">
        <v>4100.4431679367262</v>
      </c>
      <c r="BN63" s="100">
        <v>3.8561181963186431</v>
      </c>
      <c r="BO63" s="100">
        <v>3067.9276369911126</v>
      </c>
      <c r="BP63" s="100">
        <v>4</v>
      </c>
      <c r="BQ63" s="100">
        <v>3182.4</v>
      </c>
      <c r="BR63" s="100">
        <v>6</v>
      </c>
      <c r="BS63" s="100">
        <v>4773.6000000000004</v>
      </c>
      <c r="BT63" s="100">
        <v>4</v>
      </c>
      <c r="BU63" s="100">
        <v>3182.4</v>
      </c>
      <c r="BV63" s="100">
        <v>4.1522528204548168</v>
      </c>
      <c r="BW63" s="100">
        <v>3303.5323439538524</v>
      </c>
      <c r="BX63" s="100">
        <v>1.2653632736254201</v>
      </c>
      <c r="BY63" s="100">
        <v>1006.7230204963843</v>
      </c>
      <c r="BZ63" s="100">
        <v>5</v>
      </c>
      <c r="CA63" s="100">
        <v>3978</v>
      </c>
      <c r="CB63" s="100">
        <v>6</v>
      </c>
      <c r="CC63" s="100">
        <v>4773.6000000000004</v>
      </c>
      <c r="CD63" s="100">
        <v>4</v>
      </c>
      <c r="CE63" s="100">
        <v>3182.4</v>
      </c>
      <c r="CF63" s="100">
        <v>5</v>
      </c>
      <c r="CG63" s="100">
        <v>3978</v>
      </c>
      <c r="CH63" s="100">
        <v>4.7553841754036199</v>
      </c>
      <c r="CI63" s="100">
        <v>3783.3836499511203</v>
      </c>
      <c r="CJ63" s="100">
        <v>5.882654275219517</v>
      </c>
      <c r="CK63" s="100">
        <v>4680.2397413646477</v>
      </c>
      <c r="CL63" s="100">
        <v>5.0578543315797533E-4</v>
      </c>
      <c r="CM63" s="100">
        <v>0.40240289062048518</v>
      </c>
      <c r="CN63" s="100">
        <v>3</v>
      </c>
      <c r="CO63" s="100">
        <v>2386.8000000000002</v>
      </c>
      <c r="CP63" s="100">
        <v>6</v>
      </c>
      <c r="CQ63" s="100">
        <v>4773.6000000000004</v>
      </c>
      <c r="CR63" s="100">
        <v>4.2890601493059552</v>
      </c>
      <c r="CS63" s="100">
        <v>3412.3762547878182</v>
      </c>
      <c r="CT63" s="100">
        <v>4.9585657257048972</v>
      </c>
      <c r="CU63" s="100">
        <v>3945.0348913708162</v>
      </c>
    </row>
    <row r="64" spans="2:99">
      <c r="C64" s="99" t="s">
        <v>230</v>
      </c>
      <c r="D64" s="100">
        <v>3.2356499844765252</v>
      </c>
      <c r="E64" s="100">
        <v>3265.4179643337088</v>
      </c>
      <c r="F64" s="100">
        <v>3.2623352887945587</v>
      </c>
      <c r="G64" s="100">
        <v>3292.3487734514679</v>
      </c>
      <c r="H64" s="100">
        <v>1.5419515290107995</v>
      </c>
      <c r="I64" s="100">
        <v>1556.1374830776986</v>
      </c>
      <c r="J64" s="100">
        <v>6</v>
      </c>
      <c r="K64" s="100">
        <v>6055.1999999999989</v>
      </c>
      <c r="L64" s="100">
        <v>4</v>
      </c>
      <c r="M64" s="100">
        <v>4036.7999999999993</v>
      </c>
      <c r="N64" s="100">
        <v>6</v>
      </c>
      <c r="O64" s="100">
        <v>6055.1999999999989</v>
      </c>
      <c r="P64" s="100">
        <v>7</v>
      </c>
      <c r="Q64" s="100">
        <v>7064.3999999999987</v>
      </c>
      <c r="R64" s="100">
        <v>6</v>
      </c>
      <c r="S64" s="100">
        <v>6055.1999999999989</v>
      </c>
      <c r="T64" s="100">
        <v>6.4258598707624905</v>
      </c>
      <c r="U64" s="100">
        <v>6484.9777815735042</v>
      </c>
      <c r="V64" s="100">
        <v>5.0754980336647932</v>
      </c>
      <c r="W64" s="100">
        <v>5122.1926155745086</v>
      </c>
      <c r="X64" s="100">
        <v>5</v>
      </c>
      <c r="Y64" s="100">
        <v>5045.9999999999991</v>
      </c>
      <c r="Z64" s="100">
        <v>6</v>
      </c>
      <c r="AA64" s="100">
        <v>6055.1999999999989</v>
      </c>
      <c r="AB64" s="100">
        <v>7</v>
      </c>
      <c r="AC64" s="100">
        <v>7064.3999999999987</v>
      </c>
      <c r="AD64" s="100">
        <v>3.0958007686377806</v>
      </c>
      <c r="AE64" s="100">
        <v>3124.2821357092475</v>
      </c>
      <c r="AF64" s="100">
        <v>2.135889923441824</v>
      </c>
      <c r="AG64" s="100">
        <v>2155.5401107374882</v>
      </c>
      <c r="AH64" s="100">
        <v>1.4311336573159767</v>
      </c>
      <c r="AI64" s="100">
        <v>1444.3000869632835</v>
      </c>
      <c r="AJ64" s="100">
        <v>6</v>
      </c>
      <c r="AK64" s="100">
        <v>6055.1999999999989</v>
      </c>
      <c r="AL64" s="100">
        <v>4</v>
      </c>
      <c r="AM64" s="100">
        <v>4036.7999999999993</v>
      </c>
      <c r="AN64" s="100">
        <v>4</v>
      </c>
      <c r="AO64" s="100">
        <v>4036.7999999999993</v>
      </c>
      <c r="AP64" s="100">
        <v>4</v>
      </c>
      <c r="AQ64" s="100">
        <v>4036.7999999999993</v>
      </c>
      <c r="AR64" s="100">
        <v>5</v>
      </c>
      <c r="AS64" s="100">
        <v>5045.9999999999991</v>
      </c>
      <c r="AT64" s="100">
        <v>5</v>
      </c>
      <c r="AU64" s="100">
        <v>5045.9999999999991</v>
      </c>
      <c r="AV64" s="100">
        <v>6</v>
      </c>
      <c r="AW64" s="100">
        <v>6055.1999999999989</v>
      </c>
      <c r="AX64" s="100">
        <v>5</v>
      </c>
      <c r="AY64" s="100">
        <v>5045.9999999999991</v>
      </c>
      <c r="AZ64" s="100">
        <v>6.014210237730909</v>
      </c>
      <c r="BA64" s="100">
        <v>6069.5409719180325</v>
      </c>
      <c r="BB64" s="100">
        <v>4</v>
      </c>
      <c r="BC64" s="100">
        <v>4036.7999999999993</v>
      </c>
      <c r="BD64" s="100">
        <v>1.8544163974725489</v>
      </c>
      <c r="BE64" s="100">
        <v>1871.477028329296</v>
      </c>
      <c r="BF64" s="100">
        <v>5</v>
      </c>
      <c r="BG64" s="100">
        <v>5045.9999999999991</v>
      </c>
      <c r="BH64" s="100">
        <v>6.2646659067569237</v>
      </c>
      <c r="BI64" s="100">
        <v>6322.300833099086</v>
      </c>
      <c r="BJ64" s="100">
        <v>1.4370140111992757</v>
      </c>
      <c r="BK64" s="100">
        <v>1450.2345401023088</v>
      </c>
      <c r="BL64" s="100">
        <v>5.1539004121879408</v>
      </c>
      <c r="BM64" s="100">
        <v>5201.3162959800693</v>
      </c>
      <c r="BN64" s="100">
        <v>3.8561181963186431</v>
      </c>
      <c r="BO64" s="100">
        <v>3891.5944837247739</v>
      </c>
      <c r="BP64" s="100">
        <v>3</v>
      </c>
      <c r="BQ64" s="100">
        <v>3027.5999999999995</v>
      </c>
      <c r="BR64" s="100">
        <v>6</v>
      </c>
      <c r="BS64" s="100">
        <v>6055.1999999999989</v>
      </c>
      <c r="BT64" s="100">
        <v>5</v>
      </c>
      <c r="BU64" s="100">
        <v>5045.9999999999991</v>
      </c>
      <c r="BV64" s="100">
        <v>3.1577788386961818</v>
      </c>
      <c r="BW64" s="100">
        <v>3186.8304040121861</v>
      </c>
      <c r="BX64" s="100">
        <v>1.2653632736254201</v>
      </c>
      <c r="BY64" s="100">
        <v>1277.0046157427737</v>
      </c>
      <c r="BZ64" s="100">
        <v>5</v>
      </c>
      <c r="CA64" s="100">
        <v>5045.9999999999991</v>
      </c>
      <c r="CB64" s="100">
        <v>7</v>
      </c>
      <c r="CC64" s="100">
        <v>7064.3999999999987</v>
      </c>
      <c r="CD64" s="100">
        <v>4</v>
      </c>
      <c r="CE64" s="100">
        <v>4036.7999999999993</v>
      </c>
      <c r="CF64" s="100">
        <v>5</v>
      </c>
      <c r="CG64" s="100">
        <v>5045.9999999999991</v>
      </c>
      <c r="CH64" s="100">
        <v>4.076043578917389</v>
      </c>
      <c r="CI64" s="100">
        <v>4113.5431798434283</v>
      </c>
      <c r="CJ64" s="100">
        <v>5.0596543645425571</v>
      </c>
      <c r="CK64" s="100">
        <v>5106.2031846963473</v>
      </c>
      <c r="CL64" s="100">
        <v>4.3353037127826454E-4</v>
      </c>
      <c r="CM64" s="100">
        <v>0.43751885069402452</v>
      </c>
      <c r="CN64" s="100">
        <v>4</v>
      </c>
      <c r="CO64" s="100">
        <v>4036.7999999999993</v>
      </c>
      <c r="CP64" s="100">
        <v>6</v>
      </c>
      <c r="CQ64" s="100">
        <v>6055.1999999999989</v>
      </c>
      <c r="CR64" s="100">
        <v>5.2601541343753597</v>
      </c>
      <c r="CS64" s="100">
        <v>5308.5475524116118</v>
      </c>
      <c r="CT64" s="100">
        <v>4.9585657257048972</v>
      </c>
      <c r="CU64" s="100">
        <v>5004.1845303813816</v>
      </c>
    </row>
    <row r="65" spans="2:99">
      <c r="C65" s="99" t="s">
        <v>231</v>
      </c>
      <c r="D65" s="100">
        <v>3.8827799813718302</v>
      </c>
      <c r="E65" s="100">
        <v>3983.7322608874979</v>
      </c>
      <c r="F65" s="100">
        <v>3.2623352887945587</v>
      </c>
      <c r="G65" s="100">
        <v>3347.1560063032171</v>
      </c>
      <c r="H65" s="100">
        <v>1.2849596075089995</v>
      </c>
      <c r="I65" s="100">
        <v>1318.3685573042335</v>
      </c>
      <c r="J65" s="100">
        <v>5</v>
      </c>
      <c r="K65" s="100">
        <v>5130</v>
      </c>
      <c r="L65" s="100">
        <v>4</v>
      </c>
      <c r="M65" s="100">
        <v>4104</v>
      </c>
      <c r="N65" s="100">
        <v>6</v>
      </c>
      <c r="O65" s="100">
        <v>6156</v>
      </c>
      <c r="P65" s="100">
        <v>7</v>
      </c>
      <c r="Q65" s="100">
        <v>7182</v>
      </c>
      <c r="R65" s="100">
        <v>6</v>
      </c>
      <c r="S65" s="100">
        <v>6156</v>
      </c>
      <c r="T65" s="100">
        <v>6.4258598707624905</v>
      </c>
      <c r="U65" s="100">
        <v>6592.9322274023152</v>
      </c>
      <c r="V65" s="100">
        <v>5.0754980336647932</v>
      </c>
      <c r="W65" s="100">
        <v>5207.4609825400776</v>
      </c>
      <c r="X65" s="100">
        <v>6</v>
      </c>
      <c r="Y65" s="100">
        <v>6156</v>
      </c>
      <c r="Z65" s="100">
        <v>7</v>
      </c>
      <c r="AA65" s="100">
        <v>7182</v>
      </c>
      <c r="AB65" s="100">
        <v>7</v>
      </c>
      <c r="AC65" s="100">
        <v>7182</v>
      </c>
      <c r="AD65" s="100">
        <v>2.3744126041595326</v>
      </c>
      <c r="AE65" s="100">
        <v>2436.1473318676804</v>
      </c>
      <c r="AF65" s="100">
        <v>2.135889923441824</v>
      </c>
      <c r="AG65" s="100">
        <v>2191.4230614513117</v>
      </c>
      <c r="AH65" s="100">
        <v>1.1926113810966472</v>
      </c>
      <c r="AI65" s="100">
        <v>1223.61927700516</v>
      </c>
      <c r="AJ65" s="100">
        <v>7</v>
      </c>
      <c r="AK65" s="100">
        <v>7182</v>
      </c>
      <c r="AL65" s="100">
        <v>5</v>
      </c>
      <c r="AM65" s="100">
        <v>5130</v>
      </c>
      <c r="AN65" s="100">
        <v>5</v>
      </c>
      <c r="AO65" s="100">
        <v>5130</v>
      </c>
      <c r="AP65" s="100">
        <v>4</v>
      </c>
      <c r="AQ65" s="100">
        <v>4104</v>
      </c>
      <c r="AR65" s="100">
        <v>4</v>
      </c>
      <c r="AS65" s="100">
        <v>4104</v>
      </c>
      <c r="AT65" s="100">
        <v>5</v>
      </c>
      <c r="AU65" s="100">
        <v>5130</v>
      </c>
      <c r="AV65" s="100">
        <v>6</v>
      </c>
      <c r="AW65" s="100">
        <v>6156</v>
      </c>
      <c r="AX65" s="100">
        <v>5</v>
      </c>
      <c r="AY65" s="100">
        <v>5130</v>
      </c>
      <c r="AZ65" s="100">
        <v>5</v>
      </c>
      <c r="BA65" s="100">
        <v>5130</v>
      </c>
      <c r="BB65" s="100">
        <v>4</v>
      </c>
      <c r="BC65" s="100">
        <v>4104</v>
      </c>
      <c r="BD65" s="100">
        <v>1.8544163974725489</v>
      </c>
      <c r="BE65" s="100">
        <v>1902.6312238068351</v>
      </c>
      <c r="BF65" s="100">
        <v>5</v>
      </c>
      <c r="BG65" s="100">
        <v>5130</v>
      </c>
      <c r="BH65" s="100">
        <v>6.2977491451015393</v>
      </c>
      <c r="BI65" s="100">
        <v>6461.4906228741793</v>
      </c>
      <c r="BJ65" s="100">
        <v>1.1975116759993965</v>
      </c>
      <c r="BK65" s="100">
        <v>1228.6469795753808</v>
      </c>
      <c r="BL65" s="100">
        <v>6.1758861853576468</v>
      </c>
      <c r="BM65" s="100">
        <v>6336.4592261769458</v>
      </c>
      <c r="BN65" s="100">
        <v>3.8561181963186431</v>
      </c>
      <c r="BO65" s="100">
        <v>3956.3772694229278</v>
      </c>
      <c r="BP65" s="100">
        <v>4</v>
      </c>
      <c r="BQ65" s="100">
        <v>4104</v>
      </c>
      <c r="BR65" s="100">
        <v>5</v>
      </c>
      <c r="BS65" s="100">
        <v>5130</v>
      </c>
      <c r="BT65" s="100">
        <v>4</v>
      </c>
      <c r="BU65" s="100">
        <v>4104</v>
      </c>
      <c r="BV65" s="100">
        <v>3.1577788386961818</v>
      </c>
      <c r="BW65" s="100">
        <v>3239.8810885022826</v>
      </c>
      <c r="BX65" s="100">
        <v>1.2653632736254201</v>
      </c>
      <c r="BY65" s="100">
        <v>1298.2627187396811</v>
      </c>
      <c r="BZ65" s="100">
        <v>6</v>
      </c>
      <c r="CA65" s="100">
        <v>6156</v>
      </c>
      <c r="CB65" s="100">
        <v>6</v>
      </c>
      <c r="CC65" s="100">
        <v>6156</v>
      </c>
      <c r="CD65" s="100">
        <v>4</v>
      </c>
      <c r="CE65" s="100">
        <v>4104</v>
      </c>
      <c r="CF65" s="100">
        <v>4</v>
      </c>
      <c r="CG65" s="100">
        <v>4104</v>
      </c>
      <c r="CH65" s="100">
        <v>4.076043578917389</v>
      </c>
      <c r="CI65" s="100">
        <v>4182.0207119692413</v>
      </c>
      <c r="CJ65" s="100">
        <v>5.0596543645425571</v>
      </c>
      <c r="CK65" s="100">
        <v>5191.2053780206634</v>
      </c>
      <c r="CL65" s="100">
        <v>5.0578543315797533E-4</v>
      </c>
      <c r="CM65" s="100">
        <v>0.51893585442008272</v>
      </c>
      <c r="CN65" s="100">
        <v>4</v>
      </c>
      <c r="CO65" s="100">
        <v>4104</v>
      </c>
      <c r="CP65" s="100">
        <v>6</v>
      </c>
      <c r="CQ65" s="100">
        <v>6156</v>
      </c>
      <c r="CR65" s="100">
        <v>5.2601541343753597</v>
      </c>
      <c r="CS65" s="100">
        <v>5396.9181418691187</v>
      </c>
      <c r="CT65" s="100">
        <v>5.9502788708458763</v>
      </c>
      <c r="CU65" s="100">
        <v>6104.9861214878692</v>
      </c>
    </row>
    <row r="66" spans="2:99">
      <c r="C66" s="99" t="s">
        <v>232</v>
      </c>
      <c r="D66" s="100">
        <v>3.8827799813718302</v>
      </c>
      <c r="E66" s="100">
        <v>4622.0612898250265</v>
      </c>
      <c r="F66" s="100">
        <v>3.9910907762723395</v>
      </c>
      <c r="G66" s="100">
        <v>4750.9944600745921</v>
      </c>
      <c r="H66" s="100">
        <v>1.5419515290107995</v>
      </c>
      <c r="I66" s="100">
        <v>1835.5391001344556</v>
      </c>
      <c r="J66" s="100">
        <v>5</v>
      </c>
      <c r="K66" s="100">
        <v>5951.9999999999991</v>
      </c>
      <c r="L66" s="100">
        <v>4</v>
      </c>
      <c r="M66" s="100">
        <v>4761.5999999999995</v>
      </c>
      <c r="N66" s="100">
        <v>6</v>
      </c>
      <c r="O66" s="100">
        <v>7142.4</v>
      </c>
      <c r="P66" s="100">
        <v>6</v>
      </c>
      <c r="Q66" s="100">
        <v>7142.4</v>
      </c>
      <c r="R66" s="100">
        <v>6</v>
      </c>
      <c r="S66" s="100">
        <v>7142.4</v>
      </c>
      <c r="T66" s="100">
        <v>5.4258598707624905</v>
      </c>
      <c r="U66" s="100">
        <v>6458.9435901556681</v>
      </c>
      <c r="V66" s="100">
        <v>5.0754980336647932</v>
      </c>
      <c r="W66" s="100">
        <v>6041.8728592745692</v>
      </c>
      <c r="X66" s="100">
        <v>6</v>
      </c>
      <c r="Y66" s="100">
        <v>7142.4</v>
      </c>
      <c r="Z66" s="100">
        <v>6</v>
      </c>
      <c r="AA66" s="100">
        <v>7142.4</v>
      </c>
      <c r="AB66" s="100">
        <v>7</v>
      </c>
      <c r="AC66" s="100">
        <v>8332.7999999999993</v>
      </c>
      <c r="AD66" s="100">
        <v>2.3744126041595326</v>
      </c>
      <c r="AE66" s="100">
        <v>2826.5007639915075</v>
      </c>
      <c r="AF66" s="100">
        <v>2.135889923441824</v>
      </c>
      <c r="AG66" s="100">
        <v>2542.5633648651469</v>
      </c>
      <c r="AH66" s="100">
        <v>1.4311336573159767</v>
      </c>
      <c r="AI66" s="100">
        <v>1703.6215056689384</v>
      </c>
      <c r="AJ66" s="100">
        <v>6</v>
      </c>
      <c r="AK66" s="100">
        <v>7142.4</v>
      </c>
      <c r="AL66" s="100">
        <v>5</v>
      </c>
      <c r="AM66" s="100">
        <v>5951.9999999999991</v>
      </c>
      <c r="AN66" s="100">
        <v>4</v>
      </c>
      <c r="AO66" s="100">
        <v>4761.5999999999995</v>
      </c>
      <c r="AP66" s="100">
        <v>4</v>
      </c>
      <c r="AQ66" s="100">
        <v>4761.5999999999995</v>
      </c>
      <c r="AR66" s="100">
        <v>4</v>
      </c>
      <c r="AS66" s="100">
        <v>4761.5999999999995</v>
      </c>
      <c r="AT66" s="100">
        <v>6</v>
      </c>
      <c r="AU66" s="100">
        <v>7142.4</v>
      </c>
      <c r="AV66" s="100">
        <v>6</v>
      </c>
      <c r="AW66" s="100">
        <v>7142.4</v>
      </c>
      <c r="AX66" s="100">
        <v>5</v>
      </c>
      <c r="AY66" s="100">
        <v>5951.9999999999991</v>
      </c>
      <c r="AZ66" s="100">
        <v>5</v>
      </c>
      <c r="BA66" s="100">
        <v>5951.9999999999991</v>
      </c>
      <c r="BB66" s="100">
        <v>4</v>
      </c>
      <c r="BC66" s="100">
        <v>4761.5999999999995</v>
      </c>
      <c r="BD66" s="100">
        <v>1.8544163974725489</v>
      </c>
      <c r="BE66" s="100">
        <v>2207.4972795513222</v>
      </c>
      <c r="BF66" s="100">
        <v>5</v>
      </c>
      <c r="BG66" s="100">
        <v>5951.9999999999991</v>
      </c>
      <c r="BH66" s="100">
        <v>6.2977491451015393</v>
      </c>
      <c r="BI66" s="100">
        <v>7496.8405823288713</v>
      </c>
      <c r="BJ66" s="100">
        <v>1.1975116759993965</v>
      </c>
      <c r="BK66" s="100">
        <v>1425.5178991096814</v>
      </c>
      <c r="BL66" s="100">
        <v>5.1539004121879408</v>
      </c>
      <c r="BM66" s="100">
        <v>6135.2030506685242</v>
      </c>
      <c r="BN66" s="100">
        <v>3.8561181963186431</v>
      </c>
      <c r="BO66" s="100">
        <v>4590.3231008977118</v>
      </c>
      <c r="BP66" s="100">
        <v>3</v>
      </c>
      <c r="BQ66" s="100">
        <v>3571.2</v>
      </c>
      <c r="BR66" s="100">
        <v>6</v>
      </c>
      <c r="BS66" s="100">
        <v>7142.4</v>
      </c>
      <c r="BT66" s="100">
        <v>4</v>
      </c>
      <c r="BU66" s="100">
        <v>4761.5999999999995</v>
      </c>
      <c r="BV66" s="100">
        <v>3.1577788386961818</v>
      </c>
      <c r="BW66" s="100">
        <v>3759.0199295839343</v>
      </c>
      <c r="BX66" s="100">
        <v>1.2653632736254201</v>
      </c>
      <c r="BY66" s="100">
        <v>1506.2884409236999</v>
      </c>
      <c r="BZ66" s="100">
        <v>5</v>
      </c>
      <c r="CA66" s="100">
        <v>5951.9999999999991</v>
      </c>
      <c r="CB66" s="100">
        <v>6</v>
      </c>
      <c r="CC66" s="100">
        <v>7142.4</v>
      </c>
      <c r="CD66" s="100">
        <v>4</v>
      </c>
      <c r="CE66" s="100">
        <v>4761.5999999999995</v>
      </c>
      <c r="CF66" s="100">
        <v>5</v>
      </c>
      <c r="CG66" s="100">
        <v>5951.9999999999991</v>
      </c>
      <c r="CH66" s="100">
        <v>4.076043578917389</v>
      </c>
      <c r="CI66" s="100">
        <v>4852.1222763432597</v>
      </c>
      <c r="CJ66" s="100">
        <v>5.0474888744944773</v>
      </c>
      <c r="CK66" s="100">
        <v>6008.5307561982254</v>
      </c>
      <c r="CL66" s="100">
        <v>4.3353037127826454E-4</v>
      </c>
      <c r="CM66" s="100">
        <v>0.51607455396964608</v>
      </c>
      <c r="CN66" s="100">
        <v>4</v>
      </c>
      <c r="CO66" s="100">
        <v>4761.5999999999995</v>
      </c>
      <c r="CP66" s="100">
        <v>5</v>
      </c>
      <c r="CQ66" s="100">
        <v>5951.9999999999991</v>
      </c>
      <c r="CR66" s="100">
        <v>4.2890601493059552</v>
      </c>
      <c r="CS66" s="100">
        <v>5105.6972017338085</v>
      </c>
      <c r="CT66" s="100">
        <v>4.9585657257048972</v>
      </c>
      <c r="CU66" s="100">
        <v>5902.6766398791087</v>
      </c>
    </row>
    <row r="67" spans="2:99">
      <c r="C67" s="99" t="s">
        <v>233</v>
      </c>
      <c r="D67" s="100">
        <v>3.2356499844765252</v>
      </c>
      <c r="E67" s="100">
        <v>3634.2820625640334</v>
      </c>
      <c r="F67" s="100">
        <v>3.2623352887945587</v>
      </c>
      <c r="G67" s="100">
        <v>3664.2549963740485</v>
      </c>
      <c r="H67" s="100">
        <v>1.2849596075089995</v>
      </c>
      <c r="I67" s="100">
        <v>1443.2666311541084</v>
      </c>
      <c r="J67" s="100">
        <v>5</v>
      </c>
      <c r="K67" s="100">
        <v>5616</v>
      </c>
      <c r="L67" s="100">
        <v>5</v>
      </c>
      <c r="M67" s="100">
        <v>5616</v>
      </c>
      <c r="N67" s="100">
        <v>6</v>
      </c>
      <c r="O67" s="100">
        <v>6739.2000000000007</v>
      </c>
      <c r="P67" s="100">
        <v>7</v>
      </c>
      <c r="Q67" s="100">
        <v>7862.4000000000005</v>
      </c>
      <c r="R67" s="100">
        <v>6</v>
      </c>
      <c r="S67" s="100">
        <v>6739.2000000000007</v>
      </c>
      <c r="T67" s="100">
        <v>5.4258598707624905</v>
      </c>
      <c r="U67" s="100">
        <v>6094.3258068404293</v>
      </c>
      <c r="V67" s="100">
        <v>5.0754980336647932</v>
      </c>
      <c r="W67" s="100">
        <v>5700.7993914122962</v>
      </c>
      <c r="X67" s="100">
        <v>5</v>
      </c>
      <c r="Y67" s="100">
        <v>5616</v>
      </c>
      <c r="Z67" s="100">
        <v>6</v>
      </c>
      <c r="AA67" s="100">
        <v>6739.2000000000007</v>
      </c>
      <c r="AB67" s="100">
        <v>6</v>
      </c>
      <c r="AC67" s="100">
        <v>6739.2000000000007</v>
      </c>
      <c r="AD67" s="100">
        <v>3.1220817824783791</v>
      </c>
      <c r="AE67" s="100">
        <v>3506.7222580797156</v>
      </c>
      <c r="AF67" s="100">
        <v>2.135889923441824</v>
      </c>
      <c r="AG67" s="100">
        <v>2399.0315620098568</v>
      </c>
      <c r="AH67" s="100">
        <v>1.4311336573159767</v>
      </c>
      <c r="AI67" s="100">
        <v>1607.4493238973052</v>
      </c>
      <c r="AJ67" s="100">
        <v>7</v>
      </c>
      <c r="AK67" s="100">
        <v>7862.4000000000005</v>
      </c>
      <c r="AL67" s="100">
        <v>4</v>
      </c>
      <c r="AM67" s="100">
        <v>4492.8</v>
      </c>
      <c r="AN67" s="100">
        <v>5</v>
      </c>
      <c r="AO67" s="100">
        <v>5616</v>
      </c>
      <c r="AP67" s="100">
        <v>4</v>
      </c>
      <c r="AQ67" s="100">
        <v>4492.8</v>
      </c>
      <c r="AR67" s="100">
        <v>5</v>
      </c>
      <c r="AS67" s="100">
        <v>5616</v>
      </c>
      <c r="AT67" s="100">
        <v>5</v>
      </c>
      <c r="AU67" s="100">
        <v>5616</v>
      </c>
      <c r="AV67" s="100">
        <v>6</v>
      </c>
      <c r="AW67" s="100">
        <v>6739.2000000000007</v>
      </c>
      <c r="AX67" s="100">
        <v>5</v>
      </c>
      <c r="AY67" s="100">
        <v>5616</v>
      </c>
      <c r="AZ67" s="100">
        <v>5</v>
      </c>
      <c r="BA67" s="100">
        <v>5616</v>
      </c>
      <c r="BB67" s="100">
        <v>4</v>
      </c>
      <c r="BC67" s="100">
        <v>4492.8</v>
      </c>
      <c r="BD67" s="100">
        <v>1.8544163974725489</v>
      </c>
      <c r="BE67" s="100">
        <v>2082.880497641167</v>
      </c>
      <c r="BF67" s="100">
        <v>5</v>
      </c>
      <c r="BG67" s="100">
        <v>5616</v>
      </c>
      <c r="BH67" s="100">
        <v>5.2977491451015393</v>
      </c>
      <c r="BI67" s="100">
        <v>5950.4318397780489</v>
      </c>
      <c r="BJ67" s="100">
        <v>1.4370140111992757</v>
      </c>
      <c r="BK67" s="100">
        <v>1614.0541373790265</v>
      </c>
      <c r="BL67" s="100">
        <v>5.1539004121879408</v>
      </c>
      <c r="BM67" s="100">
        <v>5788.8609429694952</v>
      </c>
      <c r="BN67" s="100">
        <v>3.8561181963186431</v>
      </c>
      <c r="BO67" s="100">
        <v>4331.1919581050997</v>
      </c>
      <c r="BP67" s="100">
        <v>3</v>
      </c>
      <c r="BQ67" s="100">
        <v>3369.6000000000004</v>
      </c>
      <c r="BR67" s="100">
        <v>6</v>
      </c>
      <c r="BS67" s="100">
        <v>6739.2000000000007</v>
      </c>
      <c r="BT67" s="100">
        <v>4</v>
      </c>
      <c r="BU67" s="100">
        <v>4492.8</v>
      </c>
      <c r="BV67" s="100">
        <v>4.1522528204548168</v>
      </c>
      <c r="BW67" s="100">
        <v>4663.8103679348505</v>
      </c>
      <c r="BX67" s="100">
        <v>1.2653632736254201</v>
      </c>
      <c r="BY67" s="100">
        <v>1421.256028936072</v>
      </c>
      <c r="BZ67" s="100">
        <v>5</v>
      </c>
      <c r="CA67" s="100">
        <v>5616</v>
      </c>
      <c r="CB67" s="100">
        <v>6</v>
      </c>
      <c r="CC67" s="100">
        <v>6739.2000000000007</v>
      </c>
      <c r="CD67" s="100">
        <v>4</v>
      </c>
      <c r="CE67" s="100">
        <v>4492.8</v>
      </c>
      <c r="CF67" s="100">
        <v>4</v>
      </c>
      <c r="CG67" s="100">
        <v>4492.8</v>
      </c>
      <c r="CH67" s="100">
        <v>4.076043578917389</v>
      </c>
      <c r="CI67" s="100">
        <v>4578.2121478400113</v>
      </c>
      <c r="CJ67" s="100">
        <v>5.882654275219517</v>
      </c>
      <c r="CK67" s="100">
        <v>6607.3972819265618</v>
      </c>
      <c r="CL67" s="100">
        <v>4.3353037127826454E-4</v>
      </c>
      <c r="CM67" s="100">
        <v>0.48694131301974675</v>
      </c>
      <c r="CN67" s="100">
        <v>3</v>
      </c>
      <c r="CO67" s="100">
        <v>3369.6000000000004</v>
      </c>
      <c r="CP67" s="100">
        <v>5</v>
      </c>
      <c r="CQ67" s="100">
        <v>5616</v>
      </c>
      <c r="CR67" s="100">
        <v>5.2890601493059552</v>
      </c>
      <c r="CS67" s="100">
        <v>5940.6723597004493</v>
      </c>
      <c r="CT67" s="100">
        <v>4.9585657257048972</v>
      </c>
      <c r="CU67" s="100">
        <v>5569.4610231117404</v>
      </c>
    </row>
    <row r="68" spans="2:99">
      <c r="C68" s="99" t="s">
        <v>234</v>
      </c>
      <c r="D68" s="100">
        <v>3.8827799813718302</v>
      </c>
      <c r="E68" s="100">
        <v>4011.6882767533752</v>
      </c>
      <c r="F68" s="100">
        <v>3.9910907762723395</v>
      </c>
      <c r="G68" s="100">
        <v>4123.5949900445812</v>
      </c>
      <c r="H68" s="100">
        <v>1.2849596075089995</v>
      </c>
      <c r="I68" s="100">
        <v>1327.6202664782984</v>
      </c>
      <c r="J68" s="100">
        <v>5</v>
      </c>
      <c r="K68" s="100">
        <v>5166</v>
      </c>
      <c r="L68" s="100">
        <v>4</v>
      </c>
      <c r="M68" s="100">
        <v>4132.8</v>
      </c>
      <c r="N68" s="100">
        <v>6</v>
      </c>
      <c r="O68" s="100">
        <v>6199.2000000000007</v>
      </c>
      <c r="P68" s="100">
        <v>6</v>
      </c>
      <c r="Q68" s="100">
        <v>6199.2000000000007</v>
      </c>
      <c r="R68" s="100">
        <v>6</v>
      </c>
      <c r="S68" s="100">
        <v>6199.2000000000007</v>
      </c>
      <c r="T68" s="100">
        <v>6.3785421073444359</v>
      </c>
      <c r="U68" s="100">
        <v>6590.3097053082711</v>
      </c>
      <c r="V68" s="100">
        <v>5.062915028053995</v>
      </c>
      <c r="W68" s="100">
        <v>5231.0038069853881</v>
      </c>
      <c r="X68" s="100">
        <v>5</v>
      </c>
      <c r="Y68" s="100">
        <v>5166</v>
      </c>
      <c r="Z68" s="100">
        <v>7</v>
      </c>
      <c r="AA68" s="100">
        <v>7232.4000000000005</v>
      </c>
      <c r="AB68" s="100">
        <v>7</v>
      </c>
      <c r="AC68" s="100">
        <v>7232.4000000000005</v>
      </c>
      <c r="AD68" s="100">
        <v>3.1220817824783791</v>
      </c>
      <c r="AE68" s="100">
        <v>3225.7348976566614</v>
      </c>
      <c r="AF68" s="100">
        <v>2.135889923441824</v>
      </c>
      <c r="AG68" s="100">
        <v>2206.8014689000929</v>
      </c>
      <c r="AH68" s="100">
        <v>1.1926113810966472</v>
      </c>
      <c r="AI68" s="100">
        <v>1232.2060789490561</v>
      </c>
      <c r="AJ68" s="100">
        <v>6</v>
      </c>
      <c r="AK68" s="100">
        <v>6199.2000000000007</v>
      </c>
      <c r="AL68" s="100">
        <v>5</v>
      </c>
      <c r="AM68" s="100">
        <v>5166</v>
      </c>
      <c r="AN68" s="100">
        <v>4</v>
      </c>
      <c r="AO68" s="100">
        <v>4132.8</v>
      </c>
      <c r="AP68" s="100">
        <v>4</v>
      </c>
      <c r="AQ68" s="100">
        <v>4132.8</v>
      </c>
      <c r="AR68" s="100">
        <v>4</v>
      </c>
      <c r="AS68" s="100">
        <v>4132.8</v>
      </c>
      <c r="AT68" s="100">
        <v>6</v>
      </c>
      <c r="AU68" s="100">
        <v>6199.2000000000007</v>
      </c>
      <c r="AV68" s="100">
        <v>6</v>
      </c>
      <c r="AW68" s="100">
        <v>6199.2000000000007</v>
      </c>
      <c r="AX68" s="100">
        <v>5</v>
      </c>
      <c r="AY68" s="100">
        <v>5166</v>
      </c>
      <c r="AZ68" s="100">
        <v>6</v>
      </c>
      <c r="BA68" s="100">
        <v>6199.2000000000007</v>
      </c>
      <c r="BB68" s="100">
        <v>4</v>
      </c>
      <c r="BC68" s="100">
        <v>4132.8</v>
      </c>
      <c r="BD68" s="100">
        <v>1.8544163974725489</v>
      </c>
      <c r="BE68" s="100">
        <v>1915.9830218686377</v>
      </c>
      <c r="BF68" s="100">
        <v>4</v>
      </c>
      <c r="BG68" s="100">
        <v>4132.8</v>
      </c>
      <c r="BH68" s="100">
        <v>6.2646659067569237</v>
      </c>
      <c r="BI68" s="100">
        <v>6472.6528148612542</v>
      </c>
      <c r="BJ68" s="100">
        <v>1.1975116759993965</v>
      </c>
      <c r="BK68" s="100">
        <v>1237.2690636425764</v>
      </c>
      <c r="BL68" s="100">
        <v>6.1539004121879408</v>
      </c>
      <c r="BM68" s="100">
        <v>6358.2099058725807</v>
      </c>
      <c r="BN68" s="100">
        <v>3.8561181963186431</v>
      </c>
      <c r="BO68" s="100">
        <v>3984.1413204364221</v>
      </c>
      <c r="BP68" s="100">
        <v>4</v>
      </c>
      <c r="BQ68" s="100">
        <v>4132.8</v>
      </c>
      <c r="BR68" s="100">
        <v>6</v>
      </c>
      <c r="BS68" s="100">
        <v>6199.2000000000007</v>
      </c>
      <c r="BT68" s="100">
        <v>5</v>
      </c>
      <c r="BU68" s="100">
        <v>5166</v>
      </c>
      <c r="BV68" s="100">
        <v>3.2013680620512512</v>
      </c>
      <c r="BW68" s="100">
        <v>3307.6534817113529</v>
      </c>
      <c r="BX68" s="100">
        <v>1.0122906189003362</v>
      </c>
      <c r="BY68" s="100">
        <v>1045.8986674478274</v>
      </c>
      <c r="BZ68" s="100">
        <v>6</v>
      </c>
      <c r="CA68" s="100">
        <v>6199.2000000000007</v>
      </c>
      <c r="CB68" s="100">
        <v>6</v>
      </c>
      <c r="CC68" s="100">
        <v>6199.2000000000007</v>
      </c>
      <c r="CD68" s="100">
        <v>4</v>
      </c>
      <c r="CE68" s="100">
        <v>4132.8</v>
      </c>
      <c r="CF68" s="100">
        <v>5</v>
      </c>
      <c r="CG68" s="100">
        <v>5166</v>
      </c>
      <c r="CH68" s="100">
        <v>4.076043578917389</v>
      </c>
      <c r="CI68" s="100">
        <v>4211.3682257374467</v>
      </c>
      <c r="CJ68" s="100">
        <v>5.0596543645425571</v>
      </c>
      <c r="CK68" s="100">
        <v>5227.6348894453704</v>
      </c>
      <c r="CL68" s="100">
        <v>5.0578543315797533E-4</v>
      </c>
      <c r="CM68" s="100">
        <v>0.5225775095388201</v>
      </c>
      <c r="CN68" s="100">
        <v>4</v>
      </c>
      <c r="CO68" s="100">
        <v>4132.8</v>
      </c>
      <c r="CP68" s="100">
        <v>6</v>
      </c>
      <c r="CQ68" s="100">
        <v>6199.2000000000007</v>
      </c>
      <c r="CR68" s="100">
        <v>5.2890601493059552</v>
      </c>
      <c r="CS68" s="100">
        <v>5464.6569462629132</v>
      </c>
      <c r="CT68" s="100">
        <v>4.9585657257048972</v>
      </c>
      <c r="CU68" s="100">
        <v>5123.1901077983002</v>
      </c>
    </row>
    <row r="69" spans="2:99">
      <c r="C69" s="99" t="s">
        <v>235</v>
      </c>
      <c r="D69" s="100">
        <v>3.8827799813718302</v>
      </c>
      <c r="E69" s="100">
        <v>2944.7003378723962</v>
      </c>
      <c r="F69" s="100">
        <v>3.2307613488960643</v>
      </c>
      <c r="G69" s="100">
        <v>2450.2094070027752</v>
      </c>
      <c r="H69" s="100">
        <v>1.5419515290107995</v>
      </c>
      <c r="I69" s="100">
        <v>1169.4160396017903</v>
      </c>
      <c r="J69" s="100">
        <v>5</v>
      </c>
      <c r="K69" s="100">
        <v>3792</v>
      </c>
      <c r="L69" s="100">
        <v>5</v>
      </c>
      <c r="M69" s="100">
        <v>3792</v>
      </c>
      <c r="N69" s="100">
        <v>6</v>
      </c>
      <c r="O69" s="100">
        <v>4550.3999999999996</v>
      </c>
      <c r="P69" s="100">
        <v>6</v>
      </c>
      <c r="Q69" s="100">
        <v>4550.3999999999996</v>
      </c>
      <c r="R69" s="100">
        <v>6</v>
      </c>
      <c r="S69" s="100">
        <v>4550.3999999999996</v>
      </c>
      <c r="T69" s="100">
        <v>7.3785421073444359</v>
      </c>
      <c r="U69" s="100">
        <v>5595.8863342100203</v>
      </c>
      <c r="V69" s="100">
        <v>5.0754980336647932</v>
      </c>
      <c r="W69" s="100">
        <v>3849.2577087313789</v>
      </c>
      <c r="X69" s="100">
        <v>6</v>
      </c>
      <c r="Y69" s="100">
        <v>4550.3999999999996</v>
      </c>
      <c r="Z69" s="100">
        <v>7</v>
      </c>
      <c r="AA69" s="100">
        <v>5308.8</v>
      </c>
      <c r="AB69" s="100">
        <v>7</v>
      </c>
      <c r="AC69" s="100">
        <v>5308.8</v>
      </c>
      <c r="AD69" s="100">
        <v>3.0958007686377806</v>
      </c>
      <c r="AE69" s="100">
        <v>2347.8553029348927</v>
      </c>
      <c r="AF69" s="100">
        <v>2.135889923441824</v>
      </c>
      <c r="AG69" s="100">
        <v>1619.8589179382793</v>
      </c>
      <c r="AH69" s="100">
        <v>1.4311336573159767</v>
      </c>
      <c r="AI69" s="100">
        <v>1085.3717657084367</v>
      </c>
      <c r="AJ69" s="100">
        <v>7</v>
      </c>
      <c r="AK69" s="100">
        <v>5308.8</v>
      </c>
      <c r="AL69" s="100">
        <v>5</v>
      </c>
      <c r="AM69" s="100">
        <v>3792</v>
      </c>
      <c r="AN69" s="100">
        <v>4</v>
      </c>
      <c r="AO69" s="100">
        <v>3033.6</v>
      </c>
      <c r="AP69" s="100">
        <v>4</v>
      </c>
      <c r="AQ69" s="100">
        <v>3033.6</v>
      </c>
      <c r="AR69" s="100">
        <v>4</v>
      </c>
      <c r="AS69" s="100">
        <v>3033.6</v>
      </c>
      <c r="AT69" s="100">
        <v>6</v>
      </c>
      <c r="AU69" s="100">
        <v>4550.3999999999996</v>
      </c>
      <c r="AV69" s="100">
        <v>6</v>
      </c>
      <c r="AW69" s="100">
        <v>4550.3999999999996</v>
      </c>
      <c r="AX69" s="100">
        <v>4</v>
      </c>
      <c r="AY69" s="100">
        <v>3033.6</v>
      </c>
      <c r="AZ69" s="100">
        <v>5</v>
      </c>
      <c r="BA69" s="100">
        <v>3792</v>
      </c>
      <c r="BB69" s="100">
        <v>4</v>
      </c>
      <c r="BC69" s="100">
        <v>3033.6</v>
      </c>
      <c r="BD69" s="100">
        <v>2.1634857970513073</v>
      </c>
      <c r="BE69" s="100">
        <v>1640.7876284837114</v>
      </c>
      <c r="BF69" s="100">
        <v>5</v>
      </c>
      <c r="BG69" s="100">
        <v>3792</v>
      </c>
      <c r="BH69" s="100">
        <v>5.2977491451015393</v>
      </c>
      <c r="BI69" s="100">
        <v>4017.8129516450072</v>
      </c>
      <c r="BJ69" s="100">
        <v>1.4370140111992757</v>
      </c>
      <c r="BK69" s="100">
        <v>1089.8314260935306</v>
      </c>
      <c r="BL69" s="100">
        <v>5.1539004121879408</v>
      </c>
      <c r="BM69" s="100">
        <v>3908.7180726033343</v>
      </c>
      <c r="BN69" s="100">
        <v>3.8561181963186431</v>
      </c>
      <c r="BO69" s="100">
        <v>2924.480040088059</v>
      </c>
      <c r="BP69" s="100">
        <v>4</v>
      </c>
      <c r="BQ69" s="100">
        <v>3033.6</v>
      </c>
      <c r="BR69" s="100">
        <v>6</v>
      </c>
      <c r="BS69" s="100">
        <v>4550.3999999999996</v>
      </c>
      <c r="BT69" s="100">
        <v>5</v>
      </c>
      <c r="BU69" s="100">
        <v>3792</v>
      </c>
      <c r="BV69" s="100">
        <v>4.1522528204548168</v>
      </c>
      <c r="BW69" s="100">
        <v>3149.0685390329331</v>
      </c>
      <c r="BX69" s="100">
        <v>1.2653632736254201</v>
      </c>
      <c r="BY69" s="100">
        <v>959.6515067175186</v>
      </c>
      <c r="BZ69" s="100">
        <v>5</v>
      </c>
      <c r="CA69" s="100">
        <v>3792</v>
      </c>
      <c r="CB69" s="100">
        <v>6</v>
      </c>
      <c r="CC69" s="100">
        <v>4550.3999999999996</v>
      </c>
      <c r="CD69" s="100">
        <v>4</v>
      </c>
      <c r="CE69" s="100">
        <v>3033.6</v>
      </c>
      <c r="CF69" s="100">
        <v>4</v>
      </c>
      <c r="CG69" s="100">
        <v>3033.6</v>
      </c>
      <c r="CH69" s="100">
        <v>4.076043578917389</v>
      </c>
      <c r="CI69" s="100">
        <v>3091.2714502509475</v>
      </c>
      <c r="CJ69" s="100">
        <v>5.882654275219517</v>
      </c>
      <c r="CK69" s="100">
        <v>4461.4050023264817</v>
      </c>
      <c r="CL69" s="100">
        <v>5.0578543315797533E-4</v>
      </c>
      <c r="CM69" s="100">
        <v>0.38358767250700848</v>
      </c>
      <c r="CN69" s="100">
        <v>3</v>
      </c>
      <c r="CO69" s="100">
        <v>2275.1999999999998</v>
      </c>
      <c r="CP69" s="100">
        <v>5</v>
      </c>
      <c r="CQ69" s="100">
        <v>3792</v>
      </c>
      <c r="CR69" s="100">
        <v>5.2890601493059552</v>
      </c>
      <c r="CS69" s="100">
        <v>4011.2232172336362</v>
      </c>
      <c r="CT69" s="100">
        <v>4.9585657257048972</v>
      </c>
      <c r="CU69" s="100">
        <v>3760.5762463745941</v>
      </c>
    </row>
    <row r="70" spans="2:99">
      <c r="C70" s="99" t="s">
        <v>236</v>
      </c>
      <c r="D70" s="100">
        <v>3.8827799813718302</v>
      </c>
      <c r="E70" s="100">
        <v>2078.0638460302034</v>
      </c>
      <c r="F70" s="100">
        <v>3.2623352887945587</v>
      </c>
      <c r="G70" s="100">
        <v>1746.0018465628475</v>
      </c>
      <c r="H70" s="100">
        <v>1.5419515290107995</v>
      </c>
      <c r="I70" s="100">
        <v>825.25245832657981</v>
      </c>
      <c r="J70" s="100">
        <v>6</v>
      </c>
      <c r="K70" s="100">
        <v>3211.2</v>
      </c>
      <c r="L70" s="100">
        <v>4</v>
      </c>
      <c r="M70" s="100">
        <v>2140.7999999999997</v>
      </c>
      <c r="N70" s="100">
        <v>6</v>
      </c>
      <c r="O70" s="100">
        <v>3211.2</v>
      </c>
      <c r="P70" s="100">
        <v>6</v>
      </c>
      <c r="Q70" s="100">
        <v>3211.2</v>
      </c>
      <c r="R70" s="100">
        <v>7</v>
      </c>
      <c r="S70" s="100">
        <v>3746.3999999999996</v>
      </c>
      <c r="T70" s="100">
        <v>6.3785421073444359</v>
      </c>
      <c r="U70" s="100">
        <v>3413.7957358507415</v>
      </c>
      <c r="V70" s="100">
        <v>5.0754980336647932</v>
      </c>
      <c r="W70" s="100">
        <v>2716.4065476173969</v>
      </c>
      <c r="X70" s="100">
        <v>6</v>
      </c>
      <c r="Y70" s="100">
        <v>3211.2</v>
      </c>
      <c r="Z70" s="100">
        <v>6</v>
      </c>
      <c r="AA70" s="100">
        <v>3211.2</v>
      </c>
      <c r="AB70" s="100">
        <v>6</v>
      </c>
      <c r="AC70" s="100">
        <v>3211.2</v>
      </c>
      <c r="AD70" s="100">
        <v>3.0958007686377806</v>
      </c>
      <c r="AE70" s="100">
        <v>1656.87257137494</v>
      </c>
      <c r="AF70" s="100">
        <v>2.135889923441824</v>
      </c>
      <c r="AG70" s="100">
        <v>1143.1282870260641</v>
      </c>
      <c r="AH70" s="100">
        <v>1.1926113810966472</v>
      </c>
      <c r="AI70" s="100">
        <v>638.28561116292553</v>
      </c>
      <c r="AJ70" s="100">
        <v>7</v>
      </c>
      <c r="AK70" s="100">
        <v>3746.3999999999996</v>
      </c>
      <c r="AL70" s="100">
        <v>5</v>
      </c>
      <c r="AM70" s="100">
        <v>2675.9999999999995</v>
      </c>
      <c r="AN70" s="100">
        <v>5</v>
      </c>
      <c r="AO70" s="100">
        <v>2675.9999999999995</v>
      </c>
      <c r="AP70" s="100">
        <v>5</v>
      </c>
      <c r="AQ70" s="100">
        <v>2675.9999999999995</v>
      </c>
      <c r="AR70" s="100">
        <v>5</v>
      </c>
      <c r="AS70" s="100">
        <v>2675.9999999999995</v>
      </c>
      <c r="AT70" s="100">
        <v>6</v>
      </c>
      <c r="AU70" s="100">
        <v>3211.2</v>
      </c>
      <c r="AV70" s="100">
        <v>6</v>
      </c>
      <c r="AW70" s="100">
        <v>3211.2</v>
      </c>
      <c r="AX70" s="100">
        <v>5</v>
      </c>
      <c r="AY70" s="100">
        <v>2675.9999999999995</v>
      </c>
      <c r="AZ70" s="100">
        <v>5</v>
      </c>
      <c r="BA70" s="100">
        <v>2675.9999999999995</v>
      </c>
      <c r="BB70" s="100">
        <v>4</v>
      </c>
      <c r="BC70" s="100">
        <v>2140.7999999999997</v>
      </c>
      <c r="BD70" s="100">
        <v>2.1634857970513073</v>
      </c>
      <c r="BE70" s="100">
        <v>1157.8975985818595</v>
      </c>
      <c r="BF70" s="100">
        <v>5</v>
      </c>
      <c r="BG70" s="100">
        <v>2675.9999999999995</v>
      </c>
      <c r="BH70" s="100">
        <v>6.2977491451015393</v>
      </c>
      <c r="BI70" s="100">
        <v>3370.5553424583436</v>
      </c>
      <c r="BJ70" s="100">
        <v>1.4370140111992757</v>
      </c>
      <c r="BK70" s="100">
        <v>769.08989879385229</v>
      </c>
      <c r="BL70" s="100">
        <v>5.1539004121879408</v>
      </c>
      <c r="BM70" s="100">
        <v>2758.3675006029857</v>
      </c>
      <c r="BN70" s="100">
        <v>4.6273418355823717</v>
      </c>
      <c r="BO70" s="100">
        <v>2476.5533504036848</v>
      </c>
      <c r="BP70" s="100">
        <v>4</v>
      </c>
      <c r="BQ70" s="100">
        <v>2140.7999999999997</v>
      </c>
      <c r="BR70" s="100">
        <v>6</v>
      </c>
      <c r="BS70" s="100">
        <v>3211.2</v>
      </c>
      <c r="BT70" s="100">
        <v>5</v>
      </c>
      <c r="BU70" s="100">
        <v>2675.9999999999995</v>
      </c>
      <c r="BV70" s="100">
        <v>3.2013680620512512</v>
      </c>
      <c r="BW70" s="100">
        <v>1713.3721868098294</v>
      </c>
      <c r="BX70" s="100">
        <v>1.2653632736254201</v>
      </c>
      <c r="BY70" s="100">
        <v>677.22242404432473</v>
      </c>
      <c r="BZ70" s="100">
        <v>5</v>
      </c>
      <c r="CA70" s="100">
        <v>2675.9999999999995</v>
      </c>
      <c r="CB70" s="100">
        <v>7</v>
      </c>
      <c r="CC70" s="100">
        <v>3746.3999999999996</v>
      </c>
      <c r="CD70" s="100">
        <v>4</v>
      </c>
      <c r="CE70" s="100">
        <v>2140.7999999999997</v>
      </c>
      <c r="CF70" s="100">
        <v>5</v>
      </c>
      <c r="CG70" s="100">
        <v>2675.9999999999995</v>
      </c>
      <c r="CH70" s="100">
        <v>4.7553841754036199</v>
      </c>
      <c r="CI70" s="100">
        <v>2545.0816106760171</v>
      </c>
      <c r="CJ70" s="100">
        <v>5.8948197652675969</v>
      </c>
      <c r="CK70" s="100">
        <v>3154.9075383712175</v>
      </c>
      <c r="CL70" s="100">
        <v>5.0578543315797533E-4</v>
      </c>
      <c r="CM70" s="100">
        <v>0.27069636382614837</v>
      </c>
      <c r="CN70" s="100">
        <v>4</v>
      </c>
      <c r="CO70" s="100">
        <v>2140.7999999999997</v>
      </c>
      <c r="CP70" s="100">
        <v>5</v>
      </c>
      <c r="CQ70" s="100">
        <v>2675.9999999999995</v>
      </c>
      <c r="CR70" s="100">
        <v>4.2890601493059552</v>
      </c>
      <c r="CS70" s="100">
        <v>2295.5049919085468</v>
      </c>
      <c r="CT70" s="100">
        <v>5.9502788708458763</v>
      </c>
      <c r="CU70" s="100">
        <v>3184.5892516767126</v>
      </c>
    </row>
    <row r="71" spans="2:99">
      <c r="B71" s="99" t="s">
        <v>130</v>
      </c>
      <c r="C71" s="99" t="s">
        <v>237</v>
      </c>
      <c r="D71" s="100">
        <v>3</v>
      </c>
      <c r="E71" s="100">
        <v>1692</v>
      </c>
      <c r="F71" s="100">
        <v>5</v>
      </c>
      <c r="G71" s="100">
        <v>2820</v>
      </c>
      <c r="H71" s="100">
        <v>5.5695709381144942</v>
      </c>
      <c r="I71" s="100">
        <v>3141.2380090965748</v>
      </c>
      <c r="J71" s="100">
        <v>4</v>
      </c>
      <c r="K71" s="100">
        <v>2256</v>
      </c>
      <c r="L71" s="100">
        <v>5</v>
      </c>
      <c r="M71" s="100">
        <v>2820</v>
      </c>
      <c r="N71" s="100">
        <v>1.4363744960814975</v>
      </c>
      <c r="O71" s="100">
        <v>810.11521578996462</v>
      </c>
      <c r="P71" s="100">
        <v>4.3345749941899152</v>
      </c>
      <c r="Q71" s="100">
        <v>2444.7002967231124</v>
      </c>
      <c r="R71" s="100">
        <v>3.7870497317659257</v>
      </c>
      <c r="S71" s="100">
        <v>2135.896048715982</v>
      </c>
      <c r="T71" s="100">
        <v>6</v>
      </c>
      <c r="U71" s="100">
        <v>3384</v>
      </c>
      <c r="V71" s="100">
        <v>6</v>
      </c>
      <c r="W71" s="100">
        <v>3384</v>
      </c>
      <c r="X71" s="100">
        <v>5</v>
      </c>
      <c r="Y71" s="100">
        <v>2820</v>
      </c>
      <c r="Z71" s="100">
        <v>4</v>
      </c>
      <c r="AA71" s="100">
        <v>2256</v>
      </c>
      <c r="AB71" s="100">
        <v>6</v>
      </c>
      <c r="AC71" s="100">
        <v>3384</v>
      </c>
      <c r="AD71" s="100">
        <v>6</v>
      </c>
      <c r="AE71" s="100">
        <v>3384</v>
      </c>
      <c r="AF71" s="100">
        <v>5</v>
      </c>
      <c r="AG71" s="100">
        <v>2820</v>
      </c>
      <c r="AH71" s="100">
        <v>6</v>
      </c>
      <c r="AI71" s="100">
        <v>3384</v>
      </c>
      <c r="AJ71" s="100">
        <v>6</v>
      </c>
      <c r="AK71" s="100">
        <v>3384</v>
      </c>
      <c r="AL71" s="100">
        <v>3</v>
      </c>
      <c r="AM71" s="100">
        <v>1692</v>
      </c>
      <c r="AN71" s="100">
        <v>5</v>
      </c>
      <c r="AO71" s="100">
        <v>2820</v>
      </c>
      <c r="AP71" s="100">
        <v>6</v>
      </c>
      <c r="AQ71" s="100">
        <v>3384</v>
      </c>
      <c r="AR71" s="100">
        <v>4</v>
      </c>
      <c r="AS71" s="100">
        <v>2256</v>
      </c>
      <c r="AT71" s="100">
        <v>4.9582543210529337</v>
      </c>
      <c r="AU71" s="100">
        <v>2796.4554370738547</v>
      </c>
      <c r="AV71" s="100">
        <v>3</v>
      </c>
      <c r="AW71" s="100">
        <v>1692</v>
      </c>
      <c r="AX71" s="100">
        <v>4</v>
      </c>
      <c r="AY71" s="100">
        <v>2256</v>
      </c>
      <c r="AZ71" s="100">
        <v>4.4969284997757795</v>
      </c>
      <c r="BA71" s="100">
        <v>2536.2676738735395</v>
      </c>
      <c r="BB71" s="100">
        <v>2.2058746367355839</v>
      </c>
      <c r="BC71" s="100">
        <v>1244.1132951188692</v>
      </c>
      <c r="BD71" s="100">
        <v>4.1833688897414296</v>
      </c>
      <c r="BE71" s="100">
        <v>2359.4200538141663</v>
      </c>
      <c r="BF71" s="100">
        <v>5</v>
      </c>
      <c r="BG71" s="100">
        <v>2820</v>
      </c>
      <c r="BH71" s="100">
        <v>4</v>
      </c>
      <c r="BI71" s="100">
        <v>2256</v>
      </c>
      <c r="BJ71" s="100">
        <v>6</v>
      </c>
      <c r="BK71" s="100">
        <v>3384</v>
      </c>
      <c r="BL71" s="100">
        <v>5</v>
      </c>
      <c r="BM71" s="100">
        <v>2820</v>
      </c>
      <c r="BN71" s="100">
        <v>5</v>
      </c>
      <c r="BO71" s="100">
        <v>2820</v>
      </c>
      <c r="BP71" s="100">
        <v>6</v>
      </c>
      <c r="BQ71" s="100">
        <v>3384</v>
      </c>
      <c r="BR71" s="100">
        <v>5</v>
      </c>
      <c r="BS71" s="100">
        <v>2820</v>
      </c>
      <c r="BT71" s="100">
        <v>5.7522424815267659</v>
      </c>
      <c r="BU71" s="100">
        <v>3244.2647595810959</v>
      </c>
      <c r="BV71" s="100">
        <v>0.86957336319644774</v>
      </c>
      <c r="BW71" s="100">
        <v>490.43937684279655</v>
      </c>
      <c r="BX71" s="100">
        <v>2.9217050391817692</v>
      </c>
      <c r="BY71" s="100">
        <v>1647.8416420985177</v>
      </c>
      <c r="BZ71" s="100">
        <v>5</v>
      </c>
      <c r="CA71" s="100">
        <v>2820</v>
      </c>
      <c r="CB71" s="100">
        <v>4</v>
      </c>
      <c r="CC71" s="100">
        <v>2256</v>
      </c>
      <c r="CD71" s="100">
        <v>4</v>
      </c>
      <c r="CE71" s="100">
        <v>2256</v>
      </c>
      <c r="CF71" s="100">
        <v>3</v>
      </c>
      <c r="CG71" s="100">
        <v>1692</v>
      </c>
      <c r="CH71" s="100">
        <v>3</v>
      </c>
      <c r="CI71" s="100">
        <v>1692</v>
      </c>
      <c r="CJ71" s="100">
        <v>4</v>
      </c>
      <c r="CK71" s="100">
        <v>2256</v>
      </c>
      <c r="CL71" s="100">
        <v>5</v>
      </c>
      <c r="CM71" s="100">
        <v>2820</v>
      </c>
      <c r="CN71" s="100">
        <v>5.5654867155951901</v>
      </c>
      <c r="CO71" s="100">
        <v>3138.9345075956871</v>
      </c>
      <c r="CP71" s="100">
        <v>6.2734997300996351</v>
      </c>
      <c r="CQ71" s="100">
        <v>3538.2538477761941</v>
      </c>
      <c r="CR71" s="100">
        <v>4</v>
      </c>
      <c r="CS71" s="100">
        <v>2256</v>
      </c>
      <c r="CT71" s="100">
        <v>4.2350917284063234</v>
      </c>
      <c r="CU71" s="100">
        <v>2388.5917348211665</v>
      </c>
    </row>
    <row r="72" spans="2:99">
      <c r="C72" s="99" t="s">
        <v>238</v>
      </c>
      <c r="D72" s="100">
        <v>3</v>
      </c>
      <c r="E72" s="100">
        <v>223.2</v>
      </c>
      <c r="F72" s="100">
        <v>5</v>
      </c>
      <c r="G72" s="100">
        <v>371.99999999999994</v>
      </c>
      <c r="H72" s="100">
        <v>4.641309115095412</v>
      </c>
      <c r="I72" s="100">
        <v>345.31339816309861</v>
      </c>
      <c r="J72" s="100">
        <v>4</v>
      </c>
      <c r="K72" s="100">
        <v>297.59999999999997</v>
      </c>
      <c r="L72" s="100">
        <v>5</v>
      </c>
      <c r="M72" s="100">
        <v>371.99999999999994</v>
      </c>
      <c r="N72" s="100">
        <v>1.4363744960814975</v>
      </c>
      <c r="O72" s="100">
        <v>106.86626250846339</v>
      </c>
      <c r="P72" s="100">
        <v>3.4676599953519327</v>
      </c>
      <c r="Q72" s="100">
        <v>257.99390365418378</v>
      </c>
      <c r="R72" s="100">
        <v>3.7870497317659257</v>
      </c>
      <c r="S72" s="100">
        <v>281.75650004338485</v>
      </c>
      <c r="T72" s="100">
        <v>6</v>
      </c>
      <c r="U72" s="100">
        <v>446.4</v>
      </c>
      <c r="V72" s="100">
        <v>6</v>
      </c>
      <c r="W72" s="100">
        <v>446.4</v>
      </c>
      <c r="X72" s="100">
        <v>5</v>
      </c>
      <c r="Y72" s="100">
        <v>371.99999999999994</v>
      </c>
      <c r="Z72" s="100">
        <v>4</v>
      </c>
      <c r="AA72" s="100">
        <v>297.59999999999997</v>
      </c>
      <c r="AB72" s="100">
        <v>6</v>
      </c>
      <c r="AC72" s="100">
        <v>446.4</v>
      </c>
      <c r="AD72" s="100">
        <v>6</v>
      </c>
      <c r="AE72" s="100">
        <v>446.4</v>
      </c>
      <c r="AF72" s="100">
        <v>5</v>
      </c>
      <c r="AG72" s="100">
        <v>371.99999999999994</v>
      </c>
      <c r="AH72" s="100">
        <v>6</v>
      </c>
      <c r="AI72" s="100">
        <v>446.4</v>
      </c>
      <c r="AJ72" s="100">
        <v>6</v>
      </c>
      <c r="AK72" s="100">
        <v>446.4</v>
      </c>
      <c r="AL72" s="100">
        <v>3</v>
      </c>
      <c r="AM72" s="100">
        <v>223.2</v>
      </c>
      <c r="AN72" s="100">
        <v>6</v>
      </c>
      <c r="AO72" s="100">
        <v>446.4</v>
      </c>
      <c r="AP72" s="100">
        <v>6</v>
      </c>
      <c r="AQ72" s="100">
        <v>446.4</v>
      </c>
      <c r="AR72" s="100">
        <v>5</v>
      </c>
      <c r="AS72" s="100">
        <v>371.99999999999994</v>
      </c>
      <c r="AT72" s="100">
        <v>4.9582543210529337</v>
      </c>
      <c r="AU72" s="100">
        <v>368.89412148633824</v>
      </c>
      <c r="AV72" s="100">
        <v>3</v>
      </c>
      <c r="AW72" s="100">
        <v>223.2</v>
      </c>
      <c r="AX72" s="100">
        <v>4</v>
      </c>
      <c r="AY72" s="100">
        <v>297.59999999999997</v>
      </c>
      <c r="AZ72" s="100">
        <v>5.4969284997757795</v>
      </c>
      <c r="BA72" s="100">
        <v>408.97148038331795</v>
      </c>
      <c r="BB72" s="100">
        <v>2.9411661823141122</v>
      </c>
      <c r="BC72" s="100">
        <v>218.82276396416992</v>
      </c>
      <c r="BD72" s="100">
        <v>4.1833688897414296</v>
      </c>
      <c r="BE72" s="100">
        <v>311.24264539676233</v>
      </c>
      <c r="BF72" s="100">
        <v>5</v>
      </c>
      <c r="BG72" s="100">
        <v>371.99999999999994</v>
      </c>
      <c r="BH72" s="100">
        <v>5</v>
      </c>
      <c r="BI72" s="100">
        <v>371.99999999999994</v>
      </c>
      <c r="BJ72" s="100">
        <v>5</v>
      </c>
      <c r="BK72" s="100">
        <v>371.99999999999994</v>
      </c>
      <c r="BL72" s="100">
        <v>6</v>
      </c>
      <c r="BM72" s="100">
        <v>446.4</v>
      </c>
      <c r="BN72" s="100">
        <v>5</v>
      </c>
      <c r="BO72" s="100">
        <v>371.99999999999994</v>
      </c>
      <c r="BP72" s="100">
        <v>5</v>
      </c>
      <c r="BQ72" s="100">
        <v>371.99999999999994</v>
      </c>
      <c r="BR72" s="100">
        <v>5</v>
      </c>
      <c r="BS72" s="100">
        <v>371.99999999999994</v>
      </c>
      <c r="BT72" s="100">
        <v>5.7522424815267659</v>
      </c>
      <c r="BU72" s="100">
        <v>427.96684062559132</v>
      </c>
      <c r="BV72" s="100">
        <v>0.86957336319644774</v>
      </c>
      <c r="BW72" s="100">
        <v>64.696258221815711</v>
      </c>
      <c r="BX72" s="100">
        <v>2.9217050391817692</v>
      </c>
      <c r="BY72" s="100">
        <v>217.37485491512359</v>
      </c>
      <c r="BZ72" s="100">
        <v>4</v>
      </c>
      <c r="CA72" s="100">
        <v>297.59999999999997</v>
      </c>
      <c r="CB72" s="100">
        <v>4</v>
      </c>
      <c r="CC72" s="100">
        <v>297.59999999999997</v>
      </c>
      <c r="CD72" s="100">
        <v>3</v>
      </c>
      <c r="CE72" s="100">
        <v>223.2</v>
      </c>
      <c r="CF72" s="100">
        <v>4</v>
      </c>
      <c r="CG72" s="100">
        <v>297.59999999999997</v>
      </c>
      <c r="CH72" s="100">
        <v>4</v>
      </c>
      <c r="CI72" s="100">
        <v>297.59999999999997</v>
      </c>
      <c r="CJ72" s="100">
        <v>4</v>
      </c>
      <c r="CK72" s="100">
        <v>297.59999999999997</v>
      </c>
      <c r="CL72" s="100">
        <v>5</v>
      </c>
      <c r="CM72" s="100">
        <v>371.99999999999994</v>
      </c>
      <c r="CN72" s="100">
        <v>5.6597345015277218</v>
      </c>
      <c r="CO72" s="100">
        <v>421.08424691366247</v>
      </c>
      <c r="CP72" s="100">
        <v>5.3772854829425452</v>
      </c>
      <c r="CQ72" s="100">
        <v>400.0700399309253</v>
      </c>
      <c r="CR72" s="100">
        <v>3</v>
      </c>
      <c r="CS72" s="100">
        <v>223.2</v>
      </c>
      <c r="CT72" s="100">
        <v>4.2350917284063234</v>
      </c>
      <c r="CU72" s="100">
        <v>315.09082459343045</v>
      </c>
    </row>
    <row r="73" spans="2:99">
      <c r="C73" s="99" t="s">
        <v>239</v>
      </c>
      <c r="D73" s="100">
        <v>4</v>
      </c>
      <c r="E73" s="100">
        <v>2236.7999999999997</v>
      </c>
      <c r="F73" s="100">
        <v>5</v>
      </c>
      <c r="G73" s="100">
        <v>2795.9999999999995</v>
      </c>
      <c r="H73" s="100">
        <v>4.641309115095412</v>
      </c>
      <c r="I73" s="100">
        <v>2595.4200571613542</v>
      </c>
      <c r="J73" s="100">
        <v>4</v>
      </c>
      <c r="K73" s="100">
        <v>2236.7999999999997</v>
      </c>
      <c r="L73" s="100">
        <v>5</v>
      </c>
      <c r="M73" s="100">
        <v>2795.9999999999995</v>
      </c>
      <c r="N73" s="100">
        <v>1.4363744960814975</v>
      </c>
      <c r="O73" s="100">
        <v>803.22061820877332</v>
      </c>
      <c r="P73" s="100">
        <v>3.4676599953519327</v>
      </c>
      <c r="Q73" s="100">
        <v>1939.1154694008005</v>
      </c>
      <c r="R73" s="100">
        <v>3.7870497317659257</v>
      </c>
      <c r="S73" s="100">
        <v>2117.7182100035052</v>
      </c>
      <c r="T73" s="100">
        <v>6</v>
      </c>
      <c r="U73" s="100">
        <v>3355.2</v>
      </c>
      <c r="V73" s="100">
        <v>6</v>
      </c>
      <c r="W73" s="100">
        <v>3355.2</v>
      </c>
      <c r="X73" s="100">
        <v>5</v>
      </c>
      <c r="Y73" s="100">
        <v>2795.9999999999995</v>
      </c>
      <c r="Z73" s="100">
        <v>4</v>
      </c>
      <c r="AA73" s="100">
        <v>2236.7999999999997</v>
      </c>
      <c r="AB73" s="100">
        <v>5</v>
      </c>
      <c r="AC73" s="100">
        <v>2795.9999999999995</v>
      </c>
      <c r="AD73" s="100">
        <v>6</v>
      </c>
      <c r="AE73" s="100">
        <v>3355.2</v>
      </c>
      <c r="AF73" s="100">
        <v>5</v>
      </c>
      <c r="AG73" s="100">
        <v>2795.9999999999995</v>
      </c>
      <c r="AH73" s="100">
        <v>6</v>
      </c>
      <c r="AI73" s="100">
        <v>3355.2</v>
      </c>
      <c r="AJ73" s="100">
        <v>6</v>
      </c>
      <c r="AK73" s="100">
        <v>3355.2</v>
      </c>
      <c r="AL73" s="100">
        <v>3</v>
      </c>
      <c r="AM73" s="100">
        <v>1677.6</v>
      </c>
      <c r="AN73" s="100">
        <v>5</v>
      </c>
      <c r="AO73" s="100">
        <v>2795.9999999999995</v>
      </c>
      <c r="AP73" s="100">
        <v>6</v>
      </c>
      <c r="AQ73" s="100">
        <v>3355.2</v>
      </c>
      <c r="AR73" s="100">
        <v>4</v>
      </c>
      <c r="AS73" s="100">
        <v>2236.7999999999997</v>
      </c>
      <c r="AT73" s="100">
        <v>4.9582543210529337</v>
      </c>
      <c r="AU73" s="100">
        <v>2772.6558163328</v>
      </c>
      <c r="AV73" s="100">
        <v>3</v>
      </c>
      <c r="AW73" s="100">
        <v>1677.6</v>
      </c>
      <c r="AX73" s="100">
        <v>4</v>
      </c>
      <c r="AY73" s="100">
        <v>2236.7999999999997</v>
      </c>
      <c r="AZ73" s="100">
        <v>5.4969284997757795</v>
      </c>
      <c r="BA73" s="100">
        <v>3073.8824170746157</v>
      </c>
      <c r="BB73" s="100">
        <v>2.2058746367355839</v>
      </c>
      <c r="BC73" s="100">
        <v>1233.5250968625385</v>
      </c>
      <c r="BD73" s="100">
        <v>3.3466951117931441</v>
      </c>
      <c r="BE73" s="100">
        <v>1871.471906514726</v>
      </c>
      <c r="BF73" s="100">
        <v>5</v>
      </c>
      <c r="BG73" s="100">
        <v>2795.9999999999995</v>
      </c>
      <c r="BH73" s="100">
        <v>4</v>
      </c>
      <c r="BI73" s="100">
        <v>2236.7999999999997</v>
      </c>
      <c r="BJ73" s="100">
        <v>6</v>
      </c>
      <c r="BK73" s="100">
        <v>3355.2</v>
      </c>
      <c r="BL73" s="100">
        <v>5</v>
      </c>
      <c r="BM73" s="100">
        <v>2795.9999999999995</v>
      </c>
      <c r="BN73" s="100">
        <v>4</v>
      </c>
      <c r="BO73" s="100">
        <v>2236.7999999999997</v>
      </c>
      <c r="BP73" s="100">
        <v>5</v>
      </c>
      <c r="BQ73" s="100">
        <v>2795.9999999999995</v>
      </c>
      <c r="BR73" s="100">
        <v>5</v>
      </c>
      <c r="BS73" s="100">
        <v>2795.9999999999995</v>
      </c>
      <c r="BT73" s="100">
        <v>5.7939680802314664</v>
      </c>
      <c r="BU73" s="100">
        <v>3239.9869504654357</v>
      </c>
      <c r="BV73" s="100">
        <v>1.1594311509285971</v>
      </c>
      <c r="BW73" s="100">
        <v>648.35389959927136</v>
      </c>
      <c r="BX73" s="100">
        <v>2.9217050391817692</v>
      </c>
      <c r="BY73" s="100">
        <v>1633.8174579104452</v>
      </c>
      <c r="BZ73" s="100">
        <v>5</v>
      </c>
      <c r="CA73" s="100">
        <v>2795.9999999999995</v>
      </c>
      <c r="CB73" s="100">
        <v>4</v>
      </c>
      <c r="CC73" s="100">
        <v>2236.7999999999997</v>
      </c>
      <c r="CD73" s="100">
        <v>4</v>
      </c>
      <c r="CE73" s="100">
        <v>2236.7999999999997</v>
      </c>
      <c r="CF73" s="100">
        <v>3</v>
      </c>
      <c r="CG73" s="100">
        <v>1677.6</v>
      </c>
      <c r="CH73" s="100">
        <v>3</v>
      </c>
      <c r="CI73" s="100">
        <v>1677.6</v>
      </c>
      <c r="CJ73" s="100">
        <v>4</v>
      </c>
      <c r="CK73" s="100">
        <v>2236.7999999999997</v>
      </c>
      <c r="CL73" s="100">
        <v>5.530229253327267</v>
      </c>
      <c r="CM73" s="100">
        <v>3092.5041984606073</v>
      </c>
      <c r="CN73" s="100">
        <v>4.6597345015277218</v>
      </c>
      <c r="CO73" s="100">
        <v>2605.7235332543019</v>
      </c>
      <c r="CP73" s="100">
        <v>5.3772854829425452</v>
      </c>
      <c r="CQ73" s="100">
        <v>3006.9780420614707</v>
      </c>
      <c r="CR73" s="100">
        <v>3</v>
      </c>
      <c r="CS73" s="100">
        <v>1677.6</v>
      </c>
      <c r="CT73" s="100">
        <v>4.2350917284063234</v>
      </c>
      <c r="CU73" s="100">
        <v>2368.2632945248156</v>
      </c>
    </row>
    <row r="74" spans="2:99">
      <c r="C74" s="99" t="s">
        <v>240</v>
      </c>
      <c r="D74" s="100">
        <v>4</v>
      </c>
      <c r="E74" s="100">
        <v>1612.8</v>
      </c>
      <c r="F74" s="100">
        <v>5</v>
      </c>
      <c r="G74" s="100">
        <v>2016</v>
      </c>
      <c r="H74" s="100">
        <v>5.5695709381144942</v>
      </c>
      <c r="I74" s="100">
        <v>2245.6510022477642</v>
      </c>
      <c r="J74" s="100">
        <v>4</v>
      </c>
      <c r="K74" s="100">
        <v>1612.8</v>
      </c>
      <c r="L74" s="100">
        <v>5</v>
      </c>
      <c r="M74" s="100">
        <v>2016</v>
      </c>
      <c r="N74" s="100">
        <v>1.4363744960814975</v>
      </c>
      <c r="O74" s="100">
        <v>579.1461968200598</v>
      </c>
      <c r="P74" s="100">
        <v>3.4676599953519327</v>
      </c>
      <c r="Q74" s="100">
        <v>1398.1605101258992</v>
      </c>
      <c r="R74" s="100">
        <v>3.7870497317659257</v>
      </c>
      <c r="S74" s="100">
        <v>1526.9384518480213</v>
      </c>
      <c r="T74" s="100">
        <v>6</v>
      </c>
      <c r="U74" s="100">
        <v>2419.1999999999998</v>
      </c>
      <c r="V74" s="100">
        <v>5</v>
      </c>
      <c r="W74" s="100">
        <v>2016</v>
      </c>
      <c r="X74" s="100">
        <v>5</v>
      </c>
      <c r="Y74" s="100">
        <v>2016</v>
      </c>
      <c r="Z74" s="100">
        <v>4</v>
      </c>
      <c r="AA74" s="100">
        <v>1612.8</v>
      </c>
      <c r="AB74" s="100">
        <v>6</v>
      </c>
      <c r="AC74" s="100">
        <v>2419.1999999999998</v>
      </c>
      <c r="AD74" s="100">
        <v>6</v>
      </c>
      <c r="AE74" s="100">
        <v>2419.1999999999998</v>
      </c>
      <c r="AF74" s="100">
        <v>4</v>
      </c>
      <c r="AG74" s="100">
        <v>1612.8</v>
      </c>
      <c r="AH74" s="100">
        <v>6</v>
      </c>
      <c r="AI74" s="100">
        <v>2419.1999999999998</v>
      </c>
      <c r="AJ74" s="100">
        <v>5</v>
      </c>
      <c r="AK74" s="100">
        <v>2016</v>
      </c>
      <c r="AL74" s="100">
        <v>3</v>
      </c>
      <c r="AM74" s="100">
        <v>1209.5999999999999</v>
      </c>
      <c r="AN74" s="100">
        <v>6</v>
      </c>
      <c r="AO74" s="100">
        <v>2419.1999999999998</v>
      </c>
      <c r="AP74" s="100">
        <v>6</v>
      </c>
      <c r="AQ74" s="100">
        <v>2419.1999999999998</v>
      </c>
      <c r="AR74" s="100">
        <v>4</v>
      </c>
      <c r="AS74" s="100">
        <v>1612.8</v>
      </c>
      <c r="AT74" s="100">
        <v>4.9582543210529337</v>
      </c>
      <c r="AU74" s="100">
        <v>1999.1681422485428</v>
      </c>
      <c r="AV74" s="100">
        <v>3</v>
      </c>
      <c r="AW74" s="100">
        <v>1209.5999999999999</v>
      </c>
      <c r="AX74" s="100">
        <v>4.2283737024221457</v>
      </c>
      <c r="AY74" s="100">
        <v>1704.880276816609</v>
      </c>
      <c r="AZ74" s="100">
        <v>4.4472356497982011</v>
      </c>
      <c r="BA74" s="100">
        <v>1793.1254139986347</v>
      </c>
      <c r="BB74" s="100">
        <v>2.2058746367355839</v>
      </c>
      <c r="BC74" s="100">
        <v>889.40865353178742</v>
      </c>
      <c r="BD74" s="100">
        <v>4.1833688897414296</v>
      </c>
      <c r="BE74" s="100">
        <v>1686.7343363437444</v>
      </c>
      <c r="BF74" s="100">
        <v>5</v>
      </c>
      <c r="BG74" s="100">
        <v>2016</v>
      </c>
      <c r="BH74" s="100">
        <v>4</v>
      </c>
      <c r="BI74" s="100">
        <v>1612.8</v>
      </c>
      <c r="BJ74" s="100">
        <v>6</v>
      </c>
      <c r="BK74" s="100">
        <v>2419.1999999999998</v>
      </c>
      <c r="BL74" s="100">
        <v>6</v>
      </c>
      <c r="BM74" s="100">
        <v>2419.1999999999998</v>
      </c>
      <c r="BN74" s="100">
        <v>5</v>
      </c>
      <c r="BO74" s="100">
        <v>2016</v>
      </c>
      <c r="BP74" s="100">
        <v>6</v>
      </c>
      <c r="BQ74" s="100">
        <v>2419.1999999999998</v>
      </c>
      <c r="BR74" s="100">
        <v>5</v>
      </c>
      <c r="BS74" s="100">
        <v>2016</v>
      </c>
      <c r="BT74" s="100">
        <v>5.7105168828220645</v>
      </c>
      <c r="BU74" s="100">
        <v>2302.4804071538565</v>
      </c>
      <c r="BV74" s="100">
        <v>0.86957336319644774</v>
      </c>
      <c r="BW74" s="100">
        <v>350.61198004080774</v>
      </c>
      <c r="BX74" s="100">
        <v>2.9217050391817692</v>
      </c>
      <c r="BY74" s="100">
        <v>1178.0314717980893</v>
      </c>
      <c r="BZ74" s="100">
        <v>4</v>
      </c>
      <c r="CA74" s="100">
        <v>1612.8</v>
      </c>
      <c r="CB74" s="100">
        <v>4</v>
      </c>
      <c r="CC74" s="100">
        <v>1612.8</v>
      </c>
      <c r="CD74" s="100">
        <v>4</v>
      </c>
      <c r="CE74" s="100">
        <v>1612.8</v>
      </c>
      <c r="CF74" s="100">
        <v>3</v>
      </c>
      <c r="CG74" s="100">
        <v>1209.5999999999999</v>
      </c>
      <c r="CH74" s="100">
        <v>4</v>
      </c>
      <c r="CI74" s="100">
        <v>1612.8</v>
      </c>
      <c r="CJ74" s="100">
        <v>4</v>
      </c>
      <c r="CK74" s="100">
        <v>1612.8</v>
      </c>
      <c r="CL74" s="100">
        <v>5</v>
      </c>
      <c r="CM74" s="100">
        <v>2016</v>
      </c>
      <c r="CN74" s="100">
        <v>5.6597345015277218</v>
      </c>
      <c r="CO74" s="100">
        <v>2282.0049510159774</v>
      </c>
      <c r="CP74" s="100">
        <v>6.2734997300996351</v>
      </c>
      <c r="CQ74" s="100">
        <v>2529.475091176173</v>
      </c>
      <c r="CR74" s="100">
        <v>3</v>
      </c>
      <c r="CS74" s="100">
        <v>1209.5999999999999</v>
      </c>
      <c r="CT74" s="100">
        <v>4.2350917284063234</v>
      </c>
      <c r="CU74" s="100">
        <v>1707.5889848934296</v>
      </c>
    </row>
    <row r="75" spans="2:99">
      <c r="C75" s="99" t="s">
        <v>241</v>
      </c>
      <c r="D75" s="100">
        <v>4</v>
      </c>
      <c r="E75" s="100">
        <v>2572.7999999999997</v>
      </c>
      <c r="F75" s="100">
        <v>5</v>
      </c>
      <c r="G75" s="100">
        <v>3215.9999999999995</v>
      </c>
      <c r="H75" s="100">
        <v>5.5695709381144942</v>
      </c>
      <c r="I75" s="100">
        <v>3582.3480273952423</v>
      </c>
      <c r="J75" s="100">
        <v>4</v>
      </c>
      <c r="K75" s="100">
        <v>2572.7999999999997</v>
      </c>
      <c r="L75" s="100">
        <v>5</v>
      </c>
      <c r="M75" s="100">
        <v>3215.9999999999995</v>
      </c>
      <c r="N75" s="100">
        <v>1.4363744960814975</v>
      </c>
      <c r="O75" s="100">
        <v>923.87607587961907</v>
      </c>
      <c r="P75" s="100">
        <v>3.4676599953519327</v>
      </c>
      <c r="Q75" s="100">
        <v>2230.3989090103628</v>
      </c>
      <c r="R75" s="100">
        <v>3.7870497317659257</v>
      </c>
      <c r="S75" s="100">
        <v>2435.8303874718431</v>
      </c>
      <c r="T75" s="100">
        <v>6</v>
      </c>
      <c r="U75" s="100">
        <v>3859.2</v>
      </c>
      <c r="V75" s="100">
        <v>6</v>
      </c>
      <c r="W75" s="100">
        <v>3859.2</v>
      </c>
      <c r="X75" s="100">
        <v>5</v>
      </c>
      <c r="Y75" s="100">
        <v>3215.9999999999995</v>
      </c>
      <c r="Z75" s="100">
        <v>4</v>
      </c>
      <c r="AA75" s="100">
        <v>2572.7999999999997</v>
      </c>
      <c r="AB75" s="100">
        <v>6</v>
      </c>
      <c r="AC75" s="100">
        <v>3859.2</v>
      </c>
      <c r="AD75" s="100">
        <v>7</v>
      </c>
      <c r="AE75" s="100">
        <v>4502.3999999999996</v>
      </c>
      <c r="AF75" s="100">
        <v>5</v>
      </c>
      <c r="AG75" s="100">
        <v>3215.9999999999995</v>
      </c>
      <c r="AH75" s="100">
        <v>6</v>
      </c>
      <c r="AI75" s="100">
        <v>3859.2</v>
      </c>
      <c r="AJ75" s="100">
        <v>6</v>
      </c>
      <c r="AK75" s="100">
        <v>3859.2</v>
      </c>
      <c r="AL75" s="100">
        <v>3</v>
      </c>
      <c r="AM75" s="100">
        <v>1929.6</v>
      </c>
      <c r="AN75" s="100">
        <v>6</v>
      </c>
      <c r="AO75" s="100">
        <v>3859.2</v>
      </c>
      <c r="AP75" s="100">
        <v>6</v>
      </c>
      <c r="AQ75" s="100">
        <v>3859.2</v>
      </c>
      <c r="AR75" s="100">
        <v>4</v>
      </c>
      <c r="AS75" s="100">
        <v>2572.7999999999997</v>
      </c>
      <c r="AT75" s="100">
        <v>4.9582543210529337</v>
      </c>
      <c r="AU75" s="100">
        <v>3189.1491793012465</v>
      </c>
      <c r="AV75" s="100">
        <v>3</v>
      </c>
      <c r="AW75" s="100">
        <v>1929.6</v>
      </c>
      <c r="AX75" s="100">
        <v>4</v>
      </c>
      <c r="AY75" s="100">
        <v>2572.7999999999997</v>
      </c>
      <c r="AZ75" s="100">
        <v>5.4472356497982011</v>
      </c>
      <c r="BA75" s="100">
        <v>3503.6619699502025</v>
      </c>
      <c r="BB75" s="100">
        <v>2.2058746367355839</v>
      </c>
      <c r="BC75" s="100">
        <v>1418.8185663483275</v>
      </c>
      <c r="BD75" s="100">
        <v>4.1833688897414296</v>
      </c>
      <c r="BE75" s="100">
        <v>2690.7428698816871</v>
      </c>
      <c r="BF75" s="100">
        <v>5</v>
      </c>
      <c r="BG75" s="100">
        <v>3215.9999999999995</v>
      </c>
      <c r="BH75" s="100">
        <v>4</v>
      </c>
      <c r="BI75" s="100">
        <v>2572.7999999999997</v>
      </c>
      <c r="BJ75" s="100">
        <v>5</v>
      </c>
      <c r="BK75" s="100">
        <v>3215.9999999999995</v>
      </c>
      <c r="BL75" s="100">
        <v>5</v>
      </c>
      <c r="BM75" s="100">
        <v>3215.9999999999995</v>
      </c>
      <c r="BN75" s="100">
        <v>5</v>
      </c>
      <c r="BO75" s="100">
        <v>3215.9999999999995</v>
      </c>
      <c r="BP75" s="100">
        <v>6</v>
      </c>
      <c r="BQ75" s="100">
        <v>3859.2</v>
      </c>
      <c r="BR75" s="100">
        <v>5</v>
      </c>
      <c r="BS75" s="100">
        <v>3215.9999999999995</v>
      </c>
      <c r="BT75" s="100">
        <v>5.7522424815267659</v>
      </c>
      <c r="BU75" s="100">
        <v>3699.8423641180152</v>
      </c>
      <c r="BV75" s="100">
        <v>0.86957336319644774</v>
      </c>
      <c r="BW75" s="100">
        <v>559.30958720795513</v>
      </c>
      <c r="BX75" s="100">
        <v>2.9217050391817692</v>
      </c>
      <c r="BY75" s="100">
        <v>1879.2406812017136</v>
      </c>
      <c r="BZ75" s="100">
        <v>4</v>
      </c>
      <c r="CA75" s="100">
        <v>2572.7999999999997</v>
      </c>
      <c r="CB75" s="100">
        <v>4</v>
      </c>
      <c r="CC75" s="100">
        <v>2572.7999999999997</v>
      </c>
      <c r="CD75" s="100">
        <v>4</v>
      </c>
      <c r="CE75" s="100">
        <v>2572.7999999999997</v>
      </c>
      <c r="CF75" s="100">
        <v>3</v>
      </c>
      <c r="CG75" s="100">
        <v>1929.6</v>
      </c>
      <c r="CH75" s="100">
        <v>3</v>
      </c>
      <c r="CI75" s="100">
        <v>1929.6</v>
      </c>
      <c r="CJ75" s="100">
        <v>4</v>
      </c>
      <c r="CK75" s="100">
        <v>2572.7999999999997</v>
      </c>
      <c r="CL75" s="100">
        <v>5</v>
      </c>
      <c r="CM75" s="100">
        <v>3215.9999999999995</v>
      </c>
      <c r="CN75" s="100">
        <v>4.6597345015277218</v>
      </c>
      <c r="CO75" s="100">
        <v>2997.1412313826304</v>
      </c>
      <c r="CP75" s="100">
        <v>6.2734997300996351</v>
      </c>
      <c r="CQ75" s="100">
        <v>4035.1150264000848</v>
      </c>
      <c r="CR75" s="100">
        <v>4</v>
      </c>
      <c r="CS75" s="100">
        <v>2572.7999999999997</v>
      </c>
      <c r="CT75" s="100">
        <v>4.2350917284063234</v>
      </c>
      <c r="CU75" s="100">
        <v>2724.0109997109471</v>
      </c>
    </row>
    <row r="76" spans="2:99">
      <c r="C76" s="99" t="s">
        <v>242</v>
      </c>
      <c r="D76" s="100">
        <v>3</v>
      </c>
      <c r="E76" s="100">
        <v>2336.3999999999996</v>
      </c>
      <c r="F76" s="100">
        <v>5</v>
      </c>
      <c r="G76" s="100">
        <v>3894</v>
      </c>
      <c r="H76" s="100">
        <v>5.5695709381144942</v>
      </c>
      <c r="I76" s="100">
        <v>4337.581846603568</v>
      </c>
      <c r="J76" s="100">
        <v>4</v>
      </c>
      <c r="K76" s="100">
        <v>3115.2</v>
      </c>
      <c r="L76" s="100">
        <v>5</v>
      </c>
      <c r="M76" s="100">
        <v>3894</v>
      </c>
      <c r="N76" s="100">
        <v>1.4363744960814975</v>
      </c>
      <c r="O76" s="100">
        <v>1118.6484575482702</v>
      </c>
      <c r="P76" s="100">
        <v>3.4676599953519327</v>
      </c>
      <c r="Q76" s="100">
        <v>2700.6136043800852</v>
      </c>
      <c r="R76" s="100">
        <v>3.7870497317659257</v>
      </c>
      <c r="S76" s="100">
        <v>2949.3543310993027</v>
      </c>
      <c r="T76" s="100">
        <v>6</v>
      </c>
      <c r="U76" s="100">
        <v>4672.7999999999993</v>
      </c>
      <c r="V76" s="100">
        <v>6</v>
      </c>
      <c r="W76" s="100">
        <v>4672.7999999999993</v>
      </c>
      <c r="X76" s="100">
        <v>5</v>
      </c>
      <c r="Y76" s="100">
        <v>3894</v>
      </c>
      <c r="Z76" s="100">
        <v>4</v>
      </c>
      <c r="AA76" s="100">
        <v>3115.2</v>
      </c>
      <c r="AB76" s="100">
        <v>6</v>
      </c>
      <c r="AC76" s="100">
        <v>4672.7999999999993</v>
      </c>
      <c r="AD76" s="100">
        <v>6</v>
      </c>
      <c r="AE76" s="100">
        <v>4672.7999999999993</v>
      </c>
      <c r="AF76" s="100">
        <v>5</v>
      </c>
      <c r="AG76" s="100">
        <v>3894</v>
      </c>
      <c r="AH76" s="100">
        <v>6</v>
      </c>
      <c r="AI76" s="100">
        <v>4672.7999999999993</v>
      </c>
      <c r="AJ76" s="100">
        <v>5</v>
      </c>
      <c r="AK76" s="100">
        <v>3894</v>
      </c>
      <c r="AL76" s="100">
        <v>3</v>
      </c>
      <c r="AM76" s="100">
        <v>2336.3999999999996</v>
      </c>
      <c r="AN76" s="100">
        <v>5</v>
      </c>
      <c r="AO76" s="100">
        <v>3894</v>
      </c>
      <c r="AP76" s="100">
        <v>6</v>
      </c>
      <c r="AQ76" s="100">
        <v>4672.7999999999993</v>
      </c>
      <c r="AR76" s="100">
        <v>5</v>
      </c>
      <c r="AS76" s="100">
        <v>3894</v>
      </c>
      <c r="AT76" s="100">
        <v>4.9582543210529337</v>
      </c>
      <c r="AU76" s="100">
        <v>3861.4884652360247</v>
      </c>
      <c r="AV76" s="100">
        <v>3</v>
      </c>
      <c r="AW76" s="100">
        <v>2336.3999999999996</v>
      </c>
      <c r="AX76" s="100">
        <v>4</v>
      </c>
      <c r="AY76" s="100">
        <v>3115.2</v>
      </c>
      <c r="AZ76" s="100">
        <v>4.4472356497982011</v>
      </c>
      <c r="BA76" s="100">
        <v>3463.507124062839</v>
      </c>
      <c r="BB76" s="100">
        <v>2.2058746367355839</v>
      </c>
      <c r="BC76" s="100">
        <v>1717.9351670896726</v>
      </c>
      <c r="BD76" s="100">
        <v>4.1833688897414296</v>
      </c>
      <c r="BE76" s="100">
        <v>3258.0076913306252</v>
      </c>
      <c r="BF76" s="100">
        <v>4</v>
      </c>
      <c r="BG76" s="100">
        <v>3115.2</v>
      </c>
      <c r="BH76" s="100">
        <v>4</v>
      </c>
      <c r="BI76" s="100">
        <v>3115.2</v>
      </c>
      <c r="BJ76" s="100">
        <v>6</v>
      </c>
      <c r="BK76" s="100">
        <v>4672.7999999999993</v>
      </c>
      <c r="BL76" s="100">
        <v>5</v>
      </c>
      <c r="BM76" s="100">
        <v>3894</v>
      </c>
      <c r="BN76" s="100">
        <v>5</v>
      </c>
      <c r="BO76" s="100">
        <v>3894</v>
      </c>
      <c r="BP76" s="100">
        <v>5</v>
      </c>
      <c r="BQ76" s="100">
        <v>3894</v>
      </c>
      <c r="BR76" s="100">
        <v>5</v>
      </c>
      <c r="BS76" s="100">
        <v>3894</v>
      </c>
      <c r="BT76" s="100">
        <v>5.7939680802314664</v>
      </c>
      <c r="BU76" s="100">
        <v>4512.3423408842655</v>
      </c>
      <c r="BV76" s="100">
        <v>0.86957336319644774</v>
      </c>
      <c r="BW76" s="100">
        <v>677.2237352573934</v>
      </c>
      <c r="BX76" s="100">
        <v>3.8956067189090255</v>
      </c>
      <c r="BY76" s="100">
        <v>3033.898512686349</v>
      </c>
      <c r="BZ76" s="100">
        <v>4</v>
      </c>
      <c r="CA76" s="100">
        <v>3115.2</v>
      </c>
      <c r="CB76" s="100">
        <v>4</v>
      </c>
      <c r="CC76" s="100">
        <v>3115.2</v>
      </c>
      <c r="CD76" s="100">
        <v>3</v>
      </c>
      <c r="CE76" s="100">
        <v>2336.3999999999996</v>
      </c>
      <c r="CF76" s="100">
        <v>3</v>
      </c>
      <c r="CG76" s="100">
        <v>2336.3999999999996</v>
      </c>
      <c r="CH76" s="100">
        <v>3</v>
      </c>
      <c r="CI76" s="100">
        <v>2336.3999999999996</v>
      </c>
      <c r="CJ76" s="100">
        <v>4</v>
      </c>
      <c r="CK76" s="100">
        <v>3115.2</v>
      </c>
      <c r="CL76" s="100">
        <v>5</v>
      </c>
      <c r="CM76" s="100">
        <v>3894</v>
      </c>
      <c r="CN76" s="100">
        <v>5.6597345015277218</v>
      </c>
      <c r="CO76" s="100">
        <v>4407.8012297897894</v>
      </c>
      <c r="CP76" s="100">
        <v>5.3772854829425452</v>
      </c>
      <c r="CQ76" s="100">
        <v>4187.8299341156535</v>
      </c>
      <c r="CR76" s="100">
        <v>3</v>
      </c>
      <c r="CS76" s="100">
        <v>2336.3999999999996</v>
      </c>
      <c r="CT76" s="100">
        <v>5.0821100740875886</v>
      </c>
      <c r="CU76" s="100">
        <v>3957.9473256994138</v>
      </c>
    </row>
    <row r="77" spans="2:99">
      <c r="C77" s="99" t="s">
        <v>243</v>
      </c>
      <c r="D77" s="100">
        <v>3</v>
      </c>
      <c r="E77" s="100">
        <v>835.19999999999993</v>
      </c>
      <c r="F77" s="100">
        <v>5</v>
      </c>
      <c r="G77" s="100">
        <v>1392</v>
      </c>
      <c r="H77" s="100">
        <v>4.641309115095412</v>
      </c>
      <c r="I77" s="100">
        <v>1292.1404576425625</v>
      </c>
      <c r="J77" s="100">
        <v>4</v>
      </c>
      <c r="K77" s="100">
        <v>1113.5999999999999</v>
      </c>
      <c r="L77" s="100">
        <v>5</v>
      </c>
      <c r="M77" s="100">
        <v>1392</v>
      </c>
      <c r="N77" s="100">
        <v>1.4363744960814975</v>
      </c>
      <c r="O77" s="100">
        <v>399.88665970908886</v>
      </c>
      <c r="P77" s="100">
        <v>3.4676599953519327</v>
      </c>
      <c r="Q77" s="100">
        <v>965.39654270597794</v>
      </c>
      <c r="R77" s="100">
        <v>3.7870497317659257</v>
      </c>
      <c r="S77" s="100">
        <v>1054.3146453236336</v>
      </c>
      <c r="T77" s="100">
        <v>6</v>
      </c>
      <c r="U77" s="100">
        <v>1670.3999999999999</v>
      </c>
      <c r="V77" s="100">
        <v>6</v>
      </c>
      <c r="W77" s="100">
        <v>1670.3999999999999</v>
      </c>
      <c r="X77" s="100">
        <v>6</v>
      </c>
      <c r="Y77" s="100">
        <v>1670.3999999999999</v>
      </c>
      <c r="Z77" s="100">
        <v>5</v>
      </c>
      <c r="AA77" s="100">
        <v>1392</v>
      </c>
      <c r="AB77" s="100">
        <v>6</v>
      </c>
      <c r="AC77" s="100">
        <v>1670.3999999999999</v>
      </c>
      <c r="AD77" s="100">
        <v>7</v>
      </c>
      <c r="AE77" s="100">
        <v>1948.7999999999997</v>
      </c>
      <c r="AF77" s="100">
        <v>5</v>
      </c>
      <c r="AG77" s="100">
        <v>1392</v>
      </c>
      <c r="AH77" s="100">
        <v>6</v>
      </c>
      <c r="AI77" s="100">
        <v>1670.3999999999999</v>
      </c>
      <c r="AJ77" s="100">
        <v>6</v>
      </c>
      <c r="AK77" s="100">
        <v>1670.3999999999999</v>
      </c>
      <c r="AL77" s="100">
        <v>3</v>
      </c>
      <c r="AM77" s="100">
        <v>835.19999999999993</v>
      </c>
      <c r="AN77" s="100">
        <v>6</v>
      </c>
      <c r="AO77" s="100">
        <v>1670.3999999999999</v>
      </c>
      <c r="AP77" s="100">
        <v>6</v>
      </c>
      <c r="AQ77" s="100">
        <v>1670.3999999999999</v>
      </c>
      <c r="AR77" s="100">
        <v>5</v>
      </c>
      <c r="AS77" s="100">
        <v>1392</v>
      </c>
      <c r="AT77" s="100">
        <v>4.9582543210529337</v>
      </c>
      <c r="AU77" s="100">
        <v>1380.3780029811367</v>
      </c>
      <c r="AV77" s="100">
        <v>3</v>
      </c>
      <c r="AW77" s="100">
        <v>835.19999999999993</v>
      </c>
      <c r="AX77" s="100">
        <v>4</v>
      </c>
      <c r="AY77" s="100">
        <v>1113.5999999999999</v>
      </c>
      <c r="AZ77" s="100">
        <v>5.4969284997757795</v>
      </c>
      <c r="BA77" s="100">
        <v>1530.344894337577</v>
      </c>
      <c r="BB77" s="100">
        <v>2.2058746367355839</v>
      </c>
      <c r="BC77" s="100">
        <v>614.11549886718649</v>
      </c>
      <c r="BD77" s="100">
        <v>3.3466951117931441</v>
      </c>
      <c r="BE77" s="100">
        <v>931.71991912321118</v>
      </c>
      <c r="BF77" s="100">
        <v>5</v>
      </c>
      <c r="BG77" s="100">
        <v>1392</v>
      </c>
      <c r="BH77" s="100">
        <v>4</v>
      </c>
      <c r="BI77" s="100">
        <v>1113.5999999999999</v>
      </c>
      <c r="BJ77" s="100">
        <v>6</v>
      </c>
      <c r="BK77" s="100">
        <v>1670.3999999999999</v>
      </c>
      <c r="BL77" s="100">
        <v>5</v>
      </c>
      <c r="BM77" s="100">
        <v>1392</v>
      </c>
      <c r="BN77" s="100">
        <v>5</v>
      </c>
      <c r="BO77" s="100">
        <v>1392</v>
      </c>
      <c r="BP77" s="100">
        <v>5</v>
      </c>
      <c r="BQ77" s="100">
        <v>1392</v>
      </c>
      <c r="BR77" s="100">
        <v>5</v>
      </c>
      <c r="BS77" s="100">
        <v>1392</v>
      </c>
      <c r="BT77" s="100">
        <v>5.8356936789361677</v>
      </c>
      <c r="BU77" s="100">
        <v>1624.6571202158291</v>
      </c>
      <c r="BV77" s="100">
        <v>0.86957336319644774</v>
      </c>
      <c r="BW77" s="100">
        <v>242.08922431389104</v>
      </c>
      <c r="BX77" s="100">
        <v>2.9217050391817692</v>
      </c>
      <c r="BY77" s="100">
        <v>813.4026829082045</v>
      </c>
      <c r="BZ77" s="100">
        <v>4</v>
      </c>
      <c r="CA77" s="100">
        <v>1113.5999999999999</v>
      </c>
      <c r="CB77" s="100">
        <v>4</v>
      </c>
      <c r="CC77" s="100">
        <v>1113.5999999999999</v>
      </c>
      <c r="CD77" s="100">
        <v>4</v>
      </c>
      <c r="CE77" s="100">
        <v>1113.5999999999999</v>
      </c>
      <c r="CF77" s="100">
        <v>3</v>
      </c>
      <c r="CG77" s="100">
        <v>835.19999999999993</v>
      </c>
      <c r="CH77" s="100">
        <v>3</v>
      </c>
      <c r="CI77" s="100">
        <v>835.19999999999993</v>
      </c>
      <c r="CJ77" s="100">
        <v>4</v>
      </c>
      <c r="CK77" s="100">
        <v>1113.5999999999999</v>
      </c>
      <c r="CL77" s="100">
        <v>5.530229253327267</v>
      </c>
      <c r="CM77" s="100">
        <v>1539.6158241263111</v>
      </c>
      <c r="CN77" s="100">
        <v>5.6597345015277218</v>
      </c>
      <c r="CO77" s="100">
        <v>1575.6700852253177</v>
      </c>
      <c r="CP77" s="100">
        <v>5.3772854829425452</v>
      </c>
      <c r="CQ77" s="100">
        <v>1497.0362784512045</v>
      </c>
      <c r="CR77" s="100">
        <v>3</v>
      </c>
      <c r="CS77" s="100">
        <v>835.19999999999993</v>
      </c>
      <c r="CT77" s="100">
        <v>5.0821100740875886</v>
      </c>
      <c r="CU77" s="100">
        <v>1414.8594446259845</v>
      </c>
    </row>
    <row r="78" spans="2:99">
      <c r="C78" s="99" t="s">
        <v>244</v>
      </c>
      <c r="D78" s="100">
        <v>3</v>
      </c>
      <c r="E78" s="100">
        <v>1656</v>
      </c>
      <c r="F78" s="100">
        <v>5</v>
      </c>
      <c r="G78" s="100">
        <v>2760</v>
      </c>
      <c r="H78" s="100">
        <v>5.5695709381144942</v>
      </c>
      <c r="I78" s="100">
        <v>3074.403157839201</v>
      </c>
      <c r="J78" s="100">
        <v>4</v>
      </c>
      <c r="K78" s="100">
        <v>2208</v>
      </c>
      <c r="L78" s="100">
        <v>5</v>
      </c>
      <c r="M78" s="100">
        <v>2760</v>
      </c>
      <c r="N78" s="100">
        <v>1.4363744960814975</v>
      </c>
      <c r="O78" s="100">
        <v>792.87872183698664</v>
      </c>
      <c r="P78" s="100">
        <v>3.4676599953519327</v>
      </c>
      <c r="Q78" s="100">
        <v>1914.1483174342668</v>
      </c>
      <c r="R78" s="100">
        <v>3.7870497317659257</v>
      </c>
      <c r="S78" s="100">
        <v>2090.4514519347908</v>
      </c>
      <c r="T78" s="100">
        <v>5</v>
      </c>
      <c r="U78" s="100">
        <v>2760</v>
      </c>
      <c r="V78" s="100">
        <v>6</v>
      </c>
      <c r="W78" s="100">
        <v>3312</v>
      </c>
      <c r="X78" s="100">
        <v>5</v>
      </c>
      <c r="Y78" s="100">
        <v>2760</v>
      </c>
      <c r="Z78" s="100">
        <v>4</v>
      </c>
      <c r="AA78" s="100">
        <v>2208</v>
      </c>
      <c r="AB78" s="100">
        <v>6</v>
      </c>
      <c r="AC78" s="100">
        <v>3312</v>
      </c>
      <c r="AD78" s="100">
        <v>7</v>
      </c>
      <c r="AE78" s="100">
        <v>3864</v>
      </c>
      <c r="AF78" s="100">
        <v>5</v>
      </c>
      <c r="AG78" s="100">
        <v>2760</v>
      </c>
      <c r="AH78" s="100">
        <v>5</v>
      </c>
      <c r="AI78" s="100">
        <v>2760</v>
      </c>
      <c r="AJ78" s="100">
        <v>5</v>
      </c>
      <c r="AK78" s="100">
        <v>2760</v>
      </c>
      <c r="AL78" s="100">
        <v>3</v>
      </c>
      <c r="AM78" s="100">
        <v>1656</v>
      </c>
      <c r="AN78" s="100">
        <v>5</v>
      </c>
      <c r="AO78" s="100">
        <v>2760</v>
      </c>
      <c r="AP78" s="100">
        <v>6</v>
      </c>
      <c r="AQ78" s="100">
        <v>3312</v>
      </c>
      <c r="AR78" s="100">
        <v>4</v>
      </c>
      <c r="AS78" s="100">
        <v>2208</v>
      </c>
      <c r="AT78" s="100">
        <v>4.9582543210529337</v>
      </c>
      <c r="AU78" s="100">
        <v>2736.9563852212195</v>
      </c>
      <c r="AV78" s="100">
        <v>3</v>
      </c>
      <c r="AW78" s="100">
        <v>1656</v>
      </c>
      <c r="AX78" s="100">
        <v>3</v>
      </c>
      <c r="AY78" s="100">
        <v>1656</v>
      </c>
      <c r="AZ78" s="100">
        <v>4.4472356497982011</v>
      </c>
      <c r="BA78" s="100">
        <v>2454.8740786886069</v>
      </c>
      <c r="BB78" s="100">
        <v>2.2058746367355839</v>
      </c>
      <c r="BC78" s="100">
        <v>1217.6427994780424</v>
      </c>
      <c r="BD78" s="100">
        <v>4.1833688897414296</v>
      </c>
      <c r="BE78" s="100">
        <v>2309.2196271372691</v>
      </c>
      <c r="BF78" s="100">
        <v>5</v>
      </c>
      <c r="BG78" s="100">
        <v>2760</v>
      </c>
      <c r="BH78" s="100">
        <v>4</v>
      </c>
      <c r="BI78" s="100">
        <v>2208</v>
      </c>
      <c r="BJ78" s="100">
        <v>6</v>
      </c>
      <c r="BK78" s="100">
        <v>3312</v>
      </c>
      <c r="BL78" s="100">
        <v>6</v>
      </c>
      <c r="BM78" s="100">
        <v>3312</v>
      </c>
      <c r="BN78" s="100">
        <v>4</v>
      </c>
      <c r="BO78" s="100">
        <v>2208</v>
      </c>
      <c r="BP78" s="100">
        <v>5</v>
      </c>
      <c r="BQ78" s="100">
        <v>2760</v>
      </c>
      <c r="BR78" s="100">
        <v>5</v>
      </c>
      <c r="BS78" s="100">
        <v>2760</v>
      </c>
      <c r="BT78" s="100">
        <v>5.7939680802314664</v>
      </c>
      <c r="BU78" s="100">
        <v>3198.2703802877695</v>
      </c>
      <c r="BV78" s="100">
        <v>0.86957336319644774</v>
      </c>
      <c r="BW78" s="100">
        <v>480.00449648443913</v>
      </c>
      <c r="BX78" s="100">
        <v>3.8956067189090255</v>
      </c>
      <c r="BY78" s="100">
        <v>2150.3749088377822</v>
      </c>
      <c r="BZ78" s="100">
        <v>4</v>
      </c>
      <c r="CA78" s="100">
        <v>2208</v>
      </c>
      <c r="CB78" s="100">
        <v>4</v>
      </c>
      <c r="CC78" s="100">
        <v>2208</v>
      </c>
      <c r="CD78" s="100">
        <v>3</v>
      </c>
      <c r="CE78" s="100">
        <v>1656</v>
      </c>
      <c r="CF78" s="100">
        <v>3</v>
      </c>
      <c r="CG78" s="100">
        <v>1656</v>
      </c>
      <c r="CH78" s="100">
        <v>3</v>
      </c>
      <c r="CI78" s="100">
        <v>1656</v>
      </c>
      <c r="CJ78" s="100">
        <v>4</v>
      </c>
      <c r="CK78" s="100">
        <v>2208</v>
      </c>
      <c r="CL78" s="100">
        <v>5</v>
      </c>
      <c r="CM78" s="100">
        <v>2760</v>
      </c>
      <c r="CN78" s="100">
        <v>4.6126106085614564</v>
      </c>
      <c r="CO78" s="100">
        <v>2546.1610559259238</v>
      </c>
      <c r="CP78" s="100">
        <v>5.3772854829425452</v>
      </c>
      <c r="CQ78" s="100">
        <v>2968.2615865842849</v>
      </c>
      <c r="CR78" s="100">
        <v>4</v>
      </c>
      <c r="CS78" s="100">
        <v>2208</v>
      </c>
      <c r="CT78" s="100">
        <v>4.2350917284063234</v>
      </c>
      <c r="CU78" s="100">
        <v>2337.7706340802906</v>
      </c>
    </row>
    <row r="79" spans="2:99">
      <c r="C79" s="99" t="s">
        <v>245</v>
      </c>
      <c r="D79" s="100">
        <v>4</v>
      </c>
      <c r="E79" s="100">
        <v>3028.7999999999997</v>
      </c>
      <c r="F79" s="100">
        <v>6</v>
      </c>
      <c r="G79" s="100">
        <v>4543.2</v>
      </c>
      <c r="H79" s="100">
        <v>5.5695709381144942</v>
      </c>
      <c r="I79" s="100">
        <v>4217.2791143402947</v>
      </c>
      <c r="J79" s="100">
        <v>4</v>
      </c>
      <c r="K79" s="100">
        <v>3028.7999999999997</v>
      </c>
      <c r="L79" s="100">
        <v>5</v>
      </c>
      <c r="M79" s="100">
        <v>3785.9999999999995</v>
      </c>
      <c r="N79" s="100">
        <v>1.4363744960814975</v>
      </c>
      <c r="O79" s="100">
        <v>1087.6227684329099</v>
      </c>
      <c r="P79" s="100">
        <v>4.3345749941899152</v>
      </c>
      <c r="Q79" s="100">
        <v>3282.1401856006037</v>
      </c>
      <c r="R79" s="100">
        <v>3.7870497317659257</v>
      </c>
      <c r="S79" s="100">
        <v>2867.5540568931588</v>
      </c>
      <c r="T79" s="100">
        <v>6</v>
      </c>
      <c r="U79" s="100">
        <v>4543.2</v>
      </c>
      <c r="V79" s="100">
        <v>5</v>
      </c>
      <c r="W79" s="100">
        <v>3785.9999999999995</v>
      </c>
      <c r="X79" s="100">
        <v>5</v>
      </c>
      <c r="Y79" s="100">
        <v>3785.9999999999995</v>
      </c>
      <c r="Z79" s="100">
        <v>4</v>
      </c>
      <c r="AA79" s="100">
        <v>3028.7999999999997</v>
      </c>
      <c r="AB79" s="100">
        <v>5</v>
      </c>
      <c r="AC79" s="100">
        <v>3785.9999999999995</v>
      </c>
      <c r="AD79" s="100">
        <v>6</v>
      </c>
      <c r="AE79" s="100">
        <v>4543.2</v>
      </c>
      <c r="AF79" s="100">
        <v>5</v>
      </c>
      <c r="AG79" s="100">
        <v>3785.9999999999995</v>
      </c>
      <c r="AH79" s="100">
        <v>5</v>
      </c>
      <c r="AI79" s="100">
        <v>3785.9999999999995</v>
      </c>
      <c r="AJ79" s="100">
        <v>6</v>
      </c>
      <c r="AK79" s="100">
        <v>4543.2</v>
      </c>
      <c r="AL79" s="100">
        <v>3</v>
      </c>
      <c r="AM79" s="100">
        <v>2271.6</v>
      </c>
      <c r="AN79" s="100">
        <v>5</v>
      </c>
      <c r="AO79" s="100">
        <v>3785.9999999999995</v>
      </c>
      <c r="AP79" s="100">
        <v>6</v>
      </c>
      <c r="AQ79" s="100">
        <v>4543.2</v>
      </c>
      <c r="AR79" s="100">
        <v>5</v>
      </c>
      <c r="AS79" s="100">
        <v>3785.9999999999995</v>
      </c>
      <c r="AT79" s="100">
        <v>4.9582543210529337</v>
      </c>
      <c r="AU79" s="100">
        <v>3754.3901719012811</v>
      </c>
      <c r="AV79" s="100">
        <v>3</v>
      </c>
      <c r="AW79" s="100">
        <v>2271.6</v>
      </c>
      <c r="AX79" s="100">
        <v>4</v>
      </c>
      <c r="AY79" s="100">
        <v>3028.7999999999997</v>
      </c>
      <c r="AZ79" s="100">
        <v>5.4472356497982011</v>
      </c>
      <c r="BA79" s="100">
        <v>4124.6468340271977</v>
      </c>
      <c r="BB79" s="100">
        <v>2.2058746367355839</v>
      </c>
      <c r="BC79" s="100">
        <v>1670.2882749361841</v>
      </c>
      <c r="BD79" s="100">
        <v>3.3466951117931441</v>
      </c>
      <c r="BE79" s="100">
        <v>2534.1175386497684</v>
      </c>
      <c r="BF79" s="100">
        <v>5</v>
      </c>
      <c r="BG79" s="100">
        <v>3785.9999999999995</v>
      </c>
      <c r="BH79" s="100">
        <v>4</v>
      </c>
      <c r="BI79" s="100">
        <v>3028.7999999999997</v>
      </c>
      <c r="BJ79" s="100">
        <v>5</v>
      </c>
      <c r="BK79" s="100">
        <v>3785.9999999999995</v>
      </c>
      <c r="BL79" s="100">
        <v>5</v>
      </c>
      <c r="BM79" s="100">
        <v>3785.9999999999995</v>
      </c>
      <c r="BN79" s="100">
        <v>5</v>
      </c>
      <c r="BO79" s="100">
        <v>3785.9999999999995</v>
      </c>
      <c r="BP79" s="100">
        <v>5</v>
      </c>
      <c r="BQ79" s="100">
        <v>3785.9999999999995</v>
      </c>
      <c r="BR79" s="100">
        <v>5</v>
      </c>
      <c r="BS79" s="100">
        <v>3785.9999999999995</v>
      </c>
      <c r="BT79" s="100">
        <v>5.7522424815267659</v>
      </c>
      <c r="BU79" s="100">
        <v>4355.5980070120668</v>
      </c>
      <c r="BV79" s="100">
        <v>1.1594311509285971</v>
      </c>
      <c r="BW79" s="100">
        <v>877.92126748313365</v>
      </c>
      <c r="BX79" s="100">
        <v>3.8956067189090255</v>
      </c>
      <c r="BY79" s="100">
        <v>2949.7534075579138</v>
      </c>
      <c r="BZ79" s="100">
        <v>5</v>
      </c>
      <c r="CA79" s="100">
        <v>3785.9999999999995</v>
      </c>
      <c r="CB79" s="100">
        <v>4</v>
      </c>
      <c r="CC79" s="100">
        <v>3028.7999999999997</v>
      </c>
      <c r="CD79" s="100">
        <v>3</v>
      </c>
      <c r="CE79" s="100">
        <v>2271.6</v>
      </c>
      <c r="CF79" s="100">
        <v>3</v>
      </c>
      <c r="CG79" s="100">
        <v>2271.6</v>
      </c>
      <c r="CH79" s="100">
        <v>4</v>
      </c>
      <c r="CI79" s="100">
        <v>3028.7999999999997</v>
      </c>
      <c r="CJ79" s="100">
        <v>4</v>
      </c>
      <c r="CK79" s="100">
        <v>3028.7999999999997</v>
      </c>
      <c r="CL79" s="100">
        <v>5.530229253327267</v>
      </c>
      <c r="CM79" s="100">
        <v>4187.489590619406</v>
      </c>
      <c r="CN79" s="100">
        <v>4.6597345015277218</v>
      </c>
      <c r="CO79" s="100">
        <v>3528.3509645567906</v>
      </c>
      <c r="CP79" s="100">
        <v>5.3772854829425452</v>
      </c>
      <c r="CQ79" s="100">
        <v>4071.680567684095</v>
      </c>
      <c r="CR79" s="100">
        <v>3</v>
      </c>
      <c r="CS79" s="100">
        <v>2271.6</v>
      </c>
      <c r="CT79" s="100">
        <v>5.0821100740875886</v>
      </c>
      <c r="CU79" s="100">
        <v>3848.1737480991219</v>
      </c>
    </row>
    <row r="80" spans="2:99">
      <c r="C80" s="99" t="s">
        <v>246</v>
      </c>
      <c r="D80" s="100">
        <v>3</v>
      </c>
      <c r="E80" s="100">
        <v>2415.6</v>
      </c>
      <c r="F80" s="100">
        <v>6</v>
      </c>
      <c r="G80" s="100">
        <v>4831.2</v>
      </c>
      <c r="H80" s="100">
        <v>4.641309115095412</v>
      </c>
      <c r="I80" s="100">
        <v>3737.1820994748255</v>
      </c>
      <c r="J80" s="100">
        <v>4</v>
      </c>
      <c r="K80" s="100">
        <v>3220.7999999999997</v>
      </c>
      <c r="L80" s="100">
        <v>5</v>
      </c>
      <c r="M80" s="100">
        <v>4025.9999999999995</v>
      </c>
      <c r="N80" s="100">
        <v>1.4363744960814975</v>
      </c>
      <c r="O80" s="100">
        <v>1156.5687442448216</v>
      </c>
      <c r="P80" s="100">
        <v>4.3345749941899152</v>
      </c>
      <c r="Q80" s="100">
        <v>3490.1997853217194</v>
      </c>
      <c r="R80" s="100">
        <v>3.7870497317659257</v>
      </c>
      <c r="S80" s="100">
        <v>3049.3324440179231</v>
      </c>
      <c r="T80" s="100">
        <v>6</v>
      </c>
      <c r="U80" s="100">
        <v>4831.2</v>
      </c>
      <c r="V80" s="100">
        <v>5</v>
      </c>
      <c r="W80" s="100">
        <v>4025.9999999999995</v>
      </c>
      <c r="X80" s="100">
        <v>5</v>
      </c>
      <c r="Y80" s="100">
        <v>4025.9999999999995</v>
      </c>
      <c r="Z80" s="100">
        <v>4</v>
      </c>
      <c r="AA80" s="100">
        <v>3220.7999999999997</v>
      </c>
      <c r="AB80" s="100">
        <v>5</v>
      </c>
      <c r="AC80" s="100">
        <v>4025.9999999999995</v>
      </c>
      <c r="AD80" s="100">
        <v>6</v>
      </c>
      <c r="AE80" s="100">
        <v>4831.2</v>
      </c>
      <c r="AF80" s="100">
        <v>4</v>
      </c>
      <c r="AG80" s="100">
        <v>3220.7999999999997</v>
      </c>
      <c r="AH80" s="100">
        <v>5</v>
      </c>
      <c r="AI80" s="100">
        <v>4025.9999999999995</v>
      </c>
      <c r="AJ80" s="100">
        <v>5</v>
      </c>
      <c r="AK80" s="100">
        <v>4025.9999999999995</v>
      </c>
      <c r="AL80" s="100">
        <v>3</v>
      </c>
      <c r="AM80" s="100">
        <v>2415.6</v>
      </c>
      <c r="AN80" s="100">
        <v>6</v>
      </c>
      <c r="AO80" s="100">
        <v>4831.2</v>
      </c>
      <c r="AP80" s="100">
        <v>5</v>
      </c>
      <c r="AQ80" s="100">
        <v>4025.9999999999995</v>
      </c>
      <c r="AR80" s="100">
        <v>4</v>
      </c>
      <c r="AS80" s="100">
        <v>3220.7999999999997</v>
      </c>
      <c r="AT80" s="100">
        <v>4.9582543210529337</v>
      </c>
      <c r="AU80" s="100">
        <v>3992.3863793118221</v>
      </c>
      <c r="AV80" s="100">
        <v>3</v>
      </c>
      <c r="AW80" s="100">
        <v>2415.6</v>
      </c>
      <c r="AX80" s="100">
        <v>4.2076124567474045</v>
      </c>
      <c r="AY80" s="100">
        <v>3387.9695501730098</v>
      </c>
      <c r="AZ80" s="100">
        <v>5.4472356497982011</v>
      </c>
      <c r="BA80" s="100">
        <v>4386.1141452175116</v>
      </c>
      <c r="BB80" s="100">
        <v>2.2058746367355839</v>
      </c>
      <c r="BC80" s="100">
        <v>1776.170257499492</v>
      </c>
      <c r="BD80" s="100">
        <v>3.3466951117931441</v>
      </c>
      <c r="BE80" s="100">
        <v>2694.7589040158396</v>
      </c>
      <c r="BF80" s="100">
        <v>5</v>
      </c>
      <c r="BG80" s="100">
        <v>4025.9999999999995</v>
      </c>
      <c r="BH80" s="100">
        <v>4</v>
      </c>
      <c r="BI80" s="100">
        <v>3220.7999999999997</v>
      </c>
      <c r="BJ80" s="100">
        <v>5</v>
      </c>
      <c r="BK80" s="100">
        <v>4025.9999999999995</v>
      </c>
      <c r="BL80" s="100">
        <v>5</v>
      </c>
      <c r="BM80" s="100">
        <v>4025.9999999999995</v>
      </c>
      <c r="BN80" s="100">
        <v>4</v>
      </c>
      <c r="BO80" s="100">
        <v>3220.7999999999997</v>
      </c>
      <c r="BP80" s="100">
        <v>6</v>
      </c>
      <c r="BQ80" s="100">
        <v>4831.2</v>
      </c>
      <c r="BR80" s="100">
        <v>4</v>
      </c>
      <c r="BS80" s="100">
        <v>3220.7999999999997</v>
      </c>
      <c r="BT80" s="100">
        <v>5.7105168828220645</v>
      </c>
      <c r="BU80" s="100">
        <v>4598.1081940483264</v>
      </c>
      <c r="BV80" s="100">
        <v>0.86957336319644774</v>
      </c>
      <c r="BW80" s="100">
        <v>700.18047204577965</v>
      </c>
      <c r="BX80" s="100">
        <v>3.8956067189090255</v>
      </c>
      <c r="BY80" s="100">
        <v>3136.7425300655473</v>
      </c>
      <c r="BZ80" s="100">
        <v>5</v>
      </c>
      <c r="CA80" s="100">
        <v>4025.9999999999995</v>
      </c>
      <c r="CB80" s="100">
        <v>4</v>
      </c>
      <c r="CC80" s="100">
        <v>3220.7999999999997</v>
      </c>
      <c r="CD80" s="100">
        <v>4</v>
      </c>
      <c r="CE80" s="100">
        <v>3220.7999999999997</v>
      </c>
      <c r="CF80" s="100">
        <v>3</v>
      </c>
      <c r="CG80" s="100">
        <v>2415.6</v>
      </c>
      <c r="CH80" s="100">
        <v>3</v>
      </c>
      <c r="CI80" s="100">
        <v>2415.6</v>
      </c>
      <c r="CJ80" s="100">
        <v>4</v>
      </c>
      <c r="CK80" s="100">
        <v>3220.7999999999997</v>
      </c>
      <c r="CL80" s="100">
        <v>5.4820265939338793</v>
      </c>
      <c r="CM80" s="100">
        <v>4414.1278134355589</v>
      </c>
      <c r="CN80" s="100">
        <v>5.5654867155951901</v>
      </c>
      <c r="CO80" s="100">
        <v>4481.3299033972471</v>
      </c>
      <c r="CP80" s="100">
        <v>6.2734997300996351</v>
      </c>
      <c r="CQ80" s="100">
        <v>5051.4219826762255</v>
      </c>
      <c r="CR80" s="100">
        <v>3</v>
      </c>
      <c r="CS80" s="100">
        <v>2415.6</v>
      </c>
      <c r="CT80" s="100">
        <v>5.0821100740875886</v>
      </c>
      <c r="CU80" s="100">
        <v>4092.1150316553262</v>
      </c>
    </row>
    <row r="81" spans="2:99">
      <c r="C81" s="99" t="s">
        <v>247</v>
      </c>
      <c r="D81" s="100">
        <v>3</v>
      </c>
      <c r="E81" s="100">
        <v>2260.8000000000002</v>
      </c>
      <c r="F81" s="100">
        <v>5</v>
      </c>
      <c r="G81" s="100">
        <v>3768</v>
      </c>
      <c r="H81" s="100">
        <v>5.5695709381144942</v>
      </c>
      <c r="I81" s="100">
        <v>4197.228658963083</v>
      </c>
      <c r="J81" s="100">
        <v>4</v>
      </c>
      <c r="K81" s="100">
        <v>3014.4</v>
      </c>
      <c r="L81" s="100">
        <v>5</v>
      </c>
      <c r="M81" s="100">
        <v>3768</v>
      </c>
      <c r="N81" s="100">
        <v>1.4363744960814975</v>
      </c>
      <c r="O81" s="100">
        <v>1082.4518202470165</v>
      </c>
      <c r="P81" s="100">
        <v>4.3345749941899152</v>
      </c>
      <c r="Q81" s="100">
        <v>3266.53571562152</v>
      </c>
      <c r="R81" s="100">
        <v>3.7870497317659257</v>
      </c>
      <c r="S81" s="100">
        <v>2853.9206778588018</v>
      </c>
      <c r="T81" s="100">
        <v>5</v>
      </c>
      <c r="U81" s="100">
        <v>3768</v>
      </c>
      <c r="V81" s="100">
        <v>6</v>
      </c>
      <c r="W81" s="100">
        <v>4521.6000000000004</v>
      </c>
      <c r="X81" s="100">
        <v>5</v>
      </c>
      <c r="Y81" s="100">
        <v>3768</v>
      </c>
      <c r="Z81" s="100">
        <v>4</v>
      </c>
      <c r="AA81" s="100">
        <v>3014.4</v>
      </c>
      <c r="AB81" s="100">
        <v>6</v>
      </c>
      <c r="AC81" s="100">
        <v>4521.6000000000004</v>
      </c>
      <c r="AD81" s="100">
        <v>6</v>
      </c>
      <c r="AE81" s="100">
        <v>4521.6000000000004</v>
      </c>
      <c r="AF81" s="100">
        <v>4</v>
      </c>
      <c r="AG81" s="100">
        <v>3014.4</v>
      </c>
      <c r="AH81" s="100">
        <v>6</v>
      </c>
      <c r="AI81" s="100">
        <v>4521.6000000000004</v>
      </c>
      <c r="AJ81" s="100">
        <v>6</v>
      </c>
      <c r="AK81" s="100">
        <v>4521.6000000000004</v>
      </c>
      <c r="AL81" s="100">
        <v>3</v>
      </c>
      <c r="AM81" s="100">
        <v>2260.8000000000002</v>
      </c>
      <c r="AN81" s="100">
        <v>5</v>
      </c>
      <c r="AO81" s="100">
        <v>3768</v>
      </c>
      <c r="AP81" s="100">
        <v>5</v>
      </c>
      <c r="AQ81" s="100">
        <v>3768</v>
      </c>
      <c r="AR81" s="100">
        <v>5</v>
      </c>
      <c r="AS81" s="100">
        <v>3768</v>
      </c>
      <c r="AT81" s="100">
        <v>4.9582543210529337</v>
      </c>
      <c r="AU81" s="100">
        <v>3736.5404563454908</v>
      </c>
      <c r="AV81" s="100">
        <v>3</v>
      </c>
      <c r="AW81" s="100">
        <v>2260.8000000000002</v>
      </c>
      <c r="AX81" s="100">
        <v>3</v>
      </c>
      <c r="AY81" s="100">
        <v>2260.8000000000002</v>
      </c>
      <c r="AZ81" s="100">
        <v>4.4472356497982011</v>
      </c>
      <c r="BA81" s="100">
        <v>3351.4367856879244</v>
      </c>
      <c r="BB81" s="100">
        <v>2.2058746367355839</v>
      </c>
      <c r="BC81" s="100">
        <v>1662.3471262439361</v>
      </c>
      <c r="BD81" s="100">
        <v>4.1833688897414296</v>
      </c>
      <c r="BE81" s="100">
        <v>3152.5867953091415</v>
      </c>
      <c r="BF81" s="100">
        <v>5</v>
      </c>
      <c r="BG81" s="100">
        <v>3768</v>
      </c>
      <c r="BH81" s="100">
        <v>4</v>
      </c>
      <c r="BI81" s="100">
        <v>3014.4</v>
      </c>
      <c r="BJ81" s="100">
        <v>6</v>
      </c>
      <c r="BK81" s="100">
        <v>4521.6000000000004</v>
      </c>
      <c r="BL81" s="100">
        <v>5</v>
      </c>
      <c r="BM81" s="100">
        <v>3768</v>
      </c>
      <c r="BN81" s="100">
        <v>4</v>
      </c>
      <c r="BO81" s="100">
        <v>3014.4</v>
      </c>
      <c r="BP81" s="100">
        <v>5</v>
      </c>
      <c r="BQ81" s="100">
        <v>3768</v>
      </c>
      <c r="BR81" s="100">
        <v>5</v>
      </c>
      <c r="BS81" s="100">
        <v>3768</v>
      </c>
      <c r="BT81" s="100">
        <v>5.7105168828220645</v>
      </c>
      <c r="BU81" s="100">
        <v>4303.4455228947081</v>
      </c>
      <c r="BV81" s="100">
        <v>0.86957336319644774</v>
      </c>
      <c r="BW81" s="100">
        <v>655.31048650484308</v>
      </c>
      <c r="BX81" s="100">
        <v>2.9217050391817692</v>
      </c>
      <c r="BY81" s="100">
        <v>2201.7969175273811</v>
      </c>
      <c r="BZ81" s="100">
        <v>5</v>
      </c>
      <c r="CA81" s="100">
        <v>3768</v>
      </c>
      <c r="CB81" s="100">
        <v>4</v>
      </c>
      <c r="CC81" s="100">
        <v>3014.4</v>
      </c>
      <c r="CD81" s="100">
        <v>4</v>
      </c>
      <c r="CE81" s="100">
        <v>3014.4</v>
      </c>
      <c r="CF81" s="100">
        <v>3</v>
      </c>
      <c r="CG81" s="100">
        <v>2260.8000000000002</v>
      </c>
      <c r="CH81" s="100">
        <v>4</v>
      </c>
      <c r="CI81" s="100">
        <v>3014.4</v>
      </c>
      <c r="CJ81" s="100">
        <v>4</v>
      </c>
      <c r="CK81" s="100">
        <v>3014.4</v>
      </c>
      <c r="CL81" s="100">
        <v>5</v>
      </c>
      <c r="CM81" s="100">
        <v>3768</v>
      </c>
      <c r="CN81" s="100">
        <v>4.5654867155951901</v>
      </c>
      <c r="CO81" s="100">
        <v>3440.5507888725356</v>
      </c>
      <c r="CP81" s="100">
        <v>5.3772854829425452</v>
      </c>
      <c r="CQ81" s="100">
        <v>4052.3223399455023</v>
      </c>
      <c r="CR81" s="100">
        <v>3</v>
      </c>
      <c r="CS81" s="100">
        <v>2260.8000000000002</v>
      </c>
      <c r="CT81" s="100">
        <v>5.0821100740875886</v>
      </c>
      <c r="CU81" s="100">
        <v>3829.8781518324067</v>
      </c>
    </row>
    <row r="82" spans="2:99">
      <c r="C82" s="99" t="s">
        <v>248</v>
      </c>
      <c r="D82" s="100">
        <v>3</v>
      </c>
      <c r="E82" s="100">
        <v>1526.3999999999996</v>
      </c>
      <c r="F82" s="100">
        <v>6</v>
      </c>
      <c r="G82" s="100">
        <v>3052.7999999999993</v>
      </c>
      <c r="H82" s="100">
        <v>4.641309115095412</v>
      </c>
      <c r="I82" s="100">
        <v>2361.4980777605451</v>
      </c>
      <c r="J82" s="100">
        <v>4</v>
      </c>
      <c r="K82" s="100">
        <v>2035.1999999999996</v>
      </c>
      <c r="L82" s="100">
        <v>5</v>
      </c>
      <c r="M82" s="100">
        <v>2543.9999999999995</v>
      </c>
      <c r="N82" s="100">
        <v>1.4363744960814975</v>
      </c>
      <c r="O82" s="100">
        <v>730.8273436062658</v>
      </c>
      <c r="P82" s="100">
        <v>4.3345749941899152</v>
      </c>
      <c r="Q82" s="100">
        <v>2205.4317570438284</v>
      </c>
      <c r="R82" s="100">
        <v>2.8402872988244443</v>
      </c>
      <c r="S82" s="100">
        <v>1445.1381776418771</v>
      </c>
      <c r="T82" s="100">
        <v>6</v>
      </c>
      <c r="U82" s="100">
        <v>3052.7999999999993</v>
      </c>
      <c r="V82" s="100">
        <v>6</v>
      </c>
      <c r="W82" s="100">
        <v>3052.7999999999993</v>
      </c>
      <c r="X82" s="100">
        <v>6</v>
      </c>
      <c r="Y82" s="100">
        <v>3052.7999999999993</v>
      </c>
      <c r="Z82" s="100">
        <v>4</v>
      </c>
      <c r="AA82" s="100">
        <v>2035.1999999999996</v>
      </c>
      <c r="AB82" s="100">
        <v>6</v>
      </c>
      <c r="AC82" s="100">
        <v>3052.7999999999993</v>
      </c>
      <c r="AD82" s="100">
        <v>6</v>
      </c>
      <c r="AE82" s="100">
        <v>3052.7999999999993</v>
      </c>
      <c r="AF82" s="100">
        <v>4</v>
      </c>
      <c r="AG82" s="100">
        <v>2035.1999999999996</v>
      </c>
      <c r="AH82" s="100">
        <v>6</v>
      </c>
      <c r="AI82" s="100">
        <v>3052.7999999999993</v>
      </c>
      <c r="AJ82" s="100">
        <v>6</v>
      </c>
      <c r="AK82" s="100">
        <v>3052.7999999999993</v>
      </c>
      <c r="AL82" s="100">
        <v>3</v>
      </c>
      <c r="AM82" s="100">
        <v>1526.3999999999996</v>
      </c>
      <c r="AN82" s="100">
        <v>5</v>
      </c>
      <c r="AO82" s="100">
        <v>2543.9999999999995</v>
      </c>
      <c r="AP82" s="100">
        <v>6</v>
      </c>
      <c r="AQ82" s="100">
        <v>3052.7999999999993</v>
      </c>
      <c r="AR82" s="100">
        <v>5</v>
      </c>
      <c r="AS82" s="100">
        <v>2543.9999999999995</v>
      </c>
      <c r="AT82" s="100">
        <v>4.9582543210529337</v>
      </c>
      <c r="AU82" s="100">
        <v>2522.7597985517323</v>
      </c>
      <c r="AV82" s="100">
        <v>3</v>
      </c>
      <c r="AW82" s="100">
        <v>1526.3999999999996</v>
      </c>
      <c r="AX82" s="100">
        <v>4</v>
      </c>
      <c r="AY82" s="100">
        <v>2035.1999999999996</v>
      </c>
      <c r="AZ82" s="100">
        <v>5.4969284997757795</v>
      </c>
      <c r="BA82" s="100">
        <v>2796.8372206859162</v>
      </c>
      <c r="BB82" s="100">
        <v>2.2058746367355839</v>
      </c>
      <c r="BC82" s="100">
        <v>1122.3490151710648</v>
      </c>
      <c r="BD82" s="100">
        <v>4.1833688897414296</v>
      </c>
      <c r="BE82" s="100">
        <v>2128.4980911004391</v>
      </c>
      <c r="BF82" s="100">
        <v>4</v>
      </c>
      <c r="BG82" s="100">
        <v>2035.1999999999996</v>
      </c>
      <c r="BH82" s="100">
        <v>4</v>
      </c>
      <c r="BI82" s="100">
        <v>2035.1999999999996</v>
      </c>
      <c r="BJ82" s="100">
        <v>6</v>
      </c>
      <c r="BK82" s="100">
        <v>3052.7999999999993</v>
      </c>
      <c r="BL82" s="100">
        <v>5</v>
      </c>
      <c r="BM82" s="100">
        <v>2543.9999999999995</v>
      </c>
      <c r="BN82" s="100">
        <v>5</v>
      </c>
      <c r="BO82" s="100">
        <v>2543.9999999999995</v>
      </c>
      <c r="BP82" s="100">
        <v>5</v>
      </c>
      <c r="BQ82" s="100">
        <v>2543.9999999999995</v>
      </c>
      <c r="BR82" s="100">
        <v>5</v>
      </c>
      <c r="BS82" s="100">
        <v>2543.9999999999995</v>
      </c>
      <c r="BT82" s="100">
        <v>5.7939680802314664</v>
      </c>
      <c r="BU82" s="100">
        <v>2947.9709592217696</v>
      </c>
      <c r="BV82" s="100">
        <v>0.86957336319644774</v>
      </c>
      <c r="BW82" s="100">
        <v>442.43892719435252</v>
      </c>
      <c r="BX82" s="100">
        <v>3.8956067189090255</v>
      </c>
      <c r="BY82" s="100">
        <v>1982.0846985809119</v>
      </c>
      <c r="BZ82" s="100">
        <v>5</v>
      </c>
      <c r="CA82" s="100">
        <v>2543.9999999999995</v>
      </c>
      <c r="CB82" s="100">
        <v>5</v>
      </c>
      <c r="CC82" s="100">
        <v>2543.9999999999995</v>
      </c>
      <c r="CD82" s="100">
        <v>3</v>
      </c>
      <c r="CE82" s="100">
        <v>1526.3999999999996</v>
      </c>
      <c r="CF82" s="100">
        <v>3</v>
      </c>
      <c r="CG82" s="100">
        <v>1526.3999999999996</v>
      </c>
      <c r="CH82" s="100">
        <v>4</v>
      </c>
      <c r="CI82" s="100">
        <v>2035.1999999999996</v>
      </c>
      <c r="CJ82" s="100">
        <v>4</v>
      </c>
      <c r="CK82" s="100">
        <v>2035.1999999999996</v>
      </c>
      <c r="CL82" s="100">
        <v>5.4820265939338793</v>
      </c>
      <c r="CM82" s="100">
        <v>2789.255130993557</v>
      </c>
      <c r="CN82" s="100">
        <v>4.6126106085614564</v>
      </c>
      <c r="CO82" s="100">
        <v>2346.8962776360686</v>
      </c>
      <c r="CP82" s="100">
        <v>6.2734997300996351</v>
      </c>
      <c r="CQ82" s="100">
        <v>3191.9566626746937</v>
      </c>
      <c r="CR82" s="100">
        <v>3</v>
      </c>
      <c r="CS82" s="100">
        <v>1526.3999999999996</v>
      </c>
      <c r="CT82" s="100">
        <v>5.0821100740875886</v>
      </c>
      <c r="CU82" s="100">
        <v>2585.7776056957646</v>
      </c>
    </row>
    <row r="83" spans="2:99">
      <c r="C83" s="99" t="s">
        <v>249</v>
      </c>
      <c r="D83" s="100">
        <v>3</v>
      </c>
      <c r="E83" s="100">
        <v>2581.1999999999998</v>
      </c>
      <c r="F83" s="100">
        <v>6</v>
      </c>
      <c r="G83" s="100">
        <v>5162.3999999999996</v>
      </c>
      <c r="H83" s="100">
        <v>5.5695709381144942</v>
      </c>
      <c r="I83" s="100">
        <v>4792.0588351537108</v>
      </c>
      <c r="J83" s="100">
        <v>4</v>
      </c>
      <c r="K83" s="100">
        <v>3441.6</v>
      </c>
      <c r="L83" s="100">
        <v>5</v>
      </c>
      <c r="M83" s="100">
        <v>4302</v>
      </c>
      <c r="N83" s="100">
        <v>1.4363744960814975</v>
      </c>
      <c r="O83" s="100">
        <v>1235.8566164285203</v>
      </c>
      <c r="P83" s="100">
        <v>3.4676599953519327</v>
      </c>
      <c r="Q83" s="100">
        <v>2983.5746600008029</v>
      </c>
      <c r="R83" s="100">
        <v>3.7870497317659257</v>
      </c>
      <c r="S83" s="100">
        <v>3258.3775892114022</v>
      </c>
      <c r="T83" s="100">
        <v>6</v>
      </c>
      <c r="U83" s="100">
        <v>5162.3999999999996</v>
      </c>
      <c r="V83" s="100">
        <v>5</v>
      </c>
      <c r="W83" s="100">
        <v>4302</v>
      </c>
      <c r="X83" s="100">
        <v>5</v>
      </c>
      <c r="Y83" s="100">
        <v>4302</v>
      </c>
      <c r="Z83" s="100">
        <v>4</v>
      </c>
      <c r="AA83" s="100">
        <v>3441.6</v>
      </c>
      <c r="AB83" s="100">
        <v>5</v>
      </c>
      <c r="AC83" s="100">
        <v>4302</v>
      </c>
      <c r="AD83" s="100">
        <v>6</v>
      </c>
      <c r="AE83" s="100">
        <v>5162.3999999999996</v>
      </c>
      <c r="AF83" s="100">
        <v>4</v>
      </c>
      <c r="AG83" s="100">
        <v>3441.6</v>
      </c>
      <c r="AH83" s="100">
        <v>6</v>
      </c>
      <c r="AI83" s="100">
        <v>5162.3999999999996</v>
      </c>
      <c r="AJ83" s="100">
        <v>6</v>
      </c>
      <c r="AK83" s="100">
        <v>5162.3999999999996</v>
      </c>
      <c r="AL83" s="100">
        <v>3</v>
      </c>
      <c r="AM83" s="100">
        <v>2581.1999999999998</v>
      </c>
      <c r="AN83" s="100">
        <v>5</v>
      </c>
      <c r="AO83" s="100">
        <v>4302</v>
      </c>
      <c r="AP83" s="100">
        <v>6</v>
      </c>
      <c r="AQ83" s="100">
        <v>5162.3999999999996</v>
      </c>
      <c r="AR83" s="100">
        <v>5</v>
      </c>
      <c r="AS83" s="100">
        <v>4302</v>
      </c>
      <c r="AT83" s="100">
        <v>5.9499051852635203</v>
      </c>
      <c r="AU83" s="100">
        <v>5119.2984214007329</v>
      </c>
      <c r="AV83" s="100">
        <v>3</v>
      </c>
      <c r="AW83" s="100">
        <v>2581.1999999999998</v>
      </c>
      <c r="AX83" s="100">
        <v>4</v>
      </c>
      <c r="AY83" s="100">
        <v>3441.6</v>
      </c>
      <c r="AZ83" s="100">
        <v>4.4472356497982011</v>
      </c>
      <c r="BA83" s="100">
        <v>3826.4015530863721</v>
      </c>
      <c r="BB83" s="100">
        <v>2.2058746367355839</v>
      </c>
      <c r="BC83" s="100">
        <v>1897.9345374472964</v>
      </c>
      <c r="BD83" s="100">
        <v>3.3466951117931441</v>
      </c>
      <c r="BE83" s="100">
        <v>2879.4964741868212</v>
      </c>
      <c r="BF83" s="100">
        <v>5</v>
      </c>
      <c r="BG83" s="100">
        <v>4302</v>
      </c>
      <c r="BH83" s="100">
        <v>4</v>
      </c>
      <c r="BI83" s="100">
        <v>3441.6</v>
      </c>
      <c r="BJ83" s="100">
        <v>6</v>
      </c>
      <c r="BK83" s="100">
        <v>5162.3999999999996</v>
      </c>
      <c r="BL83" s="100">
        <v>5</v>
      </c>
      <c r="BM83" s="100">
        <v>4302</v>
      </c>
      <c r="BN83" s="100">
        <v>4</v>
      </c>
      <c r="BO83" s="100">
        <v>3441.6</v>
      </c>
      <c r="BP83" s="100">
        <v>5</v>
      </c>
      <c r="BQ83" s="100">
        <v>4302</v>
      </c>
      <c r="BR83" s="100">
        <v>5</v>
      </c>
      <c r="BS83" s="100">
        <v>4302</v>
      </c>
      <c r="BT83" s="100">
        <v>5.7939680802314664</v>
      </c>
      <c r="BU83" s="100">
        <v>4985.1301362311533</v>
      </c>
      <c r="BV83" s="100">
        <v>1.1594311509285971</v>
      </c>
      <c r="BW83" s="100">
        <v>997.57456225896487</v>
      </c>
      <c r="BX83" s="100">
        <v>2.9217050391817692</v>
      </c>
      <c r="BY83" s="100">
        <v>2513.8350157119939</v>
      </c>
      <c r="BZ83" s="100">
        <v>5</v>
      </c>
      <c r="CA83" s="100">
        <v>4302</v>
      </c>
      <c r="CB83" s="100">
        <v>4</v>
      </c>
      <c r="CC83" s="100">
        <v>3441.6</v>
      </c>
      <c r="CD83" s="100">
        <v>4</v>
      </c>
      <c r="CE83" s="100">
        <v>3441.6</v>
      </c>
      <c r="CF83" s="100">
        <v>3</v>
      </c>
      <c r="CG83" s="100">
        <v>2581.1999999999998</v>
      </c>
      <c r="CH83" s="100">
        <v>4</v>
      </c>
      <c r="CI83" s="100">
        <v>3441.6</v>
      </c>
      <c r="CJ83" s="100">
        <v>4</v>
      </c>
      <c r="CK83" s="100">
        <v>3441.6</v>
      </c>
      <c r="CL83" s="100">
        <v>5</v>
      </c>
      <c r="CM83" s="100">
        <v>4302</v>
      </c>
      <c r="CN83" s="100">
        <v>4.5654867155951901</v>
      </c>
      <c r="CO83" s="100">
        <v>3928.1447700981016</v>
      </c>
      <c r="CP83" s="100">
        <v>5.3772854829425452</v>
      </c>
      <c r="CQ83" s="100">
        <v>4626.6164295237659</v>
      </c>
      <c r="CR83" s="100">
        <v>4</v>
      </c>
      <c r="CS83" s="100">
        <v>3441.6</v>
      </c>
      <c r="CT83" s="100">
        <v>4.2350917284063234</v>
      </c>
      <c r="CU83" s="100">
        <v>3643.8729231208004</v>
      </c>
    </row>
    <row r="84" spans="2:99">
      <c r="C84" s="99" t="s">
        <v>250</v>
      </c>
      <c r="D84" s="100">
        <v>4</v>
      </c>
      <c r="E84" s="100">
        <v>3124.7999999999997</v>
      </c>
      <c r="F84" s="100">
        <v>6</v>
      </c>
      <c r="G84" s="100">
        <v>4687.2</v>
      </c>
      <c r="H84" s="100">
        <v>5.5695709381144942</v>
      </c>
      <c r="I84" s="100">
        <v>4350.9488168550424</v>
      </c>
      <c r="J84" s="100">
        <v>4</v>
      </c>
      <c r="K84" s="100">
        <v>3124.7999999999997</v>
      </c>
      <c r="L84" s="100">
        <v>5</v>
      </c>
      <c r="M84" s="100">
        <v>3905.9999999999995</v>
      </c>
      <c r="N84" s="100">
        <v>1.4363744960814975</v>
      </c>
      <c r="O84" s="100">
        <v>1122.0957563388658</v>
      </c>
      <c r="P84" s="100">
        <v>3.4676599953519327</v>
      </c>
      <c r="Q84" s="100">
        <v>2708.9359883689294</v>
      </c>
      <c r="R84" s="100">
        <v>3.7870497317659257</v>
      </c>
      <c r="S84" s="100">
        <v>2958.4432504555411</v>
      </c>
      <c r="T84" s="100">
        <v>6</v>
      </c>
      <c r="U84" s="100">
        <v>4687.2</v>
      </c>
      <c r="V84" s="100">
        <v>6</v>
      </c>
      <c r="W84" s="100">
        <v>4687.2</v>
      </c>
      <c r="X84" s="100">
        <v>5</v>
      </c>
      <c r="Y84" s="100">
        <v>3905.9999999999995</v>
      </c>
      <c r="Z84" s="100">
        <v>4</v>
      </c>
      <c r="AA84" s="100">
        <v>3124.7999999999997</v>
      </c>
      <c r="AB84" s="100">
        <v>6</v>
      </c>
      <c r="AC84" s="100">
        <v>4687.2</v>
      </c>
      <c r="AD84" s="100">
        <v>6</v>
      </c>
      <c r="AE84" s="100">
        <v>4687.2</v>
      </c>
      <c r="AF84" s="100">
        <v>5</v>
      </c>
      <c r="AG84" s="100">
        <v>3905.9999999999995</v>
      </c>
      <c r="AH84" s="100">
        <v>6</v>
      </c>
      <c r="AI84" s="100">
        <v>4687.2</v>
      </c>
      <c r="AJ84" s="100">
        <v>6</v>
      </c>
      <c r="AK84" s="100">
        <v>4687.2</v>
      </c>
      <c r="AL84" s="100">
        <v>3</v>
      </c>
      <c r="AM84" s="100">
        <v>2343.6</v>
      </c>
      <c r="AN84" s="100">
        <v>6</v>
      </c>
      <c r="AO84" s="100">
        <v>4687.2</v>
      </c>
      <c r="AP84" s="100">
        <v>6</v>
      </c>
      <c r="AQ84" s="100">
        <v>4687.2</v>
      </c>
      <c r="AR84" s="100">
        <v>4</v>
      </c>
      <c r="AS84" s="100">
        <v>3124.7999999999997</v>
      </c>
      <c r="AT84" s="100">
        <v>4.9582543210529337</v>
      </c>
      <c r="AU84" s="100">
        <v>3873.3882756065514</v>
      </c>
      <c r="AV84" s="100">
        <v>3</v>
      </c>
      <c r="AW84" s="100">
        <v>2343.6</v>
      </c>
      <c r="AX84" s="100">
        <v>4</v>
      </c>
      <c r="AY84" s="100">
        <v>3124.7999999999997</v>
      </c>
      <c r="AZ84" s="100">
        <v>4.4472356497982011</v>
      </c>
      <c r="BA84" s="100">
        <v>3474.1804896223543</v>
      </c>
      <c r="BB84" s="100">
        <v>2.2058746367355839</v>
      </c>
      <c r="BC84" s="100">
        <v>1723.2292662178379</v>
      </c>
      <c r="BD84" s="100">
        <v>4.1833688897414296</v>
      </c>
      <c r="BE84" s="100">
        <v>3268.0477766660047</v>
      </c>
      <c r="BF84" s="100">
        <v>4</v>
      </c>
      <c r="BG84" s="100">
        <v>3124.7999999999997</v>
      </c>
      <c r="BH84" s="100">
        <v>4</v>
      </c>
      <c r="BI84" s="100">
        <v>3124.7999999999997</v>
      </c>
      <c r="BJ84" s="100">
        <v>6</v>
      </c>
      <c r="BK84" s="100">
        <v>4687.2</v>
      </c>
      <c r="BL84" s="100">
        <v>5</v>
      </c>
      <c r="BM84" s="100">
        <v>3905.9999999999995</v>
      </c>
      <c r="BN84" s="100">
        <v>4</v>
      </c>
      <c r="BO84" s="100">
        <v>3124.7999999999997</v>
      </c>
      <c r="BP84" s="100">
        <v>5</v>
      </c>
      <c r="BQ84" s="100">
        <v>3905.9999999999995</v>
      </c>
      <c r="BR84" s="100">
        <v>5</v>
      </c>
      <c r="BS84" s="100">
        <v>3905.9999999999995</v>
      </c>
      <c r="BT84" s="100">
        <v>5.7939680802314664</v>
      </c>
      <c r="BU84" s="100">
        <v>4526.247864276821</v>
      </c>
      <c r="BV84" s="100">
        <v>0.86957336319644774</v>
      </c>
      <c r="BW84" s="100">
        <v>679.31071132906493</v>
      </c>
      <c r="BX84" s="100">
        <v>2.9217050391817692</v>
      </c>
      <c r="BY84" s="100">
        <v>2282.4359766087978</v>
      </c>
      <c r="BZ84" s="100">
        <v>5</v>
      </c>
      <c r="CA84" s="100">
        <v>3905.9999999999995</v>
      </c>
      <c r="CB84" s="100">
        <v>4</v>
      </c>
      <c r="CC84" s="100">
        <v>3124.7999999999997</v>
      </c>
      <c r="CD84" s="100">
        <v>3</v>
      </c>
      <c r="CE84" s="100">
        <v>2343.6</v>
      </c>
      <c r="CF84" s="100">
        <v>4</v>
      </c>
      <c r="CG84" s="100">
        <v>3124.7999999999997</v>
      </c>
      <c r="CH84" s="100">
        <v>3</v>
      </c>
      <c r="CI84" s="100">
        <v>2343.6</v>
      </c>
      <c r="CJ84" s="100">
        <v>4</v>
      </c>
      <c r="CK84" s="100">
        <v>3124.7999999999997</v>
      </c>
      <c r="CL84" s="100">
        <v>5.4820265939338793</v>
      </c>
      <c r="CM84" s="100">
        <v>4282.5591751811462</v>
      </c>
      <c r="CN84" s="100">
        <v>5.5654867155951901</v>
      </c>
      <c r="CO84" s="100">
        <v>4347.7582222229621</v>
      </c>
      <c r="CP84" s="100">
        <v>6.2734997300996351</v>
      </c>
      <c r="CQ84" s="100">
        <v>4900.8579891538348</v>
      </c>
      <c r="CR84" s="100">
        <v>3</v>
      </c>
      <c r="CS84" s="100">
        <v>2343.6</v>
      </c>
      <c r="CT84" s="100">
        <v>4.2350917284063234</v>
      </c>
      <c r="CU84" s="100">
        <v>3308.4536582310197</v>
      </c>
    </row>
    <row r="85" spans="2:99">
      <c r="C85" s="99" t="s">
        <v>251</v>
      </c>
      <c r="D85" s="100">
        <v>4</v>
      </c>
      <c r="E85" s="100">
        <v>600</v>
      </c>
      <c r="F85" s="100">
        <v>6</v>
      </c>
      <c r="G85" s="100">
        <v>900</v>
      </c>
      <c r="H85" s="100">
        <v>5.5695709381144942</v>
      </c>
      <c r="I85" s="100">
        <v>835.43564071717412</v>
      </c>
      <c r="J85" s="100">
        <v>4</v>
      </c>
      <c r="K85" s="100">
        <v>600</v>
      </c>
      <c r="L85" s="100">
        <v>6</v>
      </c>
      <c r="M85" s="100">
        <v>900</v>
      </c>
      <c r="N85" s="100">
        <v>1.4363744960814975</v>
      </c>
      <c r="O85" s="100">
        <v>215.45617441222461</v>
      </c>
      <c r="P85" s="100">
        <v>4.3345749941899152</v>
      </c>
      <c r="Q85" s="100">
        <v>650.18624912848725</v>
      </c>
      <c r="R85" s="100">
        <v>3.7870497317659257</v>
      </c>
      <c r="S85" s="100">
        <v>568.0574597648889</v>
      </c>
      <c r="T85" s="100">
        <v>6</v>
      </c>
      <c r="U85" s="100">
        <v>900</v>
      </c>
      <c r="V85" s="100">
        <v>5</v>
      </c>
      <c r="W85" s="100">
        <v>750</v>
      </c>
      <c r="X85" s="100">
        <v>6</v>
      </c>
      <c r="Y85" s="100">
        <v>900</v>
      </c>
      <c r="Z85" s="100">
        <v>4</v>
      </c>
      <c r="AA85" s="100">
        <v>600</v>
      </c>
      <c r="AB85" s="100">
        <v>6</v>
      </c>
      <c r="AC85" s="100">
        <v>900</v>
      </c>
      <c r="AD85" s="100">
        <v>6</v>
      </c>
      <c r="AE85" s="100">
        <v>900</v>
      </c>
      <c r="AF85" s="100">
        <v>5</v>
      </c>
      <c r="AG85" s="100">
        <v>750</v>
      </c>
      <c r="AH85" s="100">
        <v>5</v>
      </c>
      <c r="AI85" s="100">
        <v>750</v>
      </c>
      <c r="AJ85" s="100">
        <v>6</v>
      </c>
      <c r="AK85" s="100">
        <v>900</v>
      </c>
      <c r="AL85" s="100">
        <v>3</v>
      </c>
      <c r="AM85" s="100">
        <v>450</v>
      </c>
      <c r="AN85" s="100">
        <v>6</v>
      </c>
      <c r="AO85" s="100">
        <v>900</v>
      </c>
      <c r="AP85" s="100">
        <v>6</v>
      </c>
      <c r="AQ85" s="100">
        <v>900</v>
      </c>
      <c r="AR85" s="100">
        <v>4</v>
      </c>
      <c r="AS85" s="100">
        <v>600</v>
      </c>
      <c r="AT85" s="100">
        <v>5.9499051852635203</v>
      </c>
      <c r="AU85" s="100">
        <v>892.48577778952802</v>
      </c>
      <c r="AV85" s="100">
        <v>3</v>
      </c>
      <c r="AW85" s="100">
        <v>450</v>
      </c>
      <c r="AX85" s="100">
        <v>4</v>
      </c>
      <c r="AY85" s="100">
        <v>600</v>
      </c>
      <c r="AZ85" s="100">
        <v>5.4969284997757795</v>
      </c>
      <c r="BA85" s="100">
        <v>824.53927496636697</v>
      </c>
      <c r="BB85" s="100">
        <v>2.2058746367355839</v>
      </c>
      <c r="BC85" s="100">
        <v>330.88119551033759</v>
      </c>
      <c r="BD85" s="100">
        <v>4.1833688897414296</v>
      </c>
      <c r="BE85" s="100">
        <v>627.50533346121449</v>
      </c>
      <c r="BF85" s="100">
        <v>5</v>
      </c>
      <c r="BG85" s="100">
        <v>750</v>
      </c>
      <c r="BH85" s="100">
        <v>4</v>
      </c>
      <c r="BI85" s="100">
        <v>600</v>
      </c>
      <c r="BJ85" s="100">
        <v>6</v>
      </c>
      <c r="BK85" s="100">
        <v>900</v>
      </c>
      <c r="BL85" s="100">
        <v>6</v>
      </c>
      <c r="BM85" s="100">
        <v>900</v>
      </c>
      <c r="BN85" s="100">
        <v>5</v>
      </c>
      <c r="BO85" s="100">
        <v>750</v>
      </c>
      <c r="BP85" s="100">
        <v>6</v>
      </c>
      <c r="BQ85" s="100">
        <v>900</v>
      </c>
      <c r="BR85" s="100">
        <v>5</v>
      </c>
      <c r="BS85" s="100">
        <v>750</v>
      </c>
      <c r="BT85" s="100">
        <v>5.7522424815267659</v>
      </c>
      <c r="BU85" s="100">
        <v>862.83637222901484</v>
      </c>
      <c r="BV85" s="100">
        <v>0.86957336319644774</v>
      </c>
      <c r="BW85" s="100">
        <v>130.43600447946716</v>
      </c>
      <c r="BX85" s="100">
        <v>3.8956067189090255</v>
      </c>
      <c r="BY85" s="100">
        <v>584.34100783635381</v>
      </c>
      <c r="BZ85" s="100">
        <v>5</v>
      </c>
      <c r="CA85" s="100">
        <v>750</v>
      </c>
      <c r="CB85" s="100">
        <v>4</v>
      </c>
      <c r="CC85" s="100">
        <v>600</v>
      </c>
      <c r="CD85" s="100">
        <v>3</v>
      </c>
      <c r="CE85" s="100">
        <v>450</v>
      </c>
      <c r="CF85" s="100">
        <v>3</v>
      </c>
      <c r="CG85" s="100">
        <v>450</v>
      </c>
      <c r="CH85" s="100">
        <v>4</v>
      </c>
      <c r="CI85" s="100">
        <v>600</v>
      </c>
      <c r="CJ85" s="100">
        <v>4</v>
      </c>
      <c r="CK85" s="100">
        <v>600</v>
      </c>
      <c r="CL85" s="100">
        <v>5.530229253327267</v>
      </c>
      <c r="CM85" s="100">
        <v>829.53438799909009</v>
      </c>
      <c r="CN85" s="100">
        <v>5.6126106085614564</v>
      </c>
      <c r="CO85" s="100">
        <v>841.89159128421852</v>
      </c>
      <c r="CP85" s="100">
        <v>5.3772854829425452</v>
      </c>
      <c r="CQ85" s="100">
        <v>806.59282244138183</v>
      </c>
      <c r="CR85" s="100">
        <v>4</v>
      </c>
      <c r="CS85" s="100">
        <v>600</v>
      </c>
      <c r="CT85" s="100">
        <v>5.0821100740875886</v>
      </c>
      <c r="CU85" s="100">
        <v>762.31651111313829</v>
      </c>
    </row>
    <row r="86" spans="2:99">
      <c r="C86" s="99" t="s">
        <v>252</v>
      </c>
      <c r="D86" s="100">
        <v>4</v>
      </c>
      <c r="E86" s="100">
        <v>2160</v>
      </c>
      <c r="F86" s="100">
        <v>5</v>
      </c>
      <c r="G86" s="100">
        <v>2700</v>
      </c>
      <c r="H86" s="100">
        <v>5.5695709381144942</v>
      </c>
      <c r="I86" s="100">
        <v>3007.5683065818271</v>
      </c>
      <c r="J86" s="100">
        <v>4</v>
      </c>
      <c r="K86" s="100">
        <v>2160</v>
      </c>
      <c r="L86" s="100">
        <v>5</v>
      </c>
      <c r="M86" s="100">
        <v>2700</v>
      </c>
      <c r="N86" s="100">
        <v>1.4363744960814975</v>
      </c>
      <c r="O86" s="100">
        <v>775.64222788400866</v>
      </c>
      <c r="P86" s="100">
        <v>3.4676599953519327</v>
      </c>
      <c r="Q86" s="100">
        <v>1872.5363974900436</v>
      </c>
      <c r="R86" s="100">
        <v>3.7870497317659257</v>
      </c>
      <c r="S86" s="100">
        <v>2045.0068551535999</v>
      </c>
      <c r="T86" s="100">
        <v>6</v>
      </c>
      <c r="U86" s="100">
        <v>3240</v>
      </c>
      <c r="V86" s="100">
        <v>6</v>
      </c>
      <c r="W86" s="100">
        <v>3240</v>
      </c>
      <c r="X86" s="100">
        <v>5</v>
      </c>
      <c r="Y86" s="100">
        <v>2700</v>
      </c>
      <c r="Z86" s="100">
        <v>4</v>
      </c>
      <c r="AA86" s="100">
        <v>2160</v>
      </c>
      <c r="AB86" s="100">
        <v>6</v>
      </c>
      <c r="AC86" s="100">
        <v>3240</v>
      </c>
      <c r="AD86" s="100">
        <v>6</v>
      </c>
      <c r="AE86" s="100">
        <v>3240</v>
      </c>
      <c r="AF86" s="100">
        <v>4</v>
      </c>
      <c r="AG86" s="100">
        <v>2160</v>
      </c>
      <c r="AH86" s="100">
        <v>6</v>
      </c>
      <c r="AI86" s="100">
        <v>3240</v>
      </c>
      <c r="AJ86" s="100">
        <v>6</v>
      </c>
      <c r="AK86" s="100">
        <v>3240</v>
      </c>
      <c r="AL86" s="100">
        <v>3</v>
      </c>
      <c r="AM86" s="100">
        <v>1620</v>
      </c>
      <c r="AN86" s="100">
        <v>6</v>
      </c>
      <c r="AO86" s="100">
        <v>3240</v>
      </c>
      <c r="AP86" s="100">
        <v>6</v>
      </c>
      <c r="AQ86" s="100">
        <v>3240</v>
      </c>
      <c r="AR86" s="100">
        <v>4</v>
      </c>
      <c r="AS86" s="100">
        <v>2160</v>
      </c>
      <c r="AT86" s="100">
        <v>4.9582543210529337</v>
      </c>
      <c r="AU86" s="100">
        <v>2677.4573333685844</v>
      </c>
      <c r="AV86" s="100">
        <v>3</v>
      </c>
      <c r="AW86" s="100">
        <v>1620</v>
      </c>
      <c r="AX86" s="100">
        <v>4</v>
      </c>
      <c r="AY86" s="100">
        <v>2160</v>
      </c>
      <c r="AZ86" s="100">
        <v>4.4472356497982011</v>
      </c>
      <c r="BA86" s="100">
        <v>2401.5072508910284</v>
      </c>
      <c r="BB86" s="100">
        <v>2.2058746367355839</v>
      </c>
      <c r="BC86" s="100">
        <v>1191.1723038372154</v>
      </c>
      <c r="BD86" s="100">
        <v>3.3466951117931441</v>
      </c>
      <c r="BE86" s="100">
        <v>1807.2153603682978</v>
      </c>
      <c r="BF86" s="100">
        <v>4</v>
      </c>
      <c r="BG86" s="100">
        <v>2160</v>
      </c>
      <c r="BH86" s="100">
        <v>4</v>
      </c>
      <c r="BI86" s="100">
        <v>2160</v>
      </c>
      <c r="BJ86" s="100">
        <v>5</v>
      </c>
      <c r="BK86" s="100">
        <v>2700</v>
      </c>
      <c r="BL86" s="100">
        <v>5</v>
      </c>
      <c r="BM86" s="100">
        <v>2700</v>
      </c>
      <c r="BN86" s="100">
        <v>5</v>
      </c>
      <c r="BO86" s="100">
        <v>2700</v>
      </c>
      <c r="BP86" s="100">
        <v>6</v>
      </c>
      <c r="BQ86" s="100">
        <v>3240</v>
      </c>
      <c r="BR86" s="100">
        <v>5</v>
      </c>
      <c r="BS86" s="100">
        <v>2700</v>
      </c>
      <c r="BT86" s="100">
        <v>5.7522424815267659</v>
      </c>
      <c r="BU86" s="100">
        <v>3106.2109400244535</v>
      </c>
      <c r="BV86" s="100">
        <v>0.86957336319644774</v>
      </c>
      <c r="BW86" s="100">
        <v>469.56961612608177</v>
      </c>
      <c r="BX86" s="100">
        <v>2.9217050391817692</v>
      </c>
      <c r="BY86" s="100">
        <v>1577.7207211581554</v>
      </c>
      <c r="BZ86" s="100">
        <v>5</v>
      </c>
      <c r="CA86" s="100">
        <v>2700</v>
      </c>
      <c r="CB86" s="100">
        <v>4</v>
      </c>
      <c r="CC86" s="100">
        <v>2160</v>
      </c>
      <c r="CD86" s="100">
        <v>4</v>
      </c>
      <c r="CE86" s="100">
        <v>2160</v>
      </c>
      <c r="CF86" s="100">
        <v>3</v>
      </c>
      <c r="CG86" s="100">
        <v>1620</v>
      </c>
      <c r="CH86" s="100">
        <v>4</v>
      </c>
      <c r="CI86" s="100">
        <v>2160</v>
      </c>
      <c r="CJ86" s="100">
        <v>4</v>
      </c>
      <c r="CK86" s="100">
        <v>2160</v>
      </c>
      <c r="CL86" s="100">
        <v>5</v>
      </c>
      <c r="CM86" s="100">
        <v>2700</v>
      </c>
      <c r="CN86" s="100">
        <v>4.6597345015277218</v>
      </c>
      <c r="CO86" s="100">
        <v>2516.2566308249698</v>
      </c>
      <c r="CP86" s="100">
        <v>6.2734997300996351</v>
      </c>
      <c r="CQ86" s="100">
        <v>3387.6898542538029</v>
      </c>
      <c r="CR86" s="100">
        <v>4</v>
      </c>
      <c r="CS86" s="100">
        <v>2160</v>
      </c>
      <c r="CT86" s="100">
        <v>4.2350917284063234</v>
      </c>
      <c r="CU86" s="100">
        <v>2286.9495333394148</v>
      </c>
    </row>
    <row r="87" spans="2:99">
      <c r="B87" s="99" t="s">
        <v>131</v>
      </c>
      <c r="C87" s="99" t="s">
        <v>253</v>
      </c>
      <c r="D87" s="100">
        <v>4</v>
      </c>
      <c r="E87" s="100">
        <v>4296</v>
      </c>
      <c r="F87" s="100">
        <v>5</v>
      </c>
      <c r="G87" s="100">
        <v>5370</v>
      </c>
      <c r="H87" s="100">
        <v>6</v>
      </c>
      <c r="I87" s="100">
        <v>6444</v>
      </c>
      <c r="J87" s="100">
        <v>5</v>
      </c>
      <c r="K87" s="100">
        <v>5370</v>
      </c>
      <c r="L87" s="100">
        <v>6.2417476364557638</v>
      </c>
      <c r="M87" s="100">
        <v>6703.6369615534904</v>
      </c>
      <c r="N87" s="100">
        <v>1.7122403977915304</v>
      </c>
      <c r="O87" s="100">
        <v>1838.9461872281036</v>
      </c>
      <c r="P87" s="100">
        <v>5.4135338345864623</v>
      </c>
      <c r="Q87" s="100">
        <v>5814.1353383458609</v>
      </c>
      <c r="R87" s="100">
        <v>4.021031309753897</v>
      </c>
      <c r="S87" s="100">
        <v>4318.587626675685</v>
      </c>
      <c r="T87" s="100">
        <v>3.7632829343702805</v>
      </c>
      <c r="U87" s="100">
        <v>4041.7658715136813</v>
      </c>
      <c r="V87" s="100">
        <v>0.41837467996796529</v>
      </c>
      <c r="W87" s="100">
        <v>449.3344062855947</v>
      </c>
      <c r="X87" s="100">
        <v>5</v>
      </c>
      <c r="Y87" s="100">
        <v>5370</v>
      </c>
      <c r="Z87" s="100">
        <v>4</v>
      </c>
      <c r="AA87" s="100">
        <v>4296</v>
      </c>
      <c r="AB87" s="100">
        <v>4</v>
      </c>
      <c r="AC87" s="100">
        <v>4296</v>
      </c>
      <c r="AD87" s="100">
        <v>4</v>
      </c>
      <c r="AE87" s="100">
        <v>4296</v>
      </c>
      <c r="AF87" s="100">
        <v>5.1120471200561122</v>
      </c>
      <c r="AG87" s="100">
        <v>5490.3386069402641</v>
      </c>
      <c r="AH87" s="100">
        <v>0.36534715067062834</v>
      </c>
      <c r="AI87" s="100">
        <v>392.38283982025484</v>
      </c>
      <c r="AJ87" s="100">
        <v>6.4367998534843265</v>
      </c>
      <c r="AK87" s="100">
        <v>6913.1230426421671</v>
      </c>
      <c r="AL87" s="100">
        <v>4.1654913610999795</v>
      </c>
      <c r="AM87" s="100">
        <v>4473.7377218213778</v>
      </c>
      <c r="AN87" s="100">
        <v>5</v>
      </c>
      <c r="AO87" s="100">
        <v>5370</v>
      </c>
      <c r="AP87" s="100">
        <v>4.1721854304635713</v>
      </c>
      <c r="AQ87" s="100">
        <v>4480.9271523178759</v>
      </c>
      <c r="AR87" s="100">
        <v>5.2122010212308538</v>
      </c>
      <c r="AS87" s="100">
        <v>5597.9038968019368</v>
      </c>
      <c r="AT87" s="100">
        <v>4.7385438844694274</v>
      </c>
      <c r="AU87" s="100">
        <v>5089.1961319201655</v>
      </c>
      <c r="AV87" s="100">
        <v>4.4423934298005454</v>
      </c>
      <c r="AW87" s="100">
        <v>4771.1305436057855</v>
      </c>
      <c r="AX87" s="100">
        <v>4.3478260869565188</v>
      </c>
      <c r="AY87" s="100">
        <v>4669.5652173913013</v>
      </c>
      <c r="AZ87" s="100">
        <v>6.4215023139907448</v>
      </c>
      <c r="BA87" s="100">
        <v>6896.6934852260601</v>
      </c>
      <c r="BB87" s="100">
        <v>3.3499042472535763</v>
      </c>
      <c r="BC87" s="100">
        <v>3597.7971615503411</v>
      </c>
      <c r="BD87" s="100">
        <v>4</v>
      </c>
      <c r="BE87" s="100">
        <v>4296</v>
      </c>
      <c r="BF87" s="100">
        <v>7</v>
      </c>
      <c r="BG87" s="100">
        <v>7518</v>
      </c>
      <c r="BH87" s="100">
        <v>6.3637666132528974</v>
      </c>
      <c r="BI87" s="100">
        <v>6834.685342633612</v>
      </c>
      <c r="BJ87" s="100">
        <v>1.2776839688531967</v>
      </c>
      <c r="BK87" s="100">
        <v>1372.2325825483333</v>
      </c>
      <c r="BL87" s="100">
        <v>4.9375026467049139</v>
      </c>
      <c r="BM87" s="100">
        <v>5302.8778425610772</v>
      </c>
      <c r="BN87" s="100">
        <v>3.1578947368421026</v>
      </c>
      <c r="BO87" s="100">
        <v>3391.5789473684181</v>
      </c>
      <c r="BP87" s="100">
        <v>4.4266262844780968</v>
      </c>
      <c r="BQ87" s="100">
        <v>4754.196629529476</v>
      </c>
      <c r="BR87" s="100">
        <v>2.6484460953888234</v>
      </c>
      <c r="BS87" s="100">
        <v>2844.4311064475964</v>
      </c>
      <c r="BT87" s="100">
        <v>4</v>
      </c>
      <c r="BU87" s="100">
        <v>4296</v>
      </c>
      <c r="BV87" s="100">
        <v>4.8354854129731066</v>
      </c>
      <c r="BW87" s="100">
        <v>5193.3113335331163</v>
      </c>
      <c r="BX87" s="100">
        <v>0.92514079808607996</v>
      </c>
      <c r="BY87" s="100">
        <v>993.60121714444983</v>
      </c>
      <c r="BZ87" s="100">
        <v>3.7109123406687834</v>
      </c>
      <c r="CA87" s="100">
        <v>3985.5198538782734</v>
      </c>
      <c r="CB87" s="100">
        <v>5.5500502675908745</v>
      </c>
      <c r="CC87" s="100">
        <v>5960.7539873925989</v>
      </c>
      <c r="CD87" s="100">
        <v>5.0412105793083466</v>
      </c>
      <c r="CE87" s="100">
        <v>5414.2601621771646</v>
      </c>
      <c r="CF87" s="100">
        <v>0.33523612176920298</v>
      </c>
      <c r="CG87" s="100">
        <v>360.04359478012401</v>
      </c>
      <c r="CH87" s="100">
        <v>6.3867768595041321</v>
      </c>
      <c r="CI87" s="100">
        <v>6859.398347107438</v>
      </c>
      <c r="CJ87" s="100">
        <v>6.3096231456692244</v>
      </c>
      <c r="CK87" s="100">
        <v>6776.5352584487473</v>
      </c>
      <c r="CL87" s="100">
        <v>6</v>
      </c>
      <c r="CM87" s="100">
        <v>6444</v>
      </c>
      <c r="CN87" s="100">
        <v>5</v>
      </c>
      <c r="CO87" s="100">
        <v>5370</v>
      </c>
      <c r="CP87" s="100">
        <v>7</v>
      </c>
      <c r="CQ87" s="100">
        <v>7518</v>
      </c>
      <c r="CR87" s="100">
        <v>6.3035644788351926</v>
      </c>
      <c r="CS87" s="100">
        <v>6770.028250268997</v>
      </c>
      <c r="CT87" s="100">
        <v>4.5720259312132336</v>
      </c>
      <c r="CU87" s="100">
        <v>4910.3558501230127</v>
      </c>
    </row>
    <row r="88" spans="2:99">
      <c r="C88" s="99" t="s">
        <v>254</v>
      </c>
      <c r="D88" s="100">
        <v>4</v>
      </c>
      <c r="E88" s="100">
        <v>3969.6</v>
      </c>
      <c r="F88" s="100">
        <v>5</v>
      </c>
      <c r="G88" s="100">
        <v>4962</v>
      </c>
      <c r="H88" s="100">
        <v>6</v>
      </c>
      <c r="I88" s="100">
        <v>5954.4</v>
      </c>
      <c r="J88" s="100">
        <v>4</v>
      </c>
      <c r="K88" s="100">
        <v>3969.6</v>
      </c>
      <c r="L88" s="100">
        <v>6.2417476364557638</v>
      </c>
      <c r="M88" s="100">
        <v>6194.3103544186997</v>
      </c>
      <c r="N88" s="100">
        <v>1.7458952558820104</v>
      </c>
      <c r="O88" s="100">
        <v>1732.6264519373071</v>
      </c>
      <c r="P88" s="100">
        <v>5.4135338345864623</v>
      </c>
      <c r="Q88" s="100">
        <v>5372.3909774436052</v>
      </c>
      <c r="R88" s="100">
        <v>4.021031309753897</v>
      </c>
      <c r="S88" s="100">
        <v>3990.4714717997672</v>
      </c>
      <c r="T88" s="100">
        <v>3.7632829343702805</v>
      </c>
      <c r="U88" s="100">
        <v>3734.6819840690664</v>
      </c>
      <c r="V88" s="100">
        <v>0.41837467996796529</v>
      </c>
      <c r="W88" s="100">
        <v>415.19503240020873</v>
      </c>
      <c r="X88" s="100">
        <v>6</v>
      </c>
      <c r="Y88" s="100">
        <v>5954.4</v>
      </c>
      <c r="Z88" s="100">
        <v>4</v>
      </c>
      <c r="AA88" s="100">
        <v>3969.6</v>
      </c>
      <c r="AB88" s="100">
        <v>4</v>
      </c>
      <c r="AC88" s="100">
        <v>3969.6</v>
      </c>
      <c r="AD88" s="100">
        <v>3</v>
      </c>
      <c r="AE88" s="100">
        <v>2977.2</v>
      </c>
      <c r="AF88" s="100">
        <v>5.0814279884267526</v>
      </c>
      <c r="AG88" s="100">
        <v>5042.8091357147096</v>
      </c>
      <c r="AH88" s="100">
        <v>0.31315470057482431</v>
      </c>
      <c r="AI88" s="100">
        <v>310.77472485045564</v>
      </c>
      <c r="AJ88" s="100">
        <v>6.4367998534843265</v>
      </c>
      <c r="AK88" s="100">
        <v>6387.8801745978453</v>
      </c>
      <c r="AL88" s="100">
        <v>4.1950747087096767</v>
      </c>
      <c r="AM88" s="100">
        <v>4163.1921409234828</v>
      </c>
      <c r="AN88" s="100">
        <v>5</v>
      </c>
      <c r="AO88" s="100">
        <v>4962</v>
      </c>
      <c r="AP88" s="100">
        <v>4.1721854304635713</v>
      </c>
      <c r="AQ88" s="100">
        <v>4140.4768211920482</v>
      </c>
      <c r="AR88" s="100">
        <v>5.2475678581026628</v>
      </c>
      <c r="AS88" s="100">
        <v>5207.6863423810828</v>
      </c>
      <c r="AT88" s="100">
        <v>4.7385438844694274</v>
      </c>
      <c r="AU88" s="100">
        <v>4702.53095094746</v>
      </c>
      <c r="AV88" s="100">
        <v>4.2828314430973764</v>
      </c>
      <c r="AW88" s="100">
        <v>4250.2819241298366</v>
      </c>
      <c r="AX88" s="100">
        <v>5.2173913043478226</v>
      </c>
      <c r="AY88" s="100">
        <v>5177.7391304347793</v>
      </c>
      <c r="AZ88" s="100">
        <v>6.4215023139907448</v>
      </c>
      <c r="BA88" s="100">
        <v>6372.6988964044149</v>
      </c>
      <c r="BB88" s="100">
        <v>3.3499042472535763</v>
      </c>
      <c r="BC88" s="100">
        <v>3324.444974974449</v>
      </c>
      <c r="BD88" s="100">
        <v>5</v>
      </c>
      <c r="BE88" s="100">
        <v>4962</v>
      </c>
      <c r="BF88" s="100">
        <v>6</v>
      </c>
      <c r="BG88" s="100">
        <v>5954.4</v>
      </c>
      <c r="BH88" s="100">
        <v>7.3637666132528974</v>
      </c>
      <c r="BI88" s="100">
        <v>7307.8019869921754</v>
      </c>
      <c r="BJ88" s="100">
        <v>1.4730544911747014</v>
      </c>
      <c r="BK88" s="100">
        <v>1461.8592770417736</v>
      </c>
      <c r="BL88" s="100">
        <v>4.9282316912573503</v>
      </c>
      <c r="BM88" s="100">
        <v>4890.7771304037942</v>
      </c>
      <c r="BN88" s="100">
        <v>3.9473684210526288</v>
      </c>
      <c r="BO88" s="100">
        <v>3917.3684210526285</v>
      </c>
      <c r="BP88" s="100">
        <v>4.4266262844780968</v>
      </c>
      <c r="BQ88" s="100">
        <v>4392.9839247160635</v>
      </c>
      <c r="BR88" s="100">
        <v>3.3105576192360289</v>
      </c>
      <c r="BS88" s="100">
        <v>3285.3973813298348</v>
      </c>
      <c r="BT88" s="100">
        <v>4</v>
      </c>
      <c r="BU88" s="100">
        <v>3969.6</v>
      </c>
      <c r="BV88" s="100">
        <v>4.8126306641186272</v>
      </c>
      <c r="BW88" s="100">
        <v>4776.0546710713252</v>
      </c>
      <c r="BX88" s="100">
        <v>0.92514079808607996</v>
      </c>
      <c r="BY88" s="100">
        <v>918.10972802062577</v>
      </c>
      <c r="BZ88" s="100">
        <v>3.7109123406687834</v>
      </c>
      <c r="CA88" s="100">
        <v>3682.7094068797005</v>
      </c>
      <c r="CB88" s="100">
        <v>6.4750586455226866</v>
      </c>
      <c r="CC88" s="100">
        <v>6425.8481998167144</v>
      </c>
      <c r="CD88" s="100">
        <v>5.0412105793083466</v>
      </c>
      <c r="CE88" s="100">
        <v>5002.8973789056026</v>
      </c>
      <c r="CF88" s="100">
        <v>0.33523612176920298</v>
      </c>
      <c r="CG88" s="100">
        <v>332.68832724375704</v>
      </c>
      <c r="CH88" s="100">
        <v>6.3867768595041321</v>
      </c>
      <c r="CI88" s="100">
        <v>6338.2373553719008</v>
      </c>
      <c r="CJ88" s="100">
        <v>5.4082484105736217</v>
      </c>
      <c r="CK88" s="100">
        <v>5367.1457226532621</v>
      </c>
      <c r="CL88" s="100">
        <v>7</v>
      </c>
      <c r="CM88" s="100">
        <v>6946.8</v>
      </c>
      <c r="CN88" s="100">
        <v>5</v>
      </c>
      <c r="CO88" s="100">
        <v>4962</v>
      </c>
      <c r="CP88" s="100">
        <v>7</v>
      </c>
      <c r="CQ88" s="100">
        <v>6946.8</v>
      </c>
      <c r="CR88" s="100">
        <v>6.2732080309516736</v>
      </c>
      <c r="CS88" s="100">
        <v>6225.531649916441</v>
      </c>
      <c r="CT88" s="100">
        <v>5.3683232383056927</v>
      </c>
      <c r="CU88" s="100">
        <v>5327.5239816945696</v>
      </c>
    </row>
    <row r="89" spans="2:99">
      <c r="C89" s="99" t="s">
        <v>255</v>
      </c>
      <c r="D89" s="100">
        <v>4</v>
      </c>
      <c r="E89" s="100">
        <v>4248</v>
      </c>
      <c r="F89" s="100">
        <v>5</v>
      </c>
      <c r="G89" s="100">
        <v>5310</v>
      </c>
      <c r="H89" s="100">
        <v>6</v>
      </c>
      <c r="I89" s="100">
        <v>6372</v>
      </c>
      <c r="J89" s="100">
        <v>5</v>
      </c>
      <c r="K89" s="100">
        <v>5310</v>
      </c>
      <c r="L89" s="100">
        <v>6.2417476364557638</v>
      </c>
      <c r="M89" s="100">
        <v>6628.735989916021</v>
      </c>
      <c r="N89" s="100">
        <v>1.7122403977915304</v>
      </c>
      <c r="O89" s="100">
        <v>1818.3993024546053</v>
      </c>
      <c r="P89" s="100">
        <v>5.4135338345864623</v>
      </c>
      <c r="Q89" s="100">
        <v>5749.1729323308227</v>
      </c>
      <c r="R89" s="100">
        <v>4.021031309753897</v>
      </c>
      <c r="S89" s="100">
        <v>4270.3352509586384</v>
      </c>
      <c r="T89" s="100">
        <v>3.7543608852284382</v>
      </c>
      <c r="U89" s="100">
        <v>3987.1312601126015</v>
      </c>
      <c r="V89" s="100">
        <v>0.34864556663997109</v>
      </c>
      <c r="W89" s="100">
        <v>370.26159177164931</v>
      </c>
      <c r="X89" s="100">
        <v>6</v>
      </c>
      <c r="Y89" s="100">
        <v>6372</v>
      </c>
      <c r="Z89" s="100">
        <v>4</v>
      </c>
      <c r="AA89" s="100">
        <v>4248</v>
      </c>
      <c r="AB89" s="100">
        <v>5</v>
      </c>
      <c r="AC89" s="100">
        <v>5310</v>
      </c>
      <c r="AD89" s="100">
        <v>4</v>
      </c>
      <c r="AE89" s="100">
        <v>4248</v>
      </c>
      <c r="AF89" s="100">
        <v>5.1120471200561122</v>
      </c>
      <c r="AG89" s="100">
        <v>5428.9940414995908</v>
      </c>
      <c r="AH89" s="100">
        <v>0.31315470057482431</v>
      </c>
      <c r="AI89" s="100">
        <v>332.57029201046339</v>
      </c>
      <c r="AJ89" s="100">
        <v>6.4853331705381407</v>
      </c>
      <c r="AK89" s="100">
        <v>6887.4238271115055</v>
      </c>
      <c r="AL89" s="100">
        <v>4.9453396076225227</v>
      </c>
      <c r="AM89" s="100">
        <v>5251.9506632951188</v>
      </c>
      <c r="AN89" s="100">
        <v>5</v>
      </c>
      <c r="AO89" s="100">
        <v>5310</v>
      </c>
      <c r="AP89" s="100">
        <v>5.006622516556285</v>
      </c>
      <c r="AQ89" s="100">
        <v>5317.0331125827743</v>
      </c>
      <c r="AR89" s="100">
        <v>4.2475678581026628</v>
      </c>
      <c r="AS89" s="100">
        <v>4510.9170653050278</v>
      </c>
      <c r="AT89" s="100">
        <v>4.7385438844694274</v>
      </c>
      <c r="AU89" s="100">
        <v>5032.3336053065323</v>
      </c>
      <c r="AV89" s="100">
        <v>4.4423934298005454</v>
      </c>
      <c r="AW89" s="100">
        <v>4717.8218224481789</v>
      </c>
      <c r="AX89" s="100">
        <v>5.2173913043478226</v>
      </c>
      <c r="AY89" s="100">
        <v>5540.8695652173874</v>
      </c>
      <c r="AZ89" s="100">
        <v>7.4215023139907448</v>
      </c>
      <c r="BA89" s="100">
        <v>7881.635457458171</v>
      </c>
      <c r="BB89" s="100">
        <v>3.3499042472535763</v>
      </c>
      <c r="BC89" s="100">
        <v>3557.5983105832979</v>
      </c>
      <c r="BD89" s="100">
        <v>4</v>
      </c>
      <c r="BE89" s="100">
        <v>4248</v>
      </c>
      <c r="BF89" s="100">
        <v>6</v>
      </c>
      <c r="BG89" s="100">
        <v>6372</v>
      </c>
      <c r="BH89" s="100">
        <v>7.3637666132528974</v>
      </c>
      <c r="BI89" s="100">
        <v>7820.3201432745773</v>
      </c>
      <c r="BJ89" s="100">
        <v>1.4730544911747014</v>
      </c>
      <c r="BK89" s="100">
        <v>1564.3838696275329</v>
      </c>
      <c r="BL89" s="100">
        <v>4.9375026467049139</v>
      </c>
      <c r="BM89" s="100">
        <v>5243.6278108006181</v>
      </c>
      <c r="BN89" s="100">
        <v>3.9473684210526288</v>
      </c>
      <c r="BO89" s="100">
        <v>4192.1052631578914</v>
      </c>
      <c r="BP89" s="100">
        <v>4.4740292049756629</v>
      </c>
      <c r="BQ89" s="100">
        <v>4751.4190156841541</v>
      </c>
      <c r="BR89" s="100">
        <v>2.6484460953888234</v>
      </c>
      <c r="BS89" s="100">
        <v>2812.6497533029305</v>
      </c>
      <c r="BT89" s="100">
        <v>4</v>
      </c>
      <c r="BU89" s="100">
        <v>4248</v>
      </c>
      <c r="BV89" s="100">
        <v>4.8126306641186272</v>
      </c>
      <c r="BW89" s="100">
        <v>5111.013765293982</v>
      </c>
      <c r="BX89" s="100">
        <v>0.92412162343893212</v>
      </c>
      <c r="BY89" s="100">
        <v>981.41716409214587</v>
      </c>
      <c r="BZ89" s="100">
        <v>3.7109123406687834</v>
      </c>
      <c r="CA89" s="100">
        <v>3940.9889057902478</v>
      </c>
      <c r="CB89" s="100">
        <v>6.4750586455226866</v>
      </c>
      <c r="CC89" s="100">
        <v>6876.5122815450932</v>
      </c>
      <c r="CD89" s="100">
        <v>5.0316072154256153</v>
      </c>
      <c r="CE89" s="100">
        <v>5343.5668627820032</v>
      </c>
      <c r="CF89" s="100">
        <v>0.33523612176920298</v>
      </c>
      <c r="CG89" s="100">
        <v>356.02076131889356</v>
      </c>
      <c r="CH89" s="100">
        <v>6.4351239669421485</v>
      </c>
      <c r="CI89" s="100">
        <v>6834.101652892562</v>
      </c>
      <c r="CJ89" s="100">
        <v>6.3096231456692244</v>
      </c>
      <c r="CK89" s="100">
        <v>6700.8197807007164</v>
      </c>
      <c r="CL89" s="100">
        <v>6</v>
      </c>
      <c r="CM89" s="100">
        <v>6372</v>
      </c>
      <c r="CN89" s="100">
        <v>5</v>
      </c>
      <c r="CO89" s="100">
        <v>5310</v>
      </c>
      <c r="CP89" s="100">
        <v>6</v>
      </c>
      <c r="CQ89" s="100">
        <v>6372</v>
      </c>
      <c r="CR89" s="100">
        <v>6.3035644788351926</v>
      </c>
      <c r="CS89" s="100">
        <v>6694.3854765229744</v>
      </c>
      <c r="CT89" s="100">
        <v>4.5025507081837111</v>
      </c>
      <c r="CU89" s="100">
        <v>4781.7088520911011</v>
      </c>
    </row>
    <row r="90" spans="2:99">
      <c r="C90" s="99" t="s">
        <v>256</v>
      </c>
      <c r="D90" s="100">
        <v>4</v>
      </c>
      <c r="E90" s="100">
        <v>4435.2</v>
      </c>
      <c r="F90" s="100">
        <v>5</v>
      </c>
      <c r="G90" s="100">
        <v>5544</v>
      </c>
      <c r="H90" s="100">
        <v>5</v>
      </c>
      <c r="I90" s="100">
        <v>5544</v>
      </c>
      <c r="J90" s="100">
        <v>5</v>
      </c>
      <c r="K90" s="100">
        <v>5544</v>
      </c>
      <c r="L90" s="100">
        <v>6.2417476364557638</v>
      </c>
      <c r="M90" s="100">
        <v>6920.8497793021506</v>
      </c>
      <c r="N90" s="100">
        <v>1.7526262275001065</v>
      </c>
      <c r="O90" s="100">
        <v>1943.311961052118</v>
      </c>
      <c r="P90" s="100">
        <v>5.4135338345864623</v>
      </c>
      <c r="Q90" s="100">
        <v>6002.5263157894688</v>
      </c>
      <c r="R90" s="100">
        <v>3.2168250478031171</v>
      </c>
      <c r="S90" s="100">
        <v>3566.8156130040961</v>
      </c>
      <c r="T90" s="100">
        <v>3.7632829343702805</v>
      </c>
      <c r="U90" s="100">
        <v>4172.7281176297665</v>
      </c>
      <c r="V90" s="100">
        <v>0.41837467996796529</v>
      </c>
      <c r="W90" s="100">
        <v>463.8938451484799</v>
      </c>
      <c r="X90" s="100">
        <v>6</v>
      </c>
      <c r="Y90" s="100">
        <v>6652.7999999999993</v>
      </c>
      <c r="Z90" s="100">
        <v>4</v>
      </c>
      <c r="AA90" s="100">
        <v>4435.2</v>
      </c>
      <c r="AB90" s="100">
        <v>4</v>
      </c>
      <c r="AC90" s="100">
        <v>4435.2</v>
      </c>
      <c r="AD90" s="100">
        <v>3</v>
      </c>
      <c r="AE90" s="100">
        <v>3326.3999999999996</v>
      </c>
      <c r="AF90" s="100">
        <v>5.0814279884267526</v>
      </c>
      <c r="AG90" s="100">
        <v>5634.2873535675826</v>
      </c>
      <c r="AH90" s="100">
        <v>0.36534715067062834</v>
      </c>
      <c r="AI90" s="100">
        <v>405.0969206635927</v>
      </c>
      <c r="AJ90" s="100">
        <v>6.3882665364305122</v>
      </c>
      <c r="AK90" s="100">
        <v>7083.3099355941513</v>
      </c>
      <c r="AL90" s="100">
        <v>4.1359080134902841</v>
      </c>
      <c r="AM90" s="100">
        <v>4585.894805358027</v>
      </c>
      <c r="AN90" s="100">
        <v>5</v>
      </c>
      <c r="AO90" s="100">
        <v>5544</v>
      </c>
      <c r="AP90" s="100">
        <v>4.1721854304635713</v>
      </c>
      <c r="AQ90" s="100">
        <v>4626.1192052980077</v>
      </c>
      <c r="AR90" s="100">
        <v>5.2122010212308538</v>
      </c>
      <c r="AS90" s="100">
        <v>5779.2884923407701</v>
      </c>
      <c r="AT90" s="100">
        <v>4.7385438844694274</v>
      </c>
      <c r="AU90" s="100">
        <v>5254.0974590997012</v>
      </c>
      <c r="AV90" s="100">
        <v>4.4264372311302278</v>
      </c>
      <c r="AW90" s="100">
        <v>4908.0336018771968</v>
      </c>
      <c r="AX90" s="100">
        <v>5.2173913043478226</v>
      </c>
      <c r="AY90" s="100">
        <v>5785.0434782608654</v>
      </c>
      <c r="AZ90" s="100">
        <v>7.4636525453898201</v>
      </c>
      <c r="BA90" s="100">
        <v>8275.6979423282319</v>
      </c>
      <c r="BB90" s="100">
        <v>3.3499042472535763</v>
      </c>
      <c r="BC90" s="100">
        <v>3714.3738293547653</v>
      </c>
      <c r="BD90" s="100">
        <v>4</v>
      </c>
      <c r="BE90" s="100">
        <v>4435.2</v>
      </c>
      <c r="BF90" s="100">
        <v>6</v>
      </c>
      <c r="BG90" s="100">
        <v>6652.7999999999993</v>
      </c>
      <c r="BH90" s="100">
        <v>7.3637666132528974</v>
      </c>
      <c r="BI90" s="100">
        <v>8164.944420774812</v>
      </c>
      <c r="BJ90" s="100">
        <v>1.270653246524919</v>
      </c>
      <c r="BK90" s="100">
        <v>1408.9003197468301</v>
      </c>
      <c r="BL90" s="100">
        <v>4.9282316912573503</v>
      </c>
      <c r="BM90" s="100">
        <v>5464.42329926615</v>
      </c>
      <c r="BN90" s="100">
        <v>3.1578947368421026</v>
      </c>
      <c r="BO90" s="100">
        <v>3501.4736842105231</v>
      </c>
      <c r="BP90" s="100">
        <v>4.4266262844780968</v>
      </c>
      <c r="BQ90" s="100">
        <v>4908.2432242293135</v>
      </c>
      <c r="BR90" s="100">
        <v>3.3105576192360289</v>
      </c>
      <c r="BS90" s="100">
        <v>3670.7462882089085</v>
      </c>
      <c r="BT90" s="100">
        <v>4</v>
      </c>
      <c r="BU90" s="100">
        <v>4435.2</v>
      </c>
      <c r="BV90" s="100">
        <v>4.8126306641186272</v>
      </c>
      <c r="BW90" s="100">
        <v>5336.2448803747338</v>
      </c>
      <c r="BX90" s="100">
        <v>0.92412162343893212</v>
      </c>
      <c r="BY90" s="100">
        <v>1024.666056069088</v>
      </c>
      <c r="BZ90" s="100">
        <v>4.4325939151186242</v>
      </c>
      <c r="CA90" s="100">
        <v>4914.8601330835299</v>
      </c>
      <c r="CB90" s="100">
        <v>5.5500502675908745</v>
      </c>
      <c r="CC90" s="100">
        <v>6153.8957367047615</v>
      </c>
      <c r="CD90" s="100">
        <v>4.2154138619143842</v>
      </c>
      <c r="CE90" s="100">
        <v>4674.0508900906689</v>
      </c>
      <c r="CF90" s="100">
        <v>0.33523612176920298</v>
      </c>
      <c r="CG90" s="100">
        <v>371.70981181769224</v>
      </c>
      <c r="CH90" s="100">
        <v>6.4351239669421485</v>
      </c>
      <c r="CI90" s="100">
        <v>7135.2654545454543</v>
      </c>
      <c r="CJ90" s="100">
        <v>6.3096231456692244</v>
      </c>
      <c r="CK90" s="100">
        <v>6996.1101439180356</v>
      </c>
      <c r="CL90" s="100">
        <v>7</v>
      </c>
      <c r="CM90" s="100">
        <v>7761.5999999999995</v>
      </c>
      <c r="CN90" s="100">
        <v>5</v>
      </c>
      <c r="CO90" s="100">
        <v>5544</v>
      </c>
      <c r="CP90" s="100">
        <v>7</v>
      </c>
      <c r="CQ90" s="100">
        <v>7761.5999999999995</v>
      </c>
      <c r="CR90" s="100">
        <v>6.3035644788351926</v>
      </c>
      <c r="CS90" s="100">
        <v>6989.3922941324608</v>
      </c>
      <c r="CT90" s="100">
        <v>5.3335856267909314</v>
      </c>
      <c r="CU90" s="100">
        <v>5913.8797429857841</v>
      </c>
    </row>
    <row r="91" spans="2:99">
      <c r="C91" s="99" t="s">
        <v>257</v>
      </c>
      <c r="D91" s="100">
        <v>4</v>
      </c>
      <c r="E91" s="100">
        <v>4545.5999999999995</v>
      </c>
      <c r="F91" s="100">
        <v>5</v>
      </c>
      <c r="G91" s="100">
        <v>5681.9999999999991</v>
      </c>
      <c r="H91" s="100">
        <v>6</v>
      </c>
      <c r="I91" s="100">
        <v>6818.4</v>
      </c>
      <c r="J91" s="100">
        <v>5</v>
      </c>
      <c r="K91" s="100">
        <v>5681.9999999999991</v>
      </c>
      <c r="L91" s="100">
        <v>6.2820389091983913</v>
      </c>
      <c r="M91" s="100">
        <v>7138.9090164130512</v>
      </c>
      <c r="N91" s="100">
        <v>1.7458952558820104</v>
      </c>
      <c r="O91" s="100">
        <v>1984.0353687843165</v>
      </c>
      <c r="P91" s="100">
        <v>4.5112781954887184</v>
      </c>
      <c r="Q91" s="100">
        <v>5126.616541353379</v>
      </c>
      <c r="R91" s="100">
        <v>4.021031309753897</v>
      </c>
      <c r="S91" s="100">
        <v>4569.4999804043282</v>
      </c>
      <c r="T91" s="100">
        <v>3.7632829343702805</v>
      </c>
      <c r="U91" s="100">
        <v>4276.5947266183866</v>
      </c>
      <c r="V91" s="100">
        <v>0.41837467996796529</v>
      </c>
      <c r="W91" s="100">
        <v>475.44098631559569</v>
      </c>
      <c r="X91" s="100">
        <v>6</v>
      </c>
      <c r="Y91" s="100">
        <v>6818.4</v>
      </c>
      <c r="Z91" s="100">
        <v>4</v>
      </c>
      <c r="AA91" s="100">
        <v>4545.5999999999995</v>
      </c>
      <c r="AB91" s="100">
        <v>4</v>
      </c>
      <c r="AC91" s="100">
        <v>4545.5999999999995</v>
      </c>
      <c r="AD91" s="100">
        <v>4</v>
      </c>
      <c r="AE91" s="100">
        <v>4545.5999999999995</v>
      </c>
      <c r="AF91" s="100">
        <v>5.1120471200561122</v>
      </c>
      <c r="AG91" s="100">
        <v>5809.3303472317648</v>
      </c>
      <c r="AH91" s="100">
        <v>0.36534715067062834</v>
      </c>
      <c r="AI91" s="100">
        <v>415.18050202210202</v>
      </c>
      <c r="AJ91" s="100">
        <v>5.4853331705381407</v>
      </c>
      <c r="AK91" s="100">
        <v>6233.5326149995426</v>
      </c>
      <c r="AL91" s="100">
        <v>4.9453396076225227</v>
      </c>
      <c r="AM91" s="100">
        <v>5619.8839301022344</v>
      </c>
      <c r="AN91" s="100">
        <v>5</v>
      </c>
      <c r="AO91" s="100">
        <v>5681.9999999999991</v>
      </c>
      <c r="AP91" s="100">
        <v>5.006622516556285</v>
      </c>
      <c r="AQ91" s="100">
        <v>5689.5258278145611</v>
      </c>
      <c r="AR91" s="100">
        <v>5.2475678581026628</v>
      </c>
      <c r="AS91" s="100">
        <v>5963.3361139478657</v>
      </c>
      <c r="AT91" s="100">
        <v>4.7385438844694274</v>
      </c>
      <c r="AU91" s="100">
        <v>5384.8812703110571</v>
      </c>
      <c r="AV91" s="100">
        <v>4.4264372311302278</v>
      </c>
      <c r="AW91" s="100">
        <v>5030.2032694563904</v>
      </c>
      <c r="AX91" s="100">
        <v>4.3478260869565188</v>
      </c>
      <c r="AY91" s="100">
        <v>4940.8695652173874</v>
      </c>
      <c r="AZ91" s="100">
        <v>6.4636525453898201</v>
      </c>
      <c r="BA91" s="100">
        <v>7345.2947525809905</v>
      </c>
      <c r="BB91" s="100">
        <v>3.3499042472535763</v>
      </c>
      <c r="BC91" s="100">
        <v>3806.8311865789638</v>
      </c>
      <c r="BD91" s="100">
        <v>5</v>
      </c>
      <c r="BE91" s="100">
        <v>5681.9999999999991</v>
      </c>
      <c r="BF91" s="100">
        <v>7</v>
      </c>
      <c r="BG91" s="100">
        <v>7954.7999999999993</v>
      </c>
      <c r="BH91" s="100">
        <v>7.318295786596285</v>
      </c>
      <c r="BI91" s="100">
        <v>8316.5113318880176</v>
      </c>
      <c r="BJ91" s="100">
        <v>1.4730544911747014</v>
      </c>
      <c r="BK91" s="100">
        <v>1673.9791237709305</v>
      </c>
      <c r="BL91" s="100">
        <v>5.7403326843526772</v>
      </c>
      <c r="BM91" s="100">
        <v>6523.3140624983816</v>
      </c>
      <c r="BN91" s="100">
        <v>3.9473684210526288</v>
      </c>
      <c r="BO91" s="100">
        <v>4485.7894736842072</v>
      </c>
      <c r="BP91" s="100">
        <v>4.4266262844780968</v>
      </c>
      <c r="BQ91" s="100">
        <v>5030.4181096809089</v>
      </c>
      <c r="BR91" s="100">
        <v>3.3105576192360289</v>
      </c>
      <c r="BS91" s="100">
        <v>3762.1176784998229</v>
      </c>
      <c r="BT91" s="100">
        <v>4</v>
      </c>
      <c r="BU91" s="100">
        <v>4545.5999999999995</v>
      </c>
      <c r="BV91" s="100">
        <v>5.4740296174447396</v>
      </c>
      <c r="BW91" s="100">
        <v>6220.6872572642014</v>
      </c>
      <c r="BX91" s="100">
        <v>0.92514079808607996</v>
      </c>
      <c r="BY91" s="100">
        <v>1051.3300029450211</v>
      </c>
      <c r="BZ91" s="100">
        <v>3.6962688451802719</v>
      </c>
      <c r="CA91" s="100">
        <v>4200.4399156628606</v>
      </c>
      <c r="CB91" s="100">
        <v>5.5500502675908745</v>
      </c>
      <c r="CC91" s="100">
        <v>6307.0771240902686</v>
      </c>
      <c r="CD91" s="100">
        <v>4.2058104980316529</v>
      </c>
      <c r="CE91" s="100">
        <v>4779.4830499631698</v>
      </c>
      <c r="CF91" s="100">
        <v>0.27936343480766912</v>
      </c>
      <c r="CG91" s="100">
        <v>317.46860731543512</v>
      </c>
      <c r="CH91" s="100">
        <v>6.4351239669421485</v>
      </c>
      <c r="CI91" s="100">
        <v>7312.8748760330564</v>
      </c>
      <c r="CJ91" s="100">
        <v>5.4082484105736217</v>
      </c>
      <c r="CK91" s="100">
        <v>6145.9334937758631</v>
      </c>
      <c r="CL91" s="100">
        <v>7</v>
      </c>
      <c r="CM91" s="100">
        <v>7954.7999999999993</v>
      </c>
      <c r="CN91" s="100">
        <v>6</v>
      </c>
      <c r="CO91" s="100">
        <v>6818.4</v>
      </c>
      <c r="CP91" s="100">
        <v>7</v>
      </c>
      <c r="CQ91" s="100">
        <v>7954.7999999999993</v>
      </c>
      <c r="CR91" s="100">
        <v>6.3035644788351926</v>
      </c>
      <c r="CS91" s="100">
        <v>7163.3706737483117</v>
      </c>
      <c r="CT91" s="100">
        <v>5.3683232383056927</v>
      </c>
      <c r="CU91" s="100">
        <v>6100.5625280105887</v>
      </c>
    </row>
    <row r="92" spans="2:99">
      <c r="C92" s="99" t="s">
        <v>258</v>
      </c>
      <c r="D92" s="100">
        <v>4</v>
      </c>
      <c r="E92" s="100">
        <v>3139.2</v>
      </c>
      <c r="F92" s="100">
        <v>5</v>
      </c>
      <c r="G92" s="100">
        <v>3924</v>
      </c>
      <c r="H92" s="100">
        <v>5</v>
      </c>
      <c r="I92" s="100">
        <v>3924</v>
      </c>
      <c r="J92" s="100">
        <v>5</v>
      </c>
      <c r="K92" s="100">
        <v>3924</v>
      </c>
      <c r="L92" s="100">
        <v>6.2820389091983913</v>
      </c>
      <c r="M92" s="100">
        <v>4930.1441359388973</v>
      </c>
      <c r="N92" s="100">
        <v>1.7526262275001065</v>
      </c>
      <c r="O92" s="100">
        <v>1375.4610633420834</v>
      </c>
      <c r="P92" s="100">
        <v>5.4135338345864623</v>
      </c>
      <c r="Q92" s="100">
        <v>4248.5413533834553</v>
      </c>
      <c r="R92" s="100">
        <v>4.021031309753897</v>
      </c>
      <c r="S92" s="100">
        <v>3155.7053718948582</v>
      </c>
      <c r="T92" s="100">
        <v>3.7632829343702805</v>
      </c>
      <c r="U92" s="100">
        <v>2953.4244468937959</v>
      </c>
      <c r="V92" s="100">
        <v>0.34864556663997109</v>
      </c>
      <c r="W92" s="100">
        <v>273.61704069904931</v>
      </c>
      <c r="X92" s="100">
        <v>5</v>
      </c>
      <c r="Y92" s="100">
        <v>3924</v>
      </c>
      <c r="Z92" s="100">
        <v>4</v>
      </c>
      <c r="AA92" s="100">
        <v>3139.2</v>
      </c>
      <c r="AB92" s="100">
        <v>4</v>
      </c>
      <c r="AC92" s="100">
        <v>3139.2</v>
      </c>
      <c r="AD92" s="100">
        <v>4</v>
      </c>
      <c r="AE92" s="100">
        <v>3139.2</v>
      </c>
      <c r="AF92" s="100">
        <v>5.8926103329302926</v>
      </c>
      <c r="AG92" s="100">
        <v>4624.520589283693</v>
      </c>
      <c r="AH92" s="100">
        <v>0.36534715067062834</v>
      </c>
      <c r="AI92" s="100">
        <v>286.7244438463091</v>
      </c>
      <c r="AJ92" s="100">
        <v>6.4853331705381407</v>
      </c>
      <c r="AK92" s="100">
        <v>5089.6894722383322</v>
      </c>
      <c r="AL92" s="100">
        <v>4.9749229552322189</v>
      </c>
      <c r="AM92" s="100">
        <v>3904.3195352662451</v>
      </c>
      <c r="AN92" s="100">
        <v>5</v>
      </c>
      <c r="AO92" s="100">
        <v>3924</v>
      </c>
      <c r="AP92" s="100">
        <v>5.006622516556285</v>
      </c>
      <c r="AQ92" s="100">
        <v>3929.1973509933723</v>
      </c>
      <c r="AR92" s="100">
        <v>5.2475678581026628</v>
      </c>
      <c r="AS92" s="100">
        <v>4118.2912550389692</v>
      </c>
      <c r="AT92" s="100">
        <v>5.6862526613633122</v>
      </c>
      <c r="AU92" s="100">
        <v>4462.5710886379275</v>
      </c>
      <c r="AV92" s="100">
        <v>4.4423934298005454</v>
      </c>
      <c r="AW92" s="100">
        <v>3486.3903637074677</v>
      </c>
      <c r="AX92" s="100">
        <v>5.2173913043478226</v>
      </c>
      <c r="AY92" s="100">
        <v>4094.6086956521708</v>
      </c>
      <c r="AZ92" s="100">
        <v>7.4215023139907448</v>
      </c>
      <c r="BA92" s="100">
        <v>5824.3950160199365</v>
      </c>
      <c r="BB92" s="100">
        <v>3.3499042472535763</v>
      </c>
      <c r="BC92" s="100">
        <v>2629.0048532446067</v>
      </c>
      <c r="BD92" s="100">
        <v>4</v>
      </c>
      <c r="BE92" s="100">
        <v>3139.2</v>
      </c>
      <c r="BF92" s="100">
        <v>7</v>
      </c>
      <c r="BG92" s="100">
        <v>5493.5999999999995</v>
      </c>
      <c r="BH92" s="100">
        <v>7.318295786596285</v>
      </c>
      <c r="BI92" s="100">
        <v>5743.3985333207638</v>
      </c>
      <c r="BJ92" s="100">
        <v>1.4730544911747014</v>
      </c>
      <c r="BK92" s="100">
        <v>1156.0531646739057</v>
      </c>
      <c r="BL92" s="100">
        <v>4.9282316912573503</v>
      </c>
      <c r="BM92" s="100">
        <v>3867.6762312987685</v>
      </c>
      <c r="BN92" s="100">
        <v>3.1578947368421026</v>
      </c>
      <c r="BO92" s="100">
        <v>2478.3157894736819</v>
      </c>
      <c r="BP92" s="100">
        <v>4.4266262844780968</v>
      </c>
      <c r="BQ92" s="100">
        <v>3474.0163080584102</v>
      </c>
      <c r="BR92" s="100">
        <v>3.3105576192360289</v>
      </c>
      <c r="BS92" s="100">
        <v>2598.1256195764354</v>
      </c>
      <c r="BT92" s="100">
        <v>5</v>
      </c>
      <c r="BU92" s="100">
        <v>3924</v>
      </c>
      <c r="BV92" s="100">
        <v>4.8354854129731066</v>
      </c>
      <c r="BW92" s="100">
        <v>3794.8889521012939</v>
      </c>
      <c r="BX92" s="100">
        <v>1.1077229385501408</v>
      </c>
      <c r="BY92" s="100">
        <v>869.34096217415049</v>
      </c>
      <c r="BZ92" s="100">
        <v>3.6962688451802719</v>
      </c>
      <c r="CA92" s="100">
        <v>2900.8317896974772</v>
      </c>
      <c r="CB92" s="100">
        <v>5.5500502675908745</v>
      </c>
      <c r="CC92" s="100">
        <v>4355.6794500053184</v>
      </c>
      <c r="CD92" s="100">
        <v>5.0508139431910761</v>
      </c>
      <c r="CE92" s="100">
        <v>3963.8787826163561</v>
      </c>
      <c r="CF92" s="100">
        <v>0.33523612176920298</v>
      </c>
      <c r="CG92" s="100">
        <v>263.09330836447049</v>
      </c>
      <c r="CH92" s="100">
        <v>6.4351239669421485</v>
      </c>
      <c r="CI92" s="100">
        <v>5050.2852892561978</v>
      </c>
      <c r="CJ92" s="100">
        <v>6.3096231456692244</v>
      </c>
      <c r="CK92" s="100">
        <v>4951.7922447212068</v>
      </c>
      <c r="CL92" s="100">
        <v>6</v>
      </c>
      <c r="CM92" s="100">
        <v>4708.7999999999993</v>
      </c>
      <c r="CN92" s="100">
        <v>6</v>
      </c>
      <c r="CO92" s="100">
        <v>4708.7999999999993</v>
      </c>
      <c r="CP92" s="100">
        <v>7.1558397464916261</v>
      </c>
      <c r="CQ92" s="100">
        <v>5615.9030330466276</v>
      </c>
      <c r="CR92" s="100">
        <v>6.3035644788351926</v>
      </c>
      <c r="CS92" s="100">
        <v>4947.0374029898585</v>
      </c>
      <c r="CT92" s="100">
        <v>5.403060849820454</v>
      </c>
      <c r="CU92" s="100">
        <v>4240.3221549390919</v>
      </c>
    </row>
    <row r="93" spans="2:99">
      <c r="C93" s="99" t="s">
        <v>259</v>
      </c>
      <c r="D93" s="100">
        <v>4</v>
      </c>
      <c r="E93" s="100">
        <v>2774.4</v>
      </c>
      <c r="F93" s="100">
        <v>5</v>
      </c>
      <c r="G93" s="100">
        <v>3468</v>
      </c>
      <c r="H93" s="100">
        <v>6</v>
      </c>
      <c r="I93" s="100">
        <v>4161.6000000000004</v>
      </c>
      <c r="J93" s="100">
        <v>4</v>
      </c>
      <c r="K93" s="100">
        <v>2774.4</v>
      </c>
      <c r="L93" s="100">
        <v>7.2417476364557638</v>
      </c>
      <c r="M93" s="100">
        <v>5022.8761606457183</v>
      </c>
      <c r="N93" s="100">
        <v>2.1403004972394131</v>
      </c>
      <c r="O93" s="100">
        <v>1484.5124248852569</v>
      </c>
      <c r="P93" s="100">
        <v>5.4135338345864623</v>
      </c>
      <c r="Q93" s="100">
        <v>3754.8270676691704</v>
      </c>
      <c r="R93" s="100">
        <v>4.021031309753897</v>
      </c>
      <c r="S93" s="100">
        <v>2788.9873164453029</v>
      </c>
      <c r="T93" s="100">
        <v>3.7543608852284382</v>
      </c>
      <c r="U93" s="100">
        <v>2604.0247099944449</v>
      </c>
      <c r="V93" s="100">
        <v>0.34864556663997109</v>
      </c>
      <c r="W93" s="100">
        <v>241.82056502148396</v>
      </c>
      <c r="X93" s="100">
        <v>6</v>
      </c>
      <c r="Y93" s="100">
        <v>4161.6000000000004</v>
      </c>
      <c r="Z93" s="100">
        <v>4</v>
      </c>
      <c r="AA93" s="100">
        <v>2774.4</v>
      </c>
      <c r="AB93" s="100">
        <v>4</v>
      </c>
      <c r="AC93" s="100">
        <v>2774.4</v>
      </c>
      <c r="AD93" s="100">
        <v>4</v>
      </c>
      <c r="AE93" s="100">
        <v>2774.4</v>
      </c>
      <c r="AF93" s="100">
        <v>5.0814279884267526</v>
      </c>
      <c r="AG93" s="100">
        <v>3524.4784527727957</v>
      </c>
      <c r="AH93" s="100">
        <v>0.36534715067062834</v>
      </c>
      <c r="AI93" s="100">
        <v>253.40478370514782</v>
      </c>
      <c r="AJ93" s="100">
        <v>5.4367998534843265</v>
      </c>
      <c r="AK93" s="100">
        <v>3770.9643783767287</v>
      </c>
      <c r="AL93" s="100">
        <v>4.9453396076225227</v>
      </c>
      <c r="AM93" s="100">
        <v>3430.087551846982</v>
      </c>
      <c r="AN93" s="100">
        <v>5</v>
      </c>
      <c r="AO93" s="100">
        <v>3468</v>
      </c>
      <c r="AP93" s="100">
        <v>4.1721854304635713</v>
      </c>
      <c r="AQ93" s="100">
        <v>2893.8278145695331</v>
      </c>
      <c r="AR93" s="100">
        <v>5.2475678581026628</v>
      </c>
      <c r="AS93" s="100">
        <v>3639.7130663800071</v>
      </c>
      <c r="AT93" s="100">
        <v>5.6862526613633122</v>
      </c>
      <c r="AU93" s="100">
        <v>3943.9848459215937</v>
      </c>
      <c r="AV93" s="100">
        <v>4.4583496284708612</v>
      </c>
      <c r="AW93" s="100">
        <v>3092.3113023073893</v>
      </c>
      <c r="AX93" s="100">
        <v>5.2173913043478226</v>
      </c>
      <c r="AY93" s="100">
        <v>3618.7826086956497</v>
      </c>
      <c r="AZ93" s="100">
        <v>7.4636525453898201</v>
      </c>
      <c r="BA93" s="100">
        <v>5176.7894054823792</v>
      </c>
      <c r="BB93" s="100">
        <v>3.3499042472535763</v>
      </c>
      <c r="BC93" s="100">
        <v>2323.4935858950807</v>
      </c>
      <c r="BD93" s="100">
        <v>4</v>
      </c>
      <c r="BE93" s="100">
        <v>2774.4</v>
      </c>
      <c r="BF93" s="100">
        <v>7</v>
      </c>
      <c r="BG93" s="100">
        <v>4855.2</v>
      </c>
      <c r="BH93" s="100">
        <v>7.3637666132528974</v>
      </c>
      <c r="BI93" s="100">
        <v>5107.5085229522101</v>
      </c>
      <c r="BJ93" s="100">
        <v>1.2144074678986954</v>
      </c>
      <c r="BK93" s="100">
        <v>842.31301973453515</v>
      </c>
      <c r="BL93" s="100">
        <v>4.9375026467049139</v>
      </c>
      <c r="BM93" s="100">
        <v>3424.6518357545283</v>
      </c>
      <c r="BN93" s="100">
        <v>3.9473684210526288</v>
      </c>
      <c r="BO93" s="100">
        <v>2737.8947368421036</v>
      </c>
      <c r="BP93" s="100">
        <v>4.4740292049756629</v>
      </c>
      <c r="BQ93" s="100">
        <v>3103.1866565711198</v>
      </c>
      <c r="BR93" s="100">
        <v>3.3105576192360289</v>
      </c>
      <c r="BS93" s="100">
        <v>2296.2027647021096</v>
      </c>
      <c r="BT93" s="100">
        <v>5.0100207418579075</v>
      </c>
      <c r="BU93" s="100">
        <v>3474.9503865526449</v>
      </c>
      <c r="BV93" s="100">
        <v>5.4968843662992191</v>
      </c>
      <c r="BW93" s="100">
        <v>3812.6389964651385</v>
      </c>
      <c r="BX93" s="100">
        <v>0.92412162343893212</v>
      </c>
      <c r="BY93" s="100">
        <v>640.97075801724338</v>
      </c>
      <c r="BZ93" s="100">
        <v>4.4179504196301123</v>
      </c>
      <c r="CA93" s="100">
        <v>3064.2904110554459</v>
      </c>
      <c r="CB93" s="100">
        <v>5.5500502675908745</v>
      </c>
      <c r="CC93" s="100">
        <v>3849.5148656010306</v>
      </c>
      <c r="CD93" s="100">
        <v>5.0412105793083466</v>
      </c>
      <c r="CE93" s="100">
        <v>3496.5836578082694</v>
      </c>
      <c r="CF93" s="100">
        <v>0.33523612176920298</v>
      </c>
      <c r="CG93" s="100">
        <v>232.51977405911919</v>
      </c>
      <c r="CH93" s="100">
        <v>6.3867768595041321</v>
      </c>
      <c r="CI93" s="100">
        <v>4429.8684297520658</v>
      </c>
      <c r="CJ93" s="100">
        <v>6.3096231456692244</v>
      </c>
      <c r="CK93" s="100">
        <v>4376.3546138361744</v>
      </c>
      <c r="CL93" s="100">
        <v>6</v>
      </c>
      <c r="CM93" s="100">
        <v>4161.6000000000004</v>
      </c>
      <c r="CN93" s="100">
        <v>6.2566229451919551</v>
      </c>
      <c r="CO93" s="100">
        <v>4339.5936747851401</v>
      </c>
      <c r="CP93" s="100">
        <v>6</v>
      </c>
      <c r="CQ93" s="100">
        <v>4161.6000000000004</v>
      </c>
      <c r="CR93" s="100">
        <v>6.3339209267187115</v>
      </c>
      <c r="CS93" s="100">
        <v>4393.2075547720988</v>
      </c>
      <c r="CT93" s="100">
        <v>5.3683232383056927</v>
      </c>
      <c r="CU93" s="100">
        <v>3723.4689980888284</v>
      </c>
    </row>
    <row r="94" spans="2:99">
      <c r="C94" s="99" t="s">
        <v>260</v>
      </c>
      <c r="D94" s="100">
        <v>4</v>
      </c>
      <c r="E94" s="100">
        <v>4771.2</v>
      </c>
      <c r="F94" s="100">
        <v>5</v>
      </c>
      <c r="G94" s="100">
        <v>5964</v>
      </c>
      <c r="H94" s="100">
        <v>5</v>
      </c>
      <c r="I94" s="100">
        <v>5964</v>
      </c>
      <c r="J94" s="100">
        <v>4</v>
      </c>
      <c r="K94" s="100">
        <v>4771.2</v>
      </c>
      <c r="L94" s="100">
        <v>6.2417476364557638</v>
      </c>
      <c r="M94" s="100">
        <v>7445.1565807644347</v>
      </c>
      <c r="N94" s="100">
        <v>1.7458952558820104</v>
      </c>
      <c r="O94" s="100">
        <v>2082.503861216062</v>
      </c>
      <c r="P94" s="100">
        <v>5.4135338345864623</v>
      </c>
      <c r="Q94" s="100">
        <v>6457.2631578947321</v>
      </c>
      <c r="R94" s="100">
        <v>3.2168250478031171</v>
      </c>
      <c r="S94" s="100">
        <v>3837.0289170195579</v>
      </c>
      <c r="T94" s="100">
        <v>3.7632829343702805</v>
      </c>
      <c r="U94" s="100">
        <v>4488.84388411687</v>
      </c>
      <c r="V94" s="100">
        <v>0.41837467996796529</v>
      </c>
      <c r="W94" s="100">
        <v>499.037318265789</v>
      </c>
      <c r="X94" s="100">
        <v>6</v>
      </c>
      <c r="Y94" s="100">
        <v>7156.7999999999993</v>
      </c>
      <c r="Z94" s="100">
        <v>4</v>
      </c>
      <c r="AA94" s="100">
        <v>4771.2</v>
      </c>
      <c r="AB94" s="100">
        <v>5</v>
      </c>
      <c r="AC94" s="100">
        <v>5964</v>
      </c>
      <c r="AD94" s="100">
        <v>4</v>
      </c>
      <c r="AE94" s="100">
        <v>4771.2</v>
      </c>
      <c r="AF94" s="100">
        <v>4.2702456439232126</v>
      </c>
      <c r="AG94" s="100">
        <v>5093.5490040716077</v>
      </c>
      <c r="AH94" s="100">
        <v>0.31315470057482431</v>
      </c>
      <c r="AI94" s="100">
        <v>373.53092684565041</v>
      </c>
      <c r="AJ94" s="100">
        <v>6</v>
      </c>
      <c r="AK94" s="100">
        <v>7156.7999999999993</v>
      </c>
      <c r="AL94" s="100">
        <v>4.1654913610999795</v>
      </c>
      <c r="AM94" s="100">
        <v>4968.5980955200557</v>
      </c>
      <c r="AN94" s="100">
        <v>5</v>
      </c>
      <c r="AO94" s="100">
        <v>5964</v>
      </c>
      <c r="AP94" s="100">
        <v>4.1721854304635713</v>
      </c>
      <c r="AQ94" s="100">
        <v>4976.5827814569475</v>
      </c>
      <c r="AR94" s="100">
        <v>4.2475678581026628</v>
      </c>
      <c r="AS94" s="100">
        <v>5066.498941144856</v>
      </c>
      <c r="AT94" s="100">
        <v>4.7385438844694274</v>
      </c>
      <c r="AU94" s="100">
        <v>5652.1351453951329</v>
      </c>
      <c r="AV94" s="100">
        <v>4.4423934298005454</v>
      </c>
      <c r="AW94" s="100">
        <v>5298.8868830660904</v>
      </c>
      <c r="AX94" s="100">
        <v>5.2173913043478226</v>
      </c>
      <c r="AY94" s="100">
        <v>6223.3043478260824</v>
      </c>
      <c r="AZ94" s="100">
        <v>7.4636525453898201</v>
      </c>
      <c r="BA94" s="100">
        <v>8902.6447561409768</v>
      </c>
      <c r="BB94" s="100">
        <v>3.3499042472535763</v>
      </c>
      <c r="BC94" s="100">
        <v>3995.7657861240655</v>
      </c>
      <c r="BD94" s="100">
        <v>4</v>
      </c>
      <c r="BE94" s="100">
        <v>4771.2</v>
      </c>
      <c r="BF94" s="100">
        <v>7</v>
      </c>
      <c r="BG94" s="100">
        <v>8349.6</v>
      </c>
      <c r="BH94" s="100">
        <v>6.318295786596285</v>
      </c>
      <c r="BI94" s="100">
        <v>7536.4632142520486</v>
      </c>
      <c r="BJ94" s="100">
        <v>1.2776839688531967</v>
      </c>
      <c r="BK94" s="100">
        <v>1524.0214380480929</v>
      </c>
      <c r="BL94" s="100">
        <v>4.9375026467049139</v>
      </c>
      <c r="BM94" s="100">
        <v>5889.4531569896208</v>
      </c>
      <c r="BN94" s="100">
        <v>3.9473684210526288</v>
      </c>
      <c r="BO94" s="100">
        <v>4708.4210526315755</v>
      </c>
      <c r="BP94" s="100">
        <v>4.3792233639805307</v>
      </c>
      <c r="BQ94" s="100">
        <v>5223.5376285559769</v>
      </c>
      <c r="BR94" s="100">
        <v>2.6484460953888234</v>
      </c>
      <c r="BS94" s="100">
        <v>3159.0665025797884</v>
      </c>
      <c r="BT94" s="100">
        <v>4</v>
      </c>
      <c r="BU94" s="100">
        <v>4771.2</v>
      </c>
      <c r="BV94" s="100">
        <v>5.4740296174447396</v>
      </c>
      <c r="BW94" s="100">
        <v>6529.4225276880852</v>
      </c>
      <c r="BX94" s="100">
        <v>0.92412162343893212</v>
      </c>
      <c r="BY94" s="100">
        <v>1102.2922724379582</v>
      </c>
      <c r="BZ94" s="100">
        <v>3.7109123406687834</v>
      </c>
      <c r="CA94" s="100">
        <v>4426.3762399497245</v>
      </c>
      <c r="CB94" s="100">
        <v>5.5500502675908745</v>
      </c>
      <c r="CC94" s="100">
        <v>6620.0999591823947</v>
      </c>
      <c r="CD94" s="100">
        <v>5.0412105793083466</v>
      </c>
      <c r="CE94" s="100">
        <v>6013.155978998996</v>
      </c>
      <c r="CF94" s="100">
        <v>0.33523612176920298</v>
      </c>
      <c r="CG94" s="100">
        <v>399.86964604630532</v>
      </c>
      <c r="CH94" s="100">
        <v>6.4351239669421485</v>
      </c>
      <c r="CI94" s="100">
        <v>7675.8158677685942</v>
      </c>
      <c r="CJ94" s="100">
        <v>5.4082484105736217</v>
      </c>
      <c r="CK94" s="100">
        <v>6450.9587041322156</v>
      </c>
      <c r="CL94" s="100">
        <v>7</v>
      </c>
      <c r="CM94" s="100">
        <v>8349.6</v>
      </c>
      <c r="CN94" s="100">
        <v>5</v>
      </c>
      <c r="CO94" s="100">
        <v>5964</v>
      </c>
      <c r="CP94" s="100">
        <v>6</v>
      </c>
      <c r="CQ94" s="100">
        <v>7156.7999999999993</v>
      </c>
      <c r="CR94" s="100">
        <v>7.3035644788351926</v>
      </c>
      <c r="CS94" s="100">
        <v>8711.6917103546166</v>
      </c>
      <c r="CT94" s="100">
        <v>4.5372883196984732</v>
      </c>
      <c r="CU94" s="100">
        <v>5412.0775077363387</v>
      </c>
    </row>
    <row r="95" spans="2:99">
      <c r="B95" s="99" t="s">
        <v>132</v>
      </c>
      <c r="C95" s="99" t="s">
        <v>261</v>
      </c>
      <c r="D95" s="100">
        <v>7</v>
      </c>
      <c r="E95" s="100">
        <v>2301.6</v>
      </c>
      <c r="F95" s="100">
        <v>8</v>
      </c>
      <c r="G95" s="100">
        <v>2630.4</v>
      </c>
      <c r="H95" s="100">
        <v>6</v>
      </c>
      <c r="I95" s="100">
        <v>1972.8000000000002</v>
      </c>
      <c r="J95" s="100">
        <v>8</v>
      </c>
      <c r="K95" s="100">
        <v>2630.4</v>
      </c>
      <c r="L95" s="100">
        <v>10</v>
      </c>
      <c r="M95" s="100">
        <v>3288</v>
      </c>
      <c r="N95" s="100">
        <v>2.996420696135178</v>
      </c>
      <c r="O95" s="100">
        <v>985.22312488924661</v>
      </c>
      <c r="P95" s="100">
        <v>6.3157894736842062</v>
      </c>
      <c r="Q95" s="100">
        <v>2076.631578947367</v>
      </c>
      <c r="R95" s="100">
        <v>7.2378563575570132</v>
      </c>
      <c r="S95" s="100">
        <v>2379.8071703647461</v>
      </c>
      <c r="T95" s="100">
        <v>8.1543137676288335</v>
      </c>
      <c r="U95" s="100">
        <v>2681.1383667963605</v>
      </c>
      <c r="V95" s="100">
        <v>0.48810379329595949</v>
      </c>
      <c r="W95" s="100">
        <v>160.48852723571147</v>
      </c>
      <c r="X95" s="100">
        <v>8</v>
      </c>
      <c r="Y95" s="100">
        <v>2630.4</v>
      </c>
      <c r="Z95" s="100">
        <v>9</v>
      </c>
      <c r="AA95" s="100">
        <v>2959.2000000000003</v>
      </c>
      <c r="AB95" s="100">
        <v>10</v>
      </c>
      <c r="AC95" s="100">
        <v>3288</v>
      </c>
      <c r="AD95" s="100">
        <v>11</v>
      </c>
      <c r="AE95" s="100">
        <v>3616.8</v>
      </c>
      <c r="AF95" s="100">
        <v>8.9230057895389372</v>
      </c>
      <c r="AG95" s="100">
        <v>2933.8843036004027</v>
      </c>
      <c r="AH95" s="100">
        <v>0.52192450095804055</v>
      </c>
      <c r="AI95" s="100">
        <v>171.60877591500375</v>
      </c>
      <c r="AJ95" s="100">
        <v>9.3882665364305122</v>
      </c>
      <c r="AK95" s="100">
        <v>3086.8620371783527</v>
      </c>
      <c r="AL95" s="100">
        <v>6.2387859721803398</v>
      </c>
      <c r="AM95" s="100">
        <v>2051.312827652896</v>
      </c>
      <c r="AN95" s="100">
        <v>6</v>
      </c>
      <c r="AO95" s="100">
        <v>1972.8000000000002</v>
      </c>
      <c r="AP95" s="100">
        <v>7.5099337748344279</v>
      </c>
      <c r="AQ95" s="100">
        <v>2469.2662251655602</v>
      </c>
      <c r="AR95" s="100">
        <v>10.35366836871809</v>
      </c>
      <c r="AS95" s="100">
        <v>3404.2861596345078</v>
      </c>
      <c r="AT95" s="100">
        <v>5.6862526613633122</v>
      </c>
      <c r="AU95" s="100">
        <v>1869.6398750562571</v>
      </c>
      <c r="AV95" s="100">
        <v>7.2816581931951463</v>
      </c>
      <c r="AW95" s="100">
        <v>2394.2092139225642</v>
      </c>
      <c r="AX95" s="100">
        <v>6.9565217391304301</v>
      </c>
      <c r="AY95" s="100">
        <v>2287.3043478260856</v>
      </c>
      <c r="AZ95" s="100">
        <v>11</v>
      </c>
      <c r="BA95" s="100">
        <v>3616.8</v>
      </c>
      <c r="BB95" s="100">
        <v>5.5831737454226271</v>
      </c>
      <c r="BC95" s="100">
        <v>1835.74752749496</v>
      </c>
      <c r="BD95" s="100">
        <v>7</v>
      </c>
      <c r="BE95" s="100">
        <v>2301.6</v>
      </c>
      <c r="BF95" s="100">
        <v>9</v>
      </c>
      <c r="BG95" s="100">
        <v>2959.2000000000003</v>
      </c>
      <c r="BH95" s="100">
        <v>10.545649919879345</v>
      </c>
      <c r="BI95" s="100">
        <v>3467.4096936563287</v>
      </c>
      <c r="BJ95" s="100">
        <v>1.6192099571982603</v>
      </c>
      <c r="BK95" s="100">
        <v>532.396233926788</v>
      </c>
      <c r="BL95" s="100">
        <v>6.4968079447626179</v>
      </c>
      <c r="BM95" s="100">
        <v>2136.1504522379487</v>
      </c>
      <c r="BN95" s="100">
        <v>7.8947368421052575</v>
      </c>
      <c r="BO95" s="100">
        <v>2595.7894736842086</v>
      </c>
      <c r="BP95" s="100">
        <v>10</v>
      </c>
      <c r="BQ95" s="100">
        <v>3288</v>
      </c>
      <c r="BR95" s="100">
        <v>6.6211152384720577</v>
      </c>
      <c r="BS95" s="100">
        <v>2177.0226904096126</v>
      </c>
      <c r="BT95" s="100">
        <v>10</v>
      </c>
      <c r="BU95" s="100">
        <v>3288</v>
      </c>
      <c r="BV95" s="100">
        <v>4.9269044083910272</v>
      </c>
      <c r="BW95" s="100">
        <v>1619.9661694789697</v>
      </c>
      <c r="BX95" s="100">
        <v>2.2032157813345061</v>
      </c>
      <c r="BY95" s="100">
        <v>724.41734890278565</v>
      </c>
      <c r="BZ95" s="100">
        <v>7.2168157444984073</v>
      </c>
      <c r="CA95" s="100">
        <v>2372.8890167910763</v>
      </c>
      <c r="CB95" s="100">
        <v>5.5500502675908745</v>
      </c>
      <c r="CC95" s="100">
        <v>1824.8565279838797</v>
      </c>
      <c r="CD95" s="100">
        <v>5.8766106605850386</v>
      </c>
      <c r="CE95" s="100">
        <v>1932.2295852003608</v>
      </c>
      <c r="CF95" s="100">
        <v>0.55872686961533824</v>
      </c>
      <c r="CG95" s="100">
        <v>183.70939472952321</v>
      </c>
      <c r="CH95" s="100">
        <v>8.6285123966942141</v>
      </c>
      <c r="CI95" s="100">
        <v>2837.0548760330576</v>
      </c>
      <c r="CJ95" s="100">
        <v>7.2109978807648281</v>
      </c>
      <c r="CK95" s="100">
        <v>2370.9761031954754</v>
      </c>
      <c r="CL95" s="100">
        <v>7</v>
      </c>
      <c r="CM95" s="100">
        <v>2301.6</v>
      </c>
      <c r="CN95" s="100">
        <v>5</v>
      </c>
      <c r="CO95" s="100">
        <v>1644</v>
      </c>
      <c r="CP95" s="100">
        <v>11.138524219103667</v>
      </c>
      <c r="CQ95" s="100">
        <v>3662.3467632412858</v>
      </c>
      <c r="CR95" s="100">
        <v>12</v>
      </c>
      <c r="CS95" s="100">
        <v>3945.6000000000004</v>
      </c>
      <c r="CT95" s="100">
        <v>7.4793142674649786</v>
      </c>
      <c r="CU95" s="100">
        <v>2459.1985311424851</v>
      </c>
    </row>
    <row r="96" spans="2:99">
      <c r="C96" s="99" t="s">
        <v>262</v>
      </c>
      <c r="D96" s="100">
        <v>7</v>
      </c>
      <c r="E96" s="100">
        <v>4863.5999999999995</v>
      </c>
      <c r="F96" s="100">
        <v>8</v>
      </c>
      <c r="G96" s="100">
        <v>5558.4</v>
      </c>
      <c r="H96" s="100">
        <v>7</v>
      </c>
      <c r="I96" s="100">
        <v>4863.5999999999995</v>
      </c>
      <c r="J96" s="100">
        <v>8</v>
      </c>
      <c r="K96" s="100">
        <v>5558.4</v>
      </c>
      <c r="L96" s="100">
        <v>9</v>
      </c>
      <c r="M96" s="100">
        <v>6253.2</v>
      </c>
      <c r="N96" s="100">
        <v>3.4244807955830607</v>
      </c>
      <c r="O96" s="100">
        <v>2379.3292567711105</v>
      </c>
      <c r="P96" s="100">
        <v>5.4135338345864623</v>
      </c>
      <c r="Q96" s="100">
        <v>3761.3233082706738</v>
      </c>
      <c r="R96" s="100">
        <v>7.2378563575570132</v>
      </c>
      <c r="S96" s="100">
        <v>5028.8625972306127</v>
      </c>
      <c r="T96" s="100">
        <v>7.4195012790384602</v>
      </c>
      <c r="U96" s="100">
        <v>5155.069488675922</v>
      </c>
      <c r="V96" s="100">
        <v>0.48810379329595949</v>
      </c>
      <c r="W96" s="100">
        <v>339.13451558203263</v>
      </c>
      <c r="X96" s="100">
        <v>9</v>
      </c>
      <c r="Y96" s="100">
        <v>6253.2</v>
      </c>
      <c r="Z96" s="100">
        <v>9</v>
      </c>
      <c r="AA96" s="100">
        <v>6253.2</v>
      </c>
      <c r="AB96" s="100">
        <v>11</v>
      </c>
      <c r="AC96" s="100">
        <v>7642.7999999999993</v>
      </c>
      <c r="AD96" s="100">
        <v>11</v>
      </c>
      <c r="AE96" s="100">
        <v>7642.7999999999993</v>
      </c>
      <c r="AF96" s="100">
        <v>8.9230057895389372</v>
      </c>
      <c r="AG96" s="100">
        <v>6199.7044225716536</v>
      </c>
      <c r="AH96" s="100">
        <v>0.46973205086223646</v>
      </c>
      <c r="AI96" s="100">
        <v>326.36982893908186</v>
      </c>
      <c r="AJ96" s="100">
        <v>7.3882665364305122</v>
      </c>
      <c r="AK96" s="100">
        <v>5133.3675895119195</v>
      </c>
      <c r="AL96" s="100">
        <v>5.4589377256577976</v>
      </c>
      <c r="AM96" s="100">
        <v>3792.8699317870373</v>
      </c>
      <c r="AN96" s="100">
        <v>6</v>
      </c>
      <c r="AO96" s="100">
        <v>4168.7999999999993</v>
      </c>
      <c r="AP96" s="100">
        <v>7.5099337748344279</v>
      </c>
      <c r="AQ96" s="100">
        <v>5217.9019867549605</v>
      </c>
      <c r="AR96" s="100">
        <v>10.35366836871809</v>
      </c>
      <c r="AS96" s="100">
        <v>7193.7287825853282</v>
      </c>
      <c r="AT96" s="100">
        <v>6.6339614382571979</v>
      </c>
      <c r="AU96" s="100">
        <v>4609.2764073011003</v>
      </c>
      <c r="AV96" s="100">
        <v>7.2976143918654621</v>
      </c>
      <c r="AW96" s="100">
        <v>5070.3824794681232</v>
      </c>
      <c r="AX96" s="100">
        <v>6.9565217391304301</v>
      </c>
      <c r="AY96" s="100">
        <v>4833.3913043478224</v>
      </c>
      <c r="AZ96" s="100">
        <v>10</v>
      </c>
      <c r="BA96" s="100">
        <v>6948</v>
      </c>
      <c r="BB96" s="100">
        <v>6.1414911199648898</v>
      </c>
      <c r="BC96" s="100">
        <v>4267.1080301516049</v>
      </c>
      <c r="BD96" s="100">
        <v>7</v>
      </c>
      <c r="BE96" s="100">
        <v>4863.5999999999995</v>
      </c>
      <c r="BF96" s="100">
        <v>9</v>
      </c>
      <c r="BG96" s="100">
        <v>6253.2</v>
      </c>
      <c r="BH96" s="100">
        <v>11.591120746535958</v>
      </c>
      <c r="BI96" s="100">
        <v>8053.5106946931837</v>
      </c>
      <c r="BJ96" s="100">
        <v>1.8216112018480428</v>
      </c>
      <c r="BK96" s="100">
        <v>1265.6554630440201</v>
      </c>
      <c r="BL96" s="100">
        <v>6.4968079447626179</v>
      </c>
      <c r="BM96" s="100">
        <v>4513.9821600210662</v>
      </c>
      <c r="BN96" s="100">
        <v>7.8947368421052575</v>
      </c>
      <c r="BO96" s="100">
        <v>5485.2631578947321</v>
      </c>
      <c r="BP96" s="100">
        <v>10</v>
      </c>
      <c r="BQ96" s="100">
        <v>6948</v>
      </c>
      <c r="BR96" s="100">
        <v>5.9590037146248527</v>
      </c>
      <c r="BS96" s="100">
        <v>4140.3157809213471</v>
      </c>
      <c r="BT96" s="100">
        <v>10</v>
      </c>
      <c r="BU96" s="100">
        <v>6948</v>
      </c>
      <c r="BV96" s="100">
        <v>4.8811949106820665</v>
      </c>
      <c r="BW96" s="100">
        <v>3391.4542239418997</v>
      </c>
      <c r="BX96" s="100">
        <v>2.2032157813345061</v>
      </c>
      <c r="BY96" s="100">
        <v>1530.7943248712147</v>
      </c>
      <c r="BZ96" s="100">
        <v>7.9384973189482482</v>
      </c>
      <c r="CA96" s="100">
        <v>5515.6679372052422</v>
      </c>
      <c r="CB96" s="100">
        <v>5.5500502675908745</v>
      </c>
      <c r="CC96" s="100">
        <v>3856.1749259221392</v>
      </c>
      <c r="CD96" s="100">
        <v>6.7120107418617314</v>
      </c>
      <c r="CE96" s="100">
        <v>4663.5050634455311</v>
      </c>
      <c r="CF96" s="100">
        <v>0.50285418265380444</v>
      </c>
      <c r="CG96" s="100">
        <v>349.38308610786328</v>
      </c>
      <c r="CH96" s="100">
        <v>8.5318181818181813</v>
      </c>
      <c r="CI96" s="100">
        <v>5927.9072727272724</v>
      </c>
      <c r="CJ96" s="100">
        <v>8.1123726158604317</v>
      </c>
      <c r="CK96" s="100">
        <v>5636.4764934998275</v>
      </c>
      <c r="CL96" s="100">
        <v>7</v>
      </c>
      <c r="CM96" s="100">
        <v>4863.5999999999995</v>
      </c>
      <c r="CN96" s="100">
        <v>6</v>
      </c>
      <c r="CO96" s="100">
        <v>4168.7999999999993</v>
      </c>
      <c r="CP96" s="100">
        <v>11.155839746491626</v>
      </c>
      <c r="CQ96" s="100">
        <v>7751.0774558623816</v>
      </c>
      <c r="CR96" s="100">
        <v>12.303564478835192</v>
      </c>
      <c r="CS96" s="100">
        <v>8548.5165998946904</v>
      </c>
      <c r="CT96" s="100">
        <v>8.3103491860721981</v>
      </c>
      <c r="CU96" s="100">
        <v>5774.0306144829628</v>
      </c>
    </row>
    <row r="97" spans="2:99">
      <c r="C97" s="99" t="s">
        <v>263</v>
      </c>
      <c r="D97" s="100">
        <v>6</v>
      </c>
      <c r="E97" s="100">
        <v>2354.3999999999996</v>
      </c>
      <c r="F97" s="100">
        <v>8</v>
      </c>
      <c r="G97" s="100">
        <v>3139.2</v>
      </c>
      <c r="H97" s="100">
        <v>7</v>
      </c>
      <c r="I97" s="100">
        <v>2746.7999999999997</v>
      </c>
      <c r="J97" s="100">
        <v>9</v>
      </c>
      <c r="K97" s="100">
        <v>3531.6</v>
      </c>
      <c r="L97" s="100">
        <v>11</v>
      </c>
      <c r="M97" s="100">
        <v>4316.3999999999996</v>
      </c>
      <c r="N97" s="100">
        <v>2.996420696135178</v>
      </c>
      <c r="O97" s="100">
        <v>1175.7954811634438</v>
      </c>
      <c r="P97" s="100">
        <v>5.4135338345864623</v>
      </c>
      <c r="Q97" s="100">
        <v>2124.2706766917277</v>
      </c>
      <c r="R97" s="100">
        <v>8.042062619507794</v>
      </c>
      <c r="S97" s="100">
        <v>3155.7053718948582</v>
      </c>
      <c r="T97" s="100">
        <v>7.4284233281803029</v>
      </c>
      <c r="U97" s="100">
        <v>2914.9133139779506</v>
      </c>
      <c r="V97" s="100">
        <v>0.41837467996796529</v>
      </c>
      <c r="W97" s="100">
        <v>164.17022441942956</v>
      </c>
      <c r="X97" s="100">
        <v>8</v>
      </c>
      <c r="Y97" s="100">
        <v>3139.2</v>
      </c>
      <c r="Z97" s="100">
        <v>8</v>
      </c>
      <c r="AA97" s="100">
        <v>3139.2</v>
      </c>
      <c r="AB97" s="100">
        <v>11</v>
      </c>
      <c r="AC97" s="100">
        <v>4316.3999999999996</v>
      </c>
      <c r="AD97" s="100">
        <v>10</v>
      </c>
      <c r="AE97" s="100">
        <v>3924</v>
      </c>
      <c r="AF97" s="100">
        <v>8.1118234450353981</v>
      </c>
      <c r="AG97" s="100">
        <v>3183.0795198318901</v>
      </c>
      <c r="AH97" s="100">
        <v>0.46973205086223646</v>
      </c>
      <c r="AI97" s="100">
        <v>184.32285675834157</v>
      </c>
      <c r="AJ97" s="100">
        <v>8.3882665364305122</v>
      </c>
      <c r="AK97" s="100">
        <v>3291.5557888953326</v>
      </c>
      <c r="AL97" s="100">
        <v>5.4589377256577976</v>
      </c>
      <c r="AM97" s="100">
        <v>2142.0871635481199</v>
      </c>
      <c r="AN97" s="100">
        <v>6</v>
      </c>
      <c r="AO97" s="100">
        <v>2354.3999999999996</v>
      </c>
      <c r="AP97" s="100">
        <v>8.3443708609271425</v>
      </c>
      <c r="AQ97" s="100">
        <v>3274.3311258278104</v>
      </c>
      <c r="AR97" s="100">
        <v>12.35366836871809</v>
      </c>
      <c r="AS97" s="100">
        <v>4847.5794678849779</v>
      </c>
      <c r="AT97" s="100">
        <v>5.6862526613633122</v>
      </c>
      <c r="AU97" s="100">
        <v>2231.2855443189637</v>
      </c>
      <c r="AV97" s="100">
        <v>7.2816581931951463</v>
      </c>
      <c r="AW97" s="100">
        <v>2857.3226750097751</v>
      </c>
      <c r="AX97" s="100">
        <v>6.9565217391304301</v>
      </c>
      <c r="AY97" s="100">
        <v>2729.7391304347807</v>
      </c>
      <c r="AZ97" s="100">
        <v>11</v>
      </c>
      <c r="BA97" s="100">
        <v>4316.3999999999996</v>
      </c>
      <c r="BB97" s="100">
        <v>6.1414911199648898</v>
      </c>
      <c r="BC97" s="100">
        <v>2409.9211154742225</v>
      </c>
      <c r="BD97" s="100">
        <v>6</v>
      </c>
      <c r="BE97" s="100">
        <v>2354.3999999999996</v>
      </c>
      <c r="BF97" s="100">
        <v>8</v>
      </c>
      <c r="BG97" s="100">
        <v>3139.2</v>
      </c>
      <c r="BH97" s="100">
        <v>11.591120746535958</v>
      </c>
      <c r="BI97" s="100">
        <v>4548.3557809407102</v>
      </c>
      <c r="BJ97" s="100">
        <v>1.8216112018480428</v>
      </c>
      <c r="BK97" s="100">
        <v>714.80023560517191</v>
      </c>
      <c r="BL97" s="100">
        <v>5.684706951667291</v>
      </c>
      <c r="BM97" s="100">
        <v>2230.6790078342447</v>
      </c>
      <c r="BN97" s="100">
        <v>7.1052631578947318</v>
      </c>
      <c r="BO97" s="100">
        <v>2788.1052631578928</v>
      </c>
      <c r="BP97" s="100">
        <v>11</v>
      </c>
      <c r="BQ97" s="100">
        <v>4316.3999999999996</v>
      </c>
      <c r="BR97" s="100">
        <v>5.9590037146248527</v>
      </c>
      <c r="BS97" s="100">
        <v>2338.3130576187918</v>
      </c>
      <c r="BT97" s="100">
        <v>10</v>
      </c>
      <c r="BU97" s="100">
        <v>3924</v>
      </c>
      <c r="BV97" s="100">
        <v>4.8811949106820665</v>
      </c>
      <c r="BW97" s="100">
        <v>1915.3808829516427</v>
      </c>
      <c r="BX97" s="100">
        <v>2.2032157813345061</v>
      </c>
      <c r="BY97" s="100">
        <v>864.54187259566015</v>
      </c>
      <c r="BZ97" s="100">
        <v>6.4951341700485665</v>
      </c>
      <c r="CA97" s="100">
        <v>2548.6906483270573</v>
      </c>
      <c r="CB97" s="100">
        <v>6.4750586455226866</v>
      </c>
      <c r="CC97" s="100">
        <v>2540.8130125031021</v>
      </c>
      <c r="CD97" s="100">
        <v>6.7024073779790001</v>
      </c>
      <c r="CE97" s="100">
        <v>2630.0246551189593</v>
      </c>
      <c r="CF97" s="100">
        <v>0.44698149569227058</v>
      </c>
      <c r="CG97" s="100">
        <v>175.39553890964697</v>
      </c>
      <c r="CH97" s="100">
        <v>8.6285123966942141</v>
      </c>
      <c r="CI97" s="100">
        <v>3385.8282644628093</v>
      </c>
      <c r="CJ97" s="100">
        <v>8.1123726158604317</v>
      </c>
      <c r="CK97" s="100">
        <v>3183.2950144636334</v>
      </c>
      <c r="CL97" s="100">
        <v>8</v>
      </c>
      <c r="CM97" s="100">
        <v>3139.2</v>
      </c>
      <c r="CN97" s="100">
        <v>5</v>
      </c>
      <c r="CO97" s="100">
        <v>1962</v>
      </c>
      <c r="CP97" s="100">
        <v>11.155839746491626</v>
      </c>
      <c r="CQ97" s="100">
        <v>4377.5515165233137</v>
      </c>
      <c r="CR97" s="100">
        <v>12.303564478835192</v>
      </c>
      <c r="CS97" s="100">
        <v>4827.9187014949293</v>
      </c>
      <c r="CT97" s="100">
        <v>7.4793142674649786</v>
      </c>
      <c r="CU97" s="100">
        <v>2934.8829185532572</v>
      </c>
    </row>
    <row r="98" spans="2:99">
      <c r="C98" s="99" t="s">
        <v>264</v>
      </c>
      <c r="D98" s="100">
        <v>6</v>
      </c>
      <c r="E98" s="100">
        <v>3153.6000000000004</v>
      </c>
      <c r="F98" s="100">
        <v>8</v>
      </c>
      <c r="G98" s="100">
        <v>4204.8</v>
      </c>
      <c r="H98" s="100">
        <v>6</v>
      </c>
      <c r="I98" s="100">
        <v>3153.6000000000004</v>
      </c>
      <c r="J98" s="100">
        <v>9</v>
      </c>
      <c r="K98" s="100">
        <v>4730.4000000000005</v>
      </c>
      <c r="L98" s="100">
        <v>11</v>
      </c>
      <c r="M98" s="100">
        <v>5781.6</v>
      </c>
      <c r="N98" s="100">
        <v>2.996420696135178</v>
      </c>
      <c r="O98" s="100">
        <v>1574.9187178886496</v>
      </c>
      <c r="P98" s="100">
        <v>6.3157894736842062</v>
      </c>
      <c r="Q98" s="100">
        <v>3319.578947368419</v>
      </c>
      <c r="R98" s="100">
        <v>6.4336500956062341</v>
      </c>
      <c r="S98" s="100">
        <v>3381.5264902506369</v>
      </c>
      <c r="T98" s="100">
        <v>6.6936108395899296</v>
      </c>
      <c r="U98" s="100">
        <v>3518.1618572884672</v>
      </c>
      <c r="V98" s="100">
        <v>0.48810379329595949</v>
      </c>
      <c r="W98" s="100">
        <v>256.5473537563563</v>
      </c>
      <c r="X98" s="100">
        <v>8</v>
      </c>
      <c r="Y98" s="100">
        <v>4204.8</v>
      </c>
      <c r="Z98" s="100">
        <v>9</v>
      </c>
      <c r="AA98" s="100">
        <v>4730.4000000000005</v>
      </c>
      <c r="AB98" s="100">
        <v>10</v>
      </c>
      <c r="AC98" s="100">
        <v>5256</v>
      </c>
      <c r="AD98" s="100">
        <v>10</v>
      </c>
      <c r="AE98" s="100">
        <v>5256</v>
      </c>
      <c r="AF98" s="100">
        <v>8.9230057895389372</v>
      </c>
      <c r="AG98" s="100">
        <v>4689.9318429816658</v>
      </c>
      <c r="AH98" s="100">
        <v>0.52192450095804055</v>
      </c>
      <c r="AI98" s="100">
        <v>274.32351770354614</v>
      </c>
      <c r="AJ98" s="100">
        <v>8.3882665364305122</v>
      </c>
      <c r="AK98" s="100">
        <v>4408.8728915478778</v>
      </c>
      <c r="AL98" s="100">
        <v>5.4589377256577976</v>
      </c>
      <c r="AM98" s="100">
        <v>2869.2176686057387</v>
      </c>
      <c r="AN98" s="100">
        <v>6</v>
      </c>
      <c r="AO98" s="100">
        <v>3153.6000000000004</v>
      </c>
      <c r="AP98" s="100">
        <v>7.5099337748344279</v>
      </c>
      <c r="AQ98" s="100">
        <v>3947.2211920529753</v>
      </c>
      <c r="AR98" s="100">
        <v>10.318301531846281</v>
      </c>
      <c r="AS98" s="100">
        <v>5423.2992851384051</v>
      </c>
      <c r="AT98" s="100">
        <v>5.6862526613633122</v>
      </c>
      <c r="AU98" s="100">
        <v>2988.6943988125572</v>
      </c>
      <c r="AV98" s="100">
        <v>7.2816581931951463</v>
      </c>
      <c r="AW98" s="100">
        <v>3827.2395463433691</v>
      </c>
      <c r="AX98" s="100">
        <v>6.0869565217391264</v>
      </c>
      <c r="AY98" s="100">
        <v>3199.3043478260852</v>
      </c>
      <c r="AZ98" s="100">
        <v>11</v>
      </c>
      <c r="BA98" s="100">
        <v>5781.6</v>
      </c>
      <c r="BB98" s="100">
        <v>6.6998084945071525</v>
      </c>
      <c r="BC98" s="100">
        <v>3521.4193447129596</v>
      </c>
      <c r="BD98" s="100">
        <v>6</v>
      </c>
      <c r="BE98" s="100">
        <v>3153.6000000000004</v>
      </c>
      <c r="BF98" s="100">
        <v>9</v>
      </c>
      <c r="BG98" s="100">
        <v>4730.4000000000005</v>
      </c>
      <c r="BH98" s="100">
        <v>11.545649919879345</v>
      </c>
      <c r="BI98" s="100">
        <v>6068.3935978885838</v>
      </c>
      <c r="BJ98" s="100">
        <v>1.6192099571982603</v>
      </c>
      <c r="BK98" s="100">
        <v>851.05675350340562</v>
      </c>
      <c r="BL98" s="100">
        <v>7.3089089378579457</v>
      </c>
      <c r="BM98" s="100">
        <v>3841.5625377381366</v>
      </c>
      <c r="BN98" s="100">
        <v>7.8947368421052575</v>
      </c>
      <c r="BO98" s="100">
        <v>4149.473684210524</v>
      </c>
      <c r="BP98" s="100">
        <v>11</v>
      </c>
      <c r="BQ98" s="100">
        <v>5781.6</v>
      </c>
      <c r="BR98" s="100">
        <v>6.6211152384720577</v>
      </c>
      <c r="BS98" s="100">
        <v>3480.0581693409135</v>
      </c>
      <c r="BT98" s="100">
        <v>9</v>
      </c>
      <c r="BU98" s="100">
        <v>4730.4000000000005</v>
      </c>
      <c r="BV98" s="100">
        <v>5.5883033617171396</v>
      </c>
      <c r="BW98" s="100">
        <v>2937.2122469185288</v>
      </c>
      <c r="BX98" s="100">
        <v>2.0196144662232975</v>
      </c>
      <c r="BY98" s="100">
        <v>1061.5093634469652</v>
      </c>
      <c r="BZ98" s="100">
        <v>7.9384973189482482</v>
      </c>
      <c r="CA98" s="100">
        <v>4172.4741908391998</v>
      </c>
      <c r="CB98" s="100">
        <v>5.8027699851394257</v>
      </c>
      <c r="CC98" s="100">
        <v>3049.9359041892822</v>
      </c>
      <c r="CD98" s="100">
        <v>6.7024073779790001</v>
      </c>
      <c r="CE98" s="100">
        <v>3522.7853178657624</v>
      </c>
      <c r="CF98" s="100">
        <v>0.50285418265380444</v>
      </c>
      <c r="CG98" s="100">
        <v>264.3001584028396</v>
      </c>
      <c r="CH98" s="100">
        <v>8.6285123966942141</v>
      </c>
      <c r="CI98" s="100">
        <v>4535.1461157024787</v>
      </c>
      <c r="CJ98" s="100">
        <v>7.2109978807648281</v>
      </c>
      <c r="CK98" s="100">
        <v>3790.1004861299939</v>
      </c>
      <c r="CL98" s="100">
        <v>8</v>
      </c>
      <c r="CM98" s="100">
        <v>4204.8</v>
      </c>
      <c r="CN98" s="100">
        <v>6</v>
      </c>
      <c r="CO98" s="100">
        <v>3153.6000000000004</v>
      </c>
      <c r="CP98" s="100">
        <v>11</v>
      </c>
      <c r="CQ98" s="100">
        <v>5781.6</v>
      </c>
      <c r="CR98" s="100">
        <v>11</v>
      </c>
      <c r="CS98" s="100">
        <v>5781.6</v>
      </c>
      <c r="CT98" s="100">
        <v>7.4793142674649786</v>
      </c>
      <c r="CU98" s="100">
        <v>3931.1275789795927</v>
      </c>
    </row>
    <row r="99" spans="2:99">
      <c r="C99" s="99" t="s">
        <v>265</v>
      </c>
      <c r="D99" s="100">
        <v>5</v>
      </c>
      <c r="E99" s="100">
        <v>21042</v>
      </c>
      <c r="F99" s="100">
        <v>8</v>
      </c>
      <c r="G99" s="100">
        <v>33667.199999999997</v>
      </c>
      <c r="H99" s="100">
        <v>5</v>
      </c>
      <c r="I99" s="100">
        <v>21042</v>
      </c>
      <c r="J99" s="100">
        <v>7</v>
      </c>
      <c r="K99" s="100">
        <v>29458.799999999996</v>
      </c>
      <c r="L99" s="100">
        <v>9</v>
      </c>
      <c r="M99" s="100">
        <v>37875.599999999999</v>
      </c>
      <c r="N99" s="100">
        <v>2.5683605966872953</v>
      </c>
      <c r="O99" s="100">
        <v>10808.688735098813</v>
      </c>
      <c r="P99" s="100">
        <v>5.4135338345864623</v>
      </c>
      <c r="Q99" s="100">
        <v>22782.315789473665</v>
      </c>
      <c r="R99" s="100">
        <v>6.4336500956062341</v>
      </c>
      <c r="S99" s="100">
        <v>27075.373062349274</v>
      </c>
      <c r="T99" s="100">
        <v>6.6846887904480878</v>
      </c>
      <c r="U99" s="100">
        <v>28131.84430572173</v>
      </c>
      <c r="V99" s="100">
        <v>0.34864556663997109</v>
      </c>
      <c r="W99" s="100">
        <v>1467.2400026476541</v>
      </c>
      <c r="X99" s="100">
        <v>7</v>
      </c>
      <c r="Y99" s="100">
        <v>29458.799999999996</v>
      </c>
      <c r="Z99" s="100">
        <v>7</v>
      </c>
      <c r="AA99" s="100">
        <v>29458.799999999996</v>
      </c>
      <c r="AB99" s="100">
        <v>9</v>
      </c>
      <c r="AC99" s="100">
        <v>37875.599999999999</v>
      </c>
      <c r="AD99" s="100">
        <v>9</v>
      </c>
      <c r="AE99" s="100">
        <v>37875.599999999999</v>
      </c>
      <c r="AF99" s="100">
        <v>7.300641100531859</v>
      </c>
      <c r="AG99" s="100">
        <v>30724.018007478273</v>
      </c>
      <c r="AH99" s="100">
        <v>0.36534715067062834</v>
      </c>
      <c r="AI99" s="100">
        <v>1537.5269488822721</v>
      </c>
      <c r="AJ99" s="100">
        <v>6.339733219376698</v>
      </c>
      <c r="AK99" s="100">
        <v>26680.133280424892</v>
      </c>
      <c r="AL99" s="100">
        <v>4.6790894791352544</v>
      </c>
      <c r="AM99" s="100">
        <v>19691.480163992805</v>
      </c>
      <c r="AN99" s="100">
        <v>5</v>
      </c>
      <c r="AO99" s="100">
        <v>21042</v>
      </c>
      <c r="AP99" s="100">
        <v>5.8410596026489996</v>
      </c>
      <c r="AQ99" s="100">
        <v>24581.515231788049</v>
      </c>
      <c r="AR99" s="100">
        <v>9</v>
      </c>
      <c r="AS99" s="100">
        <v>37875.599999999999</v>
      </c>
      <c r="AT99" s="100">
        <v>4.7385438844694274</v>
      </c>
      <c r="AU99" s="100">
        <v>19941.688083401135</v>
      </c>
      <c r="AV99" s="100">
        <v>5.1083300743058242</v>
      </c>
      <c r="AW99" s="100">
        <v>21497.89628470863</v>
      </c>
      <c r="AX99" s="100">
        <v>5.2173913043478226</v>
      </c>
      <c r="AY99" s="100">
        <v>21956.869565217374</v>
      </c>
      <c r="AZ99" s="100">
        <v>8</v>
      </c>
      <c r="BA99" s="100">
        <v>33667.199999999997</v>
      </c>
      <c r="BB99" s="100">
        <v>5.0248563708803653</v>
      </c>
      <c r="BC99" s="100">
        <v>21146.605551212928</v>
      </c>
      <c r="BD99" s="100">
        <v>5</v>
      </c>
      <c r="BE99" s="100">
        <v>21042</v>
      </c>
      <c r="BF99" s="100">
        <v>7</v>
      </c>
      <c r="BG99" s="100">
        <v>29458.799999999996</v>
      </c>
      <c r="BH99" s="100">
        <v>10.409237439909509</v>
      </c>
      <c r="BI99" s="100">
        <v>43806.234842115176</v>
      </c>
      <c r="BJ99" s="100">
        <v>1.4168087125484778</v>
      </c>
      <c r="BK99" s="100">
        <v>5962.4977858890134</v>
      </c>
      <c r="BL99" s="100">
        <v>5.684706951667291</v>
      </c>
      <c r="BM99" s="100">
        <v>23923.520735396625</v>
      </c>
      <c r="BN99" s="100">
        <v>6.3157894736842053</v>
      </c>
      <c r="BO99" s="100">
        <v>26579.368421052608</v>
      </c>
      <c r="BP99" s="100">
        <v>8</v>
      </c>
      <c r="BQ99" s="100">
        <v>33667.199999999997</v>
      </c>
      <c r="BR99" s="100">
        <v>4.6347806669304408</v>
      </c>
      <c r="BS99" s="100">
        <v>19505.010958710067</v>
      </c>
      <c r="BT99" s="100">
        <v>8</v>
      </c>
      <c r="BU99" s="100">
        <v>33667.199999999997</v>
      </c>
      <c r="BV99" s="100">
        <v>4.1969412085014746</v>
      </c>
      <c r="BW99" s="100">
        <v>17662.407381857603</v>
      </c>
      <c r="BX99" s="100">
        <v>1.8360131511120887</v>
      </c>
      <c r="BY99" s="100">
        <v>7726.677745140114</v>
      </c>
      <c r="BZ99" s="100">
        <v>5.7734525955987257</v>
      </c>
      <c r="CA99" s="100">
        <v>24296.997903317675</v>
      </c>
      <c r="CB99" s="100">
        <v>4.6250418896590615</v>
      </c>
      <c r="CC99" s="100">
        <v>19464.026288441193</v>
      </c>
      <c r="CD99" s="100">
        <v>5.8670072967023081</v>
      </c>
      <c r="CE99" s="100">
        <v>24690.713507441993</v>
      </c>
      <c r="CF99" s="100">
        <v>0.44698149569227058</v>
      </c>
      <c r="CG99" s="100">
        <v>1881.0769264713513</v>
      </c>
      <c r="CH99" s="100">
        <v>6.4834710743801649</v>
      </c>
      <c r="CI99" s="100">
        <v>27285.039669421483</v>
      </c>
      <c r="CJ99" s="100">
        <v>6.3096231456692244</v>
      </c>
      <c r="CK99" s="100">
        <v>26553.418046234361</v>
      </c>
      <c r="CL99" s="100">
        <v>6</v>
      </c>
      <c r="CM99" s="100">
        <v>25250.399999999998</v>
      </c>
      <c r="CN99" s="100">
        <v>5</v>
      </c>
      <c r="CO99" s="100">
        <v>21042</v>
      </c>
      <c r="CP99" s="100">
        <v>8.1212086917157098</v>
      </c>
      <c r="CQ99" s="100">
        <v>34177.294658216393</v>
      </c>
      <c r="CR99" s="100">
        <v>9.2428515830681537</v>
      </c>
      <c r="CS99" s="100">
        <v>38897.616602184018</v>
      </c>
      <c r="CT99" s="100">
        <v>5.8172444302505388</v>
      </c>
      <c r="CU99" s="100">
        <v>24481.291460266366</v>
      </c>
    </row>
    <row r="100" spans="2:99">
      <c r="C100" s="99" t="s">
        <v>266</v>
      </c>
      <c r="D100" s="100">
        <v>6</v>
      </c>
      <c r="E100" s="100">
        <v>1944</v>
      </c>
      <c r="F100" s="100">
        <v>9</v>
      </c>
      <c r="G100" s="100">
        <v>2916</v>
      </c>
      <c r="H100" s="100">
        <v>6</v>
      </c>
      <c r="I100" s="100">
        <v>1944</v>
      </c>
      <c r="J100" s="100">
        <v>9</v>
      </c>
      <c r="K100" s="100">
        <v>2916</v>
      </c>
      <c r="L100" s="100">
        <v>11</v>
      </c>
      <c r="M100" s="100">
        <v>3564</v>
      </c>
      <c r="N100" s="100">
        <v>3.4244807955830607</v>
      </c>
      <c r="O100" s="100">
        <v>1109.5317777689118</v>
      </c>
      <c r="P100" s="100">
        <v>6.3157894736842062</v>
      </c>
      <c r="Q100" s="100">
        <v>2046.3157894736828</v>
      </c>
      <c r="R100" s="100">
        <v>7.2378563575570132</v>
      </c>
      <c r="S100" s="100">
        <v>2345.0654598484721</v>
      </c>
      <c r="T100" s="100">
        <v>7.4284233281803029</v>
      </c>
      <c r="U100" s="100">
        <v>2406.8091583304181</v>
      </c>
      <c r="V100" s="100">
        <v>0.41837467996796529</v>
      </c>
      <c r="W100" s="100">
        <v>135.55339630962075</v>
      </c>
      <c r="X100" s="100">
        <v>9</v>
      </c>
      <c r="Y100" s="100">
        <v>2916</v>
      </c>
      <c r="Z100" s="100">
        <v>9</v>
      </c>
      <c r="AA100" s="100">
        <v>2916</v>
      </c>
      <c r="AB100" s="100">
        <v>12</v>
      </c>
      <c r="AC100" s="100">
        <v>3888</v>
      </c>
      <c r="AD100" s="100">
        <v>10</v>
      </c>
      <c r="AE100" s="100">
        <v>3240</v>
      </c>
      <c r="AF100" s="100">
        <v>8.1118234450353981</v>
      </c>
      <c r="AG100" s="100">
        <v>2628.2307961914689</v>
      </c>
      <c r="AH100" s="100">
        <v>0.46973205086223646</v>
      </c>
      <c r="AI100" s="100">
        <v>152.19318447936462</v>
      </c>
      <c r="AJ100" s="100">
        <v>8.4367998534843256</v>
      </c>
      <c r="AK100" s="100">
        <v>2733.5231525289214</v>
      </c>
      <c r="AL100" s="100">
        <v>6.2387859721803398</v>
      </c>
      <c r="AM100" s="100">
        <v>2021.3666549864301</v>
      </c>
      <c r="AN100" s="100">
        <v>6</v>
      </c>
      <c r="AO100" s="100">
        <v>1944</v>
      </c>
      <c r="AP100" s="100">
        <v>7.5099337748344279</v>
      </c>
      <c r="AQ100" s="100">
        <v>2433.2185430463546</v>
      </c>
      <c r="AR100" s="100">
        <v>10.35366836871809</v>
      </c>
      <c r="AS100" s="100">
        <v>3354.5885514646611</v>
      </c>
      <c r="AT100" s="100">
        <v>6.6339614382571979</v>
      </c>
      <c r="AU100" s="100">
        <v>2149.4035059953321</v>
      </c>
      <c r="AV100" s="100">
        <v>6.5678529526789164</v>
      </c>
      <c r="AW100" s="100">
        <v>2127.9843566679688</v>
      </c>
      <c r="AX100" s="100">
        <v>6.9565217391304301</v>
      </c>
      <c r="AY100" s="100">
        <v>2253.9130434782592</v>
      </c>
      <c r="AZ100" s="100">
        <v>10</v>
      </c>
      <c r="BA100" s="100">
        <v>3240</v>
      </c>
      <c r="BB100" s="100">
        <v>6.6998084945071525</v>
      </c>
      <c r="BC100" s="100">
        <v>2170.7379522203173</v>
      </c>
      <c r="BD100" s="100">
        <v>6</v>
      </c>
      <c r="BE100" s="100">
        <v>1944</v>
      </c>
      <c r="BF100" s="100">
        <v>10</v>
      </c>
      <c r="BG100" s="100">
        <v>3240</v>
      </c>
      <c r="BH100" s="100">
        <v>10.545649919879345</v>
      </c>
      <c r="BI100" s="100">
        <v>3416.7905740409078</v>
      </c>
      <c r="BJ100" s="100">
        <v>1.6192099571982603</v>
      </c>
      <c r="BK100" s="100">
        <v>524.62402613223639</v>
      </c>
      <c r="BL100" s="100">
        <v>6.4968079447626179</v>
      </c>
      <c r="BM100" s="100">
        <v>2104.9657741030883</v>
      </c>
      <c r="BN100" s="100">
        <v>7.8947368421052575</v>
      </c>
      <c r="BO100" s="100">
        <v>2557.8947368421036</v>
      </c>
      <c r="BP100" s="100">
        <v>9</v>
      </c>
      <c r="BQ100" s="100">
        <v>2916</v>
      </c>
      <c r="BR100" s="100">
        <v>6.6211152384720577</v>
      </c>
      <c r="BS100" s="100">
        <v>2145.2413372649467</v>
      </c>
      <c r="BT100" s="100">
        <v>9</v>
      </c>
      <c r="BU100" s="100">
        <v>2916</v>
      </c>
      <c r="BV100" s="100">
        <v>5.5654486128626592</v>
      </c>
      <c r="BW100" s="100">
        <v>1803.2053505675017</v>
      </c>
      <c r="BX100" s="100">
        <v>2.2032157813345061</v>
      </c>
      <c r="BY100" s="100">
        <v>713.84191315238002</v>
      </c>
      <c r="BZ100" s="100">
        <v>7.9384973189482482</v>
      </c>
      <c r="CA100" s="100">
        <v>2572.0731313392325</v>
      </c>
      <c r="CB100" s="100">
        <v>5.5500502675908745</v>
      </c>
      <c r="CC100" s="100">
        <v>1798.2162866994433</v>
      </c>
      <c r="CD100" s="100">
        <v>7.5282040953729625</v>
      </c>
      <c r="CE100" s="100">
        <v>2439.1381269008398</v>
      </c>
      <c r="CF100" s="100">
        <v>0.55872686961533824</v>
      </c>
      <c r="CG100" s="100">
        <v>181.02750575536959</v>
      </c>
      <c r="CH100" s="100">
        <v>7.5318181818181813</v>
      </c>
      <c r="CI100" s="100">
        <v>2440.3090909090906</v>
      </c>
      <c r="CJ100" s="100">
        <v>7.2109978807648281</v>
      </c>
      <c r="CK100" s="100">
        <v>2336.3633133678045</v>
      </c>
      <c r="CL100" s="100">
        <v>8</v>
      </c>
      <c r="CM100" s="100">
        <v>2592</v>
      </c>
      <c r="CN100" s="100">
        <v>6</v>
      </c>
      <c r="CO100" s="100">
        <v>1944</v>
      </c>
      <c r="CP100" s="100">
        <v>12.138524219103667</v>
      </c>
      <c r="CQ100" s="100">
        <v>3932.8818469895882</v>
      </c>
      <c r="CR100" s="100">
        <v>12</v>
      </c>
      <c r="CS100" s="100">
        <v>3888</v>
      </c>
      <c r="CT100" s="100">
        <v>9.1413841046794193</v>
      </c>
      <c r="CU100" s="100">
        <v>2961.8084499161318</v>
      </c>
    </row>
    <row r="101" spans="2:99">
      <c r="C101" s="99" t="s">
        <v>267</v>
      </c>
      <c r="D101" s="100">
        <v>6</v>
      </c>
      <c r="E101" s="100">
        <v>4341.6000000000004</v>
      </c>
      <c r="F101" s="100">
        <v>9</v>
      </c>
      <c r="G101" s="100">
        <v>6512.4000000000005</v>
      </c>
      <c r="H101" s="100">
        <v>6</v>
      </c>
      <c r="I101" s="100">
        <v>4341.6000000000004</v>
      </c>
      <c r="J101" s="100">
        <v>9</v>
      </c>
      <c r="K101" s="100">
        <v>6512.4000000000005</v>
      </c>
      <c r="L101" s="100">
        <v>11</v>
      </c>
      <c r="M101" s="100">
        <v>7959.6</v>
      </c>
      <c r="N101" s="100">
        <v>2.996420696135178</v>
      </c>
      <c r="O101" s="100">
        <v>2168.2100157234149</v>
      </c>
      <c r="P101" s="100">
        <v>6.3157894736842062</v>
      </c>
      <c r="Q101" s="100">
        <v>4570.1052631578914</v>
      </c>
      <c r="R101" s="100">
        <v>7.2378563575570132</v>
      </c>
      <c r="S101" s="100">
        <v>5237.3128603282548</v>
      </c>
      <c r="T101" s="100">
        <v>8.1632358167706762</v>
      </c>
      <c r="U101" s="100">
        <v>5906.9174370152614</v>
      </c>
      <c r="V101" s="100">
        <v>0.41837467996796529</v>
      </c>
      <c r="W101" s="100">
        <v>302.73591842481972</v>
      </c>
      <c r="X101" s="100">
        <v>9</v>
      </c>
      <c r="Y101" s="100">
        <v>6512.4000000000005</v>
      </c>
      <c r="Z101" s="100">
        <v>9</v>
      </c>
      <c r="AA101" s="100">
        <v>6512.4000000000005</v>
      </c>
      <c r="AB101" s="100">
        <v>10</v>
      </c>
      <c r="AC101" s="100">
        <v>7236</v>
      </c>
      <c r="AD101" s="100">
        <v>10</v>
      </c>
      <c r="AE101" s="100">
        <v>7236</v>
      </c>
      <c r="AF101" s="100">
        <v>8.1118234450353981</v>
      </c>
      <c r="AG101" s="100">
        <v>5869.7154448276142</v>
      </c>
      <c r="AH101" s="100">
        <v>0.46973205086223646</v>
      </c>
      <c r="AI101" s="100">
        <v>339.89811200391432</v>
      </c>
      <c r="AJ101" s="100">
        <v>8.4367998534843256</v>
      </c>
      <c r="AK101" s="100">
        <v>6104.8683739812586</v>
      </c>
      <c r="AL101" s="100">
        <v>5.4589377256577976</v>
      </c>
      <c r="AM101" s="100">
        <v>3950.0873382859822</v>
      </c>
      <c r="AN101" s="100">
        <v>6</v>
      </c>
      <c r="AO101" s="100">
        <v>4341.6000000000004</v>
      </c>
      <c r="AP101" s="100">
        <v>8.3443708609271425</v>
      </c>
      <c r="AQ101" s="100">
        <v>6037.9867549668807</v>
      </c>
      <c r="AR101" s="100">
        <v>11.35366836871809</v>
      </c>
      <c r="AS101" s="100">
        <v>8215.5144316044098</v>
      </c>
      <c r="AT101" s="100">
        <v>6.6339614382571979</v>
      </c>
      <c r="AU101" s="100">
        <v>4800.3344967229086</v>
      </c>
      <c r="AV101" s="100">
        <v>6.5678529526789164</v>
      </c>
      <c r="AW101" s="100">
        <v>4752.4983965584643</v>
      </c>
      <c r="AX101" s="100">
        <v>6.9565217391304301</v>
      </c>
      <c r="AY101" s="100">
        <v>5033.7391304347793</v>
      </c>
      <c r="AZ101" s="100">
        <v>9</v>
      </c>
      <c r="BA101" s="100">
        <v>6512.4000000000005</v>
      </c>
      <c r="BB101" s="100">
        <v>5.5831737454226271</v>
      </c>
      <c r="BC101" s="100">
        <v>4039.9845221878131</v>
      </c>
      <c r="BD101" s="100">
        <v>6</v>
      </c>
      <c r="BE101" s="100">
        <v>4341.6000000000004</v>
      </c>
      <c r="BF101" s="100">
        <v>9</v>
      </c>
      <c r="BG101" s="100">
        <v>6512.4000000000005</v>
      </c>
      <c r="BH101" s="100">
        <v>12.500179093222734</v>
      </c>
      <c r="BI101" s="100">
        <v>9045.1295918559699</v>
      </c>
      <c r="BJ101" s="100">
        <v>1.8216112018480428</v>
      </c>
      <c r="BK101" s="100">
        <v>1318.1178656572438</v>
      </c>
      <c r="BL101" s="100">
        <v>5.684706951667291</v>
      </c>
      <c r="BM101" s="100">
        <v>4113.4539502264515</v>
      </c>
      <c r="BN101" s="100">
        <v>7.1052631578947318</v>
      </c>
      <c r="BO101" s="100">
        <v>5141.368421052628</v>
      </c>
      <c r="BP101" s="100">
        <v>10</v>
      </c>
      <c r="BQ101" s="100">
        <v>7236</v>
      </c>
      <c r="BR101" s="100">
        <v>5.2968921907776467</v>
      </c>
      <c r="BS101" s="100">
        <v>3832.8311892467054</v>
      </c>
      <c r="BT101" s="100">
        <v>10</v>
      </c>
      <c r="BU101" s="100">
        <v>7236</v>
      </c>
      <c r="BV101" s="100">
        <v>5.5654486128626592</v>
      </c>
      <c r="BW101" s="100">
        <v>4027.1586162674203</v>
      </c>
      <c r="BX101" s="100">
        <v>2.2032157813345061</v>
      </c>
      <c r="BY101" s="100">
        <v>1594.2469393736487</v>
      </c>
      <c r="BZ101" s="100">
        <v>7.9384973189482482</v>
      </c>
      <c r="CA101" s="100">
        <v>5744.2966599909523</v>
      </c>
      <c r="CB101" s="100">
        <v>5.5500502675908745</v>
      </c>
      <c r="CC101" s="100">
        <v>4016.0163736287568</v>
      </c>
      <c r="CD101" s="100">
        <v>6.7024073779790001</v>
      </c>
      <c r="CE101" s="100">
        <v>4849.861978705605</v>
      </c>
      <c r="CF101" s="100">
        <v>0.50285418265380444</v>
      </c>
      <c r="CG101" s="100">
        <v>363.8652865682929</v>
      </c>
      <c r="CH101" s="100">
        <v>7.6285123966942141</v>
      </c>
      <c r="CI101" s="100">
        <v>5519.9915702479339</v>
      </c>
      <c r="CJ101" s="100">
        <v>7.2109978807648281</v>
      </c>
      <c r="CK101" s="100">
        <v>5217.8780665214299</v>
      </c>
      <c r="CL101" s="100">
        <v>8</v>
      </c>
      <c r="CM101" s="100">
        <v>5788.8</v>
      </c>
      <c r="CN101" s="100">
        <v>6</v>
      </c>
      <c r="CO101" s="100">
        <v>4341.6000000000004</v>
      </c>
      <c r="CP101" s="100">
        <v>10.138524219103667</v>
      </c>
      <c r="CQ101" s="100">
        <v>7336.2361249434134</v>
      </c>
      <c r="CR101" s="100">
        <v>11</v>
      </c>
      <c r="CS101" s="100">
        <v>7959.6</v>
      </c>
      <c r="CT101" s="100">
        <v>7.4793142674649786</v>
      </c>
      <c r="CU101" s="100">
        <v>5412.0318039376589</v>
      </c>
    </row>
    <row r="102" spans="2:99">
      <c r="C102" s="99" t="s">
        <v>268</v>
      </c>
      <c r="D102" s="100">
        <v>6</v>
      </c>
      <c r="E102" s="100">
        <v>3189.6000000000004</v>
      </c>
      <c r="F102" s="100">
        <v>8</v>
      </c>
      <c r="G102" s="100">
        <v>4252.8</v>
      </c>
      <c r="H102" s="100">
        <v>6</v>
      </c>
      <c r="I102" s="100">
        <v>3189.6000000000004</v>
      </c>
      <c r="J102" s="100">
        <v>9</v>
      </c>
      <c r="K102" s="100">
        <v>4784.4000000000005</v>
      </c>
      <c r="L102" s="100">
        <v>11</v>
      </c>
      <c r="M102" s="100">
        <v>5847.6</v>
      </c>
      <c r="N102" s="100">
        <v>3.4244807955830607</v>
      </c>
      <c r="O102" s="100">
        <v>1820.4539909319551</v>
      </c>
      <c r="P102" s="100">
        <v>6.3157894736842062</v>
      </c>
      <c r="Q102" s="100">
        <v>3357.473684210524</v>
      </c>
      <c r="R102" s="100">
        <v>8.042062619507794</v>
      </c>
      <c r="S102" s="100">
        <v>4275.1604885303432</v>
      </c>
      <c r="T102" s="100">
        <v>7.4284233281803029</v>
      </c>
      <c r="U102" s="100">
        <v>3948.949841260649</v>
      </c>
      <c r="V102" s="100">
        <v>0.48810379329595949</v>
      </c>
      <c r="W102" s="100">
        <v>259.47597651613205</v>
      </c>
      <c r="X102" s="100">
        <v>9</v>
      </c>
      <c r="Y102" s="100">
        <v>4784.4000000000005</v>
      </c>
      <c r="Z102" s="100">
        <v>9</v>
      </c>
      <c r="AA102" s="100">
        <v>4784.4000000000005</v>
      </c>
      <c r="AB102" s="100">
        <v>10</v>
      </c>
      <c r="AC102" s="100">
        <v>5316</v>
      </c>
      <c r="AD102" s="100">
        <v>9</v>
      </c>
      <c r="AE102" s="100">
        <v>4784.4000000000005</v>
      </c>
      <c r="AF102" s="100">
        <v>8.9230057895389372</v>
      </c>
      <c r="AG102" s="100">
        <v>4743.4698777188996</v>
      </c>
      <c r="AH102" s="100">
        <v>0.46973205086223646</v>
      </c>
      <c r="AI102" s="100">
        <v>249.70955823836491</v>
      </c>
      <c r="AJ102" s="100">
        <v>8.3882665364305122</v>
      </c>
      <c r="AK102" s="100">
        <v>4459.2024907664609</v>
      </c>
      <c r="AL102" s="100">
        <v>5.4589377256577976</v>
      </c>
      <c r="AM102" s="100">
        <v>2901.9712949596851</v>
      </c>
      <c r="AN102" s="100">
        <v>6</v>
      </c>
      <c r="AO102" s="100">
        <v>3189.6000000000004</v>
      </c>
      <c r="AP102" s="100">
        <v>7.5099337748344279</v>
      </c>
      <c r="AQ102" s="100">
        <v>3992.2807947019819</v>
      </c>
      <c r="AR102" s="100">
        <v>10.35366836871809</v>
      </c>
      <c r="AS102" s="100">
        <v>5504.0101048105371</v>
      </c>
      <c r="AT102" s="100">
        <v>6.6339614382571979</v>
      </c>
      <c r="AU102" s="100">
        <v>3526.6139005775267</v>
      </c>
      <c r="AV102" s="100">
        <v>7.2816581931951463</v>
      </c>
      <c r="AW102" s="100">
        <v>3870.9294955025398</v>
      </c>
      <c r="AX102" s="100">
        <v>6.9565217391304301</v>
      </c>
      <c r="AY102" s="100">
        <v>3698.0869565217367</v>
      </c>
      <c r="AZ102" s="100">
        <v>11</v>
      </c>
      <c r="BA102" s="100">
        <v>5847.6</v>
      </c>
      <c r="BB102" s="100">
        <v>5.5831737454226271</v>
      </c>
      <c r="BC102" s="100">
        <v>2968.0151630666687</v>
      </c>
      <c r="BD102" s="100">
        <v>7</v>
      </c>
      <c r="BE102" s="100">
        <v>3721.2000000000003</v>
      </c>
      <c r="BF102" s="100">
        <v>9</v>
      </c>
      <c r="BG102" s="100">
        <v>4784.4000000000005</v>
      </c>
      <c r="BH102" s="100">
        <v>11.545649919879345</v>
      </c>
      <c r="BI102" s="100">
        <v>6137.6674974078605</v>
      </c>
      <c r="BJ102" s="100">
        <v>1.8216112018480428</v>
      </c>
      <c r="BK102" s="100">
        <v>968.36851490241963</v>
      </c>
      <c r="BL102" s="100">
        <v>6.4968079447626179</v>
      </c>
      <c r="BM102" s="100">
        <v>3453.7031034358079</v>
      </c>
      <c r="BN102" s="100">
        <v>7.8947368421052575</v>
      </c>
      <c r="BO102" s="100">
        <v>4196.8421052631547</v>
      </c>
      <c r="BP102" s="100">
        <v>11</v>
      </c>
      <c r="BQ102" s="100">
        <v>5847.6</v>
      </c>
      <c r="BR102" s="100">
        <v>6.6211152384720577</v>
      </c>
      <c r="BS102" s="100">
        <v>3519.784860771746</v>
      </c>
      <c r="BT102" s="100">
        <v>9</v>
      </c>
      <c r="BU102" s="100">
        <v>4784.4000000000005</v>
      </c>
      <c r="BV102" s="100">
        <v>4.8811949106820665</v>
      </c>
      <c r="BW102" s="100">
        <v>2594.8432145185866</v>
      </c>
      <c r="BX102" s="100">
        <v>2.2032157813345061</v>
      </c>
      <c r="BY102" s="100">
        <v>1171.2295093574235</v>
      </c>
      <c r="BZ102" s="100">
        <v>7.2168157444984073</v>
      </c>
      <c r="CA102" s="100">
        <v>3836.4592497753533</v>
      </c>
      <c r="CB102" s="100">
        <v>6.4750586455226866</v>
      </c>
      <c r="CC102" s="100">
        <v>3442.1411759598604</v>
      </c>
      <c r="CD102" s="100">
        <v>6.7216141057444618</v>
      </c>
      <c r="CE102" s="100">
        <v>3573.2100586137562</v>
      </c>
      <c r="CF102" s="100">
        <v>0.55872686961533824</v>
      </c>
      <c r="CG102" s="100">
        <v>297.01920388751381</v>
      </c>
      <c r="CH102" s="100">
        <v>7.5318181818181813</v>
      </c>
      <c r="CI102" s="100">
        <v>4003.9145454545455</v>
      </c>
      <c r="CJ102" s="100">
        <v>6.3096231456692244</v>
      </c>
      <c r="CK102" s="100">
        <v>3354.19566423776</v>
      </c>
      <c r="CL102" s="100">
        <v>7</v>
      </c>
      <c r="CM102" s="100">
        <v>3721.2000000000003</v>
      </c>
      <c r="CN102" s="100">
        <v>6</v>
      </c>
      <c r="CO102" s="100">
        <v>3189.6000000000004</v>
      </c>
      <c r="CP102" s="100">
        <v>11.155839746491626</v>
      </c>
      <c r="CQ102" s="100">
        <v>5930.4444092349486</v>
      </c>
      <c r="CR102" s="100">
        <v>12</v>
      </c>
      <c r="CS102" s="100">
        <v>6379.2000000000007</v>
      </c>
      <c r="CT102" s="100">
        <v>8.3103491860721981</v>
      </c>
      <c r="CU102" s="100">
        <v>4417.7816273159806</v>
      </c>
    </row>
    <row r="103" spans="2:99">
      <c r="C103" s="99" t="s">
        <v>269</v>
      </c>
      <c r="D103" s="100">
        <v>6</v>
      </c>
      <c r="E103" s="100">
        <v>3535.2</v>
      </c>
      <c r="F103" s="100">
        <v>8</v>
      </c>
      <c r="G103" s="100">
        <v>4713.5999999999995</v>
      </c>
      <c r="H103" s="100">
        <v>6</v>
      </c>
      <c r="I103" s="100">
        <v>3535.2</v>
      </c>
      <c r="J103" s="100">
        <v>8</v>
      </c>
      <c r="K103" s="100">
        <v>4713.5999999999995</v>
      </c>
      <c r="L103" s="100">
        <v>10</v>
      </c>
      <c r="M103" s="100">
        <v>5891.9999999999991</v>
      </c>
      <c r="N103" s="100">
        <v>2.996420696135178</v>
      </c>
      <c r="O103" s="100">
        <v>1765.4910741628466</v>
      </c>
      <c r="P103" s="100">
        <v>6.3157894736842062</v>
      </c>
      <c r="Q103" s="100">
        <v>3721.2631578947339</v>
      </c>
      <c r="R103" s="100">
        <v>8.042062619507794</v>
      </c>
      <c r="S103" s="100">
        <v>4738.3832954139916</v>
      </c>
      <c r="T103" s="100">
        <v>8.1543137676288335</v>
      </c>
      <c r="U103" s="100">
        <v>4804.5216718869078</v>
      </c>
      <c r="V103" s="100">
        <v>0.41837467996796529</v>
      </c>
      <c r="W103" s="100">
        <v>246.50636143712512</v>
      </c>
      <c r="X103" s="100">
        <v>8</v>
      </c>
      <c r="Y103" s="100">
        <v>4713.5999999999995</v>
      </c>
      <c r="Z103" s="100">
        <v>9</v>
      </c>
      <c r="AA103" s="100">
        <v>5302.7999999999993</v>
      </c>
      <c r="AB103" s="100">
        <v>10</v>
      </c>
      <c r="AC103" s="100">
        <v>5891.9999999999991</v>
      </c>
      <c r="AD103" s="100">
        <v>11</v>
      </c>
      <c r="AE103" s="100">
        <v>6481.1999999999989</v>
      </c>
      <c r="AF103" s="100">
        <v>8.1118234450353981</v>
      </c>
      <c r="AG103" s="100">
        <v>4779.4863738148561</v>
      </c>
      <c r="AH103" s="100">
        <v>0.52192450095804055</v>
      </c>
      <c r="AI103" s="100">
        <v>307.51791596447748</v>
      </c>
      <c r="AJ103" s="100">
        <v>8.4367998534843256</v>
      </c>
      <c r="AK103" s="100">
        <v>4970.9624736729638</v>
      </c>
      <c r="AL103" s="100">
        <v>6.2387859721803398</v>
      </c>
      <c r="AM103" s="100">
        <v>3675.892694808656</v>
      </c>
      <c r="AN103" s="100">
        <v>6</v>
      </c>
      <c r="AO103" s="100">
        <v>3535.2</v>
      </c>
      <c r="AP103" s="100">
        <v>8.3443708609271425</v>
      </c>
      <c r="AQ103" s="100">
        <v>4916.5033112582714</v>
      </c>
      <c r="AR103" s="100">
        <v>11.318301531846281</v>
      </c>
      <c r="AS103" s="100">
        <v>6668.7432625638276</v>
      </c>
      <c r="AT103" s="100">
        <v>5.6862526613633122</v>
      </c>
      <c r="AU103" s="100">
        <v>3350.3400680752629</v>
      </c>
      <c r="AV103" s="100">
        <v>6.5678529526789164</v>
      </c>
      <c r="AW103" s="100">
        <v>3869.7789597184169</v>
      </c>
      <c r="AX103" s="100">
        <v>6.9565217391304301</v>
      </c>
      <c r="AY103" s="100">
        <v>4098.7826086956493</v>
      </c>
      <c r="AZ103" s="100">
        <v>10</v>
      </c>
      <c r="BA103" s="100">
        <v>5891.9999999999991</v>
      </c>
      <c r="BB103" s="100">
        <v>6.1414911199648898</v>
      </c>
      <c r="BC103" s="100">
        <v>3618.5665678833125</v>
      </c>
      <c r="BD103" s="100">
        <v>7</v>
      </c>
      <c r="BE103" s="100">
        <v>4124.3999999999996</v>
      </c>
      <c r="BF103" s="100">
        <v>8</v>
      </c>
      <c r="BG103" s="100">
        <v>4713.5999999999995</v>
      </c>
      <c r="BH103" s="100">
        <v>12.500179093222734</v>
      </c>
      <c r="BI103" s="100">
        <v>7365.105521726834</v>
      </c>
      <c r="BJ103" s="100">
        <v>1.8216112018480428</v>
      </c>
      <c r="BK103" s="100">
        <v>1073.2933201288668</v>
      </c>
      <c r="BL103" s="100">
        <v>6.4968079447626179</v>
      </c>
      <c r="BM103" s="100">
        <v>3827.9192410541341</v>
      </c>
      <c r="BN103" s="100">
        <v>7.8947368421052575</v>
      </c>
      <c r="BO103" s="100">
        <v>4651.5789473684172</v>
      </c>
      <c r="BP103" s="100">
        <v>9</v>
      </c>
      <c r="BQ103" s="100">
        <v>5302.7999999999993</v>
      </c>
      <c r="BR103" s="100">
        <v>6.6211152384720577</v>
      </c>
      <c r="BS103" s="100">
        <v>3901.1610985077359</v>
      </c>
      <c r="BT103" s="100">
        <v>10.008016593486326</v>
      </c>
      <c r="BU103" s="100">
        <v>5896.7233768821425</v>
      </c>
      <c r="BV103" s="100">
        <v>4.9040496595365468</v>
      </c>
      <c r="BW103" s="100">
        <v>2889.4660593989329</v>
      </c>
      <c r="BX103" s="100">
        <v>2.2032157813345061</v>
      </c>
      <c r="BY103" s="100">
        <v>1298.1347383622908</v>
      </c>
      <c r="BZ103" s="100">
        <v>7.2168157444984073</v>
      </c>
      <c r="CA103" s="100">
        <v>4252.1478366584615</v>
      </c>
      <c r="CB103" s="100">
        <v>5.5500502675908745</v>
      </c>
      <c r="CC103" s="100">
        <v>3270.0896176645429</v>
      </c>
      <c r="CD103" s="100">
        <v>7.537807459255693</v>
      </c>
      <c r="CE103" s="100">
        <v>4441.2761549934539</v>
      </c>
      <c r="CF103" s="100">
        <v>0.50285418265380444</v>
      </c>
      <c r="CG103" s="100">
        <v>296.28168441962151</v>
      </c>
      <c r="CH103" s="100">
        <v>7.6768595041322305</v>
      </c>
      <c r="CI103" s="100">
        <v>4523.20561983471</v>
      </c>
      <c r="CJ103" s="100">
        <v>7.2109978807648281</v>
      </c>
      <c r="CK103" s="100">
        <v>4248.7199513466358</v>
      </c>
      <c r="CL103" s="100">
        <v>7</v>
      </c>
      <c r="CM103" s="100">
        <v>4124.3999999999996</v>
      </c>
      <c r="CN103" s="100">
        <v>6</v>
      </c>
      <c r="CO103" s="100">
        <v>3535.2</v>
      </c>
      <c r="CP103" s="100">
        <v>11.138524219103667</v>
      </c>
      <c r="CQ103" s="100">
        <v>6562.8184698958803</v>
      </c>
      <c r="CR103" s="100">
        <v>11</v>
      </c>
      <c r="CS103" s="100">
        <v>6481.1999999999989</v>
      </c>
      <c r="CT103" s="100">
        <v>8.3103491860721981</v>
      </c>
      <c r="CU103" s="100">
        <v>4896.4577404337388</v>
      </c>
    </row>
    <row r="104" spans="2:99">
      <c r="C104" s="99" t="s">
        <v>270</v>
      </c>
      <c r="D104" s="100">
        <v>7</v>
      </c>
      <c r="E104" s="100">
        <v>4426.8</v>
      </c>
      <c r="F104" s="100">
        <v>9</v>
      </c>
      <c r="G104" s="100">
        <v>5691.5999999999995</v>
      </c>
      <c r="H104" s="100">
        <v>7</v>
      </c>
      <c r="I104" s="100">
        <v>4426.8</v>
      </c>
      <c r="J104" s="100">
        <v>9</v>
      </c>
      <c r="K104" s="100">
        <v>5691.5999999999995</v>
      </c>
      <c r="L104" s="100">
        <v>10</v>
      </c>
      <c r="M104" s="100">
        <v>6324</v>
      </c>
      <c r="N104" s="100">
        <v>3.4244807955830607</v>
      </c>
      <c r="O104" s="100">
        <v>2165.6416551267275</v>
      </c>
      <c r="P104" s="100">
        <v>6.3157894736842062</v>
      </c>
      <c r="Q104" s="100">
        <v>3994.1052631578918</v>
      </c>
      <c r="R104" s="100">
        <v>6.4336500956062341</v>
      </c>
      <c r="S104" s="100">
        <v>4068.6403204613825</v>
      </c>
      <c r="T104" s="100">
        <v>6.6936108395899296</v>
      </c>
      <c r="U104" s="100">
        <v>4233.0394949566717</v>
      </c>
      <c r="V104" s="100">
        <v>0.48810379329595949</v>
      </c>
      <c r="W104" s="100">
        <v>308.67683888036476</v>
      </c>
      <c r="X104" s="100">
        <v>8</v>
      </c>
      <c r="Y104" s="100">
        <v>5059.2</v>
      </c>
      <c r="Z104" s="100">
        <v>9</v>
      </c>
      <c r="AA104" s="100">
        <v>5691.5999999999995</v>
      </c>
      <c r="AB104" s="100">
        <v>11</v>
      </c>
      <c r="AC104" s="100">
        <v>6956.4</v>
      </c>
      <c r="AD104" s="100">
        <v>10</v>
      </c>
      <c r="AE104" s="100">
        <v>6324</v>
      </c>
      <c r="AF104" s="100">
        <v>9.2291971058325277</v>
      </c>
      <c r="AG104" s="100">
        <v>5836.5442497284903</v>
      </c>
      <c r="AH104" s="100">
        <v>0.52192450095804055</v>
      </c>
      <c r="AI104" s="100">
        <v>330.06505440586483</v>
      </c>
      <c r="AJ104" s="100">
        <v>8.3882665364305122</v>
      </c>
      <c r="AK104" s="100">
        <v>5304.7397576386556</v>
      </c>
      <c r="AL104" s="100">
        <v>6.2387859721803398</v>
      </c>
      <c r="AM104" s="100">
        <v>3945.4082488068466</v>
      </c>
      <c r="AN104" s="100">
        <v>7</v>
      </c>
      <c r="AO104" s="100">
        <v>4426.8</v>
      </c>
      <c r="AP104" s="100">
        <v>8.3443708609271425</v>
      </c>
      <c r="AQ104" s="100">
        <v>5276.9801324503251</v>
      </c>
      <c r="AR104" s="100">
        <v>10.389035205589899</v>
      </c>
      <c r="AS104" s="100">
        <v>6570.0258640150514</v>
      </c>
      <c r="AT104" s="100">
        <v>5.6862526613633122</v>
      </c>
      <c r="AU104" s="100">
        <v>3595.9861830461587</v>
      </c>
      <c r="AV104" s="100">
        <v>7.2657019945248278</v>
      </c>
      <c r="AW104" s="100">
        <v>4594.8299413375007</v>
      </c>
      <c r="AX104" s="100">
        <v>6.0869565217391264</v>
      </c>
      <c r="AY104" s="100">
        <v>3849.3913043478233</v>
      </c>
      <c r="AZ104" s="100">
        <v>10</v>
      </c>
      <c r="BA104" s="100">
        <v>6324</v>
      </c>
      <c r="BB104" s="100">
        <v>5.5831737454226271</v>
      </c>
      <c r="BC104" s="100">
        <v>3530.7990766052694</v>
      </c>
      <c r="BD104" s="100">
        <v>6</v>
      </c>
      <c r="BE104" s="100">
        <v>3794.3999999999996</v>
      </c>
      <c r="BF104" s="100">
        <v>8</v>
      </c>
      <c r="BG104" s="100">
        <v>5059.2</v>
      </c>
      <c r="BH104" s="100">
        <v>12.545649919879345</v>
      </c>
      <c r="BI104" s="100">
        <v>7933.8690093316973</v>
      </c>
      <c r="BJ104" s="100">
        <v>1.6192099571982603</v>
      </c>
      <c r="BK104" s="100">
        <v>1023.9883769321798</v>
      </c>
      <c r="BL104" s="100">
        <v>7.3089089378579457</v>
      </c>
      <c r="BM104" s="100">
        <v>4622.1540123013647</v>
      </c>
      <c r="BN104" s="100">
        <v>7.1052631578947318</v>
      </c>
      <c r="BO104" s="100">
        <v>4493.368421052628</v>
      </c>
      <c r="BP104" s="100">
        <v>10</v>
      </c>
      <c r="BQ104" s="100">
        <v>6324</v>
      </c>
      <c r="BR104" s="100">
        <v>5.9590037146248527</v>
      </c>
      <c r="BS104" s="100">
        <v>3768.4739491287569</v>
      </c>
      <c r="BT104" s="100">
        <v>10</v>
      </c>
      <c r="BU104" s="100">
        <v>6324</v>
      </c>
      <c r="BV104" s="100">
        <v>4.9040496595365468</v>
      </c>
      <c r="BW104" s="100">
        <v>3101.3210046909121</v>
      </c>
      <c r="BX104" s="100">
        <v>2.0196144662232975</v>
      </c>
      <c r="BY104" s="100">
        <v>1277.2041884396133</v>
      </c>
      <c r="BZ104" s="100">
        <v>7.9384973189482482</v>
      </c>
      <c r="CA104" s="100">
        <v>5020.3057045028718</v>
      </c>
      <c r="CB104" s="100">
        <v>5.5500502675908745</v>
      </c>
      <c r="CC104" s="100">
        <v>3509.851789224469</v>
      </c>
      <c r="CD104" s="100">
        <v>7.5282040953729625</v>
      </c>
      <c r="CE104" s="100">
        <v>4760.8362699138615</v>
      </c>
      <c r="CF104" s="100">
        <v>0.50285418265380444</v>
      </c>
      <c r="CG104" s="100">
        <v>318.00498511026592</v>
      </c>
      <c r="CH104" s="100">
        <v>8.5801652892561968</v>
      </c>
      <c r="CI104" s="100">
        <v>5426.0965289256183</v>
      </c>
      <c r="CJ104" s="100">
        <v>7.2109978807648281</v>
      </c>
      <c r="CK104" s="100">
        <v>4560.2350597956774</v>
      </c>
      <c r="CL104" s="100">
        <v>7</v>
      </c>
      <c r="CM104" s="100">
        <v>4426.8</v>
      </c>
      <c r="CN104" s="100">
        <v>5</v>
      </c>
      <c r="CO104" s="100">
        <v>3162</v>
      </c>
      <c r="CP104" s="100">
        <v>11</v>
      </c>
      <c r="CQ104" s="100">
        <v>6956.4</v>
      </c>
      <c r="CR104" s="100">
        <v>11</v>
      </c>
      <c r="CS104" s="100">
        <v>6956.4</v>
      </c>
      <c r="CT104" s="100">
        <v>7.4793142674649786</v>
      </c>
      <c r="CU104" s="100">
        <v>4729.9183427448525</v>
      </c>
    </row>
    <row r="105" spans="2:99">
      <c r="C105" s="99" t="s">
        <v>271</v>
      </c>
      <c r="D105" s="100">
        <v>6</v>
      </c>
      <c r="E105" s="100">
        <v>3340.7999999999997</v>
      </c>
      <c r="F105" s="100">
        <v>8</v>
      </c>
      <c r="G105" s="100">
        <v>4454.3999999999996</v>
      </c>
      <c r="H105" s="100">
        <v>6</v>
      </c>
      <c r="I105" s="100">
        <v>3340.7999999999997</v>
      </c>
      <c r="J105" s="100">
        <v>9</v>
      </c>
      <c r="K105" s="100">
        <v>5011.2</v>
      </c>
      <c r="L105" s="100">
        <v>10</v>
      </c>
      <c r="M105" s="100">
        <v>5568</v>
      </c>
      <c r="N105" s="100">
        <v>2.996420696135178</v>
      </c>
      <c r="O105" s="100">
        <v>1668.4070436080669</v>
      </c>
      <c r="P105" s="100">
        <v>7.21804511278195</v>
      </c>
      <c r="Q105" s="100">
        <v>4019.0075187969896</v>
      </c>
      <c r="R105" s="100">
        <v>7.2378563575570132</v>
      </c>
      <c r="S105" s="100">
        <v>4030.0384198877446</v>
      </c>
      <c r="T105" s="100">
        <v>7.4284233281803029</v>
      </c>
      <c r="U105" s="100">
        <v>4136.146109130792</v>
      </c>
      <c r="V105" s="100">
        <v>0.41837467996796529</v>
      </c>
      <c r="W105" s="100">
        <v>232.95102180616306</v>
      </c>
      <c r="X105" s="100">
        <v>9</v>
      </c>
      <c r="Y105" s="100">
        <v>5011.2</v>
      </c>
      <c r="Z105" s="100">
        <v>8</v>
      </c>
      <c r="AA105" s="100">
        <v>4454.3999999999996</v>
      </c>
      <c r="AB105" s="100">
        <v>10</v>
      </c>
      <c r="AC105" s="100">
        <v>5568</v>
      </c>
      <c r="AD105" s="100">
        <v>10</v>
      </c>
      <c r="AE105" s="100">
        <v>5568</v>
      </c>
      <c r="AF105" s="100">
        <v>8.1118234450353981</v>
      </c>
      <c r="AG105" s="100">
        <v>4516.6632941957096</v>
      </c>
      <c r="AH105" s="100">
        <v>0.52192450095804055</v>
      </c>
      <c r="AI105" s="100">
        <v>290.60756213343694</v>
      </c>
      <c r="AJ105" s="100">
        <v>8.4367998534843256</v>
      </c>
      <c r="AK105" s="100">
        <v>4697.6101584200724</v>
      </c>
      <c r="AL105" s="100">
        <v>6.2387859721803398</v>
      </c>
      <c r="AM105" s="100">
        <v>3473.7560293100128</v>
      </c>
      <c r="AN105" s="100">
        <v>6</v>
      </c>
      <c r="AO105" s="100">
        <v>3340.7999999999997</v>
      </c>
      <c r="AP105" s="100">
        <v>6.6754966887417133</v>
      </c>
      <c r="AQ105" s="100">
        <v>3716.9165562913859</v>
      </c>
      <c r="AR105" s="100">
        <v>12.35366836871809</v>
      </c>
      <c r="AS105" s="100">
        <v>6878.5225477022313</v>
      </c>
      <c r="AT105" s="100">
        <v>6.6339614382571979</v>
      </c>
      <c r="AU105" s="100">
        <v>3693.7897288216072</v>
      </c>
      <c r="AV105" s="100">
        <v>7.2816581931951463</v>
      </c>
      <c r="AW105" s="100">
        <v>4054.4272819710573</v>
      </c>
      <c r="AX105" s="100">
        <v>6.0869565217391264</v>
      </c>
      <c r="AY105" s="100">
        <v>3389.2173913043453</v>
      </c>
      <c r="AZ105" s="100">
        <v>10</v>
      </c>
      <c r="BA105" s="100">
        <v>5568</v>
      </c>
      <c r="BB105" s="100">
        <v>6.1414911199648898</v>
      </c>
      <c r="BC105" s="100">
        <v>3419.5822555964505</v>
      </c>
      <c r="BD105" s="100">
        <v>6</v>
      </c>
      <c r="BE105" s="100">
        <v>3340.7999999999997</v>
      </c>
      <c r="BF105" s="100">
        <v>9</v>
      </c>
      <c r="BG105" s="100">
        <v>5011.2</v>
      </c>
      <c r="BH105" s="100">
        <v>11.500179093222734</v>
      </c>
      <c r="BI105" s="100">
        <v>6403.2997191064178</v>
      </c>
      <c r="BJ105" s="100">
        <v>1.6192099571982603</v>
      </c>
      <c r="BK105" s="100">
        <v>901.57610416799128</v>
      </c>
      <c r="BL105" s="100">
        <v>6.4968079447626179</v>
      </c>
      <c r="BM105" s="100">
        <v>3617.4226636438252</v>
      </c>
      <c r="BN105" s="100">
        <v>7.8947368421052575</v>
      </c>
      <c r="BO105" s="100">
        <v>4395.7894736842072</v>
      </c>
      <c r="BP105" s="100">
        <v>11</v>
      </c>
      <c r="BQ105" s="100">
        <v>6124.7999999999993</v>
      </c>
      <c r="BR105" s="100">
        <v>5.9590037146248527</v>
      </c>
      <c r="BS105" s="100">
        <v>3317.9732683031175</v>
      </c>
      <c r="BT105" s="100">
        <v>10</v>
      </c>
      <c r="BU105" s="100">
        <v>5568</v>
      </c>
      <c r="BV105" s="100">
        <v>4.9040496595365468</v>
      </c>
      <c r="BW105" s="100">
        <v>2730.574850429949</v>
      </c>
      <c r="BX105" s="100">
        <v>2.2032157813345061</v>
      </c>
      <c r="BY105" s="100">
        <v>1226.7505470470528</v>
      </c>
      <c r="BZ105" s="100">
        <v>7.2168157444984073</v>
      </c>
      <c r="CA105" s="100">
        <v>4018.3230065367129</v>
      </c>
      <c r="CB105" s="100">
        <v>5.5500502675908745</v>
      </c>
      <c r="CC105" s="100">
        <v>3090.2679889945985</v>
      </c>
      <c r="CD105" s="100">
        <v>6.7120107418617314</v>
      </c>
      <c r="CE105" s="100">
        <v>3737.2475810686119</v>
      </c>
      <c r="CF105" s="100">
        <v>0.50285418265380444</v>
      </c>
      <c r="CG105" s="100">
        <v>279.98920890163828</v>
      </c>
      <c r="CH105" s="100">
        <v>8.6285123966942141</v>
      </c>
      <c r="CI105" s="100">
        <v>4804.3557024793381</v>
      </c>
      <c r="CJ105" s="100">
        <v>8.1123726158604317</v>
      </c>
      <c r="CK105" s="100">
        <v>4516.9690725110877</v>
      </c>
      <c r="CL105" s="100">
        <v>7</v>
      </c>
      <c r="CM105" s="100">
        <v>3897.5999999999995</v>
      </c>
      <c r="CN105" s="100">
        <v>6</v>
      </c>
      <c r="CO105" s="100">
        <v>3340.7999999999997</v>
      </c>
      <c r="CP105" s="100">
        <v>10.155839746491626</v>
      </c>
      <c r="CQ105" s="100">
        <v>5654.7715708465366</v>
      </c>
      <c r="CR105" s="100">
        <v>12</v>
      </c>
      <c r="CS105" s="100">
        <v>6681.5999999999995</v>
      </c>
      <c r="CT105" s="100">
        <v>8.3103491860721981</v>
      </c>
      <c r="CU105" s="100">
        <v>4627.202426805</v>
      </c>
    </row>
    <row r="107" spans="2:99">
      <c r="B107" s="104" t="s">
        <v>276</v>
      </c>
    </row>
    <row r="108" spans="2:99">
      <c r="C108" s="99" t="s">
        <v>277</v>
      </c>
      <c r="D108" s="99" t="s">
        <v>92</v>
      </c>
      <c r="E108" s="99" t="s">
        <v>93</v>
      </c>
      <c r="F108" s="99" t="s">
        <v>94</v>
      </c>
      <c r="G108" s="99" t="s">
        <v>95</v>
      </c>
      <c r="H108" s="99" t="s">
        <v>96</v>
      </c>
      <c r="I108" s="99" t="s">
        <v>97</v>
      </c>
      <c r="J108" s="99" t="s">
        <v>98</v>
      </c>
      <c r="K108" s="99" t="s">
        <v>99</v>
      </c>
      <c r="L108" s="99" t="s">
        <v>100</v>
      </c>
      <c r="M108" s="99" t="s">
        <v>101</v>
      </c>
      <c r="N108" s="99" t="s">
        <v>102</v>
      </c>
      <c r="O108" s="99" t="s">
        <v>103</v>
      </c>
    </row>
    <row r="109" spans="2:99">
      <c r="C109" s="99" t="s">
        <v>126</v>
      </c>
      <c r="D109" s="100">
        <f>SUM(D$6:D$19)+SUM(F$6:F$19)+SUM(H$6:H$19)+SUM(J$6:J$19)</f>
        <v>195.16924114113027</v>
      </c>
      <c r="E109" s="100">
        <f>SUM(L$6:L$19)+SUM(N$6:N$19)+SUM(P$6:P$19)+SUM(R$6:R$19)</f>
        <v>337</v>
      </c>
      <c r="F109" s="100">
        <f>SUM(T$6:T$19)+SUM(V$6:V$19)+SUM(X$6:X$19)+SUM(Z$6:Z$19)</f>
        <v>459.85061190214606</v>
      </c>
      <c r="G109" s="100">
        <f>SUM(AB$6:AB$19)+SUM(AD$6:AD$19)+SUM(AF$6:AF$19)+SUM(AH$6:AH$19)</f>
        <v>286.88226278214711</v>
      </c>
      <c r="H109" s="100">
        <f>SUM(AJ$6:AJ$19)+SUM(AL$6:AL$19)+SUM(AN$6:AN$19)+SUM(AP$6:AP$19)</f>
        <v>437</v>
      </c>
      <c r="I109" s="100">
        <f>SUM(AR$6:AR$19)+SUM(AT$6:AT$19)+SUM(AV$6:AV$19)+SUM(AX$6:AX$19)</f>
        <v>376</v>
      </c>
      <c r="J109" s="100">
        <f>SUM(AZ$6:AZ$19)+SUM(BB$6:BB$19)+SUM(BD$6:BD$19)+SUM(BF$6:BF$19)</f>
        <v>387.60439695108539</v>
      </c>
      <c r="K109" s="100">
        <f>SUM(BH$6:BH$19)+SUM(BJ$6:BJ$19)+SUM(BL$6:BL$19)+SUM(BN$6:BN$19)</f>
        <v>331.80558908996716</v>
      </c>
      <c r="L109" s="100">
        <f>SUM(BP$6:BP$19)+SUM(BR$6:BR$19)+SUM(BT$6:BT$19)+SUM(BV$6:BV$19)</f>
        <v>475.18809706242752</v>
      </c>
      <c r="M109" s="100">
        <f>SUM(BX$6:BX$19)+SUM(BZ$6:BZ$19)+SUM(CB$6:CB$19)+SUM(CD$6:CD$19)</f>
        <v>346.01732096108231</v>
      </c>
      <c r="N109" s="100">
        <f>SUM(CF$6:CF$19)+SUM(CH$6:CH$19)+SUM(CJ$6:CJ$19)+SUM(CL$6:CL$19)</f>
        <v>313.43163570806314</v>
      </c>
      <c r="O109" s="100">
        <f>SUM(CN$6:CN$19)+SUM(CP$6:CP$19)+SUM(CR$6:CR$19)+SUM(CT$6:CT$19)</f>
        <v>465.87053452879229</v>
      </c>
    </row>
    <row r="110" spans="2:99">
      <c r="C110" s="99" t="s">
        <v>127</v>
      </c>
      <c r="D110" s="100">
        <f>SUM(D$20:D$36)+SUM(F$20:F$36)+SUM(H$20:H$36)+SUM(J$20:J$36)</f>
        <v>509.29284457651022</v>
      </c>
      <c r="E110" s="100">
        <f>SUM(L$20:L$36)+SUM(N$20:N$36)+SUM(P$20:P$36)+SUM(R$20:R$36)</f>
        <v>753</v>
      </c>
      <c r="F110" s="100">
        <f>SUM(T$20:T$36)+SUM(V$20:V$36)+SUM(X$20:X$36)+SUM(Z$20:Z$36)</f>
        <v>755.35192893668739</v>
      </c>
      <c r="G110" s="100">
        <f>SUM(AB$20:AB$36)+SUM(AD$20:AD$36)+SUM(AF$20:AF$36)+SUM(AH$20:AH$36)</f>
        <v>506.65178638732556</v>
      </c>
      <c r="H110" s="100">
        <f>SUM(AJ$20:AJ$36)+SUM(AL$20:AL$36)+SUM(AN$20:AN$36)+SUM(AP$20:AP$36)</f>
        <v>699</v>
      </c>
      <c r="I110" s="100">
        <f>SUM(AR$20:AR$36)+SUM(AT$20:AT$36)+SUM(AV$20:AV$36)+SUM(AX$20:AX$36)</f>
        <v>636</v>
      </c>
      <c r="J110" s="100">
        <f>SUM(AZ$20:AZ$36)+SUM(BB$20:BB$36)+SUM(BD$20:BD$36)+SUM(BF$20:BF$36)</f>
        <v>786.96039775211875</v>
      </c>
      <c r="K110" s="100">
        <f>SUM(BH$20:BH$36)+SUM(BJ$20:BJ$36)+SUM(BL$20:BL$36)+SUM(BN$20:BN$36)</f>
        <v>605.59262452858297</v>
      </c>
      <c r="L110" s="100">
        <f>SUM(BP$20:BP$36)+SUM(BR$20:BR$36)+SUM(BT$20:BT$36)+SUM(BV$20:BV$36)</f>
        <v>788.43204584327168</v>
      </c>
      <c r="M110" s="100">
        <f>SUM(BX$20:BX$36)+SUM(BZ$20:BZ$36)+SUM(CB$20:CB$36)+SUM(CD$20:CD$36)</f>
        <v>609.09609501666637</v>
      </c>
      <c r="N110" s="100">
        <f>SUM(CF$20:CF$36)+SUM(CH$20:CH$36)+SUM(CJ$20:CJ$36)+SUM(CL$20:CL$36)</f>
        <v>546.02193644450278</v>
      </c>
      <c r="O110" s="100">
        <f>SUM(CN$20:CN$36)+SUM(CP$20:CP$36)+SUM(CR$20:CR$36)+SUM(CT$20:CT$36)</f>
        <v>821.8018450064817</v>
      </c>
    </row>
    <row r="111" spans="2:99">
      <c r="C111" s="99" t="s">
        <v>128</v>
      </c>
      <c r="D111" s="100">
        <f>SUM(D$37:D$48)+SUM(F$37:F$48)+SUM(H$37:H$48)+SUM(J$37:J$48)</f>
        <v>237.72395565525318</v>
      </c>
      <c r="E111" s="100">
        <f>SUM(L$37:L$48)+SUM(N$37:N$48)+SUM(P$37:P$48)+SUM(R$37:R$48)</f>
        <v>275</v>
      </c>
      <c r="F111" s="100">
        <f>SUM(T$37:T$48)+SUM(V$37:V$48)+SUM(X$37:X$48)+SUM(Z$37:Z$48)</f>
        <v>341.75259273528337</v>
      </c>
      <c r="G111" s="100">
        <f>SUM(AB$37:AB$48)+SUM(AD$37:AD$48)+SUM(AF$37:AF$48)+SUM(AH$37:AH$48)</f>
        <v>206.07399192746573</v>
      </c>
      <c r="H111" s="100">
        <f>SUM(AJ$37:AJ$48)+SUM(AL$37:AL$48)+SUM(AN$37:AN$48)+SUM(AP$37:AP$48)</f>
        <v>350</v>
      </c>
      <c r="I111" s="100">
        <f>SUM(AR$37:AR$48)+SUM(AT$37:AT$48)+SUM(AV$37:AV$48)+SUM(AX$37:AX$48)</f>
        <v>344</v>
      </c>
      <c r="J111" s="100">
        <f>SUM(AZ$37:AZ$48)+SUM(BB$37:BB$48)+SUM(BD$37:BD$48)+SUM(BF$37:BF$48)</f>
        <v>290.0732601909225</v>
      </c>
      <c r="K111" s="100">
        <f>SUM(BH$37:BH$48)+SUM(BJ$37:BJ$48)+SUM(BL$37:BL$48)+SUM(BN$37:BN$48)</f>
        <v>246.70822092809385</v>
      </c>
      <c r="L111" s="100">
        <f>SUM(BP$37:BP$48)+SUM(BR$37:BR$48)+SUM(BT$37:BT$48)+SUM(BV$37:BV$48)</f>
        <v>329.41076999456914</v>
      </c>
      <c r="M111" s="100">
        <f>SUM(BX$37:BX$48)+SUM(BZ$37:BZ$48)+SUM(CB$37:CB$48)+SUM(CD$37:CD$48)</f>
        <v>265.52346627053248</v>
      </c>
      <c r="N111" s="100">
        <f>SUM(CF$37:CF$48)+SUM(CH$37:CH$48)+SUM(CJ$37:CJ$48)+SUM(CL$37:CL$48)</f>
        <v>209.46534610172549</v>
      </c>
      <c r="O111" s="100">
        <f>SUM(CN$37:CN$48)+SUM(CP$37:CP$48)+SUM(CR$37:CR$48)+SUM(CT$37:CT$48)</f>
        <v>380.27616458839441</v>
      </c>
    </row>
    <row r="112" spans="2:99">
      <c r="C112" s="99" t="s">
        <v>129</v>
      </c>
      <c r="D112" s="100">
        <f>SUM(D$49:D$70)+SUM(F$49:F$70)+SUM(H$49:H$70)+SUM(J$49:J$70)</f>
        <v>346.02216825049345</v>
      </c>
      <c r="E112" s="100">
        <f>SUM(L$49:L$70)+SUM(N$49:N$70)+SUM(P$49:P$70)+SUM(R$49:R$70)</f>
        <v>490.49744834693774</v>
      </c>
      <c r="F112" s="100">
        <f>SUM(T$49:T$70)+SUM(V$49:V$70)+SUM(X$49:X$70)+SUM(Z$49:Z$70)</f>
        <v>495.44541897186343</v>
      </c>
      <c r="G112" s="100">
        <f>SUM(AB$49:AB$70)+SUM(AD$49:AD$70)+SUM(AF$49:AF$70)+SUM(AH$49:AH$70)</f>
        <v>300.59719379119099</v>
      </c>
      <c r="H112" s="100">
        <f>SUM(AJ$49:AJ$70)+SUM(AL$49:AL$70)+SUM(AN$49:AN$70)+SUM(AP$49:AP$70)</f>
        <v>440.09848669848054</v>
      </c>
      <c r="I112" s="100">
        <f>SUM(AR$49:AR$70)+SUM(AT$49:AT$70)+SUM(AV$49:AV$70)+SUM(AX$49:AX$70)</f>
        <v>464.49262880577089</v>
      </c>
      <c r="J112" s="100">
        <f>SUM(AZ$49:AZ$70)+SUM(BB$49:BB$70)+SUM(BD$49:BD$70)+SUM(BF$49:BF$70)</f>
        <v>366.1633867227265</v>
      </c>
      <c r="K112" s="100">
        <f>SUM(BH$49:BH$70)+SUM(BJ$49:BJ$70)+SUM(BL$49:BL$70)+SUM(BN$49:BN$70)</f>
        <v>378.68313910069077</v>
      </c>
      <c r="L112" s="100">
        <f>SUM(BP$49:BP$70)+SUM(BR$49:BR$70)+SUM(BT$49:BT$70)+SUM(BV$49:BV$70)</f>
        <v>371.99794167956668</v>
      </c>
      <c r="M112" s="100">
        <f>SUM(BX$49:BX$70)+SUM(BZ$49:BZ$70)+SUM(CB$49:CB$70)+SUM(CD$49:CD$70)</f>
        <v>373.45981783574985</v>
      </c>
      <c r="N112" s="100">
        <f>SUM(CF$49:CF$70)+SUM(CH$49:CH$70)+SUM(CJ$49:CJ$70)+SUM(CL$49:CL$70)</f>
        <v>339.56617535645483</v>
      </c>
      <c r="O112" s="100">
        <f>SUM(CN$49:CN$70)+SUM(CP$49:CP$70)+SUM(CR$49:CR$70)+SUM(CT$49:CT$70)</f>
        <v>422.72438308147179</v>
      </c>
    </row>
    <row r="113" spans="2:15">
      <c r="C113" s="99" t="s">
        <v>130</v>
      </c>
      <c r="D113" s="100">
        <f>SUM(D$71:D$86)+SUM(F$71:F$86)+SUM(H$71:H$86)+SUM(J$71:J$86)</f>
        <v>289.47182589473653</v>
      </c>
      <c r="E113" s="100">
        <f>SUM(L$71:L$86)+SUM(N$71:N$86)+SUM(P$71:P$86)+SUM(R$71:R$86)</f>
        <v>224.31207513127612</v>
      </c>
      <c r="F113" s="100">
        <f>SUM(T$71:T$86)+SUM(V$71:V$86)+SUM(X$71:X$86)+SUM(Z$71:Z$86)</f>
        <v>333</v>
      </c>
      <c r="G113" s="100">
        <f>SUM(AB$71:AB$86)+SUM(AD$71:AD$86)+SUM(AF$71:AF$86)+SUM(AH$71:AH$86)</f>
        <v>357</v>
      </c>
      <c r="H113" s="100">
        <f>SUM(AJ$71:AJ$86)+SUM(AL$71:AL$86)+SUM(AN$71:AN$86)+SUM(AP$71:AP$86)</f>
        <v>322</v>
      </c>
      <c r="I113" s="100">
        <f>SUM(AR$71:AR$86)+SUM(AT$71:AT$86)+SUM(AV$71:AV$86)+SUM(AX$71:AX$86)</f>
        <v>262.75135702443765</v>
      </c>
      <c r="J113" s="100">
        <f>SUM(AZ$71:AZ$86)+SUM(BB$71:BB$86)+SUM(BD$71:BD$86)+SUM(BF$71:BF$86)</f>
        <v>253.39707279815772</v>
      </c>
      <c r="K113" s="100">
        <f>SUM(BH$71:BH$86)+SUM(BJ$71:BJ$86)+SUM(BL$71:BL$86)+SUM(BN$71:BN$86)</f>
        <v>314</v>
      </c>
      <c r="L113" s="100">
        <f>SUM(BP$71:BP$86)+SUM(BR$71:BR$86)+SUM(BT$71:BT$86)+SUM(BV$71:BV$86)</f>
        <v>272.02725487229134</v>
      </c>
      <c r="M113" s="100">
        <f>SUM(BX$71:BX$86)+SUM(BZ$71:BZ$86)+SUM(CB$71:CB$86)+SUM(CD$71:CD$86)</f>
        <v>248.59069070527184</v>
      </c>
      <c r="N113" s="100">
        <f>SUM(CF$71:CF$86)+SUM(CH$71:CH$86)+SUM(CJ$71:CJ$86)+SUM(CL$71:CL$86)</f>
        <v>253.5669967951107</v>
      </c>
      <c r="O113" s="100">
        <f>SUM(CN$71:CN$86)+SUM(CP$71:CP$86)+SUM(CR$71:CR$86)+SUM(CT$71:CT$86)</f>
        <v>301.94380494733241</v>
      </c>
    </row>
    <row r="114" spans="2:15">
      <c r="C114" s="99" t="s">
        <v>131</v>
      </c>
      <c r="D114" s="100">
        <f>SUM(D$87:D$94)+SUM(F$87:F$94)+SUM(H$87:H$94)+SUM(J$87:J$94)</f>
        <v>154</v>
      </c>
      <c r="E114" s="100">
        <f>SUM(L$87:L$94)+SUM(N$87:N$94)+SUM(P$87:P$94)+SUM(R$87:R$94)</f>
        <v>138.28813614432366</v>
      </c>
      <c r="F114" s="100">
        <f>SUM(T$87:T$94)+SUM(V$87:V$94)+SUM(X$87:X$94)+SUM(Z$87:Z$94)</f>
        <v>111.22622947643831</v>
      </c>
      <c r="G114" s="100">
        <f>SUM(AB$87:AB$94)+SUM(AD$87:AD$94)+SUM(AF$87:AF$94)+SUM(AH$87:AH$94)</f>
        <v>107.50948115737971</v>
      </c>
      <c r="H114" s="100">
        <f>SUM(AJ$87:AJ$94)+SUM(AL$87:AL$94)+SUM(AN$87:AN$94)+SUM(AP$87:AP$94)</f>
        <v>161.50836753298432</v>
      </c>
      <c r="I114" s="100">
        <f>SUM(AR$87:AR$94)+SUM(AT$87:AT$94)+SUM(AV$87:AV$94)+SUM(AX$87:AX$94)</f>
        <v>155.07720707365172</v>
      </c>
      <c r="J114" s="100">
        <f>SUM(AZ$87:AZ$94)+SUM(BB$87:BB$94)+SUM(BD$87:BD$94)+SUM(BF$87:BF$94)</f>
        <v>170.33985341555086</v>
      </c>
      <c r="K114" s="100">
        <f>SUM(BH$87:BH$94)+SUM(BJ$87:BJ$94)+SUM(BL$87:BL$94)+SUM(BN$87:BN$94)</f>
        <v>137.19193170361601</v>
      </c>
      <c r="L114" s="100">
        <f>SUM(BP$87:BP$94)+SUM(BR$87:BR$94)+SUM(BT$87:BT$94)+SUM(BV$87:BV$94)</f>
        <v>134.52236674001767</v>
      </c>
      <c r="M114" s="100">
        <f>SUM(BX$87:BX$94)+SUM(BZ$87:BZ$94)+SUM(CB$87:CB$94)+SUM(CD$87:CD$94)</f>
        <v>123.58526994673528</v>
      </c>
      <c r="N114" s="100">
        <f>SUM(CF$87:CF$94)+SUM(CH$87:CH$94)+SUM(CJ$87:CJ$94)+SUM(CL$87:CL$94)</f>
        <v>153.73482766048221</v>
      </c>
      <c r="O114" s="100">
        <f>SUM(CN$87:CN$94)+SUM(CP$87:CP$94)+SUM(CR$87:CR$94)+SUM(CT$87:CT$94)</f>
        <v>188.29445967298898</v>
      </c>
    </row>
    <row r="115" spans="2:15">
      <c r="C115" s="99" t="s">
        <v>132</v>
      </c>
      <c r="D115" s="100">
        <f>SUM(D$95:D$105)+SUM(F$95:F$105)+SUM(H$95:H$105)+SUM(J$95:J$105)</f>
        <v>321</v>
      </c>
      <c r="E115" s="100">
        <f>SUM(L$95:L$105)+SUM(N$95:N$105)+SUM(P$95:P$105)+SUM(R$95:R$105)</f>
        <v>294.53040082128854</v>
      </c>
      <c r="F115" s="100">
        <f>SUM(T$95:T$105)+SUM(V$95:V$105)+SUM(X$95:X$105)+SUM(Z$95:Z$105)</f>
        <v>273.55800634637558</v>
      </c>
      <c r="G115" s="100">
        <f>SUM(AB$95:AB$105)+SUM(AD$95:AD$105)+SUM(AF$95:AF$105)+SUM(AH$95:AH$105)</f>
        <v>323.10460849946918</v>
      </c>
      <c r="H115" s="100">
        <f>SUM(AJ$95:AJ$105)+SUM(AL$95:AL$105)+SUM(AN$95:AN$105)+SUM(AP$95:AP$105)</f>
        <v>303.02794842949447</v>
      </c>
      <c r="I115" s="100">
        <f>SUM(AR$95:AR$105)+SUM(AT$95:AT$105)+SUM(AV$95:AV$105)+SUM(AX$95:AX$105)</f>
        <v>332.79834056106785</v>
      </c>
      <c r="J115" s="100">
        <f>SUM(AZ$95:AZ$105)+SUM(BB$95:BB$105)+SUM(BD$95:BD$105)+SUM(BF$95:BF$105)</f>
        <v>340.32313282144474</v>
      </c>
      <c r="K115" s="100">
        <f>SUM(BH$95:BH$105)+SUM(BJ$95:BJ$105)+SUM(BL$95:BL$105)+SUM(BN$95:BN$105)</f>
        <v>298.98870356122501</v>
      </c>
      <c r="L115" s="100">
        <f>SUM(BP$95:BP$105)+SUM(BR$95:BR$105)+SUM(BT$95:BT$105)+SUM(BV$95:BV$105)</f>
        <v>337.08006041704488</v>
      </c>
      <c r="M115" s="100">
        <f>SUM(BX$95:BX$105)+SUM(BZ$95:BZ$105)+SUM(CB$95:CB$105)+SUM(CD$95:CD$105)</f>
        <v>241.14827704229077</v>
      </c>
      <c r="N115" s="100">
        <f>SUM(CF$95:CF$105)+SUM(CH$95:CH$105)+SUM(CJ$95:CJ$105)+SUM(CL$95:CL$105)</f>
        <v>254.28813251635628</v>
      </c>
      <c r="O115" s="100">
        <f>SUM(CN$95:CN$105)+SUM(CP$95:CP$105)+SUM(CR$95:CR$105)+SUM(CT$95:CT$105)</f>
        <v>391.74524171137904</v>
      </c>
    </row>
    <row r="116" spans="2:15">
      <c r="C116" s="99" t="s">
        <v>278</v>
      </c>
      <c r="D116" s="100">
        <f t="shared" ref="D116:O116" si="0">SUM(D$109:D$115)</f>
        <v>2052.6800355181235</v>
      </c>
      <c r="E116" s="100">
        <f t="shared" si="0"/>
        <v>2512.6280604438261</v>
      </c>
      <c r="F116" s="100">
        <f t="shared" si="0"/>
        <v>2770.1847883687942</v>
      </c>
      <c r="G116" s="100">
        <f t="shared" si="0"/>
        <v>2087.8193245449784</v>
      </c>
      <c r="H116" s="100">
        <f t="shared" si="0"/>
        <v>2712.6348026609594</v>
      </c>
      <c r="I116" s="100">
        <f t="shared" si="0"/>
        <v>2571.1195334649283</v>
      </c>
      <c r="J116" s="100">
        <f t="shared" si="0"/>
        <v>2594.8615006520063</v>
      </c>
      <c r="K116" s="100">
        <f t="shared" si="0"/>
        <v>2312.9702089121756</v>
      </c>
      <c r="L116" s="100">
        <f t="shared" si="0"/>
        <v>2708.658536609189</v>
      </c>
      <c r="M116" s="100">
        <f t="shared" si="0"/>
        <v>2207.4209377783286</v>
      </c>
      <c r="N116" s="100">
        <f t="shared" si="0"/>
        <v>2070.0750505826954</v>
      </c>
      <c r="O116" s="100">
        <f t="shared" si="0"/>
        <v>2972.6564335368407</v>
      </c>
    </row>
    <row r="118" spans="2:15">
      <c r="B118" s="103" t="s">
        <v>279</v>
      </c>
    </row>
    <row r="119" spans="2:15">
      <c r="C119" s="99" t="s">
        <v>277</v>
      </c>
      <c r="D119" s="99" t="s">
        <v>92</v>
      </c>
      <c r="E119" s="99" t="s">
        <v>93</v>
      </c>
      <c r="F119" s="99" t="s">
        <v>94</v>
      </c>
      <c r="G119" s="99" t="s">
        <v>95</v>
      </c>
      <c r="H119" s="99" t="s">
        <v>96</v>
      </c>
      <c r="I119" s="99" t="s">
        <v>97</v>
      </c>
      <c r="J119" s="99" t="s">
        <v>98</v>
      </c>
      <c r="K119" s="99" t="s">
        <v>99</v>
      </c>
      <c r="L119" s="99" t="s">
        <v>100</v>
      </c>
      <c r="M119" s="99" t="s">
        <v>101</v>
      </c>
      <c r="N119" s="99" t="s">
        <v>102</v>
      </c>
      <c r="O119" s="99" t="s">
        <v>103</v>
      </c>
    </row>
    <row r="120" spans="2:15">
      <c r="C120" s="99" t="s">
        <v>126</v>
      </c>
      <c r="D120" s="100">
        <f>D109*pricing!D24*2000</f>
        <v>1483286.2326725898</v>
      </c>
      <c r="E120" s="100">
        <f>E109*pricing!E24*2000</f>
        <v>2561200</v>
      </c>
      <c r="F120" s="100">
        <f>F109*pricing!F24*2000</f>
        <v>3494864.6504563098</v>
      </c>
      <c r="G120" s="100">
        <f>G109*pricing!G24*2000</f>
        <v>2180305.1971443179</v>
      </c>
      <c r="H120" s="100">
        <f>H109*pricing!H24*2000</f>
        <v>3321200</v>
      </c>
      <c r="I120" s="100">
        <f>I109*pricing!I24*2000</f>
        <v>2857600</v>
      </c>
      <c r="J120" s="100">
        <f>J109*pricing!J24*2000</f>
        <v>2945793.4168282486</v>
      </c>
      <c r="K120" s="100">
        <f>K109*pricing!K24*2000</f>
        <v>2521722.4770837501</v>
      </c>
      <c r="L120" s="100">
        <f>L109*pricing!L24*2000</f>
        <v>3611429.5376744489</v>
      </c>
      <c r="M120" s="100">
        <f>M109*pricing!M24*2000</f>
        <v>2629731.6393042258</v>
      </c>
      <c r="N120" s="100">
        <f>N109*pricing!N24*2000</f>
        <v>2382080.4313812796</v>
      </c>
      <c r="O120" s="100">
        <f>O109*pricing!O24*2000</f>
        <v>3540616.0624188213</v>
      </c>
    </row>
    <row r="121" spans="2:15">
      <c r="C121" s="99" t="s">
        <v>127</v>
      </c>
      <c r="D121" s="100">
        <f>D110*pricing!D25*2000</f>
        <v>3870625.6187814772</v>
      </c>
      <c r="E121" s="100">
        <f>E110*pricing!E25*2000</f>
        <v>5722800</v>
      </c>
      <c r="F121" s="100">
        <f>F110*pricing!F25*2000</f>
        <v>5740674.6599188233</v>
      </c>
      <c r="G121" s="100">
        <f>G110*pricing!G25*2000</f>
        <v>3850553.5765436739</v>
      </c>
      <c r="H121" s="100">
        <f>H110*pricing!H25*2000</f>
        <v>5312400</v>
      </c>
      <c r="I121" s="100">
        <f>I110*pricing!I25*2000</f>
        <v>4833599.9999999991</v>
      </c>
      <c r="J121" s="100">
        <f>J110*pricing!J25*2000</f>
        <v>5980899.0229161019</v>
      </c>
      <c r="K121" s="100">
        <f>K110*pricing!K25*2000</f>
        <v>4602503.9464172302</v>
      </c>
      <c r="L121" s="100">
        <f>L110*pricing!L25*2000</f>
        <v>5992083.548408865</v>
      </c>
      <c r="M121" s="100">
        <f>M110*pricing!M25*2000</f>
        <v>4629130.3221266642</v>
      </c>
      <c r="N121" s="100">
        <f>N110*pricing!N25*2000</f>
        <v>4149766.7169782207</v>
      </c>
      <c r="O121" s="100">
        <f>O110*pricing!O25*2000</f>
        <v>6245694.0220492603</v>
      </c>
    </row>
    <row r="122" spans="2:15">
      <c r="C122" s="99" t="s">
        <v>128</v>
      </c>
      <c r="D122" s="100">
        <f>D111*pricing!D26*2000</f>
        <v>1806702.062979924</v>
      </c>
      <c r="E122" s="100">
        <f>E111*pricing!E26*2000</f>
        <v>2090000</v>
      </c>
      <c r="F122" s="100">
        <f>F111*pricing!F26*2000</f>
        <v>2597319.7047881535</v>
      </c>
      <c r="G122" s="100">
        <f>G111*pricing!G26*2000</f>
        <v>1566162.3386487395</v>
      </c>
      <c r="H122" s="100">
        <f>H111*pricing!H26*2000</f>
        <v>2660000</v>
      </c>
      <c r="I122" s="100">
        <f>I111*pricing!I26*2000</f>
        <v>2614400</v>
      </c>
      <c r="J122" s="100">
        <f>J111*pricing!J26*2000</f>
        <v>2204556.7774510109</v>
      </c>
      <c r="K122" s="100">
        <f>K111*pricing!K26*2000</f>
        <v>1874982.4790535131</v>
      </c>
      <c r="L122" s="100">
        <f>L111*pricing!L26*2000</f>
        <v>2503521.8519587251</v>
      </c>
      <c r="M122" s="100">
        <f>M111*pricing!M26*2000</f>
        <v>2017978.3436560468</v>
      </c>
      <c r="N122" s="100">
        <f>N111*pricing!N26*2000</f>
        <v>1591936.6303731136</v>
      </c>
      <c r="O122" s="100">
        <f>O111*pricing!O26*2000</f>
        <v>2890098.8508717972</v>
      </c>
    </row>
    <row r="123" spans="2:15">
      <c r="C123" s="99" t="s">
        <v>129</v>
      </c>
      <c r="D123" s="100">
        <f>D112*pricing!D27*2000</f>
        <v>2629768.4787037503</v>
      </c>
      <c r="E123" s="100">
        <f>E112*pricing!E27*2000</f>
        <v>3727780.6074367268</v>
      </c>
      <c r="F123" s="100">
        <f>F112*pricing!F27*2000</f>
        <v>3765385.184186162</v>
      </c>
      <c r="G123" s="100">
        <f>G112*pricing!G27*2000</f>
        <v>2284538.6728130514</v>
      </c>
      <c r="H123" s="100">
        <f>H112*pricing!H27*2000</f>
        <v>3344748.4989084518</v>
      </c>
      <c r="I123" s="100">
        <f>I112*pricing!I27*2000</f>
        <v>3530143.9789238586</v>
      </c>
      <c r="J123" s="100">
        <f>J112*pricing!J27*2000</f>
        <v>2782841.7390927211</v>
      </c>
      <c r="K123" s="100">
        <f>K112*pricing!K27*2000</f>
        <v>2877991.8571652495</v>
      </c>
      <c r="L123" s="100">
        <f>L112*pricing!L27*2000</f>
        <v>2827184.3567647063</v>
      </c>
      <c r="M123" s="100">
        <f>M112*pricing!M27*2000</f>
        <v>2838294.615551699</v>
      </c>
      <c r="N123" s="100">
        <f>N112*pricing!N27*2000</f>
        <v>2580702.9327090569</v>
      </c>
      <c r="O123" s="100">
        <f>O112*pricing!O27*2000</f>
        <v>3212705.3114191853</v>
      </c>
    </row>
    <row r="124" spans="2:15">
      <c r="C124" s="99" t="s">
        <v>130</v>
      </c>
      <c r="D124" s="100">
        <f>D113*pricing!D28*2000</f>
        <v>2199985.8767999979</v>
      </c>
      <c r="E124" s="100">
        <f>E113*pricing!E28*2000</f>
        <v>1704771.7709976984</v>
      </c>
      <c r="F124" s="100">
        <f>F113*pricing!F28*2000</f>
        <v>2530799.9999999995</v>
      </c>
      <c r="G124" s="100">
        <f>G113*pricing!G28*2000</f>
        <v>2713200</v>
      </c>
      <c r="H124" s="100">
        <f>H113*pricing!H28*2000</f>
        <v>2447200</v>
      </c>
      <c r="I124" s="100">
        <f>I113*pricing!I28*2000</f>
        <v>1996910.3133857262</v>
      </c>
      <c r="J124" s="100">
        <f>J113*pricing!J28*2000</f>
        <v>1925817.7532659986</v>
      </c>
      <c r="K124" s="100">
        <f>K113*pricing!K28*2000</f>
        <v>2386400</v>
      </c>
      <c r="L124" s="100">
        <f>L113*pricing!L28*2000</f>
        <v>2067407.1370294141</v>
      </c>
      <c r="M124" s="100">
        <f>M113*pricing!M28*2000</f>
        <v>1889289.2493600659</v>
      </c>
      <c r="N124" s="100">
        <f>N113*pricing!N28*2000</f>
        <v>1927109.175642841</v>
      </c>
      <c r="O124" s="100">
        <f>O113*pricing!O28*2000</f>
        <v>2294772.917599726</v>
      </c>
    </row>
    <row r="125" spans="2:15">
      <c r="C125" s="99" t="s">
        <v>131</v>
      </c>
      <c r="D125" s="100">
        <f>D114*pricing!D29*2000</f>
        <v>1170399.9999999998</v>
      </c>
      <c r="E125" s="100">
        <f>E114*pricing!E29*2000</f>
        <v>1050989.8346968598</v>
      </c>
      <c r="F125" s="100">
        <f>F114*pricing!F29*2000</f>
        <v>845319.34402093117</v>
      </c>
      <c r="G125" s="100">
        <f>G114*pricing!G29*2000</f>
        <v>817072.05679608579</v>
      </c>
      <c r="H125" s="100">
        <f>H114*pricing!H29*2000</f>
        <v>1227463.5932506807</v>
      </c>
      <c r="I125" s="100">
        <f>I114*pricing!I29*2000</f>
        <v>1178586.773759753</v>
      </c>
      <c r="J125" s="100">
        <f>J114*pricing!J29*2000</f>
        <v>1294582.8859581866</v>
      </c>
      <c r="K125" s="100">
        <f>K114*pricing!K29*2000</f>
        <v>1042658.6809474815</v>
      </c>
      <c r="L125" s="100">
        <f>L114*pricing!L29*2000</f>
        <v>1022369.9872241343</v>
      </c>
      <c r="M125" s="100">
        <f>M114*pricing!M29*2000</f>
        <v>939248.0515951881</v>
      </c>
      <c r="N125" s="100">
        <f>N114*pricing!N29*2000</f>
        <v>1168384.6902196647</v>
      </c>
      <c r="O125" s="100">
        <f>O114*pricing!O29*2000</f>
        <v>1431037.8935147163</v>
      </c>
    </row>
    <row r="126" spans="2:15">
      <c r="C126" s="99" t="s">
        <v>132</v>
      </c>
      <c r="D126" s="100">
        <f>D115*pricing!D30*2000</f>
        <v>2439600</v>
      </c>
      <c r="E126" s="100">
        <f>E115*pricing!E30*2000</f>
        <v>2238431.0462417929</v>
      </c>
      <c r="F126" s="100">
        <f>F115*pricing!F30*2000</f>
        <v>2079040.8482324542</v>
      </c>
      <c r="G126" s="100">
        <f>G115*pricing!G30*2000</f>
        <v>2455595.0245959656</v>
      </c>
      <c r="H126" s="100">
        <f>H115*pricing!H30*2000</f>
        <v>2303012.4080641582</v>
      </c>
      <c r="I126" s="100">
        <f>I115*pricing!I30*2000</f>
        <v>2529267.3882641154</v>
      </c>
      <c r="J126" s="100">
        <f>J115*pricing!J30*2000</f>
        <v>2586455.8094429797</v>
      </c>
      <c r="K126" s="100">
        <f>K115*pricing!K30*2000</f>
        <v>2272314.1470653098</v>
      </c>
      <c r="L126" s="100">
        <f>L115*pricing!L30*2000</f>
        <v>2561808.459169541</v>
      </c>
      <c r="M126" s="100">
        <f>M115*pricing!M30*2000</f>
        <v>1832726.9055214098</v>
      </c>
      <c r="N126" s="100">
        <f>N115*pricing!N30*2000</f>
        <v>1932589.8071243078</v>
      </c>
      <c r="O126" s="100">
        <f>O115*pricing!O30*2000</f>
        <v>2977263.8370064804</v>
      </c>
    </row>
    <row r="127" spans="2:15">
      <c r="C127" s="99" t="s">
        <v>278</v>
      </c>
      <c r="D127" s="100">
        <f t="shared" ref="D127:O127" si="1">SUM(D$120:D$126)</f>
        <v>15600368.269937739</v>
      </c>
      <c r="E127" s="100">
        <f t="shared" si="1"/>
        <v>19095973.25937308</v>
      </c>
      <c r="F127" s="100">
        <f t="shared" si="1"/>
        <v>21053404.391602837</v>
      </c>
      <c r="G127" s="100">
        <f t="shared" si="1"/>
        <v>15867426.866541833</v>
      </c>
      <c r="H127" s="100">
        <f t="shared" si="1"/>
        <v>20616024.50022329</v>
      </c>
      <c r="I127" s="100">
        <f t="shared" si="1"/>
        <v>19540508.454333454</v>
      </c>
      <c r="J127" s="100">
        <f t="shared" si="1"/>
        <v>19720947.404955246</v>
      </c>
      <c r="K127" s="100">
        <f t="shared" si="1"/>
        <v>17578573.587732531</v>
      </c>
      <c r="L127" s="100">
        <f t="shared" si="1"/>
        <v>20585804.878229834</v>
      </c>
      <c r="M127" s="100">
        <f t="shared" si="1"/>
        <v>16776399.1271153</v>
      </c>
      <c r="N127" s="100">
        <f t="shared" si="1"/>
        <v>15732570.384428483</v>
      </c>
      <c r="O127" s="100">
        <f t="shared" si="1"/>
        <v>22592188.894879986</v>
      </c>
    </row>
    <row r="129" spans="2:15">
      <c r="B129" s="103" t="s">
        <v>280</v>
      </c>
    </row>
    <row r="130" spans="2:15">
      <c r="C130" s="105" t="s">
        <v>277</v>
      </c>
      <c r="D130" s="105" t="s">
        <v>92</v>
      </c>
      <c r="E130" s="105" t="s">
        <v>93</v>
      </c>
      <c r="F130" s="105" t="s">
        <v>94</v>
      </c>
      <c r="G130" s="105" t="s">
        <v>95</v>
      </c>
      <c r="H130" s="105" t="s">
        <v>96</v>
      </c>
      <c r="I130" s="105" t="s">
        <v>97</v>
      </c>
      <c r="J130" s="105" t="s">
        <v>98</v>
      </c>
      <c r="K130" s="105" t="s">
        <v>99</v>
      </c>
      <c r="L130" s="105" t="s">
        <v>100</v>
      </c>
      <c r="M130" s="105" t="s">
        <v>101</v>
      </c>
      <c r="N130" s="105" t="s">
        <v>102</v>
      </c>
      <c r="O130" s="105" t="s">
        <v>103</v>
      </c>
    </row>
    <row r="131" spans="2:15">
      <c r="C131" s="105" t="s">
        <v>126</v>
      </c>
      <c r="D131" s="106">
        <f>SUM(E$6:E$19)+SUM(G$6:G$19)+SUM(I$6:I$19)+SUM(K$6:K$19)</f>
        <v>98694.013691384491</v>
      </c>
      <c r="E131" s="106">
        <f>SUM(M$6:M$19)+SUM(O$6:O$19)+SUM(Q$6:Q$19)+SUM(S$6:S$19)</f>
        <v>170128.8</v>
      </c>
      <c r="F131" s="106">
        <f>SUM(U$6:U$19)+SUM(W$6:W$19)+SUM(Y$6:Y$19)+SUM(AA$6:AA$19)</f>
        <v>232767.77247157804</v>
      </c>
      <c r="G131" s="106">
        <f>SUM(AC$6:AC$19)+SUM(AE$6:AE$19)+SUM(AG$6:AG$19)+SUM(AI$6:AI$19)</f>
        <v>144801.60022319268</v>
      </c>
      <c r="H131" s="106">
        <f>SUM(AK$6:AK$19)+SUM(AM$6:AM$19)+SUM(AO$6:AO$19)+SUM(AQ$6:AQ$19)</f>
        <v>220922.39999999997</v>
      </c>
      <c r="I131" s="106">
        <f>SUM(AS$6:AS$19)+SUM(AU$6:AU$19)+SUM(AW$6:AW$19)+SUM(AY$6:AY$19)</f>
        <v>190236</v>
      </c>
      <c r="J131" s="106">
        <f>SUM(BA$6:BA$19)+SUM(BC$6:BC$19)+SUM(BE$6:BE$19)+SUM(BG$6:BG$19)</f>
        <v>196536.97240893013</v>
      </c>
      <c r="K131" s="106">
        <f>SUM(BI$6:BI$19)+SUM(BK$6:BK$19)+SUM(BM$6:BM$19)+SUM(BO$6:BO$19)</f>
        <v>167128.99488003325</v>
      </c>
      <c r="L131" s="106">
        <f>SUM(BQ$6:BQ$19)+SUM(BS$6:BS$19)+SUM(BU$6:BU$19)+SUM(BW$6:BW$19)</f>
        <v>240551.29306019377</v>
      </c>
      <c r="M131" s="106">
        <f>SUM(BY$6:BY$19)+SUM(CA$6:CA$19)+SUM(CC$6:CC$19)+SUM(CE$6:CE$19)</f>
        <v>174406.98495288013</v>
      </c>
      <c r="N131" s="106">
        <f>SUM(CG$6:CG$19)+SUM(CI$6:CI$19)+SUM(CK$6:CK$19)+SUM(CM$6:CM$19)</f>
        <v>158868.02674431563</v>
      </c>
      <c r="O131" s="106">
        <f>SUM(CO$6:CO$19)+SUM(CQ$6:CQ$19)+SUM(CS$6:CS$19)+SUM(CU$6:CU$19)</f>
        <v>236547.29492169141</v>
      </c>
    </row>
    <row r="132" spans="2:15">
      <c r="C132" s="105" t="s">
        <v>127</v>
      </c>
      <c r="D132" s="106">
        <f>SUM(E$20:E$36)+SUM(G$20:G$36)+SUM(I$20:I$36)+SUM(K$20:K$36)</f>
        <v>217608.19843218353</v>
      </c>
      <c r="E132" s="106">
        <f>SUM(M$20:M$36)+SUM(O$20:O$36)+SUM(Q$20:Q$36)+SUM(S$20:S$36)</f>
        <v>321220.79999999993</v>
      </c>
      <c r="F132" s="106">
        <f>SUM(U$20:U$36)+SUM(W$20:W$36)+SUM(Y$20:Y$36)+SUM(AA$20:AA$36)</f>
        <v>323327.14138727548</v>
      </c>
      <c r="G132" s="106">
        <f>SUM(AC$20:AC$36)+SUM(AE$20:AE$36)+SUM(AG$20:AG$36)+SUM(AI$20:AI$36)</f>
        <v>215119.32212985097</v>
      </c>
      <c r="H132" s="106">
        <f>SUM(AK$20:AK$36)+SUM(AM$20:AM$36)+SUM(AO$20:AO$36)+SUM(AQ$20:AQ$36)</f>
        <v>299377.19999999995</v>
      </c>
      <c r="I132" s="106">
        <f>SUM(AS$20:AS$36)+SUM(AU$20:AU$36)+SUM(AW$20:AW$36)+SUM(AY$20:AY$36)</f>
        <v>273507.59999999998</v>
      </c>
      <c r="J132" s="106">
        <f>SUM(BA$20:BA$36)+SUM(BC$20:BC$36)+SUM(BE$20:BE$36)+SUM(BG$20:BG$36)</f>
        <v>337950.58057153458</v>
      </c>
      <c r="K132" s="106">
        <f>SUM(BI$20:BI$36)+SUM(BK$20:BK$36)+SUM(BM$20:BM$36)+SUM(BO$20:BO$36)</f>
        <v>259496.04117607765</v>
      </c>
      <c r="L132" s="106">
        <f>SUM(BQ$20:BQ$36)+SUM(BS$20:BS$36)+SUM(BU$20:BU$36)+SUM(BW$20:BW$36)</f>
        <v>336682.33846510685</v>
      </c>
      <c r="M132" s="106">
        <f>SUM(BY$20:BY$36)+SUM(CA$20:CA$36)+SUM(CC$20:CC$36)+SUM(CE$20:CE$36)</f>
        <v>259098.42473097506</v>
      </c>
      <c r="N132" s="106">
        <f>SUM(CG$20:CG$36)+SUM(CI$20:CI$36)+SUM(CK$20:CK$36)+SUM(CM$20:CM$36)</f>
        <v>232121.04785824651</v>
      </c>
      <c r="O132" s="106">
        <f>SUM(CO$20:CO$36)+SUM(CQ$20:CQ$36)+SUM(CS$20:CS$36)+SUM(CU$20:CU$36)</f>
        <v>352731.36629580933</v>
      </c>
    </row>
    <row r="133" spans="2:15">
      <c r="C133" s="105" t="s">
        <v>128</v>
      </c>
      <c r="D133" s="106">
        <f>SUM(E$37:E$48)+SUM(G$37:G$48)+SUM(I$37:I$48)+SUM(K$37:K$48)</f>
        <v>249211.03382304258</v>
      </c>
      <c r="E133" s="106">
        <f>SUM(M$37:M$48)+SUM(O$37:O$48)+SUM(Q$37:Q$48)+SUM(S$37:S$48)</f>
        <v>289088.40000000002</v>
      </c>
      <c r="F133" s="106">
        <f>SUM(U$37:U$48)+SUM(W$37:W$48)+SUM(Y$37:Y$48)+SUM(AA$37:AA$48)</f>
        <v>358992.43815583922</v>
      </c>
      <c r="G133" s="106">
        <f>SUM(AC$37:AC$48)+SUM(AE$37:AE$48)+SUM(AG$37:AG$48)+SUM(AI$37:AI$48)</f>
        <v>216552.52275540028</v>
      </c>
      <c r="H133" s="106">
        <f>SUM(AK$37:AK$48)+SUM(AM$37:AM$48)+SUM(AO$37:AO$48)+SUM(AQ$37:AQ$48)</f>
        <v>366405.6</v>
      </c>
      <c r="I133" s="106">
        <f>SUM(AS$37:AS$48)+SUM(AU$37:AU$48)+SUM(AW$37:AW$48)+SUM(AY$37:AY$48)</f>
        <v>362534.40000000002</v>
      </c>
      <c r="J133" s="106">
        <f>SUM(BA$37:BA$48)+SUM(BC$37:BC$48)+SUM(BE$37:BE$48)+SUM(BG$37:BG$48)</f>
        <v>305895.60008692794</v>
      </c>
      <c r="K133" s="106">
        <f>SUM(BI$37:BI$48)+SUM(BK$37:BK$48)+SUM(BM$37:BM$48)+SUM(BO$37:BO$48)</f>
        <v>258792.2581928001</v>
      </c>
      <c r="L133" s="106">
        <f>SUM(BQ$37:BQ$48)+SUM(BS$37:BS$48)+SUM(BU$37:BU$48)+SUM(BW$37:BW$48)</f>
        <v>345567.18203951314</v>
      </c>
      <c r="M133" s="106">
        <f>SUM(BY$37:BY$48)+SUM(CA$37:CA$48)+SUM(CC$37:CC$48)+SUM(CE$37:CE$48)</f>
        <v>278895.71936418314</v>
      </c>
      <c r="N133" s="106">
        <f>SUM(CG$37:CG$48)+SUM(CI$37:CI$48)+SUM(CK$37:CK$48)+SUM(CM$37:CM$48)</f>
        <v>219552.16467487972</v>
      </c>
      <c r="O133" s="106">
        <f>SUM(CO$37:CO$48)+SUM(CQ$37:CQ$48)+SUM(CS$37:CS$48)+SUM(CU$37:CU$48)</f>
        <v>398879.12106862559</v>
      </c>
    </row>
    <row r="134" spans="2:15">
      <c r="C134" s="105" t="s">
        <v>129</v>
      </c>
      <c r="D134" s="106">
        <f>SUM(E$49:E$70)+SUM(G$49:G$70)+SUM(I$49:I$70)+SUM(K$49:K$70)</f>
        <v>300004.58136856963</v>
      </c>
      <c r="E134" s="106">
        <f>SUM(M$49:M$70)+SUM(O$49:O$70)+SUM(Q$49:Q$70)+SUM(S$49:S$70)</f>
        <v>403521.90602623334</v>
      </c>
      <c r="F134" s="106">
        <f>SUM(U$49:U$70)+SUM(W$49:W$70)+SUM(Y$49:Y$70)+SUM(AA$49:AA$70)</f>
        <v>410708.98237754632</v>
      </c>
      <c r="G134" s="106">
        <f>SUM(AC$49:AC$70)+SUM(AE$49:AE$70)+SUM(AG$49:AG$70)+SUM(AI$49:AI$70)</f>
        <v>256235.27704119991</v>
      </c>
      <c r="H134" s="106">
        <f>SUM(AK$49:AK$70)+SUM(AM$49:AM$70)+SUM(AO$49:AO$70)+SUM(AQ$49:AQ$70)</f>
        <v>369644.85056487692</v>
      </c>
      <c r="I134" s="106">
        <f>SUM(AS$49:AS$70)+SUM(AU$49:AU$70)+SUM(AW$49:AW$70)+SUM(AY$49:AY$70)</f>
        <v>389319.71179636882</v>
      </c>
      <c r="J134" s="106">
        <f>SUM(BA$49:BA$70)+SUM(BC$49:BC$70)+SUM(BE$49:BE$70)+SUM(BG$49:BG$70)</f>
        <v>311931.95712987345</v>
      </c>
      <c r="K134" s="106">
        <f>SUM(BI$49:BI$70)+SUM(BK$49:BK$70)+SUM(BM$49:BM$70)+SUM(BO$49:BO$70)</f>
        <v>321114.73153783026</v>
      </c>
      <c r="L134" s="106">
        <f>SUM(BQ$49:BQ$70)+SUM(BS$49:BS$70)+SUM(BU$49:BU$70)+SUM(BW$49:BW$70)</f>
        <v>306194.06430966308</v>
      </c>
      <c r="M134" s="106">
        <f>SUM(BY$49:BY$70)+SUM(CA$49:CA$70)+SUM(CC$49:CC$70)+SUM(CE$49:CE$70)</f>
        <v>314630.97539144452</v>
      </c>
      <c r="N134" s="106">
        <f>SUM(CG$49:CG$70)+SUM(CI$49:CI$70)+SUM(CK$49:CK$70)+SUM(CM$49:CM$70)</f>
        <v>293735.71316669456</v>
      </c>
      <c r="O134" s="106">
        <f>SUM(CO$49:CO$70)+SUM(CQ$49:CQ$70)+SUM(CS$49:CS$70)+SUM(CU$49:CU$70)</f>
        <v>353599.88018113677</v>
      </c>
    </row>
    <row r="135" spans="2:15">
      <c r="C135" s="105" t="s">
        <v>130</v>
      </c>
      <c r="D135" s="106">
        <f>SUM(E$71:E$86)+SUM(G$71:G$86)+SUM(I$71:I$86)+SUM(K$71:K$86)</f>
        <v>163925.29550599586</v>
      </c>
      <c r="E135" s="106">
        <f>SUM(M$71:M$86)+SUM(O$71:O$86)+SUM(Q$71:Q$86)+SUM(S$71:S$86)</f>
        <v>126087.31848934414</v>
      </c>
      <c r="F135" s="106">
        <f>SUM(U$71:U$86)+SUM(W$71:W$86)+SUM(Y$71:Y$86)+SUM(AA$71:AA$86)</f>
        <v>186135.59999999998</v>
      </c>
      <c r="G135" s="106">
        <f>SUM(AC$71:AC$86)+SUM(AE$71:AE$86)+SUM(AG$71:AG$86)+SUM(AI$71:AI$86)</f>
        <v>199576.8</v>
      </c>
      <c r="H135" s="106">
        <f>SUM(AK$71:AK$86)+SUM(AM$71:AM$86)+SUM(AO$71:AO$86)+SUM(AQ$71:AQ$86)</f>
        <v>179769.59999999998</v>
      </c>
      <c r="I135" s="106">
        <f>SUM(AS$71:AS$86)+SUM(AU$71:AU$86)+SUM(AW$71:AW$86)+SUM(AY$71:AY$86)</f>
        <v>147744.70199114649</v>
      </c>
      <c r="J135" s="106">
        <f>SUM(BA$71:BA$86)+SUM(BC$71:BC$86)+SUM(BE$71:BE$86)+SUM(BG$71:BG$86)</f>
        <v>140829.03774797768</v>
      </c>
      <c r="K135" s="106">
        <f>SUM(BI$71:BI$86)+SUM(BK$71:BK$86)+SUM(BM$71:BM$86)+SUM(BO$71:BO$86)</f>
        <v>174314.4</v>
      </c>
      <c r="L135" s="106">
        <f>SUM(BQ$71:BQ$86)+SUM(BS$71:BS$86)+SUM(BU$71:BU$86)+SUM(BW$71:BW$86)</f>
        <v>152797.22976466024</v>
      </c>
      <c r="M135" s="106">
        <f>SUM(BY$71:BY$86)+SUM(CA$71:CA$86)+SUM(CC$71:CC$86)+SUM(CE$71:CE$86)</f>
        <v>141083.8924874033</v>
      </c>
      <c r="N135" s="106">
        <f>SUM(CG$71:CG$86)+SUM(CI$71:CI$86)+SUM(CK$71:CK$86)+SUM(CM$71:CM$86)</f>
        <v>141982.2861208157</v>
      </c>
      <c r="O135" s="106">
        <f>SUM(CO$71:CO$86)+SUM(CQ$71:CQ$86)+SUM(CS$71:CS$86)+SUM(CU$71:CU$86)</f>
        <v>169567.91889088193</v>
      </c>
    </row>
    <row r="136" spans="2:15">
      <c r="C136" s="105" t="s">
        <v>131</v>
      </c>
      <c r="D136" s="106">
        <f>SUM(E$87:E$94)+SUM(G$87:G$94)+SUM(I$87:I$94)+SUM(K$87:K$94)</f>
        <v>154930.79999999999</v>
      </c>
      <c r="E136" s="106">
        <f>SUM(M$87:M$94)+SUM(O$87:O$94)+SUM(Q$87:Q$94)+SUM(S$87:S$94)</f>
        <v>138267.32083226508</v>
      </c>
      <c r="F136" s="106">
        <f>SUM(U$87:U$94)+SUM(W$87:W$94)+SUM(Y$87:Y$94)+SUM(AA$87:AA$94)</f>
        <v>112036.99578685647</v>
      </c>
      <c r="G136" s="106">
        <f>SUM(AC$87:AC$94)+SUM(AE$87:AE$94)+SUM(AG$87:AG$94)+SUM(AI$87:AI$94)</f>
        <v>107929.97296484599</v>
      </c>
      <c r="H136" s="106">
        <f>SUM(AK$87:AK$94)+SUM(AM$87:AM$94)+SUM(AO$87:AO$94)+SUM(AQ$87:AQ$94)</f>
        <v>162198.07795591891</v>
      </c>
      <c r="I136" s="106">
        <f>SUM(AS$87:AS$94)+SUM(AU$87:AU$94)+SUM(AW$87:AW$94)+SUM(AY$87:AY$94)</f>
        <v>155011.20799017407</v>
      </c>
      <c r="J136" s="106">
        <f>SUM(BA$87:BA$94)+SUM(BC$87:BC$94)+SUM(BE$87:BE$94)+SUM(BG$87:BG$94)</f>
        <v>171083.55939994671</v>
      </c>
      <c r="K136" s="106">
        <f>SUM(BI$87:BI$94)+SUM(BK$87:BK$94)+SUM(BM$87:BM$94)+SUM(BO$87:BO$94)</f>
        <v>137855.12502927412</v>
      </c>
      <c r="L136" s="106">
        <f>SUM(BQ$87:BQ$94)+SUM(BS$87:BS$94)+SUM(BU$87:BU$94)+SUM(BW$87:BW$94)</f>
        <v>134505.55136201737</v>
      </c>
      <c r="M136" s="106">
        <f>SUM(BY$87:BY$94)+SUM(CA$87:CA$94)+SUM(CC$87:CC$94)+SUM(CE$87:CE$94)</f>
        <v>123935.00318457835</v>
      </c>
      <c r="N136" s="106">
        <f>SUM(CG$87:CG$94)+SUM(CI$87:CI$94)+SUM(CK$87:CK$94)+SUM(CM$87:CM$94)</f>
        <v>154734.1110658593</v>
      </c>
      <c r="O136" s="106">
        <f>SUM(CO$87:CO$94)+SUM(CQ$87:CQ$94)+SUM(CS$87:CS$94)+SUM(CU$87:CU$94)</f>
        <v>188808.84133620682</v>
      </c>
    </row>
    <row r="137" spans="2:15">
      <c r="C137" s="105" t="s">
        <v>132</v>
      </c>
      <c r="D137" s="106">
        <f>SUM(E$95:E$105)+SUM(G$95:G$105)+SUM(I$95:I$105)+SUM(K$95:K$105)</f>
        <v>262329.59999999998</v>
      </c>
      <c r="E137" s="106">
        <f>SUM(M$95:M$105)+SUM(O$95:O$105)+SUM(Q$95:Q$105)+SUM(S$95:S$105)</f>
        <v>241779.95738713708</v>
      </c>
      <c r="F137" s="106">
        <f>SUM(U$95:U$105)+SUM(W$95:W$105)+SUM(Y$95:Y$105)+SUM(AA$95:AA$105)</f>
        <v>222596.59118205655</v>
      </c>
      <c r="G137" s="106">
        <f>SUM(AC$95:AC$105)+SUM(AE$95:AE$105)+SUM(AG$95:AG$105)+SUM(AI$95:AI$105)</f>
        <v>265452.87144836457</v>
      </c>
      <c r="H137" s="106">
        <f>SUM(AK$95:AK$105)+SUM(AM$95:AM$105)+SUM(AO$95:AO$105)+SUM(AQ$95:AQ$105)</f>
        <v>240720.86986561547</v>
      </c>
      <c r="I137" s="106">
        <f>SUM(AS$95:AS$105)+SUM(AU$95:AU$105)+SUM(AW$95:AW$105)+SUM(AY$95:AY$105)</f>
        <v>264940.18841117591</v>
      </c>
      <c r="J137" s="106">
        <f>SUM(BA$95:BA$105)+SUM(BC$95:BC$105)+SUM(BE$95:BE$105)+SUM(BG$95:BG$105)</f>
        <v>271485.68710660649</v>
      </c>
      <c r="K137" s="106">
        <f>SUM(BI$95:BI$105)+SUM(BK$95:BK$105)+SUM(BM$95:BM$105)+SUM(BO$95:BO$105)</f>
        <v>246802.49694590882</v>
      </c>
      <c r="L137" s="106">
        <f>SUM(BQ$95:BQ$105)+SUM(BS$95:BS$105)+SUM(BU$95:BU$105)+SUM(BW$95:BW$105)</f>
        <v>269834.29973812785</v>
      </c>
      <c r="M137" s="106">
        <f>SUM(BY$95:BY$105)+SUM(CA$95:CA$105)+SUM(CC$95:CC$105)+SUM(CE$95:CE$105)</f>
        <v>194642.89196645297</v>
      </c>
      <c r="N137" s="106">
        <f>SUM(CG$95:CG$105)+SUM(CI$95:CI$105)+SUM(CK$95:CK$105)+SUM(CM$95:CM$105)</f>
        <v>205357.92950676594</v>
      </c>
      <c r="O137" s="106">
        <f>SUM(CO$95:CO$105)+SUM(CQ$95:CQ$105)+SUM(CS$95:CS$105)+SUM(CU$95:CU$105)</f>
        <v>310580.00621390541</v>
      </c>
    </row>
    <row r="138" spans="2:15">
      <c r="C138" s="105" t="s">
        <v>278</v>
      </c>
      <c r="D138" s="100">
        <f t="shared" ref="D138:O138" si="2">SUM(D$131:D$137)</f>
        <v>1446703.5228211759</v>
      </c>
      <c r="E138" s="100">
        <f t="shared" si="2"/>
        <v>1690094.5027349796</v>
      </c>
      <c r="F138" s="100">
        <f t="shared" si="2"/>
        <v>1846565.5213611519</v>
      </c>
      <c r="G138" s="100">
        <f t="shared" si="2"/>
        <v>1405668.3665628545</v>
      </c>
      <c r="H138" s="100">
        <f t="shared" si="2"/>
        <v>1839038.5983864111</v>
      </c>
      <c r="I138" s="100">
        <f t="shared" si="2"/>
        <v>1783293.8101888655</v>
      </c>
      <c r="J138" s="100">
        <f t="shared" si="2"/>
        <v>1735713.394451797</v>
      </c>
      <c r="K138" s="100">
        <f t="shared" si="2"/>
        <v>1565504.0477619239</v>
      </c>
      <c r="L138" s="100">
        <f t="shared" si="2"/>
        <v>1786131.9587392826</v>
      </c>
      <c r="M138" s="100">
        <f t="shared" si="2"/>
        <v>1486693.8920779175</v>
      </c>
      <c r="N138" s="100">
        <f t="shared" si="2"/>
        <v>1406351.2791375772</v>
      </c>
      <c r="O138" s="100">
        <f t="shared" si="2"/>
        <v>2010714.4289082573</v>
      </c>
    </row>
  </sheetData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U138"/>
  <sheetViews>
    <sheetView workbookViewId="0"/>
  </sheetViews>
  <sheetFormatPr baseColWidth="10" defaultColWidth="8.83203125" defaultRowHeight="12" x14ac:dyDescent="0"/>
  <cols>
    <col min="1" max="16384" width="8.83203125" style="100"/>
  </cols>
  <sheetData>
    <row r="1" spans="1:99">
      <c r="A1" s="101"/>
    </row>
    <row r="2" spans="1:99">
      <c r="B2" s="102" t="s">
        <v>272</v>
      </c>
    </row>
    <row r="3" spans="1:99">
      <c r="B3" s="103" t="s">
        <v>273</v>
      </c>
    </row>
    <row r="4" spans="1:99">
      <c r="A4" s="101"/>
      <c r="B4" s="101"/>
      <c r="C4" s="99" t="s">
        <v>274</v>
      </c>
      <c r="D4" s="99" t="s">
        <v>92</v>
      </c>
      <c r="E4" s="101"/>
      <c r="F4" s="101"/>
      <c r="G4" s="101"/>
      <c r="H4" s="101"/>
      <c r="I4" s="101"/>
      <c r="J4" s="101"/>
      <c r="K4" s="101"/>
      <c r="L4" s="99" t="s">
        <v>93</v>
      </c>
      <c r="M4" s="101"/>
      <c r="N4" s="101"/>
      <c r="O4" s="101"/>
      <c r="P4" s="101"/>
      <c r="Q4" s="101"/>
      <c r="R4" s="101"/>
      <c r="S4" s="101"/>
      <c r="T4" s="99" t="s">
        <v>94</v>
      </c>
      <c r="U4" s="101"/>
      <c r="V4" s="101"/>
      <c r="W4" s="101"/>
      <c r="X4" s="101"/>
      <c r="Y4" s="101"/>
      <c r="Z4" s="101"/>
      <c r="AA4" s="101"/>
      <c r="AB4" s="99" t="s">
        <v>95</v>
      </c>
      <c r="AC4" s="101"/>
      <c r="AD4" s="101"/>
      <c r="AE4" s="101"/>
      <c r="AF4" s="101"/>
      <c r="AG4" s="101"/>
      <c r="AH4" s="101"/>
      <c r="AI4" s="101"/>
      <c r="AJ4" s="99" t="s">
        <v>96</v>
      </c>
      <c r="AK4" s="101"/>
      <c r="AL4" s="101"/>
      <c r="AM4" s="101"/>
      <c r="AN4" s="101"/>
      <c r="AO4" s="101"/>
      <c r="AP4" s="101"/>
      <c r="AQ4" s="101"/>
      <c r="AR4" s="99" t="s">
        <v>97</v>
      </c>
      <c r="AS4" s="101"/>
      <c r="AT4" s="101"/>
      <c r="AU4" s="101"/>
      <c r="AV4" s="101"/>
      <c r="AW4" s="101"/>
      <c r="AX4" s="101"/>
      <c r="AY4" s="101"/>
      <c r="AZ4" s="99" t="s">
        <v>98</v>
      </c>
      <c r="BA4" s="101"/>
      <c r="BB4" s="101"/>
      <c r="BC4" s="101"/>
      <c r="BD4" s="101"/>
      <c r="BE4" s="101"/>
      <c r="BF4" s="101"/>
      <c r="BG4" s="101"/>
      <c r="BH4" s="99" t="s">
        <v>99</v>
      </c>
      <c r="BI4" s="101"/>
      <c r="BJ4" s="101"/>
      <c r="BK4" s="101"/>
      <c r="BL4" s="101"/>
      <c r="BM4" s="101"/>
      <c r="BN4" s="101"/>
      <c r="BO4" s="101"/>
      <c r="BP4" s="99" t="s">
        <v>100</v>
      </c>
      <c r="BQ4" s="101"/>
      <c r="BR4" s="101"/>
      <c r="BS4" s="101"/>
      <c r="BT4" s="101"/>
      <c r="BU4" s="101"/>
      <c r="BV4" s="101"/>
      <c r="BW4" s="101"/>
      <c r="BX4" s="99" t="s">
        <v>101</v>
      </c>
      <c r="BY4" s="101"/>
      <c r="BZ4" s="101"/>
      <c r="CA4" s="101"/>
      <c r="CB4" s="101"/>
      <c r="CC4" s="101"/>
      <c r="CD4" s="101"/>
      <c r="CE4" s="101"/>
      <c r="CF4" s="99" t="s">
        <v>102</v>
      </c>
      <c r="CG4" s="101"/>
      <c r="CH4" s="101"/>
      <c r="CI4" s="101"/>
      <c r="CJ4" s="101"/>
      <c r="CK4" s="101"/>
      <c r="CL4" s="101"/>
      <c r="CM4" s="101"/>
      <c r="CN4" s="99" t="s">
        <v>103</v>
      </c>
      <c r="CO4" s="101"/>
      <c r="CP4" s="101"/>
      <c r="CQ4" s="101"/>
      <c r="CR4" s="101"/>
      <c r="CS4" s="101"/>
      <c r="CT4" s="101"/>
      <c r="CU4" s="101"/>
    </row>
    <row r="5" spans="1:99">
      <c r="B5" s="99" t="s">
        <v>167</v>
      </c>
      <c r="C5" s="99" t="s">
        <v>275</v>
      </c>
      <c r="D5" s="99">
        <v>1</v>
      </c>
      <c r="E5" s="99"/>
      <c r="F5" s="99">
        <v>2</v>
      </c>
      <c r="G5" s="99"/>
      <c r="H5" s="99">
        <v>3</v>
      </c>
      <c r="I5" s="99"/>
      <c r="J5" s="99">
        <v>4</v>
      </c>
      <c r="K5" s="99"/>
      <c r="L5" s="99">
        <v>1</v>
      </c>
      <c r="M5" s="99"/>
      <c r="N5" s="99">
        <v>2</v>
      </c>
      <c r="O5" s="99"/>
      <c r="P5" s="99">
        <v>3</v>
      </c>
      <c r="Q5" s="99"/>
      <c r="R5" s="99">
        <v>4</v>
      </c>
      <c r="S5" s="99"/>
      <c r="T5" s="99">
        <v>1</v>
      </c>
      <c r="U5" s="99"/>
      <c r="V5" s="99">
        <v>2</v>
      </c>
      <c r="W5" s="99"/>
      <c r="X5" s="99">
        <v>3</v>
      </c>
      <c r="Y5" s="99"/>
      <c r="Z5" s="99">
        <v>4</v>
      </c>
      <c r="AA5" s="99"/>
      <c r="AB5" s="99">
        <v>1</v>
      </c>
      <c r="AC5" s="99"/>
      <c r="AD5" s="99">
        <v>2</v>
      </c>
      <c r="AE5" s="99"/>
      <c r="AF5" s="99">
        <v>3</v>
      </c>
      <c r="AG5" s="99"/>
      <c r="AH5" s="99">
        <v>4</v>
      </c>
      <c r="AI5" s="99"/>
      <c r="AJ5" s="99">
        <v>1</v>
      </c>
      <c r="AK5" s="99"/>
      <c r="AL5" s="99">
        <v>2</v>
      </c>
      <c r="AM5" s="99"/>
      <c r="AN5" s="99">
        <v>3</v>
      </c>
      <c r="AO5" s="99"/>
      <c r="AP5" s="99">
        <v>4</v>
      </c>
      <c r="AQ5" s="99"/>
      <c r="AR5" s="99">
        <v>1</v>
      </c>
      <c r="AS5" s="99"/>
      <c r="AT5" s="99">
        <v>2</v>
      </c>
      <c r="AU5" s="99"/>
      <c r="AV5" s="99">
        <v>3</v>
      </c>
      <c r="AW5" s="99"/>
      <c r="AX5" s="99">
        <v>4</v>
      </c>
      <c r="AY5" s="99"/>
      <c r="AZ5" s="99">
        <v>1</v>
      </c>
      <c r="BA5" s="99"/>
      <c r="BB5" s="99">
        <v>2</v>
      </c>
      <c r="BC5" s="99"/>
      <c r="BD5" s="99">
        <v>3</v>
      </c>
      <c r="BE5" s="99"/>
      <c r="BF5" s="99">
        <v>4</v>
      </c>
      <c r="BG5" s="99"/>
      <c r="BH5" s="99">
        <v>1</v>
      </c>
      <c r="BI5" s="99"/>
      <c r="BJ5" s="99">
        <v>2</v>
      </c>
      <c r="BK5" s="99"/>
      <c r="BL5" s="99">
        <v>3</v>
      </c>
      <c r="BM5" s="99"/>
      <c r="BN5" s="99">
        <v>4</v>
      </c>
      <c r="BO5" s="99"/>
      <c r="BP5" s="99">
        <v>1</v>
      </c>
      <c r="BQ5" s="99"/>
      <c r="BR5" s="99">
        <v>2</v>
      </c>
      <c r="BS5" s="99"/>
      <c r="BT5" s="99">
        <v>3</v>
      </c>
      <c r="BU5" s="99"/>
      <c r="BV5" s="99">
        <v>4</v>
      </c>
      <c r="BW5" s="99"/>
      <c r="BX5" s="99">
        <v>1</v>
      </c>
      <c r="BY5" s="99"/>
      <c r="BZ5" s="99">
        <v>2</v>
      </c>
      <c r="CA5" s="99"/>
      <c r="CB5" s="99">
        <v>3</v>
      </c>
      <c r="CC5" s="99"/>
      <c r="CD5" s="99">
        <v>4</v>
      </c>
      <c r="CE5" s="99"/>
      <c r="CF5" s="99">
        <v>1</v>
      </c>
      <c r="CG5" s="99"/>
      <c r="CH5" s="99">
        <v>2</v>
      </c>
      <c r="CI5" s="99"/>
      <c r="CJ5" s="99">
        <v>3</v>
      </c>
      <c r="CK5" s="99"/>
      <c r="CL5" s="99">
        <v>4</v>
      </c>
      <c r="CM5" s="99"/>
      <c r="CN5" s="99">
        <v>1</v>
      </c>
      <c r="CO5" s="99"/>
      <c r="CP5" s="99">
        <v>2</v>
      </c>
      <c r="CQ5" s="99"/>
      <c r="CR5" s="99">
        <v>3</v>
      </c>
      <c r="CS5" s="99"/>
      <c r="CT5" s="99">
        <v>4</v>
      </c>
      <c r="CU5" s="99"/>
    </row>
    <row r="6" spans="1:99">
      <c r="B6" s="99" t="s">
        <v>126</v>
      </c>
      <c r="C6" s="99" t="s">
        <v>172</v>
      </c>
      <c r="D6" s="100">
        <v>5.3744431373264403</v>
      </c>
      <c r="E6" s="100">
        <v>3108.5779106296131</v>
      </c>
      <c r="F6" s="100">
        <v>1.7521385496268354</v>
      </c>
      <c r="G6" s="100">
        <v>1013.4369371041615</v>
      </c>
      <c r="H6" s="100">
        <v>8.8019777098953735</v>
      </c>
      <c r="I6" s="100">
        <v>5091.0639074034834</v>
      </c>
      <c r="J6" s="100">
        <v>8</v>
      </c>
      <c r="K6" s="100">
        <v>4627.2</v>
      </c>
      <c r="L6" s="100">
        <v>2.4706211875708113</v>
      </c>
      <c r="M6" s="100">
        <v>1429.0072948909572</v>
      </c>
      <c r="N6" s="100">
        <v>5</v>
      </c>
      <c r="O6" s="100">
        <v>2892</v>
      </c>
      <c r="P6" s="100">
        <v>7</v>
      </c>
      <c r="Q6" s="100">
        <v>4048.7999999999997</v>
      </c>
      <c r="R6" s="100">
        <v>4.8722249351931533</v>
      </c>
      <c r="S6" s="100">
        <v>2818.0949025157197</v>
      </c>
      <c r="T6" s="100">
        <v>4.0166952578786546E-4</v>
      </c>
      <c r="U6" s="100">
        <v>0.23232565371570138</v>
      </c>
      <c r="V6" s="100">
        <v>4.6325886187582386</v>
      </c>
      <c r="W6" s="100">
        <v>2679.489257089765</v>
      </c>
      <c r="X6" s="100">
        <v>7</v>
      </c>
      <c r="Y6" s="100">
        <v>4048.7999999999997</v>
      </c>
      <c r="Z6" s="100">
        <v>7</v>
      </c>
      <c r="AA6" s="100">
        <v>4048.7999999999997</v>
      </c>
      <c r="AB6" s="100">
        <v>2.6526645062679952</v>
      </c>
      <c r="AC6" s="100">
        <v>1534.3011504254084</v>
      </c>
      <c r="AD6" s="100">
        <v>4.0728275851465154</v>
      </c>
      <c r="AE6" s="100">
        <v>2355.7234752487443</v>
      </c>
      <c r="AF6" s="100">
        <v>2.2173900534950777</v>
      </c>
      <c r="AG6" s="100">
        <v>1282.5384069415529</v>
      </c>
      <c r="AH6" s="100">
        <v>6.762843479859213</v>
      </c>
      <c r="AI6" s="100">
        <v>3911.6286687505685</v>
      </c>
      <c r="AJ6" s="100">
        <v>8</v>
      </c>
      <c r="AK6" s="100">
        <v>4627.2</v>
      </c>
      <c r="AL6" s="100">
        <v>0.66293828786908715</v>
      </c>
      <c r="AM6" s="100">
        <v>383.44350570348001</v>
      </c>
      <c r="AN6" s="100">
        <v>5</v>
      </c>
      <c r="AO6" s="100">
        <v>2892</v>
      </c>
      <c r="AP6" s="100">
        <v>8</v>
      </c>
      <c r="AQ6" s="100">
        <v>4627.2</v>
      </c>
      <c r="AR6" s="100">
        <v>8</v>
      </c>
      <c r="AS6" s="100">
        <v>4627.2</v>
      </c>
      <c r="AT6" s="100">
        <v>4.7000798235853463</v>
      </c>
      <c r="AU6" s="100">
        <v>2718.526169961764</v>
      </c>
      <c r="AV6" s="100">
        <v>7.3654852847036212</v>
      </c>
      <c r="AW6" s="100">
        <v>4260.1966886725741</v>
      </c>
      <c r="AX6" s="100">
        <v>6.2354382273244369</v>
      </c>
      <c r="AY6" s="100">
        <v>3606.5774706844541</v>
      </c>
      <c r="AZ6" s="100">
        <v>4.7089845240869606</v>
      </c>
      <c r="BA6" s="100">
        <v>2723.6766487318978</v>
      </c>
      <c r="BB6" s="100">
        <v>6.3889750984484996E-4</v>
      </c>
      <c r="BC6" s="100">
        <v>0.36953831969426121</v>
      </c>
      <c r="BD6" s="100">
        <v>9.1958548326075906</v>
      </c>
      <c r="BE6" s="100">
        <v>5318.8824351802305</v>
      </c>
      <c r="BF6" s="100">
        <v>9.1759541807228331</v>
      </c>
      <c r="BG6" s="100">
        <v>5307.3718981300863</v>
      </c>
      <c r="BH6" s="100">
        <v>5.6659024733886072E-4</v>
      </c>
      <c r="BI6" s="100">
        <v>0.32771579906079701</v>
      </c>
      <c r="BJ6" s="100">
        <v>7.0199894131486298</v>
      </c>
      <c r="BK6" s="100">
        <v>4060.3618765651672</v>
      </c>
      <c r="BL6" s="100">
        <v>1.531986486820498</v>
      </c>
      <c r="BM6" s="100">
        <v>886.10098397697595</v>
      </c>
      <c r="BN6" s="100">
        <v>11.864544913772241</v>
      </c>
      <c r="BO6" s="100">
        <v>6862.4527781258639</v>
      </c>
      <c r="BP6" s="100">
        <v>5</v>
      </c>
      <c r="BQ6" s="100">
        <v>2892</v>
      </c>
      <c r="BR6" s="100">
        <v>4.21778940330237</v>
      </c>
      <c r="BS6" s="100">
        <v>2439.5693908700905</v>
      </c>
      <c r="BT6" s="100">
        <v>7.8744587640709867</v>
      </c>
      <c r="BU6" s="100">
        <v>4554.5869491386584</v>
      </c>
      <c r="BV6" s="100">
        <v>1.7886173849291851</v>
      </c>
      <c r="BW6" s="100">
        <v>1034.5362954430407</v>
      </c>
      <c r="BX6" s="100">
        <v>10.793912921853027</v>
      </c>
      <c r="BY6" s="100">
        <v>6243.1992339997905</v>
      </c>
      <c r="BZ6" s="100">
        <v>6.7481504597620958</v>
      </c>
      <c r="CA6" s="100">
        <v>3903.1302259263962</v>
      </c>
      <c r="CB6" s="100">
        <v>6</v>
      </c>
      <c r="CC6" s="100">
        <v>3470.3999999999996</v>
      </c>
      <c r="CD6" s="100">
        <v>4.7321916339913734</v>
      </c>
      <c r="CE6" s="100">
        <v>2737.0996411006104</v>
      </c>
      <c r="CF6" s="100">
        <v>6.139490502084043E-4</v>
      </c>
      <c r="CG6" s="100">
        <v>0.35510813064054103</v>
      </c>
      <c r="CH6" s="100">
        <v>7.5751743284439872</v>
      </c>
      <c r="CI6" s="100">
        <v>4381.480831572002</v>
      </c>
      <c r="CJ6" s="100">
        <v>5.9410285789562292E-4</v>
      </c>
      <c r="CK6" s="100">
        <v>0.34362909300682826</v>
      </c>
      <c r="CL6" s="100">
        <v>6.0003034493325602</v>
      </c>
      <c r="CM6" s="100">
        <v>3470.5755150939526</v>
      </c>
      <c r="CN6" s="100">
        <v>11</v>
      </c>
      <c r="CO6" s="100">
        <v>6362.4</v>
      </c>
      <c r="CP6" s="100">
        <v>8.910153861040504</v>
      </c>
      <c r="CQ6" s="100">
        <v>5153.6329932258277</v>
      </c>
      <c r="CR6" s="100">
        <v>4.7602659495964676E-4</v>
      </c>
      <c r="CS6" s="100">
        <v>0.27533378252465968</v>
      </c>
      <c r="CT6" s="100">
        <v>7</v>
      </c>
      <c r="CU6" s="100">
        <v>4048.7999999999997</v>
      </c>
    </row>
    <row r="7" spans="1:99">
      <c r="C7" s="99" t="s">
        <v>173</v>
      </c>
      <c r="D7" s="100">
        <v>5.3744431373264403</v>
      </c>
      <c r="E7" s="100">
        <v>4237.2109694681658</v>
      </c>
      <c r="F7" s="100">
        <v>1.7422151533397534</v>
      </c>
      <c r="G7" s="100">
        <v>1373.5624268930615</v>
      </c>
      <c r="H7" s="100">
        <v>8.6683147582461437</v>
      </c>
      <c r="I7" s="100">
        <v>6834.0993554012593</v>
      </c>
      <c r="J7" s="100">
        <v>8</v>
      </c>
      <c r="K7" s="100">
        <v>6307.2</v>
      </c>
      <c r="L7" s="100">
        <v>2.4706211875708113</v>
      </c>
      <c r="M7" s="100">
        <v>1947.8377442808276</v>
      </c>
      <c r="N7" s="100">
        <v>5</v>
      </c>
      <c r="O7" s="100">
        <v>3942</v>
      </c>
      <c r="P7" s="100">
        <v>8</v>
      </c>
      <c r="Q7" s="100">
        <v>6307.2</v>
      </c>
      <c r="R7" s="100">
        <v>4.8722249351931533</v>
      </c>
      <c r="S7" s="100">
        <v>3841.262138906282</v>
      </c>
      <c r="T7" s="100">
        <v>4.7701235510351204E-4</v>
      </c>
      <c r="U7" s="100">
        <v>0.37607654076360886</v>
      </c>
      <c r="V7" s="100">
        <v>4.5411622663156805</v>
      </c>
      <c r="W7" s="100">
        <v>3580.2523307632823</v>
      </c>
      <c r="X7" s="100">
        <v>6</v>
      </c>
      <c r="Y7" s="100">
        <v>4730.3999999999996</v>
      </c>
      <c r="Z7" s="100">
        <v>6</v>
      </c>
      <c r="AA7" s="100">
        <v>4730.3999999999996</v>
      </c>
      <c r="AB7" s="100">
        <v>3.0316165785919944</v>
      </c>
      <c r="AC7" s="100">
        <v>2390.1265105619282</v>
      </c>
      <c r="AD7" s="100">
        <v>3.5772645912376024</v>
      </c>
      <c r="AE7" s="100">
        <v>2820.3154037317258</v>
      </c>
      <c r="AF7" s="100">
        <v>2.463766726105642</v>
      </c>
      <c r="AG7" s="100">
        <v>1942.4336868616881</v>
      </c>
      <c r="AH7" s="100">
        <v>6.8899840598357489</v>
      </c>
      <c r="AI7" s="100">
        <v>5432.0634327745047</v>
      </c>
      <c r="AJ7" s="100">
        <v>8</v>
      </c>
      <c r="AK7" s="100">
        <v>6307.2</v>
      </c>
      <c r="AL7" s="100">
        <v>0.74580557385272306</v>
      </c>
      <c r="AM7" s="100">
        <v>587.99311442548685</v>
      </c>
      <c r="AN7" s="100">
        <v>6</v>
      </c>
      <c r="AO7" s="100">
        <v>4730.3999999999996</v>
      </c>
      <c r="AP7" s="100">
        <v>8</v>
      </c>
      <c r="AQ7" s="100">
        <v>6307.2</v>
      </c>
      <c r="AR7" s="100">
        <v>8</v>
      </c>
      <c r="AS7" s="100">
        <v>6307.2</v>
      </c>
      <c r="AT7" s="100">
        <v>4.7000798235853463</v>
      </c>
      <c r="AU7" s="100">
        <v>3705.5429329146868</v>
      </c>
      <c r="AV7" s="100">
        <v>7.3654852847036212</v>
      </c>
      <c r="AW7" s="100">
        <v>5806.9485984603343</v>
      </c>
      <c r="AX7" s="100">
        <v>6.2354382273244369</v>
      </c>
      <c r="AY7" s="100">
        <v>4916.0194984225855</v>
      </c>
      <c r="AZ7" s="100">
        <v>3.9253909978826629</v>
      </c>
      <c r="BA7" s="100">
        <v>3094.7782627306915</v>
      </c>
      <c r="BB7" s="100">
        <v>7.8087473425481665E-4</v>
      </c>
      <c r="BC7" s="100">
        <v>0.61564164048649739</v>
      </c>
      <c r="BD7" s="100">
        <v>10.195854832607591</v>
      </c>
      <c r="BE7" s="100">
        <v>8038.4119500278239</v>
      </c>
      <c r="BF7" s="100">
        <v>8.2583587626505501</v>
      </c>
      <c r="BG7" s="100">
        <v>6510.8900484736932</v>
      </c>
      <c r="BH7" s="100">
        <v>6.4620662166224184E-4</v>
      </c>
      <c r="BI7" s="100">
        <v>0.50946930051851147</v>
      </c>
      <c r="BJ7" s="100">
        <v>7.8924907365050512</v>
      </c>
      <c r="BK7" s="100">
        <v>6222.4396966605818</v>
      </c>
      <c r="BL7" s="100">
        <v>1.531986486820498</v>
      </c>
      <c r="BM7" s="100">
        <v>1207.8181462092805</v>
      </c>
      <c r="BN7" s="100">
        <v>11.864544913772241</v>
      </c>
      <c r="BO7" s="100">
        <v>9354.007210018035</v>
      </c>
      <c r="BP7" s="100">
        <v>6</v>
      </c>
      <c r="BQ7" s="100">
        <v>4730.3999999999996</v>
      </c>
      <c r="BR7" s="100">
        <v>4.21778940330237</v>
      </c>
      <c r="BS7" s="100">
        <v>3325.3051655635882</v>
      </c>
      <c r="BT7" s="100">
        <v>7.1585988764281687</v>
      </c>
      <c r="BU7" s="100">
        <v>5643.8393541759679</v>
      </c>
      <c r="BV7" s="100">
        <v>1.7886173849291851</v>
      </c>
      <c r="BW7" s="100">
        <v>1410.1459462781695</v>
      </c>
      <c r="BX7" s="100">
        <v>8.7939129218530265</v>
      </c>
      <c r="BY7" s="100">
        <v>6933.1209475889264</v>
      </c>
      <c r="BZ7" s="100">
        <v>7.4979449552912172</v>
      </c>
      <c r="CA7" s="100">
        <v>5911.3798027515959</v>
      </c>
      <c r="CB7" s="100">
        <v>6</v>
      </c>
      <c r="CC7" s="100">
        <v>4730.3999999999996</v>
      </c>
      <c r="CD7" s="100">
        <v>5.6786299607896478</v>
      </c>
      <c r="CE7" s="100">
        <v>4477.0318610865579</v>
      </c>
      <c r="CF7" s="100">
        <v>5.4573248907413714E-4</v>
      </c>
      <c r="CG7" s="100">
        <v>0.43025549438604971</v>
      </c>
      <c r="CH7" s="100">
        <v>6.878846122903866</v>
      </c>
      <c r="CI7" s="100">
        <v>5423.282283297408</v>
      </c>
      <c r="CJ7" s="100">
        <v>5.9218594360739693E-4</v>
      </c>
      <c r="CK7" s="100">
        <v>0.46687939794007172</v>
      </c>
      <c r="CL7" s="100">
        <v>6.0003034493325602</v>
      </c>
      <c r="CM7" s="100">
        <v>4730.6392394537907</v>
      </c>
      <c r="CN7" s="100">
        <v>9</v>
      </c>
      <c r="CO7" s="100">
        <v>7095.5999999999995</v>
      </c>
      <c r="CP7" s="100">
        <v>9.9001709567116709</v>
      </c>
      <c r="CQ7" s="100">
        <v>7805.2947822714814</v>
      </c>
      <c r="CR7" s="100">
        <v>4.7602659495964676E-4</v>
      </c>
      <c r="CS7" s="100">
        <v>0.37529936746618547</v>
      </c>
      <c r="CT7" s="100">
        <v>7</v>
      </c>
      <c r="CU7" s="100">
        <v>5518.8</v>
      </c>
    </row>
    <row r="8" spans="1:99">
      <c r="C8" s="99" t="s">
        <v>174</v>
      </c>
      <c r="D8" s="100">
        <v>6.6424903786477145</v>
      </c>
      <c r="E8" s="100">
        <v>2056.515021229332</v>
      </c>
      <c r="F8" s="100">
        <v>1.9712562398141258</v>
      </c>
      <c r="G8" s="100">
        <v>610.3009318464533</v>
      </c>
      <c r="H8" s="100">
        <v>7.6683147582461437</v>
      </c>
      <c r="I8" s="100">
        <v>2374.110249153006</v>
      </c>
      <c r="J8" s="100">
        <v>8</v>
      </c>
      <c r="K8" s="100">
        <v>2476.7999999999997</v>
      </c>
      <c r="L8" s="100">
        <v>3.0882764844635142</v>
      </c>
      <c r="M8" s="100">
        <v>956.13039958990385</v>
      </c>
      <c r="N8" s="100">
        <v>6</v>
      </c>
      <c r="O8" s="100">
        <v>1857.6</v>
      </c>
      <c r="P8" s="100">
        <v>8</v>
      </c>
      <c r="Q8" s="100">
        <v>2476.7999999999997</v>
      </c>
      <c r="R8" s="100">
        <v>4.8722249351931533</v>
      </c>
      <c r="S8" s="100">
        <v>1508.4408399358001</v>
      </c>
      <c r="T8" s="100">
        <v>4.0166952578786546E-4</v>
      </c>
      <c r="U8" s="100">
        <v>0.12435688518392313</v>
      </c>
      <c r="V8" s="100">
        <v>4.5411622663156805</v>
      </c>
      <c r="W8" s="100">
        <v>1405.9438376513344</v>
      </c>
      <c r="X8" s="100">
        <v>6</v>
      </c>
      <c r="Y8" s="100">
        <v>1857.6</v>
      </c>
      <c r="Z8" s="100">
        <v>6</v>
      </c>
      <c r="AA8" s="100">
        <v>1857.6</v>
      </c>
      <c r="AB8" s="100">
        <v>3.0316165785919944</v>
      </c>
      <c r="AC8" s="100">
        <v>938.58849273208136</v>
      </c>
      <c r="AD8" s="100">
        <v>3.5772645912376024</v>
      </c>
      <c r="AE8" s="100">
        <v>1107.5211174471615</v>
      </c>
      <c r="AF8" s="100">
        <v>2.463766726105642</v>
      </c>
      <c r="AG8" s="100">
        <v>762.78217840230661</v>
      </c>
      <c r="AH8" s="100">
        <v>6.762843479859213</v>
      </c>
      <c r="AI8" s="100">
        <v>2093.776341364412</v>
      </c>
      <c r="AJ8" s="100">
        <v>8</v>
      </c>
      <c r="AK8" s="100">
        <v>2476.7999999999997</v>
      </c>
      <c r="AL8" s="100">
        <v>0.74580557385272306</v>
      </c>
      <c r="AM8" s="100">
        <v>230.90140566480304</v>
      </c>
      <c r="AN8" s="100">
        <v>6</v>
      </c>
      <c r="AO8" s="100">
        <v>1857.6</v>
      </c>
      <c r="AP8" s="100">
        <v>8</v>
      </c>
      <c r="AQ8" s="100">
        <v>2476.7999999999997</v>
      </c>
      <c r="AR8" s="100">
        <v>7</v>
      </c>
      <c r="AS8" s="100">
        <v>2167.1999999999998</v>
      </c>
      <c r="AT8" s="100">
        <v>4.7000798235853463</v>
      </c>
      <c r="AU8" s="100">
        <v>1455.1447133820232</v>
      </c>
      <c r="AV8" s="100">
        <v>8.1020338131739837</v>
      </c>
      <c r="AW8" s="100">
        <v>2508.3896685586651</v>
      </c>
      <c r="AX8" s="100">
        <v>5.3446613377066603</v>
      </c>
      <c r="AY8" s="100">
        <v>1654.707150153982</v>
      </c>
      <c r="AZ8" s="100">
        <v>4.7089845240869606</v>
      </c>
      <c r="BA8" s="100">
        <v>1457.9016086573229</v>
      </c>
      <c r="BB8" s="100">
        <v>7.8087473425481665E-4</v>
      </c>
      <c r="BC8" s="100">
        <v>0.2417588177252912</v>
      </c>
      <c r="BD8" s="100">
        <v>11.34533668668354</v>
      </c>
      <c r="BE8" s="100">
        <v>3512.5162381972236</v>
      </c>
      <c r="BF8" s="100">
        <v>9.1759541807228331</v>
      </c>
      <c r="BG8" s="100">
        <v>2840.875414351789</v>
      </c>
      <c r="BH8" s="100">
        <v>5.8533488753530693E-4</v>
      </c>
      <c r="BI8" s="100">
        <v>0.18121968118093101</v>
      </c>
      <c r="BJ8" s="100">
        <v>8.0199894131486307</v>
      </c>
      <c r="BK8" s="100">
        <v>2482.9887223108158</v>
      </c>
      <c r="BL8" s="100">
        <v>1.5356571848564042</v>
      </c>
      <c r="BM8" s="100">
        <v>475.43946443154272</v>
      </c>
      <c r="BN8" s="100">
        <v>10.988051330025417</v>
      </c>
      <c r="BO8" s="100">
        <v>3401.9006917758688</v>
      </c>
      <c r="BP8" s="100">
        <v>7</v>
      </c>
      <c r="BQ8" s="100">
        <v>2167.1999999999998</v>
      </c>
      <c r="BR8" s="100">
        <v>4.21778940330237</v>
      </c>
      <c r="BS8" s="100">
        <v>1305.8275992624135</v>
      </c>
      <c r="BT8" s="100">
        <v>7.1585988764281687</v>
      </c>
      <c r="BU8" s="100">
        <v>2216.3022121421609</v>
      </c>
      <c r="BV8" s="100">
        <v>1.7886173849291851</v>
      </c>
      <c r="BW8" s="100">
        <v>553.75594237407563</v>
      </c>
      <c r="BX8" s="100">
        <v>9.7939129218530265</v>
      </c>
      <c r="BY8" s="100">
        <v>3032.1954406056966</v>
      </c>
      <c r="BZ8" s="100">
        <v>7.4979449552912172</v>
      </c>
      <c r="CA8" s="100">
        <v>2321.3637581581606</v>
      </c>
      <c r="CB8" s="100">
        <v>6</v>
      </c>
      <c r="CC8" s="100">
        <v>1857.6</v>
      </c>
      <c r="CD8" s="100">
        <v>5.6786299607896478</v>
      </c>
      <c r="CE8" s="100">
        <v>1758.1038358604746</v>
      </c>
      <c r="CF8" s="100">
        <v>6.139490502084043E-4</v>
      </c>
      <c r="CG8" s="100">
        <v>0.19007862594452196</v>
      </c>
      <c r="CH8" s="100">
        <v>8.3967868267417956</v>
      </c>
      <c r="CI8" s="100">
        <v>2599.6452015592595</v>
      </c>
      <c r="CJ8" s="100">
        <v>5.9410285789562292E-4</v>
      </c>
      <c r="CK8" s="100">
        <v>0.18393424480448484</v>
      </c>
      <c r="CL8" s="100">
        <v>6.0003034493325602</v>
      </c>
      <c r="CM8" s="100">
        <v>1857.6939479133605</v>
      </c>
      <c r="CN8" s="100">
        <v>10</v>
      </c>
      <c r="CO8" s="100">
        <v>3095.9999999999995</v>
      </c>
      <c r="CP8" s="100">
        <v>9.9001709567116709</v>
      </c>
      <c r="CQ8" s="100">
        <v>3065.0929281979329</v>
      </c>
      <c r="CR8" s="100">
        <v>5.3995284330055917E-4</v>
      </c>
      <c r="CS8" s="100">
        <v>0.16716940028585309</v>
      </c>
      <c r="CT8" s="100">
        <v>7</v>
      </c>
      <c r="CU8" s="100">
        <v>2167.1999999999998</v>
      </c>
    </row>
    <row r="9" spans="1:99">
      <c r="C9" s="99" t="s">
        <v>175</v>
      </c>
      <c r="D9" s="100">
        <v>5.3744431373264403</v>
      </c>
      <c r="E9" s="100">
        <v>3772.8590824031612</v>
      </c>
      <c r="F9" s="100">
        <v>1.7422151533397534</v>
      </c>
      <c r="G9" s="100">
        <v>1223.0350376445069</v>
      </c>
      <c r="H9" s="100">
        <v>8.6683147582461437</v>
      </c>
      <c r="I9" s="100">
        <v>6085.156960288793</v>
      </c>
      <c r="J9" s="100">
        <v>7</v>
      </c>
      <c r="K9" s="100">
        <v>4914</v>
      </c>
      <c r="L9" s="100">
        <v>3.0882764844635142</v>
      </c>
      <c r="M9" s="100">
        <v>2167.9700920933869</v>
      </c>
      <c r="N9" s="100">
        <v>6</v>
      </c>
      <c r="O9" s="100">
        <v>4212</v>
      </c>
      <c r="P9" s="100">
        <v>8</v>
      </c>
      <c r="Q9" s="100">
        <v>5616</v>
      </c>
      <c r="R9" s="100">
        <v>4.8722249351931533</v>
      </c>
      <c r="S9" s="100">
        <v>3420.3019045055935</v>
      </c>
      <c r="T9" s="100">
        <v>3.9810447161506079E-4</v>
      </c>
      <c r="U9" s="100">
        <v>0.27946933907377269</v>
      </c>
      <c r="V9" s="100">
        <v>4.6325886187582386</v>
      </c>
      <c r="W9" s="100">
        <v>3252.0772103682834</v>
      </c>
      <c r="X9" s="100">
        <v>6</v>
      </c>
      <c r="Y9" s="100">
        <v>4212</v>
      </c>
      <c r="Z9" s="100">
        <v>7</v>
      </c>
      <c r="AA9" s="100">
        <v>4914</v>
      </c>
      <c r="AB9" s="100">
        <v>2.6526645062679952</v>
      </c>
      <c r="AC9" s="100">
        <v>1862.1704834001328</v>
      </c>
      <c r="AD9" s="100">
        <v>3.595318530216804</v>
      </c>
      <c r="AE9" s="100">
        <v>2523.9136082121963</v>
      </c>
      <c r="AF9" s="100">
        <v>2.4539669639727015</v>
      </c>
      <c r="AG9" s="100">
        <v>1722.6848087088365</v>
      </c>
      <c r="AH9" s="100">
        <v>6.762843479859213</v>
      </c>
      <c r="AI9" s="100">
        <v>4747.5161228611678</v>
      </c>
      <c r="AJ9" s="100">
        <v>8</v>
      </c>
      <c r="AK9" s="100">
        <v>5616</v>
      </c>
      <c r="AL9" s="100">
        <v>0.66293828786908715</v>
      </c>
      <c r="AM9" s="100">
        <v>465.38267808409915</v>
      </c>
      <c r="AN9" s="100">
        <v>6</v>
      </c>
      <c r="AO9" s="100">
        <v>4212</v>
      </c>
      <c r="AP9" s="100">
        <v>9</v>
      </c>
      <c r="AQ9" s="100">
        <v>6318</v>
      </c>
      <c r="AR9" s="100">
        <v>8</v>
      </c>
      <c r="AS9" s="100">
        <v>5616</v>
      </c>
      <c r="AT9" s="100">
        <v>4.7000798235853463</v>
      </c>
      <c r="AU9" s="100">
        <v>3299.4560361569129</v>
      </c>
      <c r="AV9" s="100">
        <v>7.3654852847036212</v>
      </c>
      <c r="AW9" s="100">
        <v>5170.5706698619424</v>
      </c>
      <c r="AX9" s="100">
        <v>6.2354382273244369</v>
      </c>
      <c r="AY9" s="100">
        <v>4377.277635581755</v>
      </c>
      <c r="AZ9" s="100">
        <v>4.7089845240869606</v>
      </c>
      <c r="BA9" s="100">
        <v>3305.7071359090464</v>
      </c>
      <c r="BB9" s="100">
        <v>6.3889750984484996E-4</v>
      </c>
      <c r="BC9" s="100">
        <v>0.44850605191108467</v>
      </c>
      <c r="BD9" s="100">
        <v>10.34533668668354</v>
      </c>
      <c r="BE9" s="100">
        <v>7262.426354051845</v>
      </c>
      <c r="BF9" s="100">
        <v>8.2583587626505501</v>
      </c>
      <c r="BG9" s="100">
        <v>5797.3678513806863</v>
      </c>
      <c r="BH9" s="100">
        <v>5.2029767780916174E-4</v>
      </c>
      <c r="BI9" s="100">
        <v>0.36524896982203153</v>
      </c>
      <c r="BJ9" s="100">
        <v>8.0199894131486307</v>
      </c>
      <c r="BK9" s="100">
        <v>5630.0325680303386</v>
      </c>
      <c r="BL9" s="100">
        <v>1.7026150629156542</v>
      </c>
      <c r="BM9" s="100">
        <v>1195.2357741667893</v>
      </c>
      <c r="BN9" s="100">
        <v>10.988051330025417</v>
      </c>
      <c r="BO9" s="100">
        <v>7713.6120336778431</v>
      </c>
      <c r="BP9" s="100">
        <v>6</v>
      </c>
      <c r="BQ9" s="100">
        <v>4212</v>
      </c>
      <c r="BR9" s="100">
        <v>3.6905657278895738</v>
      </c>
      <c r="BS9" s="100">
        <v>2590.7771409784809</v>
      </c>
      <c r="BT9" s="100">
        <v>7.1585988764281687</v>
      </c>
      <c r="BU9" s="100">
        <v>5025.3364112525742</v>
      </c>
      <c r="BV9" s="100">
        <v>1.7886173849291851</v>
      </c>
      <c r="BW9" s="100">
        <v>1255.6094042202878</v>
      </c>
      <c r="BX9" s="100">
        <v>9.7939129218530265</v>
      </c>
      <c r="BY9" s="100">
        <v>6875.3268711408246</v>
      </c>
      <c r="BZ9" s="100">
        <v>7.4979449552912172</v>
      </c>
      <c r="CA9" s="100">
        <v>5263.5573586144346</v>
      </c>
      <c r="CB9" s="100">
        <v>6</v>
      </c>
      <c r="CC9" s="100">
        <v>4212</v>
      </c>
      <c r="CD9" s="100">
        <v>4.7321916339913734</v>
      </c>
      <c r="CE9" s="100">
        <v>3321.9985270619441</v>
      </c>
      <c r="CF9" s="100">
        <v>5.4573248907413714E-4</v>
      </c>
      <c r="CG9" s="100">
        <v>0.3831042073300443</v>
      </c>
      <c r="CH9" s="100">
        <v>7.5751743284439872</v>
      </c>
      <c r="CI9" s="100">
        <v>5317.772378567679</v>
      </c>
      <c r="CJ9" s="100">
        <v>6.5894283893010944E-4</v>
      </c>
      <c r="CK9" s="100">
        <v>0.46257787292893682</v>
      </c>
      <c r="CL9" s="100">
        <v>6.0002528744437997</v>
      </c>
      <c r="CM9" s="100">
        <v>4212.1775178595472</v>
      </c>
      <c r="CN9" s="100">
        <v>10</v>
      </c>
      <c r="CO9" s="100">
        <v>7020</v>
      </c>
      <c r="CP9" s="100">
        <v>9.9001709567116709</v>
      </c>
      <c r="CQ9" s="100">
        <v>6949.9200116115926</v>
      </c>
      <c r="CR9" s="100">
        <v>4.7602659495964676E-4</v>
      </c>
      <c r="CS9" s="100">
        <v>0.33417066966167203</v>
      </c>
      <c r="CT9" s="100">
        <v>7</v>
      </c>
      <c r="CU9" s="100">
        <v>4914</v>
      </c>
    </row>
    <row r="10" spans="1:99">
      <c r="C10" s="99" t="s">
        <v>176</v>
      </c>
      <c r="D10" s="100">
        <v>5.9533915937104904</v>
      </c>
      <c r="E10" s="100">
        <v>3243.4077402534749</v>
      </c>
      <c r="F10" s="100">
        <v>1.7422151533397534</v>
      </c>
      <c r="G10" s="100">
        <v>949.1588155394976</v>
      </c>
      <c r="H10" s="100">
        <v>7.6683147582461437</v>
      </c>
      <c r="I10" s="100">
        <v>4177.6978802924987</v>
      </c>
      <c r="J10" s="100">
        <v>8</v>
      </c>
      <c r="K10" s="100">
        <v>4358.3999999999996</v>
      </c>
      <c r="L10" s="100">
        <v>3.0882764844635142</v>
      </c>
      <c r="M10" s="100">
        <v>1682.4930287357224</v>
      </c>
      <c r="N10" s="100">
        <v>6</v>
      </c>
      <c r="O10" s="100">
        <v>3268.7999999999997</v>
      </c>
      <c r="P10" s="100">
        <v>7</v>
      </c>
      <c r="Q10" s="100">
        <v>3813.5999999999995</v>
      </c>
      <c r="R10" s="100">
        <v>4.8722249351931533</v>
      </c>
      <c r="S10" s="100">
        <v>2654.3881446932296</v>
      </c>
      <c r="T10" s="100">
        <v>4.0166952578786546E-4</v>
      </c>
      <c r="U10" s="100">
        <v>0.2188295576492291</v>
      </c>
      <c r="V10" s="100">
        <v>4.5411622663156805</v>
      </c>
      <c r="W10" s="100">
        <v>2474.0252026887824</v>
      </c>
      <c r="X10" s="100">
        <v>7</v>
      </c>
      <c r="Y10" s="100">
        <v>3813.5999999999995</v>
      </c>
      <c r="Z10" s="100">
        <v>7</v>
      </c>
      <c r="AA10" s="100">
        <v>3813.5999999999995</v>
      </c>
      <c r="AB10" s="100">
        <v>3.0316165785919944</v>
      </c>
      <c r="AC10" s="100">
        <v>1651.6247120169185</v>
      </c>
      <c r="AD10" s="100">
        <v>3.5772645912376024</v>
      </c>
      <c r="AE10" s="100">
        <v>1948.8937493062456</v>
      </c>
      <c r="AF10" s="100">
        <v>2.4735664882385819</v>
      </c>
      <c r="AG10" s="100">
        <v>1347.5990227923794</v>
      </c>
      <c r="AH10" s="100">
        <v>5.762843479859213</v>
      </c>
      <c r="AI10" s="100">
        <v>3139.5971278272991</v>
      </c>
      <c r="AJ10" s="100">
        <v>8</v>
      </c>
      <c r="AK10" s="100">
        <v>4358.3999999999996</v>
      </c>
      <c r="AL10" s="100">
        <v>0.66293828786908715</v>
      </c>
      <c r="AM10" s="100">
        <v>361.16877923107864</v>
      </c>
      <c r="AN10" s="100">
        <v>6</v>
      </c>
      <c r="AO10" s="100">
        <v>3268.7999999999997</v>
      </c>
      <c r="AP10" s="100">
        <v>8</v>
      </c>
      <c r="AQ10" s="100">
        <v>4358.3999999999996</v>
      </c>
      <c r="AR10" s="100">
        <v>8</v>
      </c>
      <c r="AS10" s="100">
        <v>4358.3999999999996</v>
      </c>
      <c r="AT10" s="100">
        <v>4.7000798235853463</v>
      </c>
      <c r="AU10" s="100">
        <v>2560.6034878892965</v>
      </c>
      <c r="AV10" s="100">
        <v>6.6289367562332595</v>
      </c>
      <c r="AW10" s="100">
        <v>3611.4447447958796</v>
      </c>
      <c r="AX10" s="100">
        <v>5.3446613377066603</v>
      </c>
      <c r="AY10" s="100">
        <v>2911.7714967825882</v>
      </c>
      <c r="AZ10" s="100">
        <v>4.7089845240869606</v>
      </c>
      <c r="BA10" s="100">
        <v>2565.4547687225759</v>
      </c>
      <c r="BB10" s="100">
        <v>7.0988612204983341E-4</v>
      </c>
      <c r="BC10" s="100">
        <v>0.38674595929274919</v>
      </c>
      <c r="BD10" s="100">
        <v>11.34533668668354</v>
      </c>
      <c r="BE10" s="100">
        <v>6180.9394269051918</v>
      </c>
      <c r="BF10" s="100">
        <v>7.3407633445782672</v>
      </c>
      <c r="BG10" s="100">
        <v>3999.2478701262398</v>
      </c>
      <c r="BH10" s="100">
        <v>5.8533488753530693E-4</v>
      </c>
      <c r="BI10" s="100">
        <v>0.31889044672923517</v>
      </c>
      <c r="BJ10" s="100">
        <v>6.8924907365050512</v>
      </c>
      <c r="BK10" s="100">
        <v>3755.0289532479514</v>
      </c>
      <c r="BL10" s="100">
        <v>1.6989443648797482</v>
      </c>
      <c r="BM10" s="100">
        <v>925.5848899864867</v>
      </c>
      <c r="BN10" s="100">
        <v>12.988051330025417</v>
      </c>
      <c r="BO10" s="100">
        <v>7075.8903645978471</v>
      </c>
      <c r="BP10" s="100">
        <v>6</v>
      </c>
      <c r="BQ10" s="100">
        <v>3268.7999999999997</v>
      </c>
      <c r="BR10" s="100">
        <v>3.6905657278895738</v>
      </c>
      <c r="BS10" s="100">
        <v>2010.6202085542398</v>
      </c>
      <c r="BT10" s="100">
        <v>7.1585988764281687</v>
      </c>
      <c r="BU10" s="100">
        <v>3900.0046678780659</v>
      </c>
      <c r="BV10" s="100">
        <v>1.7886173849291851</v>
      </c>
      <c r="BW10" s="100">
        <v>974.43875130942001</v>
      </c>
      <c r="BX10" s="100">
        <v>10.793912921853027</v>
      </c>
      <c r="BY10" s="100">
        <v>5880.523759825528</v>
      </c>
      <c r="BZ10" s="100">
        <v>6.7481504597620958</v>
      </c>
      <c r="CA10" s="100">
        <v>3676.3923704783897</v>
      </c>
      <c r="CB10" s="100">
        <v>6</v>
      </c>
      <c r="CC10" s="100">
        <v>3268.7999999999997</v>
      </c>
      <c r="CD10" s="100">
        <v>5.6786299607896478</v>
      </c>
      <c r="CE10" s="100">
        <v>3093.7176026381999</v>
      </c>
      <c r="CF10" s="100">
        <v>6.139490502084043E-4</v>
      </c>
      <c r="CG10" s="100">
        <v>0.33447944255353862</v>
      </c>
      <c r="CH10" s="100">
        <v>7.7004586212016752</v>
      </c>
      <c r="CI10" s="100">
        <v>4195.2098568306719</v>
      </c>
      <c r="CJ10" s="100">
        <v>6.5894283893010944E-4</v>
      </c>
      <c r="CK10" s="100">
        <v>0.35899205864912359</v>
      </c>
      <c r="CL10" s="100">
        <v>6.0002528744437997</v>
      </c>
      <c r="CM10" s="100">
        <v>3268.9377659969819</v>
      </c>
      <c r="CN10" s="100">
        <v>10</v>
      </c>
      <c r="CO10" s="100">
        <v>5448</v>
      </c>
      <c r="CP10" s="100">
        <v>8.910153861040504</v>
      </c>
      <c r="CQ10" s="100">
        <v>4854.2518234948666</v>
      </c>
      <c r="CR10" s="100">
        <v>5.4185570040544322E-4</v>
      </c>
      <c r="CS10" s="100">
        <v>0.29520298558088542</v>
      </c>
      <c r="CT10" s="100">
        <v>7</v>
      </c>
      <c r="CU10" s="100">
        <v>3813.5999999999995</v>
      </c>
    </row>
    <row r="11" spans="1:99">
      <c r="C11" s="99" t="s">
        <v>177</v>
      </c>
      <c r="D11" s="100">
        <v>5.9533915937104904</v>
      </c>
      <c r="E11" s="100">
        <v>3171.9670411289489</v>
      </c>
      <c r="F11" s="100">
        <v>1.9811796361012077</v>
      </c>
      <c r="G11" s="100">
        <v>1055.5725101147234</v>
      </c>
      <c r="H11" s="100">
        <v>7.6683147582461437</v>
      </c>
      <c r="I11" s="100">
        <v>4085.6781031935452</v>
      </c>
      <c r="J11" s="100">
        <v>7</v>
      </c>
      <c r="K11" s="100">
        <v>3729.5999999999995</v>
      </c>
      <c r="L11" s="100">
        <v>2.4706211875708113</v>
      </c>
      <c r="M11" s="100">
        <v>1316.346968737728</v>
      </c>
      <c r="N11" s="100">
        <v>5</v>
      </c>
      <c r="O11" s="100">
        <v>2664</v>
      </c>
      <c r="P11" s="100">
        <v>8</v>
      </c>
      <c r="Q11" s="100">
        <v>4262.3999999999996</v>
      </c>
      <c r="R11" s="100">
        <v>5.6842624243920126</v>
      </c>
      <c r="S11" s="100">
        <v>3028.5750197160642</v>
      </c>
      <c r="T11" s="100">
        <v>4.0166952578786546E-4</v>
      </c>
      <c r="U11" s="100">
        <v>0.21400952333977469</v>
      </c>
      <c r="V11" s="100">
        <v>4.6325886187582386</v>
      </c>
      <c r="W11" s="100">
        <v>2468.2432160743892</v>
      </c>
      <c r="X11" s="100">
        <v>6</v>
      </c>
      <c r="Y11" s="100">
        <v>3196.7999999999997</v>
      </c>
      <c r="Z11" s="100">
        <v>7</v>
      </c>
      <c r="AA11" s="100">
        <v>3729.5999999999995</v>
      </c>
      <c r="AB11" s="100">
        <v>3.0316165785919944</v>
      </c>
      <c r="AC11" s="100">
        <v>1615.2453130738145</v>
      </c>
      <c r="AD11" s="100">
        <v>3.595318530216804</v>
      </c>
      <c r="AE11" s="100">
        <v>1915.5857128995131</v>
      </c>
      <c r="AF11" s="100">
        <v>2.4735664882385819</v>
      </c>
      <c r="AG11" s="100">
        <v>1317.9162249335163</v>
      </c>
      <c r="AH11" s="100">
        <v>6.8899840598357489</v>
      </c>
      <c r="AI11" s="100">
        <v>3670.9835070804866</v>
      </c>
      <c r="AJ11" s="100">
        <v>8</v>
      </c>
      <c r="AK11" s="100">
        <v>4262.3999999999996</v>
      </c>
      <c r="AL11" s="100">
        <v>0.74580557385272306</v>
      </c>
      <c r="AM11" s="100">
        <v>397.36520974873082</v>
      </c>
      <c r="AN11" s="100">
        <v>6</v>
      </c>
      <c r="AO11" s="100">
        <v>3196.7999999999997</v>
      </c>
      <c r="AP11" s="100">
        <v>8</v>
      </c>
      <c r="AQ11" s="100">
        <v>4262.3999999999996</v>
      </c>
      <c r="AR11" s="100">
        <v>9</v>
      </c>
      <c r="AS11" s="100">
        <v>4795.2</v>
      </c>
      <c r="AT11" s="100">
        <v>5.640095788302415</v>
      </c>
      <c r="AU11" s="100">
        <v>3005.0430360075266</v>
      </c>
      <c r="AV11" s="100">
        <v>6.6289367562332595</v>
      </c>
      <c r="AW11" s="100">
        <v>3531.8975037210803</v>
      </c>
      <c r="AX11" s="100">
        <v>6.2354382273244369</v>
      </c>
      <c r="AY11" s="100">
        <v>3322.2414875184595</v>
      </c>
      <c r="AZ11" s="100">
        <v>4.7089845240869606</v>
      </c>
      <c r="BA11" s="100">
        <v>2508.9469544335325</v>
      </c>
      <c r="BB11" s="100">
        <v>6.3889750984484996E-4</v>
      </c>
      <c r="BC11" s="100">
        <v>0.34040459324533601</v>
      </c>
      <c r="BD11" s="100">
        <v>10.195854832607591</v>
      </c>
      <c r="BE11" s="100">
        <v>5432.3514548133235</v>
      </c>
      <c r="BF11" s="100">
        <v>7.3407633445782672</v>
      </c>
      <c r="BG11" s="100">
        <v>3911.1587099913004</v>
      </c>
      <c r="BH11" s="100">
        <v>5.6659024733886072E-4</v>
      </c>
      <c r="BI11" s="100">
        <v>0.30187928378214496</v>
      </c>
      <c r="BJ11" s="100">
        <v>7.0199894131486298</v>
      </c>
      <c r="BK11" s="100">
        <v>3740.2503593255897</v>
      </c>
      <c r="BL11" s="100">
        <v>1.7026150629156542</v>
      </c>
      <c r="BM11" s="100">
        <v>907.15330552146054</v>
      </c>
      <c r="BN11" s="100">
        <v>11.864544913772241</v>
      </c>
      <c r="BO11" s="100">
        <v>6321.4295300578497</v>
      </c>
      <c r="BP11" s="100">
        <v>6</v>
      </c>
      <c r="BQ11" s="100">
        <v>3196.7999999999997</v>
      </c>
      <c r="BR11" s="100">
        <v>3.6905657278895738</v>
      </c>
      <c r="BS11" s="100">
        <v>1966.3334198195648</v>
      </c>
      <c r="BT11" s="100">
        <v>7.8744587640709867</v>
      </c>
      <c r="BU11" s="100">
        <v>4195.5116294970212</v>
      </c>
      <c r="BV11" s="100">
        <v>2.0035725736831576</v>
      </c>
      <c r="BW11" s="100">
        <v>1067.5034672583863</v>
      </c>
      <c r="BX11" s="100">
        <v>9.7939129218530265</v>
      </c>
      <c r="BY11" s="100">
        <v>5218.1968047632918</v>
      </c>
      <c r="BZ11" s="100">
        <v>7.4979449552912172</v>
      </c>
      <c r="CA11" s="100">
        <v>3994.90507217916</v>
      </c>
      <c r="CB11" s="100">
        <v>6</v>
      </c>
      <c r="CC11" s="100">
        <v>3196.7999999999997</v>
      </c>
      <c r="CD11" s="100">
        <v>5.6786299607896478</v>
      </c>
      <c r="CE11" s="100">
        <v>3025.5740431087243</v>
      </c>
      <c r="CF11" s="100">
        <v>6.139490502084043E-4</v>
      </c>
      <c r="CG11" s="100">
        <v>0.32711205395103776</v>
      </c>
      <c r="CH11" s="100">
        <v>7.7004586212016752</v>
      </c>
      <c r="CI11" s="100">
        <v>4102.804353376252</v>
      </c>
      <c r="CJ11" s="100">
        <v>5.9314440075150987E-4</v>
      </c>
      <c r="CK11" s="100">
        <v>0.31602733672040445</v>
      </c>
      <c r="CL11" s="100">
        <v>6.0002528744437997</v>
      </c>
      <c r="CM11" s="100">
        <v>3196.9347315036562</v>
      </c>
      <c r="CN11" s="100">
        <v>9</v>
      </c>
      <c r="CO11" s="100">
        <v>4795.2</v>
      </c>
      <c r="CP11" s="100">
        <v>8.910153861040504</v>
      </c>
      <c r="CQ11" s="100">
        <v>4747.3299771623797</v>
      </c>
      <c r="CR11" s="100">
        <v>4.7412373785476282E-4</v>
      </c>
      <c r="CS11" s="100">
        <v>0.2526131275290176</v>
      </c>
      <c r="CT11" s="100">
        <v>6</v>
      </c>
      <c r="CU11" s="100">
        <v>3196.7999999999997</v>
      </c>
    </row>
    <row r="12" spans="1:99">
      <c r="C12" s="99" t="s">
        <v>178</v>
      </c>
      <c r="D12" s="100">
        <v>6.0635419222636635</v>
      </c>
      <c r="E12" s="100">
        <v>3412.5613938499896</v>
      </c>
      <c r="F12" s="100">
        <v>1.9811796361012077</v>
      </c>
      <c r="G12" s="100">
        <v>1115.0078991977596</v>
      </c>
      <c r="H12" s="100">
        <v>8.6683147582461437</v>
      </c>
      <c r="I12" s="100">
        <v>4878.5275459409295</v>
      </c>
      <c r="J12" s="100">
        <v>7</v>
      </c>
      <c r="K12" s="100">
        <v>3939.5999999999995</v>
      </c>
      <c r="L12" s="100">
        <v>2.4706211875708113</v>
      </c>
      <c r="M12" s="100">
        <v>1390.4656043648524</v>
      </c>
      <c r="N12" s="100">
        <v>5</v>
      </c>
      <c r="O12" s="100">
        <v>2814</v>
      </c>
      <c r="P12" s="100">
        <v>7</v>
      </c>
      <c r="Q12" s="100">
        <v>3939.5999999999995</v>
      </c>
      <c r="R12" s="100">
        <v>4.8722249351931533</v>
      </c>
      <c r="S12" s="100">
        <v>2742.0881935267066</v>
      </c>
      <c r="T12" s="100">
        <v>3.9810447161506079E-4</v>
      </c>
      <c r="U12" s="100">
        <v>0.22405319662495618</v>
      </c>
      <c r="V12" s="100">
        <v>4.6325886187582386</v>
      </c>
      <c r="W12" s="100">
        <v>2607.2208746371366</v>
      </c>
      <c r="X12" s="100">
        <v>7</v>
      </c>
      <c r="Y12" s="100">
        <v>3939.5999999999995</v>
      </c>
      <c r="Z12" s="100">
        <v>7</v>
      </c>
      <c r="AA12" s="100">
        <v>3939.5999999999995</v>
      </c>
      <c r="AB12" s="100">
        <v>3.0316165785919944</v>
      </c>
      <c r="AC12" s="100">
        <v>1706.1938104315743</v>
      </c>
      <c r="AD12" s="100">
        <v>3.5772645912376024</v>
      </c>
      <c r="AE12" s="100">
        <v>2013.2845119485225</v>
      </c>
      <c r="AF12" s="100">
        <v>2.4735664882385819</v>
      </c>
      <c r="AG12" s="100">
        <v>1392.1232195806738</v>
      </c>
      <c r="AH12" s="100">
        <v>5.762843479859213</v>
      </c>
      <c r="AI12" s="100">
        <v>3243.3283104647649</v>
      </c>
      <c r="AJ12" s="100">
        <v>8</v>
      </c>
      <c r="AK12" s="100">
        <v>4502.3999999999996</v>
      </c>
      <c r="AL12" s="100">
        <v>0.74580557385272306</v>
      </c>
      <c r="AM12" s="100">
        <v>419.7393769643125</v>
      </c>
      <c r="AN12" s="100">
        <v>7</v>
      </c>
      <c r="AO12" s="100">
        <v>3939.5999999999995</v>
      </c>
      <c r="AP12" s="100">
        <v>9</v>
      </c>
      <c r="AQ12" s="100">
        <v>5065.2</v>
      </c>
      <c r="AR12" s="100">
        <v>7</v>
      </c>
      <c r="AS12" s="100">
        <v>3939.5999999999995</v>
      </c>
      <c r="AT12" s="100">
        <v>4.7000798235853463</v>
      </c>
      <c r="AU12" s="100">
        <v>2645.2049247138325</v>
      </c>
      <c r="AV12" s="100">
        <v>6.6289367562332595</v>
      </c>
      <c r="AW12" s="100">
        <v>3730.7656064080779</v>
      </c>
      <c r="AX12" s="100">
        <v>6.2354382273244369</v>
      </c>
      <c r="AY12" s="100">
        <v>3509.304634338193</v>
      </c>
      <c r="AZ12" s="100">
        <v>4.7102217518971559</v>
      </c>
      <c r="BA12" s="100">
        <v>2650.9128019677191</v>
      </c>
      <c r="BB12" s="100">
        <v>7.0988612204983341E-4</v>
      </c>
      <c r="BC12" s="100">
        <v>0.39952390948964622</v>
      </c>
      <c r="BD12" s="100">
        <v>10.195854832607591</v>
      </c>
      <c r="BE12" s="100">
        <v>5738.2270997915512</v>
      </c>
      <c r="BF12" s="100">
        <v>7.3407633445782672</v>
      </c>
      <c r="BG12" s="100">
        <v>4131.3816103286481</v>
      </c>
      <c r="BH12" s="100">
        <v>5.8533488753530693E-4</v>
      </c>
      <c r="BI12" s="100">
        <v>0.32942647470487069</v>
      </c>
      <c r="BJ12" s="100">
        <v>8.0199894131486307</v>
      </c>
      <c r="BK12" s="100">
        <v>4513.6500417200486</v>
      </c>
      <c r="BL12" s="100">
        <v>1.531986486820498</v>
      </c>
      <c r="BM12" s="100">
        <v>862.20199478257621</v>
      </c>
      <c r="BN12" s="100">
        <v>11.864544913772241</v>
      </c>
      <c r="BO12" s="100">
        <v>6677.3658774710166</v>
      </c>
      <c r="BP12" s="100">
        <v>6</v>
      </c>
      <c r="BQ12" s="100">
        <v>3376.7999999999997</v>
      </c>
      <c r="BR12" s="100">
        <v>3.6905657278895738</v>
      </c>
      <c r="BS12" s="100">
        <v>2077.050391656252</v>
      </c>
      <c r="BT12" s="100">
        <v>7.1585988764281687</v>
      </c>
      <c r="BU12" s="100">
        <v>4028.8594476537728</v>
      </c>
      <c r="BV12" s="100">
        <v>1.7886173849291851</v>
      </c>
      <c r="BW12" s="100">
        <v>1006.6338642381453</v>
      </c>
      <c r="BX12" s="100">
        <v>10.793912921853027</v>
      </c>
      <c r="BY12" s="100">
        <v>6074.8141924188831</v>
      </c>
      <c r="BZ12" s="100">
        <v>7.4979449552912172</v>
      </c>
      <c r="CA12" s="100">
        <v>4219.8434208378967</v>
      </c>
      <c r="CB12" s="100">
        <v>6</v>
      </c>
      <c r="CC12" s="100">
        <v>3376.7999999999997</v>
      </c>
      <c r="CD12" s="100">
        <v>5.6786299607896478</v>
      </c>
      <c r="CE12" s="100">
        <v>3195.9329419324135</v>
      </c>
      <c r="CF12" s="100">
        <v>6.139490502084043E-4</v>
      </c>
      <c r="CG12" s="100">
        <v>0.34553052545728991</v>
      </c>
      <c r="CH12" s="100">
        <v>7.5751743284439872</v>
      </c>
      <c r="CI12" s="100">
        <v>4263.3081120482757</v>
      </c>
      <c r="CJ12" s="100">
        <v>5.9314440075150987E-4</v>
      </c>
      <c r="CK12" s="100">
        <v>0.33382166874294972</v>
      </c>
      <c r="CL12" s="100">
        <v>6.0003034493325602</v>
      </c>
      <c r="CM12" s="100">
        <v>3376.9707812843644</v>
      </c>
      <c r="CN12" s="100">
        <v>11</v>
      </c>
      <c r="CO12" s="100">
        <v>6190.7999999999993</v>
      </c>
      <c r="CP12" s="100">
        <v>8.910153861040504</v>
      </c>
      <c r="CQ12" s="100">
        <v>5014.6345929935951</v>
      </c>
      <c r="CR12" s="100">
        <v>4.7602659495964676E-4</v>
      </c>
      <c r="CS12" s="100">
        <v>0.26790776764328916</v>
      </c>
      <c r="CT12" s="100">
        <v>6</v>
      </c>
      <c r="CU12" s="100">
        <v>3376.7999999999997</v>
      </c>
    </row>
    <row r="13" spans="1:99">
      <c r="C13" s="99" t="s">
        <v>179</v>
      </c>
      <c r="D13" s="100">
        <v>6.0635419222636635</v>
      </c>
      <c r="E13" s="100">
        <v>516.61377177686416</v>
      </c>
      <c r="F13" s="100">
        <v>1.9811796361012077</v>
      </c>
      <c r="G13" s="100">
        <v>168.79650499582291</v>
      </c>
      <c r="H13" s="100">
        <v>8.8019777098953735</v>
      </c>
      <c r="I13" s="100">
        <v>749.9285008830858</v>
      </c>
      <c r="J13" s="100">
        <v>7</v>
      </c>
      <c r="K13" s="100">
        <v>596.4</v>
      </c>
      <c r="L13" s="100">
        <v>3.0882764844635142</v>
      </c>
      <c r="M13" s="100">
        <v>263.12115647629145</v>
      </c>
      <c r="N13" s="100">
        <v>6</v>
      </c>
      <c r="O13" s="100">
        <v>511.20000000000005</v>
      </c>
      <c r="P13" s="100">
        <v>7</v>
      </c>
      <c r="Q13" s="100">
        <v>596.4</v>
      </c>
      <c r="R13" s="100">
        <v>5.6842624243920126</v>
      </c>
      <c r="S13" s="100">
        <v>484.29915855819951</v>
      </c>
      <c r="T13" s="100">
        <v>4.0166952578786546E-4</v>
      </c>
      <c r="U13" s="100">
        <v>3.422224359712614E-2</v>
      </c>
      <c r="V13" s="100">
        <v>4.6325886187582386</v>
      </c>
      <c r="W13" s="100">
        <v>394.69655031820196</v>
      </c>
      <c r="X13" s="100">
        <v>7</v>
      </c>
      <c r="Y13" s="100">
        <v>596.4</v>
      </c>
      <c r="Z13" s="100">
        <v>8</v>
      </c>
      <c r="AA13" s="100">
        <v>681.6</v>
      </c>
      <c r="AB13" s="100">
        <v>2.6526645062679952</v>
      </c>
      <c r="AC13" s="100">
        <v>226.00701593403321</v>
      </c>
      <c r="AD13" s="100">
        <v>3.595318530216804</v>
      </c>
      <c r="AE13" s="100">
        <v>306.32113877447171</v>
      </c>
      <c r="AF13" s="100">
        <v>2.2271898156280177</v>
      </c>
      <c r="AG13" s="100">
        <v>189.7565722915071</v>
      </c>
      <c r="AH13" s="100">
        <v>6.762843479859213</v>
      </c>
      <c r="AI13" s="100">
        <v>576.19426448400498</v>
      </c>
      <c r="AJ13" s="100">
        <v>8</v>
      </c>
      <c r="AK13" s="100">
        <v>681.6</v>
      </c>
      <c r="AL13" s="100">
        <v>0.74580557385272306</v>
      </c>
      <c r="AM13" s="100">
        <v>63.542634892252003</v>
      </c>
      <c r="AN13" s="100">
        <v>6</v>
      </c>
      <c r="AO13" s="100">
        <v>511.20000000000005</v>
      </c>
      <c r="AP13" s="100">
        <v>9</v>
      </c>
      <c r="AQ13" s="100">
        <v>766.80000000000007</v>
      </c>
      <c r="AR13" s="100">
        <v>8</v>
      </c>
      <c r="AS13" s="100">
        <v>681.6</v>
      </c>
      <c r="AT13" s="100">
        <v>5.640095788302415</v>
      </c>
      <c r="AU13" s="100">
        <v>480.53616116336576</v>
      </c>
      <c r="AV13" s="100">
        <v>7.3654852847036212</v>
      </c>
      <c r="AW13" s="100">
        <v>627.53934625674856</v>
      </c>
      <c r="AX13" s="100">
        <v>5.3446613377066603</v>
      </c>
      <c r="AY13" s="100">
        <v>455.36514597260748</v>
      </c>
      <c r="AZ13" s="100">
        <v>4.7089845240869606</v>
      </c>
      <c r="BA13" s="100">
        <v>401.20548145220903</v>
      </c>
      <c r="BB13" s="100">
        <v>6.3889750984484996E-4</v>
      </c>
      <c r="BC13" s="100">
        <v>5.4434067838781221E-2</v>
      </c>
      <c r="BD13" s="100">
        <v>9.1958548326075906</v>
      </c>
      <c r="BE13" s="100">
        <v>783.48683173816676</v>
      </c>
      <c r="BF13" s="100">
        <v>8.2583587626505501</v>
      </c>
      <c r="BG13" s="100">
        <v>703.61216657782688</v>
      </c>
      <c r="BH13" s="100">
        <v>6.4828935946184703E-4</v>
      </c>
      <c r="BI13" s="100">
        <v>5.523425342614937E-2</v>
      </c>
      <c r="BJ13" s="100">
        <v>8.1474880897922084</v>
      </c>
      <c r="BK13" s="100">
        <v>694.16598525029622</v>
      </c>
      <c r="BL13" s="100">
        <v>1.7026150629156542</v>
      </c>
      <c r="BM13" s="100">
        <v>145.06280336041374</v>
      </c>
      <c r="BN13" s="100">
        <v>12.864544913772241</v>
      </c>
      <c r="BO13" s="100">
        <v>1096.0592266533949</v>
      </c>
      <c r="BP13" s="100">
        <v>6</v>
      </c>
      <c r="BQ13" s="100">
        <v>511.20000000000005</v>
      </c>
      <c r="BR13" s="100">
        <v>3.6905657278895738</v>
      </c>
      <c r="BS13" s="100">
        <v>314.43620001619172</v>
      </c>
      <c r="BT13" s="100">
        <v>7.1585988764281687</v>
      </c>
      <c r="BU13" s="100">
        <v>609.91262427167999</v>
      </c>
      <c r="BV13" s="100">
        <v>1.7984710813431004</v>
      </c>
      <c r="BW13" s="100">
        <v>153.22973613043217</v>
      </c>
      <c r="BX13" s="100">
        <v>10.926231742161864</v>
      </c>
      <c r="BY13" s="100">
        <v>930.91494443219085</v>
      </c>
      <c r="BZ13" s="100">
        <v>7.4979449552912172</v>
      </c>
      <c r="CA13" s="100">
        <v>638.82491019081169</v>
      </c>
      <c r="CB13" s="100">
        <v>6</v>
      </c>
      <c r="CC13" s="100">
        <v>511.20000000000005</v>
      </c>
      <c r="CD13" s="100">
        <v>5.6786299607896478</v>
      </c>
      <c r="CE13" s="100">
        <v>483.819272659278</v>
      </c>
      <c r="CF13" s="100">
        <v>5.4573248907413714E-4</v>
      </c>
      <c r="CG13" s="100">
        <v>4.6496408069116486E-2</v>
      </c>
      <c r="CH13" s="100">
        <v>7.5751743284439872</v>
      </c>
      <c r="CI13" s="100">
        <v>645.40485278342771</v>
      </c>
      <c r="CJ13" s="100">
        <v>6.5798438178599639E-4</v>
      </c>
      <c r="CK13" s="100">
        <v>5.6060269328166892E-2</v>
      </c>
      <c r="CL13" s="100">
        <v>7.0003034493325602</v>
      </c>
      <c r="CM13" s="100">
        <v>596.4258538831341</v>
      </c>
      <c r="CN13" s="100">
        <v>10</v>
      </c>
      <c r="CO13" s="100">
        <v>852</v>
      </c>
      <c r="CP13" s="100">
        <v>9.9001709567116709</v>
      </c>
      <c r="CQ13" s="100">
        <v>843.49456551183437</v>
      </c>
      <c r="CR13" s="100">
        <v>4.7602659495964676E-4</v>
      </c>
      <c r="CS13" s="100">
        <v>4.0557465890561903E-2</v>
      </c>
      <c r="CT13" s="100">
        <v>8</v>
      </c>
      <c r="CU13" s="100">
        <v>681.6</v>
      </c>
    </row>
    <row r="14" spans="1:99">
      <c r="C14" s="99" t="s">
        <v>180</v>
      </c>
      <c r="D14" s="100">
        <v>6.0635419222636635</v>
      </c>
      <c r="E14" s="100">
        <v>2961.4338748335731</v>
      </c>
      <c r="F14" s="100">
        <v>1.7422151533397534</v>
      </c>
      <c r="G14" s="100">
        <v>850.89788089113551</v>
      </c>
      <c r="H14" s="100">
        <v>7.6683147582461437</v>
      </c>
      <c r="I14" s="100">
        <v>3745.2049279274165</v>
      </c>
      <c r="J14" s="100">
        <v>8</v>
      </c>
      <c r="K14" s="100">
        <v>3907.2</v>
      </c>
      <c r="L14" s="100">
        <v>2.4706211875708113</v>
      </c>
      <c r="M14" s="100">
        <v>1206.6513880095843</v>
      </c>
      <c r="N14" s="100">
        <v>5</v>
      </c>
      <c r="O14" s="100">
        <v>2442</v>
      </c>
      <c r="P14" s="100">
        <v>7</v>
      </c>
      <c r="Q14" s="100">
        <v>3418.7999999999997</v>
      </c>
      <c r="R14" s="100">
        <v>4.8722249351931533</v>
      </c>
      <c r="S14" s="100">
        <v>2379.594658348336</v>
      </c>
      <c r="T14" s="100">
        <v>3.9810447161506079E-4</v>
      </c>
      <c r="U14" s="100">
        <v>0.19443422393679569</v>
      </c>
      <c r="V14" s="100">
        <v>4.6325886187582386</v>
      </c>
      <c r="W14" s="100">
        <v>2262.5562814015234</v>
      </c>
      <c r="X14" s="100">
        <v>7</v>
      </c>
      <c r="Y14" s="100">
        <v>3418.7999999999997</v>
      </c>
      <c r="Z14" s="100">
        <v>6</v>
      </c>
      <c r="AA14" s="100">
        <v>2930.3999999999996</v>
      </c>
      <c r="AB14" s="100">
        <v>2.6526645062679952</v>
      </c>
      <c r="AC14" s="100">
        <v>1295.5613448612887</v>
      </c>
      <c r="AD14" s="100">
        <v>3.595318530216804</v>
      </c>
      <c r="AE14" s="100">
        <v>1755.953570157887</v>
      </c>
      <c r="AF14" s="100">
        <v>2.2369895777609581</v>
      </c>
      <c r="AG14" s="100">
        <v>1092.545709778452</v>
      </c>
      <c r="AH14" s="100">
        <v>6.8899840598357489</v>
      </c>
      <c r="AI14" s="100">
        <v>3365.0682148237797</v>
      </c>
      <c r="AJ14" s="100">
        <v>7</v>
      </c>
      <c r="AK14" s="100">
        <v>3418.7999999999997</v>
      </c>
      <c r="AL14" s="100">
        <v>0.66293828786908715</v>
      </c>
      <c r="AM14" s="100">
        <v>323.77905979526213</v>
      </c>
      <c r="AN14" s="100">
        <v>6</v>
      </c>
      <c r="AO14" s="100">
        <v>2930.3999999999996</v>
      </c>
      <c r="AP14" s="100">
        <v>8</v>
      </c>
      <c r="AQ14" s="100">
        <v>3907.2</v>
      </c>
      <c r="AR14" s="100">
        <v>9</v>
      </c>
      <c r="AS14" s="100">
        <v>4395.5999999999995</v>
      </c>
      <c r="AT14" s="100">
        <v>4.7000798235853463</v>
      </c>
      <c r="AU14" s="100">
        <v>2295.5189858390831</v>
      </c>
      <c r="AV14" s="100">
        <v>7.3654852847036212</v>
      </c>
      <c r="AW14" s="100">
        <v>3597.3030130492484</v>
      </c>
      <c r="AX14" s="100">
        <v>6.2354382273244369</v>
      </c>
      <c r="AY14" s="100">
        <v>3045.3880302252546</v>
      </c>
      <c r="AZ14" s="100">
        <v>4.7089845240869606</v>
      </c>
      <c r="BA14" s="100">
        <v>2299.8680415640715</v>
      </c>
      <c r="BB14" s="100">
        <v>6.3889750984484996E-4</v>
      </c>
      <c r="BC14" s="100">
        <v>0.31203754380822468</v>
      </c>
      <c r="BD14" s="100">
        <v>10.34533668668354</v>
      </c>
      <c r="BE14" s="100">
        <v>5052.6624377762409</v>
      </c>
      <c r="BF14" s="100">
        <v>8.2583587626505501</v>
      </c>
      <c r="BG14" s="100">
        <v>4033.3824196785285</v>
      </c>
      <c r="BH14" s="100">
        <v>5.8533488753530693E-4</v>
      </c>
      <c r="BI14" s="100">
        <v>0.28587755907224388</v>
      </c>
      <c r="BJ14" s="100">
        <v>8.0199894131486307</v>
      </c>
      <c r="BK14" s="100">
        <v>3916.9628293817909</v>
      </c>
      <c r="BL14" s="100">
        <v>1.531986486820498</v>
      </c>
      <c r="BM14" s="100">
        <v>748.22220016313122</v>
      </c>
      <c r="BN14" s="100">
        <v>11.864544913772241</v>
      </c>
      <c r="BO14" s="100">
        <v>5794.6437358863623</v>
      </c>
      <c r="BP14" s="100">
        <v>6</v>
      </c>
      <c r="BQ14" s="100">
        <v>2930.3999999999996</v>
      </c>
      <c r="BR14" s="100">
        <v>4.21778940330237</v>
      </c>
      <c r="BS14" s="100">
        <v>2059.9683445728774</v>
      </c>
      <c r="BT14" s="100">
        <v>7.1585988764281687</v>
      </c>
      <c r="BU14" s="100">
        <v>3496.2596912475174</v>
      </c>
      <c r="BV14" s="100">
        <v>1.7886173849291851</v>
      </c>
      <c r="BW14" s="100">
        <v>873.56073079941393</v>
      </c>
      <c r="BX14" s="100">
        <v>10.926231742161864</v>
      </c>
      <c r="BY14" s="100">
        <v>5336.3715828718541</v>
      </c>
      <c r="BZ14" s="100">
        <v>7.4979449552912172</v>
      </c>
      <c r="CA14" s="100">
        <v>3661.9963161642304</v>
      </c>
      <c r="CB14" s="100">
        <v>6</v>
      </c>
      <c r="CC14" s="100">
        <v>2930.3999999999996</v>
      </c>
      <c r="CD14" s="100">
        <v>5.6786299607896478</v>
      </c>
      <c r="CE14" s="100">
        <v>2773.4428728496637</v>
      </c>
      <c r="CF14" s="100">
        <v>6.139490502084043E-4</v>
      </c>
      <c r="CG14" s="100">
        <v>0.29985271612178466</v>
      </c>
      <c r="CH14" s="100">
        <v>7.5751743284439872</v>
      </c>
      <c r="CI14" s="100">
        <v>3699.7151420120431</v>
      </c>
      <c r="CJ14" s="100">
        <v>6.5798438178599639E-4</v>
      </c>
      <c r="CK14" s="100">
        <v>0.32135957206428062</v>
      </c>
      <c r="CL14" s="100">
        <v>6.0002528744437997</v>
      </c>
      <c r="CM14" s="100">
        <v>2930.5235038783517</v>
      </c>
      <c r="CN14" s="100">
        <v>9</v>
      </c>
      <c r="CO14" s="100">
        <v>4395.5999999999995</v>
      </c>
      <c r="CP14" s="100">
        <v>9.9001709567116709</v>
      </c>
      <c r="CQ14" s="100">
        <v>4835.2434952579797</v>
      </c>
      <c r="CR14" s="100">
        <v>5.3995284330055917E-4</v>
      </c>
      <c r="CS14" s="100">
        <v>0.2637129686679931</v>
      </c>
      <c r="CT14" s="100">
        <v>7</v>
      </c>
      <c r="CU14" s="100">
        <v>3418.7999999999997</v>
      </c>
    </row>
    <row r="15" spans="1:99">
      <c r="C15" s="99" t="s">
        <v>181</v>
      </c>
      <c r="D15" s="100">
        <v>5.3744431373264403</v>
      </c>
      <c r="E15" s="100">
        <v>4101.7750024075385</v>
      </c>
      <c r="F15" s="100">
        <v>1.7422151533397534</v>
      </c>
      <c r="G15" s="100">
        <v>1329.6586050288997</v>
      </c>
      <c r="H15" s="100">
        <v>8.6683147582461437</v>
      </c>
      <c r="I15" s="100">
        <v>6615.6578234934559</v>
      </c>
      <c r="J15" s="100">
        <v>7</v>
      </c>
      <c r="K15" s="100">
        <v>5342.4</v>
      </c>
      <c r="L15" s="100">
        <v>3.0882764844635142</v>
      </c>
      <c r="M15" s="100">
        <v>2356.972612942554</v>
      </c>
      <c r="N15" s="100">
        <v>6</v>
      </c>
      <c r="O15" s="100">
        <v>4579.2</v>
      </c>
      <c r="P15" s="100">
        <v>6</v>
      </c>
      <c r="Q15" s="100">
        <v>4579.2</v>
      </c>
      <c r="R15" s="100">
        <v>4.8722249351931533</v>
      </c>
      <c r="S15" s="100">
        <v>3718.4820705394141</v>
      </c>
      <c r="T15" s="100">
        <v>3.9810447161506079E-4</v>
      </c>
      <c r="U15" s="100">
        <v>0.30383333273661439</v>
      </c>
      <c r="V15" s="100">
        <v>4.6440169128135578</v>
      </c>
      <c r="W15" s="100">
        <v>3544.3137078593068</v>
      </c>
      <c r="X15" s="100">
        <v>7</v>
      </c>
      <c r="Y15" s="100">
        <v>5342.4</v>
      </c>
      <c r="Z15" s="100">
        <v>6</v>
      </c>
      <c r="AA15" s="100">
        <v>4579.2</v>
      </c>
      <c r="AB15" s="100">
        <v>2.6526645062679952</v>
      </c>
      <c r="AC15" s="100">
        <v>2024.5135511837339</v>
      </c>
      <c r="AD15" s="100">
        <v>3.595318530216804</v>
      </c>
      <c r="AE15" s="100">
        <v>2743.9471022614648</v>
      </c>
      <c r="AF15" s="100">
        <v>2.4735664882385819</v>
      </c>
      <c r="AG15" s="100">
        <v>1887.8259438236855</v>
      </c>
      <c r="AH15" s="100">
        <v>6.8899840598357489</v>
      </c>
      <c r="AI15" s="100">
        <v>5258.4358344666434</v>
      </c>
      <c r="AJ15" s="100">
        <v>8</v>
      </c>
      <c r="AK15" s="100">
        <v>6105.5999999999995</v>
      </c>
      <c r="AL15" s="100">
        <v>0.66293828786908715</v>
      </c>
      <c r="AM15" s="100">
        <v>505.95450130168729</v>
      </c>
      <c r="AN15" s="100">
        <v>5</v>
      </c>
      <c r="AO15" s="100">
        <v>3815.9999999999995</v>
      </c>
      <c r="AP15" s="100">
        <v>9</v>
      </c>
      <c r="AQ15" s="100">
        <v>6868.7999999999993</v>
      </c>
      <c r="AR15" s="100">
        <v>8</v>
      </c>
      <c r="AS15" s="100">
        <v>6105.5999999999995</v>
      </c>
      <c r="AT15" s="100">
        <v>4.7000798235853463</v>
      </c>
      <c r="AU15" s="100">
        <v>3587.1009213603361</v>
      </c>
      <c r="AV15" s="100">
        <v>7.3654852847036212</v>
      </c>
      <c r="AW15" s="100">
        <v>5621.3383692858033</v>
      </c>
      <c r="AX15" s="100">
        <v>5.3446613377066603</v>
      </c>
      <c r="AY15" s="100">
        <v>4079.0455329377228</v>
      </c>
      <c r="AZ15" s="100">
        <v>4.7089845240869606</v>
      </c>
      <c r="BA15" s="100">
        <v>3593.8969887831681</v>
      </c>
      <c r="BB15" s="100">
        <v>6.3889750984484996E-4</v>
      </c>
      <c r="BC15" s="100">
        <v>0.48760657951358943</v>
      </c>
      <c r="BD15" s="100">
        <v>9.1958548326075906</v>
      </c>
      <c r="BE15" s="100">
        <v>7018.2764082461126</v>
      </c>
      <c r="BF15" s="100">
        <v>8.2583587626505501</v>
      </c>
      <c r="BG15" s="100">
        <v>6302.7794076548989</v>
      </c>
      <c r="BH15" s="100">
        <v>5.6659024733886072E-4</v>
      </c>
      <c r="BI15" s="100">
        <v>0.43242167676901844</v>
      </c>
      <c r="BJ15" s="100">
        <v>7.0199894131486298</v>
      </c>
      <c r="BK15" s="100">
        <v>5357.655920115034</v>
      </c>
      <c r="BL15" s="100">
        <v>1.531986486820498</v>
      </c>
      <c r="BM15" s="100">
        <v>1169.2120867414039</v>
      </c>
      <c r="BN15" s="100">
        <v>10.864544913772241</v>
      </c>
      <c r="BO15" s="100">
        <v>8291.8206781909739</v>
      </c>
      <c r="BP15" s="100">
        <v>6</v>
      </c>
      <c r="BQ15" s="100">
        <v>4579.2</v>
      </c>
      <c r="BR15" s="100">
        <v>4.21778940330237</v>
      </c>
      <c r="BS15" s="100">
        <v>3219.0168726003685</v>
      </c>
      <c r="BT15" s="100">
        <v>7.8744587640709867</v>
      </c>
      <c r="BU15" s="100">
        <v>6009.7869287389767</v>
      </c>
      <c r="BV15" s="100">
        <v>1.7886173849291851</v>
      </c>
      <c r="BW15" s="100">
        <v>1365.072788177954</v>
      </c>
      <c r="BX15" s="100">
        <v>9.7939129218530265</v>
      </c>
      <c r="BY15" s="100">
        <v>7474.7143419582289</v>
      </c>
      <c r="BZ15" s="100">
        <v>7.4979449552912172</v>
      </c>
      <c r="CA15" s="100">
        <v>5722.4315898782561</v>
      </c>
      <c r="CB15" s="100">
        <v>5</v>
      </c>
      <c r="CC15" s="100">
        <v>3815.9999999999995</v>
      </c>
      <c r="CD15" s="100">
        <v>5.6786299607896478</v>
      </c>
      <c r="CE15" s="100">
        <v>4333.9303860746586</v>
      </c>
      <c r="CF15" s="100">
        <v>6.139490502084043E-4</v>
      </c>
      <c r="CG15" s="100">
        <v>0.4685659151190541</v>
      </c>
      <c r="CH15" s="100">
        <v>7.5751743284439872</v>
      </c>
      <c r="CI15" s="100">
        <v>5781.3730474684507</v>
      </c>
      <c r="CJ15" s="100">
        <v>5.9314440075150987E-4</v>
      </c>
      <c r="CK15" s="100">
        <v>0.45268780665355229</v>
      </c>
      <c r="CL15" s="100">
        <v>6.0003034493325602</v>
      </c>
      <c r="CM15" s="100">
        <v>4579.4315925306091</v>
      </c>
      <c r="CN15" s="100">
        <v>9</v>
      </c>
      <c r="CO15" s="100">
        <v>6868.7999999999993</v>
      </c>
      <c r="CP15" s="100">
        <v>8.910153861040504</v>
      </c>
      <c r="CQ15" s="100">
        <v>6800.229426746112</v>
      </c>
      <c r="CR15" s="100">
        <v>4.101974895138503E-4</v>
      </c>
      <c r="CS15" s="100">
        <v>0.31306272399697055</v>
      </c>
      <c r="CT15" s="100">
        <v>7</v>
      </c>
      <c r="CU15" s="100">
        <v>5342.4</v>
      </c>
    </row>
    <row r="16" spans="1:99">
      <c r="C16" s="99" t="s">
        <v>182</v>
      </c>
      <c r="D16" s="100">
        <v>6.0635419222636635</v>
      </c>
      <c r="E16" s="100">
        <v>2066.4550871074566</v>
      </c>
      <c r="F16" s="100">
        <v>1.9811796361012077</v>
      </c>
      <c r="G16" s="100">
        <v>675.18601998329166</v>
      </c>
      <c r="H16" s="100">
        <v>8.8019777098953735</v>
      </c>
      <c r="I16" s="100">
        <v>2999.7140035323432</v>
      </c>
      <c r="J16" s="100">
        <v>8</v>
      </c>
      <c r="K16" s="100">
        <v>2726.4</v>
      </c>
      <c r="L16" s="100">
        <v>3.0882764844635142</v>
      </c>
      <c r="M16" s="100">
        <v>1052.4846259051658</v>
      </c>
      <c r="N16" s="100">
        <v>5</v>
      </c>
      <c r="O16" s="100">
        <v>1704</v>
      </c>
      <c r="P16" s="100">
        <v>7</v>
      </c>
      <c r="Q16" s="100">
        <v>2385.6</v>
      </c>
      <c r="R16" s="100">
        <v>4.8722249351931533</v>
      </c>
      <c r="S16" s="100">
        <v>1660.4542579138267</v>
      </c>
      <c r="T16" s="100">
        <v>3.9810447161506079E-4</v>
      </c>
      <c r="U16" s="100">
        <v>0.13567400392641271</v>
      </c>
      <c r="V16" s="100">
        <v>4.6325886187582386</v>
      </c>
      <c r="W16" s="100">
        <v>1578.7862012728078</v>
      </c>
      <c r="X16" s="100">
        <v>7</v>
      </c>
      <c r="Y16" s="100">
        <v>2385.6</v>
      </c>
      <c r="Z16" s="100">
        <v>7</v>
      </c>
      <c r="AA16" s="100">
        <v>2385.6</v>
      </c>
      <c r="AB16" s="100">
        <v>3.0316165785919944</v>
      </c>
      <c r="AC16" s="100">
        <v>1033.1749299841517</v>
      </c>
      <c r="AD16" s="100">
        <v>3.5772645912376024</v>
      </c>
      <c r="AE16" s="100">
        <v>1219.131772693775</v>
      </c>
      <c r="AF16" s="100">
        <v>2.463766726105642</v>
      </c>
      <c r="AG16" s="100">
        <v>839.65170025680277</v>
      </c>
      <c r="AH16" s="100">
        <v>6.762843479859213</v>
      </c>
      <c r="AI16" s="100">
        <v>2304.7770579360199</v>
      </c>
      <c r="AJ16" s="100">
        <v>8</v>
      </c>
      <c r="AK16" s="100">
        <v>2726.4</v>
      </c>
      <c r="AL16" s="100">
        <v>0.74580557385272306</v>
      </c>
      <c r="AM16" s="100">
        <v>254.17053956900801</v>
      </c>
      <c r="AN16" s="100">
        <v>6</v>
      </c>
      <c r="AO16" s="100">
        <v>2044.8000000000002</v>
      </c>
      <c r="AP16" s="100">
        <v>9</v>
      </c>
      <c r="AQ16" s="100">
        <v>3067.2000000000003</v>
      </c>
      <c r="AR16" s="100">
        <v>8</v>
      </c>
      <c r="AS16" s="100">
        <v>2726.4</v>
      </c>
      <c r="AT16" s="100">
        <v>4.7000798235853463</v>
      </c>
      <c r="AU16" s="100">
        <v>1601.787203877886</v>
      </c>
      <c r="AV16" s="100">
        <v>6.6289367562332595</v>
      </c>
      <c r="AW16" s="100">
        <v>2259.1416465242951</v>
      </c>
      <c r="AX16" s="100">
        <v>6.2354382273244369</v>
      </c>
      <c r="AY16" s="100">
        <v>2125.0373478721681</v>
      </c>
      <c r="AZ16" s="100">
        <v>3.9253909978826629</v>
      </c>
      <c r="BA16" s="100">
        <v>1337.7732520784116</v>
      </c>
      <c r="BB16" s="100">
        <v>7.8087473425481665E-4</v>
      </c>
      <c r="BC16" s="100">
        <v>0.26612210943404152</v>
      </c>
      <c r="BD16" s="100">
        <v>10.34533668668354</v>
      </c>
      <c r="BE16" s="100">
        <v>3525.6907428217505</v>
      </c>
      <c r="BF16" s="100">
        <v>9.1759541807228331</v>
      </c>
      <c r="BG16" s="100">
        <v>3127.1651847903418</v>
      </c>
      <c r="BH16" s="100">
        <v>5.6659024733886072E-4</v>
      </c>
      <c r="BI16" s="100">
        <v>0.19309395629308373</v>
      </c>
      <c r="BJ16" s="100">
        <v>7.0199894131486298</v>
      </c>
      <c r="BK16" s="100">
        <v>2392.4123920010529</v>
      </c>
      <c r="BL16" s="100">
        <v>1.7026150629156542</v>
      </c>
      <c r="BM16" s="100">
        <v>580.25121344165495</v>
      </c>
      <c r="BN16" s="100">
        <v>11.864544913772241</v>
      </c>
      <c r="BO16" s="100">
        <v>4043.4369066135796</v>
      </c>
      <c r="BP16" s="100">
        <v>6</v>
      </c>
      <c r="BQ16" s="100">
        <v>2044.8000000000002</v>
      </c>
      <c r="BR16" s="100">
        <v>3.6905657278895738</v>
      </c>
      <c r="BS16" s="100">
        <v>1257.7448000647669</v>
      </c>
      <c r="BT16" s="100">
        <v>6.4427389887853517</v>
      </c>
      <c r="BU16" s="100">
        <v>2195.6854473780481</v>
      </c>
      <c r="BV16" s="100">
        <v>2.0035725736831576</v>
      </c>
      <c r="BW16" s="100">
        <v>682.81753311122009</v>
      </c>
      <c r="BX16" s="100">
        <v>10.793912921853027</v>
      </c>
      <c r="BY16" s="100">
        <v>3678.5655237675114</v>
      </c>
      <c r="BZ16" s="100">
        <v>8.2477394508203385</v>
      </c>
      <c r="CA16" s="100">
        <v>2810.8296048395714</v>
      </c>
      <c r="CB16" s="100">
        <v>6</v>
      </c>
      <c r="CC16" s="100">
        <v>2044.8000000000002</v>
      </c>
      <c r="CD16" s="100">
        <v>5.6786299607896478</v>
      </c>
      <c r="CE16" s="100">
        <v>1935.277090637112</v>
      </c>
      <c r="CF16" s="100">
        <v>6.139490502084043E-4</v>
      </c>
      <c r="CG16" s="100">
        <v>0.20923383631102419</v>
      </c>
      <c r="CH16" s="100">
        <v>8.3967868267417956</v>
      </c>
      <c r="CI16" s="100">
        <v>2861.6249505536039</v>
      </c>
      <c r="CJ16" s="100">
        <v>5.9410285789562292E-4</v>
      </c>
      <c r="CK16" s="100">
        <v>0.2024702539708283</v>
      </c>
      <c r="CL16" s="100">
        <v>6.0002528744437997</v>
      </c>
      <c r="CM16" s="100">
        <v>2044.886179610447</v>
      </c>
      <c r="CN16" s="100">
        <v>10</v>
      </c>
      <c r="CO16" s="100">
        <v>3408</v>
      </c>
      <c r="CP16" s="100">
        <v>9.9001709567116709</v>
      </c>
      <c r="CQ16" s="100">
        <v>3373.9782620473375</v>
      </c>
      <c r="CR16" s="100">
        <v>4.6080373812057527E-4</v>
      </c>
      <c r="CS16" s="100">
        <v>0.15704191395149206</v>
      </c>
      <c r="CT16" s="100">
        <v>7</v>
      </c>
      <c r="CU16" s="100">
        <v>2385.6</v>
      </c>
    </row>
    <row r="17" spans="2:99">
      <c r="C17" s="99" t="s">
        <v>183</v>
      </c>
      <c r="D17" s="100">
        <v>6.0635419222636635</v>
      </c>
      <c r="E17" s="100">
        <v>2561.2401079641713</v>
      </c>
      <c r="F17" s="100">
        <v>1.9811796361012077</v>
      </c>
      <c r="G17" s="100">
        <v>836.85027828915008</v>
      </c>
      <c r="H17" s="100">
        <v>8.8019777098953735</v>
      </c>
      <c r="I17" s="100">
        <v>3717.9553846598055</v>
      </c>
      <c r="J17" s="100">
        <v>7</v>
      </c>
      <c r="K17" s="100">
        <v>2956.7999999999997</v>
      </c>
      <c r="L17" s="100">
        <v>3.0882764844635142</v>
      </c>
      <c r="M17" s="100">
        <v>1304.4879870373884</v>
      </c>
      <c r="N17" s="100">
        <v>6</v>
      </c>
      <c r="O17" s="100">
        <v>2534.3999999999996</v>
      </c>
      <c r="P17" s="100">
        <v>7</v>
      </c>
      <c r="Q17" s="100">
        <v>2956.7999999999997</v>
      </c>
      <c r="R17" s="100">
        <v>5.6842624243920126</v>
      </c>
      <c r="S17" s="100">
        <v>2401.0324480631862</v>
      </c>
      <c r="T17" s="100">
        <v>4.7344730093070743E-4</v>
      </c>
      <c r="U17" s="100">
        <v>0.1999841399131308</v>
      </c>
      <c r="V17" s="100">
        <v>4.5411622663156805</v>
      </c>
      <c r="W17" s="100">
        <v>1918.1869412917433</v>
      </c>
      <c r="X17" s="100">
        <v>7</v>
      </c>
      <c r="Y17" s="100">
        <v>2956.7999999999997</v>
      </c>
      <c r="Z17" s="100">
        <v>7</v>
      </c>
      <c r="AA17" s="100">
        <v>2956.7999999999997</v>
      </c>
      <c r="AB17" s="100">
        <v>3.0316165785919944</v>
      </c>
      <c r="AC17" s="100">
        <v>1280.5548427972583</v>
      </c>
      <c r="AD17" s="100">
        <v>3.099755536307891</v>
      </c>
      <c r="AE17" s="100">
        <v>1309.3367385364531</v>
      </c>
      <c r="AF17" s="100">
        <v>2.4735664882385819</v>
      </c>
      <c r="AG17" s="100">
        <v>1044.8344846319769</v>
      </c>
      <c r="AH17" s="100">
        <v>6.762843479859213</v>
      </c>
      <c r="AI17" s="100">
        <v>2856.6250858925314</v>
      </c>
      <c r="AJ17" s="100">
        <v>7</v>
      </c>
      <c r="AK17" s="100">
        <v>2956.7999999999997</v>
      </c>
      <c r="AL17" s="100">
        <v>0.66293828786908715</v>
      </c>
      <c r="AM17" s="100">
        <v>280.02513279590238</v>
      </c>
      <c r="AN17" s="100">
        <v>7</v>
      </c>
      <c r="AO17" s="100">
        <v>2956.7999999999997</v>
      </c>
      <c r="AP17" s="100">
        <v>9</v>
      </c>
      <c r="AQ17" s="100">
        <v>3801.6</v>
      </c>
      <c r="AR17" s="100">
        <v>9</v>
      </c>
      <c r="AS17" s="100">
        <v>3801.6</v>
      </c>
      <c r="AT17" s="100">
        <v>5.640095788302415</v>
      </c>
      <c r="AU17" s="100">
        <v>2382.37646097894</v>
      </c>
      <c r="AV17" s="100">
        <v>6.6289367562332595</v>
      </c>
      <c r="AW17" s="100">
        <v>2800.0628858329287</v>
      </c>
      <c r="AX17" s="100">
        <v>5.3446613377066603</v>
      </c>
      <c r="AY17" s="100">
        <v>2257.5849490472933</v>
      </c>
      <c r="AZ17" s="100">
        <v>3.9253909978826629</v>
      </c>
      <c r="BA17" s="100">
        <v>1658.0851575056367</v>
      </c>
      <c r="BB17" s="100">
        <v>6.3889750984484996E-4</v>
      </c>
      <c r="BC17" s="100">
        <v>0.26987030815846463</v>
      </c>
      <c r="BD17" s="100">
        <v>9.1958548326075906</v>
      </c>
      <c r="BE17" s="100">
        <v>3884.3290812934461</v>
      </c>
      <c r="BF17" s="100">
        <v>7.3407633445782672</v>
      </c>
      <c r="BG17" s="100">
        <v>3100.7384367498598</v>
      </c>
      <c r="BH17" s="100">
        <v>6.4828935946184703E-4</v>
      </c>
      <c r="BI17" s="100">
        <v>0.27383742543668416</v>
      </c>
      <c r="BJ17" s="100">
        <v>7.0199894131486298</v>
      </c>
      <c r="BK17" s="100">
        <v>2965.243528113981</v>
      </c>
      <c r="BL17" s="100">
        <v>1.531986486820498</v>
      </c>
      <c r="BM17" s="100">
        <v>647.11109203297826</v>
      </c>
      <c r="BN17" s="100">
        <v>11.864544913772241</v>
      </c>
      <c r="BO17" s="100">
        <v>5011.5837715773941</v>
      </c>
      <c r="BP17" s="100">
        <v>6</v>
      </c>
      <c r="BQ17" s="100">
        <v>2534.3999999999996</v>
      </c>
      <c r="BR17" s="100">
        <v>4.21778940330237</v>
      </c>
      <c r="BS17" s="100">
        <v>1781.594243954921</v>
      </c>
      <c r="BT17" s="100">
        <v>6.4427389887853517</v>
      </c>
      <c r="BU17" s="100">
        <v>2721.4129488629324</v>
      </c>
      <c r="BV17" s="100">
        <v>1.7886173849291851</v>
      </c>
      <c r="BW17" s="100">
        <v>755.51198339408779</v>
      </c>
      <c r="BX17" s="100">
        <v>10.926231742161864</v>
      </c>
      <c r="BY17" s="100">
        <v>4615.2402878891708</v>
      </c>
      <c r="BZ17" s="100">
        <v>7.4979449552912172</v>
      </c>
      <c r="CA17" s="100">
        <v>3167.1319491150098</v>
      </c>
      <c r="CB17" s="100">
        <v>6</v>
      </c>
      <c r="CC17" s="100">
        <v>2534.3999999999996</v>
      </c>
      <c r="CD17" s="100">
        <v>5.6786299607896478</v>
      </c>
      <c r="CE17" s="100">
        <v>2398.6532954375471</v>
      </c>
      <c r="CF17" s="100">
        <v>5.4573248907413714E-4</v>
      </c>
      <c r="CG17" s="100">
        <v>0.23051740338491553</v>
      </c>
      <c r="CH17" s="100">
        <v>8.5220711194994845</v>
      </c>
      <c r="CI17" s="100">
        <v>3599.7228408765823</v>
      </c>
      <c r="CJ17" s="100">
        <v>6.5798438178599639E-4</v>
      </c>
      <c r="CK17" s="100">
        <v>0.27793260286640487</v>
      </c>
      <c r="CL17" s="100">
        <v>6.0003034493325602</v>
      </c>
      <c r="CM17" s="100">
        <v>2534.5281769980734</v>
      </c>
      <c r="CN17" s="100">
        <v>11</v>
      </c>
      <c r="CO17" s="100">
        <v>4646.3999999999996</v>
      </c>
      <c r="CP17" s="100">
        <v>9.9001709567116709</v>
      </c>
      <c r="CQ17" s="100">
        <v>4181.8322121150095</v>
      </c>
      <c r="CR17" s="100">
        <v>4.7412373785476282E-4</v>
      </c>
      <c r="CS17" s="100">
        <v>0.20026986686985179</v>
      </c>
      <c r="CT17" s="100">
        <v>7</v>
      </c>
      <c r="CU17" s="100">
        <v>2956.7999999999997</v>
      </c>
    </row>
    <row r="18" spans="2:99">
      <c r="C18" s="99" t="s">
        <v>184</v>
      </c>
      <c r="D18" s="100">
        <v>5.9533915937104904</v>
      </c>
      <c r="E18" s="100">
        <v>3886.3740323742077</v>
      </c>
      <c r="F18" s="100">
        <v>1.7422151533397534</v>
      </c>
      <c r="G18" s="100">
        <v>1137.3180521001909</v>
      </c>
      <c r="H18" s="100">
        <v>8.6683147582461437</v>
      </c>
      <c r="I18" s="100">
        <v>5658.6758741830827</v>
      </c>
      <c r="J18" s="100">
        <v>7</v>
      </c>
      <c r="K18" s="100">
        <v>4569.5999999999995</v>
      </c>
      <c r="L18" s="100">
        <v>2.4706211875708113</v>
      </c>
      <c r="M18" s="100">
        <v>1612.8215112462256</v>
      </c>
      <c r="N18" s="100">
        <v>5</v>
      </c>
      <c r="O18" s="100">
        <v>3264</v>
      </c>
      <c r="P18" s="100">
        <v>7</v>
      </c>
      <c r="Q18" s="100">
        <v>4569.5999999999995</v>
      </c>
      <c r="R18" s="100">
        <v>4.8722249351931533</v>
      </c>
      <c r="S18" s="100">
        <v>3180.5884376940903</v>
      </c>
      <c r="T18" s="100">
        <v>4.7701235510351204E-4</v>
      </c>
      <c r="U18" s="100">
        <v>0.31139366541157265</v>
      </c>
      <c r="V18" s="100">
        <v>4.6325886187582386</v>
      </c>
      <c r="W18" s="100">
        <v>3024.1538503253778</v>
      </c>
      <c r="X18" s="100">
        <v>7</v>
      </c>
      <c r="Y18" s="100">
        <v>4569.5999999999995</v>
      </c>
      <c r="Z18" s="100">
        <v>6</v>
      </c>
      <c r="AA18" s="100">
        <v>3916.7999999999997</v>
      </c>
      <c r="AB18" s="100">
        <v>3.0316165785919944</v>
      </c>
      <c r="AC18" s="100">
        <v>1979.0393025048538</v>
      </c>
      <c r="AD18" s="100">
        <v>3.595318530216804</v>
      </c>
      <c r="AE18" s="100">
        <v>2347.0239365255297</v>
      </c>
      <c r="AF18" s="100">
        <v>2.2369895777609581</v>
      </c>
      <c r="AG18" s="100">
        <v>1460.3067963623532</v>
      </c>
      <c r="AH18" s="100">
        <v>5.762843479859213</v>
      </c>
      <c r="AI18" s="100">
        <v>3761.984223652094</v>
      </c>
      <c r="AJ18" s="100">
        <v>8</v>
      </c>
      <c r="AK18" s="100">
        <v>5222.3999999999996</v>
      </c>
      <c r="AL18" s="100">
        <v>0.66293828786908715</v>
      </c>
      <c r="AM18" s="100">
        <v>432.76611432094006</v>
      </c>
      <c r="AN18" s="100">
        <v>6</v>
      </c>
      <c r="AO18" s="100">
        <v>3916.7999999999997</v>
      </c>
      <c r="AP18" s="100">
        <v>8</v>
      </c>
      <c r="AQ18" s="100">
        <v>5222.3999999999996</v>
      </c>
      <c r="AR18" s="100">
        <v>8</v>
      </c>
      <c r="AS18" s="100">
        <v>5222.3999999999996</v>
      </c>
      <c r="AT18" s="100">
        <v>4.7000798235853463</v>
      </c>
      <c r="AU18" s="100">
        <v>3068.2121088365138</v>
      </c>
      <c r="AV18" s="100">
        <v>6.6289367562332595</v>
      </c>
      <c r="AW18" s="100">
        <v>4327.3699144690718</v>
      </c>
      <c r="AX18" s="100">
        <v>5.3446613377066603</v>
      </c>
      <c r="AY18" s="100">
        <v>3488.9949212549077</v>
      </c>
      <c r="AZ18" s="100">
        <v>4.7089845240869606</v>
      </c>
      <c r="BA18" s="100">
        <v>3074.0250973239677</v>
      </c>
      <c r="BB18" s="100">
        <v>7.0988612204983341E-4</v>
      </c>
      <c r="BC18" s="100">
        <v>0.46341366047413124</v>
      </c>
      <c r="BD18" s="100">
        <v>9.1958548326075906</v>
      </c>
      <c r="BE18" s="100">
        <v>6003.0540347262349</v>
      </c>
      <c r="BF18" s="100">
        <v>8.2583587626505501</v>
      </c>
      <c r="BG18" s="100">
        <v>5391.0566002582791</v>
      </c>
      <c r="BH18" s="100">
        <v>5.8533488753530693E-4</v>
      </c>
      <c r="BI18" s="100">
        <v>0.38210661458304834</v>
      </c>
      <c r="BJ18" s="100">
        <v>8.0199894131486307</v>
      </c>
      <c r="BK18" s="100">
        <v>5235.4490889034259</v>
      </c>
      <c r="BL18" s="100">
        <v>1.7026150629156542</v>
      </c>
      <c r="BM18" s="100">
        <v>1111.4671130713391</v>
      </c>
      <c r="BN18" s="100">
        <v>11.988051330025417</v>
      </c>
      <c r="BO18" s="100">
        <v>7825.7999082405922</v>
      </c>
      <c r="BP18" s="100">
        <v>6</v>
      </c>
      <c r="BQ18" s="100">
        <v>3916.7999999999997</v>
      </c>
      <c r="BR18" s="100">
        <v>3.6905657278895738</v>
      </c>
      <c r="BS18" s="100">
        <v>2409.2013071663137</v>
      </c>
      <c r="BT18" s="100">
        <v>7.1585988764281687</v>
      </c>
      <c r="BU18" s="100">
        <v>4673.1333465323078</v>
      </c>
      <c r="BV18" s="100">
        <v>2.0134262700970726</v>
      </c>
      <c r="BW18" s="100">
        <v>1314.364669119369</v>
      </c>
      <c r="BX18" s="100">
        <v>10.793912921853027</v>
      </c>
      <c r="BY18" s="100">
        <v>7046.2663553856555</v>
      </c>
      <c r="BZ18" s="100">
        <v>7.4979449552912172</v>
      </c>
      <c r="CA18" s="100">
        <v>4894.6584668141059</v>
      </c>
      <c r="CB18" s="100">
        <v>6</v>
      </c>
      <c r="CC18" s="100">
        <v>3916.7999999999997</v>
      </c>
      <c r="CD18" s="100">
        <v>5.6786299607896478</v>
      </c>
      <c r="CE18" s="100">
        <v>3707.0096384034819</v>
      </c>
      <c r="CF18" s="100">
        <v>5.4573248907413714E-4</v>
      </c>
      <c r="CG18" s="100">
        <v>0.3562541688675967</v>
      </c>
      <c r="CH18" s="100">
        <v>6.878846122903866</v>
      </c>
      <c r="CI18" s="100">
        <v>4490.5107490316432</v>
      </c>
      <c r="CJ18" s="100">
        <v>6.5894283893010944E-4</v>
      </c>
      <c r="CK18" s="100">
        <v>0.4301578852535754</v>
      </c>
      <c r="CL18" s="100">
        <v>6.0002528744437997</v>
      </c>
      <c r="CM18" s="100">
        <v>3916.9650764369121</v>
      </c>
      <c r="CN18" s="100">
        <v>9</v>
      </c>
      <c r="CO18" s="100">
        <v>5875.2</v>
      </c>
      <c r="CP18" s="100">
        <v>8.910153861040504</v>
      </c>
      <c r="CQ18" s="100">
        <v>5816.5484404872404</v>
      </c>
      <c r="CR18" s="100">
        <v>4.7602659495964676E-4</v>
      </c>
      <c r="CS18" s="100">
        <v>0.31075016118965737</v>
      </c>
      <c r="CT18" s="100">
        <v>6</v>
      </c>
      <c r="CU18" s="100">
        <v>3916.7999999999997</v>
      </c>
    </row>
    <row r="19" spans="2:99">
      <c r="C19" s="99" t="s">
        <v>185</v>
      </c>
      <c r="D19" s="100">
        <v>5.3744431373264403</v>
      </c>
      <c r="E19" s="100">
        <v>1773.5662353177254</v>
      </c>
      <c r="F19" s="100">
        <v>1.9811796361012077</v>
      </c>
      <c r="G19" s="100">
        <v>653.78927991339856</v>
      </c>
      <c r="H19" s="100">
        <v>7.6683147582461437</v>
      </c>
      <c r="I19" s="100">
        <v>2530.5438702212273</v>
      </c>
      <c r="J19" s="100">
        <v>8</v>
      </c>
      <c r="K19" s="100">
        <v>2640</v>
      </c>
      <c r="L19" s="100">
        <v>3.0882764844635142</v>
      </c>
      <c r="M19" s="100">
        <v>1019.1312398729597</v>
      </c>
      <c r="N19" s="100">
        <v>5</v>
      </c>
      <c r="O19" s="100">
        <v>1650</v>
      </c>
      <c r="P19" s="100">
        <v>6</v>
      </c>
      <c r="Q19" s="100">
        <v>1980</v>
      </c>
      <c r="R19" s="100">
        <v>4.8722249351931533</v>
      </c>
      <c r="S19" s="100">
        <v>1607.8342286137406</v>
      </c>
      <c r="T19" s="100">
        <v>4.7701235510351204E-4</v>
      </c>
      <c r="U19" s="100">
        <v>0.15741407718415898</v>
      </c>
      <c r="V19" s="100">
        <v>4.5411622663156805</v>
      </c>
      <c r="W19" s="100">
        <v>1498.5835478841745</v>
      </c>
      <c r="X19" s="100">
        <v>7</v>
      </c>
      <c r="Y19" s="100">
        <v>2310</v>
      </c>
      <c r="Z19" s="100">
        <v>7</v>
      </c>
      <c r="AA19" s="100">
        <v>2310</v>
      </c>
      <c r="AB19" s="100">
        <v>2.6526645062679952</v>
      </c>
      <c r="AC19" s="100">
        <v>875.37928706843843</v>
      </c>
      <c r="AD19" s="100">
        <v>3.595318530216804</v>
      </c>
      <c r="AE19" s="100">
        <v>1186.4551149715453</v>
      </c>
      <c r="AF19" s="100">
        <v>2.4735664882385819</v>
      </c>
      <c r="AG19" s="100">
        <v>816.276941118732</v>
      </c>
      <c r="AH19" s="100">
        <v>6.762843479859213</v>
      </c>
      <c r="AI19" s="100">
        <v>2231.7383483535405</v>
      </c>
      <c r="AJ19" s="100">
        <v>9</v>
      </c>
      <c r="AK19" s="100">
        <v>2970</v>
      </c>
      <c r="AL19" s="100">
        <v>0.74580557385272306</v>
      </c>
      <c r="AM19" s="100">
        <v>246.11583937139861</v>
      </c>
      <c r="AN19" s="100">
        <v>7</v>
      </c>
      <c r="AO19" s="100">
        <v>2310</v>
      </c>
      <c r="AP19" s="100">
        <v>8</v>
      </c>
      <c r="AQ19" s="100">
        <v>2640</v>
      </c>
      <c r="AR19" s="100">
        <v>9</v>
      </c>
      <c r="AS19" s="100">
        <v>2970</v>
      </c>
      <c r="AT19" s="100">
        <v>5.640095788302415</v>
      </c>
      <c r="AU19" s="100">
        <v>1861.2316101397969</v>
      </c>
      <c r="AV19" s="100">
        <v>8.1020338131739837</v>
      </c>
      <c r="AW19" s="100">
        <v>2673.6711583474148</v>
      </c>
      <c r="AX19" s="100">
        <v>6.2354382273244369</v>
      </c>
      <c r="AY19" s="100">
        <v>2057.6946150170643</v>
      </c>
      <c r="AZ19" s="100">
        <v>4.7089845240869606</v>
      </c>
      <c r="BA19" s="100">
        <v>1553.9648929486971</v>
      </c>
      <c r="BB19" s="100">
        <v>7.0988612204983341E-4</v>
      </c>
      <c r="BC19" s="100">
        <v>0.23426242027644503</v>
      </c>
      <c r="BD19" s="100">
        <v>9.3453366866835399</v>
      </c>
      <c r="BE19" s="100">
        <v>3083.9611066055681</v>
      </c>
      <c r="BF19" s="100">
        <v>7.3407633445782672</v>
      </c>
      <c r="BG19" s="100">
        <v>2422.451903710828</v>
      </c>
      <c r="BH19" s="100">
        <v>5.8533488753530693E-4</v>
      </c>
      <c r="BI19" s="100">
        <v>0.19316051288665129</v>
      </c>
      <c r="BJ19" s="100">
        <v>7.0199894131486298</v>
      </c>
      <c r="BK19" s="100">
        <v>2316.5965063390477</v>
      </c>
      <c r="BL19" s="100">
        <v>1.5356571848564042</v>
      </c>
      <c r="BM19" s="100">
        <v>506.76687100261341</v>
      </c>
      <c r="BN19" s="100">
        <v>10.988051330025417</v>
      </c>
      <c r="BO19" s="100">
        <v>3626.0569389083876</v>
      </c>
      <c r="BP19" s="100">
        <v>6</v>
      </c>
      <c r="BQ19" s="100">
        <v>1980</v>
      </c>
      <c r="BR19" s="100">
        <v>4.21778940330237</v>
      </c>
      <c r="BS19" s="100">
        <v>1391.870503089782</v>
      </c>
      <c r="BT19" s="100">
        <v>7.8744587640709867</v>
      </c>
      <c r="BU19" s="100">
        <v>2598.5713921434258</v>
      </c>
      <c r="BV19" s="100">
        <v>2.0035725736831576</v>
      </c>
      <c r="BW19" s="100">
        <v>661.17894931544197</v>
      </c>
      <c r="BX19" s="100">
        <v>10.793912921853027</v>
      </c>
      <c r="BY19" s="100">
        <v>3561.9912642114987</v>
      </c>
      <c r="BZ19" s="100">
        <v>8.2477394508203385</v>
      </c>
      <c r="CA19" s="100">
        <v>2721.7540187707118</v>
      </c>
      <c r="CB19" s="100">
        <v>6</v>
      </c>
      <c r="CC19" s="100">
        <v>1980</v>
      </c>
      <c r="CD19" s="100">
        <v>6.6250682875879221</v>
      </c>
      <c r="CE19" s="100">
        <v>2186.2725349040143</v>
      </c>
      <c r="CF19" s="100">
        <v>5.4573248907413714E-4</v>
      </c>
      <c r="CG19" s="100">
        <v>0.18009172139446525</v>
      </c>
      <c r="CH19" s="100">
        <v>7.5751743284439872</v>
      </c>
      <c r="CI19" s="100">
        <v>2499.807528386516</v>
      </c>
      <c r="CJ19" s="100">
        <v>5.9410285789562292E-4</v>
      </c>
      <c r="CK19" s="100">
        <v>0.19605394310555557</v>
      </c>
      <c r="CL19" s="100">
        <v>6.0003034493325602</v>
      </c>
      <c r="CM19" s="100">
        <v>1980.1001382797449</v>
      </c>
      <c r="CN19" s="100">
        <v>10</v>
      </c>
      <c r="CO19" s="100">
        <v>3300</v>
      </c>
      <c r="CP19" s="100">
        <v>8.910153861040504</v>
      </c>
      <c r="CQ19" s="100">
        <v>2940.3507741433664</v>
      </c>
      <c r="CR19" s="100">
        <v>4.7412373785476282E-4</v>
      </c>
      <c r="CS19" s="100">
        <v>0.15646083349207174</v>
      </c>
      <c r="CT19" s="100">
        <v>7</v>
      </c>
      <c r="CU19" s="100">
        <v>2310</v>
      </c>
    </row>
    <row r="20" spans="2:99">
      <c r="B20" s="99" t="s">
        <v>127</v>
      </c>
      <c r="C20" s="99" t="s">
        <v>186</v>
      </c>
      <c r="D20" s="100">
        <v>8.3511389341816855</v>
      </c>
      <c r="E20" s="100">
        <v>2395.1066463233074</v>
      </c>
      <c r="F20" s="100">
        <v>1.8712193050718182</v>
      </c>
      <c r="G20" s="100">
        <v>536.6656966945975</v>
      </c>
      <c r="H20" s="100">
        <v>11.336629516492287</v>
      </c>
      <c r="I20" s="100">
        <v>3251.345345329988</v>
      </c>
      <c r="J20" s="100">
        <v>7</v>
      </c>
      <c r="K20" s="100">
        <v>2007.6000000000001</v>
      </c>
      <c r="L20" s="100">
        <v>4.3235870782489201</v>
      </c>
      <c r="M20" s="100">
        <v>1240.0047740417904</v>
      </c>
      <c r="N20" s="100">
        <v>10</v>
      </c>
      <c r="O20" s="100">
        <v>2868</v>
      </c>
      <c r="P20" s="100">
        <v>7</v>
      </c>
      <c r="Q20" s="100">
        <v>2007.6000000000001</v>
      </c>
      <c r="R20" s="100">
        <v>7.3083374027897303</v>
      </c>
      <c r="S20" s="100">
        <v>2096.0311671200948</v>
      </c>
      <c r="T20" s="100">
        <v>6.4908833877163317E-4</v>
      </c>
      <c r="U20" s="100">
        <v>0.18615853555970441</v>
      </c>
      <c r="V20" s="100">
        <v>7.2658596261050894</v>
      </c>
      <c r="W20" s="100">
        <v>2083.8485407669395</v>
      </c>
      <c r="X20" s="100">
        <v>9</v>
      </c>
      <c r="Y20" s="100">
        <v>2581.2000000000003</v>
      </c>
      <c r="Z20" s="100">
        <v>11</v>
      </c>
      <c r="AA20" s="100">
        <v>3154.8</v>
      </c>
      <c r="AB20" s="100">
        <v>2.6526645062679952</v>
      </c>
      <c r="AC20" s="100">
        <v>760.78418039766109</v>
      </c>
      <c r="AD20" s="100">
        <v>5.208385084797956</v>
      </c>
      <c r="AE20" s="100">
        <v>1493.764842320054</v>
      </c>
      <c r="AF20" s="100">
        <v>1.7736355189386499</v>
      </c>
      <c r="AG20" s="100">
        <v>508.6786668316048</v>
      </c>
      <c r="AH20" s="100">
        <v>8.7799681196714978</v>
      </c>
      <c r="AI20" s="100">
        <v>2518.0948567217856</v>
      </c>
      <c r="AJ20" s="100">
        <v>9</v>
      </c>
      <c r="AK20" s="100">
        <v>2581.2000000000003</v>
      </c>
      <c r="AL20" s="100">
        <v>0.49720371590181534</v>
      </c>
      <c r="AM20" s="100">
        <v>142.59802572064063</v>
      </c>
      <c r="AN20" s="100">
        <v>8</v>
      </c>
      <c r="AO20" s="100">
        <v>2294.4</v>
      </c>
      <c r="AP20" s="100">
        <v>7</v>
      </c>
      <c r="AQ20" s="100">
        <v>2007.6000000000001</v>
      </c>
      <c r="AR20" s="100">
        <v>8</v>
      </c>
      <c r="AS20" s="100">
        <v>2294.4</v>
      </c>
      <c r="AT20" s="100">
        <v>5.640095788302415</v>
      </c>
      <c r="AU20" s="100">
        <v>1617.5794720851327</v>
      </c>
      <c r="AV20" s="100">
        <v>4.4192911708221727</v>
      </c>
      <c r="AW20" s="100">
        <v>1267.4527077917992</v>
      </c>
      <c r="AX20" s="100">
        <v>5.3446613377066603</v>
      </c>
      <c r="AY20" s="100">
        <v>1532.8488716542702</v>
      </c>
      <c r="AZ20" s="100">
        <v>6.2687482096343787</v>
      </c>
      <c r="BA20" s="100">
        <v>1797.87698652314</v>
      </c>
      <c r="BB20" s="100">
        <v>4.9692028543488339E-4</v>
      </c>
      <c r="BC20" s="100">
        <v>0.14251673786272456</v>
      </c>
      <c r="BD20" s="100">
        <v>9.1958548326075906</v>
      </c>
      <c r="BE20" s="100">
        <v>2637.3711659918572</v>
      </c>
      <c r="BF20" s="100">
        <v>8.2583587626505501</v>
      </c>
      <c r="BG20" s="100">
        <v>2368.4972931281777</v>
      </c>
      <c r="BH20" s="100">
        <v>6.6495126185868816E-4</v>
      </c>
      <c r="BI20" s="100">
        <v>0.19070802190107178</v>
      </c>
      <c r="BJ20" s="100">
        <v>10.784981473010102</v>
      </c>
      <c r="BK20" s="100">
        <v>3093.1326864592975</v>
      </c>
      <c r="BL20" s="100">
        <v>1.1687051464147495</v>
      </c>
      <c r="BM20" s="100">
        <v>335.18463599175016</v>
      </c>
      <c r="BN20" s="100">
        <v>9.3585705787849491</v>
      </c>
      <c r="BO20" s="100">
        <v>2684.0380419955236</v>
      </c>
      <c r="BP20" s="100">
        <v>10</v>
      </c>
      <c r="BQ20" s="100">
        <v>2868</v>
      </c>
      <c r="BR20" s="100">
        <v>5.2722367541279622</v>
      </c>
      <c r="BS20" s="100">
        <v>1512.0775010838997</v>
      </c>
      <c r="BT20" s="100">
        <v>4.2951593258569014</v>
      </c>
      <c r="BU20" s="100">
        <v>1231.8516946557593</v>
      </c>
      <c r="BV20" s="100">
        <v>2.1119632342362258</v>
      </c>
      <c r="BW20" s="100">
        <v>605.71105557894953</v>
      </c>
      <c r="BX20" s="100">
        <v>13.587825843706053</v>
      </c>
      <c r="BY20" s="100">
        <v>3896.9884519748962</v>
      </c>
      <c r="BZ20" s="100">
        <v>5.2485614687038522</v>
      </c>
      <c r="CA20" s="100">
        <v>1505.2874292242648</v>
      </c>
      <c r="CB20" s="100">
        <v>10</v>
      </c>
      <c r="CC20" s="100">
        <v>2868</v>
      </c>
      <c r="CD20" s="100">
        <v>10.410821594781021</v>
      </c>
      <c r="CE20" s="100">
        <v>2985.8236333831969</v>
      </c>
      <c r="CF20" s="100">
        <v>6.8216561134267146E-4</v>
      </c>
      <c r="CG20" s="100">
        <v>0.19564509733307819</v>
      </c>
      <c r="CH20" s="100">
        <v>11.738614370939048</v>
      </c>
      <c r="CI20" s="100">
        <v>3366.6346015853192</v>
      </c>
      <c r="CJ20" s="100">
        <v>4.0629211480095454E-4</v>
      </c>
      <c r="CK20" s="100">
        <v>0.11652457852491377</v>
      </c>
      <c r="CL20" s="100">
        <v>7.0006068986651204</v>
      </c>
      <c r="CM20" s="100">
        <v>2007.7740585371566</v>
      </c>
      <c r="CN20" s="100">
        <v>7</v>
      </c>
      <c r="CO20" s="100">
        <v>2007.6000000000001</v>
      </c>
      <c r="CP20" s="100">
        <v>10.89018805238284</v>
      </c>
      <c r="CQ20" s="100">
        <v>3123.3059334233985</v>
      </c>
      <c r="CR20" s="100">
        <v>5.2663284356637167E-4</v>
      </c>
      <c r="CS20" s="100">
        <v>0.15103829953483541</v>
      </c>
      <c r="CT20" s="100">
        <v>12</v>
      </c>
      <c r="CU20" s="100">
        <v>3441.6000000000004</v>
      </c>
    </row>
    <row r="21" spans="2:99">
      <c r="C21" s="99" t="s">
        <v>187</v>
      </c>
      <c r="D21" s="100">
        <v>8.4612892627348586</v>
      </c>
      <c r="E21" s="100">
        <v>527.98444999465517</v>
      </c>
      <c r="F21" s="100">
        <v>1.8910660976459821</v>
      </c>
      <c r="G21" s="100">
        <v>118.00252449310928</v>
      </c>
      <c r="H21" s="100">
        <v>11.336629516492287</v>
      </c>
      <c r="I21" s="100">
        <v>707.40568182911875</v>
      </c>
      <c r="J21" s="100">
        <v>6</v>
      </c>
      <c r="K21" s="100">
        <v>374.4</v>
      </c>
      <c r="L21" s="100">
        <v>4.3235870782489201</v>
      </c>
      <c r="M21" s="100">
        <v>269.7918336827326</v>
      </c>
      <c r="N21" s="100">
        <v>10</v>
      </c>
      <c r="O21" s="100">
        <v>624</v>
      </c>
      <c r="P21" s="100">
        <v>8</v>
      </c>
      <c r="Q21" s="100">
        <v>499.2</v>
      </c>
      <c r="R21" s="100">
        <v>7.3083374027897303</v>
      </c>
      <c r="S21" s="100">
        <v>456.04025393407915</v>
      </c>
      <c r="T21" s="100">
        <v>6.4908833877163317E-4</v>
      </c>
      <c r="U21" s="100">
        <v>4.050311233934991E-2</v>
      </c>
      <c r="V21" s="100">
        <v>6.3576271728419531</v>
      </c>
      <c r="W21" s="100">
        <v>396.71593558533789</v>
      </c>
      <c r="X21" s="100">
        <v>10</v>
      </c>
      <c r="Y21" s="100">
        <v>624</v>
      </c>
      <c r="Z21" s="100">
        <v>10</v>
      </c>
      <c r="AA21" s="100">
        <v>624</v>
      </c>
      <c r="AB21" s="100">
        <v>2.6526645062679952</v>
      </c>
      <c r="AC21" s="100">
        <v>165.52626519112289</v>
      </c>
      <c r="AD21" s="100">
        <v>5.208385084797956</v>
      </c>
      <c r="AE21" s="100">
        <v>325.00322929139247</v>
      </c>
      <c r="AF21" s="100">
        <v>1.7638357568057097</v>
      </c>
      <c r="AG21" s="100">
        <v>110.06335122467628</v>
      </c>
      <c r="AH21" s="100">
        <v>10.034249279624568</v>
      </c>
      <c r="AI21" s="100">
        <v>626.13715504857305</v>
      </c>
      <c r="AJ21" s="100">
        <v>11</v>
      </c>
      <c r="AK21" s="100">
        <v>686.4</v>
      </c>
      <c r="AL21" s="100">
        <v>0.49720371590181534</v>
      </c>
      <c r="AM21" s="100">
        <v>31.025511872273277</v>
      </c>
      <c r="AN21" s="100">
        <v>8</v>
      </c>
      <c r="AO21" s="100">
        <v>499.2</v>
      </c>
      <c r="AP21" s="100">
        <v>6</v>
      </c>
      <c r="AQ21" s="100">
        <v>374.4</v>
      </c>
      <c r="AR21" s="100">
        <v>8</v>
      </c>
      <c r="AS21" s="100">
        <v>499.2</v>
      </c>
      <c r="AT21" s="100">
        <v>6.5801117530194846</v>
      </c>
      <c r="AU21" s="100">
        <v>410.59897338841586</v>
      </c>
      <c r="AV21" s="100">
        <v>5.1558396992925353</v>
      </c>
      <c r="AW21" s="100">
        <v>321.72439723585421</v>
      </c>
      <c r="AX21" s="100">
        <v>5.3446613377066603</v>
      </c>
      <c r="AY21" s="100">
        <v>333.50686747289558</v>
      </c>
      <c r="AZ21" s="100">
        <v>5.4851546834300811</v>
      </c>
      <c r="BA21" s="100">
        <v>342.27365224603705</v>
      </c>
      <c r="BB21" s="100">
        <v>4.9692028543488339E-4</v>
      </c>
      <c r="BC21" s="100">
        <v>3.1007825811136723E-2</v>
      </c>
      <c r="BD21" s="100">
        <v>9.3453366866835399</v>
      </c>
      <c r="BE21" s="100">
        <v>583.14900924905282</v>
      </c>
      <c r="BF21" s="100">
        <v>8.2583587626505501</v>
      </c>
      <c r="BG21" s="100">
        <v>515.32158678939436</v>
      </c>
      <c r="BH21" s="100">
        <v>7.9086020571176826E-4</v>
      </c>
      <c r="BI21" s="100">
        <v>4.9349676836414336E-2</v>
      </c>
      <c r="BJ21" s="100">
        <v>12.912480149653682</v>
      </c>
      <c r="BK21" s="100">
        <v>805.73876133838974</v>
      </c>
      <c r="BL21" s="100">
        <v>1.1687051464147495</v>
      </c>
      <c r="BM21" s="100">
        <v>72.927201136280374</v>
      </c>
      <c r="BN21" s="100">
        <v>10.605583411291303</v>
      </c>
      <c r="BO21" s="100">
        <v>661.78840486457727</v>
      </c>
      <c r="BP21" s="100">
        <v>11</v>
      </c>
      <c r="BQ21" s="100">
        <v>686.4</v>
      </c>
      <c r="BR21" s="100">
        <v>6.3266841049535554</v>
      </c>
      <c r="BS21" s="100">
        <v>394.78508814910185</v>
      </c>
      <c r="BT21" s="100">
        <v>5.0110192134997176</v>
      </c>
      <c r="BU21" s="100">
        <v>312.68759892238239</v>
      </c>
      <c r="BV21" s="100">
        <v>2.1021095378223107</v>
      </c>
      <c r="BW21" s="100">
        <v>131.17163516011217</v>
      </c>
      <c r="BX21" s="100">
        <v>12.587825843706053</v>
      </c>
      <c r="BY21" s="100">
        <v>785.48033264725768</v>
      </c>
      <c r="BZ21" s="100">
        <v>4.49876697317473</v>
      </c>
      <c r="CA21" s="100">
        <v>280.72305912610312</v>
      </c>
      <c r="CB21" s="100">
        <v>12</v>
      </c>
      <c r="CC21" s="100">
        <v>748.8</v>
      </c>
      <c r="CD21" s="100">
        <v>9.4643832679827469</v>
      </c>
      <c r="CE21" s="100">
        <v>590.57751592212344</v>
      </c>
      <c r="CF21" s="100">
        <v>7.5038217247693851E-4</v>
      </c>
      <c r="CG21" s="100">
        <v>4.6823847562560965E-2</v>
      </c>
      <c r="CH21" s="100">
        <v>11.167570458156618</v>
      </c>
      <c r="CI21" s="100">
        <v>696.85639658897298</v>
      </c>
      <c r="CJ21" s="100">
        <v>4.0533365765684155E-4</v>
      </c>
      <c r="CK21" s="100">
        <v>2.5292820237786912E-2</v>
      </c>
      <c r="CL21" s="100">
        <v>7.0005563237763599</v>
      </c>
      <c r="CM21" s="100">
        <v>436.83471460364484</v>
      </c>
      <c r="CN21" s="100">
        <v>9</v>
      </c>
      <c r="CO21" s="100">
        <v>561.6</v>
      </c>
      <c r="CP21" s="100">
        <v>10.89018805238284</v>
      </c>
      <c r="CQ21" s="100">
        <v>679.54773446868921</v>
      </c>
      <c r="CR21" s="100">
        <v>5.9246194901216818E-4</v>
      </c>
      <c r="CS21" s="100">
        <v>3.6969625618359293E-2</v>
      </c>
      <c r="CT21" s="100">
        <v>11</v>
      </c>
      <c r="CU21" s="100">
        <v>686.4</v>
      </c>
    </row>
    <row r="22" spans="2:99">
      <c r="C22" s="99" t="s">
        <v>188</v>
      </c>
      <c r="D22" s="100">
        <v>8.5714395912880335</v>
      </c>
      <c r="E22" s="100">
        <v>1604.5734914891198</v>
      </c>
      <c r="F22" s="100">
        <v>1.8513725124976546</v>
      </c>
      <c r="G22" s="100">
        <v>346.57693433956092</v>
      </c>
      <c r="H22" s="100">
        <v>11.336629516492287</v>
      </c>
      <c r="I22" s="100">
        <v>2122.2170454873562</v>
      </c>
      <c r="J22" s="100">
        <v>7</v>
      </c>
      <c r="K22" s="100">
        <v>1310.3999999999999</v>
      </c>
      <c r="L22" s="100">
        <v>4.9412423751416226</v>
      </c>
      <c r="M22" s="100">
        <v>925.00057262651171</v>
      </c>
      <c r="N22" s="100">
        <v>9</v>
      </c>
      <c r="O22" s="100">
        <v>1684.8</v>
      </c>
      <c r="P22" s="100">
        <v>7</v>
      </c>
      <c r="Q22" s="100">
        <v>1310.3999999999999</v>
      </c>
      <c r="R22" s="100">
        <v>8.1203748919885896</v>
      </c>
      <c r="S22" s="100">
        <v>1520.1341797802638</v>
      </c>
      <c r="T22" s="100">
        <v>5.7374550945598647E-4</v>
      </c>
      <c r="U22" s="100">
        <v>0.10740515937016067</v>
      </c>
      <c r="V22" s="100">
        <v>7.2658596261050894</v>
      </c>
      <c r="W22" s="100">
        <v>1360.1689220068727</v>
      </c>
      <c r="X22" s="100">
        <v>9</v>
      </c>
      <c r="Y22" s="100">
        <v>1684.8</v>
      </c>
      <c r="Z22" s="100">
        <v>10</v>
      </c>
      <c r="AA22" s="100">
        <v>1872</v>
      </c>
      <c r="AB22" s="100">
        <v>3.0316165785919944</v>
      </c>
      <c r="AC22" s="100">
        <v>567.5186235124213</v>
      </c>
      <c r="AD22" s="100">
        <v>5.208385084797956</v>
      </c>
      <c r="AE22" s="100">
        <v>975.0096878741773</v>
      </c>
      <c r="AF22" s="100">
        <v>2.0004126672833342</v>
      </c>
      <c r="AG22" s="100">
        <v>374.47725131544013</v>
      </c>
      <c r="AH22" s="100">
        <v>8.7799681196714978</v>
      </c>
      <c r="AI22" s="100">
        <v>1643.6100320025043</v>
      </c>
      <c r="AJ22" s="100">
        <v>11</v>
      </c>
      <c r="AK22" s="100">
        <v>2059.1999999999998</v>
      </c>
      <c r="AL22" s="100">
        <v>0.49720371590181534</v>
      </c>
      <c r="AM22" s="100">
        <v>93.076535616819825</v>
      </c>
      <c r="AN22" s="100">
        <v>7</v>
      </c>
      <c r="AO22" s="100">
        <v>1310.3999999999999</v>
      </c>
      <c r="AP22" s="100">
        <v>7</v>
      </c>
      <c r="AQ22" s="100">
        <v>1310.3999999999999</v>
      </c>
      <c r="AR22" s="100">
        <v>9</v>
      </c>
      <c r="AS22" s="100">
        <v>1684.8</v>
      </c>
      <c r="AT22" s="100">
        <v>6.5801117530194846</v>
      </c>
      <c r="AU22" s="100">
        <v>1231.7969201652475</v>
      </c>
      <c r="AV22" s="100">
        <v>4.4192911708221727</v>
      </c>
      <c r="AW22" s="100">
        <v>827.29130717791065</v>
      </c>
      <c r="AX22" s="100">
        <v>5.3446613377066603</v>
      </c>
      <c r="AY22" s="100">
        <v>1000.5206024186867</v>
      </c>
      <c r="AZ22" s="100">
        <v>5.4851546834300811</v>
      </c>
      <c r="BA22" s="100">
        <v>1026.8209567381111</v>
      </c>
      <c r="BB22" s="100">
        <v>4.9692028543488339E-4</v>
      </c>
      <c r="BC22" s="100">
        <v>9.3023477433410162E-2</v>
      </c>
      <c r="BD22" s="100">
        <v>8.4948185407594892</v>
      </c>
      <c r="BE22" s="100">
        <v>1590.2300308301762</v>
      </c>
      <c r="BF22" s="100">
        <v>8.2583587626505501</v>
      </c>
      <c r="BG22" s="100">
        <v>1545.9647603681829</v>
      </c>
      <c r="BH22" s="100">
        <v>7.2998847158483335E-4</v>
      </c>
      <c r="BI22" s="100">
        <v>0.1366538418806808</v>
      </c>
      <c r="BJ22" s="100">
        <v>10.912480149653682</v>
      </c>
      <c r="BK22" s="100">
        <v>2042.8162840151692</v>
      </c>
      <c r="BL22" s="100">
        <v>1.1687051464147495</v>
      </c>
      <c r="BM22" s="100">
        <v>218.78160340884111</v>
      </c>
      <c r="BN22" s="100">
        <v>8.4820769950381258</v>
      </c>
      <c r="BO22" s="100">
        <v>1587.8448134711371</v>
      </c>
      <c r="BP22" s="100">
        <v>11</v>
      </c>
      <c r="BQ22" s="100">
        <v>2059.1999999999998</v>
      </c>
      <c r="BR22" s="100">
        <v>6.3266841049535554</v>
      </c>
      <c r="BS22" s="100">
        <v>1184.3552644473054</v>
      </c>
      <c r="BT22" s="100">
        <v>4.2951593258569014</v>
      </c>
      <c r="BU22" s="100">
        <v>804.05382580041191</v>
      </c>
      <c r="BV22" s="100">
        <v>1.8970080454822535</v>
      </c>
      <c r="BW22" s="100">
        <v>355.11990611427785</v>
      </c>
      <c r="BX22" s="100">
        <v>12.455507023397214</v>
      </c>
      <c r="BY22" s="100">
        <v>2331.6709147799584</v>
      </c>
      <c r="BZ22" s="100">
        <v>5.9983559642329736</v>
      </c>
      <c r="CA22" s="100">
        <v>1122.8922365044125</v>
      </c>
      <c r="CB22" s="100">
        <v>12</v>
      </c>
      <c r="CC22" s="100">
        <v>2246.3999999999996</v>
      </c>
      <c r="CD22" s="100">
        <v>10.410821594781021</v>
      </c>
      <c r="CE22" s="100">
        <v>1948.905802543007</v>
      </c>
      <c r="CF22" s="100">
        <v>6.139490502084043E-4</v>
      </c>
      <c r="CG22" s="100">
        <v>0.11493126219901328</v>
      </c>
      <c r="CH22" s="100">
        <v>10.34595795985881</v>
      </c>
      <c r="CI22" s="100">
        <v>1936.7633300855691</v>
      </c>
      <c r="CJ22" s="100">
        <v>4.0437520051272844E-4</v>
      </c>
      <c r="CK22" s="100">
        <v>7.5699037535982755E-2</v>
      </c>
      <c r="CL22" s="100">
        <v>8.0005057488875995</v>
      </c>
      <c r="CM22" s="100">
        <v>1497.6946761917586</v>
      </c>
      <c r="CN22" s="100">
        <v>8</v>
      </c>
      <c r="CO22" s="100">
        <v>1497.6</v>
      </c>
      <c r="CP22" s="100">
        <v>11.880205148054005</v>
      </c>
      <c r="CQ22" s="100">
        <v>2223.9744037157097</v>
      </c>
      <c r="CR22" s="100">
        <v>4.6080373812057527E-4</v>
      </c>
      <c r="CS22" s="100">
        <v>8.6262459776171682E-2</v>
      </c>
      <c r="CT22" s="100">
        <v>11</v>
      </c>
      <c r="CU22" s="100">
        <v>2059.1999999999998</v>
      </c>
    </row>
    <row r="23" spans="2:99">
      <c r="C23" s="99" t="s">
        <v>189</v>
      </c>
      <c r="D23" s="100">
        <v>7.7721904777976354</v>
      </c>
      <c r="E23" s="100">
        <v>2285.0240004725047</v>
      </c>
      <c r="F23" s="100">
        <v>1.8910660976459821</v>
      </c>
      <c r="G23" s="100">
        <v>555.97343270791873</v>
      </c>
      <c r="H23" s="100">
        <v>11.470292468141517</v>
      </c>
      <c r="I23" s="100">
        <v>3372.2659856336059</v>
      </c>
      <c r="J23" s="100">
        <v>6</v>
      </c>
      <c r="K23" s="100">
        <v>1764</v>
      </c>
      <c r="L23" s="100">
        <v>4.9412423751416226</v>
      </c>
      <c r="M23" s="100">
        <v>1452.7252582916371</v>
      </c>
      <c r="N23" s="100">
        <v>9</v>
      </c>
      <c r="O23" s="100">
        <v>2646</v>
      </c>
      <c r="P23" s="100">
        <v>7</v>
      </c>
      <c r="Q23" s="100">
        <v>2058</v>
      </c>
      <c r="R23" s="100">
        <v>7.3083374027897303</v>
      </c>
      <c r="S23" s="100">
        <v>2148.6511964201809</v>
      </c>
      <c r="T23" s="100">
        <v>6.5265339294443773E-4</v>
      </c>
      <c r="U23" s="100">
        <v>0.19188009752566471</v>
      </c>
      <c r="V23" s="100">
        <v>6.3576271728419531</v>
      </c>
      <c r="W23" s="100">
        <v>1869.1423888155341</v>
      </c>
      <c r="X23" s="100">
        <v>8</v>
      </c>
      <c r="Y23" s="100">
        <v>2352</v>
      </c>
      <c r="Z23" s="100">
        <v>9</v>
      </c>
      <c r="AA23" s="100">
        <v>2646</v>
      </c>
      <c r="AB23" s="100">
        <v>2.6526645062679952</v>
      </c>
      <c r="AC23" s="100">
        <v>779.88336484279057</v>
      </c>
      <c r="AD23" s="100">
        <v>5.2264390237771572</v>
      </c>
      <c r="AE23" s="100">
        <v>1536.5730729904842</v>
      </c>
      <c r="AF23" s="100">
        <v>1.7736355189386499</v>
      </c>
      <c r="AG23" s="100">
        <v>521.44884256796308</v>
      </c>
      <c r="AH23" s="100">
        <v>8.6528275396949628</v>
      </c>
      <c r="AI23" s="100">
        <v>2543.9312966703192</v>
      </c>
      <c r="AJ23" s="100">
        <v>11</v>
      </c>
      <c r="AK23" s="100">
        <v>3234</v>
      </c>
      <c r="AL23" s="100">
        <v>0.49720371590181534</v>
      </c>
      <c r="AM23" s="100">
        <v>146.17789247513372</v>
      </c>
      <c r="AN23" s="100">
        <v>7</v>
      </c>
      <c r="AO23" s="100">
        <v>2058</v>
      </c>
      <c r="AP23" s="100">
        <v>6</v>
      </c>
      <c r="AQ23" s="100">
        <v>1764</v>
      </c>
      <c r="AR23" s="100">
        <v>8</v>
      </c>
      <c r="AS23" s="100">
        <v>2352</v>
      </c>
      <c r="AT23" s="100">
        <v>5.640095788302415</v>
      </c>
      <c r="AU23" s="100">
        <v>1658.1881617609099</v>
      </c>
      <c r="AV23" s="100">
        <v>4.4192911708221727</v>
      </c>
      <c r="AW23" s="100">
        <v>1299.2716042217187</v>
      </c>
      <c r="AX23" s="100">
        <v>6.2354382273244369</v>
      </c>
      <c r="AY23" s="100">
        <v>1833.2188388333843</v>
      </c>
      <c r="AZ23" s="100">
        <v>6.2687482096343787</v>
      </c>
      <c r="BA23" s="100">
        <v>1843.0119736325073</v>
      </c>
      <c r="BB23" s="100">
        <v>4.9692028543488339E-4</v>
      </c>
      <c r="BC23" s="100">
        <v>0.14609456391785572</v>
      </c>
      <c r="BD23" s="100">
        <v>9.1958548326075906</v>
      </c>
      <c r="BE23" s="100">
        <v>2703.5813207866317</v>
      </c>
      <c r="BF23" s="100">
        <v>8.2583587626505501</v>
      </c>
      <c r="BG23" s="100">
        <v>2427.9574762192619</v>
      </c>
      <c r="BH23" s="100">
        <v>7.2998847158483335E-4</v>
      </c>
      <c r="BI23" s="100">
        <v>0.21461661064594101</v>
      </c>
      <c r="BJ23" s="100">
        <v>11.784981473010102</v>
      </c>
      <c r="BK23" s="100">
        <v>3464.7845530649702</v>
      </c>
      <c r="BL23" s="100">
        <v>1.0017472683554995</v>
      </c>
      <c r="BM23" s="100">
        <v>294.51369689651688</v>
      </c>
      <c r="BN23" s="100">
        <v>9.3585705787849491</v>
      </c>
      <c r="BO23" s="100">
        <v>2751.419750162775</v>
      </c>
      <c r="BP23" s="100">
        <v>10</v>
      </c>
      <c r="BQ23" s="100">
        <v>2940</v>
      </c>
      <c r="BR23" s="100">
        <v>5.7994604295407584</v>
      </c>
      <c r="BS23" s="100">
        <v>1705.041366284983</v>
      </c>
      <c r="BT23" s="100">
        <v>4.2951593258569014</v>
      </c>
      <c r="BU23" s="100">
        <v>1262.7768418019291</v>
      </c>
      <c r="BV23" s="100">
        <v>1.9068617418961689</v>
      </c>
      <c r="BW23" s="100">
        <v>560.61735211747362</v>
      </c>
      <c r="BX23" s="100">
        <v>11.587825843706053</v>
      </c>
      <c r="BY23" s="100">
        <v>3406.8207980495795</v>
      </c>
      <c r="BZ23" s="100">
        <v>5.2485614687038522</v>
      </c>
      <c r="CA23" s="100">
        <v>1543.0770717989326</v>
      </c>
      <c r="CB23" s="100">
        <v>11</v>
      </c>
      <c r="CC23" s="100">
        <v>3234</v>
      </c>
      <c r="CD23" s="100">
        <v>8.5179449411844708</v>
      </c>
      <c r="CE23" s="100">
        <v>2504.2758127082343</v>
      </c>
      <c r="CF23" s="100">
        <v>7.5038217247693851E-4</v>
      </c>
      <c r="CG23" s="100">
        <v>0.22061235870821991</v>
      </c>
      <c r="CH23" s="100">
        <v>11.989182956454428</v>
      </c>
      <c r="CI23" s="100">
        <v>3524.8197891976019</v>
      </c>
      <c r="CJ23" s="100">
        <v>4.7017363869132812E-4</v>
      </c>
      <c r="CK23" s="100">
        <v>0.13823104977525047</v>
      </c>
      <c r="CL23" s="100">
        <v>7.0005057488876004</v>
      </c>
      <c r="CM23" s="100">
        <v>2058.1486901729545</v>
      </c>
      <c r="CN23" s="100">
        <v>8</v>
      </c>
      <c r="CO23" s="100">
        <v>2352</v>
      </c>
      <c r="CP23" s="100">
        <v>11.880205148054005</v>
      </c>
      <c r="CQ23" s="100">
        <v>3492.7803135278773</v>
      </c>
      <c r="CR23" s="100">
        <v>5.2663284356637167E-4</v>
      </c>
      <c r="CS23" s="100">
        <v>0.15483005600851327</v>
      </c>
      <c r="CT23" s="100">
        <v>12</v>
      </c>
      <c r="CU23" s="100">
        <v>3528</v>
      </c>
    </row>
    <row r="24" spans="2:99">
      <c r="C24" s="99" t="s">
        <v>190</v>
      </c>
      <c r="D24" s="100">
        <v>7.7721904777976354</v>
      </c>
      <c r="E24" s="100">
        <v>2853.9483434472918</v>
      </c>
      <c r="F24" s="100">
        <v>1.8612959087847363</v>
      </c>
      <c r="G24" s="100">
        <v>683.46785770575514</v>
      </c>
      <c r="H24" s="100">
        <v>10.470292468141517</v>
      </c>
      <c r="I24" s="100">
        <v>3844.6913943015652</v>
      </c>
      <c r="J24" s="100">
        <v>6</v>
      </c>
      <c r="K24" s="100">
        <v>2203.1999999999998</v>
      </c>
      <c r="L24" s="100">
        <v>4.3235870782489201</v>
      </c>
      <c r="M24" s="100">
        <v>1587.6211751330034</v>
      </c>
      <c r="N24" s="100">
        <v>9</v>
      </c>
      <c r="O24" s="100">
        <v>3304.7999999999997</v>
      </c>
      <c r="P24" s="100">
        <v>7</v>
      </c>
      <c r="Q24" s="100">
        <v>2570.4</v>
      </c>
      <c r="R24" s="100">
        <v>7.3083374027897303</v>
      </c>
      <c r="S24" s="100">
        <v>2683.6214943043888</v>
      </c>
      <c r="T24" s="100">
        <v>6.4908833877163317E-4</v>
      </c>
      <c r="U24" s="100">
        <v>0.23834523799694368</v>
      </c>
      <c r="V24" s="100">
        <v>7.2658596261050894</v>
      </c>
      <c r="W24" s="100">
        <v>2668.0236547057889</v>
      </c>
      <c r="X24" s="100">
        <v>9</v>
      </c>
      <c r="Y24" s="100">
        <v>3304.7999999999997</v>
      </c>
      <c r="Z24" s="100">
        <v>11</v>
      </c>
      <c r="AA24" s="100">
        <v>4039.2</v>
      </c>
      <c r="AB24" s="100">
        <v>3.0316165785919944</v>
      </c>
      <c r="AC24" s="100">
        <v>1113.2096076589803</v>
      </c>
      <c r="AD24" s="100">
        <v>5.208385084797956</v>
      </c>
      <c r="AE24" s="100">
        <v>1912.5190031378095</v>
      </c>
      <c r="AF24" s="100">
        <v>2.0004126672833342</v>
      </c>
      <c r="AG24" s="100">
        <v>734.55153142644031</v>
      </c>
      <c r="AH24" s="100">
        <v>8.9071086996480329</v>
      </c>
      <c r="AI24" s="100">
        <v>3270.6903145107576</v>
      </c>
      <c r="AJ24" s="100">
        <v>10</v>
      </c>
      <c r="AK24" s="100">
        <v>3672</v>
      </c>
      <c r="AL24" s="100">
        <v>0.49720371590181534</v>
      </c>
      <c r="AM24" s="100">
        <v>182.5732044791466</v>
      </c>
      <c r="AN24" s="100">
        <v>7</v>
      </c>
      <c r="AO24" s="100">
        <v>2570.4</v>
      </c>
      <c r="AP24" s="100">
        <v>6</v>
      </c>
      <c r="AQ24" s="100">
        <v>2203.1999999999998</v>
      </c>
      <c r="AR24" s="100">
        <v>9</v>
      </c>
      <c r="AS24" s="100">
        <v>3304.7999999999997</v>
      </c>
      <c r="AT24" s="100">
        <v>6.5801117530194846</v>
      </c>
      <c r="AU24" s="100">
        <v>2416.2170357087548</v>
      </c>
      <c r="AV24" s="100">
        <v>4.4192911708221727</v>
      </c>
      <c r="AW24" s="100">
        <v>1622.7637179259018</v>
      </c>
      <c r="AX24" s="100">
        <v>5.3446613377066603</v>
      </c>
      <c r="AY24" s="100">
        <v>1962.5596432058855</v>
      </c>
      <c r="AZ24" s="100">
        <v>5.4851546834300811</v>
      </c>
      <c r="BA24" s="100">
        <v>2014.1487997555257</v>
      </c>
      <c r="BB24" s="100">
        <v>5.6790889763986673E-4</v>
      </c>
      <c r="BC24" s="100">
        <v>0.20853614721335906</v>
      </c>
      <c r="BD24" s="100">
        <v>9.4948185407594892</v>
      </c>
      <c r="BE24" s="100">
        <v>3486.4973681668844</v>
      </c>
      <c r="BF24" s="100">
        <v>7.3407633445782672</v>
      </c>
      <c r="BG24" s="100">
        <v>2695.5283001291396</v>
      </c>
      <c r="BH24" s="100">
        <v>6.6703399965829325E-4</v>
      </c>
      <c r="BI24" s="100">
        <v>0.24493488467452526</v>
      </c>
      <c r="BJ24" s="100">
        <v>12.657482796366523</v>
      </c>
      <c r="BK24" s="100">
        <v>4647.8276828257867</v>
      </c>
      <c r="BL24" s="100">
        <v>1.1687051464147495</v>
      </c>
      <c r="BM24" s="100">
        <v>429.14852976349601</v>
      </c>
      <c r="BN24" s="100">
        <v>8.3585705787849491</v>
      </c>
      <c r="BO24" s="100">
        <v>3069.2671165298334</v>
      </c>
      <c r="BP24" s="100">
        <v>10</v>
      </c>
      <c r="BQ24" s="100">
        <v>3672</v>
      </c>
      <c r="BR24" s="100">
        <v>5.2722367541279622</v>
      </c>
      <c r="BS24" s="100">
        <v>1935.9653361157877</v>
      </c>
      <c r="BT24" s="100">
        <v>5.0110192134997176</v>
      </c>
      <c r="BU24" s="100">
        <v>1840.0462551970963</v>
      </c>
      <c r="BV24" s="100">
        <v>2.1021095378223107</v>
      </c>
      <c r="BW24" s="100">
        <v>771.89462228835248</v>
      </c>
      <c r="BX24" s="100">
        <v>12.720144664014889</v>
      </c>
      <c r="BY24" s="100">
        <v>4670.8371206262673</v>
      </c>
      <c r="BZ24" s="100">
        <v>5.2485614687038522</v>
      </c>
      <c r="CA24" s="100">
        <v>1927.2717713080544</v>
      </c>
      <c r="CB24" s="100">
        <v>10</v>
      </c>
      <c r="CC24" s="100">
        <v>3672</v>
      </c>
      <c r="CD24" s="100">
        <v>10.410821594781021</v>
      </c>
      <c r="CE24" s="100">
        <v>3822.8536896035907</v>
      </c>
      <c r="CF24" s="100">
        <v>6.8216561134267146E-4</v>
      </c>
      <c r="CG24" s="100">
        <v>0.25049121248502892</v>
      </c>
      <c r="CH24" s="100">
        <v>11.042286165398929</v>
      </c>
      <c r="CI24" s="100">
        <v>4054.7274799344868</v>
      </c>
      <c r="CJ24" s="100">
        <v>4.0533365765684155E-4</v>
      </c>
      <c r="CK24" s="100">
        <v>0.14883851909159221</v>
      </c>
      <c r="CL24" s="100">
        <v>7.0005563237763599</v>
      </c>
      <c r="CM24" s="100">
        <v>2570.6042820906791</v>
      </c>
      <c r="CN24" s="100">
        <v>8</v>
      </c>
      <c r="CO24" s="100">
        <v>2937.6</v>
      </c>
      <c r="CP24" s="100">
        <v>9.9001709567116709</v>
      </c>
      <c r="CQ24" s="100">
        <v>3635.3427753045253</v>
      </c>
      <c r="CR24" s="100">
        <v>5.2663284356637167E-4</v>
      </c>
      <c r="CS24" s="100">
        <v>0.19337958015757167</v>
      </c>
      <c r="CT24" s="100">
        <v>11</v>
      </c>
      <c r="CU24" s="100">
        <v>4039.2</v>
      </c>
    </row>
    <row r="25" spans="2:99">
      <c r="C25" s="99" t="s">
        <v>191</v>
      </c>
      <c r="D25" s="100">
        <v>7.7721904777976354</v>
      </c>
      <c r="E25" s="100">
        <v>4122.3698294238657</v>
      </c>
      <c r="F25" s="100">
        <v>1.8712193050718182</v>
      </c>
      <c r="G25" s="100">
        <v>992.49471941009233</v>
      </c>
      <c r="H25" s="100">
        <v>10.336629516492287</v>
      </c>
      <c r="I25" s="100">
        <v>5482.548295547509</v>
      </c>
      <c r="J25" s="100">
        <v>6</v>
      </c>
      <c r="K25" s="100">
        <v>3182.3999999999996</v>
      </c>
      <c r="L25" s="100">
        <v>4.9412423751416226</v>
      </c>
      <c r="M25" s="100">
        <v>2620.8349557751167</v>
      </c>
      <c r="N25" s="100">
        <v>9</v>
      </c>
      <c r="O25" s="100">
        <v>4773.5999999999995</v>
      </c>
      <c r="P25" s="100">
        <v>7</v>
      </c>
      <c r="Q25" s="100">
        <v>3712.7999999999997</v>
      </c>
      <c r="R25" s="100">
        <v>6.496299913590871</v>
      </c>
      <c r="S25" s="100">
        <v>3445.6374741685977</v>
      </c>
      <c r="T25" s="100">
        <v>6.455232845988284E-4</v>
      </c>
      <c r="U25" s="100">
        <v>0.34238555015121858</v>
      </c>
      <c r="V25" s="100">
        <v>6.3576271728419531</v>
      </c>
      <c r="W25" s="100">
        <v>3372.0854524753718</v>
      </c>
      <c r="X25" s="100">
        <v>8</v>
      </c>
      <c r="Y25" s="100">
        <v>4243.2</v>
      </c>
      <c r="Z25" s="100">
        <v>10</v>
      </c>
      <c r="AA25" s="100">
        <v>5304</v>
      </c>
      <c r="AB25" s="100">
        <v>2.6526645062679952</v>
      </c>
      <c r="AC25" s="100">
        <v>1406.9732541245446</v>
      </c>
      <c r="AD25" s="100">
        <v>4.7128220908890421</v>
      </c>
      <c r="AE25" s="100">
        <v>2499.6808370075478</v>
      </c>
      <c r="AF25" s="100">
        <v>2.0102124294162742</v>
      </c>
      <c r="AG25" s="100">
        <v>1066.2166725623918</v>
      </c>
      <c r="AH25" s="100">
        <v>8.9071086996480329</v>
      </c>
      <c r="AI25" s="100">
        <v>4724.3304542933165</v>
      </c>
      <c r="AJ25" s="100">
        <v>9</v>
      </c>
      <c r="AK25" s="100">
        <v>4773.5999999999995</v>
      </c>
      <c r="AL25" s="100">
        <v>0.49720371590181534</v>
      </c>
      <c r="AM25" s="100">
        <v>263.71685091432283</v>
      </c>
      <c r="AN25" s="100">
        <v>8</v>
      </c>
      <c r="AO25" s="100">
        <v>4243.2</v>
      </c>
      <c r="AP25" s="100">
        <v>6</v>
      </c>
      <c r="AQ25" s="100">
        <v>3182.3999999999996</v>
      </c>
      <c r="AR25" s="100">
        <v>8</v>
      </c>
      <c r="AS25" s="100">
        <v>4243.2</v>
      </c>
      <c r="AT25" s="100">
        <v>5.640095788302415</v>
      </c>
      <c r="AU25" s="100">
        <v>2991.5068061156007</v>
      </c>
      <c r="AV25" s="100">
        <v>4.4192911708221727</v>
      </c>
      <c r="AW25" s="100">
        <v>2343.9920370040804</v>
      </c>
      <c r="AX25" s="100">
        <v>5.3446613377066603</v>
      </c>
      <c r="AY25" s="100">
        <v>2834.8083735196124</v>
      </c>
      <c r="AZ25" s="100">
        <v>6.2687482096343787</v>
      </c>
      <c r="BA25" s="100">
        <v>3324.9440503900742</v>
      </c>
      <c r="BB25" s="100">
        <v>4.2593167322990005E-4</v>
      </c>
      <c r="BC25" s="100">
        <v>0.22591415948113897</v>
      </c>
      <c r="BD25" s="100">
        <v>9.1958548326075906</v>
      </c>
      <c r="BE25" s="100">
        <v>4877.4814032150662</v>
      </c>
      <c r="BF25" s="100">
        <v>7.3407633445782672</v>
      </c>
      <c r="BG25" s="100">
        <v>3893.5408779643126</v>
      </c>
      <c r="BH25" s="100">
        <v>7.9502568131097854E-4</v>
      </c>
      <c r="BI25" s="100">
        <v>0.421681621367343</v>
      </c>
      <c r="BJ25" s="100">
        <v>10.912480149653682</v>
      </c>
      <c r="BK25" s="100">
        <v>5787.9794713763122</v>
      </c>
      <c r="BL25" s="100">
        <v>1.0017472683554995</v>
      </c>
      <c r="BM25" s="100">
        <v>531.32675113575692</v>
      </c>
      <c r="BN25" s="100">
        <v>10.235064162531771</v>
      </c>
      <c r="BO25" s="100">
        <v>5428.6780318068513</v>
      </c>
      <c r="BP25" s="100">
        <v>9</v>
      </c>
      <c r="BQ25" s="100">
        <v>4773.5999999999995</v>
      </c>
      <c r="BR25" s="100">
        <v>5.7994604295407584</v>
      </c>
      <c r="BS25" s="100">
        <v>3076.033811828418</v>
      </c>
      <c r="BT25" s="100">
        <v>5.0110192134997176</v>
      </c>
      <c r="BU25" s="100">
        <v>2657.84459084025</v>
      </c>
      <c r="BV25" s="100">
        <v>1.9068617418961689</v>
      </c>
      <c r="BW25" s="100">
        <v>1011.3994679017279</v>
      </c>
      <c r="BX25" s="100">
        <v>12.455507023397214</v>
      </c>
      <c r="BY25" s="100">
        <v>6606.4009252098822</v>
      </c>
      <c r="BZ25" s="100">
        <v>5.2485614687038522</v>
      </c>
      <c r="CA25" s="100">
        <v>2783.8370030005231</v>
      </c>
      <c r="CB25" s="100">
        <v>11</v>
      </c>
      <c r="CC25" s="100">
        <v>5834.4</v>
      </c>
      <c r="CD25" s="100">
        <v>8.5179449411844708</v>
      </c>
      <c r="CE25" s="100">
        <v>4517.9179968042426</v>
      </c>
      <c r="CF25" s="100">
        <v>6.8216561134267146E-4</v>
      </c>
      <c r="CG25" s="100">
        <v>0.3618206402561529</v>
      </c>
      <c r="CH25" s="100">
        <v>10.09538937434343</v>
      </c>
      <c r="CI25" s="100">
        <v>5354.5945241517547</v>
      </c>
      <c r="CJ25" s="100">
        <v>4.7017363869132812E-4</v>
      </c>
      <c r="CK25" s="100">
        <v>0.24938009796188043</v>
      </c>
      <c r="CL25" s="100">
        <v>7.0005057488876004</v>
      </c>
      <c r="CM25" s="100">
        <v>3713.0682492099832</v>
      </c>
      <c r="CN25" s="100">
        <v>7</v>
      </c>
      <c r="CO25" s="100">
        <v>3712.7999999999997</v>
      </c>
      <c r="CP25" s="100">
        <v>10.89018805238284</v>
      </c>
      <c r="CQ25" s="100">
        <v>5776.1557429838576</v>
      </c>
      <c r="CR25" s="100">
        <v>5.2663284356637167E-4</v>
      </c>
      <c r="CS25" s="100">
        <v>0.27932606022760353</v>
      </c>
      <c r="CT25" s="100">
        <v>10</v>
      </c>
      <c r="CU25" s="100">
        <v>5304</v>
      </c>
    </row>
    <row r="26" spans="2:99">
      <c r="C26" s="99" t="s">
        <v>192</v>
      </c>
      <c r="D26" s="100">
        <v>7.6620401492444614</v>
      </c>
      <c r="E26" s="100">
        <v>3723.7515125328082</v>
      </c>
      <c r="F26" s="100">
        <v>1.8712193050718182</v>
      </c>
      <c r="G26" s="100">
        <v>909.41258226490368</v>
      </c>
      <c r="H26" s="100">
        <v>10.202966564843059</v>
      </c>
      <c r="I26" s="100">
        <v>4958.6417505137269</v>
      </c>
      <c r="J26" s="100">
        <v>6</v>
      </c>
      <c r="K26" s="100">
        <v>2916</v>
      </c>
      <c r="L26" s="100">
        <v>4.9412423751416226</v>
      </c>
      <c r="M26" s="100">
        <v>2401.4437943188286</v>
      </c>
      <c r="N26" s="100">
        <v>9</v>
      </c>
      <c r="O26" s="100">
        <v>4374</v>
      </c>
      <c r="P26" s="100">
        <v>7</v>
      </c>
      <c r="Q26" s="100">
        <v>3402</v>
      </c>
      <c r="R26" s="100">
        <v>6.496299913590871</v>
      </c>
      <c r="S26" s="100">
        <v>3157.2017580051634</v>
      </c>
      <c r="T26" s="100">
        <v>5.7731056362879114E-4</v>
      </c>
      <c r="U26" s="100">
        <v>0.2805729339235925</v>
      </c>
      <c r="V26" s="100">
        <v>6.3576271728419531</v>
      </c>
      <c r="W26" s="100">
        <v>3089.8068060011892</v>
      </c>
      <c r="X26" s="100">
        <v>9</v>
      </c>
      <c r="Y26" s="100">
        <v>4374</v>
      </c>
      <c r="Z26" s="100">
        <v>11</v>
      </c>
      <c r="AA26" s="100">
        <v>5346</v>
      </c>
      <c r="AB26" s="100">
        <v>3.0316165785919944</v>
      </c>
      <c r="AC26" s="100">
        <v>1473.3656571957092</v>
      </c>
      <c r="AD26" s="100">
        <v>5.703948078706869</v>
      </c>
      <c r="AE26" s="100">
        <v>2772.1187662515385</v>
      </c>
      <c r="AF26" s="100">
        <v>1.9906129051503936</v>
      </c>
      <c r="AG26" s="100">
        <v>967.43787190309126</v>
      </c>
      <c r="AH26" s="100">
        <v>8.6528275396949628</v>
      </c>
      <c r="AI26" s="100">
        <v>4205.2741842917521</v>
      </c>
      <c r="AJ26" s="100">
        <v>9</v>
      </c>
      <c r="AK26" s="100">
        <v>4374</v>
      </c>
      <c r="AL26" s="100">
        <v>0.49720371590181534</v>
      </c>
      <c r="AM26" s="100">
        <v>241.64100592828225</v>
      </c>
      <c r="AN26" s="100">
        <v>7</v>
      </c>
      <c r="AO26" s="100">
        <v>3402</v>
      </c>
      <c r="AP26" s="100">
        <v>6</v>
      </c>
      <c r="AQ26" s="100">
        <v>2916</v>
      </c>
      <c r="AR26" s="100">
        <v>8</v>
      </c>
      <c r="AS26" s="100">
        <v>3888</v>
      </c>
      <c r="AT26" s="100">
        <v>5.640095788302415</v>
      </c>
      <c r="AU26" s="100">
        <v>2741.0865531149739</v>
      </c>
      <c r="AV26" s="100">
        <v>4.4192911708221727</v>
      </c>
      <c r="AW26" s="100">
        <v>2147.775509019576</v>
      </c>
      <c r="AX26" s="100">
        <v>5.3446613377066603</v>
      </c>
      <c r="AY26" s="100">
        <v>2597.5054101254368</v>
      </c>
      <c r="AZ26" s="100">
        <v>5.4851546834300811</v>
      </c>
      <c r="BA26" s="100">
        <v>2665.7851761470192</v>
      </c>
      <c r="BB26" s="100">
        <v>4.2593167322990005E-4</v>
      </c>
      <c r="BC26" s="100">
        <v>0.20700279318973142</v>
      </c>
      <c r="BD26" s="100">
        <v>9.4948185407594892</v>
      </c>
      <c r="BE26" s="100">
        <v>4614.4818108091122</v>
      </c>
      <c r="BF26" s="100">
        <v>8.2583587626505501</v>
      </c>
      <c r="BG26" s="100">
        <v>4013.5623586481674</v>
      </c>
      <c r="BH26" s="100">
        <v>7.9086020571176826E-4</v>
      </c>
      <c r="BI26" s="100">
        <v>0.38435805997591937</v>
      </c>
      <c r="BJ26" s="100">
        <v>12.784981473010102</v>
      </c>
      <c r="BK26" s="100">
        <v>6213.5009958829096</v>
      </c>
      <c r="BL26" s="100">
        <v>1.1687051464147495</v>
      </c>
      <c r="BM26" s="100">
        <v>567.99070115756831</v>
      </c>
      <c r="BN26" s="100">
        <v>9.4820769950381258</v>
      </c>
      <c r="BO26" s="100">
        <v>4608.2894195885292</v>
      </c>
      <c r="BP26" s="100">
        <v>11</v>
      </c>
      <c r="BQ26" s="100">
        <v>5346</v>
      </c>
      <c r="BR26" s="100">
        <v>5.7994604295407584</v>
      </c>
      <c r="BS26" s="100">
        <v>2818.5377687568084</v>
      </c>
      <c r="BT26" s="100">
        <v>4.2951593258569014</v>
      </c>
      <c r="BU26" s="100">
        <v>2087.447432366454</v>
      </c>
      <c r="BV26" s="100">
        <v>2.1021095378223107</v>
      </c>
      <c r="BW26" s="100">
        <v>1021.6252353816431</v>
      </c>
      <c r="BX26" s="100">
        <v>12.455507023397214</v>
      </c>
      <c r="BY26" s="100">
        <v>6053.3764133710456</v>
      </c>
      <c r="BZ26" s="100">
        <v>4.49876697317473</v>
      </c>
      <c r="CA26" s="100">
        <v>2186.4007489629189</v>
      </c>
      <c r="CB26" s="100">
        <v>10</v>
      </c>
      <c r="CC26" s="100">
        <v>4860</v>
      </c>
      <c r="CD26" s="100">
        <v>9.4643832679827469</v>
      </c>
      <c r="CE26" s="100">
        <v>4599.6902682396149</v>
      </c>
      <c r="CF26" s="100">
        <v>6.8216561134267146E-4</v>
      </c>
      <c r="CG26" s="100">
        <v>0.33153248711253835</v>
      </c>
      <c r="CH26" s="100">
        <v>11.167570458156618</v>
      </c>
      <c r="CI26" s="100">
        <v>5427.4392426641161</v>
      </c>
      <c r="CJ26" s="100">
        <v>4.0629211480095454E-4</v>
      </c>
      <c r="CK26" s="100">
        <v>0.19745796779326391</v>
      </c>
      <c r="CL26" s="100">
        <v>7.0005057488876004</v>
      </c>
      <c r="CM26" s="100">
        <v>3402.2457939593737</v>
      </c>
      <c r="CN26" s="100">
        <v>8</v>
      </c>
      <c r="CO26" s="100">
        <v>3888</v>
      </c>
      <c r="CP26" s="100">
        <v>10.89018805238284</v>
      </c>
      <c r="CQ26" s="100">
        <v>5292.6313934580603</v>
      </c>
      <c r="CR26" s="100">
        <v>5.2663284356637167E-4</v>
      </c>
      <c r="CS26" s="100">
        <v>0.25594356197325663</v>
      </c>
      <c r="CT26" s="100">
        <v>11</v>
      </c>
      <c r="CU26" s="100">
        <v>5346</v>
      </c>
    </row>
    <row r="27" spans="2:99">
      <c r="C27" s="99" t="s">
        <v>193</v>
      </c>
      <c r="D27" s="100">
        <v>8.3511389341816855</v>
      </c>
      <c r="E27" s="100">
        <v>3567.6065526824159</v>
      </c>
      <c r="F27" s="100">
        <v>1.8811427013589002</v>
      </c>
      <c r="G27" s="100">
        <v>803.62416202052214</v>
      </c>
      <c r="H27" s="100">
        <v>10.336629516492287</v>
      </c>
      <c r="I27" s="100">
        <v>4415.8081294455051</v>
      </c>
      <c r="J27" s="100">
        <v>6</v>
      </c>
      <c r="K27" s="100">
        <v>2563.1999999999998</v>
      </c>
      <c r="L27" s="100">
        <v>4.3235870782489201</v>
      </c>
      <c r="M27" s="100">
        <v>1847.0363998279386</v>
      </c>
      <c r="N27" s="100">
        <v>9</v>
      </c>
      <c r="O27" s="100">
        <v>3844.7999999999997</v>
      </c>
      <c r="P27" s="100">
        <v>7</v>
      </c>
      <c r="Q27" s="100">
        <v>2990.4</v>
      </c>
      <c r="R27" s="100">
        <v>6.496299913590871</v>
      </c>
      <c r="S27" s="100">
        <v>2775.2193230860198</v>
      </c>
      <c r="T27" s="100">
        <v>6.4908833877163317E-4</v>
      </c>
      <c r="U27" s="100">
        <v>0.27729053832324169</v>
      </c>
      <c r="V27" s="100">
        <v>7.2658596261050894</v>
      </c>
      <c r="W27" s="100">
        <v>3103.9752322720942</v>
      </c>
      <c r="X27" s="100">
        <v>8</v>
      </c>
      <c r="Y27" s="100">
        <v>3417.6</v>
      </c>
      <c r="Z27" s="100">
        <v>9</v>
      </c>
      <c r="AA27" s="100">
        <v>3844.7999999999997</v>
      </c>
      <c r="AB27" s="100">
        <v>2.6526645062679952</v>
      </c>
      <c r="AC27" s="100">
        <v>1133.2182770776876</v>
      </c>
      <c r="AD27" s="100">
        <v>5.2444929627563592</v>
      </c>
      <c r="AE27" s="100">
        <v>2240.4473936895165</v>
      </c>
      <c r="AF27" s="100">
        <v>1.7736355189386499</v>
      </c>
      <c r="AG27" s="100">
        <v>757.69709369059126</v>
      </c>
      <c r="AH27" s="100">
        <v>9.9071086996480329</v>
      </c>
      <c r="AI27" s="100">
        <v>4232.3168364896392</v>
      </c>
      <c r="AJ27" s="100">
        <v>10</v>
      </c>
      <c r="AK27" s="100">
        <v>4272</v>
      </c>
      <c r="AL27" s="100">
        <v>0.58007100188545135</v>
      </c>
      <c r="AM27" s="100">
        <v>247.80633200546481</v>
      </c>
      <c r="AN27" s="100">
        <v>7</v>
      </c>
      <c r="AO27" s="100">
        <v>2990.4</v>
      </c>
      <c r="AP27" s="100">
        <v>6</v>
      </c>
      <c r="AQ27" s="100">
        <v>2563.1999999999998</v>
      </c>
      <c r="AR27" s="100">
        <v>8</v>
      </c>
      <c r="AS27" s="100">
        <v>3417.6</v>
      </c>
      <c r="AT27" s="100">
        <v>5.640095788302415</v>
      </c>
      <c r="AU27" s="100">
        <v>2409.4489207627917</v>
      </c>
      <c r="AV27" s="100">
        <v>4.4192911708221727</v>
      </c>
      <c r="AW27" s="100">
        <v>1887.9211881752321</v>
      </c>
      <c r="AX27" s="100">
        <v>4.4538844480888837</v>
      </c>
      <c r="AY27" s="100">
        <v>1902.6994362235712</v>
      </c>
      <c r="AZ27" s="100">
        <v>5.4851546834300811</v>
      </c>
      <c r="BA27" s="100">
        <v>2343.2580807613303</v>
      </c>
      <c r="BB27" s="100">
        <v>4.9692028543488339E-4</v>
      </c>
      <c r="BC27" s="100">
        <v>0.21228434593778217</v>
      </c>
      <c r="BD27" s="100">
        <v>9.1958548326075906</v>
      </c>
      <c r="BE27" s="100">
        <v>3928.4691844899626</v>
      </c>
      <c r="BF27" s="100">
        <v>8.2583587626505501</v>
      </c>
      <c r="BG27" s="100">
        <v>3527.970863404315</v>
      </c>
      <c r="BH27" s="100">
        <v>7.2790573378522815E-4</v>
      </c>
      <c r="BI27" s="100">
        <v>0.31096132947304944</v>
      </c>
      <c r="BJ27" s="100">
        <v>10.912480149653682</v>
      </c>
      <c r="BK27" s="100">
        <v>4661.8115199320528</v>
      </c>
      <c r="BL27" s="100">
        <v>1.1687051464147495</v>
      </c>
      <c r="BM27" s="100">
        <v>499.27083854838099</v>
      </c>
      <c r="BN27" s="100">
        <v>9.6055834112913026</v>
      </c>
      <c r="BO27" s="100">
        <v>4103.5052333036447</v>
      </c>
      <c r="BP27" s="100">
        <v>11</v>
      </c>
      <c r="BQ27" s="100">
        <v>4699.2</v>
      </c>
      <c r="BR27" s="100">
        <v>5.7994604295407584</v>
      </c>
      <c r="BS27" s="100">
        <v>2477.5294954998121</v>
      </c>
      <c r="BT27" s="100">
        <v>5.0110192134997176</v>
      </c>
      <c r="BU27" s="100">
        <v>2140.7074080070793</v>
      </c>
      <c r="BV27" s="100">
        <v>2.1021095378223107</v>
      </c>
      <c r="BW27" s="100">
        <v>898.02119455769116</v>
      </c>
      <c r="BX27" s="100">
        <v>12.587825843706053</v>
      </c>
      <c r="BY27" s="100">
        <v>5377.5192004312257</v>
      </c>
      <c r="BZ27" s="100">
        <v>5.2485614687038522</v>
      </c>
      <c r="CA27" s="100">
        <v>2242.1854594302854</v>
      </c>
      <c r="CB27" s="100">
        <v>10</v>
      </c>
      <c r="CC27" s="100">
        <v>4272</v>
      </c>
      <c r="CD27" s="100">
        <v>8.5179449411844708</v>
      </c>
      <c r="CE27" s="100">
        <v>3638.8660788740058</v>
      </c>
      <c r="CF27" s="100">
        <v>6.8216561134267146E-4</v>
      </c>
      <c r="CG27" s="100">
        <v>0.29142114916558925</v>
      </c>
      <c r="CH27" s="100">
        <v>11.167570458156618</v>
      </c>
      <c r="CI27" s="100">
        <v>4770.786099724507</v>
      </c>
      <c r="CJ27" s="100">
        <v>4.0437520051272844E-4</v>
      </c>
      <c r="CK27" s="100">
        <v>0.1727490856590376</v>
      </c>
      <c r="CL27" s="100">
        <v>7.0005563237763599</v>
      </c>
      <c r="CM27" s="100">
        <v>2990.6376615172608</v>
      </c>
      <c r="CN27" s="100">
        <v>9</v>
      </c>
      <c r="CO27" s="100">
        <v>3844.7999999999997</v>
      </c>
      <c r="CP27" s="100">
        <v>10.89018805238284</v>
      </c>
      <c r="CQ27" s="100">
        <v>4652.2883359779489</v>
      </c>
      <c r="CR27" s="100">
        <v>5.9246194901216818E-4</v>
      </c>
      <c r="CS27" s="100">
        <v>0.25309974461799822</v>
      </c>
      <c r="CT27" s="100">
        <v>10</v>
      </c>
      <c r="CU27" s="100">
        <v>4272</v>
      </c>
    </row>
    <row r="28" spans="2:99">
      <c r="C28" s="99" t="s">
        <v>194</v>
      </c>
      <c r="D28" s="100">
        <v>7.0830916928604113</v>
      </c>
      <c r="E28" s="100">
        <v>5227.3216693309832</v>
      </c>
      <c r="F28" s="100">
        <v>1.8612959087847363</v>
      </c>
      <c r="G28" s="100">
        <v>1373.6363806831353</v>
      </c>
      <c r="H28" s="100">
        <v>9.2029665648430594</v>
      </c>
      <c r="I28" s="100">
        <v>6791.7893248541777</v>
      </c>
      <c r="J28" s="100">
        <v>6</v>
      </c>
      <c r="K28" s="100">
        <v>4428</v>
      </c>
      <c r="L28" s="100">
        <v>4.9412423751416226</v>
      </c>
      <c r="M28" s="100">
        <v>3646.6368728545176</v>
      </c>
      <c r="N28" s="100">
        <v>9</v>
      </c>
      <c r="O28" s="100">
        <v>6642</v>
      </c>
      <c r="P28" s="100">
        <v>6</v>
      </c>
      <c r="Q28" s="100">
        <v>4428</v>
      </c>
      <c r="R28" s="100">
        <v>7.3083374027897303</v>
      </c>
      <c r="S28" s="100">
        <v>5393.5530032588213</v>
      </c>
      <c r="T28" s="100">
        <v>5.7731056362879114E-4</v>
      </c>
      <c r="U28" s="100">
        <v>0.42605519595804786</v>
      </c>
      <c r="V28" s="100">
        <v>6.3576271728419531</v>
      </c>
      <c r="W28" s="100">
        <v>4691.9288535573614</v>
      </c>
      <c r="X28" s="100">
        <v>8</v>
      </c>
      <c r="Y28" s="100">
        <v>5904</v>
      </c>
      <c r="Z28" s="100">
        <v>10</v>
      </c>
      <c r="AA28" s="100">
        <v>7380</v>
      </c>
      <c r="AB28" s="100">
        <v>3.0316165785919944</v>
      </c>
      <c r="AC28" s="100">
        <v>2237.3330350008919</v>
      </c>
      <c r="AD28" s="100">
        <v>5.4471793774452815</v>
      </c>
      <c r="AE28" s="100">
        <v>4020.0183805546176</v>
      </c>
      <c r="AF28" s="100">
        <v>2.0004126672833342</v>
      </c>
      <c r="AG28" s="100">
        <v>1476.3045484551008</v>
      </c>
      <c r="AH28" s="100">
        <v>8.9071086996480329</v>
      </c>
      <c r="AI28" s="100">
        <v>6573.4462203402481</v>
      </c>
      <c r="AJ28" s="100">
        <v>9</v>
      </c>
      <c r="AK28" s="100">
        <v>6642</v>
      </c>
      <c r="AL28" s="100">
        <v>0.49720371590181534</v>
      </c>
      <c r="AM28" s="100">
        <v>366.93634233553973</v>
      </c>
      <c r="AN28" s="100">
        <v>8</v>
      </c>
      <c r="AO28" s="100">
        <v>5904</v>
      </c>
      <c r="AP28" s="100">
        <v>6</v>
      </c>
      <c r="AQ28" s="100">
        <v>4428</v>
      </c>
      <c r="AR28" s="100">
        <v>8</v>
      </c>
      <c r="AS28" s="100">
        <v>5904</v>
      </c>
      <c r="AT28" s="100">
        <v>5.640095788302415</v>
      </c>
      <c r="AU28" s="100">
        <v>4162.390691767182</v>
      </c>
      <c r="AV28" s="100">
        <v>4.4192911708221727</v>
      </c>
      <c r="AW28" s="100">
        <v>3261.4368840667635</v>
      </c>
      <c r="AX28" s="100">
        <v>5.3446613377066603</v>
      </c>
      <c r="AY28" s="100">
        <v>3944.3600672275152</v>
      </c>
      <c r="AZ28" s="100">
        <v>5.4851546834300811</v>
      </c>
      <c r="BA28" s="100">
        <v>4048.0441563713998</v>
      </c>
      <c r="BB28" s="100">
        <v>4.9692028543488339E-4</v>
      </c>
      <c r="BC28" s="100">
        <v>0.36672717065094396</v>
      </c>
      <c r="BD28" s="100">
        <v>9.3453366866835399</v>
      </c>
      <c r="BE28" s="100">
        <v>6896.8584747724526</v>
      </c>
      <c r="BF28" s="100">
        <v>7.3407633445782672</v>
      </c>
      <c r="BG28" s="100">
        <v>5417.4833482987615</v>
      </c>
      <c r="BH28" s="100">
        <v>6.6703399965829325E-4</v>
      </c>
      <c r="BI28" s="100">
        <v>0.49227109174782041</v>
      </c>
      <c r="BJ28" s="100">
        <v>12.657482796366523</v>
      </c>
      <c r="BK28" s="100">
        <v>9341.222303718494</v>
      </c>
      <c r="BL28" s="100">
        <v>1.0017472683554995</v>
      </c>
      <c r="BM28" s="100">
        <v>739.28948404635867</v>
      </c>
      <c r="BN28" s="100">
        <v>8.4820769950381258</v>
      </c>
      <c r="BO28" s="100">
        <v>6259.7728223381373</v>
      </c>
      <c r="BP28" s="100">
        <v>10</v>
      </c>
      <c r="BQ28" s="100">
        <v>7380</v>
      </c>
      <c r="BR28" s="100">
        <v>5.7994604295407584</v>
      </c>
      <c r="BS28" s="100">
        <v>4280.0017970010795</v>
      </c>
      <c r="BT28" s="100">
        <v>4.2951593258569014</v>
      </c>
      <c r="BU28" s="100">
        <v>3169.8275824823932</v>
      </c>
      <c r="BV28" s="100">
        <v>2.1119632342362258</v>
      </c>
      <c r="BW28" s="100">
        <v>1558.6288668663346</v>
      </c>
      <c r="BX28" s="100">
        <v>12.323188203088376</v>
      </c>
      <c r="BY28" s="100">
        <v>9094.5128938792222</v>
      </c>
      <c r="BZ28" s="100">
        <v>4.49876697317473</v>
      </c>
      <c r="CA28" s="100">
        <v>3320.0900262029509</v>
      </c>
      <c r="CB28" s="100">
        <v>9</v>
      </c>
      <c r="CC28" s="100">
        <v>6642</v>
      </c>
      <c r="CD28" s="100">
        <v>9.4643832679827469</v>
      </c>
      <c r="CE28" s="100">
        <v>6984.7148517712676</v>
      </c>
      <c r="CF28" s="100">
        <v>6.8216561134267146E-4</v>
      </c>
      <c r="CG28" s="100">
        <v>0.50343822117089154</v>
      </c>
      <c r="CH28" s="100">
        <v>9.9701050815857393</v>
      </c>
      <c r="CI28" s="100">
        <v>7357.9375502102757</v>
      </c>
      <c r="CJ28" s="100">
        <v>4.0629211480095454E-4</v>
      </c>
      <c r="CK28" s="100">
        <v>0.29984358072310446</v>
      </c>
      <c r="CL28" s="100">
        <v>7.0006068986651204</v>
      </c>
      <c r="CM28" s="100">
        <v>5166.4478912148588</v>
      </c>
      <c r="CN28" s="100">
        <v>7</v>
      </c>
      <c r="CO28" s="100">
        <v>5166</v>
      </c>
      <c r="CP28" s="100">
        <v>10.89018805238284</v>
      </c>
      <c r="CQ28" s="100">
        <v>8036.9587826585357</v>
      </c>
      <c r="CR28" s="100">
        <v>5.2663284356637167E-4</v>
      </c>
      <c r="CS28" s="100">
        <v>0.3886550385519823</v>
      </c>
      <c r="CT28" s="100">
        <v>11</v>
      </c>
      <c r="CU28" s="100">
        <v>8118</v>
      </c>
    </row>
    <row r="29" spans="2:99">
      <c r="C29" s="99" t="s">
        <v>195</v>
      </c>
      <c r="D29" s="100">
        <v>7.7721904777976354</v>
      </c>
      <c r="E29" s="100">
        <v>2630.1092576867195</v>
      </c>
      <c r="F29" s="100">
        <v>1.8712193050718182</v>
      </c>
      <c r="G29" s="100">
        <v>633.22061283630319</v>
      </c>
      <c r="H29" s="100">
        <v>11.202966564843059</v>
      </c>
      <c r="I29" s="100">
        <v>3791.083885542891</v>
      </c>
      <c r="J29" s="100">
        <v>6</v>
      </c>
      <c r="K29" s="100">
        <v>2030.3999999999999</v>
      </c>
      <c r="L29" s="100">
        <v>4.9412423751416226</v>
      </c>
      <c r="M29" s="100">
        <v>1672.116419747925</v>
      </c>
      <c r="N29" s="100">
        <v>10</v>
      </c>
      <c r="O29" s="100">
        <v>3384</v>
      </c>
      <c r="P29" s="100">
        <v>7</v>
      </c>
      <c r="Q29" s="100">
        <v>2368.7999999999997</v>
      </c>
      <c r="R29" s="100">
        <v>6.496299913590871</v>
      </c>
      <c r="S29" s="100">
        <v>2198.3478907591507</v>
      </c>
      <c r="T29" s="100">
        <v>6.455232845988284E-4</v>
      </c>
      <c r="U29" s="100">
        <v>0.21844507950824352</v>
      </c>
      <c r="V29" s="100">
        <v>6.3576271728419531</v>
      </c>
      <c r="W29" s="100">
        <v>2151.4210352897167</v>
      </c>
      <c r="X29" s="100">
        <v>9</v>
      </c>
      <c r="Y29" s="100">
        <v>3045.6</v>
      </c>
      <c r="Z29" s="100">
        <v>10</v>
      </c>
      <c r="AA29" s="100">
        <v>3384</v>
      </c>
      <c r="AB29" s="100">
        <v>3.0316165785919944</v>
      </c>
      <c r="AC29" s="100">
        <v>1025.8990501955309</v>
      </c>
      <c r="AD29" s="100">
        <v>4.7128220908890421</v>
      </c>
      <c r="AE29" s="100">
        <v>1594.8189955568519</v>
      </c>
      <c r="AF29" s="100">
        <v>2.0004126672833342</v>
      </c>
      <c r="AG29" s="100">
        <v>676.93964660868028</v>
      </c>
      <c r="AH29" s="100">
        <v>8.7799681196714978</v>
      </c>
      <c r="AI29" s="100">
        <v>2971.1412116968345</v>
      </c>
      <c r="AJ29" s="100">
        <v>10</v>
      </c>
      <c r="AK29" s="100">
        <v>3384</v>
      </c>
      <c r="AL29" s="100">
        <v>0.58007100188545135</v>
      </c>
      <c r="AM29" s="100">
        <v>196.29602703803673</v>
      </c>
      <c r="AN29" s="100">
        <v>8</v>
      </c>
      <c r="AO29" s="100">
        <v>2707.2</v>
      </c>
      <c r="AP29" s="100">
        <v>6</v>
      </c>
      <c r="AQ29" s="100">
        <v>2030.3999999999999</v>
      </c>
      <c r="AR29" s="100">
        <v>8</v>
      </c>
      <c r="AS29" s="100">
        <v>2707.2</v>
      </c>
      <c r="AT29" s="100">
        <v>6.5801117530194846</v>
      </c>
      <c r="AU29" s="100">
        <v>2226.7098172217934</v>
      </c>
      <c r="AV29" s="100">
        <v>4.4192911708221727</v>
      </c>
      <c r="AW29" s="100">
        <v>1495.4881322062231</v>
      </c>
      <c r="AX29" s="100">
        <v>5.3446613377066603</v>
      </c>
      <c r="AY29" s="100">
        <v>1808.6333966799336</v>
      </c>
      <c r="AZ29" s="100">
        <v>6.2687482096343787</v>
      </c>
      <c r="BA29" s="100">
        <v>2121.3443941402738</v>
      </c>
      <c r="BB29" s="100">
        <v>4.9692028543488339E-4</v>
      </c>
      <c r="BC29" s="100">
        <v>0.16815782459116452</v>
      </c>
      <c r="BD29" s="100">
        <v>8.3453366866835399</v>
      </c>
      <c r="BE29" s="100">
        <v>2824.0619347737097</v>
      </c>
      <c r="BF29" s="100">
        <v>8.2583587626505501</v>
      </c>
      <c r="BG29" s="100">
        <v>2794.628605280946</v>
      </c>
      <c r="BH29" s="100">
        <v>7.2790573378522815E-4</v>
      </c>
      <c r="BI29" s="100">
        <v>0.24632330031292118</v>
      </c>
      <c r="BJ29" s="100">
        <v>11.657482796366523</v>
      </c>
      <c r="BK29" s="100">
        <v>3944.8921782904313</v>
      </c>
      <c r="BL29" s="100">
        <v>1.1687051464147495</v>
      </c>
      <c r="BM29" s="100">
        <v>395.48982154675122</v>
      </c>
      <c r="BN29" s="100">
        <v>9.3585705787849491</v>
      </c>
      <c r="BO29" s="100">
        <v>3166.9402838608266</v>
      </c>
      <c r="BP29" s="100">
        <v>10</v>
      </c>
      <c r="BQ29" s="100">
        <v>3384</v>
      </c>
      <c r="BR29" s="100">
        <v>5.7994604295407584</v>
      </c>
      <c r="BS29" s="100">
        <v>1962.5374093565924</v>
      </c>
      <c r="BT29" s="100">
        <v>4.2951593258569014</v>
      </c>
      <c r="BU29" s="100">
        <v>1453.4819158699754</v>
      </c>
      <c r="BV29" s="100">
        <v>2.1218169306501413</v>
      </c>
      <c r="BW29" s="100">
        <v>718.02284933200781</v>
      </c>
      <c r="BX29" s="100">
        <v>11.455507023397214</v>
      </c>
      <c r="BY29" s="100">
        <v>3876.5435767176168</v>
      </c>
      <c r="BZ29" s="100">
        <v>5.2485614687038522</v>
      </c>
      <c r="CA29" s="100">
        <v>1776.1132010093834</v>
      </c>
      <c r="CB29" s="100">
        <v>10</v>
      </c>
      <c r="CC29" s="100">
        <v>3384</v>
      </c>
      <c r="CD29" s="100">
        <v>10.410821594781021</v>
      </c>
      <c r="CE29" s="100">
        <v>3523.0220276738974</v>
      </c>
      <c r="CF29" s="100">
        <v>6.8216561134267146E-4</v>
      </c>
      <c r="CG29" s="100">
        <v>0.23084484287836002</v>
      </c>
      <c r="CH29" s="100">
        <v>11.738614370939048</v>
      </c>
      <c r="CI29" s="100">
        <v>3972.3471031257736</v>
      </c>
      <c r="CJ29" s="100">
        <v>4.0341674336861539E-4</v>
      </c>
      <c r="CK29" s="100">
        <v>0.13651622595593943</v>
      </c>
      <c r="CL29" s="100">
        <v>8.0005563237763599</v>
      </c>
      <c r="CM29" s="100">
        <v>2707.38825996592</v>
      </c>
      <c r="CN29" s="100">
        <v>8</v>
      </c>
      <c r="CO29" s="100">
        <v>2707.2</v>
      </c>
      <c r="CP29" s="100">
        <v>11.880205148054005</v>
      </c>
      <c r="CQ29" s="100">
        <v>4020.2614221014751</v>
      </c>
      <c r="CR29" s="100">
        <v>5.2663284356637167E-4</v>
      </c>
      <c r="CS29" s="100">
        <v>0.17821255426286017</v>
      </c>
      <c r="CT29" s="100">
        <v>12</v>
      </c>
      <c r="CU29" s="100">
        <v>4060.7999999999997</v>
      </c>
    </row>
    <row r="30" spans="2:99">
      <c r="C30" s="99" t="s">
        <v>196</v>
      </c>
      <c r="D30" s="100">
        <v>8.4612892627348586</v>
      </c>
      <c r="E30" s="100">
        <v>1177.8114653726923</v>
      </c>
      <c r="F30" s="100">
        <v>2.1101837878332725</v>
      </c>
      <c r="G30" s="100">
        <v>293.73758326639154</v>
      </c>
      <c r="H30" s="100">
        <v>10.336629516492287</v>
      </c>
      <c r="I30" s="100">
        <v>1438.8588286957263</v>
      </c>
      <c r="J30" s="100">
        <v>7</v>
      </c>
      <c r="K30" s="100">
        <v>974.39999999999986</v>
      </c>
      <c r="L30" s="100">
        <v>5.5588976720343259</v>
      </c>
      <c r="M30" s="100">
        <v>773.7985559471781</v>
      </c>
      <c r="N30" s="100">
        <v>9</v>
      </c>
      <c r="O30" s="100">
        <v>1252.8</v>
      </c>
      <c r="P30" s="100">
        <v>6</v>
      </c>
      <c r="Q30" s="100">
        <v>835.19999999999993</v>
      </c>
      <c r="R30" s="100">
        <v>7.3083374027897303</v>
      </c>
      <c r="S30" s="100">
        <v>1017.3205664683304</v>
      </c>
      <c r="T30" s="100">
        <v>6.5265339294443773E-4</v>
      </c>
      <c r="U30" s="100">
        <v>9.0849352297865726E-2</v>
      </c>
      <c r="V30" s="100">
        <v>6.3576271728419531</v>
      </c>
      <c r="W30" s="100">
        <v>884.98170245959977</v>
      </c>
      <c r="X30" s="100">
        <v>8</v>
      </c>
      <c r="Y30" s="100">
        <v>1113.5999999999999</v>
      </c>
      <c r="Z30" s="100">
        <v>11</v>
      </c>
      <c r="AA30" s="100">
        <v>1531.1999999999998</v>
      </c>
      <c r="AB30" s="100">
        <v>3.0316165785919944</v>
      </c>
      <c r="AC30" s="100">
        <v>422.00102774000561</v>
      </c>
      <c r="AD30" s="100">
        <v>5.7220020176860702</v>
      </c>
      <c r="AE30" s="100">
        <v>796.5026808619009</v>
      </c>
      <c r="AF30" s="100">
        <v>2.0004126672833342</v>
      </c>
      <c r="AG30" s="100">
        <v>278.4574432858401</v>
      </c>
      <c r="AH30" s="100">
        <v>9.9071086996480329</v>
      </c>
      <c r="AI30" s="100">
        <v>1379.0695309910061</v>
      </c>
      <c r="AJ30" s="100">
        <v>11</v>
      </c>
      <c r="AK30" s="100">
        <v>1531.1999999999998</v>
      </c>
      <c r="AL30" s="100">
        <v>0.58007100188545135</v>
      </c>
      <c r="AM30" s="100">
        <v>80.745883462454827</v>
      </c>
      <c r="AN30" s="100">
        <v>7</v>
      </c>
      <c r="AO30" s="100">
        <v>974.39999999999986</v>
      </c>
      <c r="AP30" s="100">
        <v>6</v>
      </c>
      <c r="AQ30" s="100">
        <v>835.19999999999993</v>
      </c>
      <c r="AR30" s="100">
        <v>9</v>
      </c>
      <c r="AS30" s="100">
        <v>1252.8</v>
      </c>
      <c r="AT30" s="100">
        <v>5.640095788302415</v>
      </c>
      <c r="AU30" s="100">
        <v>785.10133373169606</v>
      </c>
      <c r="AV30" s="100">
        <v>5.1558396992925353</v>
      </c>
      <c r="AW30" s="100">
        <v>717.69288614152083</v>
      </c>
      <c r="AX30" s="100">
        <v>5.3446613377066603</v>
      </c>
      <c r="AY30" s="100">
        <v>743.976858208767</v>
      </c>
      <c r="AZ30" s="100">
        <v>6.2687482096343787</v>
      </c>
      <c r="BA30" s="100">
        <v>872.6097507811055</v>
      </c>
      <c r="BB30" s="100">
        <v>4.9692028543488339E-4</v>
      </c>
      <c r="BC30" s="100">
        <v>6.9171303732535758E-2</v>
      </c>
      <c r="BD30" s="100">
        <v>9.4948185407594892</v>
      </c>
      <c r="BE30" s="100">
        <v>1321.6787408737207</v>
      </c>
      <c r="BF30" s="100">
        <v>8.2583587626505501</v>
      </c>
      <c r="BG30" s="100">
        <v>1149.5635397609565</v>
      </c>
      <c r="BH30" s="100">
        <v>7.3207120938443854E-4</v>
      </c>
      <c r="BI30" s="100">
        <v>0.10190431234631384</v>
      </c>
      <c r="BJ30" s="100">
        <v>13.03997882629726</v>
      </c>
      <c r="BK30" s="100">
        <v>1815.1650526205783</v>
      </c>
      <c r="BL30" s="100">
        <v>1.1687051464147495</v>
      </c>
      <c r="BM30" s="100">
        <v>162.68375638093312</v>
      </c>
      <c r="BN30" s="100">
        <v>9.4820769950381258</v>
      </c>
      <c r="BO30" s="100">
        <v>1319.905117709307</v>
      </c>
      <c r="BP30" s="100">
        <v>11</v>
      </c>
      <c r="BQ30" s="100">
        <v>1531.1999999999998</v>
      </c>
      <c r="BR30" s="100">
        <v>5.7994604295407584</v>
      </c>
      <c r="BS30" s="100">
        <v>807.28489179207349</v>
      </c>
      <c r="BT30" s="100">
        <v>4.2951593258569014</v>
      </c>
      <c r="BU30" s="100">
        <v>597.88617815928058</v>
      </c>
      <c r="BV30" s="100">
        <v>2.1218169306501413</v>
      </c>
      <c r="BW30" s="100">
        <v>295.35691674649962</v>
      </c>
      <c r="BX30" s="100">
        <v>13.587825843706053</v>
      </c>
      <c r="BY30" s="100">
        <v>1891.4253574438824</v>
      </c>
      <c r="BZ30" s="100">
        <v>5.2485614687038522</v>
      </c>
      <c r="CA30" s="100">
        <v>730.59975644357621</v>
      </c>
      <c r="CB30" s="100">
        <v>11</v>
      </c>
      <c r="CC30" s="100">
        <v>1531.1999999999998</v>
      </c>
      <c r="CD30" s="100">
        <v>10.410821594781021</v>
      </c>
      <c r="CE30" s="100">
        <v>1449.1863659935179</v>
      </c>
      <c r="CF30" s="100">
        <v>6.139490502084043E-4</v>
      </c>
      <c r="CG30" s="100">
        <v>8.5461707789009869E-2</v>
      </c>
      <c r="CH30" s="100">
        <v>10.471242252616495</v>
      </c>
      <c r="CI30" s="100">
        <v>1457.596921564216</v>
      </c>
      <c r="CJ30" s="100">
        <v>4.7017363869132812E-4</v>
      </c>
      <c r="CK30" s="100">
        <v>6.5448170505832876E-2</v>
      </c>
      <c r="CL30" s="100">
        <v>7.0005563237763599</v>
      </c>
      <c r="CM30" s="100">
        <v>974.47744026966927</v>
      </c>
      <c r="CN30" s="100">
        <v>8</v>
      </c>
      <c r="CO30" s="100">
        <v>1113.5999999999999</v>
      </c>
      <c r="CP30" s="100">
        <v>11.880205148054005</v>
      </c>
      <c r="CQ30" s="100">
        <v>1653.7245566091174</v>
      </c>
      <c r="CR30" s="100">
        <v>5.2663284356637167E-4</v>
      </c>
      <c r="CS30" s="100">
        <v>7.330729182443893E-2</v>
      </c>
      <c r="CT30" s="100">
        <v>12</v>
      </c>
      <c r="CU30" s="100">
        <v>1670.3999999999999</v>
      </c>
    </row>
    <row r="31" spans="2:99">
      <c r="C31" s="99" t="s">
        <v>197</v>
      </c>
      <c r="D31" s="100">
        <v>7.7721904777976354</v>
      </c>
      <c r="E31" s="100">
        <v>2648.7625148334341</v>
      </c>
      <c r="F31" s="100">
        <v>1.8811427013589002</v>
      </c>
      <c r="G31" s="100">
        <v>641.09343262311324</v>
      </c>
      <c r="H31" s="100">
        <v>10.202966564843059</v>
      </c>
      <c r="I31" s="100">
        <v>3477.171005298515</v>
      </c>
      <c r="J31" s="100">
        <v>6</v>
      </c>
      <c r="K31" s="100">
        <v>2044.8000000000002</v>
      </c>
      <c r="L31" s="100">
        <v>4.3235870782489201</v>
      </c>
      <c r="M31" s="100">
        <v>1473.4784762672321</v>
      </c>
      <c r="N31" s="100">
        <v>8</v>
      </c>
      <c r="O31" s="100">
        <v>2726.4</v>
      </c>
      <c r="P31" s="100">
        <v>7</v>
      </c>
      <c r="Q31" s="100">
        <v>2385.6</v>
      </c>
      <c r="R31" s="100">
        <v>6.496299913590871</v>
      </c>
      <c r="S31" s="100">
        <v>2213.9390105517691</v>
      </c>
      <c r="T31" s="100">
        <v>6.4908833877163317E-4</v>
      </c>
      <c r="U31" s="100">
        <v>0.22120930585337259</v>
      </c>
      <c r="V31" s="100">
        <v>7.2658596261050894</v>
      </c>
      <c r="W31" s="100">
        <v>2476.2049605766147</v>
      </c>
      <c r="X31" s="100">
        <v>8</v>
      </c>
      <c r="Y31" s="100">
        <v>2726.4</v>
      </c>
      <c r="Z31" s="100">
        <v>9</v>
      </c>
      <c r="AA31" s="100">
        <v>3067.2000000000003</v>
      </c>
      <c r="AB31" s="100">
        <v>2.6526645062679952</v>
      </c>
      <c r="AC31" s="100">
        <v>904.02806373613282</v>
      </c>
      <c r="AD31" s="100">
        <v>4.7128220908890421</v>
      </c>
      <c r="AE31" s="100">
        <v>1606.1297685749855</v>
      </c>
      <c r="AF31" s="100">
        <v>2.0102124294162742</v>
      </c>
      <c r="AG31" s="100">
        <v>685.08039594506624</v>
      </c>
      <c r="AH31" s="100">
        <v>8.7799681196714978</v>
      </c>
      <c r="AI31" s="100">
        <v>2992.2131351840467</v>
      </c>
      <c r="AJ31" s="100">
        <v>11</v>
      </c>
      <c r="AK31" s="100">
        <v>3748.8</v>
      </c>
      <c r="AL31" s="100">
        <v>0.49720371590181534</v>
      </c>
      <c r="AM31" s="100">
        <v>169.44702637933867</v>
      </c>
      <c r="AN31" s="100">
        <v>8</v>
      </c>
      <c r="AO31" s="100">
        <v>2726.4</v>
      </c>
      <c r="AP31" s="100">
        <v>6</v>
      </c>
      <c r="AQ31" s="100">
        <v>2044.8000000000002</v>
      </c>
      <c r="AR31" s="100">
        <v>9</v>
      </c>
      <c r="AS31" s="100">
        <v>3067.2000000000003</v>
      </c>
      <c r="AT31" s="100">
        <v>6.5801117530194846</v>
      </c>
      <c r="AU31" s="100">
        <v>2242.5020854290406</v>
      </c>
      <c r="AV31" s="100">
        <v>5.1558396992925353</v>
      </c>
      <c r="AW31" s="100">
        <v>1757.1101695188961</v>
      </c>
      <c r="AX31" s="100">
        <v>5.3446613377066603</v>
      </c>
      <c r="AY31" s="100">
        <v>1821.4605838904299</v>
      </c>
      <c r="AZ31" s="100">
        <v>5.4851546834300811</v>
      </c>
      <c r="BA31" s="100">
        <v>1869.3407161129717</v>
      </c>
      <c r="BB31" s="100">
        <v>5.6790889763986673E-4</v>
      </c>
      <c r="BC31" s="100">
        <v>0.19354335231566658</v>
      </c>
      <c r="BD31" s="100">
        <v>9.3453366866835399</v>
      </c>
      <c r="BE31" s="100">
        <v>3184.8907428217503</v>
      </c>
      <c r="BF31" s="100">
        <v>8.2583587626505501</v>
      </c>
      <c r="BG31" s="100">
        <v>2814.4486663113075</v>
      </c>
      <c r="BH31" s="100">
        <v>6.6495126185868816E-4</v>
      </c>
      <c r="BI31" s="100">
        <v>0.22661539004144093</v>
      </c>
      <c r="BJ31" s="100">
        <v>10.912480149653682</v>
      </c>
      <c r="BK31" s="100">
        <v>3718.9732350019749</v>
      </c>
      <c r="BL31" s="100">
        <v>1.1687051464147495</v>
      </c>
      <c r="BM31" s="100">
        <v>398.29471389814665</v>
      </c>
      <c r="BN31" s="100">
        <v>9.4820769950381258</v>
      </c>
      <c r="BO31" s="100">
        <v>3231.4918399089934</v>
      </c>
      <c r="BP31" s="100">
        <v>11</v>
      </c>
      <c r="BQ31" s="100">
        <v>3748.8</v>
      </c>
      <c r="BR31" s="100">
        <v>5.7994604295407584</v>
      </c>
      <c r="BS31" s="100">
        <v>1976.4561143874905</v>
      </c>
      <c r="BT31" s="100">
        <v>4.2951593258569014</v>
      </c>
      <c r="BU31" s="100">
        <v>1463.790298252032</v>
      </c>
      <c r="BV31" s="100">
        <v>1.8970080454822535</v>
      </c>
      <c r="BW31" s="100">
        <v>646.50034190035205</v>
      </c>
      <c r="BX31" s="100">
        <v>12.587825843706053</v>
      </c>
      <c r="BY31" s="100">
        <v>4289.931047535023</v>
      </c>
      <c r="BZ31" s="100">
        <v>5.2485614687038522</v>
      </c>
      <c r="CA31" s="100">
        <v>1788.7097485342729</v>
      </c>
      <c r="CB31" s="100">
        <v>10</v>
      </c>
      <c r="CC31" s="100">
        <v>3408</v>
      </c>
      <c r="CD31" s="100">
        <v>10.410821594781021</v>
      </c>
      <c r="CE31" s="100">
        <v>3548.0079995013721</v>
      </c>
      <c r="CF31" s="100">
        <v>6.8216561134267146E-4</v>
      </c>
      <c r="CG31" s="100">
        <v>0.23248204034558245</v>
      </c>
      <c r="CH31" s="100">
        <v>11.167570458156618</v>
      </c>
      <c r="CI31" s="100">
        <v>3805.9080121397756</v>
      </c>
      <c r="CJ31" s="100">
        <v>4.7113209583544112E-4</v>
      </c>
      <c r="CK31" s="100">
        <v>0.16056181826071833</v>
      </c>
      <c r="CL31" s="100">
        <v>7.0005563237763599</v>
      </c>
      <c r="CM31" s="100">
        <v>2385.7895951429837</v>
      </c>
      <c r="CN31" s="100">
        <v>8</v>
      </c>
      <c r="CO31" s="100">
        <v>2726.4</v>
      </c>
      <c r="CP31" s="100">
        <v>11.880205148054005</v>
      </c>
      <c r="CQ31" s="100">
        <v>4048.773914456805</v>
      </c>
      <c r="CR31" s="100">
        <v>4.6080373812057527E-4</v>
      </c>
      <c r="CS31" s="100">
        <v>0.15704191395149206</v>
      </c>
      <c r="CT31" s="100">
        <v>11</v>
      </c>
      <c r="CU31" s="100">
        <v>3748.8</v>
      </c>
    </row>
    <row r="32" spans="2:99">
      <c r="C32" s="99" t="s">
        <v>198</v>
      </c>
      <c r="D32" s="100">
        <v>7.0830916928604113</v>
      </c>
      <c r="E32" s="100">
        <v>5949.7970220027455</v>
      </c>
      <c r="F32" s="100">
        <v>1.8612959087847363</v>
      </c>
      <c r="G32" s="100">
        <v>1563.4885633791785</v>
      </c>
      <c r="H32" s="100">
        <v>11.336629516492287</v>
      </c>
      <c r="I32" s="100">
        <v>9522.7687938535219</v>
      </c>
      <c r="J32" s="100">
        <v>6</v>
      </c>
      <c r="K32" s="100">
        <v>5040</v>
      </c>
      <c r="L32" s="100">
        <v>4.3235870782489201</v>
      </c>
      <c r="M32" s="100">
        <v>3631.8131457290929</v>
      </c>
      <c r="N32" s="100">
        <v>8</v>
      </c>
      <c r="O32" s="100">
        <v>6720</v>
      </c>
      <c r="P32" s="100">
        <v>7</v>
      </c>
      <c r="Q32" s="100">
        <v>5880</v>
      </c>
      <c r="R32" s="100">
        <v>7.3083374027897303</v>
      </c>
      <c r="S32" s="100">
        <v>6139.0034183433736</v>
      </c>
      <c r="T32" s="100">
        <v>4.9840268014033988E-4</v>
      </c>
      <c r="U32" s="100">
        <v>0.41865825131788548</v>
      </c>
      <c r="V32" s="100">
        <v>6.3576271728419531</v>
      </c>
      <c r="W32" s="100">
        <v>5340.4068251872404</v>
      </c>
      <c r="X32" s="100">
        <v>8</v>
      </c>
      <c r="Y32" s="100">
        <v>6720</v>
      </c>
      <c r="Z32" s="100">
        <v>8</v>
      </c>
      <c r="AA32" s="100">
        <v>6720</v>
      </c>
      <c r="AB32" s="100">
        <v>2.273712433943996</v>
      </c>
      <c r="AC32" s="100">
        <v>1909.9184445129567</v>
      </c>
      <c r="AD32" s="100">
        <v>4.7308760298682442</v>
      </c>
      <c r="AE32" s="100">
        <v>3973.935865089325</v>
      </c>
      <c r="AF32" s="100">
        <v>2.0102124294162742</v>
      </c>
      <c r="AG32" s="100">
        <v>1688.5784407096703</v>
      </c>
      <c r="AH32" s="100">
        <v>9.7799681196714978</v>
      </c>
      <c r="AI32" s="100">
        <v>8215.1732205240587</v>
      </c>
      <c r="AJ32" s="100">
        <v>10</v>
      </c>
      <c r="AK32" s="100">
        <v>8400</v>
      </c>
      <c r="AL32" s="100">
        <v>0.49720371590181534</v>
      </c>
      <c r="AM32" s="100">
        <v>417.65112135752486</v>
      </c>
      <c r="AN32" s="100">
        <v>7</v>
      </c>
      <c r="AO32" s="100">
        <v>5880</v>
      </c>
      <c r="AP32" s="100">
        <v>6</v>
      </c>
      <c r="AQ32" s="100">
        <v>5040</v>
      </c>
      <c r="AR32" s="100">
        <v>8</v>
      </c>
      <c r="AS32" s="100">
        <v>6720</v>
      </c>
      <c r="AT32" s="100">
        <v>5.640095788302415</v>
      </c>
      <c r="AU32" s="100">
        <v>4737.6804621740284</v>
      </c>
      <c r="AV32" s="100">
        <v>4.4192911708221727</v>
      </c>
      <c r="AW32" s="100">
        <v>3712.2045834906253</v>
      </c>
      <c r="AX32" s="100">
        <v>5.3446613377066603</v>
      </c>
      <c r="AY32" s="100">
        <v>4489.5155236735945</v>
      </c>
      <c r="AZ32" s="100">
        <v>5.4851546834300811</v>
      </c>
      <c r="BA32" s="100">
        <v>4607.529934081268</v>
      </c>
      <c r="BB32" s="100">
        <v>4.9692028543488339E-4</v>
      </c>
      <c r="BC32" s="100">
        <v>0.41741303976530203</v>
      </c>
      <c r="BD32" s="100">
        <v>9.4948185407594892</v>
      </c>
      <c r="BE32" s="100">
        <v>7975.6475742379707</v>
      </c>
      <c r="BF32" s="100">
        <v>7.3407633445782672</v>
      </c>
      <c r="BG32" s="100">
        <v>6166.2412094457441</v>
      </c>
      <c r="BH32" s="100">
        <v>6.6703399965829325E-4</v>
      </c>
      <c r="BI32" s="100">
        <v>0.56030855971296634</v>
      </c>
      <c r="BJ32" s="100">
        <v>10.912480149653682</v>
      </c>
      <c r="BK32" s="100">
        <v>9166.4833257090922</v>
      </c>
      <c r="BL32" s="100">
        <v>1.0017472683554995</v>
      </c>
      <c r="BM32" s="100">
        <v>841.46770541861963</v>
      </c>
      <c r="BN32" s="100">
        <v>8.3585705787849491</v>
      </c>
      <c r="BO32" s="100">
        <v>7021.1992861793569</v>
      </c>
      <c r="BP32" s="100">
        <v>9</v>
      </c>
      <c r="BQ32" s="100">
        <v>7560</v>
      </c>
      <c r="BR32" s="100">
        <v>5.2722367541279622</v>
      </c>
      <c r="BS32" s="100">
        <v>4428.6788734674883</v>
      </c>
      <c r="BT32" s="100">
        <v>4.2951593258569014</v>
      </c>
      <c r="BU32" s="100">
        <v>3607.9338337197973</v>
      </c>
      <c r="BV32" s="100">
        <v>2.0922558414083952</v>
      </c>
      <c r="BW32" s="100">
        <v>1757.4949067830519</v>
      </c>
      <c r="BX32" s="100">
        <v>11.455507023397214</v>
      </c>
      <c r="BY32" s="100">
        <v>9622.6258996536599</v>
      </c>
      <c r="BZ32" s="100">
        <v>4.49876697317473</v>
      </c>
      <c r="CA32" s="100">
        <v>3778.9642574667732</v>
      </c>
      <c r="CB32" s="100">
        <v>9</v>
      </c>
      <c r="CC32" s="100">
        <v>7560</v>
      </c>
      <c r="CD32" s="100">
        <v>9.4643832679827469</v>
      </c>
      <c r="CE32" s="100">
        <v>7950.0819451055077</v>
      </c>
      <c r="CF32" s="100">
        <v>6.8216561134267146E-4</v>
      </c>
      <c r="CG32" s="100">
        <v>0.57301911352784407</v>
      </c>
      <c r="CH32" s="100">
        <v>9.2737768760456198</v>
      </c>
      <c r="CI32" s="100">
        <v>7789.9725758783206</v>
      </c>
      <c r="CJ32" s="100">
        <v>4.0437520051272844E-4</v>
      </c>
      <c r="CK32" s="100">
        <v>0.3396751684306919</v>
      </c>
      <c r="CL32" s="100">
        <v>6.0005057488876004</v>
      </c>
      <c r="CM32" s="100">
        <v>5040.4248290655842</v>
      </c>
      <c r="CN32" s="100">
        <v>7</v>
      </c>
      <c r="CO32" s="100">
        <v>5880</v>
      </c>
      <c r="CP32" s="100">
        <v>9.9001709567116709</v>
      </c>
      <c r="CQ32" s="100">
        <v>8316.1436036378036</v>
      </c>
      <c r="CR32" s="100">
        <v>5.2663284356637167E-4</v>
      </c>
      <c r="CS32" s="100">
        <v>0.44237158859575221</v>
      </c>
      <c r="CT32" s="100">
        <v>10</v>
      </c>
      <c r="CU32" s="100">
        <v>8400</v>
      </c>
    </row>
    <row r="33" spans="2:99">
      <c r="C33" s="99" t="s">
        <v>199</v>
      </c>
      <c r="D33" s="100">
        <v>8.3511389341816855</v>
      </c>
      <c r="E33" s="100">
        <v>3958.439854802119</v>
      </c>
      <c r="F33" s="100">
        <v>1.8612959087847363</v>
      </c>
      <c r="G33" s="100">
        <v>882.25426076396502</v>
      </c>
      <c r="H33" s="100">
        <v>10.336629516492287</v>
      </c>
      <c r="I33" s="100">
        <v>4899.5623908173438</v>
      </c>
      <c r="J33" s="100">
        <v>5</v>
      </c>
      <c r="K33" s="100">
        <v>2370</v>
      </c>
      <c r="L33" s="100">
        <v>4.9412423751416226</v>
      </c>
      <c r="M33" s="100">
        <v>2342.1488858171292</v>
      </c>
      <c r="N33" s="100">
        <v>9</v>
      </c>
      <c r="O33" s="100">
        <v>4266</v>
      </c>
      <c r="P33" s="100">
        <v>7</v>
      </c>
      <c r="Q33" s="100">
        <v>3318</v>
      </c>
      <c r="R33" s="100">
        <v>6.496299913590871</v>
      </c>
      <c r="S33" s="100">
        <v>3079.246159042073</v>
      </c>
      <c r="T33" s="100">
        <v>6.4908833877163317E-4</v>
      </c>
      <c r="U33" s="100">
        <v>0.30766787257775413</v>
      </c>
      <c r="V33" s="100">
        <v>6.3576271728419531</v>
      </c>
      <c r="W33" s="100">
        <v>3013.5152799270859</v>
      </c>
      <c r="X33" s="100">
        <v>8</v>
      </c>
      <c r="Y33" s="100">
        <v>3792</v>
      </c>
      <c r="Z33" s="100">
        <v>10</v>
      </c>
      <c r="AA33" s="100">
        <v>4740</v>
      </c>
      <c r="AB33" s="100">
        <v>2.6526645062679952</v>
      </c>
      <c r="AC33" s="100">
        <v>1257.3629759710298</v>
      </c>
      <c r="AD33" s="100">
        <v>5.190331145818754</v>
      </c>
      <c r="AE33" s="100">
        <v>2460.2169631180896</v>
      </c>
      <c r="AF33" s="100">
        <v>1.7736355189386499</v>
      </c>
      <c r="AG33" s="100">
        <v>840.70323597692004</v>
      </c>
      <c r="AH33" s="100">
        <v>8.6528275396949628</v>
      </c>
      <c r="AI33" s="100">
        <v>4101.4402538154127</v>
      </c>
      <c r="AJ33" s="100">
        <v>11</v>
      </c>
      <c r="AK33" s="100">
        <v>5214</v>
      </c>
      <c r="AL33" s="100">
        <v>0.49720371590181534</v>
      </c>
      <c r="AM33" s="100">
        <v>235.67456133746046</v>
      </c>
      <c r="AN33" s="100">
        <v>7</v>
      </c>
      <c r="AO33" s="100">
        <v>3318</v>
      </c>
      <c r="AP33" s="100">
        <v>7</v>
      </c>
      <c r="AQ33" s="100">
        <v>3318</v>
      </c>
      <c r="AR33" s="100">
        <v>7</v>
      </c>
      <c r="AS33" s="100">
        <v>3318</v>
      </c>
      <c r="AT33" s="100">
        <v>6.5801117530194846</v>
      </c>
      <c r="AU33" s="100">
        <v>3118.9729709312355</v>
      </c>
      <c r="AV33" s="100">
        <v>4.4192911708221727</v>
      </c>
      <c r="AW33" s="100">
        <v>2094.74401496971</v>
      </c>
      <c r="AX33" s="100">
        <v>4.4538844480888837</v>
      </c>
      <c r="AY33" s="100">
        <v>2111.1412283941308</v>
      </c>
      <c r="AZ33" s="100">
        <v>5.4851546834300811</v>
      </c>
      <c r="BA33" s="100">
        <v>2599.9633199458585</v>
      </c>
      <c r="BB33" s="100">
        <v>4.2593167322990005E-4</v>
      </c>
      <c r="BC33" s="100">
        <v>0.20189161311097262</v>
      </c>
      <c r="BD33" s="100">
        <v>8.1958548326075906</v>
      </c>
      <c r="BE33" s="100">
        <v>3884.8351906559978</v>
      </c>
      <c r="BF33" s="100">
        <v>7.3407633445782672</v>
      </c>
      <c r="BG33" s="100">
        <v>3479.5218253300986</v>
      </c>
      <c r="BH33" s="100">
        <v>6.6703399965829325E-4</v>
      </c>
      <c r="BI33" s="100">
        <v>0.31617411583803101</v>
      </c>
      <c r="BJ33" s="100">
        <v>11.784981473010102</v>
      </c>
      <c r="BK33" s="100">
        <v>5586.0812182067884</v>
      </c>
      <c r="BL33" s="100">
        <v>1.0017472683554995</v>
      </c>
      <c r="BM33" s="100">
        <v>474.82820520050677</v>
      </c>
      <c r="BN33" s="100">
        <v>8.4820769950381258</v>
      </c>
      <c r="BO33" s="100">
        <v>4020.5044956480715</v>
      </c>
      <c r="BP33" s="100">
        <v>10</v>
      </c>
      <c r="BQ33" s="100">
        <v>4740</v>
      </c>
      <c r="BR33" s="100">
        <v>5.7994604295407584</v>
      </c>
      <c r="BS33" s="100">
        <v>2748.9442436023196</v>
      </c>
      <c r="BT33" s="100">
        <v>4.2951593258569014</v>
      </c>
      <c r="BU33" s="100">
        <v>2035.9055204561712</v>
      </c>
      <c r="BV33" s="100">
        <v>1.9167154383100842</v>
      </c>
      <c r="BW33" s="100">
        <v>908.52311775897988</v>
      </c>
      <c r="BX33" s="100">
        <v>12.455507023397214</v>
      </c>
      <c r="BY33" s="100">
        <v>5903.9103290902794</v>
      </c>
      <c r="BZ33" s="100">
        <v>4.49876697317473</v>
      </c>
      <c r="CA33" s="100">
        <v>2132.4155452848222</v>
      </c>
      <c r="CB33" s="100">
        <v>10</v>
      </c>
      <c r="CC33" s="100">
        <v>4740</v>
      </c>
      <c r="CD33" s="100">
        <v>10.410821594781021</v>
      </c>
      <c r="CE33" s="100">
        <v>4934.7294359262041</v>
      </c>
      <c r="CF33" s="100">
        <v>6.8216561134267146E-4</v>
      </c>
      <c r="CG33" s="100">
        <v>0.32334649977642627</v>
      </c>
      <c r="CH33" s="100">
        <v>11.042286165398929</v>
      </c>
      <c r="CI33" s="100">
        <v>5234.0436423990923</v>
      </c>
      <c r="CJ33" s="100">
        <v>4.7113209583544112E-4</v>
      </c>
      <c r="CK33" s="100">
        <v>0.22331661342599909</v>
      </c>
      <c r="CL33" s="100">
        <v>7.0006068986651204</v>
      </c>
      <c r="CM33" s="100">
        <v>3318.287669967267</v>
      </c>
      <c r="CN33" s="100">
        <v>8</v>
      </c>
      <c r="CO33" s="100">
        <v>3792</v>
      </c>
      <c r="CP33" s="100">
        <v>10.89018805238284</v>
      </c>
      <c r="CQ33" s="100">
        <v>5161.9491368294657</v>
      </c>
      <c r="CR33" s="100">
        <v>4.6080373812057527E-4</v>
      </c>
      <c r="CS33" s="100">
        <v>0.21842097186915269</v>
      </c>
      <c r="CT33" s="100">
        <v>10</v>
      </c>
      <c r="CU33" s="100">
        <v>4740</v>
      </c>
    </row>
    <row r="34" spans="2:99">
      <c r="C34" s="99" t="s">
        <v>200</v>
      </c>
      <c r="D34" s="100">
        <v>8.4612892627348586</v>
      </c>
      <c r="E34" s="100">
        <v>4640.1710316837962</v>
      </c>
      <c r="F34" s="100">
        <v>1.8910660976459821</v>
      </c>
      <c r="G34" s="100">
        <v>1037.0606479490566</v>
      </c>
      <c r="H34" s="100">
        <v>10.336629516492287</v>
      </c>
      <c r="I34" s="100">
        <v>5668.6076268443703</v>
      </c>
      <c r="J34" s="100">
        <v>6</v>
      </c>
      <c r="K34" s="100">
        <v>3290.3999999999996</v>
      </c>
      <c r="L34" s="100">
        <v>4.3235870782489201</v>
      </c>
      <c r="M34" s="100">
        <v>2371.0551537117076</v>
      </c>
      <c r="N34" s="100">
        <v>8</v>
      </c>
      <c r="O34" s="100">
        <v>4387.2</v>
      </c>
      <c r="P34" s="100">
        <v>7</v>
      </c>
      <c r="Q34" s="100">
        <v>3838.7999999999997</v>
      </c>
      <c r="R34" s="100">
        <v>6.496299913590871</v>
      </c>
      <c r="S34" s="100">
        <v>3562.5708726132334</v>
      </c>
      <c r="T34" s="100">
        <v>5.7374550945598647E-4</v>
      </c>
      <c r="U34" s="100">
        <v>0.31464203738566299</v>
      </c>
      <c r="V34" s="100">
        <v>7.2658596261050894</v>
      </c>
      <c r="W34" s="100">
        <v>3984.5974189560307</v>
      </c>
      <c r="X34" s="100">
        <v>8</v>
      </c>
      <c r="Y34" s="100">
        <v>4387.2</v>
      </c>
      <c r="Z34" s="100">
        <v>10</v>
      </c>
      <c r="AA34" s="100">
        <v>5484</v>
      </c>
      <c r="AB34" s="100">
        <v>3.0316165785919944</v>
      </c>
      <c r="AC34" s="100">
        <v>1662.5385316998497</v>
      </c>
      <c r="AD34" s="100">
        <v>5.208385084797956</v>
      </c>
      <c r="AE34" s="100">
        <v>2856.2783805031991</v>
      </c>
      <c r="AF34" s="100">
        <v>2.0004126672833342</v>
      </c>
      <c r="AG34" s="100">
        <v>1097.0263067381804</v>
      </c>
      <c r="AH34" s="100">
        <v>9.7799681196714978</v>
      </c>
      <c r="AI34" s="100">
        <v>5363.3345168278493</v>
      </c>
      <c r="AJ34" s="100">
        <v>10</v>
      </c>
      <c r="AK34" s="100">
        <v>5484</v>
      </c>
      <c r="AL34" s="100">
        <v>0.49720371590181534</v>
      </c>
      <c r="AM34" s="100">
        <v>272.66651780055554</v>
      </c>
      <c r="AN34" s="100">
        <v>7</v>
      </c>
      <c r="AO34" s="100">
        <v>3838.7999999999997</v>
      </c>
      <c r="AP34" s="100">
        <v>6</v>
      </c>
      <c r="AQ34" s="100">
        <v>3290.3999999999996</v>
      </c>
      <c r="AR34" s="100">
        <v>7</v>
      </c>
      <c r="AS34" s="100">
        <v>3838.7999999999997</v>
      </c>
      <c r="AT34" s="100">
        <v>5.640095788302415</v>
      </c>
      <c r="AU34" s="100">
        <v>3093.0285303050441</v>
      </c>
      <c r="AV34" s="100">
        <v>4.4192911708221727</v>
      </c>
      <c r="AW34" s="100">
        <v>2423.5392780788793</v>
      </c>
      <c r="AX34" s="100">
        <v>5.3446613377066603</v>
      </c>
      <c r="AY34" s="100">
        <v>2931.0122775983323</v>
      </c>
      <c r="AZ34" s="100">
        <v>5.4851546834300811</v>
      </c>
      <c r="BA34" s="100">
        <v>3008.0588283930565</v>
      </c>
      <c r="BB34" s="100">
        <v>4.9692028543488339E-4</v>
      </c>
      <c r="BC34" s="100">
        <v>0.27251108453249007</v>
      </c>
      <c r="BD34" s="100">
        <v>8.1958548326075906</v>
      </c>
      <c r="BE34" s="100">
        <v>4494.6067902020022</v>
      </c>
      <c r="BF34" s="100">
        <v>8.2583587626505501</v>
      </c>
      <c r="BG34" s="100">
        <v>4528.8839454375611</v>
      </c>
      <c r="BH34" s="100">
        <v>7.2790573378522815E-4</v>
      </c>
      <c r="BI34" s="100">
        <v>0.39918350440781908</v>
      </c>
      <c r="BJ34" s="100">
        <v>11.657482796366523</v>
      </c>
      <c r="BK34" s="100">
        <v>6392.9635655274005</v>
      </c>
      <c r="BL34" s="100">
        <v>1.1687051464147495</v>
      </c>
      <c r="BM34" s="100">
        <v>640.91790229384867</v>
      </c>
      <c r="BN34" s="100">
        <v>8.6055834112913026</v>
      </c>
      <c r="BO34" s="100">
        <v>4719.3019427521504</v>
      </c>
      <c r="BP34" s="100">
        <v>11</v>
      </c>
      <c r="BQ34" s="100">
        <v>6032.4</v>
      </c>
      <c r="BR34" s="100">
        <v>5.7994604295407584</v>
      </c>
      <c r="BS34" s="100">
        <v>3180.4240995601517</v>
      </c>
      <c r="BT34" s="100">
        <v>4.2951593258569014</v>
      </c>
      <c r="BU34" s="100">
        <v>2355.4653742999249</v>
      </c>
      <c r="BV34" s="100">
        <v>2.1021095378223107</v>
      </c>
      <c r="BW34" s="100">
        <v>1152.7968705417552</v>
      </c>
      <c r="BX34" s="100">
        <v>11.587825843706053</v>
      </c>
      <c r="BY34" s="100">
        <v>6354.7636926883988</v>
      </c>
      <c r="BZ34" s="100">
        <v>5.2485614687038522</v>
      </c>
      <c r="CA34" s="100">
        <v>2878.3111094371925</v>
      </c>
      <c r="CB34" s="100">
        <v>10</v>
      </c>
      <c r="CC34" s="100">
        <v>5484</v>
      </c>
      <c r="CD34" s="100">
        <v>8.5179449411844708</v>
      </c>
      <c r="CE34" s="100">
        <v>4671.2410057455636</v>
      </c>
      <c r="CF34" s="100">
        <v>6.8216561134267146E-4</v>
      </c>
      <c r="CG34" s="100">
        <v>0.37409962126032104</v>
      </c>
      <c r="CH34" s="100">
        <v>10.09538937434343</v>
      </c>
      <c r="CI34" s="100">
        <v>5536.3115328899366</v>
      </c>
      <c r="CJ34" s="100">
        <v>4.0533365765684155E-4</v>
      </c>
      <c r="CK34" s="100">
        <v>0.22228497785901188</v>
      </c>
      <c r="CL34" s="100">
        <v>7.0006068986651204</v>
      </c>
      <c r="CM34" s="100">
        <v>3839.132823227952</v>
      </c>
      <c r="CN34" s="100">
        <v>8</v>
      </c>
      <c r="CO34" s="100">
        <v>4387.2</v>
      </c>
      <c r="CP34" s="100">
        <v>10.89018805238284</v>
      </c>
      <c r="CQ34" s="100">
        <v>5972.1791279267491</v>
      </c>
      <c r="CR34" s="100">
        <v>5.2663284356637167E-4</v>
      </c>
      <c r="CS34" s="100">
        <v>0.2888054514117982</v>
      </c>
      <c r="CT34" s="100">
        <v>11</v>
      </c>
      <c r="CU34" s="100">
        <v>6032.4</v>
      </c>
    </row>
    <row r="35" spans="2:99">
      <c r="C35" s="99" t="s">
        <v>201</v>
      </c>
      <c r="D35" s="100">
        <v>8.3511389341816855</v>
      </c>
      <c r="E35" s="100">
        <v>4198.9526561065504</v>
      </c>
      <c r="F35" s="100">
        <v>1.8513725124976546</v>
      </c>
      <c r="G35" s="100">
        <v>930.87009928382054</v>
      </c>
      <c r="H35" s="100">
        <v>11.336629516492287</v>
      </c>
      <c r="I35" s="100">
        <v>5700.0573208923206</v>
      </c>
      <c r="J35" s="100">
        <v>6</v>
      </c>
      <c r="K35" s="100">
        <v>3016.7999999999993</v>
      </c>
      <c r="L35" s="100">
        <v>4.3235870782489201</v>
      </c>
      <c r="M35" s="100">
        <v>2173.8995829435567</v>
      </c>
      <c r="N35" s="100">
        <v>9</v>
      </c>
      <c r="O35" s="100">
        <v>4525.1999999999989</v>
      </c>
      <c r="P35" s="100">
        <v>6</v>
      </c>
      <c r="Q35" s="100">
        <v>3016.7999999999993</v>
      </c>
      <c r="R35" s="100">
        <v>6.496299913590871</v>
      </c>
      <c r="S35" s="100">
        <v>3266.3395965534892</v>
      </c>
      <c r="T35" s="100">
        <v>6.4908833877163317E-4</v>
      </c>
      <c r="U35" s="100">
        <v>0.32636161673437708</v>
      </c>
      <c r="V35" s="100">
        <v>6.3576271728419531</v>
      </c>
      <c r="W35" s="100">
        <v>3196.6149425049334</v>
      </c>
      <c r="X35" s="100">
        <v>9</v>
      </c>
      <c r="Y35" s="100">
        <v>4525.1999999999989</v>
      </c>
      <c r="Z35" s="100">
        <v>9</v>
      </c>
      <c r="AA35" s="100">
        <v>4525.1999999999989</v>
      </c>
      <c r="AB35" s="100">
        <v>2.6526645062679952</v>
      </c>
      <c r="AC35" s="100">
        <v>1333.7597137515477</v>
      </c>
      <c r="AD35" s="100">
        <v>5.685894139727667</v>
      </c>
      <c r="AE35" s="100">
        <v>2858.8675734550702</v>
      </c>
      <c r="AF35" s="100">
        <v>1.7638357568057097</v>
      </c>
      <c r="AG35" s="100">
        <v>886.8566185219106</v>
      </c>
      <c r="AH35" s="100">
        <v>8.9071086996480329</v>
      </c>
      <c r="AI35" s="100">
        <v>4478.4942541830296</v>
      </c>
      <c r="AJ35" s="100">
        <v>11</v>
      </c>
      <c r="AK35" s="100">
        <v>5530.7999999999993</v>
      </c>
      <c r="AL35" s="100">
        <v>0.58007100188545135</v>
      </c>
      <c r="AM35" s="100">
        <v>291.65969974800487</v>
      </c>
      <c r="AN35" s="100">
        <v>6</v>
      </c>
      <c r="AO35" s="100">
        <v>3016.7999999999993</v>
      </c>
      <c r="AP35" s="100">
        <v>6</v>
      </c>
      <c r="AQ35" s="100">
        <v>3016.7999999999993</v>
      </c>
      <c r="AR35" s="100">
        <v>8</v>
      </c>
      <c r="AS35" s="100">
        <v>4022.3999999999992</v>
      </c>
      <c r="AT35" s="100">
        <v>5.640095788302415</v>
      </c>
      <c r="AU35" s="100">
        <v>2835.8401623584537</v>
      </c>
      <c r="AV35" s="100">
        <v>4.4192911708221727</v>
      </c>
      <c r="AW35" s="100">
        <v>2222.019600689388</v>
      </c>
      <c r="AX35" s="100">
        <v>5.3446613377066603</v>
      </c>
      <c r="AY35" s="100">
        <v>2687.2957205989082</v>
      </c>
      <c r="AZ35" s="100">
        <v>5.4851546834300811</v>
      </c>
      <c r="BA35" s="100">
        <v>2757.9357748286443</v>
      </c>
      <c r="BB35" s="100">
        <v>4.9692028543488339E-4</v>
      </c>
      <c r="BC35" s="100">
        <v>0.24985151951665932</v>
      </c>
      <c r="BD35" s="100">
        <v>9.1958548326075906</v>
      </c>
      <c r="BE35" s="100">
        <v>4623.6758098350956</v>
      </c>
      <c r="BF35" s="100">
        <v>7.3407633445782672</v>
      </c>
      <c r="BG35" s="100">
        <v>3690.9358096539518</v>
      </c>
      <c r="BH35" s="100">
        <v>6.6495126185868816E-4</v>
      </c>
      <c r="BI35" s="100">
        <v>0.33433749446254835</v>
      </c>
      <c r="BJ35" s="100">
        <v>11.912480149653682</v>
      </c>
      <c r="BK35" s="100">
        <v>5989.5950192458704</v>
      </c>
      <c r="BL35" s="100">
        <v>1.0017472683554995</v>
      </c>
      <c r="BM35" s="100">
        <v>503.67852652914507</v>
      </c>
      <c r="BN35" s="100">
        <v>10.482076995038126</v>
      </c>
      <c r="BO35" s="100">
        <v>5270.3883131051689</v>
      </c>
      <c r="BP35" s="100">
        <v>11</v>
      </c>
      <c r="BQ35" s="100">
        <v>5530.7999999999993</v>
      </c>
      <c r="BR35" s="100">
        <v>5.2722367541279622</v>
      </c>
      <c r="BS35" s="100">
        <v>2650.880639975539</v>
      </c>
      <c r="BT35" s="100">
        <v>4.2951593258569014</v>
      </c>
      <c r="BU35" s="100">
        <v>2159.6061090408498</v>
      </c>
      <c r="BV35" s="100">
        <v>2.1021095378223107</v>
      </c>
      <c r="BW35" s="100">
        <v>1056.9406756170577</v>
      </c>
      <c r="BX35" s="100">
        <v>12.323188203088376</v>
      </c>
      <c r="BY35" s="100">
        <v>6196.0990285128346</v>
      </c>
      <c r="BZ35" s="100">
        <v>5.2485614687038522</v>
      </c>
      <c r="CA35" s="100">
        <v>2638.9767064642965</v>
      </c>
      <c r="CB35" s="100">
        <v>9</v>
      </c>
      <c r="CC35" s="100">
        <v>4525.1999999999989</v>
      </c>
      <c r="CD35" s="100">
        <v>8.5179449411844708</v>
      </c>
      <c r="CE35" s="100">
        <v>4282.8227164275513</v>
      </c>
      <c r="CF35" s="100">
        <v>6.8216561134267146E-4</v>
      </c>
      <c r="CG35" s="100">
        <v>0.34299286938309514</v>
      </c>
      <c r="CH35" s="100">
        <v>9.9701050815857393</v>
      </c>
      <c r="CI35" s="100">
        <v>5012.9688350213091</v>
      </c>
      <c r="CJ35" s="100">
        <v>4.0533365765684155E-4</v>
      </c>
      <c r="CK35" s="100">
        <v>0.20380176306985989</v>
      </c>
      <c r="CL35" s="100">
        <v>7.0006068986651204</v>
      </c>
      <c r="CM35" s="100">
        <v>3519.905148648822</v>
      </c>
      <c r="CN35" s="100">
        <v>8</v>
      </c>
      <c r="CO35" s="100">
        <v>4022.3999999999992</v>
      </c>
      <c r="CP35" s="100">
        <v>11.880205148054005</v>
      </c>
      <c r="CQ35" s="100">
        <v>5973.3671484415527</v>
      </c>
      <c r="CR35" s="100">
        <v>5.2663284356637167E-4</v>
      </c>
      <c r="CS35" s="100">
        <v>0.26479099374517162</v>
      </c>
      <c r="CT35" s="100">
        <v>11</v>
      </c>
      <c r="CU35" s="100">
        <v>5530.7999999999993</v>
      </c>
    </row>
    <row r="36" spans="2:99">
      <c r="C36" s="99" t="s">
        <v>202</v>
      </c>
      <c r="D36" s="100">
        <v>7.6620401492444614</v>
      </c>
      <c r="E36" s="100">
        <v>5829.2801455451863</v>
      </c>
      <c r="F36" s="100">
        <v>1.8811427013589002</v>
      </c>
      <c r="G36" s="100">
        <v>1431.1733671938512</v>
      </c>
      <c r="H36" s="100">
        <v>11.202966564843059</v>
      </c>
      <c r="I36" s="100">
        <v>8523.2169625325987</v>
      </c>
      <c r="J36" s="100">
        <v>6</v>
      </c>
      <c r="K36" s="100">
        <v>4564.7999999999993</v>
      </c>
      <c r="L36" s="100">
        <v>4.3235870782489201</v>
      </c>
      <c r="M36" s="100">
        <v>3289.385049131778</v>
      </c>
      <c r="N36" s="100">
        <v>8</v>
      </c>
      <c r="O36" s="100">
        <v>6086.4</v>
      </c>
      <c r="P36" s="100">
        <v>6</v>
      </c>
      <c r="Q36" s="100">
        <v>4564.7999999999993</v>
      </c>
      <c r="R36" s="100">
        <v>7.3083374027897303</v>
      </c>
      <c r="S36" s="100">
        <v>5560.1830960424268</v>
      </c>
      <c r="T36" s="100">
        <v>5.7374550945598647E-4</v>
      </c>
      <c r="U36" s="100">
        <v>0.43650558359411451</v>
      </c>
      <c r="V36" s="100">
        <v>6.3576271728419531</v>
      </c>
      <c r="W36" s="100">
        <v>4836.882753098158</v>
      </c>
      <c r="X36" s="100">
        <v>8</v>
      </c>
      <c r="Y36" s="100">
        <v>6086.4</v>
      </c>
      <c r="Z36" s="100">
        <v>9</v>
      </c>
      <c r="AA36" s="100">
        <v>6847.2</v>
      </c>
      <c r="AB36" s="100">
        <v>3.0316165785919944</v>
      </c>
      <c r="AC36" s="100">
        <v>2306.4538929927894</v>
      </c>
      <c r="AD36" s="100">
        <v>5.9453970604355169</v>
      </c>
      <c r="AE36" s="100">
        <v>4523.2580835793406</v>
      </c>
      <c r="AF36" s="100">
        <v>1.9906129051503936</v>
      </c>
      <c r="AG36" s="100">
        <v>1514.4582982384193</v>
      </c>
      <c r="AH36" s="100">
        <v>8.6528275396949628</v>
      </c>
      <c r="AI36" s="100">
        <v>6583.0711921999273</v>
      </c>
      <c r="AJ36" s="100">
        <v>9</v>
      </c>
      <c r="AK36" s="100">
        <v>6847.2</v>
      </c>
      <c r="AL36" s="100">
        <v>0.49720371590181534</v>
      </c>
      <c r="AM36" s="100">
        <v>378.27258705810107</v>
      </c>
      <c r="AN36" s="100">
        <v>6</v>
      </c>
      <c r="AO36" s="100">
        <v>4564.7999999999993</v>
      </c>
      <c r="AP36" s="100">
        <v>6</v>
      </c>
      <c r="AQ36" s="100">
        <v>4564.7999999999993</v>
      </c>
      <c r="AR36" s="100">
        <v>7</v>
      </c>
      <c r="AS36" s="100">
        <v>5325.5999999999995</v>
      </c>
      <c r="AT36" s="100">
        <v>5.640095788302415</v>
      </c>
      <c r="AU36" s="100">
        <v>4290.984875740477</v>
      </c>
      <c r="AV36" s="100">
        <v>4.4192911708221727</v>
      </c>
      <c r="AW36" s="100">
        <v>3362.1967227615087</v>
      </c>
      <c r="AX36" s="100">
        <v>5.3446613377066603</v>
      </c>
      <c r="AY36" s="100">
        <v>4066.2183457272267</v>
      </c>
      <c r="AZ36" s="100">
        <v>5.4851546834300811</v>
      </c>
      <c r="BA36" s="100">
        <v>4173.1056831536052</v>
      </c>
      <c r="BB36" s="100">
        <v>4.2593167322990005E-4</v>
      </c>
      <c r="BC36" s="100">
        <v>0.32404881699330795</v>
      </c>
      <c r="BD36" s="100">
        <v>9.1958548326075906</v>
      </c>
      <c r="BE36" s="100">
        <v>6996.2063566478546</v>
      </c>
      <c r="BF36" s="100">
        <v>8.2583587626505501</v>
      </c>
      <c r="BG36" s="100">
        <v>6282.9593466245378</v>
      </c>
      <c r="BH36" s="100">
        <v>7.9086020571176826E-4</v>
      </c>
      <c r="BI36" s="100">
        <v>0.60168644450551323</v>
      </c>
      <c r="BJ36" s="100">
        <v>11.657482796366523</v>
      </c>
      <c r="BK36" s="100">
        <v>8869.0129114756492</v>
      </c>
      <c r="BL36" s="100">
        <v>1.1687051464147495</v>
      </c>
      <c r="BM36" s="100">
        <v>889.15087539234139</v>
      </c>
      <c r="BN36" s="100">
        <v>8.4820769950381258</v>
      </c>
      <c r="BO36" s="100">
        <v>6453.1641778250059</v>
      </c>
      <c r="BP36" s="100">
        <v>10</v>
      </c>
      <c r="BQ36" s="100">
        <v>7608</v>
      </c>
      <c r="BR36" s="100">
        <v>5.2722367541279622</v>
      </c>
      <c r="BS36" s="100">
        <v>4011.1177225405536</v>
      </c>
      <c r="BT36" s="100">
        <v>4.2951593258569014</v>
      </c>
      <c r="BU36" s="100">
        <v>3267.7572151119302</v>
      </c>
      <c r="BV36" s="100">
        <v>1.8970080454822535</v>
      </c>
      <c r="BW36" s="100">
        <v>1443.2437210028984</v>
      </c>
      <c r="BX36" s="100">
        <v>11.455507023397214</v>
      </c>
      <c r="BY36" s="100">
        <v>8715.3497434006003</v>
      </c>
      <c r="BZ36" s="100">
        <v>4.49876697317473</v>
      </c>
      <c r="CA36" s="100">
        <v>3422.6619131913344</v>
      </c>
      <c r="CB36" s="100">
        <v>11</v>
      </c>
      <c r="CC36" s="100">
        <v>8368.7999999999993</v>
      </c>
      <c r="CD36" s="100">
        <v>9.4643832679827469</v>
      </c>
      <c r="CE36" s="100">
        <v>7200.5027902812735</v>
      </c>
      <c r="CF36" s="100">
        <v>6.8216561134267146E-4</v>
      </c>
      <c r="CG36" s="100">
        <v>0.51899159710950438</v>
      </c>
      <c r="CH36" s="100">
        <v>9.9701050815857393</v>
      </c>
      <c r="CI36" s="100">
        <v>7585.2559460704297</v>
      </c>
      <c r="CJ36" s="100">
        <v>4.0533365765684155E-4</v>
      </c>
      <c r="CK36" s="100">
        <v>0.30837784674532503</v>
      </c>
      <c r="CL36" s="100">
        <v>7.0005563237763599</v>
      </c>
      <c r="CM36" s="100">
        <v>5326.0232511290542</v>
      </c>
      <c r="CN36" s="100">
        <v>8</v>
      </c>
      <c r="CO36" s="100">
        <v>6086.4</v>
      </c>
      <c r="CP36" s="100">
        <v>9.9001709567116709</v>
      </c>
      <c r="CQ36" s="100">
        <v>7532.0500638662388</v>
      </c>
      <c r="CR36" s="100">
        <v>5.2663284356637167E-4</v>
      </c>
      <c r="CS36" s="100">
        <v>0.40066226738529553</v>
      </c>
      <c r="CT36" s="100">
        <v>11</v>
      </c>
      <c r="CU36" s="100">
        <v>8368.7999999999993</v>
      </c>
    </row>
    <row r="37" spans="2:99">
      <c r="B37" s="99" t="s">
        <v>128</v>
      </c>
      <c r="C37" s="99" t="s">
        <v>203</v>
      </c>
      <c r="D37" s="100">
        <v>9.8394868326093086</v>
      </c>
      <c r="E37" s="100">
        <v>8465.8944707770497</v>
      </c>
      <c r="F37" s="100">
        <v>3.2553892202051347</v>
      </c>
      <c r="G37" s="100">
        <v>2800.9368850644978</v>
      </c>
      <c r="H37" s="100">
        <v>13.202966564843059</v>
      </c>
      <c r="I37" s="100">
        <v>11359.832432390967</v>
      </c>
      <c r="J37" s="100">
        <v>15</v>
      </c>
      <c r="K37" s="100">
        <v>12906</v>
      </c>
      <c r="L37" s="100">
        <v>8.0295188596051368</v>
      </c>
      <c r="M37" s="100">
        <v>6908.5980268042595</v>
      </c>
      <c r="N37" s="100">
        <v>18</v>
      </c>
      <c r="O37" s="100">
        <v>15487.199999999999</v>
      </c>
      <c r="P37" s="100">
        <v>21</v>
      </c>
      <c r="Q37" s="100">
        <v>18068.399999999998</v>
      </c>
      <c r="R37" s="100">
        <v>11.368524848784025</v>
      </c>
      <c r="S37" s="100">
        <v>9781.4787798937741</v>
      </c>
      <c r="T37" s="100">
        <v>1.2054852690503457E-3</v>
      </c>
      <c r="U37" s="100">
        <v>1.0371995254909174</v>
      </c>
      <c r="V37" s="100">
        <v>10.898789439157634</v>
      </c>
      <c r="W37" s="100">
        <v>9377.318433451228</v>
      </c>
      <c r="X37" s="100">
        <v>14</v>
      </c>
      <c r="Y37" s="100">
        <v>12045.6</v>
      </c>
      <c r="Z37" s="100">
        <v>14</v>
      </c>
      <c r="AA37" s="100">
        <v>12045.6</v>
      </c>
      <c r="AB37" s="100">
        <v>5.6842810848599905</v>
      </c>
      <c r="AC37" s="100">
        <v>4890.7554454135361</v>
      </c>
      <c r="AD37" s="100">
        <v>6.071307562318232</v>
      </c>
      <c r="AE37" s="100">
        <v>5223.7530266186068</v>
      </c>
      <c r="AF37" s="100">
        <v>3.1930969818043939</v>
      </c>
      <c r="AG37" s="100">
        <v>2747.3406431445005</v>
      </c>
      <c r="AH37" s="100">
        <v>19.635702899882677</v>
      </c>
      <c r="AI37" s="100">
        <v>16894.558775059057</v>
      </c>
      <c r="AJ37" s="100">
        <v>21</v>
      </c>
      <c r="AK37" s="100">
        <v>18068.399999999998</v>
      </c>
      <c r="AL37" s="100">
        <v>1.3258765757381743</v>
      </c>
      <c r="AM37" s="100">
        <v>1140.7842057651251</v>
      </c>
      <c r="AN37" s="100">
        <v>15</v>
      </c>
      <c r="AO37" s="100">
        <v>12906</v>
      </c>
      <c r="AP37" s="100">
        <v>13</v>
      </c>
      <c r="AQ37" s="100">
        <v>11185.199999999999</v>
      </c>
      <c r="AR37" s="100">
        <v>13</v>
      </c>
      <c r="AS37" s="100">
        <v>11185.199999999999</v>
      </c>
      <c r="AT37" s="100">
        <v>9.4001596471706925</v>
      </c>
      <c r="AU37" s="100">
        <v>8087.8973604256635</v>
      </c>
      <c r="AV37" s="100">
        <v>14.730970569407242</v>
      </c>
      <c r="AW37" s="100">
        <v>12674.527077917992</v>
      </c>
      <c r="AX37" s="100">
        <v>14.252430233884429</v>
      </c>
      <c r="AY37" s="100">
        <v>12262.790973234161</v>
      </c>
      <c r="AZ37" s="100">
        <v>13.321089945473053</v>
      </c>
      <c r="BA37" s="100">
        <v>11461.465789085014</v>
      </c>
      <c r="BB37" s="100">
        <v>7.0988612204983341E-4</v>
      </c>
      <c r="BC37" s="100">
        <v>0.61078601941167665</v>
      </c>
      <c r="BD37" s="100">
        <v>18.494818540759489</v>
      </c>
      <c r="BE37" s="100">
        <v>15912.941872469464</v>
      </c>
      <c r="BF37" s="100">
        <v>12.846335853011965</v>
      </c>
      <c r="BG37" s="100">
        <v>11052.987367931495</v>
      </c>
      <c r="BH37" s="100">
        <v>1.0848051873484173E-3</v>
      </c>
      <c r="BI37" s="100">
        <v>0.93336638319457821</v>
      </c>
      <c r="BJ37" s="100">
        <v>21.019989413148629</v>
      </c>
      <c r="BK37" s="100">
        <v>18085.598891073081</v>
      </c>
      <c r="BL37" s="100">
        <v>2.8382839270072493</v>
      </c>
      <c r="BM37" s="100">
        <v>2442.0594907970371</v>
      </c>
      <c r="BN37" s="100">
        <v>17.741038497519064</v>
      </c>
      <c r="BO37" s="100">
        <v>15264.389523265401</v>
      </c>
      <c r="BP37" s="100">
        <v>19</v>
      </c>
      <c r="BQ37" s="100">
        <v>16347.6</v>
      </c>
      <c r="BR37" s="100">
        <v>5.7994604295407584</v>
      </c>
      <c r="BS37" s="100">
        <v>4989.8557535768687</v>
      </c>
      <c r="BT37" s="100">
        <v>9.306178539356619</v>
      </c>
      <c r="BU37" s="100">
        <v>8007.0360152624344</v>
      </c>
      <c r="BV37" s="100">
        <v>4.1925392468785407</v>
      </c>
      <c r="BW37" s="100">
        <v>3607.2607680142964</v>
      </c>
      <c r="BX37" s="100">
        <v>17.926231742161864</v>
      </c>
      <c r="BY37" s="100">
        <v>15423.729790956068</v>
      </c>
      <c r="BZ37" s="100">
        <v>14.246095415053313</v>
      </c>
      <c r="CA37" s="100">
        <v>12257.34049511187</v>
      </c>
      <c r="CB37" s="100">
        <v>21</v>
      </c>
      <c r="CC37" s="100">
        <v>18068.399999999998</v>
      </c>
      <c r="CD37" s="100">
        <v>19.875204862763766</v>
      </c>
      <c r="CE37" s="100">
        <v>17100.626263921946</v>
      </c>
      <c r="CF37" s="100">
        <v>8.8681529474547282E-4</v>
      </c>
      <c r="CG37" s="100">
        <v>0.76301587959900474</v>
      </c>
      <c r="CH37" s="100">
        <v>15.666015018664389</v>
      </c>
      <c r="CI37" s="100">
        <v>13479.039322058839</v>
      </c>
      <c r="CJ37" s="100">
        <v>1.0460658108488029E-3</v>
      </c>
      <c r="CK37" s="100">
        <v>0.90003502365430998</v>
      </c>
      <c r="CL37" s="100">
        <v>14.000252874443801</v>
      </c>
      <c r="CM37" s="100">
        <v>12045.817573171445</v>
      </c>
      <c r="CN37" s="100">
        <v>16</v>
      </c>
      <c r="CO37" s="100">
        <v>13766.4</v>
      </c>
      <c r="CP37" s="100">
        <v>19.800341913423342</v>
      </c>
      <c r="CQ37" s="100">
        <v>17036.214182309443</v>
      </c>
      <c r="CR37" s="100">
        <v>1.0760999723913507E-3</v>
      </c>
      <c r="CS37" s="100">
        <v>0.92587641624551809</v>
      </c>
      <c r="CT37" s="100">
        <v>19.04602182421517</v>
      </c>
      <c r="CU37" s="100">
        <v>16387.197177554732</v>
      </c>
    </row>
    <row r="38" spans="2:99">
      <c r="C38" s="99" t="s">
        <v>204</v>
      </c>
      <c r="D38" s="100">
        <v>10.528585617546533</v>
      </c>
      <c r="E38" s="100">
        <v>13076.503336992793</v>
      </c>
      <c r="F38" s="100">
        <v>3.0164247374436806</v>
      </c>
      <c r="G38" s="100">
        <v>3746.3995239050514</v>
      </c>
      <c r="H38" s="100">
        <v>13.202966564843059</v>
      </c>
      <c r="I38" s="100">
        <v>16398.08447353508</v>
      </c>
      <c r="J38" s="100">
        <v>13</v>
      </c>
      <c r="K38" s="100">
        <v>16146</v>
      </c>
      <c r="L38" s="100">
        <v>8.0295188596051368</v>
      </c>
      <c r="M38" s="100">
        <v>9972.6624236295793</v>
      </c>
      <c r="N38" s="100">
        <v>20</v>
      </c>
      <c r="O38" s="100">
        <v>24840</v>
      </c>
      <c r="P38" s="100">
        <v>19</v>
      </c>
      <c r="Q38" s="100">
        <v>23598</v>
      </c>
      <c r="R38" s="100">
        <v>11.368524848784025</v>
      </c>
      <c r="S38" s="100">
        <v>14119.70786218976</v>
      </c>
      <c r="T38" s="100">
        <v>1.0547996104190527E-3</v>
      </c>
      <c r="U38" s="100">
        <v>1.3100611161404634</v>
      </c>
      <c r="V38" s="100">
        <v>10.898789439157634</v>
      </c>
      <c r="W38" s="100">
        <v>13536.296483433782</v>
      </c>
      <c r="X38" s="100">
        <v>14</v>
      </c>
      <c r="Y38" s="100">
        <v>17388</v>
      </c>
      <c r="Z38" s="100">
        <v>12</v>
      </c>
      <c r="AA38" s="100">
        <v>14904</v>
      </c>
      <c r="AB38" s="100">
        <v>5.6842810848599905</v>
      </c>
      <c r="AC38" s="100">
        <v>7059.8771073961079</v>
      </c>
      <c r="AD38" s="100">
        <v>6.071307562318232</v>
      </c>
      <c r="AE38" s="100">
        <v>7540.5639923992439</v>
      </c>
      <c r="AF38" s="100">
        <v>2.9467203091938301</v>
      </c>
      <c r="AG38" s="100">
        <v>3659.8266240187368</v>
      </c>
      <c r="AH38" s="100">
        <v>18.635702899882677</v>
      </c>
      <c r="AI38" s="100">
        <v>23145.543001654285</v>
      </c>
      <c r="AJ38" s="100">
        <v>19</v>
      </c>
      <c r="AK38" s="100">
        <v>23598</v>
      </c>
      <c r="AL38" s="100">
        <v>1.3258765757381743</v>
      </c>
      <c r="AM38" s="100">
        <v>1646.7387070668126</v>
      </c>
      <c r="AN38" s="100">
        <v>13</v>
      </c>
      <c r="AO38" s="100">
        <v>16146</v>
      </c>
      <c r="AP38" s="100">
        <v>11</v>
      </c>
      <c r="AQ38" s="100">
        <v>13662</v>
      </c>
      <c r="AR38" s="100">
        <v>12</v>
      </c>
      <c r="AS38" s="100">
        <v>14904</v>
      </c>
      <c r="AT38" s="100">
        <v>10.340175611887762</v>
      </c>
      <c r="AU38" s="100">
        <v>12842.498109964601</v>
      </c>
      <c r="AV38" s="100">
        <v>13.994422040936881</v>
      </c>
      <c r="AW38" s="100">
        <v>17381.072174843604</v>
      </c>
      <c r="AX38" s="100">
        <v>12.470876454648874</v>
      </c>
      <c r="AY38" s="100">
        <v>15488.828556673901</v>
      </c>
      <c r="AZ38" s="100">
        <v>13.321089945473053</v>
      </c>
      <c r="BA38" s="100">
        <v>16544.793712277533</v>
      </c>
      <c r="BB38" s="100">
        <v>7.8087473425481665E-4</v>
      </c>
      <c r="BC38" s="100">
        <v>0.96984641994448229</v>
      </c>
      <c r="BD38" s="100">
        <v>17.494818540759489</v>
      </c>
      <c r="BE38" s="100">
        <v>21728.564627623284</v>
      </c>
      <c r="BF38" s="100">
        <v>11.011145016867399</v>
      </c>
      <c r="BG38" s="100">
        <v>13675.84211094931</v>
      </c>
      <c r="BH38" s="100">
        <v>9.5889624349533716E-4</v>
      </c>
      <c r="BI38" s="100">
        <v>1.1909491344212089</v>
      </c>
      <c r="BJ38" s="100">
        <v>22.019989413148629</v>
      </c>
      <c r="BK38" s="100">
        <v>27348.826851130598</v>
      </c>
      <c r="BL38" s="100">
        <v>2.6713260489479991</v>
      </c>
      <c r="BM38" s="100">
        <v>3317.7869527934149</v>
      </c>
      <c r="BN38" s="100">
        <v>19.741038497519064</v>
      </c>
      <c r="BO38" s="100">
        <v>24518.369813918678</v>
      </c>
      <c r="BP38" s="100">
        <v>17</v>
      </c>
      <c r="BQ38" s="100">
        <v>21114</v>
      </c>
      <c r="BR38" s="100">
        <v>6.3266841049535554</v>
      </c>
      <c r="BS38" s="100">
        <v>7857.7416583523154</v>
      </c>
      <c r="BT38" s="100">
        <v>9.306178539356619</v>
      </c>
      <c r="BU38" s="100">
        <v>11558.273745880921</v>
      </c>
      <c r="BV38" s="100">
        <v>3.9677303617106534</v>
      </c>
      <c r="BW38" s="100">
        <v>4927.9211092446312</v>
      </c>
      <c r="BX38" s="100">
        <v>14.926231742161864</v>
      </c>
      <c r="BY38" s="100">
        <v>18538.379823765034</v>
      </c>
      <c r="BZ38" s="100">
        <v>11.246917432936826</v>
      </c>
      <c r="CA38" s="100">
        <v>13968.671451707538</v>
      </c>
      <c r="CB38" s="100">
        <v>19</v>
      </c>
      <c r="CC38" s="100">
        <v>23598</v>
      </c>
      <c r="CD38" s="100">
        <v>18.928766535965494</v>
      </c>
      <c r="CE38" s="100">
        <v>23509.528037669144</v>
      </c>
      <c r="CF38" s="100">
        <v>8.1859873361120577E-4</v>
      </c>
      <c r="CG38" s="100">
        <v>1.0166996271451176</v>
      </c>
      <c r="CH38" s="100">
        <v>14.844402520366579</v>
      </c>
      <c r="CI38" s="100">
        <v>18436.747930295292</v>
      </c>
      <c r="CJ38" s="100">
        <v>1.0460658108488029E-3</v>
      </c>
      <c r="CK38" s="100">
        <v>1.2992137370742132</v>
      </c>
      <c r="CL38" s="100">
        <v>14.000303449332559</v>
      </c>
      <c r="CM38" s="100">
        <v>17388.37688407104</v>
      </c>
      <c r="CN38" s="100">
        <v>16</v>
      </c>
      <c r="CO38" s="100">
        <v>19872</v>
      </c>
      <c r="CP38" s="100">
        <v>18.810324817752175</v>
      </c>
      <c r="CQ38" s="100">
        <v>23362.423423648201</v>
      </c>
      <c r="CR38" s="100">
        <v>1.0532656871327433E-3</v>
      </c>
      <c r="CS38" s="100">
        <v>1.3081559834188672</v>
      </c>
      <c r="CT38" s="100">
        <v>18.04602182421517</v>
      </c>
      <c r="CU38" s="100">
        <v>22413.15910567524</v>
      </c>
    </row>
    <row r="39" spans="2:99">
      <c r="C39" s="99" t="s">
        <v>205</v>
      </c>
      <c r="D39" s="100">
        <v>9.0402377191189096</v>
      </c>
      <c r="E39" s="100">
        <v>12866.066321850032</v>
      </c>
      <c r="F39" s="100">
        <v>2.7675368583951436</v>
      </c>
      <c r="G39" s="100">
        <v>3938.7584568679686</v>
      </c>
      <c r="H39" s="100">
        <v>12.202966564843059</v>
      </c>
      <c r="I39" s="100">
        <v>17367.262015084641</v>
      </c>
      <c r="J39" s="100">
        <v>12</v>
      </c>
      <c r="K39" s="100">
        <v>17078.400000000001</v>
      </c>
      <c r="L39" s="100">
        <v>7.4118635627124343</v>
      </c>
      <c r="M39" s="100">
        <v>10548.564222452336</v>
      </c>
      <c r="N39" s="100">
        <v>19</v>
      </c>
      <c r="O39" s="100">
        <v>27040.799999999999</v>
      </c>
      <c r="P39" s="100">
        <v>21</v>
      </c>
      <c r="Q39" s="100">
        <v>29887.200000000001</v>
      </c>
      <c r="R39" s="100">
        <v>11.368524848784025</v>
      </c>
      <c r="S39" s="100">
        <v>16179.684564789424</v>
      </c>
      <c r="T39" s="100">
        <v>1.2054852690503457E-3</v>
      </c>
      <c r="U39" s="100">
        <v>1.715646634912452</v>
      </c>
      <c r="V39" s="100">
        <v>10.898789439157634</v>
      </c>
      <c r="W39" s="100">
        <v>15511.157129809144</v>
      </c>
      <c r="X39" s="100">
        <v>13</v>
      </c>
      <c r="Y39" s="100">
        <v>18501.600000000002</v>
      </c>
      <c r="Z39" s="100">
        <v>14</v>
      </c>
      <c r="AA39" s="100">
        <v>19924.8</v>
      </c>
      <c r="AB39" s="100">
        <v>5.3053290125359904</v>
      </c>
      <c r="AC39" s="100">
        <v>7550.5442506412219</v>
      </c>
      <c r="AD39" s="100">
        <v>6.0686528732369114</v>
      </c>
      <c r="AE39" s="100">
        <v>8636.906769190773</v>
      </c>
      <c r="AF39" s="100">
        <v>2.9369205470608892</v>
      </c>
      <c r="AG39" s="100">
        <v>4179.8253225770577</v>
      </c>
      <c r="AH39" s="100">
        <v>18.635702899882677</v>
      </c>
      <c r="AI39" s="100">
        <v>26522.332367113027</v>
      </c>
      <c r="AJ39" s="100">
        <v>17</v>
      </c>
      <c r="AK39" s="100">
        <v>24194.400000000001</v>
      </c>
      <c r="AL39" s="100">
        <v>1.1601420037709027</v>
      </c>
      <c r="AM39" s="100">
        <v>1651.1140997667487</v>
      </c>
      <c r="AN39" s="100">
        <v>14</v>
      </c>
      <c r="AO39" s="100">
        <v>19924.8</v>
      </c>
      <c r="AP39" s="100">
        <v>12</v>
      </c>
      <c r="AQ39" s="100">
        <v>17078.400000000001</v>
      </c>
      <c r="AR39" s="100">
        <v>12</v>
      </c>
      <c r="AS39" s="100">
        <v>17078.400000000001</v>
      </c>
      <c r="AT39" s="100">
        <v>8.4601436824536211</v>
      </c>
      <c r="AU39" s="100">
        <v>12040.476488867995</v>
      </c>
      <c r="AV39" s="100">
        <v>13.257873512466519</v>
      </c>
      <c r="AW39" s="100">
        <v>18868.605582942349</v>
      </c>
      <c r="AX39" s="100">
        <v>12.470876454648874</v>
      </c>
      <c r="AY39" s="100">
        <v>17748.551370256278</v>
      </c>
      <c r="AZ39" s="100">
        <v>12.537496419268757</v>
      </c>
      <c r="BA39" s="100">
        <v>17843.364903903297</v>
      </c>
      <c r="BB39" s="100">
        <v>7.8087473425481665E-4</v>
      </c>
      <c r="BC39" s="100">
        <v>1.1113409217914552</v>
      </c>
      <c r="BD39" s="100">
        <v>18.494818540759489</v>
      </c>
      <c r="BE39" s="100">
        <v>26321.825747208906</v>
      </c>
      <c r="BF39" s="100">
        <v>12.846335853011965</v>
      </c>
      <c r="BG39" s="100">
        <v>18282.905186006628</v>
      </c>
      <c r="BH39" s="100">
        <v>9.6097898129494236E-4</v>
      </c>
      <c r="BI39" s="100">
        <v>1.367665286178962</v>
      </c>
      <c r="BJ39" s="100">
        <v>19.019989413148629</v>
      </c>
      <c r="BK39" s="100">
        <v>27069.248932793129</v>
      </c>
      <c r="BL39" s="100">
        <v>2.8382839270072493</v>
      </c>
      <c r="BM39" s="100">
        <v>4039.4456849167173</v>
      </c>
      <c r="BN39" s="100">
        <v>19.741038497519064</v>
      </c>
      <c r="BO39" s="100">
        <v>28095.445989669133</v>
      </c>
      <c r="BP39" s="100">
        <v>17</v>
      </c>
      <c r="BQ39" s="100">
        <v>24194.400000000001</v>
      </c>
      <c r="BR39" s="100">
        <v>5.7994604295407584</v>
      </c>
      <c r="BS39" s="100">
        <v>8253.7920833224071</v>
      </c>
      <c r="BT39" s="100">
        <v>7.8744587640709867</v>
      </c>
      <c r="BU39" s="100">
        <v>11206.929713025829</v>
      </c>
      <c r="BV39" s="100">
        <v>4.1728318540507106</v>
      </c>
      <c r="BW39" s="100">
        <v>5938.7742946849712</v>
      </c>
      <c r="BX39" s="100">
        <v>16.926231742161864</v>
      </c>
      <c r="BY39" s="100">
        <v>24089.413015444767</v>
      </c>
      <c r="BZ39" s="100">
        <v>11.246917432936826</v>
      </c>
      <c r="CA39" s="100">
        <v>16006.612890555691</v>
      </c>
      <c r="CB39" s="100">
        <v>21</v>
      </c>
      <c r="CC39" s="100">
        <v>29887.200000000001</v>
      </c>
      <c r="CD39" s="100">
        <v>17.982328209167218</v>
      </c>
      <c r="CE39" s="100">
        <v>25592.449507286787</v>
      </c>
      <c r="CF39" s="100">
        <v>8.1859873361120577E-4</v>
      </c>
      <c r="CG39" s="100">
        <v>1.165029717675468</v>
      </c>
      <c r="CH39" s="100">
        <v>12.254280732715463</v>
      </c>
      <c r="CI39" s="100">
        <v>17440.292338800649</v>
      </c>
      <c r="CJ39" s="100">
        <v>1.1757457729177762E-3</v>
      </c>
      <c r="CK39" s="100">
        <v>1.673321384016579</v>
      </c>
      <c r="CL39" s="100">
        <v>13.000252874443801</v>
      </c>
      <c r="CM39" s="100">
        <v>18501.959890908416</v>
      </c>
      <c r="CN39" s="100">
        <v>14</v>
      </c>
      <c r="CO39" s="100">
        <v>19924.8</v>
      </c>
      <c r="CP39" s="100">
        <v>18.810324817752175</v>
      </c>
      <c r="CQ39" s="100">
        <v>26770.854280624895</v>
      </c>
      <c r="CR39" s="100">
        <v>1.1190947925785399E-3</v>
      </c>
      <c r="CS39" s="100">
        <v>1.592695708797778</v>
      </c>
      <c r="CT39" s="100">
        <v>19.040269096188275</v>
      </c>
      <c r="CU39" s="100">
        <v>27098.110977695156</v>
      </c>
    </row>
    <row r="40" spans="2:99">
      <c r="C40" s="99" t="s">
        <v>206</v>
      </c>
      <c r="D40" s="100">
        <v>9.2605383762252576</v>
      </c>
      <c r="E40" s="100">
        <v>6712.038215088066</v>
      </c>
      <c r="F40" s="100">
        <v>3.2553892202051347</v>
      </c>
      <c r="G40" s="100">
        <v>2359.5061068046816</v>
      </c>
      <c r="H40" s="100">
        <v>14.336629516492287</v>
      </c>
      <c r="I40" s="100">
        <v>10391.189073553609</v>
      </c>
      <c r="J40" s="100">
        <v>14</v>
      </c>
      <c r="K40" s="100">
        <v>10147.199999999999</v>
      </c>
      <c r="L40" s="100">
        <v>8.0295188596051368</v>
      </c>
      <c r="M40" s="100">
        <v>5819.7952694418027</v>
      </c>
      <c r="N40" s="100">
        <v>22</v>
      </c>
      <c r="O40" s="100">
        <v>15945.599999999999</v>
      </c>
      <c r="P40" s="100">
        <v>20</v>
      </c>
      <c r="Q40" s="100">
        <v>14496</v>
      </c>
      <c r="R40" s="100">
        <v>13.804637316380601</v>
      </c>
      <c r="S40" s="100">
        <v>10005.601126912659</v>
      </c>
      <c r="T40" s="100">
        <v>1.2054852690503457E-3</v>
      </c>
      <c r="U40" s="100">
        <v>0.87373572300769042</v>
      </c>
      <c r="V40" s="100">
        <v>11.807021892420769</v>
      </c>
      <c r="W40" s="100">
        <v>8557.7294676265738</v>
      </c>
      <c r="X40" s="100">
        <v>16</v>
      </c>
      <c r="Y40" s="100">
        <v>11596.8</v>
      </c>
      <c r="Z40" s="100">
        <v>13</v>
      </c>
      <c r="AA40" s="100">
        <v>9422.4</v>
      </c>
      <c r="AB40" s="100">
        <v>6.4421852295079889</v>
      </c>
      <c r="AC40" s="100">
        <v>4669.2958543473896</v>
      </c>
      <c r="AD40" s="100">
        <v>6.566870556227145</v>
      </c>
      <c r="AE40" s="100">
        <v>4759.6677791534348</v>
      </c>
      <c r="AF40" s="100">
        <v>3.1930969818043939</v>
      </c>
      <c r="AG40" s="100">
        <v>2314.3566924118245</v>
      </c>
      <c r="AH40" s="100">
        <v>18.635702899882677</v>
      </c>
      <c r="AI40" s="100">
        <v>13507.157461834964</v>
      </c>
      <c r="AJ40" s="100">
        <v>21</v>
      </c>
      <c r="AK40" s="100">
        <v>15220.8</v>
      </c>
      <c r="AL40" s="100">
        <v>1.4087438617218102</v>
      </c>
      <c r="AM40" s="100">
        <v>1021.057550975968</v>
      </c>
      <c r="AN40" s="100">
        <v>15</v>
      </c>
      <c r="AO40" s="100">
        <v>10872</v>
      </c>
      <c r="AP40" s="100">
        <v>12</v>
      </c>
      <c r="AQ40" s="100">
        <v>8697.5999999999985</v>
      </c>
      <c r="AR40" s="100">
        <v>14</v>
      </c>
      <c r="AS40" s="100">
        <v>10147.199999999999</v>
      </c>
      <c r="AT40" s="100">
        <v>9.4001596471706925</v>
      </c>
      <c r="AU40" s="100">
        <v>6813.2357122693174</v>
      </c>
      <c r="AV40" s="100">
        <v>13.257873512466519</v>
      </c>
      <c r="AW40" s="100">
        <v>9609.3067218357319</v>
      </c>
      <c r="AX40" s="100">
        <v>13.361653344266651</v>
      </c>
      <c r="AY40" s="100">
        <v>9684.5263439244682</v>
      </c>
      <c r="AZ40" s="100">
        <v>14.104683471677351</v>
      </c>
      <c r="BA40" s="100">
        <v>10223.074580271743</v>
      </c>
      <c r="BB40" s="100">
        <v>7.0988612204983341E-4</v>
      </c>
      <c r="BC40" s="100">
        <v>0.51452546126171927</v>
      </c>
      <c r="BD40" s="100">
        <v>18.345336686683538</v>
      </c>
      <c r="BE40" s="100">
        <v>13296.700030508227</v>
      </c>
      <c r="BF40" s="100">
        <v>13.76393127108425</v>
      </c>
      <c r="BG40" s="100">
        <v>9976.0973852818643</v>
      </c>
      <c r="BH40" s="100">
        <v>1.0239334532214826E-3</v>
      </c>
      <c r="BI40" s="100">
        <v>0.74214696689493054</v>
      </c>
      <c r="BJ40" s="100">
        <v>21.019989413148629</v>
      </c>
      <c r="BK40" s="100">
        <v>15235.288326650125</v>
      </c>
      <c r="BL40" s="100">
        <v>3.0052418050664991</v>
      </c>
      <c r="BM40" s="100">
        <v>2178.1992603121985</v>
      </c>
      <c r="BN40" s="100">
        <v>18.864544913772239</v>
      </c>
      <c r="BO40" s="100">
        <v>13673.022153502117</v>
      </c>
      <c r="BP40" s="100">
        <v>17</v>
      </c>
      <c r="BQ40" s="100">
        <v>12321.599999999999</v>
      </c>
      <c r="BR40" s="100">
        <v>5.2722367541279622</v>
      </c>
      <c r="BS40" s="100">
        <v>3821.3171993919468</v>
      </c>
      <c r="BT40" s="100">
        <v>8.5903186517138028</v>
      </c>
      <c r="BU40" s="100">
        <v>6226.2629587621641</v>
      </c>
      <c r="BV40" s="100">
        <v>3.9578766652967383</v>
      </c>
      <c r="BW40" s="100">
        <v>2868.6690070070758</v>
      </c>
      <c r="BX40" s="100">
        <v>18.058550562470703</v>
      </c>
      <c r="BY40" s="100">
        <v>13088.837447678765</v>
      </c>
      <c r="BZ40" s="100">
        <v>13.496300919524192</v>
      </c>
      <c r="CA40" s="100">
        <v>9782.1189064711343</v>
      </c>
      <c r="CB40" s="100">
        <v>22</v>
      </c>
      <c r="CC40" s="100">
        <v>15945.599999999999</v>
      </c>
      <c r="CD40" s="100">
        <v>20.821643189562042</v>
      </c>
      <c r="CE40" s="100">
        <v>15091.526983794567</v>
      </c>
      <c r="CF40" s="100">
        <v>8.1859873361120577E-4</v>
      </c>
      <c r="CG40" s="100">
        <v>0.59332036212140193</v>
      </c>
      <c r="CH40" s="100">
        <v>14.02279002206877</v>
      </c>
      <c r="CI40" s="100">
        <v>10163.718207995444</v>
      </c>
      <c r="CJ40" s="100">
        <v>1.0460658108488029E-3</v>
      </c>
      <c r="CK40" s="100">
        <v>0.75818849970321234</v>
      </c>
      <c r="CL40" s="100">
        <v>15.000303449332559</v>
      </c>
      <c r="CM40" s="100">
        <v>10872.219940076238</v>
      </c>
      <c r="CN40" s="100">
        <v>16</v>
      </c>
      <c r="CO40" s="100">
        <v>11596.8</v>
      </c>
      <c r="CP40" s="100">
        <v>22.770393200436846</v>
      </c>
      <c r="CQ40" s="100">
        <v>16503.980991676624</v>
      </c>
      <c r="CR40" s="100">
        <v>1.0760999723913507E-3</v>
      </c>
      <c r="CS40" s="100">
        <v>0.77995725998925092</v>
      </c>
      <c r="CT40" s="100">
        <v>22.051774552242065</v>
      </c>
      <c r="CU40" s="100">
        <v>15983.126195465047</v>
      </c>
    </row>
    <row r="41" spans="2:99">
      <c r="C41" s="99" t="s">
        <v>207</v>
      </c>
      <c r="D41" s="100">
        <v>10.528585617546533</v>
      </c>
      <c r="E41" s="100">
        <v>6948.8665075807112</v>
      </c>
      <c r="F41" s="100">
        <v>3.2454658239180523</v>
      </c>
      <c r="G41" s="100">
        <v>2142.0074437859143</v>
      </c>
      <c r="H41" s="100">
        <v>13.202966564843059</v>
      </c>
      <c r="I41" s="100">
        <v>8713.9579327964184</v>
      </c>
      <c r="J41" s="100">
        <v>13</v>
      </c>
      <c r="K41" s="100">
        <v>8580</v>
      </c>
      <c r="L41" s="100">
        <v>7.4118635627124343</v>
      </c>
      <c r="M41" s="100">
        <v>4891.8299513902066</v>
      </c>
      <c r="N41" s="100">
        <v>20</v>
      </c>
      <c r="O41" s="100">
        <v>13200</v>
      </c>
      <c r="P41" s="100">
        <v>22</v>
      </c>
      <c r="Q41" s="100">
        <v>14520</v>
      </c>
      <c r="R41" s="100">
        <v>12.992599827181742</v>
      </c>
      <c r="S41" s="100">
        <v>8575.1158859399493</v>
      </c>
      <c r="T41" s="100">
        <v>1.2808280983659926E-3</v>
      </c>
      <c r="U41" s="100">
        <v>0.84534654492155514</v>
      </c>
      <c r="V41" s="100">
        <v>9.9905569858944983</v>
      </c>
      <c r="W41" s="100">
        <v>6593.7676106903691</v>
      </c>
      <c r="X41" s="100">
        <v>15</v>
      </c>
      <c r="Y41" s="100">
        <v>9900</v>
      </c>
      <c r="Z41" s="100">
        <v>14</v>
      </c>
      <c r="AA41" s="100">
        <v>9240</v>
      </c>
      <c r="AB41" s="100">
        <v>6.0632331571839888</v>
      </c>
      <c r="AC41" s="100">
        <v>4001.7338837414327</v>
      </c>
      <c r="AD41" s="100">
        <v>6.1415214960096218</v>
      </c>
      <c r="AE41" s="100">
        <v>4053.4041873663505</v>
      </c>
      <c r="AF41" s="100">
        <v>2.9467203091938301</v>
      </c>
      <c r="AG41" s="100">
        <v>1944.8354040679278</v>
      </c>
      <c r="AH41" s="100">
        <v>19.635702899882677</v>
      </c>
      <c r="AI41" s="100">
        <v>12959.563913922568</v>
      </c>
      <c r="AJ41" s="100">
        <v>20</v>
      </c>
      <c r="AK41" s="100">
        <v>13200</v>
      </c>
      <c r="AL41" s="100">
        <v>1.3258765757381743</v>
      </c>
      <c r="AM41" s="100">
        <v>875.07853998719509</v>
      </c>
      <c r="AN41" s="100">
        <v>14</v>
      </c>
      <c r="AO41" s="100">
        <v>9240</v>
      </c>
      <c r="AP41" s="100">
        <v>13</v>
      </c>
      <c r="AQ41" s="100">
        <v>8580</v>
      </c>
      <c r="AR41" s="100">
        <v>14</v>
      </c>
      <c r="AS41" s="100">
        <v>9240</v>
      </c>
      <c r="AT41" s="100">
        <v>10.340175611887762</v>
      </c>
      <c r="AU41" s="100">
        <v>6824.5159038459233</v>
      </c>
      <c r="AV41" s="100">
        <v>14.730970569407242</v>
      </c>
      <c r="AW41" s="100">
        <v>9722.4405758087796</v>
      </c>
      <c r="AX41" s="100">
        <v>15.143207123502204</v>
      </c>
      <c r="AY41" s="100">
        <v>9994.5167015114548</v>
      </c>
      <c r="AZ41" s="100">
        <v>12.537496419268757</v>
      </c>
      <c r="BA41" s="100">
        <v>8274.7476367173804</v>
      </c>
      <c r="BB41" s="100">
        <v>7.8087473425481665E-4</v>
      </c>
      <c r="BC41" s="100">
        <v>0.51537732460817898</v>
      </c>
      <c r="BD41" s="100">
        <v>21.345336686683538</v>
      </c>
      <c r="BE41" s="100">
        <v>14087.922213211135</v>
      </c>
      <c r="BF41" s="100">
        <v>13.76393127108425</v>
      </c>
      <c r="BG41" s="100">
        <v>9084.1946389156055</v>
      </c>
      <c r="BH41" s="100">
        <v>9.5889624349533716E-4</v>
      </c>
      <c r="BI41" s="100">
        <v>0.63287152070692254</v>
      </c>
      <c r="BJ41" s="100">
        <v>23.147488089792208</v>
      </c>
      <c r="BK41" s="100">
        <v>15277.342139262857</v>
      </c>
      <c r="BL41" s="100">
        <v>3.0382780873896538</v>
      </c>
      <c r="BM41" s="100">
        <v>2005.2635376771716</v>
      </c>
      <c r="BN41" s="100">
        <v>20.864544913772239</v>
      </c>
      <c r="BO41" s="100">
        <v>13770.599643089678</v>
      </c>
      <c r="BP41" s="100">
        <v>18</v>
      </c>
      <c r="BQ41" s="100">
        <v>11880</v>
      </c>
      <c r="BR41" s="100">
        <v>5.2722367541279622</v>
      </c>
      <c r="BS41" s="100">
        <v>3479.6762577244549</v>
      </c>
      <c r="BT41" s="100">
        <v>10.022038426999435</v>
      </c>
      <c r="BU41" s="100">
        <v>6614.545361819627</v>
      </c>
      <c r="BV41" s="100">
        <v>4.6125959279725697</v>
      </c>
      <c r="BW41" s="100">
        <v>3044.3133124618962</v>
      </c>
      <c r="BX41" s="100">
        <v>17.058550562470703</v>
      </c>
      <c r="BY41" s="100">
        <v>11258.643371230664</v>
      </c>
      <c r="BZ41" s="100">
        <v>11.996711928465947</v>
      </c>
      <c r="CA41" s="100">
        <v>7917.8298727875253</v>
      </c>
      <c r="CB41" s="100">
        <v>19</v>
      </c>
      <c r="CC41" s="100">
        <v>12540</v>
      </c>
      <c r="CD41" s="100">
        <v>20.821643189562042</v>
      </c>
      <c r="CE41" s="100">
        <v>13742.284505110949</v>
      </c>
      <c r="CF41" s="100">
        <v>8.1859873361120577E-4</v>
      </c>
      <c r="CG41" s="100">
        <v>0.54027516418339583</v>
      </c>
      <c r="CH41" s="100">
        <v>15.79129931142208</v>
      </c>
      <c r="CI41" s="100">
        <v>10422.257545538572</v>
      </c>
      <c r="CJ41" s="100">
        <v>1.2415442110963759E-3</v>
      </c>
      <c r="CK41" s="100">
        <v>0.81941917932360808</v>
      </c>
      <c r="CL41" s="100">
        <v>13.000303449332559</v>
      </c>
      <c r="CM41" s="100">
        <v>8580.2002765594898</v>
      </c>
      <c r="CN41" s="100">
        <v>17</v>
      </c>
      <c r="CO41" s="100">
        <v>11220</v>
      </c>
      <c r="CP41" s="100">
        <v>19.800341913423342</v>
      </c>
      <c r="CQ41" s="100">
        <v>13068.225662859406</v>
      </c>
      <c r="CR41" s="100">
        <v>1.1419290778371472E-3</v>
      </c>
      <c r="CS41" s="100">
        <v>0.75367319137251709</v>
      </c>
      <c r="CT41" s="100">
        <v>21.051774552242065</v>
      </c>
      <c r="CU41" s="100">
        <v>13894.171204479762</v>
      </c>
    </row>
    <row r="42" spans="2:99">
      <c r="C42" s="99" t="s">
        <v>208</v>
      </c>
      <c r="D42" s="100">
        <v>9.8394868326093086</v>
      </c>
      <c r="E42" s="100">
        <v>8324.2058603874757</v>
      </c>
      <c r="F42" s="100">
        <v>3.2454658239180523</v>
      </c>
      <c r="G42" s="100">
        <v>2745.6640870346723</v>
      </c>
      <c r="H42" s="100">
        <v>14.202966564843059</v>
      </c>
      <c r="I42" s="100">
        <v>12015.709713857228</v>
      </c>
      <c r="J42" s="100">
        <v>14</v>
      </c>
      <c r="K42" s="100">
        <v>11844</v>
      </c>
      <c r="L42" s="100">
        <v>6.7942082658197309</v>
      </c>
      <c r="M42" s="100">
        <v>5747.9001928834923</v>
      </c>
      <c r="N42" s="100">
        <v>21</v>
      </c>
      <c r="O42" s="100">
        <v>17766</v>
      </c>
      <c r="P42" s="100">
        <v>21</v>
      </c>
      <c r="Q42" s="100">
        <v>17766</v>
      </c>
      <c r="R42" s="100">
        <v>12.992599827181742</v>
      </c>
      <c r="S42" s="100">
        <v>10991.739453795753</v>
      </c>
      <c r="T42" s="100">
        <v>1.2054852690503457E-3</v>
      </c>
      <c r="U42" s="100">
        <v>1.0198405376165924</v>
      </c>
      <c r="V42" s="100">
        <v>11.807021892420769</v>
      </c>
      <c r="W42" s="100">
        <v>9988.7405209879707</v>
      </c>
      <c r="X42" s="100">
        <v>15</v>
      </c>
      <c r="Y42" s="100">
        <v>12690</v>
      </c>
      <c r="Z42" s="100">
        <v>13</v>
      </c>
      <c r="AA42" s="100">
        <v>10998</v>
      </c>
      <c r="AB42" s="100">
        <v>5.6842810848599905</v>
      </c>
      <c r="AC42" s="100">
        <v>4808.9017977915519</v>
      </c>
      <c r="AD42" s="100">
        <v>6.0686528732369114</v>
      </c>
      <c r="AE42" s="100">
        <v>5134.0803307584274</v>
      </c>
      <c r="AF42" s="100">
        <v>2.7199431608491458</v>
      </c>
      <c r="AG42" s="100">
        <v>2301.0719140783772</v>
      </c>
      <c r="AH42" s="100">
        <v>19.508562319906144</v>
      </c>
      <c r="AI42" s="100">
        <v>16504.243722640596</v>
      </c>
      <c r="AJ42" s="100">
        <v>22</v>
      </c>
      <c r="AK42" s="100">
        <v>18612</v>
      </c>
      <c r="AL42" s="100">
        <v>1.2430092897545384</v>
      </c>
      <c r="AM42" s="100">
        <v>1051.5858591323395</v>
      </c>
      <c r="AN42" s="100">
        <v>14</v>
      </c>
      <c r="AO42" s="100">
        <v>11844</v>
      </c>
      <c r="AP42" s="100">
        <v>12</v>
      </c>
      <c r="AQ42" s="100">
        <v>10152</v>
      </c>
      <c r="AR42" s="100">
        <v>13</v>
      </c>
      <c r="AS42" s="100">
        <v>10998</v>
      </c>
      <c r="AT42" s="100">
        <v>10.340175611887762</v>
      </c>
      <c r="AU42" s="100">
        <v>8747.7885676570459</v>
      </c>
      <c r="AV42" s="100">
        <v>12.521324983996157</v>
      </c>
      <c r="AW42" s="100">
        <v>10593.040936460749</v>
      </c>
      <c r="AX42" s="100">
        <v>13.361653344266651</v>
      </c>
      <c r="AY42" s="100">
        <v>11303.958729249587</v>
      </c>
      <c r="AZ42" s="100">
        <v>14.104683471677351</v>
      </c>
      <c r="BA42" s="100">
        <v>11932.56221703904</v>
      </c>
      <c r="BB42" s="100">
        <v>7.8087473425481665E-4</v>
      </c>
      <c r="BC42" s="100">
        <v>0.66062002517957485</v>
      </c>
      <c r="BD42" s="100">
        <v>21.494818540759489</v>
      </c>
      <c r="BE42" s="100">
        <v>18184.616485482529</v>
      </c>
      <c r="BF42" s="100">
        <v>12.846335853011965</v>
      </c>
      <c r="BG42" s="100">
        <v>10868.000131648123</v>
      </c>
      <c r="BH42" s="100">
        <v>1.0868879251480226E-3</v>
      </c>
      <c r="BI42" s="100">
        <v>0.91950718467522707</v>
      </c>
      <c r="BJ42" s="100">
        <v>21.019989413148629</v>
      </c>
      <c r="BK42" s="100">
        <v>17782.911043523742</v>
      </c>
      <c r="BL42" s="100">
        <v>3.0052418050664991</v>
      </c>
      <c r="BM42" s="100">
        <v>2542.4345670862581</v>
      </c>
      <c r="BN42" s="100">
        <v>19.741038497519064</v>
      </c>
      <c r="BO42" s="100">
        <v>16700.918568901128</v>
      </c>
      <c r="BP42" s="100">
        <v>19</v>
      </c>
      <c r="BQ42" s="100">
        <v>16074</v>
      </c>
      <c r="BR42" s="100">
        <v>6.3266841049535554</v>
      </c>
      <c r="BS42" s="100">
        <v>5352.374752790708</v>
      </c>
      <c r="BT42" s="100">
        <v>8.5903186517138028</v>
      </c>
      <c r="BU42" s="100">
        <v>7267.4095793498773</v>
      </c>
      <c r="BV42" s="100">
        <v>3.9578766652967383</v>
      </c>
      <c r="BW42" s="100">
        <v>3348.3636588410404</v>
      </c>
      <c r="BX42" s="100">
        <v>18.058550562470703</v>
      </c>
      <c r="BY42" s="100">
        <v>15277.533775850216</v>
      </c>
      <c r="BZ42" s="100">
        <v>12.74650642399507</v>
      </c>
      <c r="CA42" s="100">
        <v>10783.54443469983</v>
      </c>
      <c r="CB42" s="100">
        <v>22</v>
      </c>
      <c r="CC42" s="100">
        <v>18612</v>
      </c>
      <c r="CD42" s="100">
        <v>19.875204862763766</v>
      </c>
      <c r="CE42" s="100">
        <v>16814.423313898147</v>
      </c>
      <c r="CF42" s="100">
        <v>8.1859873361120577E-4</v>
      </c>
      <c r="CG42" s="100">
        <v>0.69253452863508014</v>
      </c>
      <c r="CH42" s="100">
        <v>13.075893231013273</v>
      </c>
      <c r="CI42" s="100">
        <v>11062.205673437229</v>
      </c>
      <c r="CJ42" s="100">
        <v>1.1109057918832895E-3</v>
      </c>
      <c r="CK42" s="100">
        <v>0.93982629993326294</v>
      </c>
      <c r="CL42" s="100">
        <v>14.000303449332559</v>
      </c>
      <c r="CM42" s="100">
        <v>11844.256718135346</v>
      </c>
      <c r="CN42" s="100">
        <v>15</v>
      </c>
      <c r="CO42" s="100">
        <v>12690</v>
      </c>
      <c r="CP42" s="100">
        <v>22.770393200436846</v>
      </c>
      <c r="CQ42" s="100">
        <v>19263.75264756957</v>
      </c>
      <c r="CR42" s="100">
        <v>1.0799056866011183E-3</v>
      </c>
      <c r="CS42" s="100">
        <v>0.91360021086454613</v>
      </c>
      <c r="CT42" s="100">
        <v>22.040269096188275</v>
      </c>
      <c r="CU42" s="100">
        <v>18646.067655375282</v>
      </c>
    </row>
    <row r="43" spans="2:99">
      <c r="C43" s="99" t="s">
        <v>209</v>
      </c>
      <c r="D43" s="100">
        <v>9.7293365040561355</v>
      </c>
      <c r="E43" s="100">
        <v>9947.2736417469932</v>
      </c>
      <c r="F43" s="100">
        <v>2.777460254682226</v>
      </c>
      <c r="G43" s="100">
        <v>2839.6753643871079</v>
      </c>
      <c r="H43" s="100">
        <v>13.202966564843059</v>
      </c>
      <c r="I43" s="100">
        <v>13498.713015895544</v>
      </c>
      <c r="J43" s="100">
        <v>14</v>
      </c>
      <c r="K43" s="100">
        <v>14313.6</v>
      </c>
      <c r="L43" s="100">
        <v>6.7942082658197309</v>
      </c>
      <c r="M43" s="100">
        <v>6946.3985309740929</v>
      </c>
      <c r="N43" s="100">
        <v>20</v>
      </c>
      <c r="O43" s="100">
        <v>20448</v>
      </c>
      <c r="P43" s="100">
        <v>20</v>
      </c>
      <c r="Q43" s="100">
        <v>20448</v>
      </c>
      <c r="R43" s="100">
        <v>12.180562337982884</v>
      </c>
      <c r="S43" s="100">
        <v>12453.406934353701</v>
      </c>
      <c r="T43" s="100">
        <v>1.1301424397346992E-3</v>
      </c>
      <c r="U43" s="100">
        <v>1.1554576303847564</v>
      </c>
      <c r="V43" s="100">
        <v>11.00164408565551</v>
      </c>
      <c r="W43" s="100">
        <v>11248.080913174193</v>
      </c>
      <c r="X43" s="100">
        <v>13</v>
      </c>
      <c r="Y43" s="100">
        <v>13291.199999999999</v>
      </c>
      <c r="Z43" s="100">
        <v>13</v>
      </c>
      <c r="AA43" s="100">
        <v>13291.199999999999</v>
      </c>
      <c r="AB43" s="100">
        <v>5.6842810848599905</v>
      </c>
      <c r="AC43" s="100">
        <v>5811.6089811608545</v>
      </c>
      <c r="AD43" s="100">
        <v>6.0686528732369114</v>
      </c>
      <c r="AE43" s="100">
        <v>6204.5906975974185</v>
      </c>
      <c r="AF43" s="100">
        <v>3.1930969818043939</v>
      </c>
      <c r="AG43" s="100">
        <v>3264.6223541968125</v>
      </c>
      <c r="AH43" s="100">
        <v>20.508562319906144</v>
      </c>
      <c r="AI43" s="100">
        <v>20967.954115872042</v>
      </c>
      <c r="AJ43" s="100">
        <v>21</v>
      </c>
      <c r="AK43" s="100">
        <v>21470.399999999998</v>
      </c>
      <c r="AL43" s="100">
        <v>1.4087438617218102</v>
      </c>
      <c r="AM43" s="100">
        <v>1440.2997242243787</v>
      </c>
      <c r="AN43" s="100">
        <v>16</v>
      </c>
      <c r="AO43" s="100">
        <v>16358.4</v>
      </c>
      <c r="AP43" s="100">
        <v>11</v>
      </c>
      <c r="AQ43" s="100">
        <v>11246.4</v>
      </c>
      <c r="AR43" s="100">
        <v>12</v>
      </c>
      <c r="AS43" s="100">
        <v>12268.8</v>
      </c>
      <c r="AT43" s="100">
        <v>9.4001596471706925</v>
      </c>
      <c r="AU43" s="100">
        <v>9610.7232232673159</v>
      </c>
      <c r="AV43" s="100">
        <v>13.994422040936881</v>
      </c>
      <c r="AW43" s="100">
        <v>14307.897094653867</v>
      </c>
      <c r="AX43" s="100">
        <v>12.470876454648874</v>
      </c>
      <c r="AY43" s="100">
        <v>12750.224087233008</v>
      </c>
      <c r="AZ43" s="100">
        <v>11.75390289306446</v>
      </c>
      <c r="BA43" s="100">
        <v>12017.190317869103</v>
      </c>
      <c r="BB43" s="100">
        <v>7.0988612204983341E-4</v>
      </c>
      <c r="BC43" s="100">
        <v>0.7257875711837497</v>
      </c>
      <c r="BD43" s="100">
        <v>21.345336686683538</v>
      </c>
      <c r="BE43" s="100">
        <v>21823.472228465249</v>
      </c>
      <c r="BF43" s="100">
        <v>12.846335853011965</v>
      </c>
      <c r="BG43" s="100">
        <v>13134.093776119433</v>
      </c>
      <c r="BH43" s="100">
        <v>1.0239334532214826E-3</v>
      </c>
      <c r="BI43" s="100">
        <v>1.0468695625736437</v>
      </c>
      <c r="BJ43" s="100">
        <v>20.019989413148629</v>
      </c>
      <c r="BK43" s="100">
        <v>20468.437176003157</v>
      </c>
      <c r="BL43" s="100">
        <v>2.6713260489479991</v>
      </c>
      <c r="BM43" s="100">
        <v>2731.1637524444341</v>
      </c>
      <c r="BN43" s="100">
        <v>18.864544913772239</v>
      </c>
      <c r="BO43" s="100">
        <v>19287.110719840737</v>
      </c>
      <c r="BP43" s="100">
        <v>19</v>
      </c>
      <c r="BQ43" s="100">
        <v>19425.599999999999</v>
      </c>
      <c r="BR43" s="100">
        <v>5.7994604295407584</v>
      </c>
      <c r="BS43" s="100">
        <v>5929.3683431624713</v>
      </c>
      <c r="BT43" s="100">
        <v>8.5903186517138028</v>
      </c>
      <c r="BU43" s="100">
        <v>8782.7417895121926</v>
      </c>
      <c r="BV43" s="100">
        <v>4.3976407392185974</v>
      </c>
      <c r="BW43" s="100">
        <v>4496.1478917770937</v>
      </c>
      <c r="BX43" s="100">
        <v>15.926231742161864</v>
      </c>
      <c r="BY43" s="100">
        <v>16282.979333186289</v>
      </c>
      <c r="BZ43" s="100">
        <v>11.246917432936826</v>
      </c>
      <c r="CA43" s="100">
        <v>11498.84838343461</v>
      </c>
      <c r="CB43" s="100">
        <v>21</v>
      </c>
      <c r="CC43" s="100">
        <v>21470.399999999998</v>
      </c>
      <c r="CD43" s="100">
        <v>18.928766535965494</v>
      </c>
      <c r="CE43" s="100">
        <v>19352.770906371119</v>
      </c>
      <c r="CF43" s="100">
        <v>9.5503185587973987E-4</v>
      </c>
      <c r="CG43" s="100">
        <v>0.97642456945144607</v>
      </c>
      <c r="CH43" s="100">
        <v>14.148074314826461</v>
      </c>
      <c r="CI43" s="100">
        <v>14464.991179478573</v>
      </c>
      <c r="CJ43" s="100">
        <v>1.0460658108488029E-3</v>
      </c>
      <c r="CK43" s="100">
        <v>1.0694976850118161</v>
      </c>
      <c r="CL43" s="100">
        <v>14.000303449332559</v>
      </c>
      <c r="CM43" s="100">
        <v>14313.910246597608</v>
      </c>
      <c r="CN43" s="100">
        <v>15</v>
      </c>
      <c r="CO43" s="100">
        <v>15336</v>
      </c>
      <c r="CP43" s="100">
        <v>21.780376104765679</v>
      </c>
      <c r="CQ43" s="100">
        <v>22268.25652951243</v>
      </c>
      <c r="CR43" s="100">
        <v>1.0760999723913507E-3</v>
      </c>
      <c r="CS43" s="100">
        <v>1.100204611772917</v>
      </c>
      <c r="CT43" s="100">
        <v>18.04602182421517</v>
      </c>
      <c r="CU43" s="100">
        <v>18450.252713077589</v>
      </c>
    </row>
    <row r="44" spans="2:99">
      <c r="C44" s="99" t="s">
        <v>210</v>
      </c>
      <c r="D44" s="100">
        <v>10.528585617546533</v>
      </c>
      <c r="E44" s="100">
        <v>10764.425935379575</v>
      </c>
      <c r="F44" s="100">
        <v>3.0164247374436806</v>
      </c>
      <c r="G44" s="100">
        <v>3083.9926515624188</v>
      </c>
      <c r="H44" s="100">
        <v>12.202966564843059</v>
      </c>
      <c r="I44" s="100">
        <v>12476.313015895543</v>
      </c>
      <c r="J44" s="100">
        <v>13</v>
      </c>
      <c r="K44" s="100">
        <v>13291.199999999999</v>
      </c>
      <c r="L44" s="100">
        <v>6.7942082658197309</v>
      </c>
      <c r="M44" s="100">
        <v>6946.3985309740929</v>
      </c>
      <c r="N44" s="100">
        <v>21</v>
      </c>
      <c r="O44" s="100">
        <v>21470.399999999998</v>
      </c>
      <c r="P44" s="100">
        <v>20</v>
      </c>
      <c r="Q44" s="100">
        <v>20448</v>
      </c>
      <c r="R44" s="100">
        <v>12.992599827181742</v>
      </c>
      <c r="S44" s="100">
        <v>13283.634063310612</v>
      </c>
      <c r="T44" s="100">
        <v>1.2054852690503457E-3</v>
      </c>
      <c r="U44" s="100">
        <v>1.2324881390770734</v>
      </c>
      <c r="V44" s="100">
        <v>10.898789439157634</v>
      </c>
      <c r="W44" s="100">
        <v>11142.922322594764</v>
      </c>
      <c r="X44" s="100">
        <v>14</v>
      </c>
      <c r="Y44" s="100">
        <v>14313.6</v>
      </c>
      <c r="Z44" s="100">
        <v>14</v>
      </c>
      <c r="AA44" s="100">
        <v>14313.6</v>
      </c>
      <c r="AB44" s="100">
        <v>5.3053290125359904</v>
      </c>
      <c r="AC44" s="100">
        <v>5424.1683824167967</v>
      </c>
      <c r="AD44" s="100">
        <v>6.071307562318232</v>
      </c>
      <c r="AE44" s="100">
        <v>6207.3048517141606</v>
      </c>
      <c r="AF44" s="100">
        <v>3.1930969818043939</v>
      </c>
      <c r="AG44" s="100">
        <v>3264.6223541968125</v>
      </c>
      <c r="AH44" s="100">
        <v>19.635702899882677</v>
      </c>
      <c r="AI44" s="100">
        <v>20075.54264484005</v>
      </c>
      <c r="AJ44" s="100">
        <v>20</v>
      </c>
      <c r="AK44" s="100">
        <v>20448</v>
      </c>
      <c r="AL44" s="100">
        <v>1.2430092897545384</v>
      </c>
      <c r="AM44" s="100">
        <v>1270.85269784504</v>
      </c>
      <c r="AN44" s="100">
        <v>15</v>
      </c>
      <c r="AO44" s="100">
        <v>15336</v>
      </c>
      <c r="AP44" s="100">
        <v>12</v>
      </c>
      <c r="AQ44" s="100">
        <v>12268.8</v>
      </c>
      <c r="AR44" s="100">
        <v>14</v>
      </c>
      <c r="AS44" s="100">
        <v>14313.6</v>
      </c>
      <c r="AT44" s="100">
        <v>10.340175611887762</v>
      </c>
      <c r="AU44" s="100">
        <v>10571.795545594048</v>
      </c>
      <c r="AV44" s="100">
        <v>13.994422040936881</v>
      </c>
      <c r="AW44" s="100">
        <v>14307.897094653867</v>
      </c>
      <c r="AX44" s="100">
        <v>13.361653344266651</v>
      </c>
      <c r="AY44" s="100">
        <v>13660.954379178223</v>
      </c>
      <c r="AZ44" s="100">
        <v>13.321089945473053</v>
      </c>
      <c r="BA44" s="100">
        <v>13619.48236025165</v>
      </c>
      <c r="BB44" s="100">
        <v>7.0988612204983341E-4</v>
      </c>
      <c r="BC44" s="100">
        <v>0.7257875711837497</v>
      </c>
      <c r="BD44" s="100">
        <v>18.345336686683538</v>
      </c>
      <c r="BE44" s="100">
        <v>18756.272228465248</v>
      </c>
      <c r="BF44" s="100">
        <v>12.846335853011965</v>
      </c>
      <c r="BG44" s="100">
        <v>13134.093776119433</v>
      </c>
      <c r="BH44" s="100">
        <v>8.3507003744186226E-4</v>
      </c>
      <c r="BI44" s="100">
        <v>0.85377560628055993</v>
      </c>
      <c r="BJ44" s="100">
        <v>18.892490736505053</v>
      </c>
      <c r="BK44" s="100">
        <v>19315.682529002766</v>
      </c>
      <c r="BL44" s="100">
        <v>2.6713260489479991</v>
      </c>
      <c r="BM44" s="100">
        <v>2731.1637524444341</v>
      </c>
      <c r="BN44" s="100">
        <v>18.864544913772239</v>
      </c>
      <c r="BO44" s="100">
        <v>19287.110719840737</v>
      </c>
      <c r="BP44" s="100">
        <v>17</v>
      </c>
      <c r="BQ44" s="100">
        <v>17380.8</v>
      </c>
      <c r="BR44" s="100">
        <v>6.3266841049535554</v>
      </c>
      <c r="BS44" s="100">
        <v>6468.4018289045152</v>
      </c>
      <c r="BT44" s="100">
        <v>8.5903186517138028</v>
      </c>
      <c r="BU44" s="100">
        <v>8782.7417895121926</v>
      </c>
      <c r="BV44" s="100">
        <v>3.9775840581245681</v>
      </c>
      <c r="BW44" s="100">
        <v>4066.6819410265584</v>
      </c>
      <c r="BX44" s="100">
        <v>16.926231742161864</v>
      </c>
      <c r="BY44" s="100">
        <v>17305.379333186291</v>
      </c>
      <c r="BZ44" s="100">
        <v>12.74650642399507</v>
      </c>
      <c r="CA44" s="100">
        <v>13032.02816789256</v>
      </c>
      <c r="CB44" s="100">
        <v>22</v>
      </c>
      <c r="CC44" s="100">
        <v>22492.799999999999</v>
      </c>
      <c r="CD44" s="100">
        <v>18.928766535965494</v>
      </c>
      <c r="CE44" s="100">
        <v>19352.770906371119</v>
      </c>
      <c r="CF44" s="100">
        <v>9.5503185587973987E-4</v>
      </c>
      <c r="CG44" s="100">
        <v>0.97642456945144607</v>
      </c>
      <c r="CH44" s="100">
        <v>14.844402520366579</v>
      </c>
      <c r="CI44" s="100">
        <v>15176.917136822789</v>
      </c>
      <c r="CJ44" s="100">
        <v>1.1757457729177762E-3</v>
      </c>
      <c r="CK44" s="100">
        <v>1.2020824782311343</v>
      </c>
      <c r="CL44" s="100">
        <v>14.000303449332559</v>
      </c>
      <c r="CM44" s="100">
        <v>14313.910246597608</v>
      </c>
      <c r="CN44" s="100">
        <v>17</v>
      </c>
      <c r="CO44" s="100">
        <v>17380.8</v>
      </c>
      <c r="CP44" s="100">
        <v>20.790359009094509</v>
      </c>
      <c r="CQ44" s="100">
        <v>21256.063050898225</v>
      </c>
      <c r="CR44" s="100">
        <v>1.2077581832829437E-3</v>
      </c>
      <c r="CS44" s="100">
        <v>1.2348119665884816</v>
      </c>
      <c r="CT44" s="100">
        <v>19.040269096188275</v>
      </c>
      <c r="CU44" s="100">
        <v>19466.771123942894</v>
      </c>
    </row>
    <row r="45" spans="2:99">
      <c r="C45" s="99" t="s">
        <v>211</v>
      </c>
      <c r="D45" s="100">
        <v>10.41843528899336</v>
      </c>
      <c r="E45" s="100">
        <v>13014.709363010505</v>
      </c>
      <c r="F45" s="100">
        <v>3.2454658239180523</v>
      </c>
      <c r="G45" s="100">
        <v>4054.2359072384311</v>
      </c>
      <c r="H45" s="100">
        <v>13.202966564843059</v>
      </c>
      <c r="I45" s="100">
        <v>16493.145832801951</v>
      </c>
      <c r="J45" s="100">
        <v>12</v>
      </c>
      <c r="K45" s="100">
        <v>14990.400000000001</v>
      </c>
      <c r="L45" s="100">
        <v>7.4118635627124343</v>
      </c>
      <c r="M45" s="100">
        <v>9258.899962540374</v>
      </c>
      <c r="N45" s="100">
        <v>20</v>
      </c>
      <c r="O45" s="100">
        <v>24984</v>
      </c>
      <c r="P45" s="100">
        <v>19</v>
      </c>
      <c r="Q45" s="100">
        <v>23734.799999999999</v>
      </c>
      <c r="R45" s="100">
        <v>11.368524848784025</v>
      </c>
      <c r="S45" s="100">
        <v>14201.561241101004</v>
      </c>
      <c r="T45" s="100">
        <v>1.0547996104190527E-3</v>
      </c>
      <c r="U45" s="100">
        <v>1.3176556733354807</v>
      </c>
      <c r="V45" s="100">
        <v>9.9905569858944983</v>
      </c>
      <c r="W45" s="100">
        <v>12480.203786779408</v>
      </c>
      <c r="X45" s="100">
        <v>13</v>
      </c>
      <c r="Y45" s="100">
        <v>16239.6</v>
      </c>
      <c r="Z45" s="100">
        <v>14</v>
      </c>
      <c r="AA45" s="100">
        <v>17488.8</v>
      </c>
      <c r="AB45" s="100">
        <v>5.3053290125359904</v>
      </c>
      <c r="AC45" s="100">
        <v>6627.4170024599598</v>
      </c>
      <c r="AD45" s="100">
        <v>5.1530501972731182</v>
      </c>
      <c r="AE45" s="100">
        <v>6437.1903064335793</v>
      </c>
      <c r="AF45" s="100">
        <v>2.7199431608491458</v>
      </c>
      <c r="AG45" s="100">
        <v>3397.7529965327531</v>
      </c>
      <c r="AH45" s="100">
        <v>18.508562319906144</v>
      </c>
      <c r="AI45" s="100">
        <v>23120.896050026757</v>
      </c>
      <c r="AJ45" s="100">
        <v>19</v>
      </c>
      <c r="AK45" s="100">
        <v>23734.799999999999</v>
      </c>
      <c r="AL45" s="100">
        <v>1.2430092897545384</v>
      </c>
      <c r="AM45" s="100">
        <v>1552.7672047613694</v>
      </c>
      <c r="AN45" s="100">
        <v>15</v>
      </c>
      <c r="AO45" s="100">
        <v>18738</v>
      </c>
      <c r="AP45" s="100">
        <v>10</v>
      </c>
      <c r="AQ45" s="100">
        <v>12492</v>
      </c>
      <c r="AR45" s="100">
        <v>12</v>
      </c>
      <c r="AS45" s="100">
        <v>14990.400000000001</v>
      </c>
      <c r="AT45" s="100">
        <v>9.4001596471706925</v>
      </c>
      <c r="AU45" s="100">
        <v>11742.67943124563</v>
      </c>
      <c r="AV45" s="100">
        <v>13.994422040936881</v>
      </c>
      <c r="AW45" s="100">
        <v>17481.832013538351</v>
      </c>
      <c r="AX45" s="100">
        <v>13.361653344266651</v>
      </c>
      <c r="AY45" s="100">
        <v>16691.377357657901</v>
      </c>
      <c r="AZ45" s="100">
        <v>10.970309366860162</v>
      </c>
      <c r="BA45" s="100">
        <v>13704.110461081715</v>
      </c>
      <c r="BB45" s="100">
        <v>6.3889750984484996E-4</v>
      </c>
      <c r="BC45" s="100">
        <v>0.79811076929818658</v>
      </c>
      <c r="BD45" s="100">
        <v>18.345336686683538</v>
      </c>
      <c r="BE45" s="100">
        <v>22916.994589005077</v>
      </c>
      <c r="BF45" s="100">
        <v>12.846335853011965</v>
      </c>
      <c r="BG45" s="100">
        <v>16047.642747582548</v>
      </c>
      <c r="BH45" s="100">
        <v>8.3298729964225696E-4</v>
      </c>
      <c r="BI45" s="100">
        <v>1.0405677347131075</v>
      </c>
      <c r="BJ45" s="100">
        <v>20.019989413148629</v>
      </c>
      <c r="BK45" s="100">
        <v>25008.970774905269</v>
      </c>
      <c r="BL45" s="100">
        <v>2.6713260489479991</v>
      </c>
      <c r="BM45" s="100">
        <v>3337.0205003458404</v>
      </c>
      <c r="BN45" s="100">
        <v>19.741038497519064</v>
      </c>
      <c r="BO45" s="100">
        <v>24660.505291100817</v>
      </c>
      <c r="BP45" s="100">
        <v>19</v>
      </c>
      <c r="BQ45" s="100">
        <v>23734.799999999999</v>
      </c>
      <c r="BR45" s="100">
        <v>5.7994604295407584</v>
      </c>
      <c r="BS45" s="100">
        <v>7244.6859685823156</v>
      </c>
      <c r="BT45" s="100">
        <v>8.5903186517138028</v>
      </c>
      <c r="BU45" s="100">
        <v>10731.026059720883</v>
      </c>
      <c r="BV45" s="100">
        <v>3.9677303617106534</v>
      </c>
      <c r="BW45" s="100">
        <v>4956.4887678489486</v>
      </c>
      <c r="BX45" s="100">
        <v>14.926231742161864</v>
      </c>
      <c r="BY45" s="100">
        <v>18645.848692308602</v>
      </c>
      <c r="BZ45" s="100">
        <v>12.74650642399507</v>
      </c>
      <c r="CA45" s="100">
        <v>15922.935824854643</v>
      </c>
      <c r="CB45" s="100">
        <v>20</v>
      </c>
      <c r="CC45" s="100">
        <v>24984</v>
      </c>
      <c r="CD45" s="100">
        <v>17.035889882368942</v>
      </c>
      <c r="CE45" s="100">
        <v>21281.233641055282</v>
      </c>
      <c r="CF45" s="100">
        <v>8.8681529474547282E-4</v>
      </c>
      <c r="CG45" s="100">
        <v>1.1078096661960446</v>
      </c>
      <c r="CH45" s="100">
        <v>13.897505729311082</v>
      </c>
      <c r="CI45" s="100">
        <v>17360.764157055404</v>
      </c>
      <c r="CJ45" s="100">
        <v>9.8026737267020323E-4</v>
      </c>
      <c r="CK45" s="100">
        <v>1.2245500019396178</v>
      </c>
      <c r="CL45" s="100">
        <v>12.000303449332559</v>
      </c>
      <c r="CM45" s="100">
        <v>14990.779068906233</v>
      </c>
      <c r="CN45" s="100">
        <v>15</v>
      </c>
      <c r="CO45" s="100">
        <v>18738</v>
      </c>
      <c r="CP45" s="100">
        <v>17.820307722081008</v>
      </c>
      <c r="CQ45" s="100">
        <v>22261.128406423595</v>
      </c>
      <c r="CR45" s="100">
        <v>1.2096610403878275E-3</v>
      </c>
      <c r="CS45" s="100">
        <v>1.5111085716524741</v>
      </c>
      <c r="CT45" s="100">
        <v>21.040269096188275</v>
      </c>
      <c r="CU45" s="100">
        <v>26283.504154958395</v>
      </c>
    </row>
    <row r="46" spans="2:99">
      <c r="C46" s="99" t="s">
        <v>212</v>
      </c>
      <c r="D46" s="100">
        <v>8.3511389341816855</v>
      </c>
      <c r="E46" s="100">
        <v>10121.580388228203</v>
      </c>
      <c r="F46" s="100">
        <v>3.0263481337307621</v>
      </c>
      <c r="G46" s="100">
        <v>3667.9339380816837</v>
      </c>
      <c r="H46" s="100">
        <v>12.069303613193831</v>
      </c>
      <c r="I46" s="100">
        <v>14627.995979190924</v>
      </c>
      <c r="J46" s="100">
        <v>12</v>
      </c>
      <c r="K46" s="100">
        <v>14544</v>
      </c>
      <c r="L46" s="100">
        <v>6.1765529689270284</v>
      </c>
      <c r="M46" s="100">
        <v>7485.9821983395586</v>
      </c>
      <c r="N46" s="100">
        <v>19</v>
      </c>
      <c r="O46" s="100">
        <v>23028</v>
      </c>
      <c r="P46" s="100">
        <v>21</v>
      </c>
      <c r="Q46" s="100">
        <v>25452</v>
      </c>
      <c r="R46" s="100">
        <v>11.368524848784025</v>
      </c>
      <c r="S46" s="100">
        <v>13778.652116726238</v>
      </c>
      <c r="T46" s="100">
        <v>1.2054852690503457E-3</v>
      </c>
      <c r="U46" s="100">
        <v>1.461048146089019</v>
      </c>
      <c r="V46" s="100">
        <v>11.807021892420769</v>
      </c>
      <c r="W46" s="100">
        <v>14310.110533613972</v>
      </c>
      <c r="X46" s="100">
        <v>15</v>
      </c>
      <c r="Y46" s="100">
        <v>18180</v>
      </c>
      <c r="Z46" s="100">
        <v>14</v>
      </c>
      <c r="AA46" s="100">
        <v>16968</v>
      </c>
      <c r="AB46" s="100">
        <v>5.3053290125359904</v>
      </c>
      <c r="AC46" s="100">
        <v>6430.0587631936205</v>
      </c>
      <c r="AD46" s="100">
        <v>6.0739622513995544</v>
      </c>
      <c r="AE46" s="100">
        <v>7361.6422486962601</v>
      </c>
      <c r="AF46" s="100">
        <v>2.7003436365832654</v>
      </c>
      <c r="AG46" s="100">
        <v>3272.8164875389175</v>
      </c>
      <c r="AH46" s="100">
        <v>20.508562319906144</v>
      </c>
      <c r="AI46" s="100">
        <v>24856.377531726248</v>
      </c>
      <c r="AJ46" s="100">
        <v>21</v>
      </c>
      <c r="AK46" s="100">
        <v>25452</v>
      </c>
      <c r="AL46" s="100">
        <v>1.2430092897545384</v>
      </c>
      <c r="AM46" s="100">
        <v>1506.5272591825005</v>
      </c>
      <c r="AN46" s="100">
        <v>14</v>
      </c>
      <c r="AO46" s="100">
        <v>16968</v>
      </c>
      <c r="AP46" s="100">
        <v>10</v>
      </c>
      <c r="AQ46" s="100">
        <v>12120</v>
      </c>
      <c r="AR46" s="100">
        <v>12</v>
      </c>
      <c r="AS46" s="100">
        <v>14544</v>
      </c>
      <c r="AT46" s="100">
        <v>10.340175611887762</v>
      </c>
      <c r="AU46" s="100">
        <v>12532.292841607969</v>
      </c>
      <c r="AV46" s="100">
        <v>11.784776455525796</v>
      </c>
      <c r="AW46" s="100">
        <v>14283.149064097264</v>
      </c>
      <c r="AX46" s="100">
        <v>14.252430233884429</v>
      </c>
      <c r="AY46" s="100">
        <v>17273.945443467928</v>
      </c>
      <c r="AZ46" s="100">
        <v>13.321089945473053</v>
      </c>
      <c r="BA46" s="100">
        <v>16145.161013913341</v>
      </c>
      <c r="BB46" s="100">
        <v>7.0988612204983341E-4</v>
      </c>
      <c r="BC46" s="100">
        <v>0.86038197992439813</v>
      </c>
      <c r="BD46" s="100">
        <v>20.345336686683538</v>
      </c>
      <c r="BE46" s="100">
        <v>24658.548064260449</v>
      </c>
      <c r="BF46" s="100">
        <v>11.011145016867399</v>
      </c>
      <c r="BG46" s="100">
        <v>13345.507760443288</v>
      </c>
      <c r="BH46" s="100">
        <v>8.9594177156879706E-4</v>
      </c>
      <c r="BI46" s="100">
        <v>1.0858814271413821</v>
      </c>
      <c r="BJ46" s="100">
        <v>21.019989413148629</v>
      </c>
      <c r="BK46" s="100">
        <v>25476.227168736139</v>
      </c>
      <c r="BL46" s="100">
        <v>3.0052418050664991</v>
      </c>
      <c r="BM46" s="100">
        <v>3642.353067740597</v>
      </c>
      <c r="BN46" s="100">
        <v>17.864544913772239</v>
      </c>
      <c r="BO46" s="100">
        <v>21651.828435491952</v>
      </c>
      <c r="BP46" s="100">
        <v>18</v>
      </c>
      <c r="BQ46" s="100">
        <v>21816</v>
      </c>
      <c r="BR46" s="100">
        <v>5.7994604295407584</v>
      </c>
      <c r="BS46" s="100">
        <v>7028.9460406033995</v>
      </c>
      <c r="BT46" s="100">
        <v>9.306178539356619</v>
      </c>
      <c r="BU46" s="100">
        <v>11279.088389700222</v>
      </c>
      <c r="BV46" s="100">
        <v>3.9578766652967383</v>
      </c>
      <c r="BW46" s="100">
        <v>4796.9465183396469</v>
      </c>
      <c r="BX46" s="100">
        <v>16.058550562470703</v>
      </c>
      <c r="BY46" s="100">
        <v>19462.963281714492</v>
      </c>
      <c r="BZ46" s="100">
        <v>11.246917432936826</v>
      </c>
      <c r="CA46" s="100">
        <v>13631.263928719432</v>
      </c>
      <c r="CB46" s="100">
        <v>19</v>
      </c>
      <c r="CC46" s="100">
        <v>23028</v>
      </c>
      <c r="CD46" s="100">
        <v>18.928766535965494</v>
      </c>
      <c r="CE46" s="100">
        <v>22941.665041590179</v>
      </c>
      <c r="CF46" s="100">
        <v>8.1859873361120577E-4</v>
      </c>
      <c r="CG46" s="100">
        <v>0.99214166513678137</v>
      </c>
      <c r="CH46" s="100">
        <v>14.719118227608892</v>
      </c>
      <c r="CI46" s="100">
        <v>17839.571291861976</v>
      </c>
      <c r="CJ46" s="100">
        <v>1.0451073537046899E-3</v>
      </c>
      <c r="CK46" s="100">
        <v>1.2666701126900841</v>
      </c>
      <c r="CL46" s="100">
        <v>13.000303449332559</v>
      </c>
      <c r="CM46" s="100">
        <v>15756.367780591061</v>
      </c>
      <c r="CN46" s="100">
        <v>17</v>
      </c>
      <c r="CO46" s="100">
        <v>20604</v>
      </c>
      <c r="CP46" s="100">
        <v>19.800341913423342</v>
      </c>
      <c r="CQ46" s="100">
        <v>23998.014399069089</v>
      </c>
      <c r="CR46" s="100">
        <v>1.1849238980243364E-3</v>
      </c>
      <c r="CS46" s="100">
        <v>1.4361277644054957</v>
      </c>
      <c r="CT46" s="100">
        <v>18.04602182421517</v>
      </c>
      <c r="CU46" s="100">
        <v>21871.778450948786</v>
      </c>
    </row>
    <row r="47" spans="2:99">
      <c r="C47" s="99" t="s">
        <v>213</v>
      </c>
      <c r="D47" s="100">
        <v>8.3511389341816855</v>
      </c>
      <c r="E47" s="100">
        <v>12757.199835855941</v>
      </c>
      <c r="F47" s="100">
        <v>2.7576134621080621</v>
      </c>
      <c r="G47" s="100">
        <v>4212.5303247162756</v>
      </c>
      <c r="H47" s="100">
        <v>13.069303613193831</v>
      </c>
      <c r="I47" s="100">
        <v>19964.668199514897</v>
      </c>
      <c r="J47" s="100">
        <v>13</v>
      </c>
      <c r="K47" s="100">
        <v>19858.8</v>
      </c>
      <c r="L47" s="100">
        <v>6.7942082658197309</v>
      </c>
      <c r="M47" s="100">
        <v>10378.832546866221</v>
      </c>
      <c r="N47" s="100">
        <v>18</v>
      </c>
      <c r="O47" s="100">
        <v>27496.799999999999</v>
      </c>
      <c r="P47" s="100">
        <v>18</v>
      </c>
      <c r="Q47" s="100">
        <v>27496.799999999999</v>
      </c>
      <c r="R47" s="100">
        <v>12.180562337982884</v>
      </c>
      <c r="S47" s="100">
        <v>18607.027027502652</v>
      </c>
      <c r="T47" s="100">
        <v>1.1301424397346992E-3</v>
      </c>
      <c r="U47" s="100">
        <v>1.7264055909387264</v>
      </c>
      <c r="V47" s="100">
        <v>9.9905569858944983</v>
      </c>
      <c r="W47" s="100">
        <v>15261.574851652435</v>
      </c>
      <c r="X47" s="100">
        <v>13</v>
      </c>
      <c r="Y47" s="100">
        <v>19858.8</v>
      </c>
      <c r="Z47" s="100">
        <v>13</v>
      </c>
      <c r="AA47" s="100">
        <v>19858.8</v>
      </c>
      <c r="AB47" s="100">
        <v>4.9263769402119912</v>
      </c>
      <c r="AC47" s="100">
        <v>7525.5334138678372</v>
      </c>
      <c r="AD47" s="100">
        <v>6.065998184155589</v>
      </c>
      <c r="AE47" s="100">
        <v>9266.418826116078</v>
      </c>
      <c r="AF47" s="100">
        <v>2.9467203091938301</v>
      </c>
      <c r="AG47" s="100">
        <v>4501.409944324495</v>
      </c>
      <c r="AH47" s="100">
        <v>20.635702899882677</v>
      </c>
      <c r="AI47" s="100">
        <v>31523.099749860776</v>
      </c>
      <c r="AJ47" s="100">
        <v>20</v>
      </c>
      <c r="AK47" s="100">
        <v>30552</v>
      </c>
      <c r="AL47" s="100">
        <v>1.2430092897545384</v>
      </c>
      <c r="AM47" s="100">
        <v>1898.8209910290327</v>
      </c>
      <c r="AN47" s="100">
        <v>13</v>
      </c>
      <c r="AO47" s="100">
        <v>19858.8</v>
      </c>
      <c r="AP47" s="100">
        <v>10</v>
      </c>
      <c r="AQ47" s="100">
        <v>15276</v>
      </c>
      <c r="AR47" s="100">
        <v>12</v>
      </c>
      <c r="AS47" s="100">
        <v>18331.199999999997</v>
      </c>
      <c r="AT47" s="100">
        <v>9.4001596471706925</v>
      </c>
      <c r="AU47" s="100">
        <v>14359.683877017949</v>
      </c>
      <c r="AV47" s="100">
        <v>12.521324983996157</v>
      </c>
      <c r="AW47" s="100">
        <v>19127.576045552531</v>
      </c>
      <c r="AX47" s="100">
        <v>14.252430233884429</v>
      </c>
      <c r="AY47" s="100">
        <v>21772.012425281853</v>
      </c>
      <c r="AZ47" s="100">
        <v>10.970309366860162</v>
      </c>
      <c r="BA47" s="100">
        <v>16758.244588815582</v>
      </c>
      <c r="BB47" s="100">
        <v>7.8087473425481665E-4</v>
      </c>
      <c r="BC47" s="100">
        <v>1.1928642440476578</v>
      </c>
      <c r="BD47" s="100">
        <v>19.345336686683538</v>
      </c>
      <c r="BE47" s="100">
        <v>29551.936322577771</v>
      </c>
      <c r="BF47" s="100">
        <v>11.011145016867399</v>
      </c>
      <c r="BG47" s="100">
        <v>16820.625127766638</v>
      </c>
      <c r="BH47" s="100">
        <v>8.3507003744186226E-4</v>
      </c>
      <c r="BI47" s="100">
        <v>1.2756529891961887</v>
      </c>
      <c r="BJ47" s="100">
        <v>21.019989413148629</v>
      </c>
      <c r="BK47" s="100">
        <v>32110.135827525843</v>
      </c>
      <c r="BL47" s="100">
        <v>2.8713202093304036</v>
      </c>
      <c r="BM47" s="100">
        <v>4386.2287517731238</v>
      </c>
      <c r="BN47" s="100">
        <v>18.864544913772239</v>
      </c>
      <c r="BO47" s="100">
        <v>28817.47881027847</v>
      </c>
      <c r="BP47" s="100">
        <v>16</v>
      </c>
      <c r="BQ47" s="100">
        <v>24441.599999999999</v>
      </c>
      <c r="BR47" s="100">
        <v>5.7994604295407584</v>
      </c>
      <c r="BS47" s="100">
        <v>8859.2557521664621</v>
      </c>
      <c r="BT47" s="100">
        <v>9.306178539356619</v>
      </c>
      <c r="BU47" s="100">
        <v>14216.118336721171</v>
      </c>
      <c r="BV47" s="100">
        <v>3.9578766652967383</v>
      </c>
      <c r="BW47" s="100">
        <v>6046.0523939072973</v>
      </c>
      <c r="BX47" s="100">
        <v>16.058550562470703</v>
      </c>
      <c r="BY47" s="100">
        <v>24531.041839230245</v>
      </c>
      <c r="BZ47" s="100">
        <v>10.497122937407704</v>
      </c>
      <c r="CA47" s="100">
        <v>16035.404999184007</v>
      </c>
      <c r="CB47" s="100">
        <v>19</v>
      </c>
      <c r="CC47" s="100">
        <v>29024.399999999998</v>
      </c>
      <c r="CD47" s="100">
        <v>17.982328209167218</v>
      </c>
      <c r="CE47" s="100">
        <v>27469.804572323839</v>
      </c>
      <c r="CF47" s="100">
        <v>8.1859873361120577E-4</v>
      </c>
      <c r="CG47" s="100">
        <v>1.2504914254644779</v>
      </c>
      <c r="CH47" s="100">
        <v>13.075893231013273</v>
      </c>
      <c r="CI47" s="100">
        <v>19974.734499695875</v>
      </c>
      <c r="CJ47" s="100">
        <v>1.0460658108488029E-3</v>
      </c>
      <c r="CK47" s="100">
        <v>1.5979701326526312</v>
      </c>
      <c r="CL47" s="100">
        <v>12.000303449332559</v>
      </c>
      <c r="CM47" s="100">
        <v>18331.663549200417</v>
      </c>
      <c r="CN47" s="100">
        <v>14</v>
      </c>
      <c r="CO47" s="100">
        <v>21386.399999999998</v>
      </c>
      <c r="CP47" s="100">
        <v>18.810324817752175</v>
      </c>
      <c r="CQ47" s="100">
        <v>28734.652191598219</v>
      </c>
      <c r="CR47" s="100">
        <v>1.0102708669455542E-3</v>
      </c>
      <c r="CS47" s="100">
        <v>1.5432897763460285</v>
      </c>
      <c r="CT47" s="100">
        <v>20.040269096188275</v>
      </c>
      <c r="CU47" s="100">
        <v>30613.51507133721</v>
      </c>
    </row>
    <row r="48" spans="2:99">
      <c r="C48" s="99" t="s">
        <v>214</v>
      </c>
      <c r="D48" s="100">
        <v>9.8394868326093086</v>
      </c>
      <c r="E48" s="100">
        <v>8536.7387759718367</v>
      </c>
      <c r="F48" s="100">
        <v>3.2553892202051347</v>
      </c>
      <c r="G48" s="100">
        <v>2824.375687449975</v>
      </c>
      <c r="H48" s="100">
        <v>14.069303613193831</v>
      </c>
      <c r="I48" s="100">
        <v>12206.527814806968</v>
      </c>
      <c r="J48" s="100">
        <v>13</v>
      </c>
      <c r="K48" s="100">
        <v>11278.800000000001</v>
      </c>
      <c r="L48" s="100">
        <v>6.7942082658197309</v>
      </c>
      <c r="M48" s="100">
        <v>5894.6550914251984</v>
      </c>
      <c r="N48" s="100">
        <v>21</v>
      </c>
      <c r="O48" s="100">
        <v>18219.600000000002</v>
      </c>
      <c r="P48" s="100">
        <v>20</v>
      </c>
      <c r="Q48" s="100">
        <v>17352</v>
      </c>
      <c r="R48" s="100">
        <v>12.180562337982884</v>
      </c>
      <c r="S48" s="100">
        <v>10567.855884433951</v>
      </c>
      <c r="T48" s="100">
        <v>1.0547996104190527E-3</v>
      </c>
      <c r="U48" s="100">
        <v>0.91514414199957017</v>
      </c>
      <c r="V48" s="100">
        <v>9.9905569858944983</v>
      </c>
      <c r="W48" s="100">
        <v>8667.8072409620672</v>
      </c>
      <c r="X48" s="100">
        <v>15</v>
      </c>
      <c r="Y48" s="100">
        <v>13014</v>
      </c>
      <c r="Z48" s="100">
        <v>14</v>
      </c>
      <c r="AA48" s="100">
        <v>12146.4</v>
      </c>
      <c r="AB48" s="100">
        <v>6.0632331571839888</v>
      </c>
      <c r="AC48" s="100">
        <v>5260.4610871728291</v>
      </c>
      <c r="AD48" s="100">
        <v>6.1441761850909442</v>
      </c>
      <c r="AE48" s="100">
        <v>5330.6872581849029</v>
      </c>
      <c r="AF48" s="100">
        <v>3.183297219671454</v>
      </c>
      <c r="AG48" s="100">
        <v>2761.8286677869537</v>
      </c>
      <c r="AH48" s="100">
        <v>19.635702899882677</v>
      </c>
      <c r="AI48" s="100">
        <v>17035.935835938209</v>
      </c>
      <c r="AJ48" s="100">
        <v>21</v>
      </c>
      <c r="AK48" s="100">
        <v>18219.600000000002</v>
      </c>
      <c r="AL48" s="100">
        <v>1.2430092897545384</v>
      </c>
      <c r="AM48" s="100">
        <v>1078.4348597910375</v>
      </c>
      <c r="AN48" s="100">
        <v>14</v>
      </c>
      <c r="AO48" s="100">
        <v>12146.4</v>
      </c>
      <c r="AP48" s="100">
        <v>13</v>
      </c>
      <c r="AQ48" s="100">
        <v>11278.800000000001</v>
      </c>
      <c r="AR48" s="100">
        <v>12</v>
      </c>
      <c r="AS48" s="100">
        <v>10411.200000000001</v>
      </c>
      <c r="AT48" s="100">
        <v>10.340175611887762</v>
      </c>
      <c r="AU48" s="100">
        <v>8971.1363608738229</v>
      </c>
      <c r="AV48" s="100">
        <v>13.994422040936881</v>
      </c>
      <c r="AW48" s="100">
        <v>12141.560562716839</v>
      </c>
      <c r="AX48" s="100">
        <v>12.470876454648874</v>
      </c>
      <c r="AY48" s="100">
        <v>10819.732412053363</v>
      </c>
      <c r="AZ48" s="100">
        <v>14.104683471677351</v>
      </c>
      <c r="BA48" s="100">
        <v>12237.22338002727</v>
      </c>
      <c r="BB48" s="100">
        <v>7.8087473425481665E-4</v>
      </c>
      <c r="BC48" s="100">
        <v>0.67748691943947892</v>
      </c>
      <c r="BD48" s="100">
        <v>20.494818540759489</v>
      </c>
      <c r="BE48" s="100">
        <v>17781.304565962932</v>
      </c>
      <c r="BF48" s="100">
        <v>13.76393127108425</v>
      </c>
      <c r="BG48" s="100">
        <v>11941.586770792695</v>
      </c>
      <c r="BH48" s="100">
        <v>9.5889624349533716E-4</v>
      </c>
      <c r="BI48" s="100">
        <v>0.83193838085655458</v>
      </c>
      <c r="BJ48" s="100">
        <v>21.147488089792208</v>
      </c>
      <c r="BK48" s="100">
        <v>18347.560666703721</v>
      </c>
      <c r="BL48" s="100">
        <v>3.0052418050664991</v>
      </c>
      <c r="BM48" s="100">
        <v>2607.3477900756948</v>
      </c>
      <c r="BN48" s="100">
        <v>19.864544913772239</v>
      </c>
      <c r="BO48" s="100">
        <v>17234.479167188794</v>
      </c>
      <c r="BP48" s="100">
        <v>20</v>
      </c>
      <c r="BQ48" s="100">
        <v>17352</v>
      </c>
      <c r="BR48" s="100">
        <v>5.2722367541279622</v>
      </c>
      <c r="BS48" s="100">
        <v>4574.1926078814204</v>
      </c>
      <c r="BT48" s="100">
        <v>8.5903186517138028</v>
      </c>
      <c r="BU48" s="100">
        <v>7452.9604622268953</v>
      </c>
      <c r="BV48" s="100">
        <v>4.407494435632513</v>
      </c>
      <c r="BW48" s="100">
        <v>3823.9421723547684</v>
      </c>
      <c r="BX48" s="100">
        <v>15.926231742161864</v>
      </c>
      <c r="BY48" s="100">
        <v>13817.598659499634</v>
      </c>
      <c r="BZ48" s="100">
        <v>11.246917432936826</v>
      </c>
      <c r="CA48" s="100">
        <v>9757.8255648159902</v>
      </c>
      <c r="CB48" s="100">
        <v>22</v>
      </c>
      <c r="CC48" s="100">
        <v>19087.2</v>
      </c>
      <c r="CD48" s="100">
        <v>19.875204862763766</v>
      </c>
      <c r="CE48" s="100">
        <v>17243.727738933845</v>
      </c>
      <c r="CF48" s="100">
        <v>8.8681529474547282E-4</v>
      </c>
      <c r="CG48" s="100">
        <v>0.76940094972117223</v>
      </c>
      <c r="CH48" s="100">
        <v>13.201177523770964</v>
      </c>
      <c r="CI48" s="100">
        <v>11453.341619623689</v>
      </c>
      <c r="CJ48" s="100">
        <v>1.1109057918832895E-3</v>
      </c>
      <c r="CK48" s="100">
        <v>0.96382186503794198</v>
      </c>
      <c r="CL48" s="100">
        <v>14.000303449332559</v>
      </c>
      <c r="CM48" s="100">
        <v>12146.663272640928</v>
      </c>
      <c r="CN48" s="100">
        <v>17</v>
      </c>
      <c r="CO48" s="100">
        <v>14749.2</v>
      </c>
      <c r="CP48" s="100">
        <v>20.790359009094509</v>
      </c>
      <c r="CQ48" s="100">
        <v>18037.715476290396</v>
      </c>
      <c r="CR48" s="100">
        <v>1.1849238980243364E-3</v>
      </c>
      <c r="CS48" s="100">
        <v>1.0280399739259143</v>
      </c>
      <c r="CT48" s="100">
        <v>20.04602182421517</v>
      </c>
      <c r="CU48" s="100">
        <v>17391.928534689083</v>
      </c>
    </row>
    <row r="49" spans="2:99">
      <c r="B49" s="99" t="s">
        <v>129</v>
      </c>
      <c r="C49" s="99" t="s">
        <v>215</v>
      </c>
      <c r="D49" s="100">
        <v>4.3565289858303462</v>
      </c>
      <c r="E49" s="100">
        <v>4292.0523568400567</v>
      </c>
      <c r="F49" s="100">
        <v>10</v>
      </c>
      <c r="G49" s="100">
        <v>9852</v>
      </c>
      <c r="H49" s="100">
        <v>6.279685605966363</v>
      </c>
      <c r="I49" s="100">
        <v>6186.7462589980605</v>
      </c>
      <c r="J49" s="100">
        <v>6</v>
      </c>
      <c r="K49" s="100">
        <v>5911.2</v>
      </c>
      <c r="L49" s="100">
        <v>0.55848239797914301</v>
      </c>
      <c r="M49" s="100">
        <v>550.21685848905167</v>
      </c>
      <c r="N49" s="100">
        <v>6.5937218450997594</v>
      </c>
      <c r="O49" s="100">
        <v>6496.1347617922829</v>
      </c>
      <c r="P49" s="100">
        <v>9.5653295797758418</v>
      </c>
      <c r="Q49" s="100">
        <v>9423.7627019951578</v>
      </c>
      <c r="R49" s="100">
        <v>9.2469763097098205</v>
      </c>
      <c r="S49" s="100">
        <v>9110.1210603261152</v>
      </c>
      <c r="T49" s="100">
        <v>6</v>
      </c>
      <c r="U49" s="100">
        <v>5911.2</v>
      </c>
      <c r="V49" s="100">
        <v>8.3247659222804753</v>
      </c>
      <c r="W49" s="100">
        <v>8201.5593866307245</v>
      </c>
      <c r="X49" s="100">
        <v>8</v>
      </c>
      <c r="Y49" s="100">
        <v>7881.5999999999995</v>
      </c>
      <c r="Z49" s="100">
        <v>6</v>
      </c>
      <c r="AA49" s="100">
        <v>5911.2</v>
      </c>
      <c r="AB49" s="100">
        <v>8</v>
      </c>
      <c r="AC49" s="100">
        <v>7881.5999999999995</v>
      </c>
      <c r="AD49" s="100">
        <v>11</v>
      </c>
      <c r="AE49" s="100">
        <v>10837.199999999999</v>
      </c>
      <c r="AF49" s="100">
        <v>8</v>
      </c>
      <c r="AG49" s="100">
        <v>7881.5999999999995</v>
      </c>
      <c r="AH49" s="100">
        <v>9</v>
      </c>
      <c r="AI49" s="100">
        <v>8866.7999999999993</v>
      </c>
      <c r="AJ49" s="100">
        <v>7.0732042641562627</v>
      </c>
      <c r="AK49" s="100">
        <v>6968.5208410467494</v>
      </c>
      <c r="AL49" s="100">
        <v>10</v>
      </c>
      <c r="AM49" s="100">
        <v>9852</v>
      </c>
      <c r="AN49" s="100">
        <v>9</v>
      </c>
      <c r="AO49" s="100">
        <v>8866.7999999999993</v>
      </c>
      <c r="AP49" s="100">
        <v>7</v>
      </c>
      <c r="AQ49" s="100">
        <v>6896.4</v>
      </c>
      <c r="AR49" s="100">
        <v>11.257255008087744</v>
      </c>
      <c r="AS49" s="100">
        <v>11090.647633968045</v>
      </c>
      <c r="AT49" s="100">
        <v>12.065129793591185</v>
      </c>
      <c r="AU49" s="100">
        <v>11886.565872646033</v>
      </c>
      <c r="AV49" s="100">
        <v>9.3558163549640216</v>
      </c>
      <c r="AW49" s="100">
        <v>9217.350272910553</v>
      </c>
      <c r="AX49" s="100">
        <v>6.9992224280806559</v>
      </c>
      <c r="AY49" s="100">
        <v>6895.6339361450619</v>
      </c>
      <c r="AZ49" s="100">
        <v>3.9549326679358128</v>
      </c>
      <c r="BA49" s="100">
        <v>3896.3996644503623</v>
      </c>
      <c r="BB49" s="100">
        <v>10.581635436928801</v>
      </c>
      <c r="BC49" s="100">
        <v>10425.027232462255</v>
      </c>
      <c r="BD49" s="100">
        <v>7.5739332224165183</v>
      </c>
      <c r="BE49" s="100">
        <v>7461.8390107247533</v>
      </c>
      <c r="BF49" s="100">
        <v>10</v>
      </c>
      <c r="BG49" s="100">
        <v>9852</v>
      </c>
      <c r="BH49" s="100">
        <v>6.1419842375433928</v>
      </c>
      <c r="BI49" s="100">
        <v>6051.0828708277504</v>
      </c>
      <c r="BJ49" s="100">
        <v>9</v>
      </c>
      <c r="BK49" s="100">
        <v>8866.7999999999993</v>
      </c>
      <c r="BL49" s="100">
        <v>4.750719260191028</v>
      </c>
      <c r="BM49" s="100">
        <v>4680.4086151402007</v>
      </c>
      <c r="BN49" s="100">
        <v>6</v>
      </c>
      <c r="BO49" s="100">
        <v>5911.2</v>
      </c>
      <c r="BP49" s="100">
        <v>11</v>
      </c>
      <c r="BQ49" s="100">
        <v>10837.199999999999</v>
      </c>
      <c r="BR49" s="100">
        <v>8.1629982424013683</v>
      </c>
      <c r="BS49" s="100">
        <v>8042.1858684138278</v>
      </c>
      <c r="BT49" s="100">
        <v>2.3588781437909416</v>
      </c>
      <c r="BU49" s="100">
        <v>2323.9667472628357</v>
      </c>
      <c r="BV49" s="100">
        <v>8.6246962782550529</v>
      </c>
      <c r="BW49" s="100">
        <v>8497.0507733368777</v>
      </c>
      <c r="BX49" s="100">
        <v>9.0889601928308963</v>
      </c>
      <c r="BY49" s="100">
        <v>8954.4435819769988</v>
      </c>
      <c r="BZ49" s="100">
        <v>11</v>
      </c>
      <c r="CA49" s="100">
        <v>10837.199999999999</v>
      </c>
      <c r="CB49" s="100">
        <v>5.3453801365368196</v>
      </c>
      <c r="CC49" s="100">
        <v>5266.2685105160745</v>
      </c>
      <c r="CD49" s="100">
        <v>7.8137311738486517</v>
      </c>
      <c r="CE49" s="100">
        <v>7698.0879524756911</v>
      </c>
      <c r="CF49" s="100">
        <v>7</v>
      </c>
      <c r="CG49" s="100">
        <v>6896.4</v>
      </c>
      <c r="CH49" s="100">
        <v>7.7859797646037485</v>
      </c>
      <c r="CI49" s="100">
        <v>7670.7472640876122</v>
      </c>
      <c r="CJ49" s="100">
        <v>10</v>
      </c>
      <c r="CK49" s="100">
        <v>9852</v>
      </c>
      <c r="CL49" s="100">
        <v>5.9924363513801717</v>
      </c>
      <c r="CM49" s="100">
        <v>5903.7482933797446</v>
      </c>
      <c r="CN49" s="100">
        <v>3.0801338429669665</v>
      </c>
      <c r="CO49" s="100">
        <v>3034.5478620910553</v>
      </c>
      <c r="CP49" s="100">
        <v>6.3988428082865303</v>
      </c>
      <c r="CQ49" s="100">
        <v>6304.1399347238894</v>
      </c>
      <c r="CR49" s="100">
        <v>6.8279377074872123</v>
      </c>
      <c r="CS49" s="100">
        <v>6726.8842294164015</v>
      </c>
      <c r="CT49" s="100">
        <v>9.4535239371622346</v>
      </c>
      <c r="CU49" s="100">
        <v>9313.6117828922324</v>
      </c>
    </row>
    <row r="50" spans="2:99">
      <c r="C50" s="99" t="s">
        <v>216</v>
      </c>
      <c r="D50" s="100">
        <v>7.5518898206912874</v>
      </c>
      <c r="E50" s="100">
        <v>2129.632929434943</v>
      </c>
      <c r="F50" s="100">
        <v>2.6980730843855705</v>
      </c>
      <c r="G50" s="100">
        <v>760.85660979673082</v>
      </c>
      <c r="H50" s="100">
        <v>6.8019777098953726</v>
      </c>
      <c r="I50" s="100">
        <v>1918.1577141904952</v>
      </c>
      <c r="J50" s="100">
        <v>7</v>
      </c>
      <c r="K50" s="100">
        <v>1974</v>
      </c>
      <c r="L50" s="100">
        <v>7.4118635627124343</v>
      </c>
      <c r="M50" s="100">
        <v>2090.1455246849064</v>
      </c>
      <c r="N50" s="100">
        <v>7</v>
      </c>
      <c r="O50" s="100">
        <v>1974</v>
      </c>
      <c r="P50" s="100">
        <v>10</v>
      </c>
      <c r="Q50" s="100">
        <v>2820</v>
      </c>
      <c r="R50" s="100">
        <v>8.1203748919885896</v>
      </c>
      <c r="S50" s="100">
        <v>2289.9457195407822</v>
      </c>
      <c r="T50" s="100">
        <v>4.8057740927631671E-4</v>
      </c>
      <c r="U50" s="100">
        <v>0.13552282941592131</v>
      </c>
      <c r="V50" s="100">
        <v>7.3230010963816872</v>
      </c>
      <c r="W50" s="100">
        <v>2065.0863091796359</v>
      </c>
      <c r="X50" s="100">
        <v>8</v>
      </c>
      <c r="Y50" s="100">
        <v>2256</v>
      </c>
      <c r="Z50" s="100">
        <v>7</v>
      </c>
      <c r="AA50" s="100">
        <v>1974</v>
      </c>
      <c r="AB50" s="100">
        <v>3.410568650915994</v>
      </c>
      <c r="AC50" s="100">
        <v>961.78035955831035</v>
      </c>
      <c r="AD50" s="100">
        <v>5.2709966319118688</v>
      </c>
      <c r="AE50" s="100">
        <v>1486.421050199147</v>
      </c>
      <c r="AF50" s="100">
        <v>2.0851039529014286</v>
      </c>
      <c r="AG50" s="100">
        <v>587.99931471820287</v>
      </c>
      <c r="AH50" s="100">
        <v>9.7628434798592139</v>
      </c>
      <c r="AI50" s="100">
        <v>2753.1218613202982</v>
      </c>
      <c r="AJ50" s="100">
        <v>9</v>
      </c>
      <c r="AK50" s="100">
        <v>2538</v>
      </c>
      <c r="AL50" s="100">
        <v>0.91154014581999487</v>
      </c>
      <c r="AM50" s="100">
        <v>257.05432112123856</v>
      </c>
      <c r="AN50" s="100">
        <v>9</v>
      </c>
      <c r="AO50" s="100">
        <v>2538</v>
      </c>
      <c r="AP50" s="100">
        <v>7</v>
      </c>
      <c r="AQ50" s="100">
        <v>1974</v>
      </c>
      <c r="AR50" s="100">
        <v>11</v>
      </c>
      <c r="AS50" s="100">
        <v>3102</v>
      </c>
      <c r="AT50" s="100">
        <v>11.28019157660483</v>
      </c>
      <c r="AU50" s="100">
        <v>3181.0140246025621</v>
      </c>
      <c r="AV50" s="100">
        <v>6.6289367562332595</v>
      </c>
      <c r="AW50" s="100">
        <v>1869.3601652577793</v>
      </c>
      <c r="AX50" s="100">
        <v>7.1262151169422143</v>
      </c>
      <c r="AY50" s="100">
        <v>2009.5926629777045</v>
      </c>
      <c r="AZ50" s="100">
        <v>7.8359352620429732</v>
      </c>
      <c r="BA50" s="100">
        <v>2209.7337438961185</v>
      </c>
      <c r="BB50" s="100">
        <v>7.8087473425481665E-4</v>
      </c>
      <c r="BC50" s="100">
        <v>0.2202066750598583</v>
      </c>
      <c r="BD50" s="100">
        <v>9.0463729785316414</v>
      </c>
      <c r="BE50" s="100">
        <v>2551.077179945923</v>
      </c>
      <c r="BF50" s="100">
        <v>11.928740434939684</v>
      </c>
      <c r="BG50" s="100">
        <v>3363.9048026529908</v>
      </c>
      <c r="BH50" s="100">
        <v>4.4068130348578056E-4</v>
      </c>
      <c r="BI50" s="100">
        <v>0.12427212758299012</v>
      </c>
      <c r="BJ50" s="100">
        <v>9.7649920598614735</v>
      </c>
      <c r="BK50" s="100">
        <v>2753.7277608809354</v>
      </c>
      <c r="BL50" s="100">
        <v>1.6695787805924998</v>
      </c>
      <c r="BM50" s="100">
        <v>470.82121612708494</v>
      </c>
      <c r="BN50" s="100">
        <v>6.7410384975190629</v>
      </c>
      <c r="BO50" s="100">
        <v>1900.9728563003757</v>
      </c>
      <c r="BP50" s="100">
        <v>11</v>
      </c>
      <c r="BQ50" s="100">
        <v>3102</v>
      </c>
      <c r="BR50" s="100">
        <v>4.7450130787151661</v>
      </c>
      <c r="BS50" s="100">
        <v>1338.0936881976768</v>
      </c>
      <c r="BT50" s="100">
        <v>6.4427389887853517</v>
      </c>
      <c r="BU50" s="100">
        <v>1816.8523948374691</v>
      </c>
      <c r="BV50" s="100">
        <v>1.7984710813431004</v>
      </c>
      <c r="BW50" s="100">
        <v>507.16884493875432</v>
      </c>
      <c r="BX50" s="100">
        <v>9.6615941015441891</v>
      </c>
      <c r="BY50" s="100">
        <v>2724.5695366354612</v>
      </c>
      <c r="BZ50" s="100">
        <v>8.2477394508203385</v>
      </c>
      <c r="CA50" s="100">
        <v>2325.8625251313356</v>
      </c>
      <c r="CB50" s="100">
        <v>7</v>
      </c>
      <c r="CC50" s="100">
        <v>1974</v>
      </c>
      <c r="CD50" s="100">
        <v>8.5179449411844708</v>
      </c>
      <c r="CE50" s="100">
        <v>2402.0604734140206</v>
      </c>
      <c r="CF50" s="100">
        <v>5.4573248907413714E-4</v>
      </c>
      <c r="CG50" s="100">
        <v>0.15389656191890669</v>
      </c>
      <c r="CH50" s="100">
        <v>8.1462182412264177</v>
      </c>
      <c r="CI50" s="100">
        <v>2297.2335440258498</v>
      </c>
      <c r="CJ50" s="100">
        <v>6.5798438178599639E-4</v>
      </c>
      <c r="CK50" s="100">
        <v>0.18555159566365098</v>
      </c>
      <c r="CL50" s="100">
        <v>11.00035402422132</v>
      </c>
      <c r="CM50" s="100">
        <v>3102.099834830412</v>
      </c>
      <c r="CN50" s="100">
        <v>9</v>
      </c>
      <c r="CO50" s="100">
        <v>2538</v>
      </c>
      <c r="CP50" s="100">
        <v>6.9301196696981702</v>
      </c>
      <c r="CQ50" s="100">
        <v>1954.2937468548839</v>
      </c>
      <c r="CR50" s="100">
        <v>5.9246194901216818E-4</v>
      </c>
      <c r="CS50" s="100">
        <v>0.16707426962143143</v>
      </c>
      <c r="CT50" s="100">
        <v>9.0345163681613769</v>
      </c>
      <c r="CU50" s="100">
        <v>2547.7336158215085</v>
      </c>
    </row>
    <row r="51" spans="2:99">
      <c r="C51" s="99" t="s">
        <v>217</v>
      </c>
      <c r="D51" s="100">
        <v>7.4417394921381126</v>
      </c>
      <c r="E51" s="100">
        <v>6358.2222220828035</v>
      </c>
      <c r="F51" s="100">
        <v>2.4491852053370344</v>
      </c>
      <c r="G51" s="100">
        <v>2092.583839439962</v>
      </c>
      <c r="H51" s="100">
        <v>6.8019777098953726</v>
      </c>
      <c r="I51" s="100">
        <v>5811.6097553346062</v>
      </c>
      <c r="J51" s="100">
        <v>7</v>
      </c>
      <c r="K51" s="100">
        <v>5980.8</v>
      </c>
      <c r="L51" s="100">
        <v>6.1765529689270284</v>
      </c>
      <c r="M51" s="100">
        <v>5277.2468566512525</v>
      </c>
      <c r="N51" s="100">
        <v>6</v>
      </c>
      <c r="O51" s="100">
        <v>5126.3999999999996</v>
      </c>
      <c r="P51" s="100">
        <v>9</v>
      </c>
      <c r="Q51" s="100">
        <v>7689.5999999999995</v>
      </c>
      <c r="R51" s="100">
        <v>7.3083374027897303</v>
      </c>
      <c r="S51" s="100">
        <v>6244.2434769435458</v>
      </c>
      <c r="T51" s="100">
        <v>4.8057740927631671E-4</v>
      </c>
      <c r="U51" s="100">
        <v>0.41060533848568498</v>
      </c>
      <c r="V51" s="100">
        <v>8.2426618437001427</v>
      </c>
      <c r="W51" s="100">
        <v>7042.5302792574021</v>
      </c>
      <c r="X51" s="100">
        <v>8</v>
      </c>
      <c r="Y51" s="100">
        <v>6835.2</v>
      </c>
      <c r="Z51" s="100">
        <v>7</v>
      </c>
      <c r="AA51" s="100">
        <v>5980.8</v>
      </c>
      <c r="AB51" s="100">
        <v>3.0316165785919944</v>
      </c>
      <c r="AC51" s="100">
        <v>2590.2132047489999</v>
      </c>
      <c r="AD51" s="100">
        <v>5.195473320057836</v>
      </c>
      <c r="AE51" s="100">
        <v>4439.0124046574147</v>
      </c>
      <c r="AF51" s="100">
        <v>2.3198745494240485</v>
      </c>
      <c r="AG51" s="100">
        <v>1982.1008150279069</v>
      </c>
      <c r="AH51" s="100">
        <v>9.635702899882677</v>
      </c>
      <c r="AI51" s="100">
        <v>8232.7445576597584</v>
      </c>
      <c r="AJ51" s="100">
        <v>8</v>
      </c>
      <c r="AK51" s="100">
        <v>6835.2</v>
      </c>
      <c r="AL51" s="100">
        <v>0.91154014581999487</v>
      </c>
      <c r="AM51" s="100">
        <v>778.81990058860356</v>
      </c>
      <c r="AN51" s="100">
        <v>9</v>
      </c>
      <c r="AO51" s="100">
        <v>7689.5999999999995</v>
      </c>
      <c r="AP51" s="100">
        <v>7</v>
      </c>
      <c r="AQ51" s="100">
        <v>5980.8</v>
      </c>
      <c r="AR51" s="100">
        <v>12</v>
      </c>
      <c r="AS51" s="100">
        <v>10252.799999999999</v>
      </c>
      <c r="AT51" s="100">
        <v>11.28019157660483</v>
      </c>
      <c r="AU51" s="100">
        <v>9637.7956830511666</v>
      </c>
      <c r="AV51" s="100">
        <v>5.8923882277628978</v>
      </c>
      <c r="AW51" s="100">
        <v>5034.4565018006197</v>
      </c>
      <c r="AX51" s="100">
        <v>7.1262151169422143</v>
      </c>
      <c r="AY51" s="100">
        <v>6088.6381959154278</v>
      </c>
      <c r="AZ51" s="100">
        <v>7.0523417358386755</v>
      </c>
      <c r="BA51" s="100">
        <v>6025.5207791005641</v>
      </c>
      <c r="BB51" s="100">
        <v>7.8087473425481665E-4</v>
      </c>
      <c r="BC51" s="100">
        <v>0.66717937294731533</v>
      </c>
      <c r="BD51" s="100">
        <v>7.896891124455693</v>
      </c>
      <c r="BE51" s="100">
        <v>6747.1037767349435</v>
      </c>
      <c r="BF51" s="100">
        <v>11.011145016867399</v>
      </c>
      <c r="BG51" s="100">
        <v>9407.9223024115054</v>
      </c>
      <c r="BH51" s="100">
        <v>4.4068130348578056E-4</v>
      </c>
      <c r="BI51" s="100">
        <v>0.37651810569825089</v>
      </c>
      <c r="BJ51" s="100">
        <v>8.7649920598614735</v>
      </c>
      <c r="BK51" s="100">
        <v>7488.8092159456428</v>
      </c>
      <c r="BL51" s="100">
        <v>1.6695787805924998</v>
      </c>
      <c r="BM51" s="100">
        <v>1426.4881101382318</v>
      </c>
      <c r="BN51" s="100">
        <v>6.6175320812658853</v>
      </c>
      <c r="BO51" s="100">
        <v>5654.0194102335727</v>
      </c>
      <c r="BP51" s="100">
        <v>11</v>
      </c>
      <c r="BQ51" s="100">
        <v>9398.4</v>
      </c>
      <c r="BR51" s="100">
        <v>4.7450130787151661</v>
      </c>
      <c r="BS51" s="100">
        <v>4054.1391744542379</v>
      </c>
      <c r="BT51" s="100">
        <v>6.4427389887853517</v>
      </c>
      <c r="BU51" s="100">
        <v>5504.6761920182043</v>
      </c>
      <c r="BV51" s="100">
        <v>2.0035725736831576</v>
      </c>
      <c r="BW51" s="100">
        <v>1711.8524069548898</v>
      </c>
      <c r="BX51" s="100">
        <v>8.6615941015441891</v>
      </c>
      <c r="BY51" s="100">
        <v>7400.4660003593553</v>
      </c>
      <c r="BZ51" s="100">
        <v>8.2477394508203385</v>
      </c>
      <c r="CA51" s="100">
        <v>7046.8685867808972</v>
      </c>
      <c r="CB51" s="100">
        <v>7</v>
      </c>
      <c r="CC51" s="100">
        <v>5980.8</v>
      </c>
      <c r="CD51" s="100">
        <v>7.5715066143861964</v>
      </c>
      <c r="CE51" s="100">
        <v>6469.095251331566</v>
      </c>
      <c r="CF51" s="100">
        <v>5.4573248907413714E-4</v>
      </c>
      <c r="CG51" s="100">
        <v>0.46627383866494276</v>
      </c>
      <c r="CH51" s="100">
        <v>7.3246057429286093</v>
      </c>
      <c r="CI51" s="100">
        <v>6258.1431467582033</v>
      </c>
      <c r="CJ51" s="100">
        <v>5.9218594360739693E-4</v>
      </c>
      <c r="CK51" s="100">
        <v>0.50596367021815991</v>
      </c>
      <c r="CL51" s="100">
        <v>9.0003034493325593</v>
      </c>
      <c r="CM51" s="100">
        <v>7689.8592671097385</v>
      </c>
      <c r="CN51" s="100">
        <v>8</v>
      </c>
      <c r="CO51" s="100">
        <v>6835.2</v>
      </c>
      <c r="CP51" s="100">
        <v>6.9301196696981702</v>
      </c>
      <c r="CQ51" s="100">
        <v>5921.0942457901165</v>
      </c>
      <c r="CR51" s="100">
        <v>5.2663284356637167E-4</v>
      </c>
      <c r="CS51" s="100">
        <v>0.44995510154310797</v>
      </c>
      <c r="CT51" s="100">
        <v>9.028763640134482</v>
      </c>
      <c r="CU51" s="100">
        <v>7714.1756541309014</v>
      </c>
    </row>
    <row r="52" spans="2:99">
      <c r="C52" s="99" t="s">
        <v>218</v>
      </c>
      <c r="D52" s="100">
        <v>6.8627910357540634</v>
      </c>
      <c r="E52" s="100">
        <v>3705.9071593071944</v>
      </c>
      <c r="F52" s="100">
        <v>2.6980730843855705</v>
      </c>
      <c r="G52" s="100">
        <v>1456.9594655682081</v>
      </c>
      <c r="H52" s="100">
        <v>7.6683147582461437</v>
      </c>
      <c r="I52" s="100">
        <v>4140.8899694529173</v>
      </c>
      <c r="J52" s="100">
        <v>6</v>
      </c>
      <c r="K52" s="100">
        <v>3240</v>
      </c>
      <c r="L52" s="100">
        <v>6.1765529689270284</v>
      </c>
      <c r="M52" s="100">
        <v>3335.3386032205954</v>
      </c>
      <c r="N52" s="100">
        <v>7</v>
      </c>
      <c r="O52" s="100">
        <v>3780</v>
      </c>
      <c r="P52" s="100">
        <v>9</v>
      </c>
      <c r="Q52" s="100">
        <v>4860</v>
      </c>
      <c r="R52" s="100">
        <v>8.1203748919885896</v>
      </c>
      <c r="S52" s="100">
        <v>4385.0024416738388</v>
      </c>
      <c r="T52" s="100">
        <v>5.5592023859196325E-4</v>
      </c>
      <c r="U52" s="100">
        <v>0.30019692883966015</v>
      </c>
      <c r="V52" s="100">
        <v>8.2426618437001427</v>
      </c>
      <c r="W52" s="100">
        <v>4451.0373955980767</v>
      </c>
      <c r="X52" s="100">
        <v>8</v>
      </c>
      <c r="Y52" s="100">
        <v>4320</v>
      </c>
      <c r="Z52" s="100">
        <v>7</v>
      </c>
      <c r="AA52" s="100">
        <v>3780</v>
      </c>
      <c r="AB52" s="100">
        <v>3.0316165785919944</v>
      </c>
      <c r="AC52" s="100">
        <v>1637.072952439677</v>
      </c>
      <c r="AD52" s="100">
        <v>4.7754336380029558</v>
      </c>
      <c r="AE52" s="100">
        <v>2578.7341645215961</v>
      </c>
      <c r="AF52" s="100">
        <v>2.3216808633790524</v>
      </c>
      <c r="AG52" s="100">
        <v>1253.7076662246884</v>
      </c>
      <c r="AH52" s="100">
        <v>10.635702899882677</v>
      </c>
      <c r="AI52" s="100">
        <v>5743.2795659366457</v>
      </c>
      <c r="AJ52" s="100">
        <v>9</v>
      </c>
      <c r="AK52" s="100">
        <v>4860</v>
      </c>
      <c r="AL52" s="100">
        <v>0.82867285983635897</v>
      </c>
      <c r="AM52" s="100">
        <v>447.48334431163386</v>
      </c>
      <c r="AN52" s="100">
        <v>9</v>
      </c>
      <c r="AO52" s="100">
        <v>4860</v>
      </c>
      <c r="AP52" s="100">
        <v>7</v>
      </c>
      <c r="AQ52" s="100">
        <v>3780</v>
      </c>
      <c r="AR52" s="100">
        <v>12</v>
      </c>
      <c r="AS52" s="100">
        <v>6480</v>
      </c>
      <c r="AT52" s="100">
        <v>10.340175611887762</v>
      </c>
      <c r="AU52" s="100">
        <v>5583.6948304193911</v>
      </c>
      <c r="AV52" s="100">
        <v>6.6289367562332595</v>
      </c>
      <c r="AW52" s="100">
        <v>3579.6258483659603</v>
      </c>
      <c r="AX52" s="100">
        <v>7.1262151169422143</v>
      </c>
      <c r="AY52" s="100">
        <v>3848.1561631487957</v>
      </c>
      <c r="AZ52" s="100">
        <v>8.6195287882472709</v>
      </c>
      <c r="BA52" s="100">
        <v>4654.5455456535265</v>
      </c>
      <c r="BB52" s="100">
        <v>7.0988612204983341E-4</v>
      </c>
      <c r="BC52" s="100">
        <v>0.38333850590691004</v>
      </c>
      <c r="BD52" s="100">
        <v>7.896891124455693</v>
      </c>
      <c r="BE52" s="100">
        <v>4264.3212072060742</v>
      </c>
      <c r="BF52" s="100">
        <v>11.011145016867399</v>
      </c>
      <c r="BG52" s="100">
        <v>5946.0183091083954</v>
      </c>
      <c r="BH52" s="100">
        <v>5.0363577541232072E-4</v>
      </c>
      <c r="BI52" s="100">
        <v>0.27196331872265317</v>
      </c>
      <c r="BJ52" s="100">
        <v>9.7649920598614735</v>
      </c>
      <c r="BK52" s="100">
        <v>5273.0957123251956</v>
      </c>
      <c r="BL52" s="100">
        <v>1.8365366586517495</v>
      </c>
      <c r="BM52" s="100">
        <v>991.72979567194477</v>
      </c>
      <c r="BN52" s="100">
        <v>6.6175320812658853</v>
      </c>
      <c r="BO52" s="100">
        <v>3573.467323883578</v>
      </c>
      <c r="BP52" s="100">
        <v>10</v>
      </c>
      <c r="BQ52" s="100">
        <v>5400</v>
      </c>
      <c r="BR52" s="100">
        <v>4.7450130787151661</v>
      </c>
      <c r="BS52" s="100">
        <v>2562.3070625061896</v>
      </c>
      <c r="BT52" s="100">
        <v>6.4427389887853517</v>
      </c>
      <c r="BU52" s="100">
        <v>3479.07905394409</v>
      </c>
      <c r="BV52" s="100">
        <v>2.0134262700970726</v>
      </c>
      <c r="BW52" s="100">
        <v>1087.2501858524192</v>
      </c>
      <c r="BX52" s="100">
        <v>9.6615941015441891</v>
      </c>
      <c r="BY52" s="100">
        <v>5217.2608148338622</v>
      </c>
      <c r="BZ52" s="100">
        <v>8.2477394508203385</v>
      </c>
      <c r="CA52" s="100">
        <v>4453.7793034429824</v>
      </c>
      <c r="CB52" s="100">
        <v>7</v>
      </c>
      <c r="CC52" s="100">
        <v>3780</v>
      </c>
      <c r="CD52" s="100">
        <v>8.5179449411844708</v>
      </c>
      <c r="CE52" s="100">
        <v>4599.6902682396139</v>
      </c>
      <c r="CF52" s="100">
        <v>5.4573248907413714E-4</v>
      </c>
      <c r="CG52" s="100">
        <v>0.29469554410003407</v>
      </c>
      <c r="CH52" s="100">
        <v>8.1462182412264177</v>
      </c>
      <c r="CI52" s="100">
        <v>4398.9578502622653</v>
      </c>
      <c r="CJ52" s="100">
        <v>5.9314440075150987E-4</v>
      </c>
      <c r="CK52" s="100">
        <v>0.32029797640581531</v>
      </c>
      <c r="CL52" s="100">
        <v>10.000303449332559</v>
      </c>
      <c r="CM52" s="100">
        <v>5400.1638626395825</v>
      </c>
      <c r="CN52" s="100">
        <v>8</v>
      </c>
      <c r="CO52" s="100">
        <v>4320</v>
      </c>
      <c r="CP52" s="100">
        <v>6.9301196696981702</v>
      </c>
      <c r="CQ52" s="100">
        <v>3742.2646216370117</v>
      </c>
      <c r="CR52" s="100">
        <v>5.2663284356637167E-4</v>
      </c>
      <c r="CS52" s="100">
        <v>0.28438173552584073</v>
      </c>
      <c r="CT52" s="100">
        <v>8.0345163681613769</v>
      </c>
      <c r="CU52" s="100">
        <v>4338.6388388071437</v>
      </c>
    </row>
    <row r="53" spans="2:99">
      <c r="C53" s="99" t="s">
        <v>219</v>
      </c>
      <c r="D53" s="100">
        <v>6.0635419222636635</v>
      </c>
      <c r="E53" s="100">
        <v>2466.6488539768584</v>
      </c>
      <c r="F53" s="100">
        <v>2.4591086016241159</v>
      </c>
      <c r="G53" s="100">
        <v>1000.3653791406904</v>
      </c>
      <c r="H53" s="100">
        <v>6.9356406615446016</v>
      </c>
      <c r="I53" s="100">
        <v>2821.4186211163442</v>
      </c>
      <c r="J53" s="100">
        <v>7</v>
      </c>
      <c r="K53" s="100">
        <v>2847.6</v>
      </c>
      <c r="L53" s="100">
        <v>6.1765529689270284</v>
      </c>
      <c r="M53" s="100">
        <v>2512.6217477595151</v>
      </c>
      <c r="N53" s="100">
        <v>7</v>
      </c>
      <c r="O53" s="100">
        <v>2847.6</v>
      </c>
      <c r="P53" s="100">
        <v>8</v>
      </c>
      <c r="Q53" s="100">
        <v>3254.4</v>
      </c>
      <c r="R53" s="100">
        <v>7.3083374027897303</v>
      </c>
      <c r="S53" s="100">
        <v>2973.0316554548622</v>
      </c>
      <c r="T53" s="100">
        <v>4.8414246344912138E-4</v>
      </c>
      <c r="U53" s="100">
        <v>0.19694915413110259</v>
      </c>
      <c r="V53" s="100">
        <v>8.2426618437001427</v>
      </c>
      <c r="W53" s="100">
        <v>3353.1148380172181</v>
      </c>
      <c r="X53" s="100">
        <v>7</v>
      </c>
      <c r="Y53" s="100">
        <v>2847.6</v>
      </c>
      <c r="Z53" s="100">
        <v>7</v>
      </c>
      <c r="AA53" s="100">
        <v>2847.6</v>
      </c>
      <c r="AB53" s="100">
        <v>3.0316165785919944</v>
      </c>
      <c r="AC53" s="100">
        <v>1233.2616241712233</v>
      </c>
      <c r="AD53" s="100">
        <v>5.2683419428305465</v>
      </c>
      <c r="AE53" s="100">
        <v>2143.1615023434665</v>
      </c>
      <c r="AF53" s="100">
        <v>2.0851039529014286</v>
      </c>
      <c r="AG53" s="100">
        <v>848.22028804030117</v>
      </c>
      <c r="AH53" s="100">
        <v>9.7628434798592139</v>
      </c>
      <c r="AI53" s="100">
        <v>3971.5247276067284</v>
      </c>
      <c r="AJ53" s="100">
        <v>8</v>
      </c>
      <c r="AK53" s="100">
        <v>3254.4</v>
      </c>
      <c r="AL53" s="100">
        <v>0.91154014581999487</v>
      </c>
      <c r="AM53" s="100">
        <v>370.81453131957392</v>
      </c>
      <c r="AN53" s="100">
        <v>9</v>
      </c>
      <c r="AO53" s="100">
        <v>3661.2000000000003</v>
      </c>
      <c r="AP53" s="100">
        <v>7</v>
      </c>
      <c r="AQ53" s="100">
        <v>2847.6</v>
      </c>
      <c r="AR53" s="100">
        <v>11</v>
      </c>
      <c r="AS53" s="100">
        <v>4474.8</v>
      </c>
      <c r="AT53" s="100">
        <v>10.340175611887762</v>
      </c>
      <c r="AU53" s="100">
        <v>4206.383438915942</v>
      </c>
      <c r="AV53" s="100">
        <v>6.6289367562332595</v>
      </c>
      <c r="AW53" s="100">
        <v>2696.6514724356903</v>
      </c>
      <c r="AX53" s="100">
        <v>7.1262151169422143</v>
      </c>
      <c r="AY53" s="100">
        <v>2898.9443095720931</v>
      </c>
      <c r="AZ53" s="100">
        <v>8.6195287882472709</v>
      </c>
      <c r="BA53" s="100">
        <v>3506.42431105899</v>
      </c>
      <c r="BB53" s="100">
        <v>8.518633464598001E-4</v>
      </c>
      <c r="BC53" s="100">
        <v>0.34653800933984669</v>
      </c>
      <c r="BD53" s="100">
        <v>8.0463729785316414</v>
      </c>
      <c r="BE53" s="100">
        <v>3273.2645276666717</v>
      </c>
      <c r="BF53" s="100">
        <v>10.093549598795118</v>
      </c>
      <c r="BG53" s="100">
        <v>4106.055976789854</v>
      </c>
      <c r="BH53" s="100">
        <v>4.4068130348578056E-4</v>
      </c>
      <c r="BI53" s="100">
        <v>0.17926915425801554</v>
      </c>
      <c r="BJ53" s="100">
        <v>9.8924907365050512</v>
      </c>
      <c r="BK53" s="100">
        <v>4024.2652316102549</v>
      </c>
      <c r="BL53" s="100">
        <v>1.8622315449030922</v>
      </c>
      <c r="BM53" s="100">
        <v>757.55579246657794</v>
      </c>
      <c r="BN53" s="100">
        <v>7.6175320812658853</v>
      </c>
      <c r="BO53" s="100">
        <v>3098.8120506589621</v>
      </c>
      <c r="BP53" s="100">
        <v>12</v>
      </c>
      <c r="BQ53" s="100">
        <v>4881.6000000000004</v>
      </c>
      <c r="BR53" s="100">
        <v>4.7450130787151661</v>
      </c>
      <c r="BS53" s="100">
        <v>1930.2713204213296</v>
      </c>
      <c r="BT53" s="100">
        <v>7.1585988764281687</v>
      </c>
      <c r="BU53" s="100">
        <v>2912.1180229309789</v>
      </c>
      <c r="BV53" s="100">
        <v>1.7984710813431004</v>
      </c>
      <c r="BW53" s="100">
        <v>731.61803589037322</v>
      </c>
      <c r="BX53" s="100">
        <v>9.6615941015441891</v>
      </c>
      <c r="BY53" s="100">
        <v>3930.336480508176</v>
      </c>
      <c r="BZ53" s="100">
        <v>7.4979449552912172</v>
      </c>
      <c r="CA53" s="100">
        <v>3050.1640078124674</v>
      </c>
      <c r="CB53" s="100">
        <v>7</v>
      </c>
      <c r="CC53" s="100">
        <v>2847.6</v>
      </c>
      <c r="CD53" s="100">
        <v>7.5715066143861964</v>
      </c>
      <c r="CE53" s="100">
        <v>3080.0888907323047</v>
      </c>
      <c r="CF53" s="100">
        <v>5.4573248907413714E-4</v>
      </c>
      <c r="CG53" s="100">
        <v>0.222003976555359</v>
      </c>
      <c r="CH53" s="100">
        <v>8.2715025339841066</v>
      </c>
      <c r="CI53" s="100">
        <v>3364.8472308247347</v>
      </c>
      <c r="CJ53" s="100">
        <v>6.5798438178599639E-4</v>
      </c>
      <c r="CK53" s="100">
        <v>0.26766804651054332</v>
      </c>
      <c r="CL53" s="100">
        <v>11.000303449332559</v>
      </c>
      <c r="CM53" s="100">
        <v>4474.9234431884852</v>
      </c>
      <c r="CN53" s="100">
        <v>8</v>
      </c>
      <c r="CO53" s="100">
        <v>3254.4</v>
      </c>
      <c r="CP53" s="100">
        <v>6.9301196696981702</v>
      </c>
      <c r="CQ53" s="100">
        <v>2819.1726816332157</v>
      </c>
      <c r="CR53" s="100">
        <v>5.9246194901216818E-4</v>
      </c>
      <c r="CS53" s="100">
        <v>0.24101352085815003</v>
      </c>
      <c r="CT53" s="100">
        <v>9.028763640134482</v>
      </c>
      <c r="CU53" s="100">
        <v>3672.9010488067074</v>
      </c>
    </row>
    <row r="54" spans="2:99">
      <c r="C54" s="99" t="s">
        <v>220</v>
      </c>
      <c r="D54" s="100">
        <v>6.8627910357540634</v>
      </c>
      <c r="E54" s="100">
        <v>2297.6624387704605</v>
      </c>
      <c r="F54" s="100">
        <v>2.688149688098489</v>
      </c>
      <c r="G54" s="100">
        <v>899.99251557537411</v>
      </c>
      <c r="H54" s="100">
        <v>7.8019777098953726</v>
      </c>
      <c r="I54" s="100">
        <v>2612.102137272971</v>
      </c>
      <c r="J54" s="100">
        <v>6</v>
      </c>
      <c r="K54" s="100">
        <v>2008.8000000000002</v>
      </c>
      <c r="L54" s="100">
        <v>6.1765529689270284</v>
      </c>
      <c r="M54" s="100">
        <v>2067.9099339967693</v>
      </c>
      <c r="N54" s="100">
        <v>7</v>
      </c>
      <c r="O54" s="100">
        <v>2343.6</v>
      </c>
      <c r="P54" s="100">
        <v>9</v>
      </c>
      <c r="Q54" s="100">
        <v>3013.2000000000003</v>
      </c>
      <c r="R54" s="100">
        <v>7.3083374027897303</v>
      </c>
      <c r="S54" s="100">
        <v>2446.8313624540019</v>
      </c>
      <c r="T54" s="100">
        <v>5.5948529276476791E-4</v>
      </c>
      <c r="U54" s="100">
        <v>0.18731567601764432</v>
      </c>
      <c r="V54" s="100">
        <v>8.2426618437001427</v>
      </c>
      <c r="W54" s="100">
        <v>2759.6431852708079</v>
      </c>
      <c r="X54" s="100">
        <v>9</v>
      </c>
      <c r="Y54" s="100">
        <v>3013.2000000000003</v>
      </c>
      <c r="Z54" s="100">
        <v>7</v>
      </c>
      <c r="AA54" s="100">
        <v>2343.6</v>
      </c>
      <c r="AB54" s="100">
        <v>3.0316165785919944</v>
      </c>
      <c r="AC54" s="100">
        <v>1014.9852305125997</v>
      </c>
      <c r="AD54" s="100">
        <v>5.2709966319118688</v>
      </c>
      <c r="AE54" s="100">
        <v>1764.7296723640939</v>
      </c>
      <c r="AF54" s="100">
        <v>2.0869102668564325</v>
      </c>
      <c r="AG54" s="100">
        <v>698.69755734353362</v>
      </c>
      <c r="AH54" s="100">
        <v>10.635702899882677</v>
      </c>
      <c r="AI54" s="100">
        <v>3560.8333308807205</v>
      </c>
      <c r="AJ54" s="100">
        <v>10</v>
      </c>
      <c r="AK54" s="100">
        <v>3348</v>
      </c>
      <c r="AL54" s="100">
        <v>0.82867285983635897</v>
      </c>
      <c r="AM54" s="100">
        <v>277.43967347321296</v>
      </c>
      <c r="AN54" s="100">
        <v>9</v>
      </c>
      <c r="AO54" s="100">
        <v>3013.2000000000003</v>
      </c>
      <c r="AP54" s="100">
        <v>7</v>
      </c>
      <c r="AQ54" s="100">
        <v>2343.6</v>
      </c>
      <c r="AR54" s="100">
        <v>12</v>
      </c>
      <c r="AS54" s="100">
        <v>4017.6000000000004</v>
      </c>
      <c r="AT54" s="100">
        <v>10.340175611887762</v>
      </c>
      <c r="AU54" s="100">
        <v>3461.8907948600227</v>
      </c>
      <c r="AV54" s="100">
        <v>5.8923882277628978</v>
      </c>
      <c r="AW54" s="100">
        <v>1972.7715786550182</v>
      </c>
      <c r="AX54" s="100">
        <v>8.01699200655999</v>
      </c>
      <c r="AY54" s="100">
        <v>2684.0889237962847</v>
      </c>
      <c r="AZ54" s="100">
        <v>7.8359352620429732</v>
      </c>
      <c r="BA54" s="100">
        <v>2623.4711257319877</v>
      </c>
      <c r="BB54" s="100">
        <v>7.0988612204983341E-4</v>
      </c>
      <c r="BC54" s="100">
        <v>0.23766987366228423</v>
      </c>
      <c r="BD54" s="100">
        <v>8.8968911244556939</v>
      </c>
      <c r="BE54" s="100">
        <v>2978.6791484677665</v>
      </c>
      <c r="BF54" s="100">
        <v>11.011145016867399</v>
      </c>
      <c r="BG54" s="100">
        <v>3686.5313516472052</v>
      </c>
      <c r="BH54" s="100">
        <v>4.4068130348578056E-4</v>
      </c>
      <c r="BI54" s="100">
        <v>0.14754010040703933</v>
      </c>
      <c r="BJ54" s="100">
        <v>9.7649920598614735</v>
      </c>
      <c r="BK54" s="100">
        <v>3269.3193416416216</v>
      </c>
      <c r="BL54" s="100">
        <v>1.6695787805924998</v>
      </c>
      <c r="BM54" s="100">
        <v>558.97497574236888</v>
      </c>
      <c r="BN54" s="100">
        <v>6.6175320812658853</v>
      </c>
      <c r="BO54" s="100">
        <v>2215.5497408078186</v>
      </c>
      <c r="BP54" s="100">
        <v>11</v>
      </c>
      <c r="BQ54" s="100">
        <v>3682.8</v>
      </c>
      <c r="BR54" s="100">
        <v>4.7450130787151661</v>
      </c>
      <c r="BS54" s="100">
        <v>1588.6303787538377</v>
      </c>
      <c r="BT54" s="100">
        <v>7.8744587640709867</v>
      </c>
      <c r="BU54" s="100">
        <v>2636.3687942109664</v>
      </c>
      <c r="BV54" s="100">
        <v>1.8083247777570155</v>
      </c>
      <c r="BW54" s="100">
        <v>605.42713559304877</v>
      </c>
      <c r="BX54" s="100">
        <v>9.7939129218530265</v>
      </c>
      <c r="BY54" s="100">
        <v>3279.0020462363932</v>
      </c>
      <c r="BZ54" s="100">
        <v>8.2477394508203385</v>
      </c>
      <c r="CA54" s="100">
        <v>2761.3431681346497</v>
      </c>
      <c r="CB54" s="100">
        <v>7</v>
      </c>
      <c r="CC54" s="100">
        <v>2343.6</v>
      </c>
      <c r="CD54" s="100">
        <v>7.5715066143861964</v>
      </c>
      <c r="CE54" s="100">
        <v>2534.9404144964988</v>
      </c>
      <c r="CF54" s="100">
        <v>5.4573248907413714E-4</v>
      </c>
      <c r="CG54" s="100">
        <v>0.18271123734202113</v>
      </c>
      <c r="CH54" s="100">
        <v>7.3246057429286093</v>
      </c>
      <c r="CI54" s="100">
        <v>2452.2780027324984</v>
      </c>
      <c r="CJ54" s="100">
        <v>6.5798438178599639E-4</v>
      </c>
      <c r="CK54" s="100">
        <v>0.22029317102195159</v>
      </c>
      <c r="CL54" s="100">
        <v>10.00035402422132</v>
      </c>
      <c r="CM54" s="100">
        <v>3348.1185273092979</v>
      </c>
      <c r="CN54" s="100">
        <v>9</v>
      </c>
      <c r="CO54" s="100">
        <v>3013.2000000000003</v>
      </c>
      <c r="CP54" s="100">
        <v>7.9201367653693371</v>
      </c>
      <c r="CQ54" s="100">
        <v>2651.6617890456541</v>
      </c>
      <c r="CR54" s="100">
        <v>5.9246194901216818E-4</v>
      </c>
      <c r="CS54" s="100">
        <v>0.19835626052927391</v>
      </c>
      <c r="CT54" s="100">
        <v>9.0345163681613769</v>
      </c>
      <c r="CU54" s="100">
        <v>3024.7560800604292</v>
      </c>
    </row>
    <row r="55" spans="2:99">
      <c r="C55" s="99" t="s">
        <v>221</v>
      </c>
      <c r="D55" s="100">
        <v>6.8627910357540634</v>
      </c>
      <c r="E55" s="100">
        <v>4554.1481313263967</v>
      </c>
      <c r="F55" s="100">
        <v>2.6980730843855705</v>
      </c>
      <c r="G55" s="100">
        <v>1790.4412987982646</v>
      </c>
      <c r="H55" s="100">
        <v>7.8019777098953726</v>
      </c>
      <c r="I55" s="100">
        <v>5177.3924082865697</v>
      </c>
      <c r="J55" s="100">
        <v>7</v>
      </c>
      <c r="K55" s="100">
        <v>4645.2</v>
      </c>
      <c r="L55" s="100">
        <v>6.7942082658197309</v>
      </c>
      <c r="M55" s="100">
        <v>4508.6366051979739</v>
      </c>
      <c r="N55" s="100">
        <v>6</v>
      </c>
      <c r="O55" s="100">
        <v>3981.6000000000004</v>
      </c>
      <c r="P55" s="100">
        <v>9</v>
      </c>
      <c r="Q55" s="100">
        <v>5972.4000000000005</v>
      </c>
      <c r="R55" s="100">
        <v>7.3083374027897303</v>
      </c>
      <c r="S55" s="100">
        <v>4849.8127004912649</v>
      </c>
      <c r="T55" s="100">
        <v>5.5592023859196325E-4</v>
      </c>
      <c r="U55" s="100">
        <v>0.36890867032962682</v>
      </c>
      <c r="V55" s="100">
        <v>8.2426618437001427</v>
      </c>
      <c r="W55" s="100">
        <v>5469.8303994794151</v>
      </c>
      <c r="X55" s="100">
        <v>8</v>
      </c>
      <c r="Y55" s="100">
        <v>5308.8</v>
      </c>
      <c r="Z55" s="100">
        <v>6</v>
      </c>
      <c r="AA55" s="100">
        <v>3981.6000000000004</v>
      </c>
      <c r="AB55" s="100">
        <v>2.6526645062679952</v>
      </c>
      <c r="AC55" s="100">
        <v>1760.3081663594417</v>
      </c>
      <c r="AD55" s="100">
        <v>5.195473320057836</v>
      </c>
      <c r="AE55" s="100">
        <v>3447.7160951903802</v>
      </c>
      <c r="AF55" s="100">
        <v>2.3216808633790524</v>
      </c>
      <c r="AG55" s="100">
        <v>1540.6674209383393</v>
      </c>
      <c r="AH55" s="100">
        <v>8.635702899882677</v>
      </c>
      <c r="AI55" s="100">
        <v>5730.6524443621447</v>
      </c>
      <c r="AJ55" s="100">
        <v>8</v>
      </c>
      <c r="AK55" s="100">
        <v>5308.8</v>
      </c>
      <c r="AL55" s="100">
        <v>0.82867285983635897</v>
      </c>
      <c r="AM55" s="100">
        <v>549.90730978740783</v>
      </c>
      <c r="AN55" s="100">
        <v>9</v>
      </c>
      <c r="AO55" s="100">
        <v>5972.4000000000005</v>
      </c>
      <c r="AP55" s="100">
        <v>7</v>
      </c>
      <c r="AQ55" s="100">
        <v>4645.2</v>
      </c>
      <c r="AR55" s="100">
        <v>12</v>
      </c>
      <c r="AS55" s="100">
        <v>7963.2000000000007</v>
      </c>
      <c r="AT55" s="100">
        <v>10.340175611887762</v>
      </c>
      <c r="AU55" s="100">
        <v>6861.7405360487192</v>
      </c>
      <c r="AV55" s="100">
        <v>5.8923882277628978</v>
      </c>
      <c r="AW55" s="100">
        <v>3910.1888279434593</v>
      </c>
      <c r="AX55" s="100">
        <v>7.1262151169422143</v>
      </c>
      <c r="AY55" s="100">
        <v>4728.9563516028538</v>
      </c>
      <c r="AZ55" s="100">
        <v>8.6195287882472709</v>
      </c>
      <c r="BA55" s="100">
        <v>5719.9193038808889</v>
      </c>
      <c r="BB55" s="100">
        <v>7.8087473425481665E-4</v>
      </c>
      <c r="BC55" s="100">
        <v>0.51818847365149634</v>
      </c>
      <c r="BD55" s="100">
        <v>9.0463729785316414</v>
      </c>
      <c r="BE55" s="100">
        <v>6003.1731085535976</v>
      </c>
      <c r="BF55" s="100">
        <v>11.011145016867399</v>
      </c>
      <c r="BG55" s="100">
        <v>7306.9958331932066</v>
      </c>
      <c r="BH55" s="100">
        <v>4.5734320588262164E-4</v>
      </c>
      <c r="BI55" s="100">
        <v>0.30349295142370775</v>
      </c>
      <c r="BJ55" s="100">
        <v>8.7649920598614735</v>
      </c>
      <c r="BK55" s="100">
        <v>5816.448730924074</v>
      </c>
      <c r="BL55" s="100">
        <v>1.6695787805924998</v>
      </c>
      <c r="BM55" s="100">
        <v>1107.9324788011829</v>
      </c>
      <c r="BN55" s="100">
        <v>6.6175320812658853</v>
      </c>
      <c r="BO55" s="100">
        <v>4391.3942891280412</v>
      </c>
      <c r="BP55" s="100">
        <v>11</v>
      </c>
      <c r="BQ55" s="100">
        <v>7299.6</v>
      </c>
      <c r="BR55" s="100">
        <v>4.7450130787151661</v>
      </c>
      <c r="BS55" s="100">
        <v>3148.7906790353845</v>
      </c>
      <c r="BT55" s="100">
        <v>7.1585988764281687</v>
      </c>
      <c r="BU55" s="100">
        <v>4750.4462143977325</v>
      </c>
      <c r="BV55" s="100">
        <v>1.7984710813431004</v>
      </c>
      <c r="BW55" s="100">
        <v>1193.4654095792814</v>
      </c>
      <c r="BX55" s="100">
        <v>9.6615941015441891</v>
      </c>
      <c r="BY55" s="100">
        <v>6411.4338457847243</v>
      </c>
      <c r="BZ55" s="100">
        <v>8.9975339463494599</v>
      </c>
      <c r="CA55" s="100">
        <v>5970.763526797502</v>
      </c>
      <c r="CB55" s="100">
        <v>7</v>
      </c>
      <c r="CC55" s="100">
        <v>4645.2</v>
      </c>
      <c r="CD55" s="100">
        <v>7.5715066143861964</v>
      </c>
      <c r="CE55" s="100">
        <v>5024.4517893066804</v>
      </c>
      <c r="CF55" s="100">
        <v>6.139490502084043E-4</v>
      </c>
      <c r="CG55" s="100">
        <v>0.40741658971829708</v>
      </c>
      <c r="CH55" s="100">
        <v>8.1462182412264177</v>
      </c>
      <c r="CI55" s="100">
        <v>5405.8304248778513</v>
      </c>
      <c r="CJ55" s="100">
        <v>5.9314440075150987E-4</v>
      </c>
      <c r="CK55" s="100">
        <v>0.39361062433870198</v>
      </c>
      <c r="CL55" s="100">
        <v>10.000303449332559</v>
      </c>
      <c r="CM55" s="100">
        <v>6636.2013689770865</v>
      </c>
      <c r="CN55" s="100">
        <v>8</v>
      </c>
      <c r="CO55" s="100">
        <v>5308.8</v>
      </c>
      <c r="CP55" s="100">
        <v>6.9301196696981702</v>
      </c>
      <c r="CQ55" s="100">
        <v>4598.8274128117055</v>
      </c>
      <c r="CR55" s="100">
        <v>5.9246194901216818E-4</v>
      </c>
      <c r="CS55" s="100">
        <v>0.39315774936447484</v>
      </c>
      <c r="CT55" s="100">
        <v>8.028763640134482</v>
      </c>
      <c r="CU55" s="100">
        <v>5327.8875515932423</v>
      </c>
    </row>
    <row r="56" spans="2:99">
      <c r="C56" s="99" t="s">
        <v>222</v>
      </c>
      <c r="D56" s="100">
        <v>9</v>
      </c>
      <c r="E56" s="100">
        <v>8834.4</v>
      </c>
      <c r="F56" s="100">
        <v>8.2764209682896883</v>
      </c>
      <c r="G56" s="100">
        <v>8124.1348224731573</v>
      </c>
      <c r="H56" s="100">
        <v>4.658548989157028</v>
      </c>
      <c r="I56" s="100">
        <v>4572.8316877565385</v>
      </c>
      <c r="J56" s="100">
        <v>5.7610722499241902</v>
      </c>
      <c r="K56" s="100">
        <v>5655.068520525585</v>
      </c>
      <c r="L56" s="100">
        <v>5.1759846903259431E-4</v>
      </c>
      <c r="M56" s="100">
        <v>0.50807465720239453</v>
      </c>
      <c r="N56" s="100">
        <v>5.1983248531302833</v>
      </c>
      <c r="O56" s="100">
        <v>5102.6756758326856</v>
      </c>
      <c r="P56" s="100">
        <v>5.5998094567867076</v>
      </c>
      <c r="Q56" s="100">
        <v>5496.7729627818317</v>
      </c>
      <c r="R56" s="100">
        <v>5.3970008930084123</v>
      </c>
      <c r="S56" s="100">
        <v>5297.6960765770573</v>
      </c>
      <c r="T56" s="100">
        <v>0.4406906379282135</v>
      </c>
      <c r="U56" s="100">
        <v>432.58193019033433</v>
      </c>
      <c r="V56" s="100">
        <v>8.2270343742887011</v>
      </c>
      <c r="W56" s="100">
        <v>8075.656941801788</v>
      </c>
      <c r="X56" s="100">
        <v>5.6163059315525841</v>
      </c>
      <c r="Y56" s="100">
        <v>5512.9659024120156</v>
      </c>
      <c r="Z56" s="100">
        <v>4.4315940384032233</v>
      </c>
      <c r="AA56" s="100">
        <v>4350.052708096604</v>
      </c>
      <c r="AB56" s="100">
        <v>6.8111199013882047</v>
      </c>
      <c r="AC56" s="100">
        <v>6685.7952952026608</v>
      </c>
      <c r="AD56" s="100">
        <v>8.2301032141774151</v>
      </c>
      <c r="AE56" s="100">
        <v>8078.66931503655</v>
      </c>
      <c r="AF56" s="100">
        <v>0.42697546676498493</v>
      </c>
      <c r="AG56" s="100">
        <v>419.11911817650918</v>
      </c>
      <c r="AH56" s="100">
        <v>10.207767272644965</v>
      </c>
      <c r="AI56" s="100">
        <v>10019.944354828296</v>
      </c>
      <c r="AJ56" s="100">
        <v>1.5467699546877898</v>
      </c>
      <c r="AK56" s="100">
        <v>1518.3093875215343</v>
      </c>
      <c r="AL56" s="100">
        <v>6.9719210951659463</v>
      </c>
      <c r="AM56" s="100">
        <v>6843.6377470148918</v>
      </c>
      <c r="AN56" s="100">
        <v>5.7087421138802865</v>
      </c>
      <c r="AO56" s="100">
        <v>5603.7012589848891</v>
      </c>
      <c r="AP56" s="100">
        <v>6.3868251392482804</v>
      </c>
      <c r="AQ56" s="100">
        <v>6269.3075566861116</v>
      </c>
      <c r="AR56" s="100">
        <v>3.8714516038468676</v>
      </c>
      <c r="AS56" s="100">
        <v>3800.2168943360848</v>
      </c>
      <c r="AT56" s="100">
        <v>7.8838952238910371</v>
      </c>
      <c r="AU56" s="100">
        <v>7738.8315517714409</v>
      </c>
      <c r="AV56" s="100">
        <v>6.3125007604913392</v>
      </c>
      <c r="AW56" s="100">
        <v>6196.3507464982977</v>
      </c>
      <c r="AX56" s="100">
        <v>8.3175803402646515</v>
      </c>
      <c r="AY56" s="100">
        <v>8164.5368620037816</v>
      </c>
      <c r="AZ56" s="100">
        <v>2.3386391023542297</v>
      </c>
      <c r="BA56" s="100">
        <v>2295.6081428709117</v>
      </c>
      <c r="BB56" s="100">
        <v>11.690477434714193</v>
      </c>
      <c r="BC56" s="100">
        <v>11475.372649915451</v>
      </c>
      <c r="BD56" s="100">
        <v>5.1792554780729025</v>
      </c>
      <c r="BE56" s="100">
        <v>5083.9571772763611</v>
      </c>
      <c r="BF56" s="100">
        <v>7.3403623261582363</v>
      </c>
      <c r="BG56" s="100">
        <v>7205.2996593569242</v>
      </c>
      <c r="BH56" s="100">
        <v>0.36430634260187722</v>
      </c>
      <c r="BI56" s="100">
        <v>357.60310589800264</v>
      </c>
      <c r="BJ56" s="100">
        <v>4.7702906179193549</v>
      </c>
      <c r="BK56" s="100">
        <v>4682.5172705496379</v>
      </c>
      <c r="BL56" s="100">
        <v>6.5805090684237966</v>
      </c>
      <c r="BM56" s="100">
        <v>6459.4277015647986</v>
      </c>
      <c r="BN56" s="100">
        <v>6.5817174515235468</v>
      </c>
      <c r="BO56" s="100">
        <v>6460.6138504155133</v>
      </c>
      <c r="BP56" s="100">
        <v>1.0315432194469216</v>
      </c>
      <c r="BQ56" s="100">
        <v>1012.5628242090982</v>
      </c>
      <c r="BR56" s="100">
        <v>7.1208015932477471</v>
      </c>
      <c r="BS56" s="100">
        <v>6989.7788439319875</v>
      </c>
      <c r="BT56" s="100">
        <v>3.4954082542960339</v>
      </c>
      <c r="BU56" s="100">
        <v>3431.0927424169863</v>
      </c>
      <c r="BV56" s="100">
        <v>1.1450808976994138</v>
      </c>
      <c r="BW56" s="100">
        <v>1124.0114091817445</v>
      </c>
      <c r="BX56" s="100">
        <v>5.2469642939100662</v>
      </c>
      <c r="BY56" s="100">
        <v>5150.4201509021204</v>
      </c>
      <c r="BZ56" s="100">
        <v>6.8049096848171082</v>
      </c>
      <c r="CA56" s="100">
        <v>6679.6993466164731</v>
      </c>
      <c r="CB56" s="100">
        <v>4.8191892129772267</v>
      </c>
      <c r="CC56" s="100">
        <v>4730.5161314584457</v>
      </c>
      <c r="CD56" s="100">
        <v>0.36427221986927094</v>
      </c>
      <c r="CE56" s="100">
        <v>357.56961102367632</v>
      </c>
      <c r="CF56" s="100">
        <v>8.1846282543463129</v>
      </c>
      <c r="CG56" s="100">
        <v>8034.0310944663397</v>
      </c>
      <c r="CH56" s="100">
        <v>2.9339721786260928</v>
      </c>
      <c r="CI56" s="100">
        <v>2879.9870905393723</v>
      </c>
      <c r="CJ56" s="100">
        <v>10.435601777931977</v>
      </c>
      <c r="CK56" s="100">
        <v>10243.586705218027</v>
      </c>
      <c r="CL56" s="100">
        <v>9</v>
      </c>
      <c r="CM56" s="100">
        <v>8834.4</v>
      </c>
      <c r="CN56" s="100">
        <v>5.1748698354071641</v>
      </c>
      <c r="CO56" s="100">
        <v>5079.6522304356722</v>
      </c>
      <c r="CP56" s="100">
        <v>4.7908132786407558</v>
      </c>
      <c r="CQ56" s="100">
        <v>4702.6623143137658</v>
      </c>
      <c r="CR56" s="100">
        <v>5.057455910674614</v>
      </c>
      <c r="CS56" s="100">
        <v>4964.3987219182009</v>
      </c>
      <c r="CT56" s="100">
        <v>5.2414299377923985</v>
      </c>
      <c r="CU56" s="100">
        <v>5144.9876269370179</v>
      </c>
    </row>
    <row r="57" spans="2:99">
      <c r="C57" s="99" t="s">
        <v>223</v>
      </c>
      <c r="D57" s="100">
        <v>6.1736922508168384</v>
      </c>
      <c r="E57" s="100">
        <v>8712.314504352722</v>
      </c>
      <c r="F57" s="100">
        <v>2.688149688098489</v>
      </c>
      <c r="G57" s="100">
        <v>3793.5168398445876</v>
      </c>
      <c r="H57" s="100">
        <v>6.8019777098953726</v>
      </c>
      <c r="I57" s="100">
        <v>9598.9509442043509</v>
      </c>
      <c r="J57" s="100">
        <v>6</v>
      </c>
      <c r="K57" s="100">
        <v>8467.2000000000007</v>
      </c>
      <c r="L57" s="100">
        <v>6.1765529689270284</v>
      </c>
      <c r="M57" s="100">
        <v>8716.3515497498229</v>
      </c>
      <c r="N57" s="100">
        <v>7</v>
      </c>
      <c r="O57" s="100">
        <v>9878.4</v>
      </c>
      <c r="P57" s="100">
        <v>7</v>
      </c>
      <c r="Q57" s="100">
        <v>9878.4</v>
      </c>
      <c r="R57" s="100">
        <v>6.496299913590871</v>
      </c>
      <c r="S57" s="100">
        <v>9167.5784380594378</v>
      </c>
      <c r="T57" s="100">
        <v>4.8057740927631671E-4</v>
      </c>
      <c r="U57" s="100">
        <v>0.67819083997073815</v>
      </c>
      <c r="V57" s="100">
        <v>7.3230010963816872</v>
      </c>
      <c r="W57" s="100">
        <v>10334.219147213837</v>
      </c>
      <c r="X57" s="100">
        <v>7</v>
      </c>
      <c r="Y57" s="100">
        <v>9878.4</v>
      </c>
      <c r="Z57" s="100">
        <v>6</v>
      </c>
      <c r="AA57" s="100">
        <v>8467.2000000000007</v>
      </c>
      <c r="AB57" s="100">
        <v>2.6526645062679952</v>
      </c>
      <c r="AC57" s="100">
        <v>3743.4401512453951</v>
      </c>
      <c r="AD57" s="100">
        <v>4.7754336380029558</v>
      </c>
      <c r="AE57" s="100">
        <v>6739.0919499497713</v>
      </c>
      <c r="AF57" s="100">
        <v>2.2762681670414495</v>
      </c>
      <c r="AG57" s="100">
        <v>3212.2696373288936</v>
      </c>
      <c r="AH57" s="100">
        <v>9.7628434798592139</v>
      </c>
      <c r="AI57" s="100">
        <v>13777.324718777323</v>
      </c>
      <c r="AJ57" s="100">
        <v>8</v>
      </c>
      <c r="AK57" s="100">
        <v>11289.6</v>
      </c>
      <c r="AL57" s="100">
        <v>0.82867285983635897</v>
      </c>
      <c r="AM57" s="100">
        <v>1169.4231398010697</v>
      </c>
      <c r="AN57" s="100">
        <v>8</v>
      </c>
      <c r="AO57" s="100">
        <v>11289.6</v>
      </c>
      <c r="AP57" s="100">
        <v>6</v>
      </c>
      <c r="AQ57" s="100">
        <v>8467.2000000000007</v>
      </c>
      <c r="AR57" s="100">
        <v>9</v>
      </c>
      <c r="AS57" s="100">
        <v>12700.800000000001</v>
      </c>
      <c r="AT57" s="100">
        <v>9.4001596471706925</v>
      </c>
      <c r="AU57" s="100">
        <v>13265.505294087281</v>
      </c>
      <c r="AV57" s="100">
        <v>6.6289367562332595</v>
      </c>
      <c r="AW57" s="100">
        <v>9354.7555503963758</v>
      </c>
      <c r="AX57" s="100">
        <v>6.2354382273244369</v>
      </c>
      <c r="AY57" s="100">
        <v>8799.4504264002462</v>
      </c>
      <c r="AZ57" s="100">
        <v>7.8359352620429732</v>
      </c>
      <c r="BA57" s="100">
        <v>11058.071841795045</v>
      </c>
      <c r="BB57" s="100">
        <v>7.0988612204983341E-4</v>
      </c>
      <c r="BC57" s="100">
        <v>1.001791295436725</v>
      </c>
      <c r="BD57" s="100">
        <v>7.896891124455693</v>
      </c>
      <c r="BE57" s="100">
        <v>11144.092754831874</v>
      </c>
      <c r="BF57" s="100">
        <v>9.1759541807228331</v>
      </c>
      <c r="BG57" s="100">
        <v>12949.106539836062</v>
      </c>
      <c r="BH57" s="100">
        <v>4.4068130348578056E-4</v>
      </c>
      <c r="BI57" s="100">
        <v>0.62188945547913355</v>
      </c>
      <c r="BJ57" s="100">
        <v>8.7649920598614735</v>
      </c>
      <c r="BK57" s="100">
        <v>12369.156794876511</v>
      </c>
      <c r="BL57" s="100">
        <v>1.5026209025332495</v>
      </c>
      <c r="BM57" s="100">
        <v>2120.4986176549219</v>
      </c>
      <c r="BN57" s="100">
        <v>5.6175320812658853</v>
      </c>
      <c r="BO57" s="100">
        <v>7927.4612730824174</v>
      </c>
      <c r="BP57" s="100">
        <v>11</v>
      </c>
      <c r="BQ57" s="100">
        <v>15523.2</v>
      </c>
      <c r="BR57" s="100">
        <v>4.21778940330237</v>
      </c>
      <c r="BS57" s="100">
        <v>5952.1444059403048</v>
      </c>
      <c r="BT57" s="100">
        <v>6.4427389887853517</v>
      </c>
      <c r="BU57" s="100">
        <v>9091.993260973888</v>
      </c>
      <c r="BV57" s="100">
        <v>1.7984710813431004</v>
      </c>
      <c r="BW57" s="100">
        <v>2538.0023899913836</v>
      </c>
      <c r="BX57" s="100">
        <v>9.5292752812353516</v>
      </c>
      <c r="BY57" s="100">
        <v>13447.713276879329</v>
      </c>
      <c r="BZ57" s="100">
        <v>6.7481504597620958</v>
      </c>
      <c r="CA57" s="100">
        <v>9522.9899288162705</v>
      </c>
      <c r="CB57" s="100">
        <v>7</v>
      </c>
      <c r="CC57" s="100">
        <v>9878.4</v>
      </c>
      <c r="CD57" s="100">
        <v>7.5715066143861964</v>
      </c>
      <c r="CE57" s="100">
        <v>10684.9101342218</v>
      </c>
      <c r="CF57" s="100">
        <v>5.4573248907413714E-4</v>
      </c>
      <c r="CG57" s="100">
        <v>0.7701376885814224</v>
      </c>
      <c r="CH57" s="100">
        <v>7.3246057429286093</v>
      </c>
      <c r="CI57" s="100">
        <v>10336.483624420855</v>
      </c>
      <c r="CJ57" s="100">
        <v>5.9314440075150987E-4</v>
      </c>
      <c r="CK57" s="100">
        <v>0.83704537834053072</v>
      </c>
      <c r="CL57" s="100">
        <v>9.0003034493325593</v>
      </c>
      <c r="CM57" s="100">
        <v>12701.228227698108</v>
      </c>
      <c r="CN57" s="100">
        <v>8</v>
      </c>
      <c r="CO57" s="100">
        <v>11289.6</v>
      </c>
      <c r="CP57" s="100">
        <v>6.9301196696981702</v>
      </c>
      <c r="CQ57" s="100">
        <v>9779.7848778780572</v>
      </c>
      <c r="CR57" s="100">
        <v>5.2663284356637167E-4</v>
      </c>
      <c r="CS57" s="100">
        <v>0.74318426884086375</v>
      </c>
      <c r="CT57" s="100">
        <v>8.028763640134482</v>
      </c>
      <c r="CU57" s="100">
        <v>11330.191248957781</v>
      </c>
    </row>
    <row r="58" spans="2:99">
      <c r="C58" s="99" t="s">
        <v>224</v>
      </c>
      <c r="D58" s="100">
        <v>4.3565289858303462</v>
      </c>
      <c r="E58" s="100">
        <v>5128.5059221194833</v>
      </c>
      <c r="F58" s="100">
        <v>10</v>
      </c>
      <c r="G58" s="100">
        <v>11772</v>
      </c>
      <c r="H58" s="100">
        <v>6.279685605966363</v>
      </c>
      <c r="I58" s="100">
        <v>7392.4458953436033</v>
      </c>
      <c r="J58" s="100">
        <v>6.3416122663422527</v>
      </c>
      <c r="K58" s="100">
        <v>7465.3459599381003</v>
      </c>
      <c r="L58" s="100">
        <v>0.50771127089013002</v>
      </c>
      <c r="M58" s="100">
        <v>597.67770809186106</v>
      </c>
      <c r="N58" s="100">
        <v>5.5210654841435183</v>
      </c>
      <c r="O58" s="100">
        <v>6499.39828793375</v>
      </c>
      <c r="P58" s="100">
        <v>8.4845682112364358</v>
      </c>
      <c r="Q58" s="100">
        <v>9988.0336982675326</v>
      </c>
      <c r="R58" s="100">
        <v>9.2116939797512742</v>
      </c>
      <c r="S58" s="100">
        <v>10844.0061529632</v>
      </c>
      <c r="T58" s="100">
        <v>6</v>
      </c>
      <c r="U58" s="100">
        <v>7063.2000000000007</v>
      </c>
      <c r="V58" s="100">
        <v>8.3247659222804753</v>
      </c>
      <c r="W58" s="100">
        <v>9799.9144437085761</v>
      </c>
      <c r="X58" s="100">
        <v>7</v>
      </c>
      <c r="Y58" s="100">
        <v>8240.4</v>
      </c>
      <c r="Z58" s="100">
        <v>6</v>
      </c>
      <c r="AA58" s="100">
        <v>7063.2000000000007</v>
      </c>
      <c r="AB58" s="100">
        <v>7</v>
      </c>
      <c r="AC58" s="100">
        <v>8240.4</v>
      </c>
      <c r="AD58" s="100">
        <v>9</v>
      </c>
      <c r="AE58" s="100">
        <v>10594.800000000001</v>
      </c>
      <c r="AF58" s="100">
        <v>8</v>
      </c>
      <c r="AG58" s="100">
        <v>9417.6</v>
      </c>
      <c r="AH58" s="100">
        <v>9</v>
      </c>
      <c r="AI58" s="100">
        <v>10594.800000000001</v>
      </c>
      <c r="AJ58" s="100">
        <v>7.1003969053829561</v>
      </c>
      <c r="AK58" s="100">
        <v>8358.5872370168163</v>
      </c>
      <c r="AL58" s="100">
        <v>10</v>
      </c>
      <c r="AM58" s="100">
        <v>11772</v>
      </c>
      <c r="AN58" s="100">
        <v>9</v>
      </c>
      <c r="AO58" s="100">
        <v>10594.800000000001</v>
      </c>
      <c r="AP58" s="100">
        <v>6</v>
      </c>
      <c r="AQ58" s="100">
        <v>7063.2000000000007</v>
      </c>
      <c r="AR58" s="100">
        <v>10.319150424080432</v>
      </c>
      <c r="AS58" s="100">
        <v>12147.703879227485</v>
      </c>
      <c r="AT58" s="100">
        <v>11.065129793591185</v>
      </c>
      <c r="AU58" s="100">
        <v>13025.870793015543</v>
      </c>
      <c r="AV58" s="100">
        <v>8.3558163549640216</v>
      </c>
      <c r="AW58" s="100">
        <v>9836.4670130636459</v>
      </c>
      <c r="AX58" s="100">
        <v>7.9991113463778927</v>
      </c>
      <c r="AY58" s="100">
        <v>9416.5538769560553</v>
      </c>
      <c r="AZ58" s="100">
        <v>4.3920702691900484</v>
      </c>
      <c r="BA58" s="100">
        <v>5170.3451208905253</v>
      </c>
      <c r="BB58" s="100">
        <v>9.5786945835960147</v>
      </c>
      <c r="BC58" s="100">
        <v>11276.039263809229</v>
      </c>
      <c r="BD58" s="100">
        <v>7.5739332224165183</v>
      </c>
      <c r="BE58" s="100">
        <v>8916.0341894287249</v>
      </c>
      <c r="BF58" s="100">
        <v>12</v>
      </c>
      <c r="BG58" s="100">
        <v>14126.400000000001</v>
      </c>
      <c r="BH58" s="100">
        <v>5.2645579178943374</v>
      </c>
      <c r="BI58" s="100">
        <v>6197.437580945214</v>
      </c>
      <c r="BJ58" s="100">
        <v>7</v>
      </c>
      <c r="BK58" s="100">
        <v>8240.4</v>
      </c>
      <c r="BL58" s="100">
        <v>4.275647334171925</v>
      </c>
      <c r="BM58" s="100">
        <v>5033.2920417871901</v>
      </c>
      <c r="BN58" s="100">
        <v>6</v>
      </c>
      <c r="BO58" s="100">
        <v>7063.2000000000007</v>
      </c>
      <c r="BP58" s="100">
        <v>11</v>
      </c>
      <c r="BQ58" s="100">
        <v>12949.2</v>
      </c>
      <c r="BR58" s="100">
        <v>8.1629982424013683</v>
      </c>
      <c r="BS58" s="100">
        <v>9609.4815309548903</v>
      </c>
      <c r="BT58" s="100">
        <v>2.1296009772753677</v>
      </c>
      <c r="BU58" s="100">
        <v>2506.9662704485631</v>
      </c>
      <c r="BV58" s="100">
        <v>8.4791560061272069</v>
      </c>
      <c r="BW58" s="100">
        <v>9981.6624504129486</v>
      </c>
      <c r="BX58" s="100">
        <v>8.0889601928308963</v>
      </c>
      <c r="BY58" s="100">
        <v>9522.323939000531</v>
      </c>
      <c r="BZ58" s="100">
        <v>10</v>
      </c>
      <c r="CA58" s="100">
        <v>11772</v>
      </c>
      <c r="CB58" s="100">
        <v>6.2362768259596235</v>
      </c>
      <c r="CC58" s="100">
        <v>7341.3450795196695</v>
      </c>
      <c r="CD58" s="100">
        <v>8.7904475705797331</v>
      </c>
      <c r="CE58" s="100">
        <v>10348.114880086463</v>
      </c>
      <c r="CF58" s="100">
        <v>8</v>
      </c>
      <c r="CG58" s="100">
        <v>9417.6</v>
      </c>
      <c r="CH58" s="100">
        <v>7.7859797646037485</v>
      </c>
      <c r="CI58" s="100">
        <v>9165.6553788915335</v>
      </c>
      <c r="CJ58" s="100">
        <v>10</v>
      </c>
      <c r="CK58" s="100">
        <v>11772</v>
      </c>
      <c r="CL58" s="100">
        <v>6.6309062166887154</v>
      </c>
      <c r="CM58" s="100">
        <v>7805.9027982859561</v>
      </c>
      <c r="CN58" s="100">
        <v>3.0801338429669665</v>
      </c>
      <c r="CO58" s="100">
        <v>3625.9335599407132</v>
      </c>
      <c r="CP58" s="100">
        <v>5.4766692197000948</v>
      </c>
      <c r="CQ58" s="100">
        <v>6447.1350054309514</v>
      </c>
      <c r="CR58" s="100">
        <v>6.8279377074872123</v>
      </c>
      <c r="CS58" s="100">
        <v>8037.8482692539465</v>
      </c>
      <c r="CT58" s="100">
        <v>10.453523937162235</v>
      </c>
      <c r="CU58" s="100">
        <v>12305.888378827383</v>
      </c>
    </row>
    <row r="59" spans="2:99">
      <c r="C59" s="99" t="s">
        <v>225</v>
      </c>
      <c r="D59" s="100">
        <v>6.7526407072008885</v>
      </c>
      <c r="E59" s="100">
        <v>2050.1017187061893</v>
      </c>
      <c r="F59" s="100">
        <v>3.1660786536213976</v>
      </c>
      <c r="G59" s="100">
        <v>961.22147923945624</v>
      </c>
      <c r="H59" s="100">
        <v>6.8019777098953726</v>
      </c>
      <c r="I59" s="100">
        <v>2065.0804327242349</v>
      </c>
      <c r="J59" s="100">
        <v>7</v>
      </c>
      <c r="K59" s="100">
        <v>2125.1999999999998</v>
      </c>
      <c r="L59" s="100">
        <v>6.1765529689270284</v>
      </c>
      <c r="M59" s="100">
        <v>1875.2014813662456</v>
      </c>
      <c r="N59" s="100">
        <v>7</v>
      </c>
      <c r="O59" s="100">
        <v>2125.1999999999998</v>
      </c>
      <c r="P59" s="100">
        <v>8</v>
      </c>
      <c r="Q59" s="100">
        <v>2428.7999999999997</v>
      </c>
      <c r="R59" s="100">
        <v>8.1203748919885896</v>
      </c>
      <c r="S59" s="100">
        <v>2465.3458172077358</v>
      </c>
      <c r="T59" s="100">
        <v>5.5592023859196325E-4</v>
      </c>
      <c r="U59" s="100">
        <v>0.16877738443652002</v>
      </c>
      <c r="V59" s="100">
        <v>8.2426618437001427</v>
      </c>
      <c r="W59" s="100">
        <v>2502.4721357473632</v>
      </c>
      <c r="X59" s="100">
        <v>8</v>
      </c>
      <c r="Y59" s="100">
        <v>2428.7999999999997</v>
      </c>
      <c r="Z59" s="100">
        <v>6</v>
      </c>
      <c r="AA59" s="100">
        <v>1821.6</v>
      </c>
      <c r="AB59" s="100">
        <v>3.0316165785919944</v>
      </c>
      <c r="AC59" s="100">
        <v>920.39879326052937</v>
      </c>
      <c r="AD59" s="100">
        <v>5.7665596258207819</v>
      </c>
      <c r="AE59" s="100">
        <v>1750.7275023991892</v>
      </c>
      <c r="AF59" s="100">
        <v>2.0832976389464246</v>
      </c>
      <c r="AG59" s="100">
        <v>632.48916318413444</v>
      </c>
      <c r="AH59" s="100">
        <v>10.762843479859214</v>
      </c>
      <c r="AI59" s="100">
        <v>3267.5992804852572</v>
      </c>
      <c r="AJ59" s="100">
        <v>9</v>
      </c>
      <c r="AK59" s="100">
        <v>2732.3999999999996</v>
      </c>
      <c r="AL59" s="100">
        <v>0.99440743180363067</v>
      </c>
      <c r="AM59" s="100">
        <v>301.90209629558223</v>
      </c>
      <c r="AN59" s="100">
        <v>10</v>
      </c>
      <c r="AO59" s="100">
        <v>3035.9999999999995</v>
      </c>
      <c r="AP59" s="100">
        <v>6</v>
      </c>
      <c r="AQ59" s="100">
        <v>1821.6</v>
      </c>
      <c r="AR59" s="100">
        <v>12</v>
      </c>
      <c r="AS59" s="100">
        <v>3643.2</v>
      </c>
      <c r="AT59" s="100">
        <v>11.28019157660483</v>
      </c>
      <c r="AU59" s="100">
        <v>3424.6661626572259</v>
      </c>
      <c r="AV59" s="100">
        <v>6.6289367562332595</v>
      </c>
      <c r="AW59" s="100">
        <v>2012.5451991924174</v>
      </c>
      <c r="AX59" s="100">
        <v>7.1262151169422143</v>
      </c>
      <c r="AY59" s="100">
        <v>2163.5189095036562</v>
      </c>
      <c r="AZ59" s="100">
        <v>8.6195287882472709</v>
      </c>
      <c r="BA59" s="100">
        <v>2616.8889401118713</v>
      </c>
      <c r="BB59" s="100">
        <v>7.8087473425481665E-4</v>
      </c>
      <c r="BC59" s="100">
        <v>0.23707356931976231</v>
      </c>
      <c r="BD59" s="100">
        <v>8.0463729785316414</v>
      </c>
      <c r="BE59" s="100">
        <v>2442.8788362822061</v>
      </c>
      <c r="BF59" s="100">
        <v>11.928740434939684</v>
      </c>
      <c r="BG59" s="100">
        <v>3621.5655960476874</v>
      </c>
      <c r="BH59" s="100">
        <v>4.4068130348578056E-4</v>
      </c>
      <c r="BI59" s="100">
        <v>0.13379084373828296</v>
      </c>
      <c r="BJ59" s="100">
        <v>8.8924907365050512</v>
      </c>
      <c r="BK59" s="100">
        <v>2699.7601876029335</v>
      </c>
      <c r="BL59" s="100">
        <v>1.6695787805924998</v>
      </c>
      <c r="BM59" s="100">
        <v>506.88411778788287</v>
      </c>
      <c r="BN59" s="100">
        <v>7.7410384975190629</v>
      </c>
      <c r="BO59" s="100">
        <v>2350.1792878467872</v>
      </c>
      <c r="BP59" s="100">
        <v>11</v>
      </c>
      <c r="BQ59" s="100">
        <v>3339.5999999999995</v>
      </c>
      <c r="BR59" s="100">
        <v>5.2722367541279622</v>
      </c>
      <c r="BS59" s="100">
        <v>1600.6510785532491</v>
      </c>
      <c r="BT59" s="100">
        <v>6.4427389887853517</v>
      </c>
      <c r="BU59" s="100">
        <v>1956.0155569952326</v>
      </c>
      <c r="BV59" s="100">
        <v>2.0035725736831576</v>
      </c>
      <c r="BW59" s="100">
        <v>608.28463337020662</v>
      </c>
      <c r="BX59" s="100">
        <v>10.661594101544189</v>
      </c>
      <c r="BY59" s="100">
        <v>3236.8599692288153</v>
      </c>
      <c r="BZ59" s="100">
        <v>8.9975339463494599</v>
      </c>
      <c r="CA59" s="100">
        <v>2731.6513061116957</v>
      </c>
      <c r="CB59" s="100">
        <v>7</v>
      </c>
      <c r="CC59" s="100">
        <v>2125.1999999999998</v>
      </c>
      <c r="CD59" s="100">
        <v>8.5179449411844708</v>
      </c>
      <c r="CE59" s="100">
        <v>2586.0480841436051</v>
      </c>
      <c r="CF59" s="100">
        <v>5.4573248907413714E-4</v>
      </c>
      <c r="CG59" s="100">
        <v>0.16568438368290803</v>
      </c>
      <c r="CH59" s="100">
        <v>7.3246057429286093</v>
      </c>
      <c r="CI59" s="100">
        <v>2223.7503035531254</v>
      </c>
      <c r="CJ59" s="100">
        <v>6.5798438178599639E-4</v>
      </c>
      <c r="CK59" s="100">
        <v>0.19976405831022848</v>
      </c>
      <c r="CL59" s="100">
        <v>9.0003034493325593</v>
      </c>
      <c r="CM59" s="100">
        <v>2732.4921272173647</v>
      </c>
      <c r="CN59" s="100">
        <v>8</v>
      </c>
      <c r="CO59" s="100">
        <v>2428.7999999999997</v>
      </c>
      <c r="CP59" s="100">
        <v>6.9301196696981702</v>
      </c>
      <c r="CQ59" s="100">
        <v>2103.984331720364</v>
      </c>
      <c r="CR59" s="100">
        <v>5.9246194901216818E-4</v>
      </c>
      <c r="CS59" s="100">
        <v>0.17987144772009425</v>
      </c>
      <c r="CT59" s="100">
        <v>9.028763640134482</v>
      </c>
      <c r="CU59" s="100">
        <v>2741.1326411448285</v>
      </c>
    </row>
    <row r="60" spans="2:99">
      <c r="C60" s="99" t="s">
        <v>226</v>
      </c>
      <c r="D60" s="100">
        <v>6.8627910357540634</v>
      </c>
      <c r="E60" s="100">
        <v>4471.7946388973478</v>
      </c>
      <c r="F60" s="100">
        <v>2.937037567147025</v>
      </c>
      <c r="G60" s="100">
        <v>1913.7736787530016</v>
      </c>
      <c r="H60" s="100">
        <v>6.8019777098953726</v>
      </c>
      <c r="I60" s="100">
        <v>4432.1686757678253</v>
      </c>
      <c r="J60" s="100">
        <v>7</v>
      </c>
      <c r="K60" s="100">
        <v>4561.2</v>
      </c>
      <c r="L60" s="100">
        <v>6.7942082658197309</v>
      </c>
      <c r="M60" s="100">
        <v>4427.1061060081365</v>
      </c>
      <c r="N60" s="100">
        <v>6</v>
      </c>
      <c r="O60" s="100">
        <v>3909.6000000000004</v>
      </c>
      <c r="P60" s="100">
        <v>8</v>
      </c>
      <c r="Q60" s="100">
        <v>5212.8</v>
      </c>
      <c r="R60" s="100">
        <v>8.1203748919885896</v>
      </c>
      <c r="S60" s="100">
        <v>5291.2362796197649</v>
      </c>
      <c r="T60" s="100">
        <v>5.5592023859196325E-4</v>
      </c>
      <c r="U60" s="100">
        <v>0.36223762746652327</v>
      </c>
      <c r="V60" s="100">
        <v>8.2426618437001427</v>
      </c>
      <c r="W60" s="100">
        <v>5370.9184573550128</v>
      </c>
      <c r="X60" s="100">
        <v>8</v>
      </c>
      <c r="Y60" s="100">
        <v>5212.8</v>
      </c>
      <c r="Z60" s="100">
        <v>6</v>
      </c>
      <c r="AA60" s="100">
        <v>3909.6000000000004</v>
      </c>
      <c r="AB60" s="100">
        <v>3.0316165785919944</v>
      </c>
      <c r="AC60" s="100">
        <v>1975.4013626105436</v>
      </c>
      <c r="AD60" s="100">
        <v>5.6936910030480714</v>
      </c>
      <c r="AE60" s="100">
        <v>3710.0090575861236</v>
      </c>
      <c r="AF60" s="100">
        <v>2.3216808633790524</v>
      </c>
      <c r="AG60" s="100">
        <v>1512.8072505777907</v>
      </c>
      <c r="AH60" s="100">
        <v>8.7628434798592139</v>
      </c>
      <c r="AI60" s="100">
        <v>5709.8688114762635</v>
      </c>
      <c r="AJ60" s="100">
        <v>9</v>
      </c>
      <c r="AK60" s="100">
        <v>5864.4000000000005</v>
      </c>
      <c r="AL60" s="100">
        <v>0.82867285983635897</v>
      </c>
      <c r="AM60" s="100">
        <v>539.96323546937151</v>
      </c>
      <c r="AN60" s="100">
        <v>9</v>
      </c>
      <c r="AO60" s="100">
        <v>5864.4000000000005</v>
      </c>
      <c r="AP60" s="100">
        <v>6</v>
      </c>
      <c r="AQ60" s="100">
        <v>3909.6000000000004</v>
      </c>
      <c r="AR60" s="100">
        <v>12</v>
      </c>
      <c r="AS60" s="100">
        <v>7819.2000000000007</v>
      </c>
      <c r="AT60" s="100">
        <v>9.4001596471706925</v>
      </c>
      <c r="AU60" s="100">
        <v>6125.1440260964237</v>
      </c>
      <c r="AV60" s="100">
        <v>5.8923882277628978</v>
      </c>
      <c r="AW60" s="100">
        <v>3839.4801692103042</v>
      </c>
      <c r="AX60" s="100">
        <v>6.2354382273244369</v>
      </c>
      <c r="AY60" s="100">
        <v>4063.0115489246032</v>
      </c>
      <c r="AZ60" s="100">
        <v>7.0523417358386755</v>
      </c>
      <c r="BA60" s="100">
        <v>4595.3058750724813</v>
      </c>
      <c r="BB60" s="100">
        <v>7.0988612204983341E-4</v>
      </c>
      <c r="BC60" s="100">
        <v>0.46256179712767148</v>
      </c>
      <c r="BD60" s="100">
        <v>7.896891124455693</v>
      </c>
      <c r="BE60" s="100">
        <v>5145.6142566953295</v>
      </c>
      <c r="BF60" s="100">
        <v>9.1759541807228331</v>
      </c>
      <c r="BG60" s="100">
        <v>5979.0517441589982</v>
      </c>
      <c r="BH60" s="100">
        <v>3.7772683155924051E-4</v>
      </c>
      <c r="BI60" s="100">
        <v>0.24612680344400112</v>
      </c>
      <c r="BJ60" s="100">
        <v>8.7649920598614735</v>
      </c>
      <c r="BK60" s="100">
        <v>5711.2688262057363</v>
      </c>
      <c r="BL60" s="100">
        <v>1.6695787805924998</v>
      </c>
      <c r="BM60" s="100">
        <v>1087.8975334340728</v>
      </c>
      <c r="BN60" s="100">
        <v>6.6175320812658853</v>
      </c>
      <c r="BO60" s="100">
        <v>4311.9839041528512</v>
      </c>
      <c r="BP60" s="100">
        <v>12</v>
      </c>
      <c r="BQ60" s="100">
        <v>7819.2000000000007</v>
      </c>
      <c r="BR60" s="100">
        <v>5.2722367541279622</v>
      </c>
      <c r="BS60" s="100">
        <v>3435.3894689897802</v>
      </c>
      <c r="BT60" s="100">
        <v>6.4427389887853517</v>
      </c>
      <c r="BU60" s="100">
        <v>4198.0887250925352</v>
      </c>
      <c r="BV60" s="100">
        <v>1.7886173849291851</v>
      </c>
      <c r="BW60" s="100">
        <v>1165.463088019857</v>
      </c>
      <c r="BX60" s="100">
        <v>9.6615941015441891</v>
      </c>
      <c r="BY60" s="100">
        <v>6295.4947165661943</v>
      </c>
      <c r="BZ60" s="100">
        <v>8.9975339463494599</v>
      </c>
      <c r="CA60" s="100">
        <v>5862.7931194413086</v>
      </c>
      <c r="CB60" s="100">
        <v>6</v>
      </c>
      <c r="CC60" s="100">
        <v>3909.6000000000004</v>
      </c>
      <c r="CD60" s="100">
        <v>7.5715066143861964</v>
      </c>
      <c r="CE60" s="100">
        <v>4933.5937099340454</v>
      </c>
      <c r="CF60" s="100">
        <v>6.139490502084043E-4</v>
      </c>
      <c r="CG60" s="100">
        <v>0.40004920111579628</v>
      </c>
      <c r="CH60" s="100">
        <v>7.4498900356862974</v>
      </c>
      <c r="CI60" s="100">
        <v>4854.3483472531916</v>
      </c>
      <c r="CJ60" s="100">
        <v>5.9410285789562292E-4</v>
      </c>
      <c r="CK60" s="100">
        <v>0.3871174222047879</v>
      </c>
      <c r="CL60" s="100">
        <v>10.000303449332559</v>
      </c>
      <c r="CM60" s="100">
        <v>6516.1977275850959</v>
      </c>
      <c r="CN60" s="100">
        <v>8</v>
      </c>
      <c r="CO60" s="100">
        <v>5212.8</v>
      </c>
      <c r="CP60" s="100">
        <v>7.9201367653693371</v>
      </c>
      <c r="CQ60" s="100">
        <v>5160.7611163146603</v>
      </c>
      <c r="CR60" s="100">
        <v>5.2663284356637167E-4</v>
      </c>
      <c r="CS60" s="100">
        <v>0.34315396086784777</v>
      </c>
      <c r="CT60" s="100">
        <v>9.0345163681613769</v>
      </c>
      <c r="CU60" s="100">
        <v>5886.8908654939532</v>
      </c>
    </row>
    <row r="61" spans="2:99">
      <c r="C61" s="99" t="s">
        <v>227</v>
      </c>
      <c r="D61" s="100">
        <v>6.8627910357540634</v>
      </c>
      <c r="E61" s="100">
        <v>6530.6319496235665</v>
      </c>
      <c r="F61" s="100">
        <v>2.688149688098489</v>
      </c>
      <c r="G61" s="100">
        <v>2558.0432431945219</v>
      </c>
      <c r="H61" s="100">
        <v>6.8019777098953726</v>
      </c>
      <c r="I61" s="100">
        <v>6472.7619887364363</v>
      </c>
      <c r="J61" s="100">
        <v>6</v>
      </c>
      <c r="K61" s="100">
        <v>5709.5999999999995</v>
      </c>
      <c r="L61" s="100">
        <v>6.1765529689270284</v>
      </c>
      <c r="M61" s="100">
        <v>5877.6078052309595</v>
      </c>
      <c r="N61" s="100">
        <v>7</v>
      </c>
      <c r="O61" s="100">
        <v>6661.1999999999989</v>
      </c>
      <c r="P61" s="100">
        <v>9</v>
      </c>
      <c r="Q61" s="100">
        <v>8564.4</v>
      </c>
      <c r="R61" s="100">
        <v>7.3083374027897303</v>
      </c>
      <c r="S61" s="100">
        <v>6954.6138724947068</v>
      </c>
      <c r="T61" s="100">
        <v>5.5948529276476791E-4</v>
      </c>
      <c r="U61" s="100">
        <v>0.53240620459495314</v>
      </c>
      <c r="V61" s="100">
        <v>8.2426618437001427</v>
      </c>
      <c r="W61" s="100">
        <v>7843.717010465055</v>
      </c>
      <c r="X61" s="100">
        <v>8</v>
      </c>
      <c r="Y61" s="100">
        <v>7612.7999999999993</v>
      </c>
      <c r="Z61" s="100">
        <v>7</v>
      </c>
      <c r="AA61" s="100">
        <v>6661.1999999999989</v>
      </c>
      <c r="AB61" s="100">
        <v>2.6526645062679952</v>
      </c>
      <c r="AC61" s="100">
        <v>2524.2755441646241</v>
      </c>
      <c r="AD61" s="100">
        <v>4.7025650152302445</v>
      </c>
      <c r="AE61" s="100">
        <v>4474.9608684931</v>
      </c>
      <c r="AF61" s="100">
        <v>2.0851039529014286</v>
      </c>
      <c r="AG61" s="100">
        <v>1984.1849215809993</v>
      </c>
      <c r="AH61" s="100">
        <v>9.7628434798592139</v>
      </c>
      <c r="AI61" s="100">
        <v>9290.3218554340274</v>
      </c>
      <c r="AJ61" s="100">
        <v>9</v>
      </c>
      <c r="AK61" s="100">
        <v>8564.4</v>
      </c>
      <c r="AL61" s="100">
        <v>0.82867285983635897</v>
      </c>
      <c r="AM61" s="100">
        <v>788.56509342027914</v>
      </c>
      <c r="AN61" s="100">
        <v>8</v>
      </c>
      <c r="AO61" s="100">
        <v>7612.7999999999993</v>
      </c>
      <c r="AP61" s="100">
        <v>7</v>
      </c>
      <c r="AQ61" s="100">
        <v>6661.1999999999989</v>
      </c>
      <c r="AR61" s="100">
        <v>11</v>
      </c>
      <c r="AS61" s="100">
        <v>10467.599999999999</v>
      </c>
      <c r="AT61" s="100">
        <v>10.340175611887762</v>
      </c>
      <c r="AU61" s="100">
        <v>9839.7111122723927</v>
      </c>
      <c r="AV61" s="100">
        <v>5.8923882277628978</v>
      </c>
      <c r="AW61" s="100">
        <v>5607.196637539173</v>
      </c>
      <c r="AX61" s="100">
        <v>6.2354382273244369</v>
      </c>
      <c r="AY61" s="100">
        <v>5933.6430171219336</v>
      </c>
      <c r="AZ61" s="100">
        <v>7.0523417358386755</v>
      </c>
      <c r="BA61" s="100">
        <v>6711.008395824083</v>
      </c>
      <c r="BB61" s="100">
        <v>6.3889750984484996E-4</v>
      </c>
      <c r="BC61" s="100">
        <v>0.60797487036835918</v>
      </c>
      <c r="BD61" s="100">
        <v>7.896891124455693</v>
      </c>
      <c r="BE61" s="100">
        <v>7514.6815940320366</v>
      </c>
      <c r="BF61" s="100">
        <v>9.1759541807228331</v>
      </c>
      <c r="BG61" s="100">
        <v>8731.8379983758477</v>
      </c>
      <c r="BH61" s="100">
        <v>4.4068130348578056E-4</v>
      </c>
      <c r="BI61" s="100">
        <v>0.41935232839706876</v>
      </c>
      <c r="BJ61" s="100">
        <v>8.7649920598614735</v>
      </c>
      <c r="BK61" s="100">
        <v>8340.7664441641773</v>
      </c>
      <c r="BL61" s="100">
        <v>1.5026209025332495</v>
      </c>
      <c r="BM61" s="100">
        <v>1429.89405085064</v>
      </c>
      <c r="BN61" s="100">
        <v>6.6175320812658853</v>
      </c>
      <c r="BO61" s="100">
        <v>6297.2435285326155</v>
      </c>
      <c r="BP61" s="100">
        <v>11</v>
      </c>
      <c r="BQ61" s="100">
        <v>10467.599999999999</v>
      </c>
      <c r="BR61" s="100">
        <v>4.21778940330237</v>
      </c>
      <c r="BS61" s="100">
        <v>4013.6483961825347</v>
      </c>
      <c r="BT61" s="100">
        <v>6.4427389887853517</v>
      </c>
      <c r="BU61" s="100">
        <v>6130.9104217281401</v>
      </c>
      <c r="BV61" s="100">
        <v>1.7984710813431004</v>
      </c>
      <c r="BW61" s="100">
        <v>1711.4250810060942</v>
      </c>
      <c r="BX61" s="100">
        <v>8.6615941015441891</v>
      </c>
      <c r="BY61" s="100">
        <v>8242.3729470294493</v>
      </c>
      <c r="BZ61" s="100">
        <v>7.4979449552912172</v>
      </c>
      <c r="CA61" s="100">
        <v>7135.0444194551219</v>
      </c>
      <c r="CB61" s="100">
        <v>7</v>
      </c>
      <c r="CC61" s="100">
        <v>6661.1999999999989</v>
      </c>
      <c r="CD61" s="100">
        <v>7.5715066143861964</v>
      </c>
      <c r="CE61" s="100">
        <v>7205.045694249904</v>
      </c>
      <c r="CF61" s="100">
        <v>6.139490502084043E-4</v>
      </c>
      <c r="CG61" s="100">
        <v>0.58423391617831744</v>
      </c>
      <c r="CH61" s="100">
        <v>8.1462182412264177</v>
      </c>
      <c r="CI61" s="100">
        <v>7751.9412783510579</v>
      </c>
      <c r="CJ61" s="100">
        <v>6.5798438178599639E-4</v>
      </c>
      <c r="CK61" s="100">
        <v>0.6261379377075541</v>
      </c>
      <c r="CL61" s="100">
        <v>11.00035402422132</v>
      </c>
      <c r="CM61" s="100">
        <v>10467.936889449007</v>
      </c>
      <c r="CN61" s="100">
        <v>7</v>
      </c>
      <c r="CO61" s="100">
        <v>6661.1999999999989</v>
      </c>
      <c r="CP61" s="100">
        <v>6.9301196696981702</v>
      </c>
      <c r="CQ61" s="100">
        <v>6594.7018776847781</v>
      </c>
      <c r="CR61" s="100">
        <v>5.2663284356637167E-4</v>
      </c>
      <c r="CS61" s="100">
        <v>0.5011438139377592</v>
      </c>
      <c r="CT61" s="100">
        <v>9.028763640134482</v>
      </c>
      <c r="CU61" s="100">
        <v>8591.7714799519727</v>
      </c>
    </row>
    <row r="62" spans="2:99">
      <c r="C62" s="99" t="s">
        <v>228</v>
      </c>
      <c r="D62" s="100">
        <v>7</v>
      </c>
      <c r="E62" s="100">
        <v>11684.4</v>
      </c>
      <c r="F62" s="100">
        <v>9.1040630651186571</v>
      </c>
      <c r="G62" s="100">
        <v>15196.502068296062</v>
      </c>
      <c r="H62" s="100">
        <v>3.8821241576308565</v>
      </c>
      <c r="I62" s="100">
        <v>6480.041643917426</v>
      </c>
      <c r="J62" s="100">
        <v>5.7610722499241902</v>
      </c>
      <c r="K62" s="100">
        <v>9616.3817995734589</v>
      </c>
      <c r="L62" s="100">
        <v>4.234896564812135E-4</v>
      </c>
      <c r="M62" s="100">
        <v>0.7068889345984416</v>
      </c>
      <c r="N62" s="100">
        <v>5.1983248531302833</v>
      </c>
      <c r="O62" s="100">
        <v>8677.0438448450695</v>
      </c>
      <c r="P62" s="100">
        <v>4.8895083612610497</v>
      </c>
      <c r="Q62" s="100">
        <v>8161.5673566169444</v>
      </c>
      <c r="R62" s="100">
        <v>5.3822244595296187</v>
      </c>
      <c r="S62" s="100">
        <v>8984.0090678468405</v>
      </c>
      <c r="T62" s="100">
        <v>0.43981478324394674</v>
      </c>
      <c r="U62" s="100">
        <v>734.13883619079593</v>
      </c>
      <c r="V62" s="100">
        <v>8.2270343742887011</v>
      </c>
      <c r="W62" s="100">
        <v>13732.565777562701</v>
      </c>
      <c r="X62" s="100">
        <v>5.6163059315525841</v>
      </c>
      <c r="Y62" s="100">
        <v>9374.7378609475727</v>
      </c>
      <c r="Z62" s="100">
        <v>3.7985091757741918</v>
      </c>
      <c r="AA62" s="100">
        <v>6340.4715162022812</v>
      </c>
      <c r="AB62" s="100">
        <v>5.9597299137146793</v>
      </c>
      <c r="AC62" s="100">
        <v>9947.9811719725421</v>
      </c>
      <c r="AD62" s="100">
        <v>7.4070928927596729</v>
      </c>
      <c r="AE62" s="100">
        <v>12363.919456594447</v>
      </c>
      <c r="AF62" s="100">
        <v>0.42697546676498493</v>
      </c>
      <c r="AG62" s="100">
        <v>712.70744912411283</v>
      </c>
      <c r="AH62" s="100">
        <v>7.2077672726449649</v>
      </c>
      <c r="AI62" s="100">
        <v>12031.205131498975</v>
      </c>
      <c r="AJ62" s="100">
        <v>1.5378205637386415</v>
      </c>
      <c r="AK62" s="100">
        <v>2566.9300849925403</v>
      </c>
      <c r="AL62" s="100">
        <v>6.3685510168430692</v>
      </c>
      <c r="AM62" s="100">
        <v>10630.385357314452</v>
      </c>
      <c r="AN62" s="100">
        <v>5.7087421138802865</v>
      </c>
      <c r="AO62" s="100">
        <v>9529.0323364889737</v>
      </c>
      <c r="AP62" s="100">
        <v>6.3868251392482804</v>
      </c>
      <c r="AQ62" s="100">
        <v>10660.88852243323</v>
      </c>
      <c r="AR62" s="100">
        <v>3.1675513122383463</v>
      </c>
      <c r="AS62" s="100">
        <v>5287.2766503882476</v>
      </c>
      <c r="AT62" s="100">
        <v>5.9365651561149271</v>
      </c>
      <c r="AU62" s="100">
        <v>9909.314558587037</v>
      </c>
      <c r="AV62" s="100">
        <v>5.675454605798735</v>
      </c>
      <c r="AW62" s="100">
        <v>9473.4688279992479</v>
      </c>
      <c r="AX62" s="100">
        <v>7.3969754253308144</v>
      </c>
      <c r="AY62" s="100">
        <v>12347.031379962196</v>
      </c>
      <c r="AZ62" s="100">
        <v>1.9947127108660789</v>
      </c>
      <c r="BA62" s="100">
        <v>3329.5744569776589</v>
      </c>
      <c r="BB62" s="100">
        <v>9.6904774347141931</v>
      </c>
      <c r="BC62" s="100">
        <v>16175.344934024932</v>
      </c>
      <c r="BD62" s="100">
        <v>5.1792554780729025</v>
      </c>
      <c r="BE62" s="100">
        <v>8645.2132439992893</v>
      </c>
      <c r="BF62" s="100">
        <v>6.0057509941294658</v>
      </c>
      <c r="BG62" s="100">
        <v>10024.799559400904</v>
      </c>
      <c r="BH62" s="100">
        <v>0.31290136925000644</v>
      </c>
      <c r="BI62" s="100">
        <v>522.29496555211074</v>
      </c>
      <c r="BJ62" s="100">
        <v>4.7074514040918096</v>
      </c>
      <c r="BK62" s="100">
        <v>7857.6778837100492</v>
      </c>
      <c r="BL62" s="100">
        <v>5.8957795106339876</v>
      </c>
      <c r="BM62" s="100">
        <v>9841.235159150252</v>
      </c>
      <c r="BN62" s="100">
        <v>6.5817174515235468</v>
      </c>
      <c r="BO62" s="100">
        <v>10986.202770083104</v>
      </c>
      <c r="BP62" s="100">
        <v>0.92838889750222953</v>
      </c>
      <c r="BQ62" s="100">
        <v>1549.6667477107217</v>
      </c>
      <c r="BR62" s="100">
        <v>6.996059729303254</v>
      </c>
      <c r="BS62" s="100">
        <v>11677.822900152993</v>
      </c>
      <c r="BT62" s="100">
        <v>3.9323342860830381</v>
      </c>
      <c r="BU62" s="100">
        <v>6563.8523903298073</v>
      </c>
      <c r="BV62" s="100">
        <v>1.3032000499542327</v>
      </c>
      <c r="BW62" s="100">
        <v>2175.3015233836054</v>
      </c>
      <c r="BX62" s="100">
        <v>4.6963772999668496</v>
      </c>
      <c r="BY62" s="100">
        <v>7839.1929891046657</v>
      </c>
      <c r="BZ62" s="100">
        <v>6.1069043874600242</v>
      </c>
      <c r="CA62" s="100">
        <v>10193.644803548272</v>
      </c>
      <c r="CB62" s="100">
        <v>4.8808977660770188</v>
      </c>
      <c r="CC62" s="100">
        <v>8147.1945511357599</v>
      </c>
      <c r="CD62" s="100">
        <v>0.41571289399276362</v>
      </c>
      <c r="CE62" s="100">
        <v>693.90796265272104</v>
      </c>
      <c r="CF62" s="100">
        <v>8.1477026034770503</v>
      </c>
      <c r="CG62" s="100">
        <v>13600.145185723894</v>
      </c>
      <c r="CH62" s="100">
        <v>2.9508855972750512</v>
      </c>
      <c r="CI62" s="100">
        <v>4925.6182389715159</v>
      </c>
      <c r="CJ62" s="100">
        <v>9.3733729525131224</v>
      </c>
      <c r="CK62" s="100">
        <v>15646.034132334904</v>
      </c>
      <c r="CL62" s="100">
        <v>10</v>
      </c>
      <c r="CM62" s="100">
        <v>16692</v>
      </c>
      <c r="CN62" s="100">
        <v>5.1748698354071641</v>
      </c>
      <c r="CO62" s="100">
        <v>8637.892729261639</v>
      </c>
      <c r="CP62" s="100">
        <v>4.7908132786407558</v>
      </c>
      <c r="CQ62" s="100">
        <v>7996.8255247071502</v>
      </c>
      <c r="CR62" s="100">
        <v>5.057455910674614</v>
      </c>
      <c r="CS62" s="100">
        <v>8441.9054060980652</v>
      </c>
      <c r="CT62" s="100">
        <v>4.6924602113410421</v>
      </c>
      <c r="CU62" s="100">
        <v>7832.6545847704674</v>
      </c>
    </row>
    <row r="63" spans="2:99">
      <c r="C63" s="99" t="s">
        <v>229</v>
      </c>
      <c r="D63" s="100">
        <v>6.1736922508168384</v>
      </c>
      <c r="E63" s="100">
        <v>4911.7895547498765</v>
      </c>
      <c r="F63" s="100">
        <v>2.4491852053370344</v>
      </c>
      <c r="G63" s="100">
        <v>1948.5717493661446</v>
      </c>
      <c r="H63" s="100">
        <v>7.8019777098953726</v>
      </c>
      <c r="I63" s="100">
        <v>6207.2534659927587</v>
      </c>
      <c r="J63" s="100">
        <v>7</v>
      </c>
      <c r="K63" s="100">
        <v>5569.2</v>
      </c>
      <c r="L63" s="100">
        <v>6.1765529689270284</v>
      </c>
      <c r="M63" s="100">
        <v>4914.0655420783442</v>
      </c>
      <c r="N63" s="100">
        <v>7</v>
      </c>
      <c r="O63" s="100">
        <v>5569.2</v>
      </c>
      <c r="P63" s="100">
        <v>9</v>
      </c>
      <c r="Q63" s="100">
        <v>7160.4000000000005</v>
      </c>
      <c r="R63" s="100">
        <v>8.1203748919885896</v>
      </c>
      <c r="S63" s="100">
        <v>6460.570264066122</v>
      </c>
      <c r="T63" s="100">
        <v>4.8414246344912138E-4</v>
      </c>
      <c r="U63" s="100">
        <v>0.385183743920121</v>
      </c>
      <c r="V63" s="100">
        <v>8.2426618437001427</v>
      </c>
      <c r="W63" s="100">
        <v>6557.8617628478332</v>
      </c>
      <c r="X63" s="100">
        <v>8</v>
      </c>
      <c r="Y63" s="100">
        <v>6364.8</v>
      </c>
      <c r="Z63" s="100">
        <v>6</v>
      </c>
      <c r="AA63" s="100">
        <v>4773.6000000000004</v>
      </c>
      <c r="AB63" s="100">
        <v>3.0316165785919944</v>
      </c>
      <c r="AC63" s="100">
        <v>2411.9541499277907</v>
      </c>
      <c r="AD63" s="100">
        <v>5.1981280091391575</v>
      </c>
      <c r="AE63" s="100">
        <v>4135.6306440711141</v>
      </c>
      <c r="AF63" s="100">
        <v>2.0832976389464246</v>
      </c>
      <c r="AG63" s="100">
        <v>1657.4716015457755</v>
      </c>
      <c r="AH63" s="100">
        <v>8.7628434798592139</v>
      </c>
      <c r="AI63" s="100">
        <v>6971.7182725759903</v>
      </c>
      <c r="AJ63" s="100">
        <v>8</v>
      </c>
      <c r="AK63" s="100">
        <v>6364.8</v>
      </c>
      <c r="AL63" s="100">
        <v>0.82867285983635897</v>
      </c>
      <c r="AM63" s="100">
        <v>659.29212728580717</v>
      </c>
      <c r="AN63" s="100">
        <v>9</v>
      </c>
      <c r="AO63" s="100">
        <v>7160.4000000000005</v>
      </c>
      <c r="AP63" s="100">
        <v>6</v>
      </c>
      <c r="AQ63" s="100">
        <v>4773.6000000000004</v>
      </c>
      <c r="AR63" s="100">
        <v>10</v>
      </c>
      <c r="AS63" s="100">
        <v>7956</v>
      </c>
      <c r="AT63" s="100">
        <v>10.340175611887762</v>
      </c>
      <c r="AU63" s="100">
        <v>8226.6437168179036</v>
      </c>
      <c r="AV63" s="100">
        <v>7.3654852847036212</v>
      </c>
      <c r="AW63" s="100">
        <v>5859.9800925102008</v>
      </c>
      <c r="AX63" s="100">
        <v>6.2354382273244369</v>
      </c>
      <c r="AY63" s="100">
        <v>4960.9146536593225</v>
      </c>
      <c r="AZ63" s="100">
        <v>7.8359352620429732</v>
      </c>
      <c r="BA63" s="100">
        <v>6234.2700944813896</v>
      </c>
      <c r="BB63" s="100">
        <v>7.8087473425481665E-4</v>
      </c>
      <c r="BC63" s="100">
        <v>0.62126393857313211</v>
      </c>
      <c r="BD63" s="100">
        <v>8.0463729785316414</v>
      </c>
      <c r="BE63" s="100">
        <v>6401.6943417197745</v>
      </c>
      <c r="BF63" s="100">
        <v>10.093549598795118</v>
      </c>
      <c r="BG63" s="100">
        <v>8030.428060801396</v>
      </c>
      <c r="BH63" s="100">
        <v>3.9438873395608153E-4</v>
      </c>
      <c r="BI63" s="100">
        <v>0.31377567673545848</v>
      </c>
      <c r="BJ63" s="100">
        <v>7.7649920598614726</v>
      </c>
      <c r="BK63" s="100">
        <v>6177.8276828257876</v>
      </c>
      <c r="BL63" s="100">
        <v>1.5026209025332495</v>
      </c>
      <c r="BM63" s="100">
        <v>1195.4851900554534</v>
      </c>
      <c r="BN63" s="100">
        <v>6.6175320812658853</v>
      </c>
      <c r="BO63" s="100">
        <v>5264.9085238551388</v>
      </c>
      <c r="BP63" s="100">
        <v>10</v>
      </c>
      <c r="BQ63" s="100">
        <v>7956</v>
      </c>
      <c r="BR63" s="100">
        <v>4.21778940330237</v>
      </c>
      <c r="BS63" s="100">
        <v>3355.6732492673655</v>
      </c>
      <c r="BT63" s="100">
        <v>6.4427389887853517</v>
      </c>
      <c r="BU63" s="100">
        <v>5125.8431394776262</v>
      </c>
      <c r="BV63" s="100">
        <v>1.7984710813431004</v>
      </c>
      <c r="BW63" s="100">
        <v>1430.8635923165707</v>
      </c>
      <c r="BX63" s="100">
        <v>9.6615941015441891</v>
      </c>
      <c r="BY63" s="100">
        <v>7686.7642671885569</v>
      </c>
      <c r="BZ63" s="100">
        <v>7.4979449552912172</v>
      </c>
      <c r="CA63" s="100">
        <v>5965.3650064296926</v>
      </c>
      <c r="CB63" s="100">
        <v>7</v>
      </c>
      <c r="CC63" s="100">
        <v>5569.2</v>
      </c>
      <c r="CD63" s="100">
        <v>8.5179449411844708</v>
      </c>
      <c r="CE63" s="100">
        <v>6776.8769952063649</v>
      </c>
      <c r="CF63" s="100">
        <v>5.4573248907413714E-4</v>
      </c>
      <c r="CG63" s="100">
        <v>0.43418476830738351</v>
      </c>
      <c r="CH63" s="100">
        <v>8.2715025339841066</v>
      </c>
      <c r="CI63" s="100">
        <v>6580.8074160377555</v>
      </c>
      <c r="CJ63" s="100">
        <v>6.5798438178599639E-4</v>
      </c>
      <c r="CK63" s="100">
        <v>0.52349237414893879</v>
      </c>
      <c r="CL63" s="100">
        <v>9.0003540242213198</v>
      </c>
      <c r="CM63" s="100">
        <v>7160.6816616704818</v>
      </c>
      <c r="CN63" s="100">
        <v>8</v>
      </c>
      <c r="CO63" s="100">
        <v>6364.8</v>
      </c>
      <c r="CP63" s="100">
        <v>6.9301196696981702</v>
      </c>
      <c r="CQ63" s="100">
        <v>5513.6032092118639</v>
      </c>
      <c r="CR63" s="100">
        <v>5.9246194901216818E-4</v>
      </c>
      <c r="CS63" s="100">
        <v>0.47136272663408102</v>
      </c>
      <c r="CT63" s="100">
        <v>9.028763640134482</v>
      </c>
      <c r="CU63" s="100">
        <v>7183.2843520909937</v>
      </c>
    </row>
    <row r="64" spans="2:99">
      <c r="C64" s="99" t="s">
        <v>230</v>
      </c>
      <c r="D64" s="100">
        <v>6.0635419222636635</v>
      </c>
      <c r="E64" s="100">
        <v>6119.3265079484881</v>
      </c>
      <c r="F64" s="100">
        <v>2.6980730843855705</v>
      </c>
      <c r="G64" s="100">
        <v>2722.8953567619174</v>
      </c>
      <c r="H64" s="100">
        <v>6.8019777098953726</v>
      </c>
      <c r="I64" s="100">
        <v>6864.5559048264086</v>
      </c>
      <c r="J64" s="100">
        <v>6</v>
      </c>
      <c r="K64" s="100">
        <v>6055.1999999999989</v>
      </c>
      <c r="L64" s="100">
        <v>6.1765529689270284</v>
      </c>
      <c r="M64" s="100">
        <v>6233.3772562411559</v>
      </c>
      <c r="N64" s="100">
        <v>7</v>
      </c>
      <c r="O64" s="100">
        <v>7064.3999999999987</v>
      </c>
      <c r="P64" s="100">
        <v>8</v>
      </c>
      <c r="Q64" s="100">
        <v>8073.5999999999985</v>
      </c>
      <c r="R64" s="100">
        <v>7.3083374027897303</v>
      </c>
      <c r="S64" s="100">
        <v>7375.5741068953948</v>
      </c>
      <c r="T64" s="100">
        <v>4.8414246344912138E-4</v>
      </c>
      <c r="U64" s="100">
        <v>0.48859657411285323</v>
      </c>
      <c r="V64" s="100">
        <v>7.3344293904370064</v>
      </c>
      <c r="W64" s="100">
        <v>7401.9061408290254</v>
      </c>
      <c r="X64" s="100">
        <v>8</v>
      </c>
      <c r="Y64" s="100">
        <v>8073.5999999999985</v>
      </c>
      <c r="Z64" s="100">
        <v>7</v>
      </c>
      <c r="AA64" s="100">
        <v>7064.3999999999987</v>
      </c>
      <c r="AB64" s="100">
        <v>3.0316165785919944</v>
      </c>
      <c r="AC64" s="100">
        <v>3059.5074511150401</v>
      </c>
      <c r="AD64" s="100">
        <v>5.2683419428305465</v>
      </c>
      <c r="AE64" s="100">
        <v>5316.8106887045869</v>
      </c>
      <c r="AF64" s="100">
        <v>2.0851039529014286</v>
      </c>
      <c r="AG64" s="100">
        <v>2104.2869092681212</v>
      </c>
      <c r="AH64" s="100">
        <v>9.7628434798592139</v>
      </c>
      <c r="AI64" s="100">
        <v>9852.661639873917</v>
      </c>
      <c r="AJ64" s="100">
        <v>8</v>
      </c>
      <c r="AK64" s="100">
        <v>8073.5999999999985</v>
      </c>
      <c r="AL64" s="100">
        <v>0.82867285983635897</v>
      </c>
      <c r="AM64" s="100">
        <v>836.29665014685327</v>
      </c>
      <c r="AN64" s="100">
        <v>9</v>
      </c>
      <c r="AO64" s="100">
        <v>9082.7999999999993</v>
      </c>
      <c r="AP64" s="100">
        <v>6</v>
      </c>
      <c r="AQ64" s="100">
        <v>6055.1999999999989</v>
      </c>
      <c r="AR64" s="100">
        <v>11</v>
      </c>
      <c r="AS64" s="100">
        <v>11101.199999999997</v>
      </c>
      <c r="AT64" s="100">
        <v>9.4001596471706925</v>
      </c>
      <c r="AU64" s="100">
        <v>9486.6411159246618</v>
      </c>
      <c r="AV64" s="100">
        <v>6.6289367562332595</v>
      </c>
      <c r="AW64" s="100">
        <v>6689.9229743906044</v>
      </c>
      <c r="AX64" s="100">
        <v>6.2354382273244369</v>
      </c>
      <c r="AY64" s="100">
        <v>6292.8042590158202</v>
      </c>
      <c r="AZ64" s="100">
        <v>7.0523417358386755</v>
      </c>
      <c r="BA64" s="100">
        <v>7117.2232798083896</v>
      </c>
      <c r="BB64" s="100">
        <v>7.0988612204983341E-4</v>
      </c>
      <c r="BC64" s="100">
        <v>0.71641707437269175</v>
      </c>
      <c r="BD64" s="100">
        <v>7.896891124455693</v>
      </c>
      <c r="BE64" s="100">
        <v>7969.5425228006843</v>
      </c>
      <c r="BF64" s="100">
        <v>11.011145016867399</v>
      </c>
      <c r="BG64" s="100">
        <v>11112.447551022577</v>
      </c>
      <c r="BH64" s="100">
        <v>4.5734320588262164E-4</v>
      </c>
      <c r="BI64" s="100">
        <v>0.46155076337674167</v>
      </c>
      <c r="BJ64" s="100">
        <v>8.7649920598614735</v>
      </c>
      <c r="BK64" s="100">
        <v>8845.6299868121969</v>
      </c>
      <c r="BL64" s="100">
        <v>1.5026209025332495</v>
      </c>
      <c r="BM64" s="100">
        <v>1516.4450148365552</v>
      </c>
      <c r="BN64" s="100">
        <v>6.6175320812658853</v>
      </c>
      <c r="BO64" s="100">
        <v>6678.4133764135304</v>
      </c>
      <c r="BP64" s="100">
        <v>10</v>
      </c>
      <c r="BQ64" s="100">
        <v>10091.999999999998</v>
      </c>
      <c r="BR64" s="100">
        <v>4.21778940330237</v>
      </c>
      <c r="BS64" s="100">
        <v>4256.5930658127509</v>
      </c>
      <c r="BT64" s="100">
        <v>5.7268791011425355</v>
      </c>
      <c r="BU64" s="100">
        <v>5779.566388873046</v>
      </c>
      <c r="BV64" s="100">
        <v>2.0035725736831576</v>
      </c>
      <c r="BW64" s="100">
        <v>2022.0054413610421</v>
      </c>
      <c r="BX64" s="100">
        <v>8.6615941015441891</v>
      </c>
      <c r="BY64" s="100">
        <v>8741.2807672783947</v>
      </c>
      <c r="BZ64" s="100">
        <v>8.2477394508203385</v>
      </c>
      <c r="CA64" s="100">
        <v>8323.6186537678841</v>
      </c>
      <c r="CB64" s="100">
        <v>7</v>
      </c>
      <c r="CC64" s="100">
        <v>7064.3999999999987</v>
      </c>
      <c r="CD64" s="100">
        <v>8.5179449411844708</v>
      </c>
      <c r="CE64" s="100">
        <v>8596.3100346433657</v>
      </c>
      <c r="CF64" s="100">
        <v>6.139490502084043E-4</v>
      </c>
      <c r="CG64" s="100">
        <v>0.61959738147032151</v>
      </c>
      <c r="CH64" s="100">
        <v>7.3246057429286093</v>
      </c>
      <c r="CI64" s="100">
        <v>7391.9921157635508</v>
      </c>
      <c r="CJ64" s="100">
        <v>5.9314440075150987E-4</v>
      </c>
      <c r="CK64" s="100">
        <v>0.59860132923842369</v>
      </c>
      <c r="CL64" s="100">
        <v>10.000303449332559</v>
      </c>
      <c r="CM64" s="100">
        <v>10092.306241066417</v>
      </c>
      <c r="CN64" s="100">
        <v>8</v>
      </c>
      <c r="CO64" s="100">
        <v>8073.5999999999985</v>
      </c>
      <c r="CP64" s="100">
        <v>6.9301196696981702</v>
      </c>
      <c r="CQ64" s="100">
        <v>6993.8767706593917</v>
      </c>
      <c r="CR64" s="100">
        <v>5.2663284356637167E-4</v>
      </c>
      <c r="CS64" s="100">
        <v>0.53147786572718214</v>
      </c>
      <c r="CT64" s="100">
        <v>9.028763640134482</v>
      </c>
      <c r="CU64" s="100">
        <v>9111.828265623717</v>
      </c>
    </row>
    <row r="65" spans="2:99">
      <c r="C65" s="99" t="s">
        <v>231</v>
      </c>
      <c r="D65" s="100">
        <v>6.8627910357540634</v>
      </c>
      <c r="E65" s="100">
        <v>7041.223602683669</v>
      </c>
      <c r="F65" s="100">
        <v>2.4591086016241159</v>
      </c>
      <c r="G65" s="100">
        <v>2523.045425266343</v>
      </c>
      <c r="H65" s="100">
        <v>6.6683147582461437</v>
      </c>
      <c r="I65" s="100">
        <v>6841.6909419605436</v>
      </c>
      <c r="J65" s="100">
        <v>7</v>
      </c>
      <c r="K65" s="100">
        <v>7182</v>
      </c>
      <c r="L65" s="100">
        <v>6.1765529689270284</v>
      </c>
      <c r="M65" s="100">
        <v>6337.1433461191309</v>
      </c>
      <c r="N65" s="100">
        <v>6</v>
      </c>
      <c r="O65" s="100">
        <v>6156</v>
      </c>
      <c r="P65" s="100">
        <v>8</v>
      </c>
      <c r="Q65" s="100">
        <v>8208</v>
      </c>
      <c r="R65" s="100">
        <v>6.496299913590871</v>
      </c>
      <c r="S65" s="100">
        <v>6665.2037113442339</v>
      </c>
      <c r="T65" s="100">
        <v>5.5948529276476791E-4</v>
      </c>
      <c r="U65" s="100">
        <v>0.57403191037665191</v>
      </c>
      <c r="V65" s="100">
        <v>7.3344293904370064</v>
      </c>
      <c r="W65" s="100">
        <v>7525.1245545883685</v>
      </c>
      <c r="X65" s="100">
        <v>8</v>
      </c>
      <c r="Y65" s="100">
        <v>8208</v>
      </c>
      <c r="Z65" s="100">
        <v>6</v>
      </c>
      <c r="AA65" s="100">
        <v>6156</v>
      </c>
      <c r="AB65" s="100">
        <v>2.6526645062679952</v>
      </c>
      <c r="AC65" s="100">
        <v>2721.6337834309629</v>
      </c>
      <c r="AD65" s="100">
        <v>5.195473320057836</v>
      </c>
      <c r="AE65" s="100">
        <v>5330.5556263793396</v>
      </c>
      <c r="AF65" s="100">
        <v>2.0851039529014286</v>
      </c>
      <c r="AG65" s="100">
        <v>2139.3166556768656</v>
      </c>
      <c r="AH65" s="100">
        <v>9.635702899882677</v>
      </c>
      <c r="AI65" s="100">
        <v>9886.2311752796268</v>
      </c>
      <c r="AJ65" s="100">
        <v>8</v>
      </c>
      <c r="AK65" s="100">
        <v>8208</v>
      </c>
      <c r="AL65" s="100">
        <v>0.74580557385272306</v>
      </c>
      <c r="AM65" s="100">
        <v>765.19651877289391</v>
      </c>
      <c r="AN65" s="100">
        <v>9</v>
      </c>
      <c r="AO65" s="100">
        <v>9234</v>
      </c>
      <c r="AP65" s="100">
        <v>7</v>
      </c>
      <c r="AQ65" s="100">
        <v>7182</v>
      </c>
      <c r="AR65" s="100">
        <v>11</v>
      </c>
      <c r="AS65" s="100">
        <v>11286</v>
      </c>
      <c r="AT65" s="100">
        <v>10.340175611887762</v>
      </c>
      <c r="AU65" s="100">
        <v>10609.020177796843</v>
      </c>
      <c r="AV65" s="100">
        <v>6.6289367562332595</v>
      </c>
      <c r="AW65" s="100">
        <v>6801.2891118953239</v>
      </c>
      <c r="AX65" s="100">
        <v>6.2354382273244369</v>
      </c>
      <c r="AY65" s="100">
        <v>6397.5596212348719</v>
      </c>
      <c r="AZ65" s="100">
        <v>7.0523417358386755</v>
      </c>
      <c r="BA65" s="100">
        <v>7235.7026209704809</v>
      </c>
      <c r="BB65" s="100">
        <v>7.0988612204983341E-4</v>
      </c>
      <c r="BC65" s="100">
        <v>0.72834316122312903</v>
      </c>
      <c r="BD65" s="100">
        <v>6.896891124455693</v>
      </c>
      <c r="BE65" s="100">
        <v>7076.2102936915408</v>
      </c>
      <c r="BF65" s="100">
        <v>10.093549598795118</v>
      </c>
      <c r="BG65" s="100">
        <v>10355.981888363791</v>
      </c>
      <c r="BH65" s="100">
        <v>4.4068130348578056E-4</v>
      </c>
      <c r="BI65" s="100">
        <v>0.45213901737641088</v>
      </c>
      <c r="BJ65" s="100">
        <v>9.6374933832178939</v>
      </c>
      <c r="BK65" s="100">
        <v>9888.0682111815586</v>
      </c>
      <c r="BL65" s="100">
        <v>1.6695787805924998</v>
      </c>
      <c r="BM65" s="100">
        <v>1712.9878288879047</v>
      </c>
      <c r="BN65" s="100">
        <v>5.6175320812658853</v>
      </c>
      <c r="BO65" s="100">
        <v>5763.5879153787982</v>
      </c>
      <c r="BP65" s="100">
        <v>10</v>
      </c>
      <c r="BQ65" s="100">
        <v>10260</v>
      </c>
      <c r="BR65" s="100">
        <v>4.21778940330237</v>
      </c>
      <c r="BS65" s="100">
        <v>4327.4519277882318</v>
      </c>
      <c r="BT65" s="100">
        <v>7.1585988764281687</v>
      </c>
      <c r="BU65" s="100">
        <v>7344.7224472153011</v>
      </c>
      <c r="BV65" s="100">
        <v>1.7886173849291851</v>
      </c>
      <c r="BW65" s="100">
        <v>1835.121436937344</v>
      </c>
      <c r="BX65" s="100">
        <v>8.6615941015441891</v>
      </c>
      <c r="BY65" s="100">
        <v>8886.7955481843383</v>
      </c>
      <c r="BZ65" s="100">
        <v>8.2477394508203385</v>
      </c>
      <c r="CA65" s="100">
        <v>8462.1806765416677</v>
      </c>
      <c r="CB65" s="100">
        <v>6</v>
      </c>
      <c r="CC65" s="100">
        <v>6156</v>
      </c>
      <c r="CD65" s="100">
        <v>6.6250682875879221</v>
      </c>
      <c r="CE65" s="100">
        <v>6797.3200630652082</v>
      </c>
      <c r="CF65" s="100">
        <v>4.7751592793986993E-4</v>
      </c>
      <c r="CG65" s="100">
        <v>0.48993134206630656</v>
      </c>
      <c r="CH65" s="100">
        <v>8.1462182412264177</v>
      </c>
      <c r="CI65" s="100">
        <v>8358.0199154983038</v>
      </c>
      <c r="CJ65" s="100">
        <v>5.9314440075150987E-4</v>
      </c>
      <c r="CK65" s="100">
        <v>0.60856615517104917</v>
      </c>
      <c r="CL65" s="100">
        <v>10.00035402422132</v>
      </c>
      <c r="CM65" s="100">
        <v>10260.363228851074</v>
      </c>
      <c r="CN65" s="100">
        <v>8</v>
      </c>
      <c r="CO65" s="100">
        <v>8208</v>
      </c>
      <c r="CP65" s="100">
        <v>6.9301196696981702</v>
      </c>
      <c r="CQ65" s="100">
        <v>7110.3027811103229</v>
      </c>
      <c r="CR65" s="100">
        <v>5.2663284356637167E-4</v>
      </c>
      <c r="CS65" s="100">
        <v>0.5403252974990973</v>
      </c>
      <c r="CT65" s="100">
        <v>9.0345163681613769</v>
      </c>
      <c r="CU65" s="100">
        <v>9269.4137937335727</v>
      </c>
    </row>
    <row r="66" spans="2:99">
      <c r="C66" s="99" t="s">
        <v>232</v>
      </c>
      <c r="D66" s="100">
        <v>6.1736922508168384</v>
      </c>
      <c r="E66" s="100">
        <v>7349.1632553723639</v>
      </c>
      <c r="F66" s="100">
        <v>2.688149688098489</v>
      </c>
      <c r="G66" s="100">
        <v>3199.9733887124407</v>
      </c>
      <c r="H66" s="100">
        <v>6.8019777098953726</v>
      </c>
      <c r="I66" s="100">
        <v>8097.0742658594509</v>
      </c>
      <c r="J66" s="100">
        <v>6</v>
      </c>
      <c r="K66" s="100">
        <v>7142.4</v>
      </c>
      <c r="L66" s="100">
        <v>5.5588976720343259</v>
      </c>
      <c r="M66" s="100">
        <v>6617.3117887896606</v>
      </c>
      <c r="N66" s="100">
        <v>7</v>
      </c>
      <c r="O66" s="100">
        <v>8332.7999999999993</v>
      </c>
      <c r="P66" s="100">
        <v>9</v>
      </c>
      <c r="Q66" s="100">
        <v>10713.599999999999</v>
      </c>
      <c r="R66" s="100">
        <v>6.496299913590871</v>
      </c>
      <c r="S66" s="100">
        <v>7733.1954171385723</v>
      </c>
      <c r="T66" s="100">
        <v>4.8414246344912138E-4</v>
      </c>
      <c r="U66" s="100">
        <v>0.57632318848983399</v>
      </c>
      <c r="V66" s="100">
        <v>7.3344293904370064</v>
      </c>
      <c r="W66" s="100">
        <v>8730.9047463762108</v>
      </c>
      <c r="X66" s="100">
        <v>8</v>
      </c>
      <c r="Y66" s="100">
        <v>9523.1999999999989</v>
      </c>
      <c r="Z66" s="100">
        <v>6</v>
      </c>
      <c r="AA66" s="100">
        <v>7142.4</v>
      </c>
      <c r="AB66" s="100">
        <v>2.6526645062679952</v>
      </c>
      <c r="AC66" s="100">
        <v>3157.731828261421</v>
      </c>
      <c r="AD66" s="100">
        <v>5.195473320057836</v>
      </c>
      <c r="AE66" s="100">
        <v>6184.691440196847</v>
      </c>
      <c r="AF66" s="100">
        <v>2.3216808633790524</v>
      </c>
      <c r="AG66" s="100">
        <v>2763.7288997664236</v>
      </c>
      <c r="AH66" s="100">
        <v>9.7628434798592139</v>
      </c>
      <c r="AI66" s="100">
        <v>11621.688878424407</v>
      </c>
      <c r="AJ66" s="100">
        <v>8</v>
      </c>
      <c r="AK66" s="100">
        <v>9523.1999999999989</v>
      </c>
      <c r="AL66" s="100">
        <v>0.82867285983635897</v>
      </c>
      <c r="AM66" s="100">
        <v>986.45217234920165</v>
      </c>
      <c r="AN66" s="100">
        <v>8</v>
      </c>
      <c r="AO66" s="100">
        <v>9523.1999999999989</v>
      </c>
      <c r="AP66" s="100">
        <v>6</v>
      </c>
      <c r="AQ66" s="100">
        <v>7142.4</v>
      </c>
      <c r="AR66" s="100">
        <v>10</v>
      </c>
      <c r="AS66" s="100">
        <v>11903.999999999998</v>
      </c>
      <c r="AT66" s="100">
        <v>10.340175611887762</v>
      </c>
      <c r="AU66" s="100">
        <v>12308.945048391191</v>
      </c>
      <c r="AV66" s="100">
        <v>5.8923882277628978</v>
      </c>
      <c r="AW66" s="100">
        <v>7014.2989463289532</v>
      </c>
      <c r="AX66" s="100">
        <v>6.2354382273244369</v>
      </c>
      <c r="AY66" s="100">
        <v>7422.6656658070087</v>
      </c>
      <c r="AZ66" s="100">
        <v>7.8359352620429732</v>
      </c>
      <c r="BA66" s="100">
        <v>9327.8973359359534</v>
      </c>
      <c r="BB66" s="100">
        <v>7.0988612204983341E-4</v>
      </c>
      <c r="BC66" s="100">
        <v>0.8450484396881216</v>
      </c>
      <c r="BD66" s="100">
        <v>6.896891124455693</v>
      </c>
      <c r="BE66" s="100">
        <v>8210.0591945520555</v>
      </c>
      <c r="BF66" s="100">
        <v>9.1759541807228331</v>
      </c>
      <c r="BG66" s="100">
        <v>10923.055856732459</v>
      </c>
      <c r="BH66" s="100">
        <v>3.7772683155924051E-4</v>
      </c>
      <c r="BI66" s="100">
        <v>0.44964602028811984</v>
      </c>
      <c r="BJ66" s="100">
        <v>8.6374933832178939</v>
      </c>
      <c r="BK66" s="100">
        <v>10282.072123382581</v>
      </c>
      <c r="BL66" s="100">
        <v>1.5026209025332495</v>
      </c>
      <c r="BM66" s="100">
        <v>1788.7199223755802</v>
      </c>
      <c r="BN66" s="100">
        <v>6.6175320812658853</v>
      </c>
      <c r="BO66" s="100">
        <v>7877.5101895389089</v>
      </c>
      <c r="BP66" s="100">
        <v>9</v>
      </c>
      <c r="BQ66" s="100">
        <v>10713.599999999999</v>
      </c>
      <c r="BR66" s="100">
        <v>4.21778940330237</v>
      </c>
      <c r="BS66" s="100">
        <v>5020.8565056911402</v>
      </c>
      <c r="BT66" s="100">
        <v>6.4427389887853517</v>
      </c>
      <c r="BU66" s="100">
        <v>7669.4364922500818</v>
      </c>
      <c r="BV66" s="100">
        <v>1.7886173849291851</v>
      </c>
      <c r="BW66" s="100">
        <v>2129.1701350197018</v>
      </c>
      <c r="BX66" s="100">
        <v>8.6615941015441891</v>
      </c>
      <c r="BY66" s="100">
        <v>10310.761618478202</v>
      </c>
      <c r="BZ66" s="100">
        <v>7.4979449552912172</v>
      </c>
      <c r="CA66" s="100">
        <v>8925.5536747786646</v>
      </c>
      <c r="CB66" s="100">
        <v>6</v>
      </c>
      <c r="CC66" s="100">
        <v>7142.4</v>
      </c>
      <c r="CD66" s="100">
        <v>8.5179449411844708</v>
      </c>
      <c r="CE66" s="100">
        <v>10139.761657985993</v>
      </c>
      <c r="CF66" s="100">
        <v>5.4573248907413714E-4</v>
      </c>
      <c r="CG66" s="100">
        <v>0.64963995499385274</v>
      </c>
      <c r="CH66" s="100">
        <v>7.3246057429286093</v>
      </c>
      <c r="CI66" s="100">
        <v>8719.2106763822158</v>
      </c>
      <c r="CJ66" s="100">
        <v>5.9218594360739693E-4</v>
      </c>
      <c r="CK66" s="100">
        <v>0.70493814727024517</v>
      </c>
      <c r="CL66" s="100">
        <v>10.000303449332559</v>
      </c>
      <c r="CM66" s="100">
        <v>11904.361226085477</v>
      </c>
      <c r="CN66" s="100">
        <v>8</v>
      </c>
      <c r="CO66" s="100">
        <v>9523.1999999999989</v>
      </c>
      <c r="CP66" s="100">
        <v>6.9301196696981702</v>
      </c>
      <c r="CQ66" s="100">
        <v>8249.6144548087013</v>
      </c>
      <c r="CR66" s="100">
        <v>5.2663284356637167E-4</v>
      </c>
      <c r="CS66" s="100">
        <v>0.62690373698140878</v>
      </c>
      <c r="CT66" s="100">
        <v>8.028763640134482</v>
      </c>
      <c r="CU66" s="100">
        <v>9557.4402372160857</v>
      </c>
    </row>
    <row r="67" spans="2:99">
      <c r="C67" s="99" t="s">
        <v>233</v>
      </c>
      <c r="D67" s="100">
        <v>6.7526407072008885</v>
      </c>
      <c r="E67" s="100">
        <v>7584.5660423280378</v>
      </c>
      <c r="F67" s="100">
        <v>2.6980730843855705</v>
      </c>
      <c r="G67" s="100">
        <v>3030.4756883818727</v>
      </c>
      <c r="H67" s="100">
        <v>7.6683147582461437</v>
      </c>
      <c r="I67" s="100">
        <v>8613.0511364620688</v>
      </c>
      <c r="J67" s="100">
        <v>6</v>
      </c>
      <c r="K67" s="100">
        <v>6739.2000000000007</v>
      </c>
      <c r="L67" s="100">
        <v>5.5588976720343259</v>
      </c>
      <c r="M67" s="100">
        <v>6243.753865228955</v>
      </c>
      <c r="N67" s="100">
        <v>6</v>
      </c>
      <c r="O67" s="100">
        <v>6739.2000000000007</v>
      </c>
      <c r="P67" s="100">
        <v>8</v>
      </c>
      <c r="Q67" s="100">
        <v>8985.6</v>
      </c>
      <c r="R67" s="100">
        <v>7.3083374027897303</v>
      </c>
      <c r="S67" s="100">
        <v>8208.7245708134251</v>
      </c>
      <c r="T67" s="100">
        <v>4.8414246344912138E-4</v>
      </c>
      <c r="U67" s="100">
        <v>0.54378881494605313</v>
      </c>
      <c r="V67" s="100">
        <v>8.2426618437001427</v>
      </c>
      <c r="W67" s="100">
        <v>9258.1577828440004</v>
      </c>
      <c r="X67" s="100">
        <v>7</v>
      </c>
      <c r="Y67" s="100">
        <v>7862.4000000000005</v>
      </c>
      <c r="Z67" s="100">
        <v>6</v>
      </c>
      <c r="AA67" s="100">
        <v>6739.2000000000007</v>
      </c>
      <c r="AB67" s="100">
        <v>3.0316165785919944</v>
      </c>
      <c r="AC67" s="100">
        <v>3405.1117410745283</v>
      </c>
      <c r="AD67" s="100">
        <v>5.2709966319118688</v>
      </c>
      <c r="AE67" s="100">
        <v>5920.383416963411</v>
      </c>
      <c r="AF67" s="100">
        <v>2.0851039529014286</v>
      </c>
      <c r="AG67" s="100">
        <v>2341.9887598988848</v>
      </c>
      <c r="AH67" s="100">
        <v>9.7628434798592139</v>
      </c>
      <c r="AI67" s="100">
        <v>10965.62579657787</v>
      </c>
      <c r="AJ67" s="100">
        <v>9</v>
      </c>
      <c r="AK67" s="100">
        <v>10108.800000000001</v>
      </c>
      <c r="AL67" s="100">
        <v>0.82867285983635897</v>
      </c>
      <c r="AM67" s="100">
        <v>930.76535616819842</v>
      </c>
      <c r="AN67" s="100">
        <v>9</v>
      </c>
      <c r="AO67" s="100">
        <v>10108.800000000001</v>
      </c>
      <c r="AP67" s="100">
        <v>6</v>
      </c>
      <c r="AQ67" s="100">
        <v>6739.2000000000007</v>
      </c>
      <c r="AR67" s="100">
        <v>11</v>
      </c>
      <c r="AS67" s="100">
        <v>12355.2</v>
      </c>
      <c r="AT67" s="100">
        <v>10.340175611887762</v>
      </c>
      <c r="AU67" s="100">
        <v>11614.085247272335</v>
      </c>
      <c r="AV67" s="100">
        <v>6.6289367562332595</v>
      </c>
      <c r="AW67" s="100">
        <v>7445.6217646011974</v>
      </c>
      <c r="AX67" s="100">
        <v>6.2354382273244369</v>
      </c>
      <c r="AY67" s="100">
        <v>7003.6442169308075</v>
      </c>
      <c r="AZ67" s="100">
        <v>7.8359352620429732</v>
      </c>
      <c r="BA67" s="100">
        <v>8801.3224863266678</v>
      </c>
      <c r="BB67" s="100">
        <v>7.0988612204983341E-4</v>
      </c>
      <c r="BC67" s="100">
        <v>0.79734409228637293</v>
      </c>
      <c r="BD67" s="100">
        <v>6.896891124455693</v>
      </c>
      <c r="BE67" s="100">
        <v>7746.588110988635</v>
      </c>
      <c r="BF67" s="100">
        <v>10.093549598795118</v>
      </c>
      <c r="BG67" s="100">
        <v>11337.074909366676</v>
      </c>
      <c r="BH67" s="100">
        <v>3.7772683155924051E-4</v>
      </c>
      <c r="BI67" s="100">
        <v>0.42426277720733896</v>
      </c>
      <c r="BJ67" s="100">
        <v>8.7649920598614735</v>
      </c>
      <c r="BK67" s="100">
        <v>9844.8390816364081</v>
      </c>
      <c r="BL67" s="100">
        <v>1.8365366586517495</v>
      </c>
      <c r="BM67" s="100">
        <v>2062.7979749976453</v>
      </c>
      <c r="BN67" s="100">
        <v>5.6175320812658853</v>
      </c>
      <c r="BO67" s="100">
        <v>6309.6120336778431</v>
      </c>
      <c r="BP67" s="100">
        <v>10</v>
      </c>
      <c r="BQ67" s="100">
        <v>11232</v>
      </c>
      <c r="BR67" s="100">
        <v>4.21778940330237</v>
      </c>
      <c r="BS67" s="100">
        <v>4737.4210577892218</v>
      </c>
      <c r="BT67" s="100">
        <v>7.1585988764281687</v>
      </c>
      <c r="BU67" s="100">
        <v>8040.5382580041196</v>
      </c>
      <c r="BV67" s="100">
        <v>1.5835158925891282</v>
      </c>
      <c r="BW67" s="100">
        <v>1778.6050505561088</v>
      </c>
      <c r="BX67" s="100">
        <v>8.6615941015441891</v>
      </c>
      <c r="BY67" s="100">
        <v>9728.7024948544331</v>
      </c>
      <c r="BZ67" s="100">
        <v>8.2477394508203385</v>
      </c>
      <c r="CA67" s="100">
        <v>9263.860951161405</v>
      </c>
      <c r="CB67" s="100">
        <v>6</v>
      </c>
      <c r="CC67" s="100">
        <v>6739.2000000000007</v>
      </c>
      <c r="CD67" s="100">
        <v>6.6250682875879221</v>
      </c>
      <c r="CE67" s="100">
        <v>7441.2767006187541</v>
      </c>
      <c r="CF67" s="100">
        <v>6.139490502084043E-4</v>
      </c>
      <c r="CG67" s="100">
        <v>0.68958757319407971</v>
      </c>
      <c r="CH67" s="100">
        <v>7.3246057429286093</v>
      </c>
      <c r="CI67" s="100">
        <v>8226.9971704574145</v>
      </c>
      <c r="CJ67" s="100">
        <v>6.5798438178599639E-4</v>
      </c>
      <c r="CK67" s="100">
        <v>0.73904805762203118</v>
      </c>
      <c r="CL67" s="100">
        <v>9.0003034493325593</v>
      </c>
      <c r="CM67" s="100">
        <v>10109.140834290331</v>
      </c>
      <c r="CN67" s="100">
        <v>9</v>
      </c>
      <c r="CO67" s="100">
        <v>10108.800000000001</v>
      </c>
      <c r="CP67" s="100">
        <v>6.9301196696981702</v>
      </c>
      <c r="CQ67" s="100">
        <v>7783.9104130049855</v>
      </c>
      <c r="CR67" s="100">
        <v>5.2663284356637167E-4</v>
      </c>
      <c r="CS67" s="100">
        <v>0.59151400989374869</v>
      </c>
      <c r="CT67" s="100">
        <v>8.028763640134482</v>
      </c>
      <c r="CU67" s="100">
        <v>9017.9073205990499</v>
      </c>
    </row>
    <row r="68" spans="2:99">
      <c r="C68" s="99" t="s">
        <v>234</v>
      </c>
      <c r="D68" s="100">
        <v>6.8627910357540634</v>
      </c>
      <c r="E68" s="100">
        <v>7090.6356981410981</v>
      </c>
      <c r="F68" s="100">
        <v>2.688149688098489</v>
      </c>
      <c r="G68" s="100">
        <v>2777.396257743359</v>
      </c>
      <c r="H68" s="100">
        <v>6.6683147582461437</v>
      </c>
      <c r="I68" s="100">
        <v>6889.7028082199158</v>
      </c>
      <c r="J68" s="100">
        <v>6</v>
      </c>
      <c r="K68" s="100">
        <v>6199.2000000000007</v>
      </c>
      <c r="L68" s="100">
        <v>6.7942082658197309</v>
      </c>
      <c r="M68" s="100">
        <v>7019.7759802449464</v>
      </c>
      <c r="N68" s="100">
        <v>6</v>
      </c>
      <c r="O68" s="100">
        <v>6199.2000000000007</v>
      </c>
      <c r="P68" s="100">
        <v>8</v>
      </c>
      <c r="Q68" s="100">
        <v>8265.6</v>
      </c>
      <c r="R68" s="100">
        <v>6.496299913590871</v>
      </c>
      <c r="S68" s="100">
        <v>6711.9770707220878</v>
      </c>
      <c r="T68" s="100">
        <v>4.8057740927631671E-4</v>
      </c>
      <c r="U68" s="100">
        <v>0.49653257926429045</v>
      </c>
      <c r="V68" s="100">
        <v>8.2312335496448235</v>
      </c>
      <c r="W68" s="100">
        <v>8504.5105034930311</v>
      </c>
      <c r="X68" s="100">
        <v>7</v>
      </c>
      <c r="Y68" s="100">
        <v>7232.4000000000005</v>
      </c>
      <c r="Z68" s="100">
        <v>6</v>
      </c>
      <c r="AA68" s="100">
        <v>6199.2000000000007</v>
      </c>
      <c r="AB68" s="100">
        <v>2.6526645062679952</v>
      </c>
      <c r="AC68" s="100">
        <v>2740.732967876093</v>
      </c>
      <c r="AD68" s="100">
        <v>5.2709966319118688</v>
      </c>
      <c r="AE68" s="100">
        <v>5445.9937200913428</v>
      </c>
      <c r="AF68" s="100">
        <v>2.3216808633790524</v>
      </c>
      <c r="AG68" s="100">
        <v>2398.7606680432373</v>
      </c>
      <c r="AH68" s="100">
        <v>9.635702899882677</v>
      </c>
      <c r="AI68" s="100">
        <v>9955.6082361587814</v>
      </c>
      <c r="AJ68" s="100">
        <v>8</v>
      </c>
      <c r="AK68" s="100">
        <v>8265.6</v>
      </c>
      <c r="AL68" s="100">
        <v>0.91154014581999487</v>
      </c>
      <c r="AM68" s="100">
        <v>941.80327866121877</v>
      </c>
      <c r="AN68" s="100">
        <v>8</v>
      </c>
      <c r="AO68" s="100">
        <v>8265.6</v>
      </c>
      <c r="AP68" s="100">
        <v>6</v>
      </c>
      <c r="AQ68" s="100">
        <v>6199.2000000000007</v>
      </c>
      <c r="AR68" s="100">
        <v>11</v>
      </c>
      <c r="AS68" s="100">
        <v>11365.2</v>
      </c>
      <c r="AT68" s="100">
        <v>9.4001596471706925</v>
      </c>
      <c r="AU68" s="100">
        <v>9712.2449474567602</v>
      </c>
      <c r="AV68" s="100">
        <v>6.6289367562332595</v>
      </c>
      <c r="AW68" s="100">
        <v>6849.017456540204</v>
      </c>
      <c r="AX68" s="100">
        <v>7.1262151169422143</v>
      </c>
      <c r="AY68" s="100">
        <v>7362.805458824696</v>
      </c>
      <c r="AZ68" s="100">
        <v>7.8359352620429732</v>
      </c>
      <c r="BA68" s="100">
        <v>8096.0883127428006</v>
      </c>
      <c r="BB68" s="100">
        <v>7.8087473425481665E-4</v>
      </c>
      <c r="BC68" s="100">
        <v>0.80679977543207659</v>
      </c>
      <c r="BD68" s="100">
        <v>7.896891124455693</v>
      </c>
      <c r="BE68" s="100">
        <v>8159.0679097876227</v>
      </c>
      <c r="BF68" s="100">
        <v>10.093549598795118</v>
      </c>
      <c r="BG68" s="100">
        <v>10428.655445475117</v>
      </c>
      <c r="BH68" s="100">
        <v>4.5734320588262164E-4</v>
      </c>
      <c r="BI68" s="100">
        <v>0.47252700031792472</v>
      </c>
      <c r="BJ68" s="100">
        <v>8.6374933832178939</v>
      </c>
      <c r="BK68" s="100">
        <v>8924.2581635407278</v>
      </c>
      <c r="BL68" s="100">
        <v>1.528315788784592</v>
      </c>
      <c r="BM68" s="100">
        <v>1579.0558729722404</v>
      </c>
      <c r="BN68" s="100">
        <v>6.6175320812658853</v>
      </c>
      <c r="BO68" s="100">
        <v>6837.2341463639132</v>
      </c>
      <c r="BP68" s="100">
        <v>10</v>
      </c>
      <c r="BQ68" s="100">
        <v>10332</v>
      </c>
      <c r="BR68" s="100">
        <v>4.21778940330237</v>
      </c>
      <c r="BS68" s="100">
        <v>4357.8200114920091</v>
      </c>
      <c r="BT68" s="100">
        <v>6.4427389887853517</v>
      </c>
      <c r="BU68" s="100">
        <v>6656.6379232130257</v>
      </c>
      <c r="BV68" s="100">
        <v>2.0134262700970726</v>
      </c>
      <c r="BW68" s="100">
        <v>2080.2720222642956</v>
      </c>
      <c r="BX68" s="100">
        <v>8.5292752812353516</v>
      </c>
      <c r="BY68" s="100">
        <v>8812.447220572365</v>
      </c>
      <c r="BZ68" s="100">
        <v>8.2477394508203385</v>
      </c>
      <c r="CA68" s="100">
        <v>8521.5644005875747</v>
      </c>
      <c r="CB68" s="100">
        <v>6</v>
      </c>
      <c r="CC68" s="100">
        <v>6199.2000000000007</v>
      </c>
      <c r="CD68" s="100">
        <v>8.5179449411844708</v>
      </c>
      <c r="CE68" s="100">
        <v>8800.7407132317949</v>
      </c>
      <c r="CF68" s="100">
        <v>5.4573248907413714E-4</v>
      </c>
      <c r="CG68" s="100">
        <v>0.56385080771139851</v>
      </c>
      <c r="CH68" s="100">
        <v>7.3246057429286093</v>
      </c>
      <c r="CI68" s="100">
        <v>7567.7826535938393</v>
      </c>
      <c r="CJ68" s="100">
        <v>6.5798438178599639E-4</v>
      </c>
      <c r="CK68" s="100">
        <v>0.67982946326129146</v>
      </c>
      <c r="CL68" s="100">
        <v>9.0003540242213198</v>
      </c>
      <c r="CM68" s="100">
        <v>9299.1657778254685</v>
      </c>
      <c r="CN68" s="100">
        <v>9</v>
      </c>
      <c r="CO68" s="100">
        <v>9298.8000000000011</v>
      </c>
      <c r="CP68" s="100">
        <v>6.9301196696981702</v>
      </c>
      <c r="CQ68" s="100">
        <v>7160.1996427321501</v>
      </c>
      <c r="CR68" s="100">
        <v>5.9246194901216818E-4</v>
      </c>
      <c r="CS68" s="100">
        <v>0.61213168571937215</v>
      </c>
      <c r="CT68" s="100">
        <v>9.028763640134482</v>
      </c>
      <c r="CU68" s="100">
        <v>9328.5185929869476</v>
      </c>
    </row>
    <row r="69" spans="2:99">
      <c r="C69" s="99" t="s">
        <v>235</v>
      </c>
      <c r="D69" s="100">
        <v>7.5518898206912874</v>
      </c>
      <c r="E69" s="100">
        <v>5727.3532400122722</v>
      </c>
      <c r="F69" s="100">
        <v>2.688149688098489</v>
      </c>
      <c r="G69" s="100">
        <v>2038.6927234538939</v>
      </c>
      <c r="H69" s="100">
        <v>6.8019777098953726</v>
      </c>
      <c r="I69" s="100">
        <v>5158.6198951846509</v>
      </c>
      <c r="J69" s="100">
        <v>7</v>
      </c>
      <c r="K69" s="100">
        <v>5308.8</v>
      </c>
      <c r="L69" s="100">
        <v>6.1765529689270284</v>
      </c>
      <c r="M69" s="100">
        <v>4684.2977716342584</v>
      </c>
      <c r="N69" s="100">
        <v>7</v>
      </c>
      <c r="O69" s="100">
        <v>5308.8</v>
      </c>
      <c r="P69" s="100">
        <v>8</v>
      </c>
      <c r="Q69" s="100">
        <v>6067.2</v>
      </c>
      <c r="R69" s="100">
        <v>7.3083374027897303</v>
      </c>
      <c r="S69" s="100">
        <v>5542.6430862757315</v>
      </c>
      <c r="T69" s="100">
        <v>4.8057740927631671E-4</v>
      </c>
      <c r="U69" s="100">
        <v>0.36446990719515859</v>
      </c>
      <c r="V69" s="100">
        <v>7.3344293904370064</v>
      </c>
      <c r="W69" s="100">
        <v>5562.4312497074252</v>
      </c>
      <c r="X69" s="100">
        <v>7</v>
      </c>
      <c r="Y69" s="100">
        <v>5308.8</v>
      </c>
      <c r="Z69" s="100">
        <v>6</v>
      </c>
      <c r="AA69" s="100">
        <v>4550.3999999999996</v>
      </c>
      <c r="AB69" s="100">
        <v>2.6526645062679952</v>
      </c>
      <c r="AC69" s="100">
        <v>2011.7807615536476</v>
      </c>
      <c r="AD69" s="100">
        <v>4.7727789489216335</v>
      </c>
      <c r="AE69" s="100">
        <v>3619.6755548621668</v>
      </c>
      <c r="AF69" s="100">
        <v>2.0851039529014286</v>
      </c>
      <c r="AG69" s="100">
        <v>1581.3428378804433</v>
      </c>
      <c r="AH69" s="100">
        <v>10.762843479859214</v>
      </c>
      <c r="AI69" s="100">
        <v>8162.5404951252276</v>
      </c>
      <c r="AJ69" s="100">
        <v>9</v>
      </c>
      <c r="AK69" s="100">
        <v>6825.5999999999995</v>
      </c>
      <c r="AL69" s="100">
        <v>0.82867285983635897</v>
      </c>
      <c r="AM69" s="100">
        <v>628.46549689989467</v>
      </c>
      <c r="AN69" s="100">
        <v>9</v>
      </c>
      <c r="AO69" s="100">
        <v>6825.5999999999995</v>
      </c>
      <c r="AP69" s="100">
        <v>6</v>
      </c>
      <c r="AQ69" s="100">
        <v>4550.3999999999996</v>
      </c>
      <c r="AR69" s="100">
        <v>10</v>
      </c>
      <c r="AS69" s="100">
        <v>7584</v>
      </c>
      <c r="AT69" s="100">
        <v>9.4001596471706925</v>
      </c>
      <c r="AU69" s="100">
        <v>7129.0810764142534</v>
      </c>
      <c r="AV69" s="100">
        <v>5.8923882277628978</v>
      </c>
      <c r="AW69" s="100">
        <v>4468.7872319353819</v>
      </c>
      <c r="AX69" s="100">
        <v>7.1262151169422143</v>
      </c>
      <c r="AY69" s="100">
        <v>5404.5215446889752</v>
      </c>
      <c r="AZ69" s="100">
        <v>7.0523417358386755</v>
      </c>
      <c r="BA69" s="100">
        <v>5348.4959724600512</v>
      </c>
      <c r="BB69" s="100">
        <v>7.8087473425481665E-4</v>
      </c>
      <c r="BC69" s="100">
        <v>0.59221539845885296</v>
      </c>
      <c r="BD69" s="100">
        <v>8.0463729785316414</v>
      </c>
      <c r="BE69" s="100">
        <v>6102.3692669183965</v>
      </c>
      <c r="BF69" s="100">
        <v>11.011145016867399</v>
      </c>
      <c r="BG69" s="100">
        <v>8350.8523807922356</v>
      </c>
      <c r="BH69" s="100">
        <v>5.0363577541232072E-4</v>
      </c>
      <c r="BI69" s="100">
        <v>0.38195737207270403</v>
      </c>
      <c r="BJ69" s="100">
        <v>8.7649920598614735</v>
      </c>
      <c r="BK69" s="100">
        <v>6647.3699781989417</v>
      </c>
      <c r="BL69" s="100">
        <v>1.5026209025332495</v>
      </c>
      <c r="BM69" s="100">
        <v>1139.5876924812164</v>
      </c>
      <c r="BN69" s="100">
        <v>6.6175320812658853</v>
      </c>
      <c r="BO69" s="100">
        <v>5018.736330432047</v>
      </c>
      <c r="BP69" s="100">
        <v>11</v>
      </c>
      <c r="BQ69" s="100">
        <v>8342.4</v>
      </c>
      <c r="BR69" s="100">
        <v>4.7450130787151661</v>
      </c>
      <c r="BS69" s="100">
        <v>3598.6179188975821</v>
      </c>
      <c r="BT69" s="100">
        <v>5.7268791011425355</v>
      </c>
      <c r="BU69" s="100">
        <v>4343.2651103064991</v>
      </c>
      <c r="BV69" s="100">
        <v>1.7984710813431004</v>
      </c>
      <c r="BW69" s="100">
        <v>1363.9604680906073</v>
      </c>
      <c r="BX69" s="100">
        <v>8.6615941015441891</v>
      </c>
      <c r="BY69" s="100">
        <v>6568.952966611113</v>
      </c>
      <c r="BZ69" s="100">
        <v>8.2477394508203385</v>
      </c>
      <c r="CA69" s="100">
        <v>6255.0855995021448</v>
      </c>
      <c r="CB69" s="100">
        <v>6</v>
      </c>
      <c r="CC69" s="100">
        <v>4550.3999999999996</v>
      </c>
      <c r="CD69" s="100">
        <v>7.5715066143861964</v>
      </c>
      <c r="CE69" s="100">
        <v>5742.2306163504909</v>
      </c>
      <c r="CF69" s="100">
        <v>5.4573248907413714E-4</v>
      </c>
      <c r="CG69" s="100">
        <v>0.41388351971382559</v>
      </c>
      <c r="CH69" s="100">
        <v>8.1462182412264177</v>
      </c>
      <c r="CI69" s="100">
        <v>6178.0919141461154</v>
      </c>
      <c r="CJ69" s="100">
        <v>5.9314440075150987E-4</v>
      </c>
      <c r="CK69" s="100">
        <v>0.44984071352994509</v>
      </c>
      <c r="CL69" s="100">
        <v>10.00035402422132</v>
      </c>
      <c r="CM69" s="100">
        <v>7584.2684919694484</v>
      </c>
      <c r="CN69" s="100">
        <v>9</v>
      </c>
      <c r="CO69" s="100">
        <v>6825.5999999999995</v>
      </c>
      <c r="CP69" s="100">
        <v>6.9301196696981702</v>
      </c>
      <c r="CQ69" s="100">
        <v>5255.802757499092</v>
      </c>
      <c r="CR69" s="100">
        <v>5.9246194901216818E-4</v>
      </c>
      <c r="CS69" s="100">
        <v>0.44932314213082836</v>
      </c>
      <c r="CT69" s="100">
        <v>10.028763640134482</v>
      </c>
      <c r="CU69" s="100">
        <v>7605.8143446779904</v>
      </c>
    </row>
    <row r="70" spans="2:99">
      <c r="C70" s="99" t="s">
        <v>236</v>
      </c>
      <c r="D70" s="100">
        <v>7.5518898206912874</v>
      </c>
      <c r="E70" s="100">
        <v>4041.7714320339765</v>
      </c>
      <c r="F70" s="100">
        <v>2.6980730843855705</v>
      </c>
      <c r="G70" s="100">
        <v>1444.0087147631571</v>
      </c>
      <c r="H70" s="100">
        <v>6.8019777098953726</v>
      </c>
      <c r="I70" s="100">
        <v>3640.4184703360029</v>
      </c>
      <c r="J70" s="100">
        <v>6</v>
      </c>
      <c r="K70" s="100">
        <v>3211.2</v>
      </c>
      <c r="L70" s="100">
        <v>6.7942082658197309</v>
      </c>
      <c r="M70" s="100">
        <v>3636.2602638667195</v>
      </c>
      <c r="N70" s="100">
        <v>7</v>
      </c>
      <c r="O70" s="100">
        <v>3746.3999999999996</v>
      </c>
      <c r="P70" s="100">
        <v>9</v>
      </c>
      <c r="Q70" s="100">
        <v>4816.7999999999993</v>
      </c>
      <c r="R70" s="100">
        <v>7.3083374027897303</v>
      </c>
      <c r="S70" s="100">
        <v>3911.4221779730633</v>
      </c>
      <c r="T70" s="100">
        <v>5.5592023859196325E-4</v>
      </c>
      <c r="U70" s="100">
        <v>0.29752851169441868</v>
      </c>
      <c r="V70" s="100">
        <v>7.3344293904370064</v>
      </c>
      <c r="W70" s="100">
        <v>3925.3866097618852</v>
      </c>
      <c r="X70" s="100">
        <v>9</v>
      </c>
      <c r="Y70" s="100">
        <v>4816.7999999999993</v>
      </c>
      <c r="Z70" s="100">
        <v>6</v>
      </c>
      <c r="AA70" s="100">
        <v>3211.2</v>
      </c>
      <c r="AB70" s="100">
        <v>3.0316165785919944</v>
      </c>
      <c r="AC70" s="100">
        <v>1622.5211928624351</v>
      </c>
      <c r="AD70" s="100">
        <v>5.7639049367394595</v>
      </c>
      <c r="AE70" s="100">
        <v>3084.8419221429585</v>
      </c>
      <c r="AF70" s="100">
        <v>2.3216808633790524</v>
      </c>
      <c r="AG70" s="100">
        <v>1242.5635980804686</v>
      </c>
      <c r="AH70" s="100">
        <v>9.635702899882677</v>
      </c>
      <c r="AI70" s="100">
        <v>5157.0281920172083</v>
      </c>
      <c r="AJ70" s="100">
        <v>8</v>
      </c>
      <c r="AK70" s="100">
        <v>4281.5999999999995</v>
      </c>
      <c r="AL70" s="100">
        <v>0.82867285983635897</v>
      </c>
      <c r="AM70" s="100">
        <v>443.50571458441925</v>
      </c>
      <c r="AN70" s="100">
        <v>9</v>
      </c>
      <c r="AO70" s="100">
        <v>4816.7999999999993</v>
      </c>
      <c r="AP70" s="100">
        <v>6</v>
      </c>
      <c r="AQ70" s="100">
        <v>3211.2</v>
      </c>
      <c r="AR70" s="100">
        <v>10</v>
      </c>
      <c r="AS70" s="100">
        <v>5351.9999999999991</v>
      </c>
      <c r="AT70" s="100">
        <v>10.340175611887762</v>
      </c>
      <c r="AU70" s="100">
        <v>5534.0619874823296</v>
      </c>
      <c r="AV70" s="100">
        <v>6.6289367562332595</v>
      </c>
      <c r="AW70" s="100">
        <v>3547.8069519360402</v>
      </c>
      <c r="AX70" s="100">
        <v>7.1262151169422143</v>
      </c>
      <c r="AY70" s="100">
        <v>3813.9503305874728</v>
      </c>
      <c r="AZ70" s="100">
        <v>7.8359352620429732</v>
      </c>
      <c r="BA70" s="100">
        <v>4193.7925522453988</v>
      </c>
      <c r="BB70" s="100">
        <v>7.0988612204983341E-4</v>
      </c>
      <c r="BC70" s="100">
        <v>0.37993105252107079</v>
      </c>
      <c r="BD70" s="100">
        <v>8.0463729785316414</v>
      </c>
      <c r="BE70" s="100">
        <v>4306.4188181101335</v>
      </c>
      <c r="BF70" s="100">
        <v>10.093549598795118</v>
      </c>
      <c r="BG70" s="100">
        <v>5402.0677452751461</v>
      </c>
      <c r="BH70" s="100">
        <v>5.0363577541232072E-4</v>
      </c>
      <c r="BI70" s="100">
        <v>0.26954586700067401</v>
      </c>
      <c r="BJ70" s="100">
        <v>9.7649920598614735</v>
      </c>
      <c r="BK70" s="100">
        <v>5226.22375043786</v>
      </c>
      <c r="BL70" s="100">
        <v>1.6695787805924998</v>
      </c>
      <c r="BM70" s="100">
        <v>893.5585633731057</v>
      </c>
      <c r="BN70" s="100">
        <v>6.7410384975190629</v>
      </c>
      <c r="BO70" s="100">
        <v>3607.803803872202</v>
      </c>
      <c r="BP70" s="100">
        <v>11</v>
      </c>
      <c r="BQ70" s="100">
        <v>5887.1999999999989</v>
      </c>
      <c r="BR70" s="100">
        <v>4.7450130787151661</v>
      </c>
      <c r="BS70" s="100">
        <v>2539.5309997283566</v>
      </c>
      <c r="BT70" s="100">
        <v>6.4427389887853517</v>
      </c>
      <c r="BU70" s="100">
        <v>3448.1539067979197</v>
      </c>
      <c r="BV70" s="100">
        <v>1.7984710813431004</v>
      </c>
      <c r="BW70" s="100">
        <v>962.5417227348272</v>
      </c>
      <c r="BX70" s="100">
        <v>8.6615941015441891</v>
      </c>
      <c r="BY70" s="100">
        <v>4635.6851631464497</v>
      </c>
      <c r="BZ70" s="100">
        <v>8.2477394508203385</v>
      </c>
      <c r="CA70" s="100">
        <v>4414.190154079045</v>
      </c>
      <c r="CB70" s="100">
        <v>6</v>
      </c>
      <c r="CC70" s="100">
        <v>3211.2</v>
      </c>
      <c r="CD70" s="100">
        <v>8.5179449411844708</v>
      </c>
      <c r="CE70" s="100">
        <v>4558.8041325219283</v>
      </c>
      <c r="CF70" s="100">
        <v>5.4573248907413714E-4</v>
      </c>
      <c r="CG70" s="100">
        <v>0.29207602815247818</v>
      </c>
      <c r="CH70" s="100">
        <v>7.4498900356862974</v>
      </c>
      <c r="CI70" s="100">
        <v>3987.1811470993057</v>
      </c>
      <c r="CJ70" s="100">
        <v>5.9410285789562292E-4</v>
      </c>
      <c r="CK70" s="100">
        <v>0.31796384954573736</v>
      </c>
      <c r="CL70" s="100">
        <v>10.00035402422132</v>
      </c>
      <c r="CM70" s="100">
        <v>5352.1894737632492</v>
      </c>
      <c r="CN70" s="100">
        <v>9</v>
      </c>
      <c r="CO70" s="100">
        <v>4816.7999999999993</v>
      </c>
      <c r="CP70" s="100">
        <v>6.9301196696981702</v>
      </c>
      <c r="CQ70" s="100">
        <v>3709.0000472224601</v>
      </c>
      <c r="CR70" s="100">
        <v>5.9246194901216818E-4</v>
      </c>
      <c r="CS70" s="100">
        <v>0.31708563511131238</v>
      </c>
      <c r="CT70" s="100">
        <v>9.0345163681613769</v>
      </c>
      <c r="CU70" s="100">
        <v>4835.2731602399681</v>
      </c>
    </row>
    <row r="71" spans="2:99">
      <c r="B71" s="99" t="s">
        <v>130</v>
      </c>
      <c r="C71" s="99" t="s">
        <v>237</v>
      </c>
      <c r="D71" s="100">
        <v>4.1684759955041901</v>
      </c>
      <c r="E71" s="100">
        <v>2351.0204614643631</v>
      </c>
      <c r="F71" s="100">
        <v>5</v>
      </c>
      <c r="G71" s="100">
        <v>2820</v>
      </c>
      <c r="H71" s="100">
        <v>7.279685605966363</v>
      </c>
      <c r="I71" s="100">
        <v>4105.7426817650285</v>
      </c>
      <c r="J71" s="100">
        <v>6</v>
      </c>
      <c r="K71" s="100">
        <v>3384</v>
      </c>
      <c r="L71" s="100">
        <v>0.35539788962309105</v>
      </c>
      <c r="M71" s="100">
        <v>200.44440974742335</v>
      </c>
      <c r="N71" s="100">
        <v>7.0128977192031945</v>
      </c>
      <c r="O71" s="100">
        <v>3955.2743136306017</v>
      </c>
      <c r="P71" s="100">
        <v>5.4038068426970298</v>
      </c>
      <c r="Q71" s="100">
        <v>3047.7470592811246</v>
      </c>
      <c r="R71" s="100">
        <v>7.1411293198341834</v>
      </c>
      <c r="S71" s="100">
        <v>4027.5969363864792</v>
      </c>
      <c r="T71" s="100">
        <v>8</v>
      </c>
      <c r="U71" s="100">
        <v>4512</v>
      </c>
      <c r="V71" s="100">
        <v>7.3997919309159776</v>
      </c>
      <c r="W71" s="100">
        <v>4173.4826490366113</v>
      </c>
      <c r="X71" s="100">
        <v>8</v>
      </c>
      <c r="Y71" s="100">
        <v>4512</v>
      </c>
      <c r="Z71" s="100">
        <v>6</v>
      </c>
      <c r="AA71" s="100">
        <v>3384</v>
      </c>
      <c r="AB71" s="100">
        <v>5</v>
      </c>
      <c r="AC71" s="100">
        <v>2820</v>
      </c>
      <c r="AD71" s="100">
        <v>5</v>
      </c>
      <c r="AE71" s="100">
        <v>2820</v>
      </c>
      <c r="AF71" s="100">
        <v>5</v>
      </c>
      <c r="AG71" s="100">
        <v>2820</v>
      </c>
      <c r="AH71" s="100">
        <v>8</v>
      </c>
      <c r="AI71" s="100">
        <v>4512</v>
      </c>
      <c r="AJ71" s="100">
        <v>5.1621418316770677</v>
      </c>
      <c r="AK71" s="100">
        <v>2911.4479930658663</v>
      </c>
      <c r="AL71" s="100">
        <v>6</v>
      </c>
      <c r="AM71" s="100">
        <v>3384</v>
      </c>
      <c r="AN71" s="100">
        <v>6</v>
      </c>
      <c r="AO71" s="100">
        <v>3384</v>
      </c>
      <c r="AP71" s="100">
        <v>4</v>
      </c>
      <c r="AQ71" s="100">
        <v>2256</v>
      </c>
      <c r="AR71" s="100">
        <v>7.504836672058496</v>
      </c>
      <c r="AS71" s="100">
        <v>4232.7278830409914</v>
      </c>
      <c r="AT71" s="100">
        <v>5.0290181530014166</v>
      </c>
      <c r="AU71" s="100">
        <v>2836.3662382927992</v>
      </c>
      <c r="AV71" s="100">
        <v>8</v>
      </c>
      <c r="AW71" s="100">
        <v>4512</v>
      </c>
      <c r="AX71" s="100">
        <v>7.9991113463778927</v>
      </c>
      <c r="AY71" s="100">
        <v>4511.4987993571312</v>
      </c>
      <c r="AZ71" s="100">
        <v>3.3315467568523345</v>
      </c>
      <c r="BA71" s="100">
        <v>1878.9923708647166</v>
      </c>
      <c r="BB71" s="100">
        <v>4.411964537701115</v>
      </c>
      <c r="BC71" s="100">
        <v>2488.3479992634288</v>
      </c>
      <c r="BD71" s="100">
        <v>9.4782776853470985</v>
      </c>
      <c r="BE71" s="100">
        <v>5345.7486145357634</v>
      </c>
      <c r="BF71" s="100">
        <v>9</v>
      </c>
      <c r="BG71" s="100">
        <v>5076</v>
      </c>
      <c r="BH71" s="100">
        <v>5.2645579178943374</v>
      </c>
      <c r="BI71" s="100">
        <v>2969.2106656924061</v>
      </c>
      <c r="BJ71" s="100">
        <v>5</v>
      </c>
      <c r="BK71" s="100">
        <v>2820</v>
      </c>
      <c r="BL71" s="100">
        <v>2.8504315561146165</v>
      </c>
      <c r="BM71" s="100">
        <v>1607.6433976486437</v>
      </c>
      <c r="BN71" s="100">
        <v>9</v>
      </c>
      <c r="BO71" s="100">
        <v>5076</v>
      </c>
      <c r="BP71" s="100">
        <v>7</v>
      </c>
      <c r="BQ71" s="100">
        <v>3948</v>
      </c>
      <c r="BR71" s="100">
        <v>7.2559984376901054</v>
      </c>
      <c r="BS71" s="100">
        <v>4092.3831188572194</v>
      </c>
      <c r="BT71" s="100">
        <v>1.7481708693186209</v>
      </c>
      <c r="BU71" s="100">
        <v>985.96837029570213</v>
      </c>
      <c r="BV71" s="100">
        <v>5.4366208163835408</v>
      </c>
      <c r="BW71" s="100">
        <v>3066.2541404403169</v>
      </c>
      <c r="BX71" s="100">
        <v>9.0533761156985388</v>
      </c>
      <c r="BY71" s="100">
        <v>5106.1041292539758</v>
      </c>
      <c r="BZ71" s="100">
        <v>6</v>
      </c>
      <c r="CA71" s="100">
        <v>3384</v>
      </c>
      <c r="CB71" s="100">
        <v>7.1271735153824265</v>
      </c>
      <c r="CC71" s="100">
        <v>4019.7258626756884</v>
      </c>
      <c r="CD71" s="100">
        <v>6.8370147771175702</v>
      </c>
      <c r="CE71" s="100">
        <v>3856.0763342943096</v>
      </c>
      <c r="CF71" s="100">
        <v>9</v>
      </c>
      <c r="CG71" s="100">
        <v>5076</v>
      </c>
      <c r="CH71" s="100">
        <v>4.3255443136687486</v>
      </c>
      <c r="CI71" s="100">
        <v>2439.6069929091741</v>
      </c>
      <c r="CJ71" s="100">
        <v>9</v>
      </c>
      <c r="CK71" s="100">
        <v>5076</v>
      </c>
      <c r="CL71" s="100">
        <v>4.4692890571598047</v>
      </c>
      <c r="CM71" s="100">
        <v>2520.6790282381298</v>
      </c>
      <c r="CN71" s="100">
        <v>3.4780012229366966</v>
      </c>
      <c r="CO71" s="100">
        <v>1961.592689736297</v>
      </c>
      <c r="CP71" s="100">
        <v>7.3210163968729631</v>
      </c>
      <c r="CQ71" s="100">
        <v>4129.0532478363511</v>
      </c>
      <c r="CR71" s="100">
        <v>7.6814299209231134</v>
      </c>
      <c r="CS71" s="100">
        <v>4332.3264754006359</v>
      </c>
      <c r="CT71" s="100">
        <v>8.4535239371622346</v>
      </c>
      <c r="CU71" s="100">
        <v>4767.7875005595006</v>
      </c>
    </row>
    <row r="72" spans="2:99">
      <c r="C72" s="99" t="s">
        <v>238</v>
      </c>
      <c r="D72" s="100">
        <v>4.6895354949422137</v>
      </c>
      <c r="E72" s="100">
        <v>348.90144082370068</v>
      </c>
      <c r="F72" s="100">
        <v>5</v>
      </c>
      <c r="G72" s="100">
        <v>371.99999999999994</v>
      </c>
      <c r="H72" s="100">
        <v>7.2330713383053027</v>
      </c>
      <c r="I72" s="100">
        <v>538.14050756991446</v>
      </c>
      <c r="J72" s="100">
        <v>7</v>
      </c>
      <c r="K72" s="100">
        <v>520.79999999999995</v>
      </c>
      <c r="L72" s="100">
        <v>0.40616901671210398</v>
      </c>
      <c r="M72" s="100">
        <v>30.218974843380533</v>
      </c>
      <c r="N72" s="100">
        <v>7.8241618854183139</v>
      </c>
      <c r="O72" s="100">
        <v>582.11764427512253</v>
      </c>
      <c r="P72" s="100">
        <v>5.3230454741576239</v>
      </c>
      <c r="Q72" s="100">
        <v>396.03458327732716</v>
      </c>
      <c r="R72" s="100">
        <v>7.1411293198341834</v>
      </c>
      <c r="S72" s="100">
        <v>531.30002139566318</v>
      </c>
      <c r="T72" s="100">
        <v>8</v>
      </c>
      <c r="U72" s="100">
        <v>595.19999999999993</v>
      </c>
      <c r="V72" s="100">
        <v>8.3247659222804753</v>
      </c>
      <c r="W72" s="100">
        <v>619.36258461766727</v>
      </c>
      <c r="X72" s="100">
        <v>10</v>
      </c>
      <c r="Y72" s="100">
        <v>743.99999999999989</v>
      </c>
      <c r="Z72" s="100">
        <v>6</v>
      </c>
      <c r="AA72" s="100">
        <v>446.4</v>
      </c>
      <c r="AB72" s="100">
        <v>5</v>
      </c>
      <c r="AC72" s="100">
        <v>371.99999999999994</v>
      </c>
      <c r="AD72" s="100">
        <v>5</v>
      </c>
      <c r="AE72" s="100">
        <v>371.99999999999994</v>
      </c>
      <c r="AF72" s="100">
        <v>5</v>
      </c>
      <c r="AG72" s="100">
        <v>371.99999999999994</v>
      </c>
      <c r="AH72" s="100">
        <v>8</v>
      </c>
      <c r="AI72" s="100">
        <v>595.19999999999993</v>
      </c>
      <c r="AJ72" s="100">
        <v>5.1621418316770677</v>
      </c>
      <c r="AK72" s="100">
        <v>384.0633522767738</v>
      </c>
      <c r="AL72" s="100">
        <v>7</v>
      </c>
      <c r="AM72" s="100">
        <v>520.79999999999995</v>
      </c>
      <c r="AN72" s="100">
        <v>7</v>
      </c>
      <c r="AO72" s="100">
        <v>520.79999999999995</v>
      </c>
      <c r="AP72" s="100">
        <v>5</v>
      </c>
      <c r="AQ72" s="100">
        <v>371.99999999999994</v>
      </c>
      <c r="AR72" s="100">
        <v>7.504836672058496</v>
      </c>
      <c r="AS72" s="100">
        <v>558.35984840115202</v>
      </c>
      <c r="AT72" s="100">
        <v>5.0290181530014166</v>
      </c>
      <c r="AU72" s="100">
        <v>374.15895058330534</v>
      </c>
      <c r="AV72" s="100">
        <v>7</v>
      </c>
      <c r="AW72" s="100">
        <v>520.79999999999995</v>
      </c>
      <c r="AX72" s="100">
        <v>7.9991113463778927</v>
      </c>
      <c r="AY72" s="100">
        <v>595.1338841705151</v>
      </c>
      <c r="AZ72" s="100">
        <v>3.9549326679358128</v>
      </c>
      <c r="BA72" s="100">
        <v>294.24699049442444</v>
      </c>
      <c r="BB72" s="100">
        <v>5.5492860502681536</v>
      </c>
      <c r="BC72" s="100">
        <v>412.86688213995058</v>
      </c>
      <c r="BD72" s="100">
        <v>8.4782776853470985</v>
      </c>
      <c r="BE72" s="100">
        <v>630.78385978982408</v>
      </c>
      <c r="BF72" s="100">
        <v>9</v>
      </c>
      <c r="BG72" s="100">
        <v>669.59999999999991</v>
      </c>
      <c r="BH72" s="100">
        <v>7.0194105571924501</v>
      </c>
      <c r="BI72" s="100">
        <v>522.2441454551182</v>
      </c>
      <c r="BJ72" s="100">
        <v>6</v>
      </c>
      <c r="BK72" s="100">
        <v>446.4</v>
      </c>
      <c r="BL72" s="100">
        <v>3.3255034821337195</v>
      </c>
      <c r="BM72" s="100">
        <v>247.41745907074869</v>
      </c>
      <c r="BN72" s="100">
        <v>9</v>
      </c>
      <c r="BO72" s="100">
        <v>669.59999999999991</v>
      </c>
      <c r="BP72" s="100">
        <v>7</v>
      </c>
      <c r="BQ72" s="100">
        <v>520.79999999999995</v>
      </c>
      <c r="BR72" s="100">
        <v>7.2559984376901054</v>
      </c>
      <c r="BS72" s="100">
        <v>539.84628376414378</v>
      </c>
      <c r="BT72" s="100">
        <v>1.7481708693186209</v>
      </c>
      <c r="BU72" s="100">
        <v>130.06391267730538</v>
      </c>
      <c r="BV72" s="100">
        <v>6.4366208163835408</v>
      </c>
      <c r="BW72" s="100">
        <v>478.88458873893541</v>
      </c>
      <c r="BX72" s="100">
        <v>11.053376115698539</v>
      </c>
      <c r="BY72" s="100">
        <v>822.37118300797124</v>
      </c>
      <c r="BZ72" s="100">
        <v>6</v>
      </c>
      <c r="CA72" s="100">
        <v>446.4</v>
      </c>
      <c r="CB72" s="100">
        <v>8.0180702048052286</v>
      </c>
      <c r="CC72" s="100">
        <v>596.54442323750891</v>
      </c>
      <c r="CD72" s="100">
        <v>6.8370147771175702</v>
      </c>
      <c r="CE72" s="100">
        <v>508.67389941754715</v>
      </c>
      <c r="CF72" s="100">
        <v>9</v>
      </c>
      <c r="CG72" s="100">
        <v>669.59999999999991</v>
      </c>
      <c r="CH72" s="100">
        <v>4.3255443136687486</v>
      </c>
      <c r="CI72" s="100">
        <v>321.82049693695484</v>
      </c>
      <c r="CJ72" s="100">
        <v>9</v>
      </c>
      <c r="CK72" s="100">
        <v>669.59999999999991</v>
      </c>
      <c r="CL72" s="100">
        <v>4.4692890571598047</v>
      </c>
      <c r="CM72" s="100">
        <v>332.51510585268943</v>
      </c>
      <c r="CN72" s="100">
        <v>3.8758686029064267</v>
      </c>
      <c r="CO72" s="100">
        <v>288.36462405623809</v>
      </c>
      <c r="CP72" s="100">
        <v>8.13044536182238</v>
      </c>
      <c r="CQ72" s="100">
        <v>604.90513491958495</v>
      </c>
      <c r="CR72" s="100">
        <v>6.8279377074872123</v>
      </c>
      <c r="CS72" s="100">
        <v>507.99856543704851</v>
      </c>
      <c r="CT72" s="100">
        <v>9.4535239371622346</v>
      </c>
      <c r="CU72" s="100">
        <v>703.34218092487015</v>
      </c>
    </row>
    <row r="73" spans="2:99">
      <c r="C73" s="99" t="s">
        <v>239</v>
      </c>
      <c r="D73" s="100">
        <v>4.1684759955041901</v>
      </c>
      <c r="E73" s="100">
        <v>2331.011776685943</v>
      </c>
      <c r="F73" s="100">
        <v>5</v>
      </c>
      <c r="G73" s="100">
        <v>2795.9999999999995</v>
      </c>
      <c r="H73" s="100">
        <v>6.2330713383053027</v>
      </c>
      <c r="I73" s="100">
        <v>3485.5334923803248</v>
      </c>
      <c r="J73" s="100">
        <v>6</v>
      </c>
      <c r="K73" s="100">
        <v>3355.2</v>
      </c>
      <c r="L73" s="100">
        <v>0.35539788962309105</v>
      </c>
      <c r="M73" s="100">
        <v>198.7384998772325</v>
      </c>
      <c r="N73" s="100">
        <v>7.8241618854183139</v>
      </c>
      <c r="O73" s="100">
        <v>4375.2713263259202</v>
      </c>
      <c r="P73" s="100">
        <v>5.3230454741576239</v>
      </c>
      <c r="Q73" s="100">
        <v>2976.6470291489427</v>
      </c>
      <c r="R73" s="100">
        <v>6.1411293198341834</v>
      </c>
      <c r="S73" s="100">
        <v>3434.1195156512749</v>
      </c>
      <c r="T73" s="100">
        <v>8</v>
      </c>
      <c r="U73" s="100">
        <v>4473.5999999999995</v>
      </c>
      <c r="V73" s="100">
        <v>7.3997919309159776</v>
      </c>
      <c r="W73" s="100">
        <v>4137.9636477682143</v>
      </c>
      <c r="X73" s="100">
        <v>9</v>
      </c>
      <c r="Y73" s="100">
        <v>5032.7999999999993</v>
      </c>
      <c r="Z73" s="100">
        <v>5</v>
      </c>
      <c r="AA73" s="100">
        <v>2795.9999999999995</v>
      </c>
      <c r="AB73" s="100">
        <v>5</v>
      </c>
      <c r="AC73" s="100">
        <v>2795.9999999999995</v>
      </c>
      <c r="AD73" s="100">
        <v>5</v>
      </c>
      <c r="AE73" s="100">
        <v>2795.9999999999995</v>
      </c>
      <c r="AF73" s="100">
        <v>4</v>
      </c>
      <c r="AG73" s="100">
        <v>2236.7999999999997</v>
      </c>
      <c r="AH73" s="100">
        <v>9</v>
      </c>
      <c r="AI73" s="100">
        <v>5032.7999999999993</v>
      </c>
      <c r="AJ73" s="100">
        <v>4.3017848597308896</v>
      </c>
      <c r="AK73" s="100">
        <v>2405.558093561513</v>
      </c>
      <c r="AL73" s="100">
        <v>6</v>
      </c>
      <c r="AM73" s="100">
        <v>3355.2</v>
      </c>
      <c r="AN73" s="100">
        <v>6</v>
      </c>
      <c r="AO73" s="100">
        <v>3355.2</v>
      </c>
      <c r="AP73" s="100">
        <v>5</v>
      </c>
      <c r="AQ73" s="100">
        <v>2795.9999999999995</v>
      </c>
      <c r="AR73" s="100">
        <v>7.504836672058496</v>
      </c>
      <c r="AS73" s="100">
        <v>4196.7046670151103</v>
      </c>
      <c r="AT73" s="100">
        <v>5.0290181530014166</v>
      </c>
      <c r="AU73" s="100">
        <v>2812.2269511583918</v>
      </c>
      <c r="AV73" s="100">
        <v>7</v>
      </c>
      <c r="AW73" s="100">
        <v>3914.3999999999996</v>
      </c>
      <c r="AX73" s="100">
        <v>6.9992224280806559</v>
      </c>
      <c r="AY73" s="100">
        <v>3913.9651817827021</v>
      </c>
      <c r="AZ73" s="100">
        <v>3.5384893233292707</v>
      </c>
      <c r="BA73" s="100">
        <v>1978.723229605728</v>
      </c>
      <c r="BB73" s="100">
        <v>5.411964537701115</v>
      </c>
      <c r="BC73" s="100">
        <v>3026.370569482463</v>
      </c>
      <c r="BD73" s="100">
        <v>8.3826221482776795</v>
      </c>
      <c r="BE73" s="100">
        <v>4687.5623053168774</v>
      </c>
      <c r="BF73" s="100">
        <v>9</v>
      </c>
      <c r="BG73" s="100">
        <v>5032.7999999999993</v>
      </c>
      <c r="BH73" s="100">
        <v>6.1419842375433928</v>
      </c>
      <c r="BI73" s="100">
        <v>3434.5975856342648</v>
      </c>
      <c r="BJ73" s="100">
        <v>6</v>
      </c>
      <c r="BK73" s="100">
        <v>3355.2</v>
      </c>
      <c r="BL73" s="100">
        <v>2.8504315561146165</v>
      </c>
      <c r="BM73" s="100">
        <v>1593.9613261792933</v>
      </c>
      <c r="BN73" s="100">
        <v>9</v>
      </c>
      <c r="BO73" s="100">
        <v>5032.7999999999993</v>
      </c>
      <c r="BP73" s="100">
        <v>6</v>
      </c>
      <c r="BQ73" s="100">
        <v>3355.2</v>
      </c>
      <c r="BR73" s="100">
        <v>7.2559984376901054</v>
      </c>
      <c r="BS73" s="100">
        <v>4057.5543263563063</v>
      </c>
      <c r="BT73" s="100">
        <v>1.5299114492422472</v>
      </c>
      <c r="BU73" s="100">
        <v>855.52648241626457</v>
      </c>
      <c r="BV73" s="100">
        <v>5.5821610885113877</v>
      </c>
      <c r="BW73" s="100">
        <v>3121.5444806955675</v>
      </c>
      <c r="BX73" s="100">
        <v>9.0533761156985388</v>
      </c>
      <c r="BY73" s="100">
        <v>5062.6479238986221</v>
      </c>
      <c r="BZ73" s="100">
        <v>6</v>
      </c>
      <c r="CA73" s="100">
        <v>3355.2</v>
      </c>
      <c r="CB73" s="100">
        <v>7.1271735153824265</v>
      </c>
      <c r="CC73" s="100">
        <v>3985.5154298018524</v>
      </c>
      <c r="CD73" s="100">
        <v>7.8137311738486517</v>
      </c>
      <c r="CE73" s="100">
        <v>4369.4384724161655</v>
      </c>
      <c r="CF73" s="100">
        <v>9</v>
      </c>
      <c r="CG73" s="100">
        <v>5032.7999999999993</v>
      </c>
      <c r="CH73" s="100">
        <v>4.3255443136687486</v>
      </c>
      <c r="CI73" s="100">
        <v>2418.844380203564</v>
      </c>
      <c r="CJ73" s="100">
        <v>9</v>
      </c>
      <c r="CK73" s="100">
        <v>5032.7999999999993</v>
      </c>
      <c r="CL73" s="100">
        <v>5.1077589224683475</v>
      </c>
      <c r="CM73" s="100">
        <v>2856.2587894442995</v>
      </c>
      <c r="CN73" s="100">
        <v>3.2723908293549462</v>
      </c>
      <c r="CO73" s="100">
        <v>1829.9209517752856</v>
      </c>
      <c r="CP73" s="100">
        <v>8.13044536182238</v>
      </c>
      <c r="CQ73" s="100">
        <v>4546.5450463310744</v>
      </c>
      <c r="CR73" s="100">
        <v>7.6814299209231134</v>
      </c>
      <c r="CS73" s="100">
        <v>4295.4556117802049</v>
      </c>
      <c r="CT73" s="100">
        <v>9.4535239371622346</v>
      </c>
      <c r="CU73" s="100">
        <v>5286.4105856611213</v>
      </c>
    </row>
    <row r="74" spans="2:99">
      <c r="C74" s="99" t="s">
        <v>240</v>
      </c>
      <c r="D74" s="100">
        <v>4.1684759955041901</v>
      </c>
      <c r="E74" s="100">
        <v>1680.7295213872894</v>
      </c>
      <c r="F74" s="100">
        <v>5</v>
      </c>
      <c r="G74" s="100">
        <v>2016</v>
      </c>
      <c r="H74" s="100">
        <v>7.279685605966363</v>
      </c>
      <c r="I74" s="100">
        <v>2935.1692363256375</v>
      </c>
      <c r="J74" s="100">
        <v>6</v>
      </c>
      <c r="K74" s="100">
        <v>2419.1999999999998</v>
      </c>
      <c r="L74" s="100">
        <v>0.40616901671210398</v>
      </c>
      <c r="M74" s="100">
        <v>163.76734753832031</v>
      </c>
      <c r="N74" s="100">
        <v>7.0128977192031945</v>
      </c>
      <c r="O74" s="100">
        <v>2827.600360382728</v>
      </c>
      <c r="P74" s="100">
        <v>6.3230454741576239</v>
      </c>
      <c r="Q74" s="100">
        <v>2549.4519351803538</v>
      </c>
      <c r="R74" s="100">
        <v>7.1411293198341834</v>
      </c>
      <c r="S74" s="100">
        <v>2879.3033417571428</v>
      </c>
      <c r="T74" s="100">
        <v>9</v>
      </c>
      <c r="U74" s="100">
        <v>3628.7999999999997</v>
      </c>
      <c r="V74" s="100">
        <v>7.3997919309159776</v>
      </c>
      <c r="W74" s="100">
        <v>2983.5961065453221</v>
      </c>
      <c r="X74" s="100">
        <v>8</v>
      </c>
      <c r="Y74" s="100">
        <v>3225.6</v>
      </c>
      <c r="Z74" s="100">
        <v>5</v>
      </c>
      <c r="AA74" s="100">
        <v>2016</v>
      </c>
      <c r="AB74" s="100">
        <v>5</v>
      </c>
      <c r="AC74" s="100">
        <v>2016</v>
      </c>
      <c r="AD74" s="100">
        <v>5</v>
      </c>
      <c r="AE74" s="100">
        <v>2016</v>
      </c>
      <c r="AF74" s="100">
        <v>5</v>
      </c>
      <c r="AG74" s="100">
        <v>2016</v>
      </c>
      <c r="AH74" s="100">
        <v>8</v>
      </c>
      <c r="AI74" s="100">
        <v>3225.6</v>
      </c>
      <c r="AJ74" s="100">
        <v>4.3017848597308896</v>
      </c>
      <c r="AK74" s="100">
        <v>1734.4796554434947</v>
      </c>
      <c r="AL74" s="100">
        <v>6</v>
      </c>
      <c r="AM74" s="100">
        <v>2419.1999999999998</v>
      </c>
      <c r="AN74" s="100">
        <v>6</v>
      </c>
      <c r="AO74" s="100">
        <v>2419.1999999999998</v>
      </c>
      <c r="AP74" s="100">
        <v>5</v>
      </c>
      <c r="AQ74" s="100">
        <v>2016</v>
      </c>
      <c r="AR74" s="100">
        <v>7.504836672058496</v>
      </c>
      <c r="AS74" s="100">
        <v>3025.9501461739856</v>
      </c>
      <c r="AT74" s="100">
        <v>5.0290181530014166</v>
      </c>
      <c r="AU74" s="100">
        <v>2027.7001192901712</v>
      </c>
      <c r="AV74" s="100">
        <v>7</v>
      </c>
      <c r="AW74" s="100">
        <v>2822.4</v>
      </c>
      <c r="AX74" s="100">
        <v>8.9990002646751304</v>
      </c>
      <c r="AY74" s="100">
        <v>3628.3969067170124</v>
      </c>
      <c r="AZ74" s="100">
        <v>3.5177950666815776</v>
      </c>
      <c r="BA74" s="100">
        <v>1418.3749708860121</v>
      </c>
      <c r="BB74" s="100">
        <v>5.411964537701115</v>
      </c>
      <c r="BC74" s="100">
        <v>2182.1041016010895</v>
      </c>
      <c r="BD74" s="100">
        <v>10.478277685347098</v>
      </c>
      <c r="BE74" s="100">
        <v>4224.84156273195</v>
      </c>
      <c r="BF74" s="100">
        <v>8</v>
      </c>
      <c r="BG74" s="100">
        <v>3225.6</v>
      </c>
      <c r="BH74" s="100">
        <v>7.0194105571924501</v>
      </c>
      <c r="BI74" s="100">
        <v>2830.2263366599959</v>
      </c>
      <c r="BJ74" s="100">
        <v>6</v>
      </c>
      <c r="BK74" s="100">
        <v>2419.1999999999998</v>
      </c>
      <c r="BL74" s="100">
        <v>2.8504315561146165</v>
      </c>
      <c r="BM74" s="100">
        <v>1149.2940034254134</v>
      </c>
      <c r="BN74" s="100">
        <v>10</v>
      </c>
      <c r="BO74" s="100">
        <v>4032</v>
      </c>
      <c r="BP74" s="100">
        <v>7</v>
      </c>
      <c r="BQ74" s="100">
        <v>2822.4</v>
      </c>
      <c r="BR74" s="100">
        <v>7.2559984376901054</v>
      </c>
      <c r="BS74" s="100">
        <v>2925.6185700766505</v>
      </c>
      <c r="BT74" s="100">
        <v>1.5078759563638469</v>
      </c>
      <c r="BU74" s="100">
        <v>607.97558560590301</v>
      </c>
      <c r="BV74" s="100">
        <v>6.4366208163835408</v>
      </c>
      <c r="BW74" s="100">
        <v>2595.2455131658435</v>
      </c>
      <c r="BX74" s="100">
        <v>10.053376115698539</v>
      </c>
      <c r="BY74" s="100">
        <v>4053.5212498496508</v>
      </c>
      <c r="BZ74" s="100">
        <v>6</v>
      </c>
      <c r="CA74" s="100">
        <v>2419.1999999999998</v>
      </c>
      <c r="CB74" s="100">
        <v>7.1271735153824265</v>
      </c>
      <c r="CC74" s="100">
        <v>2873.6763614021943</v>
      </c>
      <c r="CD74" s="100">
        <v>7.8137311738486517</v>
      </c>
      <c r="CE74" s="100">
        <v>3150.4964092957762</v>
      </c>
      <c r="CF74" s="100">
        <v>9</v>
      </c>
      <c r="CG74" s="100">
        <v>3628.7999999999997</v>
      </c>
      <c r="CH74" s="100">
        <v>4.3255443136687486</v>
      </c>
      <c r="CI74" s="100">
        <v>1744.0594672712393</v>
      </c>
      <c r="CJ74" s="100">
        <v>8</v>
      </c>
      <c r="CK74" s="100">
        <v>3225.6</v>
      </c>
      <c r="CL74" s="100">
        <v>4.4692890571598047</v>
      </c>
      <c r="CM74" s="100">
        <v>1802.0173478468332</v>
      </c>
      <c r="CN74" s="100">
        <v>3.5122696218669884</v>
      </c>
      <c r="CO74" s="100">
        <v>1416.1471115367697</v>
      </c>
      <c r="CP74" s="100">
        <v>8.1868176736408884</v>
      </c>
      <c r="CQ74" s="100">
        <v>3300.924886012006</v>
      </c>
      <c r="CR74" s="100">
        <v>6.8279377074872123</v>
      </c>
      <c r="CS74" s="100">
        <v>2753.024483658844</v>
      </c>
      <c r="CT74" s="100">
        <v>8.4535239371622346</v>
      </c>
      <c r="CU74" s="100">
        <v>3408.460851463813</v>
      </c>
    </row>
    <row r="75" spans="2:99">
      <c r="C75" s="99" t="s">
        <v>241</v>
      </c>
      <c r="D75" s="100">
        <v>4.1684759955041901</v>
      </c>
      <c r="E75" s="100">
        <v>2681.163760308295</v>
      </c>
      <c r="F75" s="100">
        <v>5</v>
      </c>
      <c r="G75" s="100">
        <v>3215.9999999999995</v>
      </c>
      <c r="H75" s="100">
        <v>6.279685605966363</v>
      </c>
      <c r="I75" s="100">
        <v>4039.0937817575641</v>
      </c>
      <c r="J75" s="100">
        <v>7</v>
      </c>
      <c r="K75" s="100">
        <v>4502.3999999999996</v>
      </c>
      <c r="L75" s="100">
        <v>0.40616901671210398</v>
      </c>
      <c r="M75" s="100">
        <v>261.24791154922525</v>
      </c>
      <c r="N75" s="100">
        <v>7.8241618854183139</v>
      </c>
      <c r="O75" s="100">
        <v>5032.5009247010594</v>
      </c>
      <c r="P75" s="100">
        <v>5.3230454741576239</v>
      </c>
      <c r="Q75" s="100">
        <v>3423.7828489781832</v>
      </c>
      <c r="R75" s="100">
        <v>7.1411293198341834</v>
      </c>
      <c r="S75" s="100">
        <v>4593.1743785173467</v>
      </c>
      <c r="T75" s="100">
        <v>8</v>
      </c>
      <c r="U75" s="100">
        <v>5145.5999999999995</v>
      </c>
      <c r="V75" s="100">
        <v>8.3247659222804753</v>
      </c>
      <c r="W75" s="100">
        <v>5354.4894412108015</v>
      </c>
      <c r="X75" s="100">
        <v>8</v>
      </c>
      <c r="Y75" s="100">
        <v>5145.5999999999995</v>
      </c>
      <c r="Z75" s="100">
        <v>6</v>
      </c>
      <c r="AA75" s="100">
        <v>3859.2</v>
      </c>
      <c r="AB75" s="100">
        <v>5</v>
      </c>
      <c r="AC75" s="100">
        <v>3215.9999999999995</v>
      </c>
      <c r="AD75" s="100">
        <v>5</v>
      </c>
      <c r="AE75" s="100">
        <v>3215.9999999999995</v>
      </c>
      <c r="AF75" s="100">
        <v>5</v>
      </c>
      <c r="AG75" s="100">
        <v>3215.9999999999995</v>
      </c>
      <c r="AH75" s="100">
        <v>9</v>
      </c>
      <c r="AI75" s="100">
        <v>5788.7999999999993</v>
      </c>
      <c r="AJ75" s="100">
        <v>4.3017848597308896</v>
      </c>
      <c r="AK75" s="100">
        <v>2766.9080217789078</v>
      </c>
      <c r="AL75" s="100">
        <v>6</v>
      </c>
      <c r="AM75" s="100">
        <v>3859.2</v>
      </c>
      <c r="AN75" s="100">
        <v>6</v>
      </c>
      <c r="AO75" s="100">
        <v>3859.2</v>
      </c>
      <c r="AP75" s="100">
        <v>5</v>
      </c>
      <c r="AQ75" s="100">
        <v>3215.9999999999995</v>
      </c>
      <c r="AR75" s="100">
        <v>6.5667320880511832</v>
      </c>
      <c r="AS75" s="100">
        <v>4223.7220790345209</v>
      </c>
      <c r="AT75" s="100">
        <v>5.0290181530014166</v>
      </c>
      <c r="AU75" s="100">
        <v>3234.664476010511</v>
      </c>
      <c r="AV75" s="100">
        <v>7</v>
      </c>
      <c r="AW75" s="100">
        <v>4502.3999999999996</v>
      </c>
      <c r="AX75" s="100">
        <v>7.9991113463778927</v>
      </c>
      <c r="AY75" s="100">
        <v>5145.0284179902601</v>
      </c>
      <c r="AZ75" s="100">
        <v>3.5177950666815776</v>
      </c>
      <c r="BA75" s="100">
        <v>2262.6457868895905</v>
      </c>
      <c r="BB75" s="100">
        <v>4.411964537701115</v>
      </c>
      <c r="BC75" s="100">
        <v>2837.7755906493567</v>
      </c>
      <c r="BD75" s="100">
        <v>9.4782776853470985</v>
      </c>
      <c r="BE75" s="100">
        <v>6096.4282072152528</v>
      </c>
      <c r="BF75" s="100">
        <v>9</v>
      </c>
      <c r="BG75" s="100">
        <v>5788.7999999999993</v>
      </c>
      <c r="BH75" s="100">
        <v>5.2645579178943374</v>
      </c>
      <c r="BI75" s="100">
        <v>3386.1636527896376</v>
      </c>
      <c r="BJ75" s="100">
        <v>6</v>
      </c>
      <c r="BK75" s="100">
        <v>3859.2</v>
      </c>
      <c r="BL75" s="100">
        <v>2.8504315561146165</v>
      </c>
      <c r="BM75" s="100">
        <v>1833.3975768929211</v>
      </c>
      <c r="BN75" s="100">
        <v>9</v>
      </c>
      <c r="BO75" s="100">
        <v>5788.7999999999993</v>
      </c>
      <c r="BP75" s="100">
        <v>7</v>
      </c>
      <c r="BQ75" s="100">
        <v>4502.3999999999996</v>
      </c>
      <c r="BR75" s="100">
        <v>7.2559984376901054</v>
      </c>
      <c r="BS75" s="100">
        <v>4667.0581951222757</v>
      </c>
      <c r="BT75" s="100">
        <v>1.7481708693186209</v>
      </c>
      <c r="BU75" s="100">
        <v>1124.4235031457367</v>
      </c>
      <c r="BV75" s="100">
        <v>5.4366208163835408</v>
      </c>
      <c r="BW75" s="100">
        <v>3496.8345090978933</v>
      </c>
      <c r="BX75" s="100">
        <v>9.0533761156985388</v>
      </c>
      <c r="BY75" s="100">
        <v>5823.1315176172993</v>
      </c>
      <c r="BZ75" s="100">
        <v>6</v>
      </c>
      <c r="CA75" s="100">
        <v>3859.2</v>
      </c>
      <c r="CB75" s="100">
        <v>7.1271735153824265</v>
      </c>
      <c r="CC75" s="100">
        <v>4584.1980050939765</v>
      </c>
      <c r="CD75" s="100">
        <v>7.8137311738486517</v>
      </c>
      <c r="CE75" s="100">
        <v>5025.7918910194521</v>
      </c>
      <c r="CF75" s="100">
        <v>10</v>
      </c>
      <c r="CG75" s="100">
        <v>6431.9999999999991</v>
      </c>
      <c r="CH75" s="100">
        <v>4.3255443136687486</v>
      </c>
      <c r="CI75" s="100">
        <v>2782.1901025517386</v>
      </c>
      <c r="CJ75" s="100">
        <v>8</v>
      </c>
      <c r="CK75" s="100">
        <v>5145.5999999999995</v>
      </c>
      <c r="CL75" s="100">
        <v>4.4692890571598047</v>
      </c>
      <c r="CM75" s="100">
        <v>2874.646721565186</v>
      </c>
      <c r="CN75" s="100">
        <v>3.6359898103943848</v>
      </c>
      <c r="CO75" s="100">
        <v>2338.6686460456681</v>
      </c>
      <c r="CP75" s="100">
        <v>6.4552151201050387</v>
      </c>
      <c r="CQ75" s="100">
        <v>4151.9943652515603</v>
      </c>
      <c r="CR75" s="100">
        <v>7.6814299209231134</v>
      </c>
      <c r="CS75" s="100">
        <v>4940.6957251377462</v>
      </c>
      <c r="CT75" s="100">
        <v>8.4535239371622346</v>
      </c>
      <c r="CU75" s="100">
        <v>5437.3065963827485</v>
      </c>
    </row>
    <row r="76" spans="2:99">
      <c r="C76" s="99" t="s">
        <v>242</v>
      </c>
      <c r="D76" s="100">
        <v>4.1684759955041901</v>
      </c>
      <c r="E76" s="100">
        <v>3246.4091052986632</v>
      </c>
      <c r="F76" s="100">
        <v>5</v>
      </c>
      <c r="G76" s="100">
        <v>3894</v>
      </c>
      <c r="H76" s="100">
        <v>6.279685605966363</v>
      </c>
      <c r="I76" s="100">
        <v>4890.6191499266033</v>
      </c>
      <c r="J76" s="100">
        <v>6</v>
      </c>
      <c r="K76" s="100">
        <v>4672.7999999999993</v>
      </c>
      <c r="L76" s="100">
        <v>0.35539788962309105</v>
      </c>
      <c r="M76" s="100">
        <v>276.78387643846327</v>
      </c>
      <c r="N76" s="100">
        <v>7.0128977192031945</v>
      </c>
      <c r="O76" s="100">
        <v>5461.6447437154475</v>
      </c>
      <c r="P76" s="100">
        <v>5.3230454741576239</v>
      </c>
      <c r="Q76" s="100">
        <v>4145.5878152739569</v>
      </c>
      <c r="R76" s="100">
        <v>7.1411293198341834</v>
      </c>
      <c r="S76" s="100">
        <v>5561.5115142868617</v>
      </c>
      <c r="T76" s="100">
        <v>8</v>
      </c>
      <c r="U76" s="100">
        <v>6230.4</v>
      </c>
      <c r="V76" s="100">
        <v>6.47481793955148</v>
      </c>
      <c r="W76" s="100">
        <v>5042.5882113226926</v>
      </c>
      <c r="X76" s="100">
        <v>8</v>
      </c>
      <c r="Y76" s="100">
        <v>6230.4</v>
      </c>
      <c r="Z76" s="100">
        <v>5</v>
      </c>
      <c r="AA76" s="100">
        <v>3894</v>
      </c>
      <c r="AB76" s="100">
        <v>5</v>
      </c>
      <c r="AC76" s="100">
        <v>3894</v>
      </c>
      <c r="AD76" s="100">
        <v>4</v>
      </c>
      <c r="AE76" s="100">
        <v>3115.2</v>
      </c>
      <c r="AF76" s="100">
        <v>4</v>
      </c>
      <c r="AG76" s="100">
        <v>3115.2</v>
      </c>
      <c r="AH76" s="100">
        <v>9</v>
      </c>
      <c r="AI76" s="100">
        <v>7009.2</v>
      </c>
      <c r="AJ76" s="100">
        <v>4.3017848597308896</v>
      </c>
      <c r="AK76" s="100">
        <v>3350.2300487584166</v>
      </c>
      <c r="AL76" s="100">
        <v>6</v>
      </c>
      <c r="AM76" s="100">
        <v>4672.7999999999993</v>
      </c>
      <c r="AN76" s="100">
        <v>6</v>
      </c>
      <c r="AO76" s="100">
        <v>4672.7999999999993</v>
      </c>
      <c r="AP76" s="100">
        <v>4</v>
      </c>
      <c r="AQ76" s="100">
        <v>3115.2</v>
      </c>
      <c r="AR76" s="100">
        <v>6.5667320880511832</v>
      </c>
      <c r="AS76" s="100">
        <v>5114.1709501742616</v>
      </c>
      <c r="AT76" s="100">
        <v>5.0290181530014166</v>
      </c>
      <c r="AU76" s="100">
        <v>3916.5993375575031</v>
      </c>
      <c r="AV76" s="100">
        <v>7</v>
      </c>
      <c r="AW76" s="100">
        <v>5451.5999999999995</v>
      </c>
      <c r="AX76" s="100">
        <v>6.9992224280806559</v>
      </c>
      <c r="AY76" s="100">
        <v>5450.9944269892148</v>
      </c>
      <c r="AZ76" s="100">
        <v>3.5177950666815776</v>
      </c>
      <c r="BA76" s="100">
        <v>2739.6587979316123</v>
      </c>
      <c r="BB76" s="100">
        <v>4.411964537701115</v>
      </c>
      <c r="BC76" s="100">
        <v>3436.0379819616282</v>
      </c>
      <c r="BD76" s="100">
        <v>8.4782776853470985</v>
      </c>
      <c r="BE76" s="100">
        <v>6602.8826613483197</v>
      </c>
      <c r="BF76" s="100">
        <v>8</v>
      </c>
      <c r="BG76" s="100">
        <v>6230.4</v>
      </c>
      <c r="BH76" s="100">
        <v>6.1419842375433928</v>
      </c>
      <c r="BI76" s="100">
        <v>4783.3773241987938</v>
      </c>
      <c r="BJ76" s="100">
        <v>6</v>
      </c>
      <c r="BK76" s="100">
        <v>4672.7999999999993</v>
      </c>
      <c r="BL76" s="100">
        <v>3.3255034821337195</v>
      </c>
      <c r="BM76" s="100">
        <v>2589.9021118857404</v>
      </c>
      <c r="BN76" s="100">
        <v>10</v>
      </c>
      <c r="BO76" s="100">
        <v>7788</v>
      </c>
      <c r="BP76" s="100">
        <v>7</v>
      </c>
      <c r="BQ76" s="100">
        <v>5451.5999999999995</v>
      </c>
      <c r="BR76" s="100">
        <v>6.3489986329788426</v>
      </c>
      <c r="BS76" s="100">
        <v>4944.6001353639222</v>
      </c>
      <c r="BT76" s="100">
        <v>1.5299114492422472</v>
      </c>
      <c r="BU76" s="100">
        <v>1191.495036669862</v>
      </c>
      <c r="BV76" s="100">
        <v>5.4366208163835408</v>
      </c>
      <c r="BW76" s="100">
        <v>4234.0402917995016</v>
      </c>
      <c r="BX76" s="100">
        <v>9.0711681542647185</v>
      </c>
      <c r="BY76" s="100">
        <v>7064.6257585413623</v>
      </c>
      <c r="BZ76" s="100">
        <v>6</v>
      </c>
      <c r="CA76" s="100">
        <v>4672.7999999999993</v>
      </c>
      <c r="CB76" s="100">
        <v>7.1271735153824265</v>
      </c>
      <c r="CC76" s="100">
        <v>5550.6427337798332</v>
      </c>
      <c r="CD76" s="100">
        <v>7.8137311738486517</v>
      </c>
      <c r="CE76" s="100">
        <v>6085.3338381933299</v>
      </c>
      <c r="CF76" s="100">
        <v>10</v>
      </c>
      <c r="CG76" s="100">
        <v>7788</v>
      </c>
      <c r="CH76" s="100">
        <v>4.3255443136687486</v>
      </c>
      <c r="CI76" s="100">
        <v>3368.7339114852211</v>
      </c>
      <c r="CJ76" s="100">
        <v>8</v>
      </c>
      <c r="CK76" s="100">
        <v>6230.4</v>
      </c>
      <c r="CL76" s="100">
        <v>4.4692890571598047</v>
      </c>
      <c r="CM76" s="100">
        <v>3480.6823177160559</v>
      </c>
      <c r="CN76" s="100">
        <v>3.5122696218669884</v>
      </c>
      <c r="CO76" s="100">
        <v>2735.3555815100103</v>
      </c>
      <c r="CP76" s="100">
        <v>8.13044536182238</v>
      </c>
      <c r="CQ76" s="100">
        <v>6331.9908477872696</v>
      </c>
      <c r="CR76" s="100">
        <v>7.6814299209231134</v>
      </c>
      <c r="CS76" s="100">
        <v>5982.2976224149206</v>
      </c>
      <c r="CT76" s="100">
        <v>8.5442287245946815</v>
      </c>
      <c r="CU76" s="100">
        <v>6654.2453307143378</v>
      </c>
    </row>
    <row r="77" spans="2:99">
      <c r="C77" s="99" t="s">
        <v>243</v>
      </c>
      <c r="D77" s="100">
        <v>4.1684759955041901</v>
      </c>
      <c r="E77" s="100">
        <v>1160.5037171483664</v>
      </c>
      <c r="F77" s="100">
        <v>5</v>
      </c>
      <c r="G77" s="100">
        <v>1392</v>
      </c>
      <c r="H77" s="100">
        <v>7.2330713383053027</v>
      </c>
      <c r="I77" s="100">
        <v>2013.6870605841962</v>
      </c>
      <c r="J77" s="100">
        <v>6</v>
      </c>
      <c r="K77" s="100">
        <v>1670.3999999999999</v>
      </c>
      <c r="L77" s="100">
        <v>0.40616901671210398</v>
      </c>
      <c r="M77" s="100">
        <v>113.07745425264974</v>
      </c>
      <c r="N77" s="100">
        <v>7.0128977192031945</v>
      </c>
      <c r="O77" s="100">
        <v>1952.3907250261691</v>
      </c>
      <c r="P77" s="100">
        <v>5.3230454741576239</v>
      </c>
      <c r="Q77" s="100">
        <v>1481.9358600054823</v>
      </c>
      <c r="R77" s="100">
        <v>6.1411293198341834</v>
      </c>
      <c r="S77" s="100">
        <v>1709.6904026418365</v>
      </c>
      <c r="T77" s="100">
        <v>8</v>
      </c>
      <c r="U77" s="100">
        <v>2227.1999999999998</v>
      </c>
      <c r="V77" s="100">
        <v>6.47481793955148</v>
      </c>
      <c r="W77" s="100">
        <v>1802.5893143711319</v>
      </c>
      <c r="X77" s="100">
        <v>9</v>
      </c>
      <c r="Y77" s="100">
        <v>2505.6</v>
      </c>
      <c r="Z77" s="100">
        <v>6</v>
      </c>
      <c r="AA77" s="100">
        <v>1670.3999999999999</v>
      </c>
      <c r="AB77" s="100">
        <v>5</v>
      </c>
      <c r="AC77" s="100">
        <v>1392</v>
      </c>
      <c r="AD77" s="100">
        <v>5</v>
      </c>
      <c r="AE77" s="100">
        <v>1392</v>
      </c>
      <c r="AF77" s="100">
        <v>5</v>
      </c>
      <c r="AG77" s="100">
        <v>1392</v>
      </c>
      <c r="AH77" s="100">
        <v>10</v>
      </c>
      <c r="AI77" s="100">
        <v>2784</v>
      </c>
      <c r="AJ77" s="100">
        <v>5.1621418316770677</v>
      </c>
      <c r="AK77" s="100">
        <v>1437.1402859388954</v>
      </c>
      <c r="AL77" s="100">
        <v>7</v>
      </c>
      <c r="AM77" s="100">
        <v>1948.7999999999997</v>
      </c>
      <c r="AN77" s="100">
        <v>7</v>
      </c>
      <c r="AO77" s="100">
        <v>1948.7999999999997</v>
      </c>
      <c r="AP77" s="100">
        <v>5</v>
      </c>
      <c r="AQ77" s="100">
        <v>1392</v>
      </c>
      <c r="AR77" s="100">
        <v>7.504836672058496</v>
      </c>
      <c r="AS77" s="100">
        <v>2089.3465295010851</v>
      </c>
      <c r="AT77" s="100">
        <v>5.0290181530014166</v>
      </c>
      <c r="AU77" s="100">
        <v>1400.0786537955942</v>
      </c>
      <c r="AV77" s="100">
        <v>7</v>
      </c>
      <c r="AW77" s="100">
        <v>1948.7999999999997</v>
      </c>
      <c r="AX77" s="100">
        <v>7.9991113463778927</v>
      </c>
      <c r="AY77" s="100">
        <v>2226.952598831605</v>
      </c>
      <c r="AZ77" s="100">
        <v>3.5384893233292707</v>
      </c>
      <c r="BA77" s="100">
        <v>985.11542761486885</v>
      </c>
      <c r="BB77" s="100">
        <v>5.411964537701115</v>
      </c>
      <c r="BC77" s="100">
        <v>1506.6909272959904</v>
      </c>
      <c r="BD77" s="100">
        <v>9.3826221482776795</v>
      </c>
      <c r="BE77" s="100">
        <v>2612.1220060805058</v>
      </c>
      <c r="BF77" s="100">
        <v>8</v>
      </c>
      <c r="BG77" s="100">
        <v>2227.1999999999998</v>
      </c>
      <c r="BH77" s="100">
        <v>6.1419842375433928</v>
      </c>
      <c r="BI77" s="100">
        <v>1709.9284117320803</v>
      </c>
      <c r="BJ77" s="100">
        <v>6</v>
      </c>
      <c r="BK77" s="100">
        <v>1670.3999999999999</v>
      </c>
      <c r="BL77" s="100">
        <v>2.8504315561146165</v>
      </c>
      <c r="BM77" s="100">
        <v>793.56014522230919</v>
      </c>
      <c r="BN77" s="100">
        <v>10</v>
      </c>
      <c r="BO77" s="100">
        <v>2784</v>
      </c>
      <c r="BP77" s="100">
        <v>8</v>
      </c>
      <c r="BQ77" s="100">
        <v>2227.1999999999998</v>
      </c>
      <c r="BR77" s="100">
        <v>7.2559984376901054</v>
      </c>
      <c r="BS77" s="100">
        <v>2020.0699650529252</v>
      </c>
      <c r="BT77" s="100">
        <v>1.7702063621970214</v>
      </c>
      <c r="BU77" s="100">
        <v>492.82545123565075</v>
      </c>
      <c r="BV77" s="100">
        <v>6.4366208163835408</v>
      </c>
      <c r="BW77" s="100">
        <v>1791.9552352811777</v>
      </c>
      <c r="BX77" s="100">
        <v>9.0533761156985388</v>
      </c>
      <c r="BY77" s="100">
        <v>2520.4599106104729</v>
      </c>
      <c r="BZ77" s="100">
        <v>6</v>
      </c>
      <c r="CA77" s="100">
        <v>1670.3999999999999</v>
      </c>
      <c r="CB77" s="100">
        <v>7.1271735153824265</v>
      </c>
      <c r="CC77" s="100">
        <v>1984.2051066824674</v>
      </c>
      <c r="CD77" s="100">
        <v>6.8370147771175702</v>
      </c>
      <c r="CE77" s="100">
        <v>1903.4249139495314</v>
      </c>
      <c r="CF77" s="100">
        <v>10</v>
      </c>
      <c r="CG77" s="100">
        <v>2784</v>
      </c>
      <c r="CH77" s="100">
        <v>4.3255443136687486</v>
      </c>
      <c r="CI77" s="100">
        <v>1204.2315369253795</v>
      </c>
      <c r="CJ77" s="100">
        <v>9</v>
      </c>
      <c r="CK77" s="100">
        <v>2505.6</v>
      </c>
      <c r="CL77" s="100">
        <v>5.1077589224683475</v>
      </c>
      <c r="CM77" s="100">
        <v>1422.0000840151879</v>
      </c>
      <c r="CN77" s="100">
        <v>3.5122696218669884</v>
      </c>
      <c r="CO77" s="100">
        <v>977.81586272776951</v>
      </c>
      <c r="CP77" s="100">
        <v>8.13044536182238</v>
      </c>
      <c r="CQ77" s="100">
        <v>2263.5159887313503</v>
      </c>
      <c r="CR77" s="100">
        <v>6.8279377074872123</v>
      </c>
      <c r="CS77" s="100">
        <v>1900.8978577644398</v>
      </c>
      <c r="CT77" s="100">
        <v>9.5442287245946815</v>
      </c>
      <c r="CU77" s="100">
        <v>2657.1132769271589</v>
      </c>
    </row>
    <row r="78" spans="2:99">
      <c r="C78" s="99" t="s">
        <v>244</v>
      </c>
      <c r="D78" s="100">
        <v>3.6474164960661661</v>
      </c>
      <c r="E78" s="100">
        <v>2013.3739058285237</v>
      </c>
      <c r="F78" s="100">
        <v>4</v>
      </c>
      <c r="G78" s="100">
        <v>2208</v>
      </c>
      <c r="H78" s="100">
        <v>7.279685605966363</v>
      </c>
      <c r="I78" s="100">
        <v>4018.3864544934322</v>
      </c>
      <c r="J78" s="100">
        <v>7</v>
      </c>
      <c r="K78" s="100">
        <v>3864</v>
      </c>
      <c r="L78" s="100">
        <v>0.35539788962309105</v>
      </c>
      <c r="M78" s="100">
        <v>196.17963507194625</v>
      </c>
      <c r="N78" s="100">
        <v>7.8241618854183139</v>
      </c>
      <c r="O78" s="100">
        <v>4318.9373607509096</v>
      </c>
      <c r="P78" s="100">
        <v>5.3230454741576239</v>
      </c>
      <c r="Q78" s="100">
        <v>2938.3211017350086</v>
      </c>
      <c r="R78" s="100">
        <v>7.1411293198341834</v>
      </c>
      <c r="S78" s="100">
        <v>3941.9033845484691</v>
      </c>
      <c r="T78" s="100">
        <v>8</v>
      </c>
      <c r="U78" s="100">
        <v>4416</v>
      </c>
      <c r="V78" s="100">
        <v>8.3247659222804753</v>
      </c>
      <c r="W78" s="100">
        <v>4595.2707890988222</v>
      </c>
      <c r="X78" s="100">
        <v>8</v>
      </c>
      <c r="Y78" s="100">
        <v>4416</v>
      </c>
      <c r="Z78" s="100">
        <v>6</v>
      </c>
      <c r="AA78" s="100">
        <v>3312</v>
      </c>
      <c r="AB78" s="100">
        <v>5</v>
      </c>
      <c r="AC78" s="100">
        <v>2760</v>
      </c>
      <c r="AD78" s="100">
        <v>4</v>
      </c>
      <c r="AE78" s="100">
        <v>2208</v>
      </c>
      <c r="AF78" s="100">
        <v>5</v>
      </c>
      <c r="AG78" s="100">
        <v>2760</v>
      </c>
      <c r="AH78" s="100">
        <v>9</v>
      </c>
      <c r="AI78" s="100">
        <v>4968</v>
      </c>
      <c r="AJ78" s="100">
        <v>4.3017848597308896</v>
      </c>
      <c r="AK78" s="100">
        <v>2374.5852425714511</v>
      </c>
      <c r="AL78" s="100">
        <v>7</v>
      </c>
      <c r="AM78" s="100">
        <v>3864</v>
      </c>
      <c r="AN78" s="100">
        <v>6</v>
      </c>
      <c r="AO78" s="100">
        <v>3312</v>
      </c>
      <c r="AP78" s="100">
        <v>5</v>
      </c>
      <c r="AQ78" s="100">
        <v>2760</v>
      </c>
      <c r="AR78" s="100">
        <v>7.504836672058496</v>
      </c>
      <c r="AS78" s="100">
        <v>4142.6698429762901</v>
      </c>
      <c r="AT78" s="100">
        <v>5.0290181530014166</v>
      </c>
      <c r="AU78" s="100">
        <v>2776.0180204567819</v>
      </c>
      <c r="AV78" s="100">
        <v>8</v>
      </c>
      <c r="AW78" s="100">
        <v>4416</v>
      </c>
      <c r="AX78" s="100">
        <v>6.9992224280806559</v>
      </c>
      <c r="AY78" s="100">
        <v>3863.5707803005221</v>
      </c>
      <c r="AZ78" s="100">
        <v>3.5177950666815776</v>
      </c>
      <c r="BA78" s="100">
        <v>1941.8228768082308</v>
      </c>
      <c r="BB78" s="100">
        <v>5.411964537701115</v>
      </c>
      <c r="BC78" s="100">
        <v>2987.4044248110154</v>
      </c>
      <c r="BD78" s="100">
        <v>9.4782776853470985</v>
      </c>
      <c r="BE78" s="100">
        <v>5232.0092823115983</v>
      </c>
      <c r="BF78" s="100">
        <v>9</v>
      </c>
      <c r="BG78" s="100">
        <v>4968</v>
      </c>
      <c r="BH78" s="100">
        <v>6.1419842375433928</v>
      </c>
      <c r="BI78" s="100">
        <v>3390.375299123953</v>
      </c>
      <c r="BJ78" s="100">
        <v>5</v>
      </c>
      <c r="BK78" s="100">
        <v>2760</v>
      </c>
      <c r="BL78" s="100">
        <v>3.3255034821337195</v>
      </c>
      <c r="BM78" s="100">
        <v>1835.6779221378131</v>
      </c>
      <c r="BN78" s="100">
        <v>10</v>
      </c>
      <c r="BO78" s="100">
        <v>5520</v>
      </c>
      <c r="BP78" s="100">
        <v>7</v>
      </c>
      <c r="BQ78" s="100">
        <v>3864</v>
      </c>
      <c r="BR78" s="100">
        <v>7.2559984376901054</v>
      </c>
      <c r="BS78" s="100">
        <v>4005.3111376049383</v>
      </c>
      <c r="BT78" s="100">
        <v>1.7591886157578212</v>
      </c>
      <c r="BU78" s="100">
        <v>971.07211589831729</v>
      </c>
      <c r="BV78" s="100">
        <v>5.4366208163835408</v>
      </c>
      <c r="BW78" s="100">
        <v>3001.0146906437144</v>
      </c>
      <c r="BX78" s="100">
        <v>9.0711681542647185</v>
      </c>
      <c r="BY78" s="100">
        <v>5007.284821154125</v>
      </c>
      <c r="BZ78" s="100">
        <v>6</v>
      </c>
      <c r="CA78" s="100">
        <v>3312</v>
      </c>
      <c r="CB78" s="100">
        <v>7.1271735153824265</v>
      </c>
      <c r="CC78" s="100">
        <v>3934.1997804910993</v>
      </c>
      <c r="CD78" s="100">
        <v>6.8370147771175702</v>
      </c>
      <c r="CE78" s="100">
        <v>3774.0321569688986</v>
      </c>
      <c r="CF78" s="100">
        <v>8</v>
      </c>
      <c r="CG78" s="100">
        <v>4416</v>
      </c>
      <c r="CH78" s="100">
        <v>4.3255443136687486</v>
      </c>
      <c r="CI78" s="100">
        <v>2387.7004611451493</v>
      </c>
      <c r="CJ78" s="100">
        <v>8</v>
      </c>
      <c r="CK78" s="100">
        <v>4416</v>
      </c>
      <c r="CL78" s="100">
        <v>4.4692890571598047</v>
      </c>
      <c r="CM78" s="100">
        <v>2467.0475595522121</v>
      </c>
      <c r="CN78" s="100">
        <v>3.8587344034412805</v>
      </c>
      <c r="CO78" s="100">
        <v>2130.0213906995868</v>
      </c>
      <c r="CP78" s="100">
        <v>8.13044536182238</v>
      </c>
      <c r="CQ78" s="100">
        <v>4488.0058397259536</v>
      </c>
      <c r="CR78" s="100">
        <v>6.8279377074872123</v>
      </c>
      <c r="CS78" s="100">
        <v>3769.0216145329414</v>
      </c>
      <c r="CT78" s="100">
        <v>9.4535239371622346</v>
      </c>
      <c r="CU78" s="100">
        <v>5218.3452133135534</v>
      </c>
    </row>
    <row r="79" spans="2:99">
      <c r="C79" s="99" t="s">
        <v>245</v>
      </c>
      <c r="D79" s="100">
        <v>3.6474164960661661</v>
      </c>
      <c r="E79" s="100">
        <v>2761.823770821301</v>
      </c>
      <c r="F79" s="100">
        <v>5</v>
      </c>
      <c r="G79" s="100">
        <v>3785.9999999999995</v>
      </c>
      <c r="H79" s="100">
        <v>6.279685605966363</v>
      </c>
      <c r="I79" s="100">
        <v>4754.9779408377299</v>
      </c>
      <c r="J79" s="100">
        <v>6</v>
      </c>
      <c r="K79" s="100">
        <v>4543.2</v>
      </c>
      <c r="L79" s="100">
        <v>0.35539788962309105</v>
      </c>
      <c r="M79" s="100">
        <v>269.10728202260452</v>
      </c>
      <c r="N79" s="100">
        <v>7.0128977192031945</v>
      </c>
      <c r="O79" s="100">
        <v>5310.1661529806588</v>
      </c>
      <c r="P79" s="100">
        <v>5.4038068426970298</v>
      </c>
      <c r="Q79" s="100">
        <v>4091.7625412901907</v>
      </c>
      <c r="R79" s="100">
        <v>6.1411293198341834</v>
      </c>
      <c r="S79" s="100">
        <v>4650.0631209784433</v>
      </c>
      <c r="T79" s="100">
        <v>8</v>
      </c>
      <c r="U79" s="100">
        <v>6057.5999999999995</v>
      </c>
      <c r="V79" s="100">
        <v>8.3247659222804753</v>
      </c>
      <c r="W79" s="100">
        <v>6303.5127563507749</v>
      </c>
      <c r="X79" s="100">
        <v>8</v>
      </c>
      <c r="Y79" s="100">
        <v>6057.5999999999995</v>
      </c>
      <c r="Z79" s="100">
        <v>5</v>
      </c>
      <c r="AA79" s="100">
        <v>3785.9999999999995</v>
      </c>
      <c r="AB79" s="100">
        <v>5</v>
      </c>
      <c r="AC79" s="100">
        <v>3785.9999999999995</v>
      </c>
      <c r="AD79" s="100">
        <v>5</v>
      </c>
      <c r="AE79" s="100">
        <v>3785.9999999999995</v>
      </c>
      <c r="AF79" s="100">
        <v>5</v>
      </c>
      <c r="AG79" s="100">
        <v>3785.9999999999995</v>
      </c>
      <c r="AH79" s="100">
        <v>8</v>
      </c>
      <c r="AI79" s="100">
        <v>6057.5999999999995</v>
      </c>
      <c r="AJ79" s="100">
        <v>4.3017848597308896</v>
      </c>
      <c r="AK79" s="100">
        <v>3257.3114957882294</v>
      </c>
      <c r="AL79" s="100">
        <v>6</v>
      </c>
      <c r="AM79" s="100">
        <v>4543.2</v>
      </c>
      <c r="AN79" s="100">
        <v>5</v>
      </c>
      <c r="AO79" s="100">
        <v>3785.9999999999995</v>
      </c>
      <c r="AP79" s="100">
        <v>5</v>
      </c>
      <c r="AQ79" s="100">
        <v>3785.9999999999995</v>
      </c>
      <c r="AR79" s="100">
        <v>7.504836672058496</v>
      </c>
      <c r="AS79" s="100">
        <v>5682.6623280826925</v>
      </c>
      <c r="AT79" s="100">
        <v>5.0290181530014166</v>
      </c>
      <c r="AU79" s="100">
        <v>3807.9725454526724</v>
      </c>
      <c r="AV79" s="100">
        <v>7</v>
      </c>
      <c r="AW79" s="100">
        <v>5300.4</v>
      </c>
      <c r="AX79" s="100">
        <v>6.9992224280806559</v>
      </c>
      <c r="AY79" s="100">
        <v>5299.8112225426721</v>
      </c>
      <c r="AZ79" s="100">
        <v>3.5177950666815776</v>
      </c>
      <c r="BA79" s="100">
        <v>2663.6744244912902</v>
      </c>
      <c r="BB79" s="100">
        <v>5.411964537701115</v>
      </c>
      <c r="BC79" s="100">
        <v>4097.9395479472842</v>
      </c>
      <c r="BD79" s="100">
        <v>8.3826221482776795</v>
      </c>
      <c r="BE79" s="100">
        <v>6347.3214906758585</v>
      </c>
      <c r="BF79" s="100">
        <v>9</v>
      </c>
      <c r="BG79" s="100">
        <v>6814.7999999999993</v>
      </c>
      <c r="BH79" s="100">
        <v>6.1419842375433928</v>
      </c>
      <c r="BI79" s="100">
        <v>4650.7104646678563</v>
      </c>
      <c r="BJ79" s="100">
        <v>5</v>
      </c>
      <c r="BK79" s="100">
        <v>3785.9999999999995</v>
      </c>
      <c r="BL79" s="100">
        <v>2.8504315561146165</v>
      </c>
      <c r="BM79" s="100">
        <v>2158.3467742899875</v>
      </c>
      <c r="BN79" s="100">
        <v>10</v>
      </c>
      <c r="BO79" s="100">
        <v>7571.9999999999991</v>
      </c>
      <c r="BP79" s="100">
        <v>7</v>
      </c>
      <c r="BQ79" s="100">
        <v>5300.4</v>
      </c>
      <c r="BR79" s="100">
        <v>7.2559984376901054</v>
      </c>
      <c r="BS79" s="100">
        <v>5494.2420170189471</v>
      </c>
      <c r="BT79" s="100">
        <v>1.5188937028030469</v>
      </c>
      <c r="BU79" s="100">
        <v>1150.1063117624669</v>
      </c>
      <c r="BV79" s="100">
        <v>5.5821610885113877</v>
      </c>
      <c r="BW79" s="100">
        <v>4226.8123762208224</v>
      </c>
      <c r="BX79" s="100">
        <v>10.071168154264718</v>
      </c>
      <c r="BY79" s="100">
        <v>7625.8885264092442</v>
      </c>
      <c r="BZ79" s="100">
        <v>6</v>
      </c>
      <c r="CA79" s="100">
        <v>4543.2</v>
      </c>
      <c r="CB79" s="100">
        <v>7.1271735153824265</v>
      </c>
      <c r="CC79" s="100">
        <v>5396.6957858475726</v>
      </c>
      <c r="CD79" s="100">
        <v>6.8370147771175702</v>
      </c>
      <c r="CE79" s="100">
        <v>5176.9875892334239</v>
      </c>
      <c r="CF79" s="100">
        <v>9</v>
      </c>
      <c r="CG79" s="100">
        <v>6814.7999999999993</v>
      </c>
      <c r="CH79" s="100">
        <v>4.3255443136687486</v>
      </c>
      <c r="CI79" s="100">
        <v>3275.3021543099762</v>
      </c>
      <c r="CJ79" s="100">
        <v>8</v>
      </c>
      <c r="CK79" s="100">
        <v>6057.5999999999995</v>
      </c>
      <c r="CL79" s="100">
        <v>5.1077589224683475</v>
      </c>
      <c r="CM79" s="100">
        <v>3867.5950560930323</v>
      </c>
      <c r="CN79" s="100">
        <v>3.6359898103943848</v>
      </c>
      <c r="CO79" s="100">
        <v>2753.171484430628</v>
      </c>
      <c r="CP79" s="100">
        <v>7.2646440850544547</v>
      </c>
      <c r="CQ79" s="100">
        <v>5500.788501203233</v>
      </c>
      <c r="CR79" s="100">
        <v>7.6814299209231134</v>
      </c>
      <c r="CS79" s="100">
        <v>5816.3787361229806</v>
      </c>
      <c r="CT79" s="100">
        <v>9.5442287245946815</v>
      </c>
      <c r="CU79" s="100">
        <v>7226.8899902630919</v>
      </c>
    </row>
    <row r="80" spans="2:99">
      <c r="C80" s="99" t="s">
        <v>246</v>
      </c>
      <c r="D80" s="100">
        <v>4.1684759955041901</v>
      </c>
      <c r="E80" s="100">
        <v>3356.4568715799737</v>
      </c>
      <c r="F80" s="100">
        <v>5</v>
      </c>
      <c r="G80" s="100">
        <v>4025.9999999999995</v>
      </c>
      <c r="H80" s="100">
        <v>6.2330713383053027</v>
      </c>
      <c r="I80" s="100">
        <v>5018.8690416034297</v>
      </c>
      <c r="J80" s="100">
        <v>6</v>
      </c>
      <c r="K80" s="100">
        <v>4831.2</v>
      </c>
      <c r="L80" s="100">
        <v>0.35539788962309105</v>
      </c>
      <c r="M80" s="100">
        <v>286.16638072451286</v>
      </c>
      <c r="N80" s="100">
        <v>7.8241618854183139</v>
      </c>
      <c r="O80" s="100">
        <v>6300.0151501388254</v>
      </c>
      <c r="P80" s="100">
        <v>5.4038068426970298</v>
      </c>
      <c r="Q80" s="100">
        <v>4351.145269739648</v>
      </c>
      <c r="R80" s="100">
        <v>6.1411293198341834</v>
      </c>
      <c r="S80" s="100">
        <v>4944.8373283304845</v>
      </c>
      <c r="T80" s="100">
        <v>8</v>
      </c>
      <c r="U80" s="100">
        <v>6441.5999999999995</v>
      </c>
      <c r="V80" s="100">
        <v>7.3997919309159776</v>
      </c>
      <c r="W80" s="100">
        <v>5958.3124627735451</v>
      </c>
      <c r="X80" s="100">
        <v>8</v>
      </c>
      <c r="Y80" s="100">
        <v>6441.5999999999995</v>
      </c>
      <c r="Z80" s="100">
        <v>5</v>
      </c>
      <c r="AA80" s="100">
        <v>4025.9999999999995</v>
      </c>
      <c r="AB80" s="100">
        <v>5</v>
      </c>
      <c r="AC80" s="100">
        <v>4025.9999999999995</v>
      </c>
      <c r="AD80" s="100">
        <v>5</v>
      </c>
      <c r="AE80" s="100">
        <v>4025.9999999999995</v>
      </c>
      <c r="AF80" s="100">
        <v>5</v>
      </c>
      <c r="AG80" s="100">
        <v>4025.9999999999995</v>
      </c>
      <c r="AH80" s="100">
        <v>9</v>
      </c>
      <c r="AI80" s="100">
        <v>7246.7999999999993</v>
      </c>
      <c r="AJ80" s="100">
        <v>4.3017848597308896</v>
      </c>
      <c r="AK80" s="100">
        <v>3463.7971690553122</v>
      </c>
      <c r="AL80" s="100">
        <v>6</v>
      </c>
      <c r="AM80" s="100">
        <v>4831.2</v>
      </c>
      <c r="AN80" s="100">
        <v>7</v>
      </c>
      <c r="AO80" s="100">
        <v>5636.4</v>
      </c>
      <c r="AP80" s="100">
        <v>4</v>
      </c>
      <c r="AQ80" s="100">
        <v>3220.7999999999997</v>
      </c>
      <c r="AR80" s="100">
        <v>6.5667320880511832</v>
      </c>
      <c r="AS80" s="100">
        <v>5287.5326772988119</v>
      </c>
      <c r="AT80" s="100">
        <v>5.0290181530014166</v>
      </c>
      <c r="AU80" s="100">
        <v>4049.3654167967402</v>
      </c>
      <c r="AV80" s="100">
        <v>8</v>
      </c>
      <c r="AW80" s="100">
        <v>6441.5999999999995</v>
      </c>
      <c r="AX80" s="100">
        <v>6.9992224280806559</v>
      </c>
      <c r="AY80" s="100">
        <v>5635.7738990905436</v>
      </c>
      <c r="AZ80" s="100">
        <v>3.5177950666815776</v>
      </c>
      <c r="BA80" s="100">
        <v>2832.5285876920061</v>
      </c>
      <c r="BB80" s="100">
        <v>4.411964537701115</v>
      </c>
      <c r="BC80" s="100">
        <v>3552.5138457569374</v>
      </c>
      <c r="BD80" s="100">
        <v>8.3826221482776795</v>
      </c>
      <c r="BE80" s="100">
        <v>6749.687353793187</v>
      </c>
      <c r="BF80" s="100">
        <v>8</v>
      </c>
      <c r="BG80" s="100">
        <v>6441.5999999999995</v>
      </c>
      <c r="BH80" s="100">
        <v>6.1419842375433928</v>
      </c>
      <c r="BI80" s="100">
        <v>4945.5257080699394</v>
      </c>
      <c r="BJ80" s="100">
        <v>5</v>
      </c>
      <c r="BK80" s="100">
        <v>4025.9999999999995</v>
      </c>
      <c r="BL80" s="100">
        <v>2.8504315561146165</v>
      </c>
      <c r="BM80" s="100">
        <v>2295.167488983489</v>
      </c>
      <c r="BN80" s="100">
        <v>10</v>
      </c>
      <c r="BO80" s="100">
        <v>8051.9999999999991</v>
      </c>
      <c r="BP80" s="100">
        <v>6</v>
      </c>
      <c r="BQ80" s="100">
        <v>4831.2</v>
      </c>
      <c r="BR80" s="100">
        <v>7.2559984376901054</v>
      </c>
      <c r="BS80" s="100">
        <v>5842.5299420280726</v>
      </c>
      <c r="BT80" s="100">
        <v>1.5078759563638469</v>
      </c>
      <c r="BU80" s="100">
        <v>1214.1417200641695</v>
      </c>
      <c r="BV80" s="100">
        <v>6.4366208163835408</v>
      </c>
      <c r="BW80" s="100">
        <v>5182.7670813520263</v>
      </c>
      <c r="BX80" s="100">
        <v>9.0711681542647185</v>
      </c>
      <c r="BY80" s="100">
        <v>7304.1045978139509</v>
      </c>
      <c r="BZ80" s="100">
        <v>6</v>
      </c>
      <c r="CA80" s="100">
        <v>4831.2</v>
      </c>
      <c r="CB80" s="100">
        <v>7.1271735153824265</v>
      </c>
      <c r="CC80" s="100">
        <v>5738.8001145859289</v>
      </c>
      <c r="CD80" s="100">
        <v>6.8370147771175702</v>
      </c>
      <c r="CE80" s="100">
        <v>5505.1642985350672</v>
      </c>
      <c r="CF80" s="100">
        <v>9</v>
      </c>
      <c r="CG80" s="100">
        <v>7246.7999999999993</v>
      </c>
      <c r="CH80" s="100">
        <v>3.460435450934999</v>
      </c>
      <c r="CI80" s="100">
        <v>2786.342625092861</v>
      </c>
      <c r="CJ80" s="100">
        <v>9</v>
      </c>
      <c r="CK80" s="100">
        <v>7246.7999999999993</v>
      </c>
      <c r="CL80" s="100">
        <v>4.7770485116639048</v>
      </c>
      <c r="CM80" s="100">
        <v>3846.4794615917758</v>
      </c>
      <c r="CN80" s="100">
        <v>3.4780012229366966</v>
      </c>
      <c r="CO80" s="100">
        <v>2800.486584708628</v>
      </c>
      <c r="CP80" s="100">
        <v>7.3210163968729631</v>
      </c>
      <c r="CQ80" s="100">
        <v>5894.8824027621095</v>
      </c>
      <c r="CR80" s="100">
        <v>7.6814299209231134</v>
      </c>
      <c r="CS80" s="100">
        <v>6185.0873723272907</v>
      </c>
      <c r="CT80" s="100">
        <v>8.5442287245946815</v>
      </c>
      <c r="CU80" s="100">
        <v>6879.8129690436372</v>
      </c>
    </row>
    <row r="81" spans="2:99">
      <c r="C81" s="99" t="s">
        <v>247</v>
      </c>
      <c r="D81" s="100">
        <v>4.6895354949422137</v>
      </c>
      <c r="E81" s="100">
        <v>3534.0339489884523</v>
      </c>
      <c r="F81" s="100">
        <v>4</v>
      </c>
      <c r="G81" s="100">
        <v>3014.4</v>
      </c>
      <c r="H81" s="100">
        <v>6.279685605966363</v>
      </c>
      <c r="I81" s="100">
        <v>4732.3710726562513</v>
      </c>
      <c r="J81" s="100">
        <v>7</v>
      </c>
      <c r="K81" s="100">
        <v>5275.2</v>
      </c>
      <c r="L81" s="100">
        <v>0.40616901671210398</v>
      </c>
      <c r="M81" s="100">
        <v>306.08897099424155</v>
      </c>
      <c r="N81" s="100">
        <v>7.0128977192031945</v>
      </c>
      <c r="O81" s="100">
        <v>5284.919721191528</v>
      </c>
      <c r="P81" s="100">
        <v>5.4038068426970298</v>
      </c>
      <c r="Q81" s="100">
        <v>4072.3088366564816</v>
      </c>
      <c r="R81" s="100">
        <v>6.1411293198341834</v>
      </c>
      <c r="S81" s="100">
        <v>4627.9550554270409</v>
      </c>
      <c r="T81" s="100">
        <v>8</v>
      </c>
      <c r="U81" s="100">
        <v>6028.8</v>
      </c>
      <c r="V81" s="100">
        <v>7.3997919309159776</v>
      </c>
      <c r="W81" s="100">
        <v>5576.4831991382807</v>
      </c>
      <c r="X81" s="100">
        <v>9</v>
      </c>
      <c r="Y81" s="100">
        <v>6782.4000000000005</v>
      </c>
      <c r="Z81" s="100">
        <v>6</v>
      </c>
      <c r="AA81" s="100">
        <v>4521.6000000000004</v>
      </c>
      <c r="AB81" s="100">
        <v>5</v>
      </c>
      <c r="AC81" s="100">
        <v>3768</v>
      </c>
      <c r="AD81" s="100">
        <v>5</v>
      </c>
      <c r="AE81" s="100">
        <v>3768</v>
      </c>
      <c r="AF81" s="100">
        <v>4</v>
      </c>
      <c r="AG81" s="100">
        <v>3014.4</v>
      </c>
      <c r="AH81" s="100">
        <v>8</v>
      </c>
      <c r="AI81" s="100">
        <v>6028.8</v>
      </c>
      <c r="AJ81" s="100">
        <v>4.3017848597308896</v>
      </c>
      <c r="AK81" s="100">
        <v>3241.8250702931987</v>
      </c>
      <c r="AL81" s="100">
        <v>7</v>
      </c>
      <c r="AM81" s="100">
        <v>5275.2</v>
      </c>
      <c r="AN81" s="100">
        <v>6</v>
      </c>
      <c r="AO81" s="100">
        <v>4521.6000000000004</v>
      </c>
      <c r="AP81" s="100">
        <v>5</v>
      </c>
      <c r="AQ81" s="100">
        <v>3768</v>
      </c>
      <c r="AR81" s="100">
        <v>7.504836672058496</v>
      </c>
      <c r="AS81" s="100">
        <v>5655.6449160632828</v>
      </c>
      <c r="AT81" s="100">
        <v>5.0290181530014166</v>
      </c>
      <c r="AU81" s="100">
        <v>3789.8680801018677</v>
      </c>
      <c r="AV81" s="100">
        <v>7</v>
      </c>
      <c r="AW81" s="100">
        <v>5275.2</v>
      </c>
      <c r="AX81" s="100">
        <v>7.9991113463778927</v>
      </c>
      <c r="AY81" s="100">
        <v>6028.1303106303803</v>
      </c>
      <c r="AZ81" s="100">
        <v>3.5177950666815776</v>
      </c>
      <c r="BA81" s="100">
        <v>2651.010362251237</v>
      </c>
      <c r="BB81" s="100">
        <v>4.411964537701115</v>
      </c>
      <c r="BC81" s="100">
        <v>3324.8564756115602</v>
      </c>
      <c r="BD81" s="100">
        <v>9.4782776853470985</v>
      </c>
      <c r="BE81" s="100">
        <v>7142.8300636775739</v>
      </c>
      <c r="BF81" s="100">
        <v>8</v>
      </c>
      <c r="BG81" s="100">
        <v>6028.8</v>
      </c>
      <c r="BH81" s="100">
        <v>6.1419842375433928</v>
      </c>
      <c r="BI81" s="100">
        <v>4628.5993214127011</v>
      </c>
      <c r="BJ81" s="100">
        <v>6</v>
      </c>
      <c r="BK81" s="100">
        <v>4521.6000000000004</v>
      </c>
      <c r="BL81" s="100">
        <v>2.8504315561146165</v>
      </c>
      <c r="BM81" s="100">
        <v>2148.0852206879749</v>
      </c>
      <c r="BN81" s="100">
        <v>10</v>
      </c>
      <c r="BO81" s="100">
        <v>7536</v>
      </c>
      <c r="BP81" s="100">
        <v>7</v>
      </c>
      <c r="BQ81" s="100">
        <v>5275.2</v>
      </c>
      <c r="BR81" s="100">
        <v>6.3489986329788426</v>
      </c>
      <c r="BS81" s="100">
        <v>4784.6053698128562</v>
      </c>
      <c r="BT81" s="100">
        <v>1.5078759563638469</v>
      </c>
      <c r="BU81" s="100">
        <v>1136.335320715795</v>
      </c>
      <c r="BV81" s="100">
        <v>5.4366208163835408</v>
      </c>
      <c r="BW81" s="100">
        <v>4097.0374472266367</v>
      </c>
      <c r="BX81" s="100">
        <v>9.0533761156985388</v>
      </c>
      <c r="BY81" s="100">
        <v>6822.6242407904192</v>
      </c>
      <c r="BZ81" s="100">
        <v>6</v>
      </c>
      <c r="CA81" s="100">
        <v>4521.6000000000004</v>
      </c>
      <c r="CB81" s="100">
        <v>8.0180702048052286</v>
      </c>
      <c r="CC81" s="100">
        <v>6042.4177063412208</v>
      </c>
      <c r="CD81" s="100">
        <v>7.8137311738486517</v>
      </c>
      <c r="CE81" s="100">
        <v>5888.4278126123445</v>
      </c>
      <c r="CF81" s="100">
        <v>9</v>
      </c>
      <c r="CG81" s="100">
        <v>6782.4000000000005</v>
      </c>
      <c r="CH81" s="100">
        <v>4.3255443136687486</v>
      </c>
      <c r="CI81" s="100">
        <v>3259.7301947807691</v>
      </c>
      <c r="CJ81" s="100">
        <v>8</v>
      </c>
      <c r="CK81" s="100">
        <v>6028.8</v>
      </c>
      <c r="CL81" s="100">
        <v>5.1077589224683475</v>
      </c>
      <c r="CM81" s="100">
        <v>3849.2071239721467</v>
      </c>
      <c r="CN81" s="100">
        <v>3.4780012229366966</v>
      </c>
      <c r="CO81" s="100">
        <v>2621.0217216050946</v>
      </c>
      <c r="CP81" s="100">
        <v>7.2646440850544547</v>
      </c>
      <c r="CQ81" s="100">
        <v>5474.6357824970373</v>
      </c>
      <c r="CR81" s="100">
        <v>7.6814299209231134</v>
      </c>
      <c r="CS81" s="100">
        <v>5788.7255884076585</v>
      </c>
      <c r="CT81" s="100">
        <v>8.5442287245946815</v>
      </c>
      <c r="CU81" s="100">
        <v>6438.9307668545525</v>
      </c>
    </row>
    <row r="82" spans="2:99">
      <c r="C82" s="99" t="s">
        <v>248</v>
      </c>
      <c r="D82" s="100">
        <v>4.6895354949422137</v>
      </c>
      <c r="E82" s="100">
        <v>2386.035659826598</v>
      </c>
      <c r="F82" s="100">
        <v>5</v>
      </c>
      <c r="G82" s="100">
        <v>2543.9999999999995</v>
      </c>
      <c r="H82" s="100">
        <v>6.2330713383053027</v>
      </c>
      <c r="I82" s="100">
        <v>3171.3866969297374</v>
      </c>
      <c r="J82" s="100">
        <v>7</v>
      </c>
      <c r="K82" s="100">
        <v>3561.5999999999995</v>
      </c>
      <c r="L82" s="100">
        <v>0.35539788962309105</v>
      </c>
      <c r="M82" s="100">
        <v>180.82644624022868</v>
      </c>
      <c r="N82" s="100">
        <v>7.0128977192031945</v>
      </c>
      <c r="O82" s="100">
        <v>3568.1623595305846</v>
      </c>
      <c r="P82" s="100">
        <v>5.4038068426970298</v>
      </c>
      <c r="Q82" s="100">
        <v>2749.4569215642482</v>
      </c>
      <c r="R82" s="100">
        <v>7.1058469898756371</v>
      </c>
      <c r="S82" s="100">
        <v>3615.4549484487234</v>
      </c>
      <c r="T82" s="100">
        <v>8</v>
      </c>
      <c r="U82" s="100">
        <v>4070.3999999999992</v>
      </c>
      <c r="V82" s="100">
        <v>6.47481793955148</v>
      </c>
      <c r="W82" s="100">
        <v>3294.3873676437925</v>
      </c>
      <c r="X82" s="100">
        <v>8</v>
      </c>
      <c r="Y82" s="100">
        <v>4070.3999999999992</v>
      </c>
      <c r="Z82" s="100">
        <v>6</v>
      </c>
      <c r="AA82" s="100">
        <v>3052.7999999999993</v>
      </c>
      <c r="AB82" s="100">
        <v>5</v>
      </c>
      <c r="AC82" s="100">
        <v>2543.9999999999995</v>
      </c>
      <c r="AD82" s="100">
        <v>5</v>
      </c>
      <c r="AE82" s="100">
        <v>2543.9999999999995</v>
      </c>
      <c r="AF82" s="100">
        <v>5</v>
      </c>
      <c r="AG82" s="100">
        <v>2543.9999999999995</v>
      </c>
      <c r="AH82" s="100">
        <v>9</v>
      </c>
      <c r="AI82" s="100">
        <v>4579.1999999999989</v>
      </c>
      <c r="AJ82" s="100">
        <v>4.3017848597308896</v>
      </c>
      <c r="AK82" s="100">
        <v>2188.7481366310762</v>
      </c>
      <c r="AL82" s="100">
        <v>6</v>
      </c>
      <c r="AM82" s="100">
        <v>3052.7999999999993</v>
      </c>
      <c r="AN82" s="100">
        <v>6</v>
      </c>
      <c r="AO82" s="100">
        <v>3052.7999999999993</v>
      </c>
      <c r="AP82" s="100">
        <v>4</v>
      </c>
      <c r="AQ82" s="100">
        <v>2035.1999999999996</v>
      </c>
      <c r="AR82" s="100">
        <v>7.504836672058496</v>
      </c>
      <c r="AS82" s="100">
        <v>3818.4608987433621</v>
      </c>
      <c r="AT82" s="100">
        <v>5.0290181530014166</v>
      </c>
      <c r="AU82" s="100">
        <v>2558.7644362471201</v>
      </c>
      <c r="AV82" s="100">
        <v>7</v>
      </c>
      <c r="AW82" s="100">
        <v>3561.5999999999995</v>
      </c>
      <c r="AX82" s="100">
        <v>7.9991113463778927</v>
      </c>
      <c r="AY82" s="100">
        <v>4069.9478530370711</v>
      </c>
      <c r="AZ82" s="100">
        <v>3.5384893233292707</v>
      </c>
      <c r="BA82" s="100">
        <v>1800.3833677099326</v>
      </c>
      <c r="BB82" s="100">
        <v>5.411964537701115</v>
      </c>
      <c r="BC82" s="100">
        <v>2753.6075567823268</v>
      </c>
      <c r="BD82" s="100">
        <v>8.4782776853470985</v>
      </c>
      <c r="BE82" s="100">
        <v>4313.7476863046031</v>
      </c>
      <c r="BF82" s="100">
        <v>8</v>
      </c>
      <c r="BG82" s="100">
        <v>4070.3999999999992</v>
      </c>
      <c r="BH82" s="100">
        <v>6.1419842375433928</v>
      </c>
      <c r="BI82" s="100">
        <v>3125.0415800620776</v>
      </c>
      <c r="BJ82" s="100">
        <v>5</v>
      </c>
      <c r="BK82" s="100">
        <v>2543.9999999999995</v>
      </c>
      <c r="BL82" s="100">
        <v>2.8504315561146165</v>
      </c>
      <c r="BM82" s="100">
        <v>1450.2995757511167</v>
      </c>
      <c r="BN82" s="100">
        <v>10</v>
      </c>
      <c r="BO82" s="100">
        <v>5087.9999999999991</v>
      </c>
      <c r="BP82" s="100">
        <v>7</v>
      </c>
      <c r="BQ82" s="100">
        <v>3561.5999999999995</v>
      </c>
      <c r="BR82" s="100">
        <v>7.2559984376901054</v>
      </c>
      <c r="BS82" s="100">
        <v>3691.852005096725</v>
      </c>
      <c r="BT82" s="100">
        <v>1.7591886157578212</v>
      </c>
      <c r="BU82" s="100">
        <v>895.07516769757922</v>
      </c>
      <c r="BV82" s="100">
        <v>5.4366208163835408</v>
      </c>
      <c r="BW82" s="100">
        <v>2766.1526713759449</v>
      </c>
      <c r="BX82" s="100">
        <v>10.071168154264718</v>
      </c>
      <c r="BY82" s="100">
        <v>5124.2103568898874</v>
      </c>
      <c r="BZ82" s="100">
        <v>6</v>
      </c>
      <c r="CA82" s="100">
        <v>3052.7999999999993</v>
      </c>
      <c r="CB82" s="100">
        <v>6.2362768259596235</v>
      </c>
      <c r="CC82" s="100">
        <v>3173.0176490482559</v>
      </c>
      <c r="CD82" s="100">
        <v>6.8370147771175702</v>
      </c>
      <c r="CE82" s="100">
        <v>3478.673118597419</v>
      </c>
      <c r="CF82" s="100">
        <v>9</v>
      </c>
      <c r="CG82" s="100">
        <v>4579.1999999999989</v>
      </c>
      <c r="CH82" s="100">
        <v>4.3255443136687486</v>
      </c>
      <c r="CI82" s="100">
        <v>2200.8369467946586</v>
      </c>
      <c r="CJ82" s="100">
        <v>8</v>
      </c>
      <c r="CK82" s="100">
        <v>4070.3999999999992</v>
      </c>
      <c r="CL82" s="100">
        <v>4.7770485116639048</v>
      </c>
      <c r="CM82" s="100">
        <v>2430.5622827345942</v>
      </c>
      <c r="CN82" s="100">
        <v>3.4951354224018418</v>
      </c>
      <c r="CO82" s="100">
        <v>1778.3249029180568</v>
      </c>
      <c r="CP82" s="100">
        <v>7.3210163968729631</v>
      </c>
      <c r="CQ82" s="100">
        <v>3724.933142728963</v>
      </c>
      <c r="CR82" s="100">
        <v>6.8279377074872123</v>
      </c>
      <c r="CS82" s="100">
        <v>3474.0547055694929</v>
      </c>
      <c r="CT82" s="100">
        <v>8.5442287245946815</v>
      </c>
      <c r="CU82" s="100">
        <v>4347.3035750737727</v>
      </c>
    </row>
    <row r="83" spans="2:99">
      <c r="C83" s="99" t="s">
        <v>249</v>
      </c>
      <c r="D83" s="100">
        <v>4.1684759955041901</v>
      </c>
      <c r="E83" s="100">
        <v>3586.5567465318049</v>
      </c>
      <c r="F83" s="100">
        <v>5</v>
      </c>
      <c r="G83" s="100">
        <v>4302</v>
      </c>
      <c r="H83" s="100">
        <v>6.279685605966363</v>
      </c>
      <c r="I83" s="100">
        <v>5403.0414953734589</v>
      </c>
      <c r="J83" s="100">
        <v>6</v>
      </c>
      <c r="K83" s="100">
        <v>5162.3999999999996</v>
      </c>
      <c r="L83" s="100">
        <v>0.35539788962309105</v>
      </c>
      <c r="M83" s="100">
        <v>305.78434423170751</v>
      </c>
      <c r="N83" s="100">
        <v>7.0128977192031945</v>
      </c>
      <c r="O83" s="100">
        <v>6033.8971976024286</v>
      </c>
      <c r="P83" s="100">
        <v>5.3230454741576239</v>
      </c>
      <c r="Q83" s="100">
        <v>4579.9483259652197</v>
      </c>
      <c r="R83" s="100">
        <v>7.1411293198341834</v>
      </c>
      <c r="S83" s="100">
        <v>6144.2276667853312</v>
      </c>
      <c r="T83" s="100">
        <v>8</v>
      </c>
      <c r="U83" s="100">
        <v>6883.2</v>
      </c>
      <c r="V83" s="100">
        <v>6.47481793955148</v>
      </c>
      <c r="W83" s="100">
        <v>5570.9333551900936</v>
      </c>
      <c r="X83" s="100">
        <v>9</v>
      </c>
      <c r="Y83" s="100">
        <v>7743.5999999999995</v>
      </c>
      <c r="Z83" s="100">
        <v>6</v>
      </c>
      <c r="AA83" s="100">
        <v>5162.3999999999996</v>
      </c>
      <c r="AB83" s="100">
        <v>5</v>
      </c>
      <c r="AC83" s="100">
        <v>4302</v>
      </c>
      <c r="AD83" s="100">
        <v>5</v>
      </c>
      <c r="AE83" s="100">
        <v>4302</v>
      </c>
      <c r="AF83" s="100">
        <v>4</v>
      </c>
      <c r="AG83" s="100">
        <v>3441.6</v>
      </c>
      <c r="AH83" s="100">
        <v>8</v>
      </c>
      <c r="AI83" s="100">
        <v>6883.2</v>
      </c>
      <c r="AJ83" s="100">
        <v>4.3017848597308896</v>
      </c>
      <c r="AK83" s="100">
        <v>3701.2556933124574</v>
      </c>
      <c r="AL83" s="100">
        <v>6</v>
      </c>
      <c r="AM83" s="100">
        <v>5162.3999999999996</v>
      </c>
      <c r="AN83" s="100">
        <v>6</v>
      </c>
      <c r="AO83" s="100">
        <v>5162.3999999999996</v>
      </c>
      <c r="AP83" s="100">
        <v>5</v>
      </c>
      <c r="AQ83" s="100">
        <v>4302</v>
      </c>
      <c r="AR83" s="100">
        <v>6.5667320880511832</v>
      </c>
      <c r="AS83" s="100">
        <v>5650.0162885592381</v>
      </c>
      <c r="AT83" s="100">
        <v>5.0348217836017</v>
      </c>
      <c r="AU83" s="100">
        <v>4331.9606626109025</v>
      </c>
      <c r="AV83" s="100">
        <v>6</v>
      </c>
      <c r="AW83" s="100">
        <v>5162.3999999999996</v>
      </c>
      <c r="AX83" s="100">
        <v>7.9991113463778927</v>
      </c>
      <c r="AY83" s="100">
        <v>6882.435402423539</v>
      </c>
      <c r="AZ83" s="100">
        <v>3.9342384112881197</v>
      </c>
      <c r="BA83" s="100">
        <v>3385.0187290722979</v>
      </c>
      <c r="BB83" s="100">
        <v>4.411964537701115</v>
      </c>
      <c r="BC83" s="100">
        <v>3796.0542882380391</v>
      </c>
      <c r="BD83" s="100">
        <v>9.3826221482776795</v>
      </c>
      <c r="BE83" s="100">
        <v>8072.8080963781149</v>
      </c>
      <c r="BF83" s="100">
        <v>9</v>
      </c>
      <c r="BG83" s="100">
        <v>7743.5999999999995</v>
      </c>
      <c r="BH83" s="100">
        <v>5.2645579178943374</v>
      </c>
      <c r="BI83" s="100">
        <v>4529.6256325562881</v>
      </c>
      <c r="BJ83" s="100">
        <v>6</v>
      </c>
      <c r="BK83" s="100">
        <v>5162.3999999999996</v>
      </c>
      <c r="BL83" s="100">
        <v>2.8504315561146165</v>
      </c>
      <c r="BM83" s="100">
        <v>2452.511310881016</v>
      </c>
      <c r="BN83" s="100">
        <v>9</v>
      </c>
      <c r="BO83" s="100">
        <v>7743.5999999999995</v>
      </c>
      <c r="BP83" s="100">
        <v>6</v>
      </c>
      <c r="BQ83" s="100">
        <v>5162.3999999999996</v>
      </c>
      <c r="BR83" s="100">
        <v>6.3489986329788426</v>
      </c>
      <c r="BS83" s="100">
        <v>5462.6784238149958</v>
      </c>
      <c r="BT83" s="100">
        <v>1.5299114492422472</v>
      </c>
      <c r="BU83" s="100">
        <v>1316.3358109280296</v>
      </c>
      <c r="BV83" s="100">
        <v>6.5821610885113877</v>
      </c>
      <c r="BW83" s="100">
        <v>5663.2914005551975</v>
      </c>
      <c r="BX83" s="100">
        <v>10.053376115698539</v>
      </c>
      <c r="BY83" s="100">
        <v>8649.9248099470224</v>
      </c>
      <c r="BZ83" s="100">
        <v>6</v>
      </c>
      <c r="CA83" s="100">
        <v>5162.3999999999996</v>
      </c>
      <c r="CB83" s="100">
        <v>7.1271735153824265</v>
      </c>
      <c r="CC83" s="100">
        <v>6132.2200926350397</v>
      </c>
      <c r="CD83" s="100">
        <v>7.8137311738486517</v>
      </c>
      <c r="CE83" s="100">
        <v>6722.9343019793796</v>
      </c>
      <c r="CF83" s="100">
        <v>9</v>
      </c>
      <c r="CG83" s="100">
        <v>7743.5999999999995</v>
      </c>
      <c r="CH83" s="100">
        <v>4.3255443136687486</v>
      </c>
      <c r="CI83" s="100">
        <v>3721.6983274805912</v>
      </c>
      <c r="CJ83" s="100">
        <v>9</v>
      </c>
      <c r="CK83" s="100">
        <v>7743.5999999999995</v>
      </c>
      <c r="CL83" s="100">
        <v>5.1077589224683475</v>
      </c>
      <c r="CM83" s="100">
        <v>4394.7157768917659</v>
      </c>
      <c r="CN83" s="100">
        <v>3.4780012229366966</v>
      </c>
      <c r="CO83" s="100">
        <v>2992.4722522147335</v>
      </c>
      <c r="CP83" s="100">
        <v>6.3988428082865303</v>
      </c>
      <c r="CQ83" s="100">
        <v>5505.5643522497303</v>
      </c>
      <c r="CR83" s="100">
        <v>6.8279377074872123</v>
      </c>
      <c r="CS83" s="100">
        <v>5874.7576035219972</v>
      </c>
      <c r="CT83" s="100">
        <v>8.4535239371622346</v>
      </c>
      <c r="CU83" s="100">
        <v>7273.4119955343867</v>
      </c>
    </row>
    <row r="84" spans="2:99">
      <c r="C84" s="99" t="s">
        <v>250</v>
      </c>
      <c r="D84" s="100">
        <v>4.1684759955041901</v>
      </c>
      <c r="E84" s="100">
        <v>3256.413447687873</v>
      </c>
      <c r="F84" s="100">
        <v>5</v>
      </c>
      <c r="G84" s="100">
        <v>3905.9999999999995</v>
      </c>
      <c r="H84" s="100">
        <v>6.279685605966363</v>
      </c>
      <c r="I84" s="100">
        <v>4905.6903953809224</v>
      </c>
      <c r="J84" s="100">
        <v>7</v>
      </c>
      <c r="K84" s="100">
        <v>5468.4</v>
      </c>
      <c r="L84" s="100">
        <v>0.35539788962309105</v>
      </c>
      <c r="M84" s="100">
        <v>277.63683137355872</v>
      </c>
      <c r="N84" s="100">
        <v>7.8241618854183139</v>
      </c>
      <c r="O84" s="100">
        <v>6112.2352648887863</v>
      </c>
      <c r="P84" s="100">
        <v>5.3230454741576239</v>
      </c>
      <c r="Q84" s="100">
        <v>4158.3631244119351</v>
      </c>
      <c r="R84" s="100">
        <v>6.1411293198341834</v>
      </c>
      <c r="S84" s="100">
        <v>4797.4502246544635</v>
      </c>
      <c r="T84" s="100">
        <v>8</v>
      </c>
      <c r="U84" s="100">
        <v>6249.5999999999995</v>
      </c>
      <c r="V84" s="100">
        <v>7.3997919309159776</v>
      </c>
      <c r="W84" s="100">
        <v>5780.717456431561</v>
      </c>
      <c r="X84" s="100">
        <v>8</v>
      </c>
      <c r="Y84" s="100">
        <v>6249.5999999999995</v>
      </c>
      <c r="Z84" s="100">
        <v>6</v>
      </c>
      <c r="AA84" s="100">
        <v>4687.2</v>
      </c>
      <c r="AB84" s="100">
        <v>5</v>
      </c>
      <c r="AC84" s="100">
        <v>3905.9999999999995</v>
      </c>
      <c r="AD84" s="100">
        <v>5</v>
      </c>
      <c r="AE84" s="100">
        <v>3905.9999999999995</v>
      </c>
      <c r="AF84" s="100">
        <v>5</v>
      </c>
      <c r="AG84" s="100">
        <v>3905.9999999999995</v>
      </c>
      <c r="AH84" s="100">
        <v>8</v>
      </c>
      <c r="AI84" s="100">
        <v>6249.5999999999995</v>
      </c>
      <c r="AJ84" s="100">
        <v>4.3017848597308896</v>
      </c>
      <c r="AK84" s="100">
        <v>3360.5543324217706</v>
      </c>
      <c r="AL84" s="100">
        <v>6</v>
      </c>
      <c r="AM84" s="100">
        <v>4687.2</v>
      </c>
      <c r="AN84" s="100">
        <v>6</v>
      </c>
      <c r="AO84" s="100">
        <v>4687.2</v>
      </c>
      <c r="AP84" s="100">
        <v>5</v>
      </c>
      <c r="AQ84" s="100">
        <v>3905.9999999999995</v>
      </c>
      <c r="AR84" s="100">
        <v>7.504836672058496</v>
      </c>
      <c r="AS84" s="100">
        <v>5862.778408212097</v>
      </c>
      <c r="AT84" s="100">
        <v>5.0290181530014166</v>
      </c>
      <c r="AU84" s="100">
        <v>3928.6689811247065</v>
      </c>
      <c r="AV84" s="100">
        <v>7</v>
      </c>
      <c r="AW84" s="100">
        <v>5468.4</v>
      </c>
      <c r="AX84" s="100">
        <v>6.9992224280806559</v>
      </c>
      <c r="AY84" s="100">
        <v>5467.7925608166079</v>
      </c>
      <c r="AZ84" s="100">
        <v>3.5177950666815776</v>
      </c>
      <c r="BA84" s="100">
        <v>2748.1015060916484</v>
      </c>
      <c r="BB84" s="100">
        <v>5.411964537701115</v>
      </c>
      <c r="BC84" s="100">
        <v>4227.8266968521102</v>
      </c>
      <c r="BD84" s="100">
        <v>9.4782776853470985</v>
      </c>
      <c r="BE84" s="100">
        <v>7404.4305277931526</v>
      </c>
      <c r="BF84" s="100">
        <v>8</v>
      </c>
      <c r="BG84" s="100">
        <v>6249.5999999999995</v>
      </c>
      <c r="BH84" s="100">
        <v>6.1419842375433928</v>
      </c>
      <c r="BI84" s="100">
        <v>4798.1180863688978</v>
      </c>
      <c r="BJ84" s="100">
        <v>6</v>
      </c>
      <c r="BK84" s="100">
        <v>4687.2</v>
      </c>
      <c r="BL84" s="100">
        <v>3.3255034821337195</v>
      </c>
      <c r="BM84" s="100">
        <v>2597.8833202428614</v>
      </c>
      <c r="BN84" s="100">
        <v>9</v>
      </c>
      <c r="BO84" s="100">
        <v>7030.7999999999993</v>
      </c>
      <c r="BP84" s="100">
        <v>7</v>
      </c>
      <c r="BQ84" s="100">
        <v>5468.4</v>
      </c>
      <c r="BR84" s="100">
        <v>7.2559984376901054</v>
      </c>
      <c r="BS84" s="100">
        <v>5668.3859795235103</v>
      </c>
      <c r="BT84" s="100">
        <v>1.5299114492422472</v>
      </c>
      <c r="BU84" s="100">
        <v>1195.1668241480434</v>
      </c>
      <c r="BV84" s="100">
        <v>5.4366208163835408</v>
      </c>
      <c r="BW84" s="100">
        <v>4247.0881817588215</v>
      </c>
      <c r="BX84" s="100">
        <v>9.0533761156985388</v>
      </c>
      <c r="BY84" s="100">
        <v>7072.4974215836983</v>
      </c>
      <c r="BZ84" s="100">
        <v>6</v>
      </c>
      <c r="CA84" s="100">
        <v>4687.2</v>
      </c>
      <c r="CB84" s="100">
        <v>7.1271735153824265</v>
      </c>
      <c r="CC84" s="100">
        <v>5567.7479502167507</v>
      </c>
      <c r="CD84" s="100">
        <v>7.8137311738486517</v>
      </c>
      <c r="CE84" s="100">
        <v>6104.086793010566</v>
      </c>
      <c r="CF84" s="100">
        <v>9</v>
      </c>
      <c r="CG84" s="100">
        <v>7030.7999999999993</v>
      </c>
      <c r="CH84" s="100">
        <v>4.3255443136687486</v>
      </c>
      <c r="CI84" s="100">
        <v>3379.1152178380262</v>
      </c>
      <c r="CJ84" s="100">
        <v>9</v>
      </c>
      <c r="CK84" s="100">
        <v>7030.7999999999993</v>
      </c>
      <c r="CL84" s="100">
        <v>4.7770485116639048</v>
      </c>
      <c r="CM84" s="100">
        <v>3731.8302973118421</v>
      </c>
      <c r="CN84" s="100">
        <v>3.4780012229366966</v>
      </c>
      <c r="CO84" s="100">
        <v>2717.0145553581469</v>
      </c>
      <c r="CP84" s="100">
        <v>7.3210163968729631</v>
      </c>
      <c r="CQ84" s="100">
        <v>5719.1780092371582</v>
      </c>
      <c r="CR84" s="100">
        <v>6.8279377074872123</v>
      </c>
      <c r="CS84" s="100">
        <v>5333.9849370890097</v>
      </c>
      <c r="CT84" s="100">
        <v>8.4535239371622346</v>
      </c>
      <c r="CU84" s="100">
        <v>6603.892899711137</v>
      </c>
    </row>
    <row r="85" spans="2:99">
      <c r="C85" s="99" t="s">
        <v>251</v>
      </c>
      <c r="D85" s="100">
        <v>4.1684759955041901</v>
      </c>
      <c r="E85" s="100">
        <v>625.27139932562852</v>
      </c>
      <c r="F85" s="100">
        <v>5</v>
      </c>
      <c r="G85" s="100">
        <v>750</v>
      </c>
      <c r="H85" s="100">
        <v>7.279685605966363</v>
      </c>
      <c r="I85" s="100">
        <v>1091.9528408949545</v>
      </c>
      <c r="J85" s="100">
        <v>6</v>
      </c>
      <c r="K85" s="100">
        <v>900</v>
      </c>
      <c r="L85" s="100">
        <v>0.35539788962309105</v>
      </c>
      <c r="M85" s="100">
        <v>53.309683443463655</v>
      </c>
      <c r="N85" s="100">
        <v>7.8241618854183139</v>
      </c>
      <c r="O85" s="100">
        <v>1173.6242828127472</v>
      </c>
      <c r="P85" s="100">
        <v>6.4038068426970298</v>
      </c>
      <c r="Q85" s="100">
        <v>960.57102640455446</v>
      </c>
      <c r="R85" s="100">
        <v>7.1411293198341834</v>
      </c>
      <c r="S85" s="100">
        <v>1071.1693979751276</v>
      </c>
      <c r="T85" s="100">
        <v>8</v>
      </c>
      <c r="U85" s="100">
        <v>1200</v>
      </c>
      <c r="V85" s="100">
        <v>8.3247659222804753</v>
      </c>
      <c r="W85" s="100">
        <v>1248.7148883420714</v>
      </c>
      <c r="X85" s="100">
        <v>8</v>
      </c>
      <c r="Y85" s="100">
        <v>1200</v>
      </c>
      <c r="Z85" s="100">
        <v>6</v>
      </c>
      <c r="AA85" s="100">
        <v>900</v>
      </c>
      <c r="AB85" s="100">
        <v>5</v>
      </c>
      <c r="AC85" s="100">
        <v>750</v>
      </c>
      <c r="AD85" s="100">
        <v>5</v>
      </c>
      <c r="AE85" s="100">
        <v>750</v>
      </c>
      <c r="AF85" s="100">
        <v>5</v>
      </c>
      <c r="AG85" s="100">
        <v>750</v>
      </c>
      <c r="AH85" s="100">
        <v>9</v>
      </c>
      <c r="AI85" s="100">
        <v>1350</v>
      </c>
      <c r="AJ85" s="100">
        <v>5.1621418316770677</v>
      </c>
      <c r="AK85" s="100">
        <v>774.32127475156017</v>
      </c>
      <c r="AL85" s="100">
        <v>7</v>
      </c>
      <c r="AM85" s="100">
        <v>1050</v>
      </c>
      <c r="AN85" s="100">
        <v>7</v>
      </c>
      <c r="AO85" s="100">
        <v>1050</v>
      </c>
      <c r="AP85" s="100">
        <v>5</v>
      </c>
      <c r="AQ85" s="100">
        <v>750</v>
      </c>
      <c r="AR85" s="100">
        <v>7.504836672058496</v>
      </c>
      <c r="AS85" s="100">
        <v>1125.7255008087743</v>
      </c>
      <c r="AT85" s="100">
        <v>6.0348217836017</v>
      </c>
      <c r="AU85" s="100">
        <v>905.22326754025494</v>
      </c>
      <c r="AV85" s="100">
        <v>7</v>
      </c>
      <c r="AW85" s="100">
        <v>1050</v>
      </c>
      <c r="AX85" s="100">
        <v>8.9990002646751304</v>
      </c>
      <c r="AY85" s="100">
        <v>1349.8500397012695</v>
      </c>
      <c r="AZ85" s="100">
        <v>3.9549326679358128</v>
      </c>
      <c r="BA85" s="100">
        <v>593.23990019037194</v>
      </c>
      <c r="BB85" s="100">
        <v>5.411964537701115</v>
      </c>
      <c r="BC85" s="100">
        <v>811.79468065516721</v>
      </c>
      <c r="BD85" s="100">
        <v>9.4782776853470985</v>
      </c>
      <c r="BE85" s="100">
        <v>1421.7416528020647</v>
      </c>
      <c r="BF85" s="100">
        <v>9</v>
      </c>
      <c r="BG85" s="100">
        <v>1350</v>
      </c>
      <c r="BH85" s="100">
        <v>5.2645579178943374</v>
      </c>
      <c r="BI85" s="100">
        <v>789.68368768415064</v>
      </c>
      <c r="BJ85" s="100">
        <v>6</v>
      </c>
      <c r="BK85" s="100">
        <v>900</v>
      </c>
      <c r="BL85" s="100">
        <v>3.3255034821337195</v>
      </c>
      <c r="BM85" s="100">
        <v>498.82552232005793</v>
      </c>
      <c r="BN85" s="100">
        <v>11</v>
      </c>
      <c r="BO85" s="100">
        <v>1650</v>
      </c>
      <c r="BP85" s="100">
        <v>7</v>
      </c>
      <c r="BQ85" s="100">
        <v>1050</v>
      </c>
      <c r="BR85" s="100">
        <v>7.2559984376901054</v>
      </c>
      <c r="BS85" s="100">
        <v>1088.3997656535157</v>
      </c>
      <c r="BT85" s="100">
        <v>1.7481708693186209</v>
      </c>
      <c r="BU85" s="100">
        <v>262.22563039779311</v>
      </c>
      <c r="BV85" s="100">
        <v>5.4366208163835408</v>
      </c>
      <c r="BW85" s="100">
        <v>815.49312245753117</v>
      </c>
      <c r="BX85" s="100">
        <v>10.071168154264718</v>
      </c>
      <c r="BY85" s="100">
        <v>1510.6752231397077</v>
      </c>
      <c r="BZ85" s="100">
        <v>6</v>
      </c>
      <c r="CA85" s="100">
        <v>900</v>
      </c>
      <c r="CB85" s="100">
        <v>7.1271735153824265</v>
      </c>
      <c r="CC85" s="100">
        <v>1069.076027307364</v>
      </c>
      <c r="CD85" s="100">
        <v>6.8370147771175702</v>
      </c>
      <c r="CE85" s="100">
        <v>1025.5522165676355</v>
      </c>
      <c r="CF85" s="100">
        <v>9</v>
      </c>
      <c r="CG85" s="100">
        <v>1350</v>
      </c>
      <c r="CH85" s="100">
        <v>4.3255443136687486</v>
      </c>
      <c r="CI85" s="100">
        <v>648.83164705031231</v>
      </c>
      <c r="CJ85" s="100">
        <v>9</v>
      </c>
      <c r="CK85" s="100">
        <v>1350</v>
      </c>
      <c r="CL85" s="100">
        <v>4.4692890571598047</v>
      </c>
      <c r="CM85" s="100">
        <v>670.39335857397066</v>
      </c>
      <c r="CN85" s="100">
        <v>3.4951354224018418</v>
      </c>
      <c r="CO85" s="100">
        <v>524.2703133602763</v>
      </c>
      <c r="CP85" s="100">
        <v>8.13044536182238</v>
      </c>
      <c r="CQ85" s="100">
        <v>1219.5668042733571</v>
      </c>
      <c r="CR85" s="100">
        <v>7.6814299209231134</v>
      </c>
      <c r="CS85" s="100">
        <v>1152.214488138467</v>
      </c>
      <c r="CT85" s="100">
        <v>9.5442287245946815</v>
      </c>
      <c r="CU85" s="100">
        <v>1431.6343086892023</v>
      </c>
    </row>
    <row r="86" spans="2:99">
      <c r="C86" s="99" t="s">
        <v>252</v>
      </c>
      <c r="D86" s="100">
        <v>4.6895354949422137</v>
      </c>
      <c r="E86" s="100">
        <v>2532.3491672687956</v>
      </c>
      <c r="F86" s="100">
        <v>5</v>
      </c>
      <c r="G86" s="100">
        <v>2700</v>
      </c>
      <c r="H86" s="100">
        <v>7.279685605966363</v>
      </c>
      <c r="I86" s="100">
        <v>3931.030227221836</v>
      </c>
      <c r="J86" s="100">
        <v>6</v>
      </c>
      <c r="K86" s="100">
        <v>3240</v>
      </c>
      <c r="L86" s="100">
        <v>0.35539788962309105</v>
      </c>
      <c r="M86" s="100">
        <v>191.91486039646915</v>
      </c>
      <c r="N86" s="100">
        <v>7.0128977192031945</v>
      </c>
      <c r="O86" s="100">
        <v>3786.9647683697249</v>
      </c>
      <c r="P86" s="100">
        <v>5.3230454741576239</v>
      </c>
      <c r="Q86" s="100">
        <v>2874.4445560451168</v>
      </c>
      <c r="R86" s="100">
        <v>6.1411293198341834</v>
      </c>
      <c r="S86" s="100">
        <v>3316.2098327104591</v>
      </c>
      <c r="T86" s="100">
        <v>8</v>
      </c>
      <c r="U86" s="100">
        <v>4320</v>
      </c>
      <c r="V86" s="100">
        <v>6.47481793955148</v>
      </c>
      <c r="W86" s="100">
        <v>3496.4016873577993</v>
      </c>
      <c r="X86" s="100">
        <v>8</v>
      </c>
      <c r="Y86" s="100">
        <v>4320</v>
      </c>
      <c r="Z86" s="100">
        <v>5</v>
      </c>
      <c r="AA86" s="100">
        <v>2700</v>
      </c>
      <c r="AB86" s="100">
        <v>5</v>
      </c>
      <c r="AC86" s="100">
        <v>2700</v>
      </c>
      <c r="AD86" s="100">
        <v>5</v>
      </c>
      <c r="AE86" s="100">
        <v>2700</v>
      </c>
      <c r="AF86" s="100">
        <v>5</v>
      </c>
      <c r="AG86" s="100">
        <v>2700</v>
      </c>
      <c r="AH86" s="100">
        <v>9</v>
      </c>
      <c r="AI86" s="100">
        <v>4860</v>
      </c>
      <c r="AJ86" s="100">
        <v>4.3017848597308896</v>
      </c>
      <c r="AK86" s="100">
        <v>2322.9638242546803</v>
      </c>
      <c r="AL86" s="100">
        <v>6</v>
      </c>
      <c r="AM86" s="100">
        <v>3240</v>
      </c>
      <c r="AN86" s="100">
        <v>6</v>
      </c>
      <c r="AO86" s="100">
        <v>3240</v>
      </c>
      <c r="AP86" s="100">
        <v>4</v>
      </c>
      <c r="AQ86" s="100">
        <v>2160</v>
      </c>
      <c r="AR86" s="100">
        <v>7.504836672058496</v>
      </c>
      <c r="AS86" s="100">
        <v>4052.6118029115878</v>
      </c>
      <c r="AT86" s="100">
        <v>5.0290181530014166</v>
      </c>
      <c r="AU86" s="100">
        <v>2715.669802620765</v>
      </c>
      <c r="AV86" s="100">
        <v>7</v>
      </c>
      <c r="AW86" s="100">
        <v>3780</v>
      </c>
      <c r="AX86" s="100">
        <v>7.9991113463778927</v>
      </c>
      <c r="AY86" s="100">
        <v>4319.5201270440621</v>
      </c>
      <c r="AZ86" s="100">
        <v>3.9342384112881197</v>
      </c>
      <c r="BA86" s="100">
        <v>2124.4887420955847</v>
      </c>
      <c r="BB86" s="100">
        <v>4.411964537701115</v>
      </c>
      <c r="BC86" s="100">
        <v>2382.4608503586019</v>
      </c>
      <c r="BD86" s="100">
        <v>10.382622148277679</v>
      </c>
      <c r="BE86" s="100">
        <v>5606.6159600699466</v>
      </c>
      <c r="BF86" s="100">
        <v>9</v>
      </c>
      <c r="BG86" s="100">
        <v>4860</v>
      </c>
      <c r="BH86" s="100">
        <v>6.1419842375433928</v>
      </c>
      <c r="BI86" s="100">
        <v>3316.6714882734323</v>
      </c>
      <c r="BJ86" s="100">
        <v>6</v>
      </c>
      <c r="BK86" s="100">
        <v>3240</v>
      </c>
      <c r="BL86" s="100">
        <v>3.3255034821337195</v>
      </c>
      <c r="BM86" s="100">
        <v>1795.7718803522084</v>
      </c>
      <c r="BN86" s="100">
        <v>9</v>
      </c>
      <c r="BO86" s="100">
        <v>4860</v>
      </c>
      <c r="BP86" s="100">
        <v>7</v>
      </c>
      <c r="BQ86" s="100">
        <v>3780</v>
      </c>
      <c r="BR86" s="100">
        <v>7.2559984376901054</v>
      </c>
      <c r="BS86" s="100">
        <v>3918.2391563526571</v>
      </c>
      <c r="BT86" s="100">
        <v>1.7481708693186209</v>
      </c>
      <c r="BU86" s="100">
        <v>944.01226943205529</v>
      </c>
      <c r="BV86" s="100">
        <v>5.4366208163835408</v>
      </c>
      <c r="BW86" s="100">
        <v>2935.7752408471119</v>
      </c>
      <c r="BX86" s="100">
        <v>10.053376115698539</v>
      </c>
      <c r="BY86" s="100">
        <v>5428.8231024772113</v>
      </c>
      <c r="BZ86" s="100">
        <v>7</v>
      </c>
      <c r="CA86" s="100">
        <v>3780</v>
      </c>
      <c r="CB86" s="100">
        <v>6.2362768259596235</v>
      </c>
      <c r="CC86" s="100">
        <v>3367.5894860181966</v>
      </c>
      <c r="CD86" s="100">
        <v>6.8370147771175702</v>
      </c>
      <c r="CE86" s="100">
        <v>3691.987979643488</v>
      </c>
      <c r="CF86" s="100">
        <v>10</v>
      </c>
      <c r="CG86" s="100">
        <v>5400</v>
      </c>
      <c r="CH86" s="100">
        <v>4.3255443136687486</v>
      </c>
      <c r="CI86" s="100">
        <v>2335.7939293811241</v>
      </c>
      <c r="CJ86" s="100">
        <v>8</v>
      </c>
      <c r="CK86" s="100">
        <v>4320</v>
      </c>
      <c r="CL86" s="100">
        <v>4.4692890571598047</v>
      </c>
      <c r="CM86" s="100">
        <v>2413.4160908662948</v>
      </c>
      <c r="CN86" s="100">
        <v>3.2723908293549462</v>
      </c>
      <c r="CO86" s="100">
        <v>1767.091047851671</v>
      </c>
      <c r="CP86" s="100">
        <v>7.3210163968729631</v>
      </c>
      <c r="CQ86" s="100">
        <v>3953.3488543113999</v>
      </c>
      <c r="CR86" s="100">
        <v>6.8279377074872123</v>
      </c>
      <c r="CS86" s="100">
        <v>3687.0863620430946</v>
      </c>
      <c r="CT86" s="100">
        <v>9.4535239371622346</v>
      </c>
      <c r="CU86" s="100">
        <v>5104.902926067607</v>
      </c>
    </row>
    <row r="87" spans="2:99">
      <c r="B87" s="99" t="s">
        <v>131</v>
      </c>
      <c r="C87" s="99" t="s">
        <v>253</v>
      </c>
      <c r="D87" s="100">
        <v>7</v>
      </c>
      <c r="E87" s="100">
        <v>7518</v>
      </c>
      <c r="F87" s="100">
        <v>4.965852580973813</v>
      </c>
      <c r="G87" s="100">
        <v>5333.3256719658748</v>
      </c>
      <c r="H87" s="100">
        <v>4.658548989157028</v>
      </c>
      <c r="I87" s="100">
        <v>5003.2816143546479</v>
      </c>
      <c r="J87" s="100">
        <v>4.1150516070887067</v>
      </c>
      <c r="K87" s="100">
        <v>4419.5654260132706</v>
      </c>
      <c r="L87" s="100">
        <v>3.4075613543181014E-4</v>
      </c>
      <c r="M87" s="100">
        <v>0.36597208945376408</v>
      </c>
      <c r="N87" s="100">
        <v>5.6833422400642792</v>
      </c>
      <c r="O87" s="100">
        <v>6103.9095658290362</v>
      </c>
      <c r="P87" s="100">
        <v>4.0140086508982629</v>
      </c>
      <c r="Q87" s="100">
        <v>4311.0452910647346</v>
      </c>
      <c r="R87" s="100">
        <v>5.3136406989973342</v>
      </c>
      <c r="S87" s="100">
        <v>5706.8501107231368</v>
      </c>
      <c r="T87" s="100">
        <v>0.36943183498417831</v>
      </c>
      <c r="U87" s="100">
        <v>396.76979077300751</v>
      </c>
      <c r="V87" s="100">
        <v>5.272441249146441</v>
      </c>
      <c r="W87" s="100">
        <v>5662.601901583278</v>
      </c>
      <c r="X87" s="100">
        <v>5.6163059315525841</v>
      </c>
      <c r="Y87" s="100">
        <v>6031.912570487475</v>
      </c>
      <c r="Z87" s="100">
        <v>4.4315940384032233</v>
      </c>
      <c r="AA87" s="100">
        <v>4759.5319972450616</v>
      </c>
      <c r="AB87" s="100">
        <v>4.2569499383676277</v>
      </c>
      <c r="AC87" s="100">
        <v>4571.9642338068325</v>
      </c>
      <c r="AD87" s="100">
        <v>5.7610722499241911</v>
      </c>
      <c r="AE87" s="100">
        <v>6187.3915964185817</v>
      </c>
      <c r="AF87" s="100">
        <v>0.33701065133654129</v>
      </c>
      <c r="AG87" s="100">
        <v>361.94943953544532</v>
      </c>
      <c r="AH87" s="100">
        <v>6.2423951514191254</v>
      </c>
      <c r="AI87" s="100">
        <v>6704.332392624141</v>
      </c>
      <c r="AJ87" s="100">
        <v>1.5557193456369383</v>
      </c>
      <c r="AK87" s="100">
        <v>1670.8425772140718</v>
      </c>
      <c r="AL87" s="100">
        <v>4.5780054601252003</v>
      </c>
      <c r="AM87" s="100">
        <v>4916.7778641744653</v>
      </c>
      <c r="AN87" s="100">
        <v>4.995149349645251</v>
      </c>
      <c r="AO87" s="100">
        <v>5364.7904015189997</v>
      </c>
      <c r="AP87" s="100">
        <v>5.4835314240603505</v>
      </c>
      <c r="AQ87" s="100">
        <v>5889.3127494408163</v>
      </c>
      <c r="AR87" s="100">
        <v>1.8344349093833157</v>
      </c>
      <c r="AS87" s="100">
        <v>1970.1830926776811</v>
      </c>
      <c r="AT87" s="100">
        <v>4.0075143366669161</v>
      </c>
      <c r="AU87" s="100">
        <v>4304.070397580268</v>
      </c>
      <c r="AV87" s="100">
        <v>4.4034497542719633</v>
      </c>
      <c r="AW87" s="100">
        <v>4729.3050360880889</v>
      </c>
      <c r="AX87" s="100">
        <v>6.3969754253308144</v>
      </c>
      <c r="AY87" s="100">
        <v>6870.351606805295</v>
      </c>
      <c r="AZ87" s="100">
        <v>1.3517924472134</v>
      </c>
      <c r="BA87" s="100">
        <v>1451.8250883071917</v>
      </c>
      <c r="BB87" s="100">
        <v>5.0357161520712896</v>
      </c>
      <c r="BC87" s="100">
        <v>5408.3591473245651</v>
      </c>
      <c r="BD87" s="100">
        <v>5.9191491177976028</v>
      </c>
      <c r="BE87" s="100">
        <v>6357.1661525146255</v>
      </c>
      <c r="BF87" s="100">
        <v>5.338445328115081</v>
      </c>
      <c r="BG87" s="100">
        <v>5733.4902823955972</v>
      </c>
      <c r="BH87" s="100">
        <v>0.36207057803248632</v>
      </c>
      <c r="BI87" s="100">
        <v>388.86380080689031</v>
      </c>
      <c r="BJ87" s="100">
        <v>5.3219032049480424</v>
      </c>
      <c r="BK87" s="100">
        <v>5715.7240421141978</v>
      </c>
      <c r="BL87" s="100">
        <v>4.7267888212088307</v>
      </c>
      <c r="BM87" s="100">
        <v>5076.5711939782841</v>
      </c>
      <c r="BN87" s="100">
        <v>7.4653739612188375</v>
      </c>
      <c r="BO87" s="100">
        <v>8017.811634349031</v>
      </c>
      <c r="BP87" s="100">
        <v>0.51577160972346081</v>
      </c>
      <c r="BQ87" s="100">
        <v>553.9387088429969</v>
      </c>
      <c r="BR87" s="100">
        <v>4.4816864617659657</v>
      </c>
      <c r="BS87" s="100">
        <v>4813.3312599366473</v>
      </c>
      <c r="BT87" s="100">
        <v>3.4954082542960339</v>
      </c>
      <c r="BU87" s="100">
        <v>3754.0684651139404</v>
      </c>
      <c r="BV87" s="100">
        <v>1.4722468684706747</v>
      </c>
      <c r="BW87" s="100">
        <v>1581.1931367375046</v>
      </c>
      <c r="BX87" s="100">
        <v>5.2469642939100662</v>
      </c>
      <c r="BY87" s="100">
        <v>5635.2396516594108</v>
      </c>
      <c r="BZ87" s="100">
        <v>2.9656313476540093</v>
      </c>
      <c r="CA87" s="100">
        <v>3185.0880673804058</v>
      </c>
      <c r="CB87" s="100">
        <v>5.541146264192145</v>
      </c>
      <c r="CC87" s="100">
        <v>5951.1910877423634</v>
      </c>
      <c r="CD87" s="100">
        <v>0.31402797460429888</v>
      </c>
      <c r="CE87" s="100">
        <v>337.26604472501697</v>
      </c>
      <c r="CF87" s="100">
        <v>5.2215539052155755</v>
      </c>
      <c r="CG87" s="100">
        <v>5607.9488942015278</v>
      </c>
      <c r="CH87" s="100">
        <v>2.234305971267486</v>
      </c>
      <c r="CI87" s="100">
        <v>2399.6446131412799</v>
      </c>
      <c r="CJ87" s="100">
        <v>6.4356017779319767</v>
      </c>
      <c r="CK87" s="100">
        <v>6911.8363094989427</v>
      </c>
      <c r="CL87" s="100">
        <v>5</v>
      </c>
      <c r="CM87" s="100">
        <v>5370</v>
      </c>
      <c r="CN87" s="100">
        <v>5.1748698354071641</v>
      </c>
      <c r="CO87" s="100">
        <v>5557.8102032272946</v>
      </c>
      <c r="CP87" s="100">
        <v>6.387751038187675</v>
      </c>
      <c r="CQ87" s="100">
        <v>6860.4446150135627</v>
      </c>
      <c r="CR87" s="100">
        <v>5.057455910674614</v>
      </c>
      <c r="CS87" s="100">
        <v>5431.7076480645355</v>
      </c>
      <c r="CT87" s="100">
        <v>4.6971001071780387</v>
      </c>
      <c r="CU87" s="100">
        <v>5044.6855151092132</v>
      </c>
    </row>
    <row r="88" spans="2:99">
      <c r="C88" s="99" t="s">
        <v>254</v>
      </c>
      <c r="D88" s="100">
        <v>7</v>
      </c>
      <c r="E88" s="100">
        <v>6946.8</v>
      </c>
      <c r="F88" s="100">
        <v>5.7934946778027818</v>
      </c>
      <c r="G88" s="100">
        <v>5749.4641182514806</v>
      </c>
      <c r="H88" s="100">
        <v>4.658548989157028</v>
      </c>
      <c r="I88" s="100">
        <v>4623.1440168394347</v>
      </c>
      <c r="J88" s="100">
        <v>4.1150516070887067</v>
      </c>
      <c r="K88" s="100">
        <v>4083.7772148748322</v>
      </c>
      <c r="L88" s="100">
        <v>3.4075613543181014E-4</v>
      </c>
      <c r="M88" s="100">
        <v>0.33816638880252836</v>
      </c>
      <c r="N88" s="100">
        <v>5.6933369084359473</v>
      </c>
      <c r="O88" s="100">
        <v>5650.0675479318343</v>
      </c>
      <c r="P88" s="100">
        <v>4.0140086508982629</v>
      </c>
      <c r="Q88" s="100">
        <v>3983.5021851514362</v>
      </c>
      <c r="R88" s="100">
        <v>4.6923004619553446</v>
      </c>
      <c r="S88" s="100">
        <v>4656.6389784444837</v>
      </c>
      <c r="T88" s="100">
        <v>0.2972971773558763</v>
      </c>
      <c r="U88" s="100">
        <v>295.03771880797166</v>
      </c>
      <c r="V88" s="100">
        <v>5.272441249146441</v>
      </c>
      <c r="W88" s="100">
        <v>5232.3706956529277</v>
      </c>
      <c r="X88" s="100">
        <v>6.4186353503458102</v>
      </c>
      <c r="Y88" s="100">
        <v>6369.8537216831819</v>
      </c>
      <c r="Z88" s="100">
        <v>5.0646789010322557</v>
      </c>
      <c r="AA88" s="100">
        <v>5026.1873413844105</v>
      </c>
      <c r="AB88" s="100">
        <v>4.2569499383676277</v>
      </c>
      <c r="AC88" s="100">
        <v>4224.5971188360336</v>
      </c>
      <c r="AD88" s="100">
        <v>5.7610722499241911</v>
      </c>
      <c r="AE88" s="100">
        <v>5717.2881008247668</v>
      </c>
      <c r="AF88" s="100">
        <v>0.3660071944953599</v>
      </c>
      <c r="AG88" s="100">
        <v>363.22553981719517</v>
      </c>
      <c r="AH88" s="100">
        <v>7.2077672726449649</v>
      </c>
      <c r="AI88" s="100">
        <v>7152.9882413728628</v>
      </c>
      <c r="AJ88" s="100">
        <v>1.5557193456369383</v>
      </c>
      <c r="AK88" s="100">
        <v>1543.8958786100975</v>
      </c>
      <c r="AL88" s="100">
        <v>4.5808004141610228</v>
      </c>
      <c r="AM88" s="100">
        <v>4545.9863310133987</v>
      </c>
      <c r="AN88" s="100">
        <v>4.2815565854102147</v>
      </c>
      <c r="AO88" s="100">
        <v>4249.0167553610972</v>
      </c>
      <c r="AP88" s="100">
        <v>5.4835314240603505</v>
      </c>
      <c r="AQ88" s="100">
        <v>5441.8565852374913</v>
      </c>
      <c r="AR88" s="100">
        <v>1.4949321269727236</v>
      </c>
      <c r="AS88" s="100">
        <v>1483.5706428077308</v>
      </c>
      <c r="AT88" s="100">
        <v>4.0075143366669161</v>
      </c>
      <c r="AU88" s="100">
        <v>3977.0572277082474</v>
      </c>
      <c r="AV88" s="100">
        <v>4.3825751756876024</v>
      </c>
      <c r="AW88" s="100">
        <v>4349.2676043523761</v>
      </c>
      <c r="AX88" s="100">
        <v>7.4763705103969773</v>
      </c>
      <c r="AY88" s="100">
        <v>7419.5500945179601</v>
      </c>
      <c r="AZ88" s="100">
        <v>1.3517924472134</v>
      </c>
      <c r="BA88" s="100">
        <v>1341.5188246145781</v>
      </c>
      <c r="BB88" s="100">
        <v>6.0357161520712896</v>
      </c>
      <c r="BC88" s="100">
        <v>5989.8447093155473</v>
      </c>
      <c r="BD88" s="100">
        <v>5.9191491177976028</v>
      </c>
      <c r="BE88" s="100">
        <v>5874.1635845023411</v>
      </c>
      <c r="BF88" s="100">
        <v>5.338445328115081</v>
      </c>
      <c r="BG88" s="100">
        <v>5297.8731436214066</v>
      </c>
      <c r="BH88" s="100">
        <v>0.36207057803248632</v>
      </c>
      <c r="BI88" s="100">
        <v>359.31884163943943</v>
      </c>
      <c r="BJ88" s="100">
        <v>5.3825596008560979</v>
      </c>
      <c r="BK88" s="100">
        <v>5341.6521478895911</v>
      </c>
      <c r="BL88" s="100">
        <v>4.7260317331113484</v>
      </c>
      <c r="BM88" s="100">
        <v>4690.1138919397017</v>
      </c>
      <c r="BN88" s="100">
        <v>7.5817174515235468</v>
      </c>
      <c r="BO88" s="100">
        <v>7524.0963988919675</v>
      </c>
      <c r="BP88" s="100">
        <v>0.51577160972346081</v>
      </c>
      <c r="BQ88" s="100">
        <v>511.85174548956252</v>
      </c>
      <c r="BR88" s="100">
        <v>4.6064283257104588</v>
      </c>
      <c r="BS88" s="100">
        <v>4571.4194704350593</v>
      </c>
      <c r="BT88" s="100">
        <v>3.05848222250903</v>
      </c>
      <c r="BU88" s="100">
        <v>3035.2377576179615</v>
      </c>
      <c r="BV88" s="100">
        <v>1.3086638830850441</v>
      </c>
      <c r="BW88" s="100">
        <v>1298.7180375735977</v>
      </c>
      <c r="BX88" s="100">
        <v>4.6963772999668496</v>
      </c>
      <c r="BY88" s="100">
        <v>4660.6848324871016</v>
      </c>
      <c r="BZ88" s="100">
        <v>3.5928040861482353</v>
      </c>
      <c r="CA88" s="100">
        <v>3565.4987750935088</v>
      </c>
      <c r="CB88" s="100">
        <v>4.9056020225126264</v>
      </c>
      <c r="CC88" s="100">
        <v>4868.31944714153</v>
      </c>
      <c r="CD88" s="100">
        <v>0.3654686487277915</v>
      </c>
      <c r="CE88" s="100">
        <v>362.69108699746027</v>
      </c>
      <c r="CF88" s="100">
        <v>5.2215539052155755</v>
      </c>
      <c r="CG88" s="100">
        <v>5181.8700955359373</v>
      </c>
      <c r="CH88" s="100">
        <v>2.234305971267486</v>
      </c>
      <c r="CI88" s="100">
        <v>2217.3252458858528</v>
      </c>
      <c r="CJ88" s="100">
        <v>5.3733729525131233</v>
      </c>
      <c r="CK88" s="100">
        <v>5332.5353180740231</v>
      </c>
      <c r="CL88" s="100">
        <v>5</v>
      </c>
      <c r="CM88" s="100">
        <v>4962</v>
      </c>
      <c r="CN88" s="100">
        <v>5.8217285648330588</v>
      </c>
      <c r="CO88" s="100">
        <v>5777.483427740327</v>
      </c>
      <c r="CP88" s="100">
        <v>6.387751038187675</v>
      </c>
      <c r="CQ88" s="100">
        <v>6339.2041302974485</v>
      </c>
      <c r="CR88" s="100">
        <v>4.4252739218402874</v>
      </c>
      <c r="CS88" s="100">
        <v>4391.6418400343009</v>
      </c>
      <c r="CT88" s="100">
        <v>4.7502807433685801</v>
      </c>
      <c r="CU88" s="100">
        <v>4714.1786097189788</v>
      </c>
    </row>
    <row r="89" spans="2:99">
      <c r="C89" s="99" t="s">
        <v>255</v>
      </c>
      <c r="D89" s="100">
        <v>7</v>
      </c>
      <c r="E89" s="100">
        <v>7434</v>
      </c>
      <c r="F89" s="100">
        <v>5.7934946778027818</v>
      </c>
      <c r="G89" s="100">
        <v>6152.6913478265542</v>
      </c>
      <c r="H89" s="100">
        <v>3.8821241576308565</v>
      </c>
      <c r="I89" s="100">
        <v>4122.8158554039692</v>
      </c>
      <c r="J89" s="100">
        <v>4.1150516070887067</v>
      </c>
      <c r="K89" s="100">
        <v>4370.1848067282062</v>
      </c>
      <c r="L89" s="100">
        <v>3.4075613543181014E-4</v>
      </c>
      <c r="M89" s="100">
        <v>0.36188301582858234</v>
      </c>
      <c r="N89" s="100">
        <v>4.9440781274051382</v>
      </c>
      <c r="O89" s="100">
        <v>5250.610971304257</v>
      </c>
      <c r="P89" s="100">
        <v>3.3450072090818859</v>
      </c>
      <c r="Q89" s="100">
        <v>3552.3976560449628</v>
      </c>
      <c r="R89" s="100">
        <v>4.6923004619553446</v>
      </c>
      <c r="S89" s="100">
        <v>4983.2230905965762</v>
      </c>
      <c r="T89" s="100">
        <v>0.29642132267160942</v>
      </c>
      <c r="U89" s="100">
        <v>314.7994446772492</v>
      </c>
      <c r="V89" s="100">
        <v>5.2270343742887011</v>
      </c>
      <c r="W89" s="100">
        <v>5551.1105054946001</v>
      </c>
      <c r="X89" s="100">
        <v>5.6163059315525841</v>
      </c>
      <c r="Y89" s="100">
        <v>5964.5168993088446</v>
      </c>
      <c r="Z89" s="100">
        <v>5.0646789010322557</v>
      </c>
      <c r="AA89" s="100">
        <v>5378.6889928962555</v>
      </c>
      <c r="AB89" s="100">
        <v>4.2569499383676277</v>
      </c>
      <c r="AC89" s="100">
        <v>4520.8808345464204</v>
      </c>
      <c r="AD89" s="100">
        <v>5.7610722499241911</v>
      </c>
      <c r="AE89" s="100">
        <v>6118.2587294194909</v>
      </c>
      <c r="AF89" s="100">
        <v>0.33701065133654129</v>
      </c>
      <c r="AG89" s="100">
        <v>357.90531171940682</v>
      </c>
      <c r="AH89" s="100">
        <v>7.2077672726449649</v>
      </c>
      <c r="AI89" s="100">
        <v>7654.6488435489528</v>
      </c>
      <c r="AJ89" s="100">
        <v>1.564668736586087</v>
      </c>
      <c r="AK89" s="100">
        <v>1661.6781982544244</v>
      </c>
      <c r="AL89" s="100">
        <v>4.6516833965340361</v>
      </c>
      <c r="AM89" s="100">
        <v>4940.0877671191465</v>
      </c>
      <c r="AN89" s="100">
        <v>4.995149349645251</v>
      </c>
      <c r="AO89" s="100">
        <v>5304.8486093232568</v>
      </c>
      <c r="AP89" s="100">
        <v>5.5802377088724207</v>
      </c>
      <c r="AQ89" s="100">
        <v>5926.2124468225111</v>
      </c>
      <c r="AR89" s="100">
        <v>1.7597507290213037</v>
      </c>
      <c r="AS89" s="100">
        <v>1868.8552742206246</v>
      </c>
      <c r="AT89" s="100">
        <v>4.0075143366669161</v>
      </c>
      <c r="AU89" s="100">
        <v>4255.9802255402647</v>
      </c>
      <c r="AV89" s="100">
        <v>4.4034497542719633</v>
      </c>
      <c r="AW89" s="100">
        <v>4676.463639036825</v>
      </c>
      <c r="AX89" s="100">
        <v>8.4763705103969773</v>
      </c>
      <c r="AY89" s="100">
        <v>9001.9054820415895</v>
      </c>
      <c r="AZ89" s="100">
        <v>1.3517924472134</v>
      </c>
      <c r="BA89" s="100">
        <v>1435.6035789406308</v>
      </c>
      <c r="BB89" s="100">
        <v>6.0357161520712896</v>
      </c>
      <c r="BC89" s="100">
        <v>6409.9305534997093</v>
      </c>
      <c r="BD89" s="100">
        <v>5.9191491177976028</v>
      </c>
      <c r="BE89" s="100">
        <v>6286.1363631010545</v>
      </c>
      <c r="BF89" s="100">
        <v>5.338445328115081</v>
      </c>
      <c r="BG89" s="100">
        <v>5669.4289384582162</v>
      </c>
      <c r="BH89" s="100">
        <v>0.31290136925000644</v>
      </c>
      <c r="BI89" s="100">
        <v>332.30125414350687</v>
      </c>
      <c r="BJ89" s="100">
        <v>5.3825596008560979</v>
      </c>
      <c r="BK89" s="100">
        <v>5716.2782961091762</v>
      </c>
      <c r="BL89" s="100">
        <v>5.3444432075813264</v>
      </c>
      <c r="BM89" s="100">
        <v>5675.7986864513687</v>
      </c>
      <c r="BN89" s="100">
        <v>7.5817174515235468</v>
      </c>
      <c r="BO89" s="100">
        <v>8051.783933518007</v>
      </c>
      <c r="BP89" s="100">
        <v>0.51577160972346081</v>
      </c>
      <c r="BQ89" s="100">
        <v>547.7494495263154</v>
      </c>
      <c r="BR89" s="100">
        <v>4.4816864617659657</v>
      </c>
      <c r="BS89" s="100">
        <v>4759.5510223954552</v>
      </c>
      <c r="BT89" s="100">
        <v>3.05848222250903</v>
      </c>
      <c r="BU89" s="100">
        <v>3248.1081203045896</v>
      </c>
      <c r="BV89" s="100">
        <v>1.3086638830850441</v>
      </c>
      <c r="BW89" s="100">
        <v>1389.8010438363169</v>
      </c>
      <c r="BX89" s="100">
        <v>5.2466429652690945</v>
      </c>
      <c r="BY89" s="100">
        <v>5571.9348291157785</v>
      </c>
      <c r="BZ89" s="100">
        <v>2.9656313476540093</v>
      </c>
      <c r="CA89" s="100">
        <v>3149.5004912085578</v>
      </c>
      <c r="CB89" s="100">
        <v>5.5737742878175718</v>
      </c>
      <c r="CC89" s="100">
        <v>5919.3482936622613</v>
      </c>
      <c r="CD89" s="100">
        <v>0.36487043429853128</v>
      </c>
      <c r="CE89" s="100">
        <v>387.49240122504023</v>
      </c>
      <c r="CF89" s="100">
        <v>5.2215539052155755</v>
      </c>
      <c r="CG89" s="100">
        <v>5545.2902473389413</v>
      </c>
      <c r="CH89" s="100">
        <v>2.6010524935957475</v>
      </c>
      <c r="CI89" s="100">
        <v>2762.3177481986841</v>
      </c>
      <c r="CJ89" s="100">
        <v>6.4356017779319767</v>
      </c>
      <c r="CK89" s="100">
        <v>6834.6090881637592</v>
      </c>
      <c r="CL89" s="100">
        <v>5</v>
      </c>
      <c r="CM89" s="100">
        <v>5310</v>
      </c>
      <c r="CN89" s="100">
        <v>5.8217285648330588</v>
      </c>
      <c r="CO89" s="100">
        <v>6182.6757358527084</v>
      </c>
      <c r="CP89" s="100">
        <v>6.387751038187675</v>
      </c>
      <c r="CQ89" s="100">
        <v>6783.7916025553104</v>
      </c>
      <c r="CR89" s="100">
        <v>4.4252739218402874</v>
      </c>
      <c r="CS89" s="100">
        <v>4699.640904994385</v>
      </c>
      <c r="CT89" s="100">
        <v>4.6924602113410421</v>
      </c>
      <c r="CU89" s="100">
        <v>4983.392744444187</v>
      </c>
    </row>
    <row r="90" spans="2:99">
      <c r="C90" s="99" t="s">
        <v>256</v>
      </c>
      <c r="D90" s="100">
        <v>8</v>
      </c>
      <c r="E90" s="100">
        <v>8870.4</v>
      </c>
      <c r="F90" s="100">
        <v>4.965852580973813</v>
      </c>
      <c r="G90" s="100">
        <v>5506.137341783764</v>
      </c>
      <c r="H90" s="100">
        <v>4.658548989157028</v>
      </c>
      <c r="I90" s="100">
        <v>5165.3991191773121</v>
      </c>
      <c r="J90" s="100">
        <v>4.1150516070887067</v>
      </c>
      <c r="K90" s="100">
        <v>4562.7692219399578</v>
      </c>
      <c r="L90" s="100">
        <v>3.8781054170750062E-4</v>
      </c>
      <c r="M90" s="100">
        <v>0.43000432864527666</v>
      </c>
      <c r="N90" s="100">
        <v>4.9560717294511392</v>
      </c>
      <c r="O90" s="100">
        <v>5495.2923336154226</v>
      </c>
      <c r="P90" s="100">
        <v>4.0140086508982629</v>
      </c>
      <c r="Q90" s="100">
        <v>4450.732792115994</v>
      </c>
      <c r="R90" s="100">
        <v>5.2450569384650478</v>
      </c>
      <c r="S90" s="100">
        <v>5815.7191333700448</v>
      </c>
      <c r="T90" s="100">
        <v>0.36943183498417831</v>
      </c>
      <c r="U90" s="100">
        <v>409.62601863045688</v>
      </c>
      <c r="V90" s="100">
        <v>4.272441249146441</v>
      </c>
      <c r="W90" s="100">
        <v>4737.2828570535739</v>
      </c>
      <c r="X90" s="100">
        <v>5.6163059315525841</v>
      </c>
      <c r="Y90" s="100">
        <v>6227.3600169055053</v>
      </c>
      <c r="Z90" s="100">
        <v>4.4315940384032233</v>
      </c>
      <c r="AA90" s="100">
        <v>4913.7514697814941</v>
      </c>
      <c r="AB90" s="100">
        <v>3.4055599506941023</v>
      </c>
      <c r="AC90" s="100">
        <v>3776.0848733296207</v>
      </c>
      <c r="AD90" s="100">
        <v>4.9380619285064489</v>
      </c>
      <c r="AE90" s="100">
        <v>5475.3230663279501</v>
      </c>
      <c r="AF90" s="100">
        <v>0.3660071944953599</v>
      </c>
      <c r="AG90" s="100">
        <v>405.82877725645506</v>
      </c>
      <c r="AH90" s="100">
        <v>7.2423951514191254</v>
      </c>
      <c r="AI90" s="100">
        <v>8030.3677438935256</v>
      </c>
      <c r="AJ90" s="100">
        <v>1.5467699546877898</v>
      </c>
      <c r="AK90" s="100">
        <v>1715.0585257578211</v>
      </c>
      <c r="AL90" s="100">
        <v>5.1729906763406079</v>
      </c>
      <c r="AM90" s="100">
        <v>5735.8120619264655</v>
      </c>
      <c r="AN90" s="100">
        <v>4.2815565854102147</v>
      </c>
      <c r="AO90" s="100">
        <v>4747.3899419028457</v>
      </c>
      <c r="AP90" s="100">
        <v>5.4835314240603505</v>
      </c>
      <c r="AQ90" s="100">
        <v>6080.1396429981169</v>
      </c>
      <c r="AR90" s="100">
        <v>1.8344349093833157</v>
      </c>
      <c r="AS90" s="100">
        <v>2034.0214275242204</v>
      </c>
      <c r="AT90" s="100">
        <v>4.0075143366669161</v>
      </c>
      <c r="AU90" s="100">
        <v>4443.5318964962762</v>
      </c>
      <c r="AV90" s="100">
        <v>4.4013622964135273</v>
      </c>
      <c r="AW90" s="100">
        <v>4880.2305142633186</v>
      </c>
      <c r="AX90" s="100">
        <v>7.4763705103969773</v>
      </c>
      <c r="AY90" s="100">
        <v>8289.7996219281686</v>
      </c>
      <c r="AZ90" s="100">
        <v>1.3623021475056101</v>
      </c>
      <c r="BA90" s="100">
        <v>1510.5206211542204</v>
      </c>
      <c r="BB90" s="100">
        <v>5.0357161520712896</v>
      </c>
      <c r="BC90" s="100">
        <v>5583.6020694166455</v>
      </c>
      <c r="BD90" s="100">
        <v>5.9191491177976028</v>
      </c>
      <c r="BE90" s="100">
        <v>6563.1525418139818</v>
      </c>
      <c r="BF90" s="100">
        <v>5.338445328115081</v>
      </c>
      <c r="BG90" s="100">
        <v>5919.268179814002</v>
      </c>
      <c r="BH90" s="100">
        <v>0.31290136925000644</v>
      </c>
      <c r="BI90" s="100">
        <v>346.94503822440714</v>
      </c>
      <c r="BJ90" s="100">
        <v>4.7724734358388456</v>
      </c>
      <c r="BK90" s="100">
        <v>5291.7185456581119</v>
      </c>
      <c r="BL90" s="100">
        <v>4.7260317331113484</v>
      </c>
      <c r="BM90" s="100">
        <v>5240.2239856738624</v>
      </c>
      <c r="BN90" s="100">
        <v>8.4653739612188375</v>
      </c>
      <c r="BO90" s="100">
        <v>9386.4066481994469</v>
      </c>
      <c r="BP90" s="100">
        <v>0.51577160972346081</v>
      </c>
      <c r="BQ90" s="100">
        <v>571.88756086137334</v>
      </c>
      <c r="BR90" s="100">
        <v>4.6064283257104588</v>
      </c>
      <c r="BS90" s="100">
        <v>5107.6077275477564</v>
      </c>
      <c r="BT90" s="100">
        <v>3.05848222250903</v>
      </c>
      <c r="BU90" s="100">
        <v>3391.2450883180122</v>
      </c>
      <c r="BV90" s="100">
        <v>1.150544730830225</v>
      </c>
      <c r="BW90" s="100">
        <v>1275.7239975445534</v>
      </c>
      <c r="BX90" s="100">
        <v>4.6960559713258787</v>
      </c>
      <c r="BY90" s="100">
        <v>5206.9868610061339</v>
      </c>
      <c r="BZ90" s="100">
        <v>3.0544950642998172</v>
      </c>
      <c r="CA90" s="100">
        <v>3386.824127295637</v>
      </c>
      <c r="CB90" s="100">
        <v>4.8729739988871978</v>
      </c>
      <c r="CC90" s="100">
        <v>5403.1535699661245</v>
      </c>
      <c r="CD90" s="100">
        <v>0.3654686487277915</v>
      </c>
      <c r="CE90" s="100">
        <v>405.23163770937521</v>
      </c>
      <c r="CF90" s="100">
        <v>4.2215539052155755</v>
      </c>
      <c r="CG90" s="100">
        <v>4680.8589701030296</v>
      </c>
      <c r="CH90" s="100">
        <v>2.6010524935957475</v>
      </c>
      <c r="CI90" s="100">
        <v>2884.0470048989646</v>
      </c>
      <c r="CJ90" s="100">
        <v>6.4356017779319767</v>
      </c>
      <c r="CK90" s="100">
        <v>7135.7952513709752</v>
      </c>
      <c r="CL90" s="100">
        <v>5</v>
      </c>
      <c r="CM90" s="100">
        <v>5544</v>
      </c>
      <c r="CN90" s="100">
        <v>5.1748698354071641</v>
      </c>
      <c r="CO90" s="100">
        <v>5737.8956734994636</v>
      </c>
      <c r="CP90" s="100">
        <v>6.387751038187675</v>
      </c>
      <c r="CQ90" s="100">
        <v>7082.7383511424941</v>
      </c>
      <c r="CR90" s="100">
        <v>5.057455910674614</v>
      </c>
      <c r="CS90" s="100">
        <v>5607.7071137560115</v>
      </c>
      <c r="CT90" s="100">
        <v>4.1989910689987253</v>
      </c>
      <c r="CU90" s="100">
        <v>4655.8412973057866</v>
      </c>
    </row>
    <row r="91" spans="2:99">
      <c r="C91" s="99" t="s">
        <v>257</v>
      </c>
      <c r="D91" s="100">
        <v>7</v>
      </c>
      <c r="E91" s="100">
        <v>7954.7999999999993</v>
      </c>
      <c r="F91" s="100">
        <v>4.965852580973813</v>
      </c>
      <c r="G91" s="100">
        <v>5643.1948730186405</v>
      </c>
      <c r="H91" s="100">
        <v>4.658548989157028</v>
      </c>
      <c r="I91" s="100">
        <v>5293.975071278046</v>
      </c>
      <c r="J91" s="100">
        <v>4.1150516070887067</v>
      </c>
      <c r="K91" s="100">
        <v>4676.3446462956053</v>
      </c>
      <c r="L91" s="100">
        <v>3.426520173488064E-4</v>
      </c>
      <c r="M91" s="100">
        <v>0.38938975251518354</v>
      </c>
      <c r="N91" s="100">
        <v>4.9540727957768054</v>
      </c>
      <c r="O91" s="100">
        <v>5629.8083251207609</v>
      </c>
      <c r="P91" s="100">
        <v>4.2205069194446727</v>
      </c>
      <c r="Q91" s="100">
        <v>4796.1840632569256</v>
      </c>
      <c r="R91" s="100">
        <v>5.3136406989973342</v>
      </c>
      <c r="S91" s="100">
        <v>6038.4212903405696</v>
      </c>
      <c r="T91" s="100">
        <v>0.2972971773558763</v>
      </c>
      <c r="U91" s="100">
        <v>337.84851234721776</v>
      </c>
      <c r="V91" s="100">
        <v>4.272441249146441</v>
      </c>
      <c r="W91" s="100">
        <v>4855.2022355300151</v>
      </c>
      <c r="X91" s="100">
        <v>4.8139765127593579</v>
      </c>
      <c r="Y91" s="100">
        <v>5470.6029090997336</v>
      </c>
      <c r="Z91" s="100">
        <v>5.0646789010322557</v>
      </c>
      <c r="AA91" s="100">
        <v>5755.501103133055</v>
      </c>
      <c r="AB91" s="100">
        <v>4.2569499383676277</v>
      </c>
      <c r="AC91" s="100">
        <v>4837.5979099609713</v>
      </c>
      <c r="AD91" s="100">
        <v>4.9380619285064489</v>
      </c>
      <c r="AE91" s="100">
        <v>5611.6135755547275</v>
      </c>
      <c r="AF91" s="100">
        <v>0.33701065133654129</v>
      </c>
      <c r="AG91" s="100">
        <v>382.97890417884548</v>
      </c>
      <c r="AH91" s="100">
        <v>7.2423951514191254</v>
      </c>
      <c r="AI91" s="100">
        <v>8230.2578500726922</v>
      </c>
      <c r="AJ91" s="100">
        <v>1.3802718831992615</v>
      </c>
      <c r="AK91" s="100">
        <v>1568.5409680676405</v>
      </c>
      <c r="AL91" s="100">
        <v>5.2494635667852663</v>
      </c>
      <c r="AM91" s="100">
        <v>5965.4903972947759</v>
      </c>
      <c r="AN91" s="100">
        <v>4.2815565854102147</v>
      </c>
      <c r="AO91" s="100">
        <v>4865.5609036601672</v>
      </c>
      <c r="AP91" s="100">
        <v>5.5802377088724207</v>
      </c>
      <c r="AQ91" s="100">
        <v>6341.382132362618</v>
      </c>
      <c r="AR91" s="100">
        <v>1.8468822727769842</v>
      </c>
      <c r="AS91" s="100">
        <v>2098.7970147837646</v>
      </c>
      <c r="AT91" s="100">
        <v>4.0075143366669161</v>
      </c>
      <c r="AU91" s="100">
        <v>4554.1392921882825</v>
      </c>
      <c r="AV91" s="100">
        <v>4.4013622964135273</v>
      </c>
      <c r="AW91" s="100">
        <v>5001.7081136443321</v>
      </c>
      <c r="AX91" s="100">
        <v>7.3969754253308144</v>
      </c>
      <c r="AY91" s="100">
        <v>8405.9228733459368</v>
      </c>
      <c r="AZ91" s="100">
        <v>1.2466954442912994</v>
      </c>
      <c r="BA91" s="100">
        <v>1416.7447028926324</v>
      </c>
      <c r="BB91" s="100">
        <v>5.0357161520712896</v>
      </c>
      <c r="BC91" s="100">
        <v>5722.5878352138125</v>
      </c>
      <c r="BD91" s="100">
        <v>5.9191491177976028</v>
      </c>
      <c r="BE91" s="100">
        <v>6726.5210574651946</v>
      </c>
      <c r="BF91" s="100">
        <v>5.338445328115081</v>
      </c>
      <c r="BG91" s="100">
        <v>6066.6092708699771</v>
      </c>
      <c r="BH91" s="100">
        <v>0.26149639589813567</v>
      </c>
      <c r="BI91" s="100">
        <v>297.16450429864136</v>
      </c>
      <c r="BJ91" s="100">
        <v>5.3825596008560979</v>
      </c>
      <c r="BK91" s="100">
        <v>6116.7407304128692</v>
      </c>
      <c r="BL91" s="100">
        <v>4.3658876074193378</v>
      </c>
      <c r="BM91" s="100">
        <v>4961.3946770713346</v>
      </c>
      <c r="BN91" s="100">
        <v>8.5817174515235468</v>
      </c>
      <c r="BO91" s="100">
        <v>9752.2637119113569</v>
      </c>
      <c r="BP91" s="100">
        <v>0.51577160972346081</v>
      </c>
      <c r="BQ91" s="100">
        <v>586.12285728974075</v>
      </c>
      <c r="BR91" s="100">
        <v>4.6064283257104588</v>
      </c>
      <c r="BS91" s="100">
        <v>5234.7451493373646</v>
      </c>
      <c r="BT91" s="100">
        <v>3.4954082542960339</v>
      </c>
      <c r="BU91" s="100">
        <v>3972.1819401820126</v>
      </c>
      <c r="BV91" s="100">
        <v>1.3086638830850441</v>
      </c>
      <c r="BW91" s="100">
        <v>1487.1656367378439</v>
      </c>
      <c r="BX91" s="100">
        <v>4.6963772999668496</v>
      </c>
      <c r="BY91" s="100">
        <v>5336.9631636823269</v>
      </c>
      <c r="BZ91" s="100">
        <v>2.9638282318757141</v>
      </c>
      <c r="CA91" s="100">
        <v>3368.0944027035612</v>
      </c>
      <c r="CB91" s="100">
        <v>5.541146264192145</v>
      </c>
      <c r="CC91" s="100">
        <v>6296.9586146279526</v>
      </c>
      <c r="CD91" s="100">
        <v>0.31342976017503854</v>
      </c>
      <c r="CE91" s="100">
        <v>356.18157946291376</v>
      </c>
      <c r="CF91" s="100">
        <v>5.1846282543463129</v>
      </c>
      <c r="CG91" s="100">
        <v>5891.8115482391495</v>
      </c>
      <c r="CH91" s="100">
        <v>2.6010524935957475</v>
      </c>
      <c r="CI91" s="100">
        <v>2955.836053722207</v>
      </c>
      <c r="CJ91" s="100">
        <v>6.3733729525131233</v>
      </c>
      <c r="CK91" s="100">
        <v>7242.7010232359125</v>
      </c>
      <c r="CL91" s="100">
        <v>5</v>
      </c>
      <c r="CM91" s="100">
        <v>5681.9999999999991</v>
      </c>
      <c r="CN91" s="100">
        <v>5.8217285648330588</v>
      </c>
      <c r="CO91" s="100">
        <v>6615.8123410762873</v>
      </c>
      <c r="CP91" s="100">
        <v>5.5892821584142149</v>
      </c>
      <c r="CQ91" s="100">
        <v>6351.6602448219128</v>
      </c>
      <c r="CR91" s="100">
        <v>4.4252739218402874</v>
      </c>
      <c r="CS91" s="100">
        <v>5028.8812847793024</v>
      </c>
      <c r="CT91" s="100">
        <v>4.7502807433685801</v>
      </c>
      <c r="CU91" s="100">
        <v>5398.2190367640542</v>
      </c>
    </row>
    <row r="92" spans="2:99">
      <c r="C92" s="99" t="s">
        <v>258</v>
      </c>
      <c r="D92" s="100">
        <v>7</v>
      </c>
      <c r="E92" s="100">
        <v>5493.5999999999995</v>
      </c>
      <c r="F92" s="100">
        <v>4.965852580973813</v>
      </c>
      <c r="G92" s="100">
        <v>3897.2011055482481</v>
      </c>
      <c r="H92" s="100">
        <v>3.8821241576308565</v>
      </c>
      <c r="I92" s="100">
        <v>3046.6910389086961</v>
      </c>
      <c r="J92" s="100">
        <v>4.1150516070887067</v>
      </c>
      <c r="K92" s="100">
        <v>3229.4925012432168</v>
      </c>
      <c r="L92" s="100">
        <v>3.426520173488064E-4</v>
      </c>
      <c r="M92" s="100">
        <v>0.26891330321534324</v>
      </c>
      <c r="N92" s="100">
        <v>5.6953358421102802</v>
      </c>
      <c r="O92" s="100">
        <v>4469.699568888148</v>
      </c>
      <c r="P92" s="100">
        <v>4.0140086508982629</v>
      </c>
      <c r="Q92" s="100">
        <v>3150.1939892249566</v>
      </c>
      <c r="R92" s="100">
        <v>4.6923004619553446</v>
      </c>
      <c r="S92" s="100">
        <v>3682.517402542554</v>
      </c>
      <c r="T92" s="100">
        <v>0.2972971773558763</v>
      </c>
      <c r="U92" s="100">
        <v>233.3188247888917</v>
      </c>
      <c r="V92" s="100">
        <v>4.2270343742887011</v>
      </c>
      <c r="W92" s="100">
        <v>3317.3765769417723</v>
      </c>
      <c r="X92" s="100">
        <v>5.6163059315525841</v>
      </c>
      <c r="Y92" s="100">
        <v>4407.676895082468</v>
      </c>
      <c r="Z92" s="100">
        <v>4.4315940384032233</v>
      </c>
      <c r="AA92" s="100">
        <v>3477.9150013388494</v>
      </c>
      <c r="AB92" s="100">
        <v>4.2569499383676277</v>
      </c>
      <c r="AC92" s="100">
        <v>3340.8543116309138</v>
      </c>
      <c r="AD92" s="100">
        <v>5.7610722499241911</v>
      </c>
      <c r="AE92" s="100">
        <v>4521.2895017405053</v>
      </c>
      <c r="AF92" s="100">
        <v>0.3660071944953599</v>
      </c>
      <c r="AG92" s="100">
        <v>287.24244623995844</v>
      </c>
      <c r="AH92" s="100">
        <v>7.2423951514191254</v>
      </c>
      <c r="AI92" s="100">
        <v>5683.8317148337292</v>
      </c>
      <c r="AJ92" s="100">
        <v>1.3802718831992615</v>
      </c>
      <c r="AK92" s="100">
        <v>1083.2373739347804</v>
      </c>
      <c r="AL92" s="100">
        <v>4.6544783505698586</v>
      </c>
      <c r="AM92" s="100">
        <v>3652.834609527225</v>
      </c>
      <c r="AN92" s="100">
        <v>4.995149349645251</v>
      </c>
      <c r="AO92" s="100">
        <v>3920.1932096015926</v>
      </c>
      <c r="AP92" s="100">
        <v>5.5802377088724207</v>
      </c>
      <c r="AQ92" s="100">
        <v>4379.370553923075</v>
      </c>
      <c r="AR92" s="100">
        <v>1.8468822727769842</v>
      </c>
      <c r="AS92" s="100">
        <v>1449.4332076753772</v>
      </c>
      <c r="AT92" s="100">
        <v>4.6791951994818914</v>
      </c>
      <c r="AU92" s="100">
        <v>3672.2323925533883</v>
      </c>
      <c r="AV92" s="100">
        <v>4.4034497542719633</v>
      </c>
      <c r="AW92" s="100">
        <v>3455.8273671526367</v>
      </c>
      <c r="AX92" s="100">
        <v>7.4763705103969773</v>
      </c>
      <c r="AY92" s="100">
        <v>5867.4555765595478</v>
      </c>
      <c r="AZ92" s="100">
        <v>1.3517924472134</v>
      </c>
      <c r="BA92" s="100">
        <v>1060.8867125730762</v>
      </c>
      <c r="BB92" s="100">
        <v>5.0357161520712896</v>
      </c>
      <c r="BC92" s="100">
        <v>3952.0300361455479</v>
      </c>
      <c r="BD92" s="100">
        <v>5.1792554780729025</v>
      </c>
      <c r="BE92" s="100">
        <v>4064.6796991916135</v>
      </c>
      <c r="BF92" s="100">
        <v>6.0057509941294658</v>
      </c>
      <c r="BG92" s="100">
        <v>4713.3133801928043</v>
      </c>
      <c r="BH92" s="100">
        <v>0.31066560468061555</v>
      </c>
      <c r="BI92" s="100">
        <v>243.81036655334708</v>
      </c>
      <c r="BJ92" s="100">
        <v>5.3825596008560979</v>
      </c>
      <c r="BK92" s="100">
        <v>4224.2327747518657</v>
      </c>
      <c r="BL92" s="100">
        <v>4.7260317331113484</v>
      </c>
      <c r="BM92" s="100">
        <v>3708.9897041457862</v>
      </c>
      <c r="BN92" s="100">
        <v>8.4653739612188375</v>
      </c>
      <c r="BO92" s="100">
        <v>6643.6254847645432</v>
      </c>
      <c r="BP92" s="100">
        <v>0.61892593166815291</v>
      </c>
      <c r="BQ92" s="100">
        <v>485.73307117316637</v>
      </c>
      <c r="BR92" s="100">
        <v>5.4029721269080575</v>
      </c>
      <c r="BS92" s="100">
        <v>4240.252525197443</v>
      </c>
      <c r="BT92" s="100">
        <v>3.05848222250903</v>
      </c>
      <c r="BU92" s="100">
        <v>2400.2968482250867</v>
      </c>
      <c r="BV92" s="100">
        <v>1.3141277162158556</v>
      </c>
      <c r="BW92" s="100">
        <v>1031.3274316862035</v>
      </c>
      <c r="BX92" s="100">
        <v>4.7539423809127426</v>
      </c>
      <c r="BY92" s="100">
        <v>3730.8939805403202</v>
      </c>
      <c r="BZ92" s="100">
        <v>3.5910009703699401</v>
      </c>
      <c r="CA92" s="100">
        <v>2818.2175615463289</v>
      </c>
      <c r="CB92" s="100">
        <v>5.541146264192145</v>
      </c>
      <c r="CC92" s="100">
        <v>4348.6915881379955</v>
      </c>
      <c r="CD92" s="100">
        <v>0.31462618903355916</v>
      </c>
      <c r="CE92" s="100">
        <v>246.9186331535372</v>
      </c>
      <c r="CF92" s="100">
        <v>5.2215539052155755</v>
      </c>
      <c r="CG92" s="100">
        <v>4097.8755048131834</v>
      </c>
      <c r="CH92" s="100">
        <v>2.6010524935957475</v>
      </c>
      <c r="CI92" s="100">
        <v>2041.3059969739425</v>
      </c>
      <c r="CJ92" s="100">
        <v>6.4356017779319767</v>
      </c>
      <c r="CK92" s="100">
        <v>5050.6602753210154</v>
      </c>
      <c r="CL92" s="100">
        <v>5</v>
      </c>
      <c r="CM92" s="100">
        <v>3924</v>
      </c>
      <c r="CN92" s="100">
        <v>5.8217285648330588</v>
      </c>
      <c r="CO92" s="100">
        <v>4568.8925776809847</v>
      </c>
      <c r="CP92" s="100">
        <v>6.387751038187675</v>
      </c>
      <c r="CQ92" s="100">
        <v>5013.1070147696873</v>
      </c>
      <c r="CR92" s="100">
        <v>4.4252739218402874</v>
      </c>
      <c r="CS92" s="100">
        <v>3472.9549738602573</v>
      </c>
      <c r="CT92" s="100">
        <v>4.2036309648357211</v>
      </c>
      <c r="CU92" s="100">
        <v>3299.0095812030736</v>
      </c>
    </row>
    <row r="93" spans="2:99">
      <c r="C93" s="99" t="s">
        <v>259</v>
      </c>
      <c r="D93" s="100">
        <v>7</v>
      </c>
      <c r="E93" s="100">
        <v>4855.2</v>
      </c>
      <c r="F93" s="100">
        <v>5.7934946778027818</v>
      </c>
      <c r="G93" s="100">
        <v>4018.3679085240096</v>
      </c>
      <c r="H93" s="100">
        <v>4.658548989157028</v>
      </c>
      <c r="I93" s="100">
        <v>3231.1695788793145</v>
      </c>
      <c r="J93" s="100">
        <v>4.9380619285064489</v>
      </c>
      <c r="K93" s="100">
        <v>3425.0397536120731</v>
      </c>
      <c r="L93" s="100">
        <v>3.4075613543181014E-4</v>
      </c>
      <c r="M93" s="100">
        <v>0.23634845553550352</v>
      </c>
      <c r="N93" s="100">
        <v>5.8104656029268522</v>
      </c>
      <c r="O93" s="100">
        <v>4030.1389421900649</v>
      </c>
      <c r="P93" s="100">
        <v>3.3450072090818859</v>
      </c>
      <c r="Q93" s="100">
        <v>2320.0970002191962</v>
      </c>
      <c r="R93" s="100">
        <v>4.6923004619553446</v>
      </c>
      <c r="S93" s="100">
        <v>3254.5796004122271</v>
      </c>
      <c r="T93" s="100">
        <v>0.29642132267160942</v>
      </c>
      <c r="U93" s="100">
        <v>205.59782940502831</v>
      </c>
      <c r="V93" s="100">
        <v>4.2270343742887011</v>
      </c>
      <c r="W93" s="100">
        <v>2931.8710420066432</v>
      </c>
      <c r="X93" s="100">
        <v>5.6163059315525841</v>
      </c>
      <c r="Y93" s="100">
        <v>3895.4697941248724</v>
      </c>
      <c r="Z93" s="100">
        <v>5.0646789010322557</v>
      </c>
      <c r="AA93" s="100">
        <v>3512.8612857559729</v>
      </c>
      <c r="AB93" s="100">
        <v>4.2569499383676277</v>
      </c>
      <c r="AC93" s="100">
        <v>2952.6204772517867</v>
      </c>
      <c r="AD93" s="100">
        <v>4.9380619285064489</v>
      </c>
      <c r="AE93" s="100">
        <v>3425.0397536120731</v>
      </c>
      <c r="AF93" s="100">
        <v>0.3156222958916427</v>
      </c>
      <c r="AG93" s="100">
        <v>218.91562443044339</v>
      </c>
      <c r="AH93" s="100">
        <v>7.2423951514191254</v>
      </c>
      <c r="AI93" s="100">
        <v>5023.3252770243053</v>
      </c>
      <c r="AJ93" s="100">
        <v>1.5557193456369383</v>
      </c>
      <c r="AK93" s="100">
        <v>1079.0469381337805</v>
      </c>
      <c r="AL93" s="100">
        <v>5.2494635667852663</v>
      </c>
      <c r="AM93" s="100">
        <v>3641.0279299222607</v>
      </c>
      <c r="AN93" s="100">
        <v>4.995149349645251</v>
      </c>
      <c r="AO93" s="100">
        <v>3464.6355889139463</v>
      </c>
      <c r="AP93" s="100">
        <v>5.4835314240603505</v>
      </c>
      <c r="AQ93" s="100">
        <v>3803.3773957282592</v>
      </c>
      <c r="AR93" s="100">
        <v>1.8468822727769842</v>
      </c>
      <c r="AS93" s="100">
        <v>1280.9975443981164</v>
      </c>
      <c r="AT93" s="100">
        <v>4.6791951994818914</v>
      </c>
      <c r="AU93" s="100">
        <v>3245.4897903606402</v>
      </c>
      <c r="AV93" s="100">
        <v>4.4055372121303993</v>
      </c>
      <c r="AW93" s="100">
        <v>3055.6806103336448</v>
      </c>
      <c r="AX93" s="100">
        <v>8.4763705103969773</v>
      </c>
      <c r="AY93" s="100">
        <v>5879.2105860113434</v>
      </c>
      <c r="AZ93" s="100">
        <v>1.3623021475056101</v>
      </c>
      <c r="BA93" s="100">
        <v>944.8927695098912</v>
      </c>
      <c r="BB93" s="100">
        <v>6.0357161520712896</v>
      </c>
      <c r="BC93" s="100">
        <v>4186.3727230766463</v>
      </c>
      <c r="BD93" s="100">
        <v>5.9191491177976028</v>
      </c>
      <c r="BE93" s="100">
        <v>4105.5218281044172</v>
      </c>
      <c r="BF93" s="100">
        <v>6.0057509941294658</v>
      </c>
      <c r="BG93" s="100">
        <v>4165.5888895281978</v>
      </c>
      <c r="BH93" s="100">
        <v>0.36207057803248632</v>
      </c>
      <c r="BI93" s="100">
        <v>251.13215292333251</v>
      </c>
      <c r="BJ93" s="100">
        <v>5.302257843672626</v>
      </c>
      <c r="BK93" s="100">
        <v>3677.6460403713336</v>
      </c>
      <c r="BL93" s="100">
        <v>5.3444432075813264</v>
      </c>
      <c r="BM93" s="100">
        <v>3706.9058087784083</v>
      </c>
      <c r="BN93" s="100">
        <v>8.5817174515235468</v>
      </c>
      <c r="BO93" s="100">
        <v>5952.2792243767326</v>
      </c>
      <c r="BP93" s="100">
        <v>0.51577160972346081</v>
      </c>
      <c r="BQ93" s="100">
        <v>357.73918850419244</v>
      </c>
      <c r="BR93" s="100">
        <v>4.6064283257104588</v>
      </c>
      <c r="BS93" s="100">
        <v>3195.0186867127745</v>
      </c>
      <c r="BT93" s="100">
        <v>3.05848222250903</v>
      </c>
      <c r="BU93" s="100">
        <v>2121.3632695322631</v>
      </c>
      <c r="BV93" s="100">
        <v>1.3141277162158556</v>
      </c>
      <c r="BW93" s="100">
        <v>911.47898396731739</v>
      </c>
      <c r="BX93" s="100">
        <v>4.6960559713258787</v>
      </c>
      <c r="BY93" s="100">
        <v>3257.1844217116295</v>
      </c>
      <c r="BZ93" s="100">
        <v>3.6798646870157481</v>
      </c>
      <c r="CA93" s="100">
        <v>2552.3541469141228</v>
      </c>
      <c r="CB93" s="100">
        <v>5.541146264192145</v>
      </c>
      <c r="CC93" s="100">
        <v>3843.3390488436717</v>
      </c>
      <c r="CD93" s="100">
        <v>0.3654686487277915</v>
      </c>
      <c r="CE93" s="100">
        <v>253.48905475759619</v>
      </c>
      <c r="CF93" s="100">
        <v>5.2215539052155755</v>
      </c>
      <c r="CG93" s="100">
        <v>3621.6697886575234</v>
      </c>
      <c r="CH93" s="100">
        <v>2.234305971267486</v>
      </c>
      <c r="CI93" s="100">
        <v>1549.7146216711283</v>
      </c>
      <c r="CJ93" s="100">
        <v>6.4356017779319767</v>
      </c>
      <c r="CK93" s="100">
        <v>4463.7333931736193</v>
      </c>
      <c r="CL93" s="100">
        <v>5</v>
      </c>
      <c r="CM93" s="100">
        <v>3468</v>
      </c>
      <c r="CN93" s="100">
        <v>5.8217285648330588</v>
      </c>
      <c r="CO93" s="100">
        <v>4037.9509325682097</v>
      </c>
      <c r="CP93" s="100">
        <v>6.387751038187675</v>
      </c>
      <c r="CQ93" s="100">
        <v>4430.5441200869718</v>
      </c>
      <c r="CR93" s="100">
        <v>5.057455910674614</v>
      </c>
      <c r="CS93" s="100">
        <v>3507.8514196439123</v>
      </c>
      <c r="CT93" s="100">
        <v>4.7502807433685801</v>
      </c>
      <c r="CU93" s="100">
        <v>3294.7947236004475</v>
      </c>
    </row>
    <row r="94" spans="2:99">
      <c r="C94" s="99" t="s">
        <v>260</v>
      </c>
      <c r="D94" s="100">
        <v>7</v>
      </c>
      <c r="E94" s="100">
        <v>8349.6</v>
      </c>
      <c r="F94" s="100">
        <v>5.7934946778027818</v>
      </c>
      <c r="G94" s="100">
        <v>6910.4804516831582</v>
      </c>
      <c r="H94" s="100">
        <v>4.658548989157028</v>
      </c>
      <c r="I94" s="100">
        <v>5556.7172342665026</v>
      </c>
      <c r="J94" s="100">
        <v>4.1150516070887067</v>
      </c>
      <c r="K94" s="100">
        <v>4908.4335569354089</v>
      </c>
      <c r="L94" s="100">
        <v>3.4075613543181014E-4</v>
      </c>
      <c r="M94" s="100">
        <v>0.4064539183430631</v>
      </c>
      <c r="N94" s="100">
        <v>4.9540727957768054</v>
      </c>
      <c r="O94" s="100">
        <v>5909.2180308025736</v>
      </c>
      <c r="P94" s="100">
        <v>3.3450072090818859</v>
      </c>
      <c r="Q94" s="100">
        <v>3989.9245989928731</v>
      </c>
      <c r="R94" s="100">
        <v>4.0023764643810713</v>
      </c>
      <c r="S94" s="100">
        <v>4774.0346467137415</v>
      </c>
      <c r="T94" s="100">
        <v>0.2972971773558763</v>
      </c>
      <c r="U94" s="100">
        <v>354.61607315008922</v>
      </c>
      <c r="V94" s="100">
        <v>4.272441249146441</v>
      </c>
      <c r="W94" s="100">
        <v>5096.1679219818743</v>
      </c>
      <c r="X94" s="100">
        <v>4.8139765127593579</v>
      </c>
      <c r="Y94" s="100">
        <v>5742.111184419362</v>
      </c>
      <c r="Z94" s="100">
        <v>5.0646789010322557</v>
      </c>
      <c r="AA94" s="100">
        <v>6041.1489931512742</v>
      </c>
      <c r="AB94" s="100">
        <v>4.2569499383676277</v>
      </c>
      <c r="AC94" s="100">
        <v>5077.6898864849063</v>
      </c>
      <c r="AD94" s="100">
        <v>5.7610722499241911</v>
      </c>
      <c r="AE94" s="100">
        <v>6871.806979709575</v>
      </c>
      <c r="AF94" s="100">
        <v>0.33129639030469149</v>
      </c>
      <c r="AG94" s="100">
        <v>395.17033435543601</v>
      </c>
      <c r="AH94" s="100">
        <v>7.2077672726449649</v>
      </c>
      <c r="AI94" s="100">
        <v>8597.4248028109141</v>
      </c>
      <c r="AJ94" s="100">
        <v>1.4751748270946021</v>
      </c>
      <c r="AK94" s="100">
        <v>1759.5885337584414</v>
      </c>
      <c r="AL94" s="100">
        <v>4.5780054601252003</v>
      </c>
      <c r="AM94" s="100">
        <v>5460.6449128373388</v>
      </c>
      <c r="AN94" s="100">
        <v>4.2815565854102147</v>
      </c>
      <c r="AO94" s="100">
        <v>5107.040695077304</v>
      </c>
      <c r="AP94" s="100">
        <v>5.4835314240603505</v>
      </c>
      <c r="AQ94" s="100">
        <v>6540.7562826191861</v>
      </c>
      <c r="AR94" s="100">
        <v>1.7597507290213037</v>
      </c>
      <c r="AS94" s="100">
        <v>2099.0306695766108</v>
      </c>
      <c r="AT94" s="100">
        <v>4.6566243592589522</v>
      </c>
      <c r="AU94" s="100">
        <v>5554.4215357240782</v>
      </c>
      <c r="AV94" s="100">
        <v>3.7664035995793594</v>
      </c>
      <c r="AW94" s="100">
        <v>4492.5662135782595</v>
      </c>
      <c r="AX94" s="100">
        <v>7.4763705103969773</v>
      </c>
      <c r="AY94" s="100">
        <v>8917.8147448015134</v>
      </c>
      <c r="AZ94" s="100">
        <v>1.3623021475056101</v>
      </c>
      <c r="BA94" s="100">
        <v>1624.9540015446917</v>
      </c>
      <c r="BB94" s="100">
        <v>6.0357161520712896</v>
      </c>
      <c r="BC94" s="100">
        <v>7199.4022261906339</v>
      </c>
      <c r="BD94" s="100">
        <v>6.6590427575223039</v>
      </c>
      <c r="BE94" s="100">
        <v>7942.9062011726037</v>
      </c>
      <c r="BF94" s="100">
        <v>5.338445328115081</v>
      </c>
      <c r="BG94" s="100">
        <v>6367.6975873756683</v>
      </c>
      <c r="BH94" s="100">
        <v>0.31066560468061555</v>
      </c>
      <c r="BI94" s="100">
        <v>370.56193326303821</v>
      </c>
      <c r="BJ94" s="100">
        <v>4.7746562537583364</v>
      </c>
      <c r="BK94" s="100">
        <v>5695.2099794829437</v>
      </c>
      <c r="BL94" s="100">
        <v>5.3444432075813264</v>
      </c>
      <c r="BM94" s="100">
        <v>6374.8518580030059</v>
      </c>
      <c r="BN94" s="100">
        <v>8.5817174515235468</v>
      </c>
      <c r="BO94" s="100">
        <v>10236.272576177285</v>
      </c>
      <c r="BP94" s="100">
        <v>0.51577160972346081</v>
      </c>
      <c r="BQ94" s="100">
        <v>615.21237607814408</v>
      </c>
      <c r="BR94" s="100">
        <v>4.4816864617659657</v>
      </c>
      <c r="BS94" s="100">
        <v>5345.7556115944435</v>
      </c>
      <c r="BT94" s="100">
        <v>3.4954082542960339</v>
      </c>
      <c r="BU94" s="100">
        <v>4169.3229657243091</v>
      </c>
      <c r="BV94" s="100">
        <v>1.150544730830225</v>
      </c>
      <c r="BW94" s="100">
        <v>1372.3697549342924</v>
      </c>
      <c r="BX94" s="100">
        <v>4.6960559713258787</v>
      </c>
      <c r="BY94" s="100">
        <v>5601.4555625975081</v>
      </c>
      <c r="BZ94" s="100">
        <v>2.9656313476540093</v>
      </c>
      <c r="CA94" s="100">
        <v>3537.4050714817022</v>
      </c>
      <c r="CB94" s="100">
        <v>4.8729739988871978</v>
      </c>
      <c r="CC94" s="100">
        <v>5812.4833858726497</v>
      </c>
      <c r="CD94" s="100">
        <v>0.31402797460429888</v>
      </c>
      <c r="CE94" s="100">
        <v>374.57256810800766</v>
      </c>
      <c r="CF94" s="100">
        <v>5.2215539052155755</v>
      </c>
      <c r="CG94" s="100">
        <v>6228.2694981411378</v>
      </c>
      <c r="CH94" s="100">
        <v>2.6010524935957475</v>
      </c>
      <c r="CI94" s="100">
        <v>3102.5354143610075</v>
      </c>
      <c r="CJ94" s="100">
        <v>5.3733729525131233</v>
      </c>
      <c r="CK94" s="100">
        <v>6409.3592577576528</v>
      </c>
      <c r="CL94" s="100">
        <v>5</v>
      </c>
      <c r="CM94" s="100">
        <v>5964</v>
      </c>
      <c r="CN94" s="100">
        <v>5.8217285648330588</v>
      </c>
      <c r="CO94" s="100">
        <v>6944.1578321328725</v>
      </c>
      <c r="CP94" s="100">
        <v>5.5892821584142149</v>
      </c>
      <c r="CQ94" s="100">
        <v>6666.8957585564749</v>
      </c>
      <c r="CR94" s="100">
        <v>4.4252739218402874</v>
      </c>
      <c r="CS94" s="100">
        <v>5278.466733971095</v>
      </c>
      <c r="CT94" s="100">
        <v>4.1458104328081831</v>
      </c>
      <c r="CU94" s="100">
        <v>4945.1226842536007</v>
      </c>
    </row>
    <row r="95" spans="2:99">
      <c r="B95" s="99" t="s">
        <v>132</v>
      </c>
      <c r="C95" s="99" t="s">
        <v>261</v>
      </c>
      <c r="D95" s="100">
        <v>9</v>
      </c>
      <c r="E95" s="100">
        <v>2959.2000000000003</v>
      </c>
      <c r="F95" s="100">
        <v>9.1040630651186571</v>
      </c>
      <c r="G95" s="100">
        <v>2993.4159358110146</v>
      </c>
      <c r="H95" s="100">
        <v>6.987823483735542</v>
      </c>
      <c r="I95" s="100">
        <v>2297.5963614522461</v>
      </c>
      <c r="J95" s="100">
        <v>7.407092892759672</v>
      </c>
      <c r="K95" s="100">
        <v>2435.45214313938</v>
      </c>
      <c r="L95" s="100">
        <v>5.6465287530828474E-4</v>
      </c>
      <c r="M95" s="100">
        <v>0.18565786540136403</v>
      </c>
      <c r="N95" s="100">
        <v>6.8039764413111383</v>
      </c>
      <c r="O95" s="100">
        <v>2237.1474539031024</v>
      </c>
      <c r="P95" s="100">
        <v>8.0280173017965257</v>
      </c>
      <c r="Q95" s="100">
        <v>2639.6120888306978</v>
      </c>
      <c r="R95" s="100">
        <v>7.4519964522524393</v>
      </c>
      <c r="S95" s="100">
        <v>2450.2164335006023</v>
      </c>
      <c r="T95" s="100">
        <v>0.51194944087224881</v>
      </c>
      <c r="U95" s="100">
        <v>168.32897615879543</v>
      </c>
      <c r="V95" s="100">
        <v>12.317848124004181</v>
      </c>
      <c r="W95" s="100">
        <v>4050.1084631725748</v>
      </c>
      <c r="X95" s="100">
        <v>9.6279530255187158</v>
      </c>
      <c r="Y95" s="100">
        <v>3165.6709547905539</v>
      </c>
      <c r="Z95" s="100">
        <v>7.5970183515483836</v>
      </c>
      <c r="AA95" s="100">
        <v>2497.8996339891087</v>
      </c>
      <c r="AB95" s="100">
        <v>7.66250988906173</v>
      </c>
      <c r="AC95" s="100">
        <v>2519.4332515234969</v>
      </c>
      <c r="AD95" s="100">
        <v>5.7610722499241911</v>
      </c>
      <c r="AE95" s="100">
        <v>1894.2405557750742</v>
      </c>
      <c r="AF95" s="100">
        <v>0.45346408743345495</v>
      </c>
      <c r="AG95" s="100">
        <v>149.09899194811999</v>
      </c>
      <c r="AH95" s="100">
        <v>10.346278787741607</v>
      </c>
      <c r="AI95" s="100">
        <v>3401.8564654094403</v>
      </c>
      <c r="AJ95" s="100">
        <v>1.5467699546877898</v>
      </c>
      <c r="AK95" s="100">
        <v>508.57796110134529</v>
      </c>
      <c r="AL95" s="100">
        <v>6.567225193782992</v>
      </c>
      <c r="AM95" s="100">
        <v>2159.303643715848</v>
      </c>
      <c r="AN95" s="100">
        <v>7.1359276423503584</v>
      </c>
      <c r="AO95" s="100">
        <v>2346.2930088047979</v>
      </c>
      <c r="AP95" s="100">
        <v>8.870356563308631</v>
      </c>
      <c r="AQ95" s="100">
        <v>2916.5732380158779</v>
      </c>
      <c r="AR95" s="100">
        <v>2.9400748003707724</v>
      </c>
      <c r="AS95" s="100">
        <v>966.69659436191</v>
      </c>
      <c r="AT95" s="100">
        <v>7.9247453124420755</v>
      </c>
      <c r="AU95" s="100">
        <v>2605.6562587309545</v>
      </c>
      <c r="AV95" s="100">
        <v>7.1356708333319494</v>
      </c>
      <c r="AW95" s="100">
        <v>2346.208569999545</v>
      </c>
      <c r="AX95" s="100">
        <v>8.6351606805293031</v>
      </c>
      <c r="AY95" s="100">
        <v>2839.2408317580348</v>
      </c>
      <c r="AZ95" s="100">
        <v>2.9920690662991185</v>
      </c>
      <c r="BA95" s="100">
        <v>983.79230899915024</v>
      </c>
      <c r="BB95" s="100">
        <v>12.726193586785483</v>
      </c>
      <c r="BC95" s="100">
        <v>4184.3724513350671</v>
      </c>
      <c r="BD95" s="100">
        <v>7.3989363972470032</v>
      </c>
      <c r="BE95" s="100">
        <v>2432.7702874148149</v>
      </c>
      <c r="BF95" s="100">
        <v>6.0057509941294658</v>
      </c>
      <c r="BG95" s="100">
        <v>1974.6909268697684</v>
      </c>
      <c r="BH95" s="100">
        <v>0.56769047143996942</v>
      </c>
      <c r="BI95" s="100">
        <v>186.65662700946194</v>
      </c>
      <c r="BJ95" s="100">
        <v>7.0696771248968346</v>
      </c>
      <c r="BK95" s="100">
        <v>2324.5098386660793</v>
      </c>
      <c r="BL95" s="100">
        <v>6.7070885302836034</v>
      </c>
      <c r="BM95" s="100">
        <v>2205.2907087572489</v>
      </c>
      <c r="BN95" s="100">
        <v>13.163434903047094</v>
      </c>
      <c r="BO95" s="100">
        <v>4328.1373961218842</v>
      </c>
      <c r="BP95" s="100">
        <v>1.3410061852809982</v>
      </c>
      <c r="BQ95" s="100">
        <v>440.92283372039225</v>
      </c>
      <c r="BR95" s="100">
        <v>10.805944253816115</v>
      </c>
      <c r="BS95" s="100">
        <v>3552.994470654739</v>
      </c>
      <c r="BT95" s="100">
        <v>5.2431123814440506</v>
      </c>
      <c r="BU95" s="100">
        <v>1723.9353510188039</v>
      </c>
      <c r="BV95" s="100">
        <v>1.8103405055035584</v>
      </c>
      <c r="BW95" s="100">
        <v>595.23995820956998</v>
      </c>
      <c r="BX95" s="100">
        <v>6.7510938484177432</v>
      </c>
      <c r="BY95" s="100">
        <v>2219.7596573597539</v>
      </c>
      <c r="BZ95" s="100">
        <v>7.7875372898945683</v>
      </c>
      <c r="CA95" s="100">
        <v>2560.5422609173343</v>
      </c>
      <c r="CB95" s="100">
        <v>6.8774907948020392</v>
      </c>
      <c r="CC95" s="100">
        <v>2261.3189733309105</v>
      </c>
      <c r="CD95" s="100">
        <v>0.52038888552752993</v>
      </c>
      <c r="CE95" s="100">
        <v>171.10386556145184</v>
      </c>
      <c r="CF95" s="100">
        <v>7.3692565086926258</v>
      </c>
      <c r="CG95" s="100">
        <v>2423.0115400581353</v>
      </c>
      <c r="CH95" s="100">
        <v>3.3683723755501864</v>
      </c>
      <c r="CI95" s="100">
        <v>1107.5208370809014</v>
      </c>
      <c r="CJ95" s="100">
        <v>7.4978306033508311</v>
      </c>
      <c r="CK95" s="100">
        <v>2465.2867023817535</v>
      </c>
      <c r="CL95" s="100">
        <v>9</v>
      </c>
      <c r="CM95" s="100">
        <v>2959.2000000000003</v>
      </c>
      <c r="CN95" s="100">
        <v>6.4685872942589544</v>
      </c>
      <c r="CO95" s="100">
        <v>2126.8715023523441</v>
      </c>
      <c r="CP95" s="100">
        <v>5.6998894364634145</v>
      </c>
      <c r="CQ95" s="100">
        <v>1874.1236467091708</v>
      </c>
      <c r="CR95" s="100">
        <v>6.3218198883432679</v>
      </c>
      <c r="CS95" s="100">
        <v>2078.6143792872667</v>
      </c>
      <c r="CT95" s="100">
        <v>7.0871419743976496</v>
      </c>
      <c r="CU95" s="100">
        <v>2330.2522811819472</v>
      </c>
    </row>
    <row r="96" spans="2:99">
      <c r="C96" s="99" t="s">
        <v>262</v>
      </c>
      <c r="D96" s="100">
        <v>9</v>
      </c>
      <c r="E96" s="100">
        <v>6253.2</v>
      </c>
      <c r="F96" s="100">
        <v>9.1040630651186571</v>
      </c>
      <c r="G96" s="100">
        <v>6325.5030176444425</v>
      </c>
      <c r="H96" s="100">
        <v>6.987823483735542</v>
      </c>
      <c r="I96" s="100">
        <v>4855.1397564994541</v>
      </c>
      <c r="J96" s="100">
        <v>6.5840825713419315</v>
      </c>
      <c r="K96" s="100">
        <v>4574.6205705683733</v>
      </c>
      <c r="L96" s="100">
        <v>5.1759846903259431E-4</v>
      </c>
      <c r="M96" s="100">
        <v>0.35962741628384648</v>
      </c>
      <c r="N96" s="100">
        <v>6.9310998041737113</v>
      </c>
      <c r="O96" s="100">
        <v>4815.7281439398939</v>
      </c>
      <c r="P96" s="100">
        <v>8.2758152240522165</v>
      </c>
      <c r="Q96" s="100">
        <v>5750.0364176714793</v>
      </c>
      <c r="R96" s="100">
        <v>6.8306562152104506</v>
      </c>
      <c r="S96" s="100">
        <v>4745.9399383282207</v>
      </c>
      <c r="T96" s="100">
        <v>0.51194944087224881</v>
      </c>
      <c r="U96" s="100">
        <v>355.70247151803846</v>
      </c>
      <c r="V96" s="100">
        <v>13.317848124004181</v>
      </c>
      <c r="W96" s="100">
        <v>9253.240876558104</v>
      </c>
      <c r="X96" s="100">
        <v>8.8256236067254896</v>
      </c>
      <c r="Y96" s="100">
        <v>6132.0432819528696</v>
      </c>
      <c r="Z96" s="100">
        <v>6.9639334889193512</v>
      </c>
      <c r="AA96" s="100">
        <v>4838.5409881011647</v>
      </c>
      <c r="AB96" s="100">
        <v>6.8111199013882047</v>
      </c>
      <c r="AC96" s="100">
        <v>4732.366107484524</v>
      </c>
      <c r="AD96" s="100">
        <v>5.7610722499241911</v>
      </c>
      <c r="AE96" s="100">
        <v>4002.7929992473278</v>
      </c>
      <c r="AF96" s="100">
        <v>0.50384898603717221</v>
      </c>
      <c r="AG96" s="100">
        <v>350.07427549862723</v>
      </c>
      <c r="AH96" s="100">
        <v>11.311650908967447</v>
      </c>
      <c r="AI96" s="100">
        <v>7859.3350515505817</v>
      </c>
      <c r="AJ96" s="100">
        <v>1.3623731013009646</v>
      </c>
      <c r="AK96" s="100">
        <v>946.57683078391017</v>
      </c>
      <c r="AL96" s="100">
        <v>7.0913274276253873</v>
      </c>
      <c r="AM96" s="100">
        <v>4927.0542967141191</v>
      </c>
      <c r="AN96" s="100">
        <v>6.4223348781153229</v>
      </c>
      <c r="AO96" s="100">
        <v>4462.2382733145259</v>
      </c>
      <c r="AP96" s="100">
        <v>7.870356563308631</v>
      </c>
      <c r="AQ96" s="100">
        <v>5468.3237401868364</v>
      </c>
      <c r="AR96" s="100">
        <v>3.2920249461750331</v>
      </c>
      <c r="AS96" s="100">
        <v>2287.2989326024126</v>
      </c>
      <c r="AT96" s="100">
        <v>7.2982061300729786</v>
      </c>
      <c r="AU96" s="100">
        <v>5070.7936191747049</v>
      </c>
      <c r="AV96" s="100">
        <v>6.6881203833710945</v>
      </c>
      <c r="AW96" s="100">
        <v>4646.9060423662359</v>
      </c>
      <c r="AX96" s="100">
        <v>7.6351606805293031</v>
      </c>
      <c r="AY96" s="100">
        <v>5304.9096408317591</v>
      </c>
      <c r="AZ96" s="100">
        <v>2.9920690662991185</v>
      </c>
      <c r="BA96" s="100">
        <v>2078.8895872646276</v>
      </c>
      <c r="BB96" s="100">
        <v>12.89881294546403</v>
      </c>
      <c r="BC96" s="100">
        <v>8962.0952345084079</v>
      </c>
      <c r="BD96" s="100">
        <v>8.1388300369717044</v>
      </c>
      <c r="BE96" s="100">
        <v>5654.85910968794</v>
      </c>
      <c r="BF96" s="100">
        <v>6.0057509941294658</v>
      </c>
      <c r="BG96" s="100">
        <v>4172.7957907211521</v>
      </c>
      <c r="BH96" s="100">
        <v>0.56992623600936043</v>
      </c>
      <c r="BI96" s="100">
        <v>395.98474877930363</v>
      </c>
      <c r="BJ96" s="100">
        <v>7.1325163387243808</v>
      </c>
      <c r="BK96" s="100">
        <v>4955.6723521456997</v>
      </c>
      <c r="BL96" s="100">
        <v>6.0894341439111086</v>
      </c>
      <c r="BM96" s="100">
        <v>4230.9388431894376</v>
      </c>
      <c r="BN96" s="100">
        <v>12.163434903047094</v>
      </c>
      <c r="BO96" s="100">
        <v>8451.1545706371198</v>
      </c>
      <c r="BP96" s="100">
        <v>1.1346975413916138</v>
      </c>
      <c r="BQ96" s="100">
        <v>788.38785175889325</v>
      </c>
      <c r="BR96" s="100">
        <v>11.477746191069221</v>
      </c>
      <c r="BS96" s="100">
        <v>7974.7380535548937</v>
      </c>
      <c r="BT96" s="100">
        <v>4.8061863496570467</v>
      </c>
      <c r="BU96" s="100">
        <v>3339.3382757417157</v>
      </c>
      <c r="BV96" s="100">
        <v>1.9575319914967551</v>
      </c>
      <c r="BW96" s="100">
        <v>1360.0932276919452</v>
      </c>
      <c r="BX96" s="100">
        <v>7.3016808423609589</v>
      </c>
      <c r="BY96" s="100">
        <v>5073.207849272394</v>
      </c>
      <c r="BZ96" s="100">
        <v>8.5035737450346005</v>
      </c>
      <c r="CA96" s="100">
        <v>5908.28303805004</v>
      </c>
      <c r="CB96" s="100">
        <v>6.2093185294970921</v>
      </c>
      <c r="CC96" s="100">
        <v>4314.2345142945796</v>
      </c>
      <c r="CD96" s="100">
        <v>0.52098709995679027</v>
      </c>
      <c r="CE96" s="100">
        <v>361.98183704997786</v>
      </c>
      <c r="CF96" s="100">
        <v>7.3323308578233632</v>
      </c>
      <c r="CG96" s="100">
        <v>5094.5034800156727</v>
      </c>
      <c r="CH96" s="100">
        <v>3.3345455382522706</v>
      </c>
      <c r="CI96" s="100">
        <v>2316.8422399776773</v>
      </c>
      <c r="CJ96" s="100">
        <v>7.5600594287696845</v>
      </c>
      <c r="CK96" s="100">
        <v>5252.7292911091763</v>
      </c>
      <c r="CL96" s="100">
        <v>10</v>
      </c>
      <c r="CM96" s="100">
        <v>6948</v>
      </c>
      <c r="CN96" s="100">
        <v>6.4685872942589544</v>
      </c>
      <c r="CO96" s="100">
        <v>4494.3744520511209</v>
      </c>
      <c r="CP96" s="100">
        <v>5.7137153462195638</v>
      </c>
      <c r="CQ96" s="100">
        <v>3969.8894225533527</v>
      </c>
      <c r="CR96" s="100">
        <v>7.1459098731470823</v>
      </c>
      <c r="CS96" s="100">
        <v>4964.9781798625927</v>
      </c>
      <c r="CT96" s="100">
        <v>6.5876367174162871</v>
      </c>
      <c r="CU96" s="100">
        <v>4577.0899912608356</v>
      </c>
    </row>
    <row r="97" spans="2:99">
      <c r="C97" s="99" t="s">
        <v>263</v>
      </c>
      <c r="D97" s="100">
        <v>10</v>
      </c>
      <c r="E97" s="100">
        <v>3924</v>
      </c>
      <c r="F97" s="100">
        <v>9.931705161947626</v>
      </c>
      <c r="G97" s="100">
        <v>3897.2011055482481</v>
      </c>
      <c r="H97" s="100">
        <v>7.764248315261713</v>
      </c>
      <c r="I97" s="100">
        <v>3046.6910389086961</v>
      </c>
      <c r="J97" s="100">
        <v>6.5840825713419315</v>
      </c>
      <c r="K97" s="100">
        <v>2583.5940009945739</v>
      </c>
      <c r="L97" s="100">
        <v>5.6465287530828474E-4</v>
      </c>
      <c r="M97" s="100">
        <v>0.22156978827097093</v>
      </c>
      <c r="N97" s="100">
        <v>6.0647123286519982</v>
      </c>
      <c r="O97" s="100">
        <v>2379.7931177630439</v>
      </c>
      <c r="P97" s="100">
        <v>7.6068137822358395</v>
      </c>
      <c r="Q97" s="100">
        <v>2984.9137281493431</v>
      </c>
      <c r="R97" s="100">
        <v>6.899239975742737</v>
      </c>
      <c r="S97" s="100">
        <v>2707.2617664814497</v>
      </c>
      <c r="T97" s="100">
        <v>0.51282529555651546</v>
      </c>
      <c r="U97" s="100">
        <v>201.23264597637666</v>
      </c>
      <c r="V97" s="100">
        <v>12.272441249146441</v>
      </c>
      <c r="W97" s="100">
        <v>4815.7059461650633</v>
      </c>
      <c r="X97" s="100">
        <v>8.8256236067254896</v>
      </c>
      <c r="Y97" s="100">
        <v>3463.1747032790818</v>
      </c>
      <c r="Z97" s="100">
        <v>7.5970183515483836</v>
      </c>
      <c r="AA97" s="100">
        <v>2981.0700011475856</v>
      </c>
      <c r="AB97" s="100">
        <v>6.8111199013882047</v>
      </c>
      <c r="AC97" s="100">
        <v>2672.6834493047313</v>
      </c>
      <c r="AD97" s="100">
        <v>6.5840825713419324</v>
      </c>
      <c r="AE97" s="100">
        <v>2583.5940009945743</v>
      </c>
      <c r="AF97" s="100">
        <v>0.45346408743345495</v>
      </c>
      <c r="AG97" s="100">
        <v>177.93930790888771</v>
      </c>
      <c r="AH97" s="100">
        <v>11.311650908967447</v>
      </c>
      <c r="AI97" s="100">
        <v>4438.6918166788264</v>
      </c>
      <c r="AJ97" s="100">
        <v>1.3623731013009646</v>
      </c>
      <c r="AK97" s="100">
        <v>534.59520495049844</v>
      </c>
      <c r="AL97" s="100">
        <v>6.4935472573741562</v>
      </c>
      <c r="AM97" s="100">
        <v>2548.0679437936187</v>
      </c>
      <c r="AN97" s="100">
        <v>7.1359276423503584</v>
      </c>
      <c r="AO97" s="100">
        <v>2800.1380068582803</v>
      </c>
      <c r="AP97" s="100">
        <v>7.9670628481207011</v>
      </c>
      <c r="AQ97" s="100">
        <v>3126.2754616025627</v>
      </c>
      <c r="AR97" s="100">
        <v>2.9400748003707724</v>
      </c>
      <c r="AS97" s="100">
        <v>1153.685351665491</v>
      </c>
      <c r="AT97" s="100">
        <v>7.2756352898500394</v>
      </c>
      <c r="AU97" s="100">
        <v>2854.9592877371551</v>
      </c>
      <c r="AV97" s="100">
        <v>6.4986246786393451</v>
      </c>
      <c r="AW97" s="100">
        <v>2550.0603238980789</v>
      </c>
      <c r="AX97" s="100">
        <v>8.6351606805293031</v>
      </c>
      <c r="AY97" s="100">
        <v>3388.4370510396984</v>
      </c>
      <c r="AZ97" s="100">
        <v>2.9920690662991185</v>
      </c>
      <c r="BA97" s="100">
        <v>1174.0879016157739</v>
      </c>
      <c r="BB97" s="100">
        <v>11.89881294546403</v>
      </c>
      <c r="BC97" s="100">
        <v>4669.0941998000853</v>
      </c>
      <c r="BD97" s="100">
        <v>8.1388300369717044</v>
      </c>
      <c r="BE97" s="100">
        <v>3193.6769065076965</v>
      </c>
      <c r="BF97" s="100">
        <v>6.6730566601438506</v>
      </c>
      <c r="BG97" s="100">
        <v>2618.5074334404467</v>
      </c>
      <c r="BH97" s="100">
        <v>0.56992623600936043</v>
      </c>
      <c r="BI97" s="100">
        <v>223.63905501007301</v>
      </c>
      <c r="BJ97" s="100">
        <v>7.1325163387243808</v>
      </c>
      <c r="BK97" s="100">
        <v>2798.7994113154468</v>
      </c>
      <c r="BL97" s="100">
        <v>6.0231160605912768</v>
      </c>
      <c r="BM97" s="100">
        <v>2363.4707421760168</v>
      </c>
      <c r="BN97" s="100">
        <v>12.047091412742384</v>
      </c>
      <c r="BO97" s="100">
        <v>4727.2786703601114</v>
      </c>
      <c r="BP97" s="100">
        <v>1.2378518633363058</v>
      </c>
      <c r="BQ97" s="100">
        <v>485.73307117316637</v>
      </c>
      <c r="BR97" s="100">
        <v>10.68120238987162</v>
      </c>
      <c r="BS97" s="100">
        <v>4191.3038177856233</v>
      </c>
      <c r="BT97" s="100">
        <v>5.2431123814440506</v>
      </c>
      <c r="BU97" s="100">
        <v>2057.3972984786451</v>
      </c>
      <c r="BV97" s="100">
        <v>2.1156511437515744</v>
      </c>
      <c r="BW97" s="100">
        <v>830.18150880811777</v>
      </c>
      <c r="BX97" s="100">
        <v>6.7510938484177432</v>
      </c>
      <c r="BY97" s="100">
        <v>2649.1292261191224</v>
      </c>
      <c r="BZ97" s="100">
        <v>8.3258463117429855</v>
      </c>
      <c r="CA97" s="100">
        <v>3267.0620927279474</v>
      </c>
      <c r="CB97" s="100">
        <v>6.2419465531225189</v>
      </c>
      <c r="CC97" s="100">
        <v>2449.3398274452761</v>
      </c>
      <c r="CD97" s="100">
        <v>0.4689482114040372</v>
      </c>
      <c r="CE97" s="100">
        <v>184.01527815494418</v>
      </c>
      <c r="CF97" s="100">
        <v>7.2954052069541007</v>
      </c>
      <c r="CG97" s="100">
        <v>2862.7170032087888</v>
      </c>
      <c r="CH97" s="100">
        <v>3.3683723755501864</v>
      </c>
      <c r="CI97" s="100">
        <v>1321.7493201658931</v>
      </c>
      <c r="CJ97" s="100">
        <v>6.5600594287696845</v>
      </c>
      <c r="CK97" s="100">
        <v>2574.167319849224</v>
      </c>
      <c r="CL97" s="100">
        <v>9</v>
      </c>
      <c r="CM97" s="100">
        <v>3531.6</v>
      </c>
      <c r="CN97" s="100">
        <v>6.4685872942589544</v>
      </c>
      <c r="CO97" s="100">
        <v>2538.2736542672137</v>
      </c>
      <c r="CP97" s="100">
        <v>5.7137153462195638</v>
      </c>
      <c r="CQ97" s="100">
        <v>2242.0619018565567</v>
      </c>
      <c r="CR97" s="100">
        <v>7.1459098731470823</v>
      </c>
      <c r="CS97" s="100">
        <v>2804.0550342229149</v>
      </c>
      <c r="CT97" s="100">
        <v>6.5876367174162871</v>
      </c>
      <c r="CU97" s="100">
        <v>2584.988647914151</v>
      </c>
    </row>
    <row r="98" spans="2:99">
      <c r="C98" s="99" t="s">
        <v>264</v>
      </c>
      <c r="D98" s="100">
        <v>9</v>
      </c>
      <c r="E98" s="100">
        <v>4730.4000000000005</v>
      </c>
      <c r="F98" s="100">
        <v>9.1040630651186571</v>
      </c>
      <c r="G98" s="100">
        <v>4785.0955470263661</v>
      </c>
      <c r="H98" s="100">
        <v>6.987823483735542</v>
      </c>
      <c r="I98" s="100">
        <v>3672.8000230514012</v>
      </c>
      <c r="J98" s="100">
        <v>7.407092892759672</v>
      </c>
      <c r="K98" s="100">
        <v>3893.1680244344839</v>
      </c>
      <c r="L98" s="100">
        <v>5.6465287530828474E-4</v>
      </c>
      <c r="M98" s="100">
        <v>0.29678155126203448</v>
      </c>
      <c r="N98" s="100">
        <v>6.8039764413111383</v>
      </c>
      <c r="O98" s="100">
        <v>3576.1700175531346</v>
      </c>
      <c r="P98" s="100">
        <v>6.6900144181637717</v>
      </c>
      <c r="Q98" s="100">
        <v>3516.2715781868787</v>
      </c>
      <c r="R98" s="100">
        <v>6.762072454678167</v>
      </c>
      <c r="S98" s="100">
        <v>3554.1452821788448</v>
      </c>
      <c r="T98" s="100">
        <v>0.51282529555651546</v>
      </c>
      <c r="U98" s="100">
        <v>269.54097534450455</v>
      </c>
      <c r="V98" s="100">
        <v>12.317848124004181</v>
      </c>
      <c r="W98" s="100">
        <v>6474.2609739765976</v>
      </c>
      <c r="X98" s="100">
        <v>8.8256236067254896</v>
      </c>
      <c r="Y98" s="100">
        <v>4638.7477676949175</v>
      </c>
      <c r="Z98" s="100">
        <v>6.9639334889193512</v>
      </c>
      <c r="AA98" s="100">
        <v>3660.243441776011</v>
      </c>
      <c r="AB98" s="100">
        <v>7.66250988906173</v>
      </c>
      <c r="AC98" s="100">
        <v>4027.4151976908456</v>
      </c>
      <c r="AD98" s="100">
        <v>6.5840825713419324</v>
      </c>
      <c r="AE98" s="100">
        <v>3460.5937994973197</v>
      </c>
      <c r="AF98" s="100">
        <v>0.50384898603717221</v>
      </c>
      <c r="AG98" s="100">
        <v>264.82302706113774</v>
      </c>
      <c r="AH98" s="100">
        <v>11.346278787741607</v>
      </c>
      <c r="AI98" s="100">
        <v>5963.6041308369886</v>
      </c>
      <c r="AJ98" s="100">
        <v>1.5467699546877898</v>
      </c>
      <c r="AK98" s="100">
        <v>812.98228818390237</v>
      </c>
      <c r="AL98" s="100">
        <v>5.8957670871229251</v>
      </c>
      <c r="AM98" s="100">
        <v>3098.8151809918095</v>
      </c>
      <c r="AN98" s="100">
        <v>7.1359276423503584</v>
      </c>
      <c r="AO98" s="100">
        <v>3750.6435688193487</v>
      </c>
      <c r="AP98" s="100">
        <v>7.870356563308631</v>
      </c>
      <c r="AQ98" s="100">
        <v>4136.6594096750168</v>
      </c>
      <c r="AR98" s="100">
        <v>2.9276274369771036</v>
      </c>
      <c r="AS98" s="100">
        <v>1538.7609808751656</v>
      </c>
      <c r="AT98" s="100">
        <v>6.6265252672580024</v>
      </c>
      <c r="AU98" s="100">
        <v>3482.9016804708062</v>
      </c>
      <c r="AV98" s="100">
        <v>7.1356708333319494</v>
      </c>
      <c r="AW98" s="100">
        <v>3750.5085899992728</v>
      </c>
      <c r="AX98" s="100">
        <v>8.5557655954631393</v>
      </c>
      <c r="AY98" s="100">
        <v>4496.910396975426</v>
      </c>
      <c r="AZ98" s="100">
        <v>2.9920690662991185</v>
      </c>
      <c r="BA98" s="100">
        <v>1572.6315012468167</v>
      </c>
      <c r="BB98" s="100">
        <v>12.071432304142579</v>
      </c>
      <c r="BC98" s="100">
        <v>6344.7448190573396</v>
      </c>
      <c r="BD98" s="100">
        <v>8.1388300369717044</v>
      </c>
      <c r="BE98" s="100">
        <v>4277.7690674323276</v>
      </c>
      <c r="BF98" s="100">
        <v>6.6730566601438506</v>
      </c>
      <c r="BG98" s="100">
        <v>3507.3585805716079</v>
      </c>
      <c r="BH98" s="100">
        <v>0.51852126265748955</v>
      </c>
      <c r="BI98" s="100">
        <v>272.53477565277649</v>
      </c>
      <c r="BJ98" s="100">
        <v>5.9751832225174235</v>
      </c>
      <c r="BK98" s="100">
        <v>3140.5563017551581</v>
      </c>
      <c r="BL98" s="100">
        <v>6.7734066136034361</v>
      </c>
      <c r="BM98" s="100">
        <v>3560.102516109966</v>
      </c>
      <c r="BN98" s="100">
        <v>13.163434903047094</v>
      </c>
      <c r="BO98" s="100">
        <v>6918.7013850415524</v>
      </c>
      <c r="BP98" s="100">
        <v>1.2378518633363058</v>
      </c>
      <c r="BQ98" s="100">
        <v>650.61493936956231</v>
      </c>
      <c r="BR98" s="100">
        <v>10.355069415568774</v>
      </c>
      <c r="BS98" s="100">
        <v>5442.624484822948</v>
      </c>
      <c r="BT98" s="100">
        <v>5.2431123814440506</v>
      </c>
      <c r="BU98" s="100">
        <v>2755.7798676869929</v>
      </c>
      <c r="BV98" s="100">
        <v>2.1265788100131968</v>
      </c>
      <c r="BW98" s="100">
        <v>1117.7298225429363</v>
      </c>
      <c r="BX98" s="100">
        <v>6.6932074388308793</v>
      </c>
      <c r="BY98" s="100">
        <v>3517.9498298495105</v>
      </c>
      <c r="BZ98" s="100">
        <v>7.2492282680461493</v>
      </c>
      <c r="CA98" s="100">
        <v>3810.1943776850562</v>
      </c>
      <c r="CB98" s="100">
        <v>6.218232767585639</v>
      </c>
      <c r="CC98" s="100">
        <v>3268.3031426430121</v>
      </c>
      <c r="CD98" s="100">
        <v>0.4689482114040372</v>
      </c>
      <c r="CE98" s="100">
        <v>246.47917991396196</v>
      </c>
      <c r="CF98" s="100">
        <v>6.3323308578233632</v>
      </c>
      <c r="CG98" s="100">
        <v>3328.27309887196</v>
      </c>
      <c r="CH98" s="100">
        <v>3.7182054792294901</v>
      </c>
      <c r="CI98" s="100">
        <v>1954.2887998830201</v>
      </c>
      <c r="CJ98" s="100">
        <v>6.4978306033508311</v>
      </c>
      <c r="CK98" s="100">
        <v>3415.2597651211968</v>
      </c>
      <c r="CL98" s="100">
        <v>10</v>
      </c>
      <c r="CM98" s="100">
        <v>5256</v>
      </c>
      <c r="CN98" s="100">
        <v>7.11544602368485</v>
      </c>
      <c r="CO98" s="100">
        <v>3739.8784300487573</v>
      </c>
      <c r="CP98" s="100">
        <v>6.387751038187675</v>
      </c>
      <c r="CQ98" s="100">
        <v>3357.4019456714423</v>
      </c>
      <c r="CR98" s="100">
        <v>6.9540018771775944</v>
      </c>
      <c r="CS98" s="100">
        <v>3655.0233866445437</v>
      </c>
      <c r="CT98" s="100">
        <v>7.0871419743976496</v>
      </c>
      <c r="CU98" s="100">
        <v>3725.0018217434049</v>
      </c>
    </row>
    <row r="99" spans="2:99">
      <c r="C99" s="99" t="s">
        <v>265</v>
      </c>
      <c r="D99" s="100">
        <v>7</v>
      </c>
      <c r="E99" s="100">
        <v>29458.799999999996</v>
      </c>
      <c r="F99" s="100">
        <v>5.7934946778027818</v>
      </c>
      <c r="G99" s="100">
        <v>24381.343002065223</v>
      </c>
      <c r="H99" s="100">
        <v>5.434973820683199</v>
      </c>
      <c r="I99" s="100">
        <v>22872.543826963174</v>
      </c>
      <c r="J99" s="100">
        <v>5.7610722499241902</v>
      </c>
      <c r="K99" s="100">
        <v>24244.896456580958</v>
      </c>
      <c r="L99" s="100">
        <v>3.7643525020552318E-4</v>
      </c>
      <c r="M99" s="100">
        <v>1.5841901069649236</v>
      </c>
      <c r="N99" s="100">
        <v>4.4590607404711422</v>
      </c>
      <c r="O99" s="100">
        <v>18765.511220198754</v>
      </c>
      <c r="P99" s="100">
        <v>6.2688108986030846</v>
      </c>
      <c r="Q99" s="100">
        <v>26381.663785681219</v>
      </c>
      <c r="R99" s="100">
        <v>5.5193919805941904</v>
      </c>
      <c r="S99" s="100">
        <v>23227.80921113259</v>
      </c>
      <c r="T99" s="100">
        <v>0.36768012561564467</v>
      </c>
      <c r="U99" s="100">
        <v>1547.345040640879</v>
      </c>
      <c r="V99" s="100">
        <v>9.2270343742887011</v>
      </c>
      <c r="W99" s="100">
        <v>38831.051460756564</v>
      </c>
      <c r="X99" s="100">
        <v>5.6163059315525841</v>
      </c>
      <c r="Y99" s="100">
        <v>23635.661882345892</v>
      </c>
      <c r="Z99" s="100">
        <v>5.0646789010322557</v>
      </c>
      <c r="AA99" s="100">
        <v>21314.194687104144</v>
      </c>
      <c r="AB99" s="100">
        <v>5.1083399260411531</v>
      </c>
      <c r="AC99" s="100">
        <v>21497.937744751587</v>
      </c>
      <c r="AD99" s="100">
        <v>4.1150516070887075</v>
      </c>
      <c r="AE99" s="100">
        <v>17317.783183272117</v>
      </c>
      <c r="AF99" s="100">
        <v>0.3526942902260205</v>
      </c>
      <c r="AG99" s="100">
        <v>1484.2786509871846</v>
      </c>
      <c r="AH99" s="100">
        <v>8.2423951514191245</v>
      </c>
      <c r="AI99" s="100">
        <v>34687.29575523224</v>
      </c>
      <c r="AJ99" s="100">
        <v>1.1690268569649906</v>
      </c>
      <c r="AK99" s="100">
        <v>4919.7326248514664</v>
      </c>
      <c r="AL99" s="100">
        <v>4.626528810211628</v>
      </c>
      <c r="AM99" s="100">
        <v>19470.283844894613</v>
      </c>
      <c r="AN99" s="100">
        <v>4.995149349645251</v>
      </c>
      <c r="AO99" s="100">
        <v>21021.586523047074</v>
      </c>
      <c r="AP99" s="100">
        <v>6.6769439936844908</v>
      </c>
      <c r="AQ99" s="100">
        <v>28099.251103021808</v>
      </c>
      <c r="AR99" s="100">
        <v>2.1117008748255643</v>
      </c>
      <c r="AS99" s="100">
        <v>8886.8819616159035</v>
      </c>
      <c r="AT99" s="100">
        <v>4.6566243592589522</v>
      </c>
      <c r="AU99" s="100">
        <v>19596.937953505374</v>
      </c>
      <c r="AV99" s="100">
        <v>5.1276165766445887</v>
      </c>
      <c r="AW99" s="100">
        <v>21579.061601151087</v>
      </c>
      <c r="AX99" s="100">
        <v>5.4763705103969773</v>
      </c>
      <c r="AY99" s="100">
        <v>23046.757655954636</v>
      </c>
      <c r="AZ99" s="100">
        <v>1.9947127108660789</v>
      </c>
      <c r="BA99" s="100">
        <v>8394.5489724088056</v>
      </c>
      <c r="BB99" s="100">
        <v>9.5535742281069336</v>
      </c>
      <c r="BC99" s="100">
        <v>40205.261781565219</v>
      </c>
      <c r="BD99" s="100">
        <v>5.9191491177976028</v>
      </c>
      <c r="BE99" s="100">
        <v>24910.14714733943</v>
      </c>
      <c r="BF99" s="100">
        <v>4.0038339960863105</v>
      </c>
      <c r="BG99" s="100">
        <v>16849.734989129629</v>
      </c>
      <c r="BH99" s="100">
        <v>0.36430634260187722</v>
      </c>
      <c r="BI99" s="100">
        <v>1533.1468122057399</v>
      </c>
      <c r="BJ99" s="100">
        <v>4.8178501063104662</v>
      </c>
      <c r="BK99" s="100">
        <v>20275.440387396964</v>
      </c>
      <c r="BL99" s="100">
        <v>4.7878072878462872</v>
      </c>
      <c r="BM99" s="100">
        <v>20149.008190172313</v>
      </c>
      <c r="BN99" s="100">
        <v>8.9307479224376749</v>
      </c>
      <c r="BO99" s="100">
        <v>37584.159556786704</v>
      </c>
      <c r="BP99" s="100">
        <v>0.92838889750222953</v>
      </c>
      <c r="BQ99" s="100">
        <v>3907.0318362483822</v>
      </c>
      <c r="BR99" s="100">
        <v>8.042087258389838</v>
      </c>
      <c r="BS99" s="100">
        <v>33844.320018207793</v>
      </c>
      <c r="BT99" s="100">
        <v>3.4954082542960339</v>
      </c>
      <c r="BU99" s="100">
        <v>14710.076097379428</v>
      </c>
      <c r="BV99" s="100">
        <v>1.6358298538563052</v>
      </c>
      <c r="BW99" s="100">
        <v>6884.2263569688739</v>
      </c>
      <c r="BX99" s="100">
        <v>5.5341470413575831</v>
      </c>
      <c r="BY99" s="100">
        <v>23289.904408849252</v>
      </c>
      <c r="BZ99" s="100">
        <v>5.728291641120272</v>
      </c>
      <c r="CA99" s="100">
        <v>24106.942542490549</v>
      </c>
      <c r="CB99" s="100">
        <v>5.5085182405667155</v>
      </c>
      <c r="CC99" s="100">
        <v>23182.048163600964</v>
      </c>
      <c r="CD99" s="100">
        <v>0.41690932285128424</v>
      </c>
      <c r="CE99" s="100">
        <v>1754.5211942873445</v>
      </c>
      <c r="CF99" s="100">
        <v>5.2954052069541007</v>
      </c>
      <c r="CG99" s="100">
        <v>22285.183272945636</v>
      </c>
      <c r="CH99" s="100">
        <v>2.2681328085654018</v>
      </c>
      <c r="CI99" s="100">
        <v>9545.2101115666355</v>
      </c>
      <c r="CJ99" s="100">
        <v>5.4356017779319767</v>
      </c>
      <c r="CK99" s="100">
        <v>22875.186522248929</v>
      </c>
      <c r="CL99" s="100">
        <v>6</v>
      </c>
      <c r="CM99" s="100">
        <v>25250.399999999998</v>
      </c>
      <c r="CN99" s="100">
        <v>5.1748698354071641</v>
      </c>
      <c r="CO99" s="100">
        <v>21777.922215327508</v>
      </c>
      <c r="CP99" s="100">
        <v>4.089125767160346</v>
      </c>
      <c r="CQ99" s="100">
        <v>17208.676878517599</v>
      </c>
      <c r="CR99" s="100">
        <v>5.2109823074502044</v>
      </c>
      <c r="CS99" s="100">
        <v>21929.897942673437</v>
      </c>
      <c r="CT99" s="100">
        <v>5.3292316268254973</v>
      </c>
      <c r="CU99" s="100">
        <v>22427.538378332421</v>
      </c>
    </row>
    <row r="100" spans="2:99">
      <c r="C100" s="99" t="s">
        <v>266</v>
      </c>
      <c r="D100" s="100">
        <v>9</v>
      </c>
      <c r="E100" s="100">
        <v>2916</v>
      </c>
      <c r="F100" s="100">
        <v>8.2764209682896883</v>
      </c>
      <c r="G100" s="100">
        <v>2681.5603937258588</v>
      </c>
      <c r="H100" s="100">
        <v>7.764248315261713</v>
      </c>
      <c r="I100" s="100">
        <v>2515.6164541447952</v>
      </c>
      <c r="J100" s="100">
        <v>8.2301032141774133</v>
      </c>
      <c r="K100" s="100">
        <v>2666.553441393482</v>
      </c>
      <c r="L100" s="100">
        <v>5.6465287530828474E-4</v>
      </c>
      <c r="M100" s="100">
        <v>0.18294753159988425</v>
      </c>
      <c r="N100" s="100">
        <v>6.9310998041737113</v>
      </c>
      <c r="O100" s="100">
        <v>2245.6763365522825</v>
      </c>
      <c r="P100" s="100">
        <v>8.3171148777614992</v>
      </c>
      <c r="Q100" s="100">
        <v>2694.7452203947259</v>
      </c>
      <c r="R100" s="100">
        <v>7.4519964522524393</v>
      </c>
      <c r="S100" s="100">
        <v>2414.4468505297905</v>
      </c>
      <c r="T100" s="100">
        <v>0.51282529555651546</v>
      </c>
      <c r="U100" s="100">
        <v>166.155395760311</v>
      </c>
      <c r="V100" s="100">
        <v>13.272441249146441</v>
      </c>
      <c r="W100" s="100">
        <v>4300.2709647234469</v>
      </c>
      <c r="X100" s="100">
        <v>9.6279530255187158</v>
      </c>
      <c r="Y100" s="100">
        <v>3119.456780268064</v>
      </c>
      <c r="Z100" s="100">
        <v>6.9639334889193512</v>
      </c>
      <c r="AA100" s="100">
        <v>2256.3144504098696</v>
      </c>
      <c r="AB100" s="100">
        <v>6.8111199013882047</v>
      </c>
      <c r="AC100" s="100">
        <v>2206.8028480497783</v>
      </c>
      <c r="AD100" s="100">
        <v>6.5840825713419324</v>
      </c>
      <c r="AE100" s="100">
        <v>2133.242753114786</v>
      </c>
      <c r="AF100" s="100">
        <v>0.50384898603717221</v>
      </c>
      <c r="AG100" s="100">
        <v>163.2470714760438</v>
      </c>
      <c r="AH100" s="100">
        <v>12.311650908967447</v>
      </c>
      <c r="AI100" s="100">
        <v>3988.974894505453</v>
      </c>
      <c r="AJ100" s="100">
        <v>1.5557193456369383</v>
      </c>
      <c r="AK100" s="100">
        <v>504.05306798636798</v>
      </c>
      <c r="AL100" s="100">
        <v>5.9694450235317618</v>
      </c>
      <c r="AM100" s="100">
        <v>1934.1001876242908</v>
      </c>
      <c r="AN100" s="100">
        <v>7.8495204065853939</v>
      </c>
      <c r="AO100" s="100">
        <v>2543.2446117336676</v>
      </c>
      <c r="AP100" s="100">
        <v>8.870356563308631</v>
      </c>
      <c r="AQ100" s="100">
        <v>2873.9955265119966</v>
      </c>
      <c r="AR100" s="100">
        <v>2.9400748003707724</v>
      </c>
      <c r="AS100" s="100">
        <v>952.58423532013023</v>
      </c>
      <c r="AT100" s="100">
        <v>6.6490961074809416</v>
      </c>
      <c r="AU100" s="100">
        <v>2154.307138823825</v>
      </c>
      <c r="AV100" s="100">
        <v>7.2296960389499318</v>
      </c>
      <c r="AW100" s="100">
        <v>2342.4215166197778</v>
      </c>
      <c r="AX100" s="100">
        <v>8.6351606805293031</v>
      </c>
      <c r="AY100" s="100">
        <v>2797.7920604914943</v>
      </c>
      <c r="AZ100" s="100">
        <v>3.2414081551573788</v>
      </c>
      <c r="BA100" s="100">
        <v>1050.2162422709907</v>
      </c>
      <c r="BB100" s="100">
        <v>13.071432304142579</v>
      </c>
      <c r="BC100" s="100">
        <v>4235.144066542196</v>
      </c>
      <c r="BD100" s="100">
        <v>8.1388300369717044</v>
      </c>
      <c r="BE100" s="100">
        <v>2636.9809319788324</v>
      </c>
      <c r="BF100" s="100">
        <v>6.6730566601438506</v>
      </c>
      <c r="BG100" s="100">
        <v>2162.0703578866078</v>
      </c>
      <c r="BH100" s="100">
        <v>0.46935205387500967</v>
      </c>
      <c r="BI100" s="100">
        <v>152.07006545550314</v>
      </c>
      <c r="BJ100" s="100">
        <v>6.5224301737071286</v>
      </c>
      <c r="BK100" s="100">
        <v>2113.2673762811096</v>
      </c>
      <c r="BL100" s="100">
        <v>7.3247429166560973</v>
      </c>
      <c r="BM100" s="100">
        <v>2373.2167049965756</v>
      </c>
      <c r="BN100" s="100">
        <v>14.163434903047094</v>
      </c>
      <c r="BO100" s="100">
        <v>4588.9529085872582</v>
      </c>
      <c r="BP100" s="100">
        <v>1.3410061852809982</v>
      </c>
      <c r="BQ100" s="100">
        <v>434.48600403104342</v>
      </c>
      <c r="BR100" s="100">
        <v>10.805944253816115</v>
      </c>
      <c r="BS100" s="100">
        <v>3501.1259382364215</v>
      </c>
      <c r="BT100" s="100">
        <v>5.2431123814440506</v>
      </c>
      <c r="BU100" s="100">
        <v>1698.7684115878724</v>
      </c>
      <c r="BV100" s="100">
        <v>1.9629958246275663</v>
      </c>
      <c r="BW100" s="100">
        <v>636.0106471793315</v>
      </c>
      <c r="BX100" s="100">
        <v>7.8522678363041747</v>
      </c>
      <c r="BY100" s="100">
        <v>2544.1347789625524</v>
      </c>
      <c r="BZ100" s="100">
        <v>8.5035737450346005</v>
      </c>
      <c r="CA100" s="100">
        <v>2755.1578933912106</v>
      </c>
      <c r="CB100" s="100">
        <v>6.8774907948020392</v>
      </c>
      <c r="CC100" s="100">
        <v>2228.3070175158605</v>
      </c>
      <c r="CD100" s="100">
        <v>0.52038888552752993</v>
      </c>
      <c r="CE100" s="100">
        <v>168.60599891091971</v>
      </c>
      <c r="CF100" s="100">
        <v>7.3692565086926258</v>
      </c>
      <c r="CG100" s="100">
        <v>2387.639108816411</v>
      </c>
      <c r="CH100" s="100">
        <v>3.3345455382522706</v>
      </c>
      <c r="CI100" s="100">
        <v>1080.3927543937357</v>
      </c>
      <c r="CJ100" s="100">
        <v>7.4978306033508311</v>
      </c>
      <c r="CK100" s="100">
        <v>2429.2971154856691</v>
      </c>
      <c r="CL100" s="100">
        <v>10</v>
      </c>
      <c r="CM100" s="100">
        <v>3240</v>
      </c>
      <c r="CN100" s="100">
        <v>7.11544602368485</v>
      </c>
      <c r="CO100" s="100">
        <v>2305.4045116738912</v>
      </c>
      <c r="CP100" s="100">
        <v>7.2968271960103319</v>
      </c>
      <c r="CQ100" s="100">
        <v>2364.1720115073476</v>
      </c>
      <c r="CR100" s="100">
        <v>6.9540018771775944</v>
      </c>
      <c r="CS100" s="100">
        <v>2253.0966082055406</v>
      </c>
      <c r="CT100" s="100">
        <v>6.5876367174162871</v>
      </c>
      <c r="CU100" s="100">
        <v>2134.394296442877</v>
      </c>
    </row>
    <row r="101" spans="2:99">
      <c r="C101" s="99" t="s">
        <v>267</v>
      </c>
      <c r="D101" s="100">
        <v>10</v>
      </c>
      <c r="E101" s="100">
        <v>7236</v>
      </c>
      <c r="F101" s="100">
        <v>9.1040630651186571</v>
      </c>
      <c r="G101" s="100">
        <v>6587.7000339198603</v>
      </c>
      <c r="H101" s="100">
        <v>6.987823483735542</v>
      </c>
      <c r="I101" s="100">
        <v>5056.389072831038</v>
      </c>
      <c r="J101" s="100">
        <v>6.5840825713419315</v>
      </c>
      <c r="K101" s="100">
        <v>4764.2421486230214</v>
      </c>
      <c r="L101" s="100">
        <v>5.6465287530828474E-4</v>
      </c>
      <c r="M101" s="100">
        <v>0.40858282057307488</v>
      </c>
      <c r="N101" s="100">
        <v>6.8039764413111383</v>
      </c>
      <c r="O101" s="100">
        <v>4923.3573529327396</v>
      </c>
      <c r="P101" s="100">
        <v>6.6900144181637717</v>
      </c>
      <c r="Q101" s="100">
        <v>4840.8944329833057</v>
      </c>
      <c r="R101" s="100">
        <v>6.8306562152104506</v>
      </c>
      <c r="S101" s="100">
        <v>4942.662837326282</v>
      </c>
      <c r="T101" s="100">
        <v>0.51282529555651546</v>
      </c>
      <c r="U101" s="100">
        <v>371.08038386469462</v>
      </c>
      <c r="V101" s="100">
        <v>12.272441249146441</v>
      </c>
      <c r="W101" s="100">
        <v>8880.3384878823654</v>
      </c>
      <c r="X101" s="100">
        <v>8.8256236067254896</v>
      </c>
      <c r="Y101" s="100">
        <v>6386.2212418265644</v>
      </c>
      <c r="Z101" s="100">
        <v>6.9639334889193512</v>
      </c>
      <c r="AA101" s="100">
        <v>5039.102272582043</v>
      </c>
      <c r="AB101" s="100">
        <v>6.8111199013882047</v>
      </c>
      <c r="AC101" s="100">
        <v>4928.5263606445051</v>
      </c>
      <c r="AD101" s="100">
        <v>6.5840825713419324</v>
      </c>
      <c r="AE101" s="100">
        <v>4764.2421486230223</v>
      </c>
      <c r="AF101" s="100">
        <v>0.45346408743345495</v>
      </c>
      <c r="AG101" s="100">
        <v>328.12661366684802</v>
      </c>
      <c r="AH101" s="100">
        <v>10.311650908967447</v>
      </c>
      <c r="AI101" s="100">
        <v>7461.5105977288449</v>
      </c>
      <c r="AJ101" s="100">
        <v>1.371322492250113</v>
      </c>
      <c r="AK101" s="100">
        <v>992.28895539218183</v>
      </c>
      <c r="AL101" s="100">
        <v>6.4935472573741562</v>
      </c>
      <c r="AM101" s="100">
        <v>4698.7307954359394</v>
      </c>
      <c r="AN101" s="100">
        <v>6.4223348781153229</v>
      </c>
      <c r="AO101" s="100">
        <v>4647.2015178042475</v>
      </c>
      <c r="AP101" s="100">
        <v>8.9670628481207011</v>
      </c>
      <c r="AQ101" s="100">
        <v>6488.5666769001391</v>
      </c>
      <c r="AR101" s="100">
        <v>3.2920249461750331</v>
      </c>
      <c r="AS101" s="100">
        <v>2382.109251052254</v>
      </c>
      <c r="AT101" s="100">
        <v>7.2982061300729786</v>
      </c>
      <c r="AU101" s="100">
        <v>5280.9819557208075</v>
      </c>
      <c r="AV101" s="100">
        <v>7.8667421936425361</v>
      </c>
      <c r="AW101" s="100">
        <v>5692.3746513197393</v>
      </c>
      <c r="AX101" s="100">
        <v>7.6351606805293031</v>
      </c>
      <c r="AY101" s="100">
        <v>5524.8022684310035</v>
      </c>
      <c r="AZ101" s="100">
        <v>2.9920690662991185</v>
      </c>
      <c r="BA101" s="100">
        <v>2165.0611763740421</v>
      </c>
      <c r="BB101" s="100">
        <v>11.726193586785483</v>
      </c>
      <c r="BC101" s="100">
        <v>8485.0736793979759</v>
      </c>
      <c r="BD101" s="100">
        <v>8.1388300369717044</v>
      </c>
      <c r="BE101" s="100">
        <v>5889.2574147527257</v>
      </c>
      <c r="BF101" s="100">
        <v>6.0057509941294658</v>
      </c>
      <c r="BG101" s="100">
        <v>4345.7614193520812</v>
      </c>
      <c r="BH101" s="100">
        <v>0.46711628930561883</v>
      </c>
      <c r="BI101" s="100">
        <v>338.00534694154578</v>
      </c>
      <c r="BJ101" s="100">
        <v>6.0380224363449688</v>
      </c>
      <c r="BK101" s="100">
        <v>4369.1130349392197</v>
      </c>
      <c r="BL101" s="100">
        <v>6.6407704469637716</v>
      </c>
      <c r="BM101" s="100">
        <v>4805.2614954229857</v>
      </c>
      <c r="BN101" s="100">
        <v>12.047091412742384</v>
      </c>
      <c r="BO101" s="100">
        <v>8717.2753462603887</v>
      </c>
      <c r="BP101" s="100">
        <v>1.2378518633363058</v>
      </c>
      <c r="BQ101" s="100">
        <v>895.70960831015088</v>
      </c>
      <c r="BR101" s="100">
        <v>9.7599167247295302</v>
      </c>
      <c r="BS101" s="100">
        <v>7062.275742014288</v>
      </c>
      <c r="BT101" s="100">
        <v>4.8061863496570467</v>
      </c>
      <c r="BU101" s="100">
        <v>3477.7564426118392</v>
      </c>
      <c r="BV101" s="100">
        <v>1.8048766723727472</v>
      </c>
      <c r="BW101" s="100">
        <v>1306.0087601289199</v>
      </c>
      <c r="BX101" s="100">
        <v>6.2005068544745283</v>
      </c>
      <c r="BY101" s="100">
        <v>4486.6867598977688</v>
      </c>
      <c r="BZ101" s="100">
        <v>7.8764010065403758</v>
      </c>
      <c r="CA101" s="100">
        <v>5699.363768332616</v>
      </c>
      <c r="CB101" s="100">
        <v>6.8774907948020392</v>
      </c>
      <c r="CC101" s="100">
        <v>4976.5523391187553</v>
      </c>
      <c r="CD101" s="100">
        <v>0.4689482114040372</v>
      </c>
      <c r="CE101" s="100">
        <v>339.33092577196135</v>
      </c>
      <c r="CF101" s="100">
        <v>6.3323308578233632</v>
      </c>
      <c r="CG101" s="100">
        <v>4582.0746087209855</v>
      </c>
      <c r="CH101" s="100">
        <v>3.3683723755501864</v>
      </c>
      <c r="CI101" s="100">
        <v>2437.3542509481149</v>
      </c>
      <c r="CJ101" s="100">
        <v>6.4978306033508311</v>
      </c>
      <c r="CK101" s="100">
        <v>4701.8302245846617</v>
      </c>
      <c r="CL101" s="100">
        <v>10</v>
      </c>
      <c r="CM101" s="100">
        <v>7236</v>
      </c>
      <c r="CN101" s="100">
        <v>6.4685872942589544</v>
      </c>
      <c r="CO101" s="100">
        <v>4680.6697661257795</v>
      </c>
      <c r="CP101" s="100">
        <v>5.6998894364634145</v>
      </c>
      <c r="CQ101" s="100">
        <v>4124.4399962249272</v>
      </c>
      <c r="CR101" s="100">
        <v>6.9540018771775944</v>
      </c>
      <c r="CS101" s="100">
        <v>5031.9157583257074</v>
      </c>
      <c r="CT101" s="100">
        <v>7.0871419743976496</v>
      </c>
      <c r="CU101" s="100">
        <v>5128.2559326741393</v>
      </c>
    </row>
    <row r="102" spans="2:99">
      <c r="C102" s="99" t="s">
        <v>268</v>
      </c>
      <c r="D102" s="100">
        <v>8</v>
      </c>
      <c r="E102" s="100">
        <v>4252.8</v>
      </c>
      <c r="F102" s="100">
        <v>9.1040630651186571</v>
      </c>
      <c r="G102" s="100">
        <v>4839.7199254170782</v>
      </c>
      <c r="H102" s="100">
        <v>6.987823483735542</v>
      </c>
      <c r="I102" s="100">
        <v>3714.7269639538144</v>
      </c>
      <c r="J102" s="100">
        <v>6.5840825713419315</v>
      </c>
      <c r="K102" s="100">
        <v>3500.0982949253707</v>
      </c>
      <c r="L102" s="100">
        <v>5.1759846903259431E-4</v>
      </c>
      <c r="M102" s="100">
        <v>0.27515534613772713</v>
      </c>
      <c r="N102" s="100">
        <v>6.1918356915145703</v>
      </c>
      <c r="O102" s="100">
        <v>3291.5798536091456</v>
      </c>
      <c r="P102" s="100">
        <v>8.0280173017965257</v>
      </c>
      <c r="Q102" s="100">
        <v>4267.6939976350332</v>
      </c>
      <c r="R102" s="100">
        <v>6.899239975742737</v>
      </c>
      <c r="S102" s="100">
        <v>3667.635971104839</v>
      </c>
      <c r="T102" s="100">
        <v>0.51282529555651546</v>
      </c>
      <c r="U102" s="100">
        <v>272.61792711784364</v>
      </c>
      <c r="V102" s="100">
        <v>12.317848124004181</v>
      </c>
      <c r="W102" s="100">
        <v>6548.1680627206224</v>
      </c>
      <c r="X102" s="100">
        <v>8.0232941879322635</v>
      </c>
      <c r="Y102" s="100">
        <v>4265.1831903047914</v>
      </c>
      <c r="Z102" s="100">
        <v>7.5970183515483836</v>
      </c>
      <c r="AA102" s="100">
        <v>4038.5749556831211</v>
      </c>
      <c r="AB102" s="100">
        <v>6.8111199013882047</v>
      </c>
      <c r="AC102" s="100">
        <v>3620.7913395779697</v>
      </c>
      <c r="AD102" s="100">
        <v>5.7610722499241911</v>
      </c>
      <c r="AE102" s="100">
        <v>3062.5860080596999</v>
      </c>
      <c r="AF102" s="100">
        <v>0.50384898603717221</v>
      </c>
      <c r="AG102" s="100">
        <v>267.84612097736078</v>
      </c>
      <c r="AH102" s="100">
        <v>11.311650908967447</v>
      </c>
      <c r="AI102" s="100">
        <v>6013.2736232070956</v>
      </c>
      <c r="AJ102" s="100">
        <v>1.3623731013009646</v>
      </c>
      <c r="AK102" s="100">
        <v>724.23754065159278</v>
      </c>
      <c r="AL102" s="100">
        <v>6.4935472573741562</v>
      </c>
      <c r="AM102" s="100">
        <v>3451.9697220201015</v>
      </c>
      <c r="AN102" s="100">
        <v>6.4223348781153229</v>
      </c>
      <c r="AO102" s="100">
        <v>3414.1132212061057</v>
      </c>
      <c r="AP102" s="100">
        <v>7.870356563308631</v>
      </c>
      <c r="AQ102" s="100">
        <v>4183.8815490548686</v>
      </c>
      <c r="AR102" s="100">
        <v>3.2920249461750331</v>
      </c>
      <c r="AS102" s="100">
        <v>1750.0404613866476</v>
      </c>
      <c r="AT102" s="100">
        <v>7.2982061300729786</v>
      </c>
      <c r="AU102" s="100">
        <v>3879.7263787467955</v>
      </c>
      <c r="AV102" s="100">
        <v>6.4986246786393451</v>
      </c>
      <c r="AW102" s="100">
        <v>3454.6688791646761</v>
      </c>
      <c r="AX102" s="100">
        <v>8.6351606805293031</v>
      </c>
      <c r="AY102" s="100">
        <v>4590.4514177693782</v>
      </c>
      <c r="AZ102" s="100">
        <v>2.4933908885825988</v>
      </c>
      <c r="BA102" s="100">
        <v>1325.4865963705097</v>
      </c>
      <c r="BB102" s="100">
        <v>11.726193586785483</v>
      </c>
      <c r="BC102" s="100">
        <v>6233.6445107351628</v>
      </c>
      <c r="BD102" s="100">
        <v>8.1388300369717044</v>
      </c>
      <c r="BE102" s="100">
        <v>4326.602047654158</v>
      </c>
      <c r="BF102" s="100">
        <v>6.0057509941294658</v>
      </c>
      <c r="BG102" s="100">
        <v>3192.6572284792242</v>
      </c>
      <c r="BH102" s="100">
        <v>0.56769047143996942</v>
      </c>
      <c r="BI102" s="100">
        <v>301.78425461748776</v>
      </c>
      <c r="BJ102" s="100">
        <v>6.5852693875346748</v>
      </c>
      <c r="BK102" s="100">
        <v>3500.7292064134331</v>
      </c>
      <c r="BL102" s="100">
        <v>7.3247429166560973</v>
      </c>
      <c r="BM102" s="100">
        <v>3893.8333344943817</v>
      </c>
      <c r="BN102" s="100">
        <v>13.163434903047094</v>
      </c>
      <c r="BO102" s="100">
        <v>6997.6819944598356</v>
      </c>
      <c r="BP102" s="100">
        <v>1.3410061852809982</v>
      </c>
      <c r="BQ102" s="100">
        <v>712.87888809537867</v>
      </c>
      <c r="BR102" s="100">
        <v>9.5585256143711774</v>
      </c>
      <c r="BS102" s="100">
        <v>5081.3122165997183</v>
      </c>
      <c r="BT102" s="100">
        <v>5.2431123814440506</v>
      </c>
      <c r="BU102" s="100">
        <v>2787.2385419756574</v>
      </c>
      <c r="BV102" s="100">
        <v>1.7994128392419357</v>
      </c>
      <c r="BW102" s="100">
        <v>956.56786534101309</v>
      </c>
      <c r="BX102" s="100">
        <v>7.3016808423609589</v>
      </c>
      <c r="BY102" s="100">
        <v>3881.5735357990861</v>
      </c>
      <c r="BZ102" s="100">
        <v>7.1603645514003409</v>
      </c>
      <c r="CA102" s="100">
        <v>3806.4497955244215</v>
      </c>
      <c r="CB102" s="100">
        <v>6.910118818427466</v>
      </c>
      <c r="CC102" s="100">
        <v>3673.4191638760412</v>
      </c>
      <c r="CD102" s="100">
        <v>0.52158531438605049</v>
      </c>
      <c r="CE102" s="100">
        <v>277.27475312762448</v>
      </c>
      <c r="CF102" s="100">
        <v>7.3692565086926258</v>
      </c>
      <c r="CG102" s="100">
        <v>3917.4967600210002</v>
      </c>
      <c r="CH102" s="100">
        <v>3.3345455382522706</v>
      </c>
      <c r="CI102" s="100">
        <v>1772.6444081349071</v>
      </c>
      <c r="CJ102" s="100">
        <v>7.4356017779319767</v>
      </c>
      <c r="CK102" s="100">
        <v>3952.7659051486389</v>
      </c>
      <c r="CL102" s="100">
        <v>9</v>
      </c>
      <c r="CM102" s="100">
        <v>4784.4000000000005</v>
      </c>
      <c r="CN102" s="100">
        <v>7.11544602368485</v>
      </c>
      <c r="CO102" s="100">
        <v>3782.5711061908664</v>
      </c>
      <c r="CP102" s="100">
        <v>5.7137153462195638</v>
      </c>
      <c r="CQ102" s="100">
        <v>3037.4110780503202</v>
      </c>
      <c r="CR102" s="100">
        <v>6.9540018771775944</v>
      </c>
      <c r="CS102" s="100">
        <v>3696.7473979076094</v>
      </c>
      <c r="CT102" s="100">
        <v>6.5876367174162871</v>
      </c>
      <c r="CU102" s="100">
        <v>3501.9876789784985</v>
      </c>
    </row>
    <row r="103" spans="2:99">
      <c r="C103" s="99" t="s">
        <v>269</v>
      </c>
      <c r="D103" s="100">
        <v>9</v>
      </c>
      <c r="E103" s="100">
        <v>5302.7999999999993</v>
      </c>
      <c r="F103" s="100">
        <v>9.1040630651186571</v>
      </c>
      <c r="G103" s="100">
        <v>5364.113957967912</v>
      </c>
      <c r="H103" s="100">
        <v>7.764248315261713</v>
      </c>
      <c r="I103" s="100">
        <v>4574.6951073522005</v>
      </c>
      <c r="J103" s="100">
        <v>7.407092892759672</v>
      </c>
      <c r="K103" s="100">
        <v>4364.2591324139985</v>
      </c>
      <c r="L103" s="100">
        <v>5.1759846903259431E-4</v>
      </c>
      <c r="M103" s="100">
        <v>0.30496901795400455</v>
      </c>
      <c r="N103" s="100">
        <v>6.0647123286519982</v>
      </c>
      <c r="O103" s="100">
        <v>3573.3285040417568</v>
      </c>
      <c r="P103" s="100">
        <v>6.6900144181637717</v>
      </c>
      <c r="Q103" s="100">
        <v>3941.7564951820937</v>
      </c>
      <c r="R103" s="100">
        <v>6.2778997387007491</v>
      </c>
      <c r="S103" s="100">
        <v>3698.938526042481</v>
      </c>
      <c r="T103" s="100">
        <v>0.51194944087224881</v>
      </c>
      <c r="U103" s="100">
        <v>301.64061056192895</v>
      </c>
      <c r="V103" s="100">
        <v>12.272441249146441</v>
      </c>
      <c r="W103" s="100">
        <v>7230.9223839970819</v>
      </c>
      <c r="X103" s="100">
        <v>8.8256236067254896</v>
      </c>
      <c r="Y103" s="100">
        <v>5200.057429082658</v>
      </c>
      <c r="Z103" s="100">
        <v>6.9639334889193512</v>
      </c>
      <c r="AA103" s="100">
        <v>4103.1496116712815</v>
      </c>
      <c r="AB103" s="100">
        <v>7.66250988906173</v>
      </c>
      <c r="AC103" s="100">
        <v>4514.7508266351706</v>
      </c>
      <c r="AD103" s="100">
        <v>5.7610722499241911</v>
      </c>
      <c r="AE103" s="100">
        <v>3394.4237696553332</v>
      </c>
      <c r="AF103" s="100">
        <v>0.55891312873997423</v>
      </c>
      <c r="AG103" s="100">
        <v>329.31161545359276</v>
      </c>
      <c r="AH103" s="100">
        <v>11.346278787741607</v>
      </c>
      <c r="AI103" s="100">
        <v>6685.2274617373541</v>
      </c>
      <c r="AJ103" s="100">
        <v>1.5557193456369383</v>
      </c>
      <c r="AK103" s="100">
        <v>916.62983844928397</v>
      </c>
      <c r="AL103" s="100">
        <v>7.1650053640342231</v>
      </c>
      <c r="AM103" s="100">
        <v>4221.6211604889641</v>
      </c>
      <c r="AN103" s="100">
        <v>7.1359276423503584</v>
      </c>
      <c r="AO103" s="100">
        <v>4204.4885668728302</v>
      </c>
      <c r="AP103" s="100">
        <v>8.9670628481207011</v>
      </c>
      <c r="AQ103" s="100">
        <v>5283.3934301127165</v>
      </c>
      <c r="AR103" s="100">
        <v>2.9276274369771036</v>
      </c>
      <c r="AS103" s="100">
        <v>1724.9580858669092</v>
      </c>
      <c r="AT103" s="100">
        <v>6.6265252672580024</v>
      </c>
      <c r="AU103" s="100">
        <v>3904.3486874684145</v>
      </c>
      <c r="AV103" s="100">
        <v>7.2296960389499318</v>
      </c>
      <c r="AW103" s="100">
        <v>4259.7369061492991</v>
      </c>
      <c r="AX103" s="100">
        <v>8.6351606805293031</v>
      </c>
      <c r="AY103" s="100">
        <v>5087.8366729678646</v>
      </c>
      <c r="AZ103" s="100">
        <v>2.4933908885825988</v>
      </c>
      <c r="BA103" s="100">
        <v>1469.1059115528672</v>
      </c>
      <c r="BB103" s="100">
        <v>12.89881294546403</v>
      </c>
      <c r="BC103" s="100">
        <v>7599.9805874674057</v>
      </c>
      <c r="BD103" s="100">
        <v>8.8787236766964046</v>
      </c>
      <c r="BE103" s="100">
        <v>5231.3439903095214</v>
      </c>
      <c r="BF103" s="100">
        <v>6.0057509941294658</v>
      </c>
      <c r="BG103" s="100">
        <v>3538.5884857410806</v>
      </c>
      <c r="BH103" s="100">
        <v>0.51628549808809865</v>
      </c>
      <c r="BI103" s="100">
        <v>304.19541547350769</v>
      </c>
      <c r="BJ103" s="100">
        <v>6.5852693875346748</v>
      </c>
      <c r="BK103" s="100">
        <v>3880.0407231354297</v>
      </c>
      <c r="BL103" s="100">
        <v>6.7070885302836034</v>
      </c>
      <c r="BM103" s="100">
        <v>3951.8165620430987</v>
      </c>
      <c r="BN103" s="100">
        <v>12.163434903047094</v>
      </c>
      <c r="BO103" s="100">
        <v>7166.6958448753467</v>
      </c>
      <c r="BP103" s="100">
        <v>1.3410061852809982</v>
      </c>
      <c r="BQ103" s="100">
        <v>790.12084436756402</v>
      </c>
      <c r="BR103" s="100">
        <v>10.355069415568774</v>
      </c>
      <c r="BS103" s="100">
        <v>6101.2068996531216</v>
      </c>
      <c r="BT103" s="100">
        <v>5.6835410716114847</v>
      </c>
      <c r="BU103" s="100">
        <v>3348.7423993934863</v>
      </c>
      <c r="BV103" s="100">
        <v>1.9629958246275663</v>
      </c>
      <c r="BW103" s="100">
        <v>1156.5971398705619</v>
      </c>
      <c r="BX103" s="100">
        <v>6.2005068544745283</v>
      </c>
      <c r="BY103" s="100">
        <v>3653.3386386563916</v>
      </c>
      <c r="BZ103" s="100">
        <v>7.1603645514003409</v>
      </c>
      <c r="CA103" s="100">
        <v>4218.8867936850802</v>
      </c>
      <c r="CB103" s="100">
        <v>6.8774907948020392</v>
      </c>
      <c r="CC103" s="100">
        <v>4052.2175762973611</v>
      </c>
      <c r="CD103" s="100">
        <v>0.52098709995679027</v>
      </c>
      <c r="CE103" s="100">
        <v>306.96559929454077</v>
      </c>
      <c r="CF103" s="100">
        <v>7.3323308578233632</v>
      </c>
      <c r="CG103" s="100">
        <v>4320.209341429525</v>
      </c>
      <c r="CH103" s="100">
        <v>3.3852857941991448</v>
      </c>
      <c r="CI103" s="100">
        <v>1994.610389942136</v>
      </c>
      <c r="CJ103" s="100">
        <v>6.4978306033508311</v>
      </c>
      <c r="CK103" s="100">
        <v>3828.5217914943091</v>
      </c>
      <c r="CL103" s="100">
        <v>9</v>
      </c>
      <c r="CM103" s="100">
        <v>5302.7999999999993</v>
      </c>
      <c r="CN103" s="100">
        <v>7.11544602368485</v>
      </c>
      <c r="CO103" s="100">
        <v>4192.4207971551132</v>
      </c>
      <c r="CP103" s="100">
        <v>6.4983583162368728</v>
      </c>
      <c r="CQ103" s="100">
        <v>3828.8327199267651</v>
      </c>
      <c r="CR103" s="100">
        <v>6.9540018771775944</v>
      </c>
      <c r="CS103" s="100">
        <v>4097.2979060330381</v>
      </c>
      <c r="CT103" s="100">
        <v>6.5876367174162871</v>
      </c>
      <c r="CU103" s="100">
        <v>3881.435553901676</v>
      </c>
    </row>
    <row r="104" spans="2:99">
      <c r="C104" s="99" t="s">
        <v>270</v>
      </c>
      <c r="D104" s="100">
        <v>10</v>
      </c>
      <c r="E104" s="100">
        <v>6324</v>
      </c>
      <c r="F104" s="100">
        <v>8.2764209682896883</v>
      </c>
      <c r="G104" s="100">
        <v>5234.0086203463989</v>
      </c>
      <c r="H104" s="100">
        <v>7.764248315261713</v>
      </c>
      <c r="I104" s="100">
        <v>4910.110634571507</v>
      </c>
      <c r="J104" s="100">
        <v>7.407092892759672</v>
      </c>
      <c r="K104" s="100">
        <v>4684.2455453812163</v>
      </c>
      <c r="L104" s="100">
        <v>5.1759846903259431E-4</v>
      </c>
      <c r="M104" s="100">
        <v>0.32732927181621263</v>
      </c>
      <c r="N104" s="100">
        <v>6.1918356915145703</v>
      </c>
      <c r="O104" s="100">
        <v>3915.7168913138139</v>
      </c>
      <c r="P104" s="100">
        <v>8.0280173017965257</v>
      </c>
      <c r="Q104" s="100">
        <v>5076.9181416561223</v>
      </c>
      <c r="R104" s="100">
        <v>6.762072454678167</v>
      </c>
      <c r="S104" s="100">
        <v>4276.3346203384726</v>
      </c>
      <c r="T104" s="100">
        <v>0.51282529555651546</v>
      </c>
      <c r="U104" s="100">
        <v>324.31071690994037</v>
      </c>
      <c r="V104" s="100">
        <v>12.317848124004181</v>
      </c>
      <c r="W104" s="100">
        <v>7789.8071536202433</v>
      </c>
      <c r="X104" s="100">
        <v>8.0232941879322635</v>
      </c>
      <c r="Y104" s="100">
        <v>5073.931244448363</v>
      </c>
      <c r="Z104" s="100">
        <v>6.9639334889193512</v>
      </c>
      <c r="AA104" s="100">
        <v>4403.9915383925972</v>
      </c>
      <c r="AB104" s="100">
        <v>7.66250988906173</v>
      </c>
      <c r="AC104" s="100">
        <v>4845.7712538426376</v>
      </c>
      <c r="AD104" s="100">
        <v>5.7610722499241911</v>
      </c>
      <c r="AE104" s="100">
        <v>3643.3020908520584</v>
      </c>
      <c r="AF104" s="100">
        <v>0.47248252210393976</v>
      </c>
      <c r="AG104" s="100">
        <v>298.79794697853151</v>
      </c>
      <c r="AH104" s="100">
        <v>11.346278787741607</v>
      </c>
      <c r="AI104" s="100">
        <v>7175.3867053677923</v>
      </c>
      <c r="AJ104" s="100">
        <v>1.3623731013009646</v>
      </c>
      <c r="AK104" s="100">
        <v>861.56474926272995</v>
      </c>
      <c r="AL104" s="100">
        <v>5.9694450235317618</v>
      </c>
      <c r="AM104" s="100">
        <v>3775.077032881486</v>
      </c>
      <c r="AN104" s="100">
        <v>7.1359276423503584</v>
      </c>
      <c r="AO104" s="100">
        <v>4512.7606410223661</v>
      </c>
      <c r="AP104" s="100">
        <v>8.9670628481207011</v>
      </c>
      <c r="AQ104" s="100">
        <v>5670.7705451515312</v>
      </c>
      <c r="AR104" s="100">
        <v>2.9525221637644412</v>
      </c>
      <c r="AS104" s="100">
        <v>1867.1750163646325</v>
      </c>
      <c r="AT104" s="100">
        <v>7.2756352898500394</v>
      </c>
      <c r="AU104" s="100">
        <v>4601.1117573011643</v>
      </c>
      <c r="AV104" s="100">
        <v>6.4843843306712001</v>
      </c>
      <c r="AW104" s="100">
        <v>4100.7246507164664</v>
      </c>
      <c r="AX104" s="100">
        <v>7.5557655954631402</v>
      </c>
      <c r="AY104" s="100">
        <v>4778.2661625708897</v>
      </c>
      <c r="AZ104" s="100">
        <v>2.4933908885825988</v>
      </c>
      <c r="BA104" s="100">
        <v>1576.8203979396355</v>
      </c>
      <c r="BB104" s="100">
        <v>10.726193586785483</v>
      </c>
      <c r="BC104" s="100">
        <v>6783.2448242831388</v>
      </c>
      <c r="BD104" s="100">
        <v>7.3989363972470032</v>
      </c>
      <c r="BE104" s="100">
        <v>4679.0873776190047</v>
      </c>
      <c r="BF104" s="100">
        <v>6.0057509941294658</v>
      </c>
      <c r="BG104" s="100">
        <v>3798.0369286874738</v>
      </c>
      <c r="BH104" s="100">
        <v>0.51852126265748955</v>
      </c>
      <c r="BI104" s="100">
        <v>327.91284650459636</v>
      </c>
      <c r="BJ104" s="100">
        <v>6.5224301737071286</v>
      </c>
      <c r="BK104" s="100">
        <v>4124.7848418523881</v>
      </c>
      <c r="BL104" s="100">
        <v>6.1557522272309413</v>
      </c>
      <c r="BM104" s="100">
        <v>3892.8977085008473</v>
      </c>
      <c r="BN104" s="100">
        <v>12.047091412742384</v>
      </c>
      <c r="BO104" s="100">
        <v>7618.5806094182835</v>
      </c>
      <c r="BP104" s="100">
        <v>1.3410061852809982</v>
      </c>
      <c r="BQ104" s="100">
        <v>848.05231157170329</v>
      </c>
      <c r="BR104" s="100">
        <v>10.68120238987162</v>
      </c>
      <c r="BS104" s="100">
        <v>6754.792391354812</v>
      </c>
      <c r="BT104" s="100">
        <v>5.6800384132310544</v>
      </c>
      <c r="BU104" s="100">
        <v>3592.0562925273189</v>
      </c>
      <c r="BV104" s="100">
        <v>1.9629958246275663</v>
      </c>
      <c r="BW104" s="100">
        <v>1241.3985594944729</v>
      </c>
      <c r="BX104" s="100">
        <v>7.2437944327740951</v>
      </c>
      <c r="BY104" s="100">
        <v>4580.9755992863375</v>
      </c>
      <c r="BZ104" s="100">
        <v>7.8764010065403758</v>
      </c>
      <c r="CA104" s="100">
        <v>4981.0359965361331</v>
      </c>
      <c r="CB104" s="100">
        <v>6.2093185294970921</v>
      </c>
      <c r="CC104" s="100">
        <v>3926.773038053961</v>
      </c>
      <c r="CD104" s="100">
        <v>0.4689482114040372</v>
      </c>
      <c r="CE104" s="100">
        <v>296.56284889191312</v>
      </c>
      <c r="CF104" s="100">
        <v>7.3323308578233632</v>
      </c>
      <c r="CG104" s="100">
        <v>4636.9660344874947</v>
      </c>
      <c r="CH104" s="100">
        <v>3.3514589569012281</v>
      </c>
      <c r="CI104" s="100">
        <v>2119.4626443443367</v>
      </c>
      <c r="CJ104" s="100">
        <v>7.4978306033508311</v>
      </c>
      <c r="CK104" s="100">
        <v>4741.6280735590653</v>
      </c>
      <c r="CL104" s="100">
        <v>10</v>
      </c>
      <c r="CM104" s="100">
        <v>6324</v>
      </c>
      <c r="CN104" s="100">
        <v>6.4685872942589544</v>
      </c>
      <c r="CO104" s="100">
        <v>4090.7346048893628</v>
      </c>
      <c r="CP104" s="100">
        <v>5.5892821584142149</v>
      </c>
      <c r="CQ104" s="100">
        <v>3534.6620369811494</v>
      </c>
      <c r="CR104" s="100">
        <v>6.9540018771775944</v>
      </c>
      <c r="CS104" s="100">
        <v>4397.710787127111</v>
      </c>
      <c r="CT104" s="100">
        <v>7.6361117008490069</v>
      </c>
      <c r="CU104" s="100">
        <v>4829.0770396169119</v>
      </c>
    </row>
    <row r="105" spans="2:99">
      <c r="C105" s="99" t="s">
        <v>271</v>
      </c>
      <c r="D105" s="100">
        <v>10</v>
      </c>
      <c r="E105" s="100">
        <v>5568</v>
      </c>
      <c r="F105" s="100">
        <v>9.1040630651186571</v>
      </c>
      <c r="G105" s="100">
        <v>5069.1423146580682</v>
      </c>
      <c r="H105" s="100">
        <v>7.764248315261713</v>
      </c>
      <c r="I105" s="100">
        <v>4323.1334619377212</v>
      </c>
      <c r="J105" s="100">
        <v>8.2301032141774133</v>
      </c>
      <c r="K105" s="100">
        <v>4582.5214696539833</v>
      </c>
      <c r="L105" s="100">
        <v>4.7054406275690388E-4</v>
      </c>
      <c r="M105" s="100">
        <v>0.26199893414304404</v>
      </c>
      <c r="N105" s="100">
        <v>6.8039764413111383</v>
      </c>
      <c r="O105" s="100">
        <v>3788.4540825220415</v>
      </c>
      <c r="P105" s="100">
        <v>8.0280173017965257</v>
      </c>
      <c r="Q105" s="100">
        <v>4470.0000336403054</v>
      </c>
      <c r="R105" s="100">
        <v>6.2093159781684637</v>
      </c>
      <c r="S105" s="100">
        <v>3457.3471366442004</v>
      </c>
      <c r="T105" s="100">
        <v>0.58495995318481764</v>
      </c>
      <c r="U105" s="100">
        <v>325.70570193330644</v>
      </c>
      <c r="V105" s="100">
        <v>13.272441249146441</v>
      </c>
      <c r="W105" s="100">
        <v>7390.0952875247376</v>
      </c>
      <c r="X105" s="100">
        <v>8.0232941879322635</v>
      </c>
      <c r="Y105" s="100">
        <v>4467.3702038406836</v>
      </c>
      <c r="Z105" s="100">
        <v>6.9639334889193512</v>
      </c>
      <c r="AA105" s="100">
        <v>3877.5181666302942</v>
      </c>
      <c r="AB105" s="100">
        <v>7.66250988906173</v>
      </c>
      <c r="AC105" s="100">
        <v>4266.485506229571</v>
      </c>
      <c r="AD105" s="100">
        <v>4.9380619285064489</v>
      </c>
      <c r="AE105" s="100">
        <v>2749.5128817923905</v>
      </c>
      <c r="AF105" s="100">
        <v>0.50384898603717221</v>
      </c>
      <c r="AG105" s="100">
        <v>280.54311542549749</v>
      </c>
      <c r="AH105" s="100">
        <v>11.346278787741607</v>
      </c>
      <c r="AI105" s="100">
        <v>6317.6080290145264</v>
      </c>
      <c r="AJ105" s="100">
        <v>1.5557193456369383</v>
      </c>
      <c r="AK105" s="100">
        <v>866.22453165064712</v>
      </c>
      <c r="AL105" s="100">
        <v>6.567225193782992</v>
      </c>
      <c r="AM105" s="100">
        <v>3656.6309878983698</v>
      </c>
      <c r="AN105" s="100">
        <v>7.1359276423503584</v>
      </c>
      <c r="AO105" s="100">
        <v>3973.2845112606792</v>
      </c>
      <c r="AP105" s="100">
        <v>8.7736502784965609</v>
      </c>
      <c r="AQ105" s="100">
        <v>4885.1684750668846</v>
      </c>
      <c r="AR105" s="100">
        <v>2.9400748003707724</v>
      </c>
      <c r="AS105" s="100">
        <v>1637.0336488464459</v>
      </c>
      <c r="AT105" s="100">
        <v>6.6490961074809416</v>
      </c>
      <c r="AU105" s="100">
        <v>3702.2167126453878</v>
      </c>
      <c r="AV105" s="100">
        <v>7.1356708333319494</v>
      </c>
      <c r="AW105" s="100">
        <v>3973.1415199992289</v>
      </c>
      <c r="AX105" s="100">
        <v>8.5557655954631393</v>
      </c>
      <c r="AY105" s="100">
        <v>4763.8502835538757</v>
      </c>
      <c r="AZ105" s="100">
        <v>2.9920690662991185</v>
      </c>
      <c r="BA105" s="100">
        <v>1665.9840561153489</v>
      </c>
      <c r="BB105" s="100">
        <v>11.89881294546403</v>
      </c>
      <c r="BC105" s="100">
        <v>6625.2590480343715</v>
      </c>
      <c r="BD105" s="100">
        <v>8.1388300369717044</v>
      </c>
      <c r="BE105" s="100">
        <v>4531.7005645858444</v>
      </c>
      <c r="BF105" s="100">
        <v>6.0057509941294658</v>
      </c>
      <c r="BG105" s="100">
        <v>3344.0021535312862</v>
      </c>
      <c r="BH105" s="100">
        <v>0.56545470687057853</v>
      </c>
      <c r="BI105" s="100">
        <v>314.8451807855381</v>
      </c>
      <c r="BJ105" s="100">
        <v>6.5224301737071286</v>
      </c>
      <c r="BK105" s="100">
        <v>3631.6891207201288</v>
      </c>
      <c r="BL105" s="100">
        <v>6.7070885302836034</v>
      </c>
      <c r="BM105" s="100">
        <v>3734.50689366191</v>
      </c>
      <c r="BN105" s="100">
        <v>14.163434903047094</v>
      </c>
      <c r="BO105" s="100">
        <v>7886.200554016621</v>
      </c>
      <c r="BP105" s="100">
        <v>1.1346975413916138</v>
      </c>
      <c r="BQ105" s="100">
        <v>631.79959104685054</v>
      </c>
      <c r="BR105" s="100">
        <v>10.68120238987162</v>
      </c>
      <c r="BS105" s="100">
        <v>5947.2934906805176</v>
      </c>
      <c r="BT105" s="100">
        <v>5.6800384132310544</v>
      </c>
      <c r="BU105" s="100">
        <v>3162.6453884870507</v>
      </c>
      <c r="BV105" s="100">
        <v>1.9629958246275663</v>
      </c>
      <c r="BW105" s="100">
        <v>1092.9960751526289</v>
      </c>
      <c r="BX105" s="100">
        <v>6.7510938484177432</v>
      </c>
      <c r="BY105" s="100">
        <v>3759.0090547989989</v>
      </c>
      <c r="BZ105" s="100">
        <v>7.7875372898945683</v>
      </c>
      <c r="CA105" s="100">
        <v>4336.1007630132954</v>
      </c>
      <c r="CB105" s="100">
        <v>6.2093185294970921</v>
      </c>
      <c r="CC105" s="100">
        <v>3457.3485572239806</v>
      </c>
      <c r="CD105" s="100">
        <v>0.57242777408028289</v>
      </c>
      <c r="CE105" s="100">
        <v>318.72778460790147</v>
      </c>
      <c r="CF105" s="100">
        <v>7.3323308578233632</v>
      </c>
      <c r="CG105" s="100">
        <v>4082.6418216360485</v>
      </c>
      <c r="CH105" s="100">
        <v>3.3683723755501864</v>
      </c>
      <c r="CI105" s="100">
        <v>1875.5097387063436</v>
      </c>
      <c r="CJ105" s="100">
        <v>7.5600594287696845</v>
      </c>
      <c r="CK105" s="100">
        <v>4209.4410899389604</v>
      </c>
      <c r="CL105" s="100">
        <v>9</v>
      </c>
      <c r="CM105" s="100">
        <v>5011.2</v>
      </c>
      <c r="CN105" s="100">
        <v>6.4685872942589544</v>
      </c>
      <c r="CO105" s="100">
        <v>3601.7094054433855</v>
      </c>
      <c r="CP105" s="100">
        <v>5.7137153462195638</v>
      </c>
      <c r="CQ105" s="100">
        <v>3181.396704775053</v>
      </c>
      <c r="CR105" s="100">
        <v>6.9540018771775944</v>
      </c>
      <c r="CS105" s="100">
        <v>3871.9882452124843</v>
      </c>
      <c r="CT105" s="100">
        <v>7.6855761703190018</v>
      </c>
      <c r="CU105" s="100">
        <v>4279.3288116336198</v>
      </c>
    </row>
    <row r="107" spans="2:99">
      <c r="B107" s="104" t="s">
        <v>276</v>
      </c>
    </row>
    <row r="108" spans="2:99">
      <c r="C108" s="99" t="s">
        <v>277</v>
      </c>
      <c r="D108" s="99" t="s">
        <v>92</v>
      </c>
      <c r="E108" s="99" t="s">
        <v>93</v>
      </c>
      <c r="F108" s="99" t="s">
        <v>94</v>
      </c>
      <c r="G108" s="99" t="s">
        <v>95</v>
      </c>
      <c r="H108" s="99" t="s">
        <v>96</v>
      </c>
      <c r="I108" s="99" t="s">
        <v>97</v>
      </c>
      <c r="J108" s="99" t="s">
        <v>98</v>
      </c>
      <c r="K108" s="99" t="s">
        <v>99</v>
      </c>
      <c r="L108" s="99" t="s">
        <v>100</v>
      </c>
      <c r="M108" s="99" t="s">
        <v>101</v>
      </c>
      <c r="N108" s="99" t="s">
        <v>102</v>
      </c>
      <c r="O108" s="99" t="s">
        <v>103</v>
      </c>
    </row>
    <row r="109" spans="2:99">
      <c r="C109" s="99" t="s">
        <v>126</v>
      </c>
      <c r="D109" s="100">
        <f>SUM(D$6:D$19)+SUM(F$6:F$19)+SUM(H$6:H$19)+SUM(J$6:J$19)</f>
        <v>329.64741240585931</v>
      </c>
      <c r="E109" s="100">
        <f>SUM(L$6:L$19)+SUM(N$6:N$19)+SUM(P$6:P$19)+SUM(R$6:R$19)</f>
        <v>286.17720056143366</v>
      </c>
      <c r="F109" s="100">
        <f>SUM(T$6:T$19)+SUM(V$6:V$19)+SUM(X$6:X$19)+SUM(Z$6:Z$19)</f>
        <v>252.41644054881112</v>
      </c>
      <c r="G109" s="100">
        <f>SUM(AB$6:AB$19)+SUM(AD$6:AD$19)+SUM(AF$6:AF$19)+SUM(AH$6:AH$19)</f>
        <v>216.1886515898052</v>
      </c>
      <c r="H109" s="100">
        <f>SUM(AJ$6:AJ$19)+SUM(AL$6:AL$19)+SUM(AN$6:AN$19)+SUM(AP$6:AP$19)</f>
        <v>323.86120703205268</v>
      </c>
      <c r="I109" s="100">
        <f>SUM(AR$6:AR$19)+SUM(AT$6:AT$19)+SUM(AV$6:AV$19)+SUM(AX$6:AX$19)</f>
        <v>365.68325510586783</v>
      </c>
      <c r="J109" s="100">
        <f>SUM(AZ$6:AZ$19)+SUM(BB$6:BB$19)+SUM(BD$6:BD$19)+SUM(BF$6:BF$19)</f>
        <v>317.00658505959967</v>
      </c>
      <c r="K109" s="100">
        <f>SUM(BH$6:BH$19)+SUM(BJ$6:BJ$19)+SUM(BL$6:BL$19)+SUM(BN$6:BN$19)</f>
        <v>292.35700840494133</v>
      </c>
      <c r="L109" s="100">
        <f>SUM(BP$6:BP$19)+SUM(BR$6:BR$19)+SUM(BT$6:BT$19)+SUM(BV$6:BV$19)</f>
        <v>266.93076150047591</v>
      </c>
      <c r="M109" s="100">
        <f>SUM(BX$6:BX$19)+SUM(BZ$6:BZ$19)+SUM(CB$6:CB$19)+SUM(CD$6:CD$19)</f>
        <v>412.03734786520272</v>
      </c>
      <c r="N109" s="100">
        <f>SUM(CF$6:CF$19)+SUM(CH$6:CH$19)+SUM(CJ$6:CJ$19)+SUM(CL$6:CL$19)</f>
        <v>192.52130420120108</v>
      </c>
      <c r="O109" s="100">
        <f>SUM(CN$6:CN$19)+SUM(CP$6:CP$19)+SUM(CR$6:CR$19)+SUM(CT$6:CT$19)</f>
        <v>365.67904501766316</v>
      </c>
    </row>
    <row r="110" spans="2:99">
      <c r="C110" s="99" t="s">
        <v>127</v>
      </c>
      <c r="D110" s="100">
        <f>SUM(D$20:D$36)+SUM(F$20:F$36)+SUM(H$20:H$36)+SUM(J$20:J$36)</f>
        <v>454.09240818010784</v>
      </c>
      <c r="E110" s="100">
        <f>SUM(L$20:L$36)+SUM(N$20:N$36)+SUM(P$20:P$36)+SUM(R$20:R$36)</f>
        <v>465.61735142529938</v>
      </c>
      <c r="F110" s="100">
        <f>SUM(T$20:T$36)+SUM(V$20:V$36)+SUM(X$20:X$36)+SUM(Z$20:Z$36)</f>
        <v>424.53957088995429</v>
      </c>
      <c r="G110" s="100">
        <f>SUM(AB$20:AB$36)+SUM(AD$20:AD$36)+SUM(AF$20:AF$36)+SUM(AH$20:AH$36)</f>
        <v>324.22948569163998</v>
      </c>
      <c r="H110" s="100">
        <f>SUM(AJ$20:AJ$36)+SUM(AL$20:AL$36)+SUM(AN$20:AN$36)+SUM(AP$20:AP$36)</f>
        <v>408.78393231426537</v>
      </c>
      <c r="I110" s="100">
        <f>SUM(AR$20:AR$36)+SUM(AT$20:AT$36)+SUM(AV$20:AV$36)+SUM(AX$20:AX$36)</f>
        <v>405.82778553022695</v>
      </c>
      <c r="J110" s="100">
        <f>SUM(AZ$20:AZ$36)+SUM(BB$20:BB$36)+SUM(BD$20:BD$36)+SUM(BF$20:BF$36)</f>
        <v>386.48270748497879</v>
      </c>
      <c r="K110" s="100">
        <f>SUM(BH$20:BH$36)+SUM(BJ$20:BJ$36)+SUM(BL$20:BL$36)+SUM(BN$20:BN$36)</f>
        <v>375.43440958051326</v>
      </c>
      <c r="L110" s="100">
        <f>SUM(BP$20:BP$36)+SUM(BR$20:BR$36)+SUM(BT$20:BT$36)+SUM(BV$20:BV$36)</f>
        <v>383.48424082275727</v>
      </c>
      <c r="M110" s="100">
        <f>SUM(BX$20:BX$36)+SUM(BZ$20:BZ$36)+SUM(CB$20:CB$36)+SUM(CD$20:CD$36)</f>
        <v>632.9338158395376</v>
      </c>
      <c r="N110" s="100">
        <f>SUM(CF$20:CF$36)+SUM(CH$20:CH$36)+SUM(CJ$20:CJ$36)+SUM(CL$20:CL$36)</f>
        <v>302.44160613539816</v>
      </c>
      <c r="O110" s="100">
        <f>SUM(CN$20:CN$36)+SUM(CP$20:CP$36)+SUM(CR$20:CR$36)+SUM(CT$20:CT$36)</f>
        <v>509.11213510675697</v>
      </c>
    </row>
    <row r="111" spans="2:99">
      <c r="C111" s="99" t="s">
        <v>128</v>
      </c>
      <c r="D111" s="100">
        <f>SUM(D$37:D$48)+SUM(F$37:F$48)+SUM(H$37:H$48)+SUM(J$37:J$48)</f>
        <v>469.28768929821592</v>
      </c>
      <c r="E111" s="100">
        <f>SUM(L$37:L$48)+SUM(N$37:N$48)+SUM(P$37:P$48)+SUM(R$37:R$48)</f>
        <v>713.63848962077304</v>
      </c>
      <c r="F111" s="100">
        <f>SUM(T$37:T$48)+SUM(V$37:V$48)+SUM(X$37:X$48)+SUM(Z$37:Z$48)</f>
        <v>461.99403388654974</v>
      </c>
      <c r="G111" s="100">
        <f>SUM(AB$37:AB$48)+SUM(AD$37:AD$48)+SUM(AF$37:AF$48)+SUM(AH$37:AH$48)</f>
        <v>410.01179810899225</v>
      </c>
      <c r="H111" s="100">
        <f>SUM(AJ$37:AJ$48)+SUM(AL$37:AL$48)+SUM(AN$37:AN$48)+SUM(AP$37:AP$48)</f>
        <v>568.41331519295636</v>
      </c>
      <c r="I111" s="100">
        <f>SUM(AR$37:AR$48)+SUM(AT$37:AT$48)+SUM(AV$37:AV$48)+SUM(AX$37:AX$48)</f>
        <v>593.50983740240133</v>
      </c>
      <c r="J111" s="100">
        <f>SUM(AZ$37:AZ$48)+SUM(BB$37:BB$48)+SUM(BD$37:BD$48)+SUM(BF$37:BF$48)</f>
        <v>539.67149173128121</v>
      </c>
      <c r="K111" s="100">
        <f>SUM(BH$37:BH$48)+SUM(BJ$37:BJ$48)+SUM(BL$37:BL$48)+SUM(BN$37:BN$48)</f>
        <v>514.42827238209748</v>
      </c>
      <c r="L111" s="100">
        <f>SUM(BP$37:BP$48)+SUM(BR$37:BR$48)+SUM(BT$37:BT$48)+SUM(BV$37:BV$48)</f>
        <v>441.78430205975457</v>
      </c>
      <c r="M111" s="100">
        <f>SUM(BX$37:BX$48)+SUM(BZ$37:BZ$48)+SUM(CB$37:CB$48)+SUM(CD$37:CD$48)</f>
        <v>820.47122605658774</v>
      </c>
      <c r="N111" s="100">
        <f>SUM(CF$37:CF$48)+SUM(CH$37:CH$48)+SUM(CJ$37:CJ$48)+SUM(CL$37:CL$48)</f>
        <v>331.56776387721362</v>
      </c>
      <c r="O111" s="100">
        <f>SUM(CN$37:CN$48)+SUM(CP$37:CP$48)+SUM(CR$37:CR$48)+SUM(CT$37:CT$48)</f>
        <v>669.10261217898528</v>
      </c>
    </row>
    <row r="112" spans="2:99">
      <c r="C112" s="99" t="s">
        <v>129</v>
      </c>
      <c r="D112" s="100">
        <f>SUM(D$49:D$70)+SUM(F$49:F$70)+SUM(H$49:H$70)+SUM(J$49:J$70)</f>
        <v>521.61938173861438</v>
      </c>
      <c r="E112" s="100">
        <f>SUM(L$49:L$70)+SUM(N$49:N$70)+SUM(P$49:P$70)+SUM(R$49:R$70)</f>
        <v>600.36636841122913</v>
      </c>
      <c r="F112" s="100">
        <f>SUM(T$49:T$70)+SUM(V$49:V$70)+SUM(X$49:X$70)+SUM(Z$49:Z$70)</f>
        <v>490.43210387962262</v>
      </c>
      <c r="G112" s="100">
        <f>SUM(AB$49:AB$70)+SUM(AD$49:AD$70)+SUM(AF$49:AF$70)+SUM(AH$49:AH$70)</f>
        <v>477.04063557944619</v>
      </c>
      <c r="H112" s="100">
        <f>SUM(AJ$49:AJ$70)+SUM(AL$49:AL$70)+SUM(AN$49:AN$70)+SUM(AP$49:AP$70)</f>
        <v>549.1202462132045</v>
      </c>
      <c r="I112" s="100">
        <f>SUM(AR$49:AR$70)+SUM(AT$49:AT$70)+SUM(AV$49:AV$70)+SUM(AX$49:AX$70)</f>
        <v>745.1597393352713</v>
      </c>
      <c r="J112" s="100">
        <f>SUM(AZ$49:AZ$70)+SUM(BB$49:BB$70)+SUM(BD$49:BD$70)+SUM(BF$49:BF$70)</f>
        <v>584.9470023905053</v>
      </c>
      <c r="K112" s="100">
        <f>SUM(BH$49:BH$70)+SUM(BJ$49:BJ$70)+SUM(BL$49:BL$70)+SUM(BN$49:BN$70)</f>
        <v>394.79994934570811</v>
      </c>
      <c r="L112" s="100">
        <f>SUM(BP$49:BP$70)+SUM(BR$49:BR$70)+SUM(BT$49:BT$70)+SUM(BV$49:BV$70)</f>
        <v>512.13381126801016</v>
      </c>
      <c r="M112" s="100">
        <f>SUM(BX$49:BX$70)+SUM(BZ$49:BZ$70)+SUM(CB$49:CB$70)+SUM(CD$49:CD$70)</f>
        <v>672.65103450706351</v>
      </c>
      <c r="N112" s="100">
        <f>SUM(CF$49:CF$70)+SUM(CH$49:CH$70)+SUM(CJ$49:CJ$70)+SUM(CL$49:CL$70)</f>
        <v>440.16556404878003</v>
      </c>
      <c r="O112" s="100">
        <f>SUM(CN$49:CN$70)+SUM(CP$49:CP$70)+SUM(CR$49:CR$70)+SUM(CT$49:CT$70)</f>
        <v>525.86339319142257</v>
      </c>
    </row>
    <row r="113" spans="2:15">
      <c r="C113" s="99" t="s">
        <v>130</v>
      </c>
      <c r="D113" s="100">
        <f>SUM(D$71:D$86)+SUM(F$71:F$86)+SUM(H$71:H$86)+SUM(J$71:J$86)</f>
        <v>354.97963328409958</v>
      </c>
      <c r="E113" s="100">
        <f>SUM(L$71:L$86)+SUM(N$71:N$86)+SUM(P$71:P$86)+SUM(R$71:R$86)</f>
        <v>318.70151712531828</v>
      </c>
      <c r="F113" s="100">
        <f>SUM(T$71:T$86)+SUM(V$71:V$86)+SUM(X$71:X$86)+SUM(Z$71:Z$86)</f>
        <v>471.3966708946557</v>
      </c>
      <c r="G113" s="100">
        <f>SUM(AB$71:AB$86)+SUM(AD$71:AD$86)+SUM(AF$71:AF$86)+SUM(AH$71:AH$86)</f>
        <v>372</v>
      </c>
      <c r="H113" s="100">
        <f>SUM(AJ$71:AJ$86)+SUM(AL$71:AL$86)+SUM(AN$71:AN$86)+SUM(AP$71:AP$86)</f>
        <v>347.26998564347889</v>
      </c>
      <c r="I113" s="100">
        <f>SUM(AR$71:AR$86)+SUM(AT$71:AT$86)+SUM(AV$71:AV$86)+SUM(AX$71:AX$86)</f>
        <v>435.78709199498729</v>
      </c>
      <c r="J113" s="100">
        <f>SUM(AZ$71:AZ$86)+SUM(BB$71:BB$86)+SUM(BD$71:BD$86)+SUM(BF$71:BF$86)</f>
        <v>421.67498127766254</v>
      </c>
      <c r="K113" s="100">
        <f>SUM(BH$71:BH$86)+SUM(BJ$71:BJ$86)+SUM(BL$71:BL$86)+SUM(BN$71:BN$86)</f>
        <v>389.97423161534465</v>
      </c>
      <c r="L113" s="100">
        <f>SUM(BP$71:BP$86)+SUM(BR$71:BR$86)+SUM(BT$71:BT$86)+SUM(BV$71:BV$86)</f>
        <v>341.98913477659744</v>
      </c>
      <c r="M113" s="100">
        <f>SUM(BX$71:BX$86)+SUM(BZ$71:BZ$86)+SUM(CB$71:CB$86)+SUM(CD$71:CD$86)</f>
        <v>480.22479753969117</v>
      </c>
      <c r="N113" s="100">
        <f>SUM(CF$71:CF$86)+SUM(CH$71:CH$86)+SUM(CJ$71:CJ$86)+SUM(CL$71:CL$86)</f>
        <v>426.96785276057813</v>
      </c>
      <c r="O113" s="100">
        <f>SUM(CN$71:CN$86)+SUM(CP$71:CP$86)+SUM(CR$71:CR$86)+SUM(CT$71:CT$86)</f>
        <v>436.39262557228045</v>
      </c>
    </row>
    <row r="114" spans="2:15">
      <c r="C114" s="99" t="s">
        <v>131</v>
      </c>
      <c r="D114" s="100">
        <f>SUM(D$87:D$94)+SUM(F$87:F$94)+SUM(H$87:H$94)+SUM(J$87:J$94)</f>
        <v>169.49635446343763</v>
      </c>
      <c r="E114" s="100">
        <f>SUM(L$87:L$94)+SUM(N$87:N$94)+SUM(P$87:P$94)+SUM(R$87:R$94)</f>
        <v>111.64903273614635</v>
      </c>
      <c r="F114" s="100">
        <f>SUM(T$87:T$94)+SUM(V$87:V$94)+SUM(X$87:X$94)+SUM(Z$87:Z$94)</f>
        <v>122.31049904733177</v>
      </c>
      <c r="G114" s="100">
        <f>SUM(AB$87:AB$94)+SUM(AD$87:AD$94)+SUM(AF$87:AF$94)+SUM(AH$87:AH$94)</f>
        <v>136.41500635313037</v>
      </c>
      <c r="H114" s="100">
        <f>SUM(AJ$87:AJ$94)+SUM(AL$87:AL$94)+SUM(AN$87:AN$94)+SUM(AP$87:AP$94)</f>
        <v>131.99440020024514</v>
      </c>
      <c r="I114" s="100">
        <f>SUM(AR$87:AR$94)+SUM(AT$87:AT$94)+SUM(AV$87:AV$94)+SUM(AX$87:AX$94)</f>
        <v>143.49630041975402</v>
      </c>
      <c r="J114" s="100">
        <f>SUM(AZ$87:AZ$94)+SUM(BB$87:BB$94)+SUM(BD$87:BD$94)+SUM(BF$87:BF$94)</f>
        <v>146.42186779156225</v>
      </c>
      <c r="K114" s="100">
        <f>SUM(BH$87:BH$94)+SUM(BJ$87:BJ$94)+SUM(BL$87:BL$94)+SUM(BN$87:BN$94)</f>
        <v>148.90518161147952</v>
      </c>
      <c r="L114" s="100">
        <f>SUM(BP$87:BP$94)+SUM(BR$87:BR$94)+SUM(BT$87:BT$94)+SUM(BV$87:BV$94)</f>
        <v>77.609291302031394</v>
      </c>
      <c r="M114" s="100">
        <f>SUM(BX$87:BX$94)+SUM(BZ$87:BZ$94)+SUM(CB$87:CB$94)+SUM(CD$87:CD$94)</f>
        <v>109.614656880447</v>
      </c>
      <c r="N114" s="100">
        <f>SUM(CF$87:CF$94)+SUM(CH$87:CH$94)+SUM(CJ$87:CJ$94)+SUM(CL$87:CL$94)</f>
        <v>149.74181371983579</v>
      </c>
      <c r="O114" s="100">
        <f>SUM(CN$87:CN$94)+SUM(CP$87:CP$94)+SUM(CR$87:CR$94)+SUM(CT$87:CT$94)</f>
        <v>168.27275396225986</v>
      </c>
    </row>
    <row r="115" spans="2:15">
      <c r="C115" s="99" t="s">
        <v>132</v>
      </c>
      <c r="D115" s="100">
        <f>SUM(D$95:D$105)+SUM(F$95:F$105)+SUM(H$95:H$105)+SUM(J$95:J$105)</f>
        <v>353.38779658251525</v>
      </c>
      <c r="E115" s="100">
        <f>SUM(L$95:L$105)+SUM(N$95:N$105)+SUM(P$95:P$105)+SUM(R$95:R$105)</f>
        <v>226.60120792952293</v>
      </c>
      <c r="F115" s="100">
        <f>SUM(T$95:T$105)+SUM(V$95:V$105)+SUM(X$95:X$105)+SUM(Z$95:Z$105)</f>
        <v>310.41740237292527</v>
      </c>
      <c r="G115" s="100">
        <f>SUM(AB$95:AB$105)+SUM(AD$95:AD$105)+SUM(AF$95:AF$105)+SUM(AH$95:AH$105)</f>
        <v>267.4670647173952</v>
      </c>
      <c r="H115" s="100">
        <f>SUM(AJ$95:AJ$105)+SUM(AL$95:AL$105)+SUM(AN$95:AN$105)+SUM(AP$95:AP$105)</f>
        <v>251.68101932233728</v>
      </c>
      <c r="I115" s="100">
        <f>SUM(AR$95:AR$105)+SUM(AT$95:AT$105)+SUM(AV$95:AV$105)+SUM(AX$95:AX$105)</f>
        <v>271.75466282364567</v>
      </c>
      <c r="J115" s="100">
        <f>SUM(AZ$95:AZ$105)+SUM(BB$95:BB$105)+SUM(BD$95:BD$105)+SUM(BF$95:BF$105)</f>
        <v>314.49598967817019</v>
      </c>
      <c r="K115" s="100">
        <f>SUM(BH$95:BH$105)+SUM(BJ$95:BJ$105)+SUM(BL$95:BL$105)+SUM(BN$95:BN$105)</f>
        <v>285.05549038096831</v>
      </c>
      <c r="L115" s="100">
        <f>SUM(BP$95:BP$105)+SUM(BR$95:BR$105)+SUM(BT$95:BT$105)+SUM(BV$95:BV$105)</f>
        <v>204.28944666729407</v>
      </c>
      <c r="M115" s="100">
        <f>SUM(BX$95:BX$105)+SUM(BZ$95:BZ$105)+SUM(CB$95:CB$105)+SUM(CD$95:CD$105)</f>
        <v>235.02639547014431</v>
      </c>
      <c r="N115" s="100">
        <f>SUM(CF$95:CF$105)+SUM(CH$95:CH$105)+SUM(CJ$95:CJ$105)+SUM(CL$95:CL$105)</f>
        <v>290.43113970505709</v>
      </c>
      <c r="O115" s="100">
        <f>SUM(CN$95:CN$105)+SUM(CP$95:CP$105)+SUM(CR$95:CR$105)+SUM(CT$95:CT$105)</f>
        <v>285.91732652011353</v>
      </c>
    </row>
    <row r="116" spans="2:15">
      <c r="C116" s="99" t="s">
        <v>278</v>
      </c>
      <c r="D116" s="100">
        <f t="shared" ref="D116:O116" si="0">SUM(D$109:D$115)</f>
        <v>2652.5106759528499</v>
      </c>
      <c r="E116" s="100">
        <f t="shared" si="0"/>
        <v>2722.7511678097226</v>
      </c>
      <c r="F116" s="100">
        <f t="shared" si="0"/>
        <v>2533.5067215198505</v>
      </c>
      <c r="G116" s="100">
        <f t="shared" si="0"/>
        <v>2203.3526420404091</v>
      </c>
      <c r="H116" s="100">
        <f t="shared" si="0"/>
        <v>2581.1241059185404</v>
      </c>
      <c r="I116" s="100">
        <f t="shared" si="0"/>
        <v>2961.218672612154</v>
      </c>
      <c r="J116" s="100">
        <f t="shared" si="0"/>
        <v>2710.70062541376</v>
      </c>
      <c r="K116" s="100">
        <f t="shared" si="0"/>
        <v>2400.9545433210528</v>
      </c>
      <c r="L116" s="100">
        <f t="shared" si="0"/>
        <v>2228.2209883969208</v>
      </c>
      <c r="M116" s="100">
        <f t="shared" si="0"/>
        <v>3362.9592741586744</v>
      </c>
      <c r="N116" s="100">
        <f t="shared" si="0"/>
        <v>2133.8370444480638</v>
      </c>
      <c r="O116" s="100">
        <f t="shared" si="0"/>
        <v>2960.3398915494818</v>
      </c>
    </row>
    <row r="118" spans="2:15">
      <c r="B118" s="103" t="s">
        <v>279</v>
      </c>
    </row>
    <row r="119" spans="2:15">
      <c r="C119" s="99" t="s">
        <v>277</v>
      </c>
      <c r="D119" s="99" t="s">
        <v>92</v>
      </c>
      <c r="E119" s="99" t="s">
        <v>93</v>
      </c>
      <c r="F119" s="99" t="s">
        <v>94</v>
      </c>
      <c r="G119" s="99" t="s">
        <v>95</v>
      </c>
      <c r="H119" s="99" t="s">
        <v>96</v>
      </c>
      <c r="I119" s="99" t="s">
        <v>97</v>
      </c>
      <c r="J119" s="99" t="s">
        <v>98</v>
      </c>
      <c r="K119" s="99" t="s">
        <v>99</v>
      </c>
      <c r="L119" s="99" t="s">
        <v>100</v>
      </c>
      <c r="M119" s="99" t="s">
        <v>101</v>
      </c>
      <c r="N119" s="99" t="s">
        <v>102</v>
      </c>
      <c r="O119" s="99" t="s">
        <v>103</v>
      </c>
    </row>
    <row r="120" spans="2:15">
      <c r="C120" s="99" t="s">
        <v>126</v>
      </c>
      <c r="D120" s="100">
        <f>D109*pricing!D33*2000</f>
        <v>1780096.0269916405</v>
      </c>
      <c r="E120" s="100">
        <f>E109*pricing!E33*2000</f>
        <v>1545356.8830317419</v>
      </c>
      <c r="F120" s="100">
        <f>F109*pricing!F33*2000</f>
        <v>1363048.7789635803</v>
      </c>
      <c r="G120" s="100">
        <f>G109*pricing!G33*2000</f>
        <v>1167418.7185849482</v>
      </c>
      <c r="H120" s="100">
        <f>H109*pricing!H33*2000</f>
        <v>1748850.5179730847</v>
      </c>
      <c r="I120" s="100">
        <f>I109*pricing!I33*2000</f>
        <v>1974689.5775716864</v>
      </c>
      <c r="J120" s="100">
        <f>J109*pricing!J33*2000</f>
        <v>1711835.5593218384</v>
      </c>
      <c r="K120" s="100">
        <f>K109*pricing!K33*2000</f>
        <v>1578727.8453866832</v>
      </c>
      <c r="L120" s="100">
        <f>L109*pricing!L33*2000</f>
        <v>1441426.11210257</v>
      </c>
      <c r="M120" s="100">
        <f>M109*pricing!M33*2000</f>
        <v>2225001.6784720947</v>
      </c>
      <c r="N120" s="100">
        <f>N109*pricing!N33*2000</f>
        <v>1039615.0426864858</v>
      </c>
      <c r="O120" s="100">
        <f>O109*pricing!O33*2000</f>
        <v>1974666.8430953813</v>
      </c>
    </row>
    <row r="121" spans="2:15">
      <c r="C121" s="99" t="s">
        <v>127</v>
      </c>
      <c r="D121" s="100">
        <f>D110*pricing!D34*2000</f>
        <v>2179643.5592645174</v>
      </c>
      <c r="E121" s="100">
        <f>E110*pricing!E34*2000</f>
        <v>2234963.2868414368</v>
      </c>
      <c r="F121" s="100">
        <f>F110*pricing!F34*2000</f>
        <v>2037789.9402717806</v>
      </c>
      <c r="G121" s="100">
        <f>G110*pricing!G34*2000</f>
        <v>1556301.5313198718</v>
      </c>
      <c r="H121" s="100">
        <f>H110*pricing!H34*2000</f>
        <v>1962162.8751084737</v>
      </c>
      <c r="I121" s="100">
        <f>I110*pricing!I34*2000</f>
        <v>1947973.3705450892</v>
      </c>
      <c r="J121" s="100">
        <f>J110*pricing!J34*2000</f>
        <v>1855116.9959278982</v>
      </c>
      <c r="K121" s="100">
        <f>K110*pricing!K34*2000</f>
        <v>1802085.1659864637</v>
      </c>
      <c r="L121" s="100">
        <f>L110*pricing!L34*2000</f>
        <v>1840724.3559492349</v>
      </c>
      <c r="M121" s="100">
        <f>M110*pricing!M34*2000</f>
        <v>3038082.3160297805</v>
      </c>
      <c r="N121" s="100">
        <f>N110*pricing!N34*2000</f>
        <v>1451719.709449911</v>
      </c>
      <c r="O121" s="100">
        <f>O110*pricing!O34*2000</f>
        <v>2443738.2485124334</v>
      </c>
    </row>
    <row r="122" spans="2:15">
      <c r="C122" s="99" t="s">
        <v>128</v>
      </c>
      <c r="D122" s="100">
        <f>D111*pricing!D35*2000</f>
        <v>2158723.3707717932</v>
      </c>
      <c r="E122" s="100">
        <f>E111*pricing!E35*2000</f>
        <v>3282737.0522555555</v>
      </c>
      <c r="F122" s="100">
        <f>F111*pricing!F35*2000</f>
        <v>2125172.5558781284</v>
      </c>
      <c r="G122" s="100">
        <f>G111*pricing!G35*2000</f>
        <v>1886054.2713013643</v>
      </c>
      <c r="H122" s="100">
        <f>H111*pricing!H35*2000</f>
        <v>2614701.2498875991</v>
      </c>
      <c r="I122" s="100">
        <f>I111*pricing!I35*2000</f>
        <v>2730145.2520510461</v>
      </c>
      <c r="J122" s="100">
        <f>J111*pricing!J35*2000</f>
        <v>2482488.8619638933</v>
      </c>
      <c r="K122" s="100">
        <f>K111*pricing!K35*2000</f>
        <v>2366370.0529576479</v>
      </c>
      <c r="L122" s="100">
        <f>L111*pricing!L35*2000</f>
        <v>2032207.7894748708</v>
      </c>
      <c r="M122" s="100">
        <f>M111*pricing!M35*2000</f>
        <v>3774167.6398603031</v>
      </c>
      <c r="N122" s="100">
        <f>N111*pricing!N35*2000</f>
        <v>1525211.7138351826</v>
      </c>
      <c r="O122" s="100">
        <f>O111*pricing!O35*2000</f>
        <v>3077872.0160233318</v>
      </c>
    </row>
    <row r="123" spans="2:15">
      <c r="C123" s="99" t="s">
        <v>129</v>
      </c>
      <c r="D123" s="100">
        <f>D112*pricing!D36*2000</f>
        <v>2608096.9086930719</v>
      </c>
      <c r="E123" s="100">
        <f>E112*pricing!E36*2000</f>
        <v>3001831.8420561454</v>
      </c>
      <c r="F123" s="100">
        <f>F112*pricing!F36*2000</f>
        <v>2452160.5193981132</v>
      </c>
      <c r="G123" s="100">
        <f>G112*pricing!G36*2000</f>
        <v>2385203.1778972307</v>
      </c>
      <c r="H123" s="100">
        <f>H112*pricing!H36*2000</f>
        <v>2745601.2310660225</v>
      </c>
      <c r="I123" s="100">
        <f>I112*pricing!I36*2000</f>
        <v>3725798.6966763567</v>
      </c>
      <c r="J123" s="100">
        <f>J112*pricing!J36*2000</f>
        <v>2924735.0119525264</v>
      </c>
      <c r="K123" s="100">
        <f>K112*pricing!K36*2000</f>
        <v>1973999.7467285406</v>
      </c>
      <c r="L123" s="100">
        <f>L112*pricing!L36*2000</f>
        <v>2560669.0563400509</v>
      </c>
      <c r="M123" s="100">
        <f>M112*pricing!M36*2000</f>
        <v>3363255.1725353179</v>
      </c>
      <c r="N123" s="100">
        <f>N112*pricing!N36*2000</f>
        <v>2200827.8202439002</v>
      </c>
      <c r="O123" s="100">
        <f>O112*pricing!O36*2000</f>
        <v>2629316.9659571131</v>
      </c>
    </row>
    <row r="124" spans="2:15">
      <c r="C124" s="99" t="s">
        <v>130</v>
      </c>
      <c r="D124" s="100">
        <f>D113*pricing!D37*2000</f>
        <v>1845894.0930773178</v>
      </c>
      <c r="E124" s="100">
        <f>E113*pricing!E37*2000</f>
        <v>1657247.8890516553</v>
      </c>
      <c r="F124" s="100">
        <f>F113*pricing!F37*2000</f>
        <v>2451262.6886522099</v>
      </c>
      <c r="G124" s="100">
        <f>G113*pricing!G37*2000</f>
        <v>1934400</v>
      </c>
      <c r="H124" s="100">
        <f>H113*pricing!H37*2000</f>
        <v>1805803.9253460902</v>
      </c>
      <c r="I124" s="100">
        <f>I113*pricing!I37*2000</f>
        <v>2266092.878373934</v>
      </c>
      <c r="J124" s="100">
        <f>J113*pricing!J37*2000</f>
        <v>2192709.9026438454</v>
      </c>
      <c r="K124" s="100">
        <f>K113*pricing!K37*2000</f>
        <v>2027866.0043997923</v>
      </c>
      <c r="L124" s="100">
        <f>L113*pricing!L37*2000</f>
        <v>1778343.5008383067</v>
      </c>
      <c r="M124" s="100">
        <f>M113*pricing!M37*2000</f>
        <v>2497168.9472063938</v>
      </c>
      <c r="N124" s="100">
        <f>N113*pricing!N37*2000</f>
        <v>2220232.834355006</v>
      </c>
      <c r="O124" s="100">
        <f>O113*pricing!O37*2000</f>
        <v>2269241.6529758582</v>
      </c>
    </row>
    <row r="125" spans="2:15">
      <c r="C125" s="99" t="s">
        <v>131</v>
      </c>
      <c r="D125" s="100">
        <f>D114*pricing!D38*2000</f>
        <v>949179.58499525057</v>
      </c>
      <c r="E125" s="100">
        <f>E114*pricing!E38*2000</f>
        <v>625234.58332241955</v>
      </c>
      <c r="F125" s="100">
        <f>F114*pricing!F38*2000</f>
        <v>684938.79466505791</v>
      </c>
      <c r="G125" s="100">
        <f>G114*pricing!G38*2000</f>
        <v>763924.03557753004</v>
      </c>
      <c r="H125" s="100">
        <f>H114*pricing!H38*2000</f>
        <v>739168.6411213727</v>
      </c>
      <c r="I125" s="100">
        <f>I114*pricing!I38*2000</f>
        <v>803579.28235062247</v>
      </c>
      <c r="J125" s="100">
        <f>J114*pricing!J38*2000</f>
        <v>819962.45963274851</v>
      </c>
      <c r="K125" s="100">
        <f>K114*pricing!K38*2000</f>
        <v>833869.01702428528</v>
      </c>
      <c r="L125" s="100">
        <f>L114*pricing!L38*2000</f>
        <v>434612.03129137581</v>
      </c>
      <c r="M125" s="100">
        <f>M114*pricing!M38*2000</f>
        <v>613842.0785305032</v>
      </c>
      <c r="N125" s="100">
        <f>N114*pricing!N38*2000</f>
        <v>838554.15683108033</v>
      </c>
      <c r="O125" s="100">
        <f>O114*pricing!O38*2000</f>
        <v>942327.42218865512</v>
      </c>
    </row>
    <row r="126" spans="2:15">
      <c r="C126" s="99" t="s">
        <v>132</v>
      </c>
      <c r="D126" s="100">
        <f>D115*pricing!D39*2000</f>
        <v>1837616.5422290794</v>
      </c>
      <c r="E126" s="100">
        <f>E115*pricing!E39*2000</f>
        <v>1178326.2812335193</v>
      </c>
      <c r="F126" s="100">
        <f>F115*pricing!F39*2000</f>
        <v>1614170.4923392115</v>
      </c>
      <c r="G126" s="100">
        <f>G115*pricing!G39*2000</f>
        <v>1390828.7365304553</v>
      </c>
      <c r="H126" s="100">
        <f>H115*pricing!H39*2000</f>
        <v>1308741.3004761538</v>
      </c>
      <c r="I126" s="100">
        <f>I115*pricing!I39*2000</f>
        <v>1413124.2466829575</v>
      </c>
      <c r="J126" s="100">
        <f>J115*pricing!J39*2000</f>
        <v>1635379.1463264849</v>
      </c>
      <c r="K126" s="100">
        <f>K115*pricing!K39*2000</f>
        <v>1482288.5499810353</v>
      </c>
      <c r="L126" s="100">
        <f>L115*pricing!L39*2000</f>
        <v>1062305.1226699292</v>
      </c>
      <c r="M126" s="100">
        <f>M115*pricing!M39*2000</f>
        <v>1222137.2564447504</v>
      </c>
      <c r="N126" s="100">
        <f>N115*pricing!N39*2000</f>
        <v>1510241.9264662969</v>
      </c>
      <c r="O126" s="100">
        <f>O115*pricing!O39*2000</f>
        <v>1486770.0979045904</v>
      </c>
    </row>
    <row r="127" spans="2:15">
      <c r="C127" s="99" t="s">
        <v>278</v>
      </c>
      <c r="D127" s="100">
        <f>SUM(D$120:D$126)</f>
        <v>13359250.086022671</v>
      </c>
      <c r="E127" s="100">
        <f t="shared" ref="E127:O127" si="1">SUM(E$120:E$126)</f>
        <v>13525697.817792473</v>
      </c>
      <c r="F127" s="100">
        <f t="shared" si="1"/>
        <v>12728543.770168081</v>
      </c>
      <c r="G127" s="100">
        <f t="shared" si="1"/>
        <v>11084130.4712114</v>
      </c>
      <c r="H127" s="100">
        <f t="shared" si="1"/>
        <v>12925029.740978796</v>
      </c>
      <c r="I127" s="100">
        <f t="shared" si="1"/>
        <v>14861403.304251691</v>
      </c>
      <c r="J127" s="100">
        <f t="shared" si="1"/>
        <v>13622227.937769234</v>
      </c>
      <c r="K127" s="100">
        <f t="shared" si="1"/>
        <v>12065206.38246445</v>
      </c>
      <c r="L127" s="100">
        <f t="shared" si="1"/>
        <v>11150287.968666337</v>
      </c>
      <c r="M127" s="100">
        <f t="shared" si="1"/>
        <v>16733655.089079145</v>
      </c>
      <c r="N127" s="100">
        <f t="shared" si="1"/>
        <v>10786403.203867862</v>
      </c>
      <c r="O127" s="100">
        <f t="shared" si="1"/>
        <v>14823933.246657362</v>
      </c>
    </row>
    <row r="129" spans="2:15">
      <c r="B129" s="103" t="s">
        <v>280</v>
      </c>
    </row>
    <row r="130" spans="2:15">
      <c r="C130" s="105" t="s">
        <v>277</v>
      </c>
      <c r="D130" s="105" t="s">
        <v>92</v>
      </c>
      <c r="E130" s="105" t="s">
        <v>93</v>
      </c>
      <c r="F130" s="105" t="s">
        <v>94</v>
      </c>
      <c r="G130" s="105" t="s">
        <v>95</v>
      </c>
      <c r="H130" s="105" t="s">
        <v>96</v>
      </c>
      <c r="I130" s="105" t="s">
        <v>97</v>
      </c>
      <c r="J130" s="105" t="s">
        <v>98</v>
      </c>
      <c r="K130" s="105" t="s">
        <v>99</v>
      </c>
      <c r="L130" s="105" t="s">
        <v>100</v>
      </c>
      <c r="M130" s="105" t="s">
        <v>101</v>
      </c>
      <c r="N130" s="105" t="s">
        <v>102</v>
      </c>
      <c r="O130" s="105" t="s">
        <v>103</v>
      </c>
    </row>
    <row r="131" spans="2:15">
      <c r="C131" s="105" t="s">
        <v>126</v>
      </c>
      <c r="D131" s="106">
        <f>SUM(E$6:E$19)+SUM(G$6:G$19)+SUM(I$6:I$19)+SUM(K$6:K$19)</f>
        <v>166498.74283686021</v>
      </c>
      <c r="E131" s="106">
        <f>SUM(M$6:M$19)+SUM(O$6:O$19)+SUM(Q$6:Q$19)+SUM(S$6:S$19)</f>
        <v>144437.35805771372</v>
      </c>
      <c r="F131" s="106">
        <f>SUM(U$6:U$19)+SUM(W$6:W$19)+SUM(Y$6:Y$19)+SUM(AA$6:AA$19)</f>
        <v>126863.93508600915</v>
      </c>
      <c r="G131" s="106">
        <f>SUM(AC$6:AC$19)+SUM(AE$6:AE$19)+SUM(AG$6:AG$19)+SUM(AI$6:AI$19)</f>
        <v>109658.87993690712</v>
      </c>
      <c r="H131" s="106">
        <f>SUM(AK$6:AK$19)+SUM(AM$6:AM$19)+SUM(AO$6:AO$19)+SUM(AQ$6:AQ$19)</f>
        <v>163456.74789186846</v>
      </c>
      <c r="I131" s="106">
        <f>SUM(AS$6:AS$19)+SUM(AU$6:AU$19)+SUM(AW$6:AW$19)+SUM(AY$6:AY$19)</f>
        <v>184713.93448327505</v>
      </c>
      <c r="J131" s="106">
        <f>SUM(BA$6:BA$19)+SUM(BC$6:BC$19)+SUM(BE$6:BE$19)+SUM(BG$6:BG$19)</f>
        <v>160645.78208316801</v>
      </c>
      <c r="K131" s="106">
        <f>SUM(BI$6:BI$19)+SUM(BK$6:BK$19)+SUM(BM$6:BM$19)+SUM(BO$6:BO$19)</f>
        <v>147751.07564060303</v>
      </c>
      <c r="L131" s="106">
        <f>SUM(BQ$6:BQ$19)+SUM(BS$6:BS$19)+SUM(BU$6:BU$19)+SUM(BW$6:BW$19)</f>
        <v>135467.67870025244</v>
      </c>
      <c r="M131" s="106">
        <f>SUM(BY$6:BY$19)+SUM(CA$6:CA$19)+SUM(CC$6:CC$19)+SUM(CE$6:CE$19)</f>
        <v>207083.90395933247</v>
      </c>
      <c r="N131" s="106">
        <f>SUM(CG$6:CG$19)+SUM(CI$6:CI$19)+SUM(CK$6:CK$19)+SUM(CM$6:CM$19)</f>
        <v>96567.011413742308</v>
      </c>
      <c r="O131" s="106">
        <f>SUM(CO$6:CO$19)+SUM(CQ$6:CQ$19)+SUM(CS$6:CS$19)+SUM(CU$6:CU$19)</f>
        <v>183787.24383830131</v>
      </c>
    </row>
    <row r="132" spans="2:15">
      <c r="C132" s="105" t="s">
        <v>127</v>
      </c>
      <c r="D132" s="106">
        <f>SUM(E$20:E$36)+SUM(G$20:G$36)+SUM(I$20:I$36)+SUM(K$20:K$36)</f>
        <v>193122.60306876531</v>
      </c>
      <c r="E132" s="106">
        <f>SUM(M$20:M$36)+SUM(O$20:O$36)+SUM(Q$20:Q$36)+SUM(S$20:S$36)</f>
        <v>197728.63136629912</v>
      </c>
      <c r="F132" s="106">
        <f>SUM(U$20:U$36)+SUM(W$20:W$36)+SUM(Y$20:Y$36)+SUM(AA$20:AA$36)</f>
        <v>179916.34563964629</v>
      </c>
      <c r="G132" s="106">
        <f>SUM(AC$20:AC$36)+SUM(AE$20:AE$36)+SUM(AG$20:AG$36)+SUM(AI$20:AI$36)</f>
        <v>139511.66237125057</v>
      </c>
      <c r="H132" s="106">
        <f>SUM(AK$20:AK$36)+SUM(AM$20:AM$36)+SUM(AO$20:AO$36)+SUM(AQ$20:AQ$36)</f>
        <v>173380.36512552912</v>
      </c>
      <c r="I132" s="106">
        <f>SUM(AS$20:AS$36)+SUM(AU$20:AU$36)+SUM(AW$20:AW$36)+SUM(AY$20:AY$36)</f>
        <v>172175.54055868892</v>
      </c>
      <c r="J132" s="106">
        <f>SUM(BA$20:BA$36)+SUM(BC$20:BC$36)+SUM(BE$20:BE$36)+SUM(BG$20:BG$36)</f>
        <v>165356.31465093209</v>
      </c>
      <c r="K132" s="106">
        <f>SUM(BI$20:BI$36)+SUM(BK$20:BK$36)+SUM(BM$20:BM$36)+SUM(BO$20:BO$36)</f>
        <v>159899.65687274642</v>
      </c>
      <c r="L132" s="106">
        <f>SUM(BQ$20:BQ$36)+SUM(BS$20:BS$36)+SUM(BU$20:BU$36)+SUM(BW$20:BW$36)</f>
        <v>163052.38983448231</v>
      </c>
      <c r="M132" s="106">
        <f>SUM(BY$20:BY$36)+SUM(CA$20:CA$36)+SUM(CC$20:CC$36)+SUM(CE$20:CE$36)</f>
        <v>267664.79270590586</v>
      </c>
      <c r="N132" s="106">
        <f>SUM(CG$20:CG$36)+SUM(CI$20:CI$36)+SUM(CK$20:CK$36)+SUM(CM$20:CM$36)</f>
        <v>127847.93057203601</v>
      </c>
      <c r="O132" s="106">
        <f>SUM(CO$20:CO$36)+SUM(CQ$20:CQ$36)+SUM(CS$20:CS$36)+SUM(CU$20:CU$36)</f>
        <v>215624.8575068473</v>
      </c>
    </row>
    <row r="133" spans="2:15">
      <c r="C133" s="105" t="s">
        <v>128</v>
      </c>
      <c r="D133" s="106">
        <f>SUM(E$37:E$48)+SUM(G$37:G$48)+SUM(I$37:I$48)+SUM(K$37:K$48)</f>
        <v>490443.31852909166</v>
      </c>
      <c r="E133" s="106">
        <f>SUM(M$37:M$48)+SUM(O$37:O$48)+SUM(Q$37:Q$48)+SUM(S$37:S$48)</f>
        <v>746539.58188867068</v>
      </c>
      <c r="F133" s="106">
        <f>SUM(U$37:U$48)+SUM(W$37:W$48)+SUM(Y$37:Y$48)+SUM(AA$37:AA$48)</f>
        <v>484311.11932417983</v>
      </c>
      <c r="G133" s="106">
        <f>SUM(AC$37:AC$48)+SUM(AE$37:AE$48)+SUM(AG$37:AG$48)+SUM(AI$37:AI$48)</f>
        <v>430940.08081919613</v>
      </c>
      <c r="H133" s="106">
        <f>SUM(AK$37:AK$48)+SUM(AM$37:AM$48)+SUM(AO$37:AO$48)+SUM(AQ$37:AQ$48)</f>
        <v>593280.06169952755</v>
      </c>
      <c r="I133" s="106">
        <f>SUM(AS$37:AS$48)+SUM(AU$37:AU$48)+SUM(AW$37:AW$48)+SUM(AY$37:AY$48)</f>
        <v>621507.04714738135</v>
      </c>
      <c r="J133" s="106">
        <f>SUM(BA$37:BA$48)+SUM(BC$37:BC$48)+SUM(BE$37:BE$48)+SUM(BG$37:BG$48)</f>
        <v>563155.45963127725</v>
      </c>
      <c r="K133" s="106">
        <f>SUM(BI$37:BI$48)+SUM(BK$37:BK$48)+SUM(BM$37:BM$48)+SUM(BO$37:BO$48)</f>
        <v>540459.87746398174</v>
      </c>
      <c r="L133" s="106">
        <f>SUM(BQ$37:BQ$48)+SUM(BS$37:BS$48)+SUM(BU$37:BU$48)+SUM(BW$37:BW$48)</f>
        <v>463988.70428346191</v>
      </c>
      <c r="M133" s="106">
        <f>SUM(BY$37:BY$48)+SUM(CA$37:CA$48)+SUM(CC$37:CC$48)+SUM(CE$37:CE$48)</f>
        <v>856547.58470261283</v>
      </c>
      <c r="N133" s="106">
        <f>SUM(CG$37:CG$48)+SUM(CI$37:CI$48)+SUM(CK$37:CK$48)+SUM(CM$37:CM$48)</f>
        <v>346385.26451464422</v>
      </c>
      <c r="O133" s="106">
        <f>SUM(CO$37:CO$48)+SUM(CQ$37:CQ$48)+SUM(CS$37:CS$48)+SUM(CU$37:CU$48)</f>
        <v>698339.39114911458</v>
      </c>
    </row>
    <row r="134" spans="2:15">
      <c r="C134" s="105" t="s">
        <v>129</v>
      </c>
      <c r="D134" s="106">
        <f>SUM(E$49:E$70)+SUM(G$49:G$70)+SUM(I$49:I$70)+SUM(K$49:K$70)</f>
        <v>444549.46400525828</v>
      </c>
      <c r="E134" s="106">
        <f>SUM(M$49:M$70)+SUM(O$49:O$70)+SUM(Q$49:Q$70)+SUM(S$49:S$70)</f>
        <v>489009.83537518908</v>
      </c>
      <c r="F134" s="106">
        <f>SUM(U$49:U$70)+SUM(W$49:W$70)+SUM(Y$49:Y$70)+SUM(AA$49:AA$70)</f>
        <v>411998.56537765864</v>
      </c>
      <c r="G134" s="106">
        <f>SUM(AC$49:AC$70)+SUM(AE$49:AE$70)+SUM(AG$49:AG$70)+SUM(AI$49:AI$70)</f>
        <v>410732.3776438206</v>
      </c>
      <c r="H134" s="106">
        <f>SUM(AK$49:AK$70)+SUM(AM$49:AM$70)+SUM(AO$49:AO$70)+SUM(AQ$49:AQ$70)</f>
        <v>460752.45028995664</v>
      </c>
      <c r="I134" s="106">
        <f>SUM(AS$49:AS$70)+SUM(AU$49:AU$70)+SUM(AW$49:AW$70)+SUM(AY$49:AY$70)</f>
        <v>616897.51271069341</v>
      </c>
      <c r="J134" s="106">
        <f>SUM(BA$49:BA$70)+SUM(BC$49:BC$70)+SUM(BE$49:BE$70)+SUM(BG$49:BG$70)</f>
        <v>490521.49784909678</v>
      </c>
      <c r="K134" s="106">
        <f>SUM(BI$49:BI$70)+SUM(BK$49:BK$70)+SUM(BM$49:BM$70)+SUM(BO$49:BO$70)</f>
        <v>334226.55539231451</v>
      </c>
      <c r="L134" s="106">
        <f>SUM(BQ$49:BQ$70)+SUM(BS$49:BS$70)+SUM(BU$49:BU$70)+SUM(BW$49:BW$70)</f>
        <v>423166.24279539171</v>
      </c>
      <c r="M134" s="106">
        <f>SUM(BY$49:BY$70)+SUM(CA$49:CA$70)+SUM(CC$49:CC$70)+SUM(CE$49:CE$70)</f>
        <v>551232.35380285932</v>
      </c>
      <c r="N134" s="106">
        <f>SUM(CG$49:CG$70)+SUM(CI$49:CI$70)+SUM(CK$49:CK$70)+SUM(CM$49:CM$70)</f>
        <v>390541.81673974713</v>
      </c>
      <c r="O134" s="106">
        <f>SUM(CO$49:CO$70)+SUM(CQ$49:CQ$70)+SUM(CS$49:CS$70)+SUM(CU$49:CU$70)</f>
        <v>440874.62544680329</v>
      </c>
    </row>
    <row r="135" spans="2:15">
      <c r="C135" s="105" t="s">
        <v>130</v>
      </c>
      <c r="D135" s="106">
        <f>SUM(E$71:E$86)+SUM(G$71:G$86)+SUM(I$71:I$86)+SUM(K$71:K$86)</f>
        <v>198000.94677667657</v>
      </c>
      <c r="E135" s="106">
        <f>SUM(M$71:M$86)+SUM(O$71:O$86)+SUM(Q$71:Q$86)+SUM(S$71:S$86)</f>
        <v>178030.4911105216</v>
      </c>
      <c r="F135" s="106">
        <f>SUM(U$71:U$86)+SUM(W$71:W$86)+SUM(Y$71:Y$86)+SUM(AA$71:AA$86)</f>
        <v>263310.00591719919</v>
      </c>
      <c r="G135" s="106">
        <f>SUM(AC$71:AC$86)+SUM(AE$71:AE$86)+SUM(AG$71:AG$86)+SUM(AI$71:AI$86)</f>
        <v>208032</v>
      </c>
      <c r="H135" s="106">
        <f>SUM(AK$71:AK$86)+SUM(AM$71:AM$86)+SUM(AO$71:AO$86)+SUM(AQ$71:AQ$86)</f>
        <v>192000.78968990361</v>
      </c>
      <c r="I135" s="106">
        <f>SUM(AS$71:AS$86)+SUM(AU$71:AU$86)+SUM(AW$71:AW$86)+SUM(AY$71:AY$86)</f>
        <v>242701.19311806242</v>
      </c>
      <c r="J135" s="106">
        <f>SUM(BA$71:BA$86)+SUM(BC$71:BC$86)+SUM(BE$71:BE$86)+SUM(BG$71:BG$86)</f>
        <v>235391.43982092111</v>
      </c>
      <c r="K135" s="106">
        <f>SUM(BI$71:BI$86)+SUM(BK$71:BK$86)+SUM(BM$71:BM$86)+SUM(BO$71:BO$86)</f>
        <v>217951.8444263532</v>
      </c>
      <c r="L135" s="106">
        <f>SUM(BQ$71:BQ$86)+SUM(BS$71:BS$86)+SUM(BU$71:BU$86)+SUM(BW$71:BW$86)</f>
        <v>190517.11487624736</v>
      </c>
      <c r="M135" s="106">
        <f>SUM(BY$71:BY$86)+SUM(CA$71:CA$86)+SUM(CC$71:CC$86)+SUM(CE$71:CE$86)</f>
        <v>269879.84931388393</v>
      </c>
      <c r="N135" s="106">
        <f>SUM(CG$71:CG$86)+SUM(CI$71:CI$86)+SUM(CK$71:CK$86)+SUM(CM$71:CM$86)</f>
        <v>240159.28479442277</v>
      </c>
      <c r="O135" s="106">
        <f>SUM(CO$71:CO$86)+SUM(CQ$71:CQ$86)+SUM(CS$71:CS$86)+SUM(CU$71:CU$86)</f>
        <v>243675.37164292429</v>
      </c>
    </row>
    <row r="136" spans="2:15">
      <c r="C136" s="105" t="s">
        <v>131</v>
      </c>
      <c r="D136" s="106">
        <f>SUM(E$87:E$94)+SUM(G$87:G$94)+SUM(I$87:I$94)+SUM(K$87:K$94)</f>
        <v>170352.06347535222</v>
      </c>
      <c r="E136" s="106">
        <f>SUM(M$87:M$94)+SUM(O$87:O$94)+SUM(Q$87:Q$94)+SUM(S$87:S$94)</f>
        <v>112007.60424614885</v>
      </c>
      <c r="F136" s="106">
        <f>SUM(U$87:U$94)+SUM(W$87:W$94)+SUM(Y$87:Y$94)+SUM(AA$87:AA$94)</f>
        <v>122906.68812462242</v>
      </c>
      <c r="G136" s="106">
        <f>SUM(AC$87:AC$94)+SUM(AE$87:AE$94)+SUM(AG$87:AG$94)+SUM(AI$87:AI$94)</f>
        <v>137080.69419316947</v>
      </c>
      <c r="H136" s="106">
        <f>SUM(AK$87:AK$94)+SUM(AM$87:AM$94)+SUM(AO$87:AO$94)+SUM(AQ$87:AQ$94)</f>
        <v>132366.43476203742</v>
      </c>
      <c r="I136" s="106">
        <f>SUM(AS$87:AS$94)+SUM(AU$87:AU$94)+SUM(AW$87:AW$94)+SUM(AY$87:AY$94)</f>
        <v>143584.8713162764</v>
      </c>
      <c r="J136" s="106">
        <f>SUM(BA$87:BA$94)+SUM(BC$87:BC$94)+SUM(BE$87:BE$94)+SUM(BG$87:BG$94)</f>
        <v>147092.59269984171</v>
      </c>
      <c r="K136" s="106">
        <f>SUM(BI$87:BI$94)+SUM(BK$87:BK$94)+SUM(BM$87:BM$94)+SUM(BO$87:BO$94)</f>
        <v>149368.6898668728</v>
      </c>
      <c r="L136" s="106">
        <f>SUM(BQ$87:BQ$94)+SUM(BS$87:BS$94)+SUM(BU$87:BU$94)+SUM(BW$87:BW$94)</f>
        <v>77937.518888958235</v>
      </c>
      <c r="M136" s="106">
        <f>SUM(BY$87:BY$94)+SUM(CA$87:CA$94)+SUM(CC$87:CC$94)+SUM(CE$87:CE$94)</f>
        <v>109731.65398855752</v>
      </c>
      <c r="N136" s="106">
        <f>SUM(CG$87:CG$94)+SUM(CI$87:CI$94)+SUM(CK$87:CK$94)+SUM(CM$87:CM$94)</f>
        <v>150373.55116247939</v>
      </c>
      <c r="O136" s="106">
        <f>SUM(CO$87:CO$94)+SUM(CQ$87:CQ$94)+SUM(CS$87:CS$94)+SUM(CU$87:CU$94)</f>
        <v>168705.16067252515</v>
      </c>
    </row>
    <row r="137" spans="2:15">
      <c r="C137" s="105" t="s">
        <v>132</v>
      </c>
      <c r="D137" s="106">
        <f>SUM(E$95:E$105)+SUM(G$95:G$105)+SUM(I$95:I$105)+SUM(K$95:K$105)</f>
        <v>275217.09778390534</v>
      </c>
      <c r="E137" s="106">
        <f>SUM(M$95:M$105)+SUM(O$95:O$105)+SUM(Q$95:Q$105)+SUM(S$95:S$105)</f>
        <v>179224.11627759907</v>
      </c>
      <c r="F137" s="106">
        <f>SUM(U$95:U$105)+SUM(W$95:W$105)+SUM(Y$95:Y$105)+SUM(AA$95:AA$105)</f>
        <v>238425.7493342057</v>
      </c>
      <c r="G137" s="106">
        <f>SUM(AC$95:AC$105)+SUM(AE$95:AE$105)+SUM(AG$95:AG$105)+SUM(AI$95:AI$105)</f>
        <v>206926.1293452695</v>
      </c>
      <c r="H137" s="106">
        <f>SUM(AK$95:AK$105)+SUM(AM$95:AM$105)+SUM(AO$95:AO$105)+SUM(AQ$95:AQ$105)</f>
        <v>197337.96999576723</v>
      </c>
      <c r="I137" s="106">
        <f>SUM(AS$95:AS$105)+SUM(AU$95:AU$105)+SUM(AW$95:AW$105)+SUM(AY$95:AY$105)</f>
        <v>207596.23364401076</v>
      </c>
      <c r="J137" s="106">
        <f>SUM(BA$95:BA$105)+SUM(BC$95:BC$105)+SUM(BE$95:BE$105)+SUM(BG$95:BG$105)</f>
        <v>245052.93899457762</v>
      </c>
      <c r="K137" s="106">
        <f>SUM(BI$95:BI$105)+SUM(BK$95:BK$105)+SUM(BM$95:BM$105)+SUM(BO$95:BO$105)</f>
        <v>219610.54025914645</v>
      </c>
      <c r="L137" s="106">
        <f>SUM(BQ$95:BQ$105)+SUM(BS$95:BS$105)+SUM(BU$95:BU$105)+SUM(BW$95:BW$105)</f>
        <v>159870.50959153511</v>
      </c>
      <c r="M137" s="106">
        <f>SUM(BY$95:BY$105)+SUM(CA$95:CA$105)+SUM(CC$95:CC$105)+SUM(CE$95:CE$105)</f>
        <v>187321.12024017808</v>
      </c>
      <c r="N137" s="106">
        <f>SUM(CG$95:CG$105)+SUM(CI$95:CI$105)+SUM(CK$95:CK$105)+SUM(CM$95:CM$105)</f>
        <v>223736.01536627696</v>
      </c>
      <c r="O137" s="106">
        <f>SUM(CO$95:CO$105)+SUM(CQ$95:CQ$105)+SUM(CS$95:CS$105)+SUM(CU$95:CU$105)</f>
        <v>224234.57484748174</v>
      </c>
    </row>
    <row r="138" spans="2:15">
      <c r="C138" s="105" t="s">
        <v>278</v>
      </c>
      <c r="D138" s="100">
        <f t="shared" ref="D138:O138" si="2">SUM(D$131:D$137)</f>
        <v>1938184.2364759096</v>
      </c>
      <c r="E138" s="100">
        <f t="shared" si="2"/>
        <v>2046977.6183221422</v>
      </c>
      <c r="F138" s="100">
        <f t="shared" si="2"/>
        <v>1827732.4088035212</v>
      </c>
      <c r="G138" s="100">
        <f t="shared" si="2"/>
        <v>1642881.8243096133</v>
      </c>
      <c r="H138" s="100">
        <f t="shared" si="2"/>
        <v>1912574.8194545899</v>
      </c>
      <c r="I138" s="100">
        <f t="shared" si="2"/>
        <v>2189176.3329783883</v>
      </c>
      <c r="J138" s="100">
        <f t="shared" si="2"/>
        <v>2007216.0257298145</v>
      </c>
      <c r="K138" s="100">
        <f t="shared" si="2"/>
        <v>1769268.239922018</v>
      </c>
      <c r="L138" s="100">
        <f t="shared" si="2"/>
        <v>1614000.1589703294</v>
      </c>
      <c r="M138" s="100">
        <f t="shared" si="2"/>
        <v>2449461.2587133297</v>
      </c>
      <c r="N138" s="100">
        <f t="shared" si="2"/>
        <v>1575610.8745633489</v>
      </c>
      <c r="O138" s="100">
        <f t="shared" si="2"/>
        <v>2175241.2251039981</v>
      </c>
    </row>
  </sheetData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01"/>
  <sheetViews>
    <sheetView workbookViewId="0"/>
  </sheetViews>
  <sheetFormatPr baseColWidth="10" defaultColWidth="8.83203125" defaultRowHeight="12" x14ac:dyDescent="0"/>
  <cols>
    <col min="1" max="2" width="8.83203125" style="100"/>
    <col min="3" max="3" width="14.5" style="100" bestFit="1" customWidth="1"/>
    <col min="4" max="4" width="16.83203125" style="100" bestFit="1" customWidth="1"/>
    <col min="5" max="5" width="22.83203125" style="100" bestFit="1" customWidth="1"/>
    <col min="6" max="16384" width="8.83203125" style="100"/>
  </cols>
  <sheetData>
    <row r="1" spans="1:5">
      <c r="A1" s="99" t="s">
        <v>167</v>
      </c>
      <c r="B1" s="99" t="s">
        <v>168</v>
      </c>
      <c r="C1" s="99" t="s">
        <v>169</v>
      </c>
      <c r="D1" s="99" t="s">
        <v>170</v>
      </c>
      <c r="E1" s="99" t="s">
        <v>171</v>
      </c>
    </row>
    <row r="2" spans="1:5">
      <c r="A2" s="99" t="s">
        <v>126</v>
      </c>
      <c r="B2" s="99" t="s">
        <v>172</v>
      </c>
      <c r="C2" s="100" t="s">
        <v>59</v>
      </c>
      <c r="D2" s="100">
        <v>482</v>
      </c>
      <c r="E2" s="100">
        <v>578.4</v>
      </c>
    </row>
    <row r="3" spans="1:5">
      <c r="B3" s="99" t="s">
        <v>173</v>
      </c>
      <c r="C3" s="100" t="s">
        <v>59</v>
      </c>
      <c r="D3" s="100">
        <v>657</v>
      </c>
      <c r="E3" s="100">
        <v>788.4</v>
      </c>
    </row>
    <row r="4" spans="1:5">
      <c r="B4" s="99" t="s">
        <v>174</v>
      </c>
      <c r="C4" s="100" t="s">
        <v>59</v>
      </c>
      <c r="D4" s="100">
        <v>258</v>
      </c>
      <c r="E4" s="100">
        <v>309.59999999999997</v>
      </c>
    </row>
    <row r="5" spans="1:5">
      <c r="B5" s="99" t="s">
        <v>175</v>
      </c>
      <c r="C5" s="100" t="s">
        <v>59</v>
      </c>
      <c r="D5" s="100">
        <v>585</v>
      </c>
      <c r="E5" s="100">
        <v>702</v>
      </c>
    </row>
    <row r="6" spans="1:5">
      <c r="B6" s="99" t="s">
        <v>176</v>
      </c>
      <c r="C6" s="100" t="s">
        <v>59</v>
      </c>
      <c r="D6" s="100">
        <v>454</v>
      </c>
      <c r="E6" s="100">
        <v>544.79999999999995</v>
      </c>
    </row>
    <row r="7" spans="1:5">
      <c r="B7" s="99" t="s">
        <v>177</v>
      </c>
      <c r="C7" s="100" t="s">
        <v>59</v>
      </c>
      <c r="D7" s="100">
        <v>444</v>
      </c>
      <c r="E7" s="100">
        <v>532.79999999999995</v>
      </c>
    </row>
    <row r="8" spans="1:5">
      <c r="B8" s="99" t="s">
        <v>178</v>
      </c>
      <c r="C8" s="100" t="s">
        <v>59</v>
      </c>
      <c r="D8" s="100">
        <v>469</v>
      </c>
      <c r="E8" s="100">
        <v>562.79999999999995</v>
      </c>
    </row>
    <row r="9" spans="1:5">
      <c r="B9" s="99" t="s">
        <v>179</v>
      </c>
      <c r="C9" s="100" t="s">
        <v>59</v>
      </c>
      <c r="D9" s="100">
        <v>71</v>
      </c>
      <c r="E9" s="100">
        <v>85.2</v>
      </c>
    </row>
    <row r="10" spans="1:5">
      <c r="B10" s="99" t="s">
        <v>180</v>
      </c>
      <c r="C10" s="100" t="s">
        <v>59</v>
      </c>
      <c r="D10" s="100">
        <v>407</v>
      </c>
      <c r="E10" s="100">
        <v>488.4</v>
      </c>
    </row>
    <row r="11" spans="1:5">
      <c r="B11" s="99" t="s">
        <v>181</v>
      </c>
      <c r="C11" s="100" t="s">
        <v>59</v>
      </c>
      <c r="D11" s="100">
        <v>636</v>
      </c>
      <c r="E11" s="100">
        <v>763.19999999999993</v>
      </c>
    </row>
    <row r="12" spans="1:5">
      <c r="B12" s="99" t="s">
        <v>182</v>
      </c>
      <c r="C12" s="100" t="s">
        <v>59</v>
      </c>
      <c r="D12" s="100">
        <v>284</v>
      </c>
      <c r="E12" s="100">
        <v>340.8</v>
      </c>
    </row>
    <row r="13" spans="1:5">
      <c r="B13" s="99" t="s">
        <v>183</v>
      </c>
      <c r="C13" s="100" t="s">
        <v>59</v>
      </c>
      <c r="D13" s="100">
        <v>352</v>
      </c>
      <c r="E13" s="100">
        <v>422.4</v>
      </c>
    </row>
    <row r="14" spans="1:5">
      <c r="B14" s="99" t="s">
        <v>184</v>
      </c>
      <c r="C14" s="100" t="s">
        <v>59</v>
      </c>
      <c r="D14" s="100">
        <v>544</v>
      </c>
      <c r="E14" s="100">
        <v>652.79999999999995</v>
      </c>
    </row>
    <row r="15" spans="1:5">
      <c r="B15" s="99" t="s">
        <v>185</v>
      </c>
      <c r="C15" s="100" t="s">
        <v>59</v>
      </c>
      <c r="D15" s="100">
        <v>275</v>
      </c>
      <c r="E15" s="100">
        <v>330</v>
      </c>
    </row>
    <row r="16" spans="1:5">
      <c r="A16" s="99" t="s">
        <v>127</v>
      </c>
      <c r="B16" s="99" t="s">
        <v>186</v>
      </c>
      <c r="C16" s="100" t="s">
        <v>59</v>
      </c>
      <c r="D16" s="100">
        <v>239</v>
      </c>
      <c r="E16" s="100">
        <v>286.8</v>
      </c>
    </row>
    <row r="17" spans="2:5">
      <c r="B17" s="99" t="s">
        <v>187</v>
      </c>
      <c r="C17" s="100" t="s">
        <v>59</v>
      </c>
      <c r="D17" s="100">
        <v>52</v>
      </c>
      <c r="E17" s="100">
        <v>62.4</v>
      </c>
    </row>
    <row r="18" spans="2:5">
      <c r="B18" s="99" t="s">
        <v>188</v>
      </c>
      <c r="C18" s="100" t="s">
        <v>59</v>
      </c>
      <c r="D18" s="100">
        <v>156</v>
      </c>
      <c r="E18" s="100">
        <v>187.2</v>
      </c>
    </row>
    <row r="19" spans="2:5">
      <c r="B19" s="99" t="s">
        <v>189</v>
      </c>
      <c r="C19" s="100" t="s">
        <v>59</v>
      </c>
      <c r="D19" s="100">
        <v>245</v>
      </c>
      <c r="E19" s="100">
        <v>294</v>
      </c>
    </row>
    <row r="20" spans="2:5">
      <c r="B20" s="99" t="s">
        <v>190</v>
      </c>
      <c r="C20" s="100" t="s">
        <v>59</v>
      </c>
      <c r="D20" s="100">
        <v>306</v>
      </c>
      <c r="E20" s="100">
        <v>367.2</v>
      </c>
    </row>
    <row r="21" spans="2:5">
      <c r="B21" s="99" t="s">
        <v>191</v>
      </c>
      <c r="C21" s="100" t="s">
        <v>59</v>
      </c>
      <c r="D21" s="100">
        <v>442</v>
      </c>
      <c r="E21" s="100">
        <v>530.4</v>
      </c>
    </row>
    <row r="22" spans="2:5">
      <c r="B22" s="99" t="s">
        <v>192</v>
      </c>
      <c r="C22" s="100" t="s">
        <v>59</v>
      </c>
      <c r="D22" s="100">
        <v>405</v>
      </c>
      <c r="E22" s="100">
        <v>486</v>
      </c>
    </row>
    <row r="23" spans="2:5">
      <c r="B23" s="99" t="s">
        <v>193</v>
      </c>
      <c r="C23" s="100" t="s">
        <v>59</v>
      </c>
      <c r="D23" s="100">
        <v>356</v>
      </c>
      <c r="E23" s="100">
        <v>427.2</v>
      </c>
    </row>
    <row r="24" spans="2:5">
      <c r="B24" s="99" t="s">
        <v>194</v>
      </c>
      <c r="C24" s="100" t="s">
        <v>59</v>
      </c>
      <c r="D24" s="100">
        <v>615</v>
      </c>
      <c r="E24" s="100">
        <v>738</v>
      </c>
    </row>
    <row r="25" spans="2:5">
      <c r="B25" s="99" t="s">
        <v>195</v>
      </c>
      <c r="C25" s="100" t="s">
        <v>59</v>
      </c>
      <c r="D25" s="100">
        <v>282</v>
      </c>
      <c r="E25" s="100">
        <v>338.4</v>
      </c>
    </row>
    <row r="26" spans="2:5">
      <c r="B26" s="99" t="s">
        <v>196</v>
      </c>
      <c r="C26" s="100" t="s">
        <v>59</v>
      </c>
      <c r="D26" s="100">
        <v>116</v>
      </c>
      <c r="E26" s="100">
        <v>139.19999999999999</v>
      </c>
    </row>
    <row r="27" spans="2:5">
      <c r="B27" s="99" t="s">
        <v>197</v>
      </c>
      <c r="C27" s="100" t="s">
        <v>59</v>
      </c>
      <c r="D27" s="100">
        <v>284</v>
      </c>
      <c r="E27" s="100">
        <v>340.8</v>
      </c>
    </row>
    <row r="28" spans="2:5">
      <c r="B28" s="99" t="s">
        <v>198</v>
      </c>
      <c r="C28" s="100" t="s">
        <v>59</v>
      </c>
      <c r="D28" s="100">
        <v>700</v>
      </c>
      <c r="E28" s="100">
        <v>840</v>
      </c>
    </row>
    <row r="29" spans="2:5">
      <c r="B29" s="99" t="s">
        <v>199</v>
      </c>
      <c r="C29" s="100" t="s">
        <v>59</v>
      </c>
      <c r="D29" s="100">
        <v>395</v>
      </c>
      <c r="E29" s="100">
        <v>474</v>
      </c>
    </row>
    <row r="30" spans="2:5">
      <c r="B30" s="99" t="s">
        <v>200</v>
      </c>
      <c r="C30" s="100" t="s">
        <v>59</v>
      </c>
      <c r="D30" s="100">
        <v>457</v>
      </c>
      <c r="E30" s="100">
        <v>548.4</v>
      </c>
    </row>
    <row r="31" spans="2:5">
      <c r="B31" s="99" t="s">
        <v>201</v>
      </c>
      <c r="C31" s="100" t="s">
        <v>59</v>
      </c>
      <c r="D31" s="100">
        <v>419</v>
      </c>
      <c r="E31" s="100">
        <v>502.7999999999999</v>
      </c>
    </row>
    <row r="32" spans="2:5">
      <c r="B32" s="99" t="s">
        <v>202</v>
      </c>
      <c r="C32" s="100" t="s">
        <v>59</v>
      </c>
      <c r="D32" s="100">
        <v>634</v>
      </c>
      <c r="E32" s="100">
        <v>760.8</v>
      </c>
    </row>
    <row r="33" spans="1:5">
      <c r="A33" s="99" t="s">
        <v>128</v>
      </c>
      <c r="B33" s="99" t="s">
        <v>203</v>
      </c>
      <c r="C33" s="100" t="s">
        <v>59</v>
      </c>
      <c r="D33" s="100">
        <v>717</v>
      </c>
      <c r="E33" s="100">
        <v>860.4</v>
      </c>
    </row>
    <row r="34" spans="1:5">
      <c r="B34" s="99" t="s">
        <v>204</v>
      </c>
      <c r="C34" s="100" t="s">
        <v>59</v>
      </c>
      <c r="D34" s="100">
        <v>1035</v>
      </c>
      <c r="E34" s="100">
        <v>1242</v>
      </c>
    </row>
    <row r="35" spans="1:5">
      <c r="B35" s="99" t="s">
        <v>205</v>
      </c>
      <c r="C35" s="100" t="s">
        <v>59</v>
      </c>
      <c r="D35" s="100">
        <v>1186</v>
      </c>
      <c r="E35" s="100">
        <v>1423.2</v>
      </c>
    </row>
    <row r="36" spans="1:5">
      <c r="B36" s="99" t="s">
        <v>206</v>
      </c>
      <c r="C36" s="100" t="s">
        <v>59</v>
      </c>
      <c r="D36" s="100">
        <v>604</v>
      </c>
      <c r="E36" s="100">
        <v>724.8</v>
      </c>
    </row>
    <row r="37" spans="1:5">
      <c r="B37" s="99" t="s">
        <v>207</v>
      </c>
      <c r="C37" s="100" t="s">
        <v>59</v>
      </c>
      <c r="D37" s="100">
        <v>550</v>
      </c>
      <c r="E37" s="100">
        <v>660</v>
      </c>
    </row>
    <row r="38" spans="1:5">
      <c r="B38" s="99" t="s">
        <v>208</v>
      </c>
      <c r="C38" s="100" t="s">
        <v>59</v>
      </c>
      <c r="D38" s="100">
        <v>705</v>
      </c>
      <c r="E38" s="100">
        <v>846</v>
      </c>
    </row>
    <row r="39" spans="1:5">
      <c r="B39" s="99" t="s">
        <v>209</v>
      </c>
      <c r="C39" s="100" t="s">
        <v>59</v>
      </c>
      <c r="D39" s="100">
        <v>852</v>
      </c>
      <c r="E39" s="100">
        <v>1022.4</v>
      </c>
    </row>
    <row r="40" spans="1:5">
      <c r="B40" s="99" t="s">
        <v>210</v>
      </c>
      <c r="C40" s="100" t="s">
        <v>59</v>
      </c>
      <c r="D40" s="100">
        <v>852</v>
      </c>
      <c r="E40" s="100">
        <v>1022.4</v>
      </c>
    </row>
    <row r="41" spans="1:5">
      <c r="B41" s="99" t="s">
        <v>211</v>
      </c>
      <c r="C41" s="100" t="s">
        <v>59</v>
      </c>
      <c r="D41" s="100">
        <v>1041</v>
      </c>
      <c r="E41" s="100">
        <v>1249.2</v>
      </c>
    </row>
    <row r="42" spans="1:5">
      <c r="B42" s="99" t="s">
        <v>212</v>
      </c>
      <c r="C42" s="100" t="s">
        <v>59</v>
      </c>
      <c r="D42" s="100">
        <v>1010</v>
      </c>
      <c r="E42" s="100">
        <v>1212</v>
      </c>
    </row>
    <row r="43" spans="1:5">
      <c r="B43" s="99" t="s">
        <v>213</v>
      </c>
      <c r="C43" s="100" t="s">
        <v>59</v>
      </c>
      <c r="D43" s="100">
        <v>1273</v>
      </c>
      <c r="E43" s="100">
        <v>1527.6</v>
      </c>
    </row>
    <row r="44" spans="1:5">
      <c r="B44" s="99" t="s">
        <v>214</v>
      </c>
      <c r="C44" s="100" t="s">
        <v>59</v>
      </c>
      <c r="D44" s="100">
        <v>723</v>
      </c>
      <c r="E44" s="100">
        <v>867.6</v>
      </c>
    </row>
    <row r="45" spans="1:5">
      <c r="A45" s="99" t="s">
        <v>129</v>
      </c>
      <c r="B45" s="99" t="s">
        <v>215</v>
      </c>
      <c r="C45" s="100" t="s">
        <v>22</v>
      </c>
      <c r="D45" s="100">
        <v>821</v>
      </c>
      <c r="E45" s="100">
        <v>985.19999999999993</v>
      </c>
    </row>
    <row r="46" spans="1:5">
      <c r="B46" s="99" t="s">
        <v>216</v>
      </c>
      <c r="C46" s="100" t="s">
        <v>59</v>
      </c>
      <c r="D46" s="100">
        <v>235</v>
      </c>
      <c r="E46" s="100">
        <v>282</v>
      </c>
    </row>
    <row r="47" spans="1:5">
      <c r="B47" s="99" t="s">
        <v>217</v>
      </c>
      <c r="C47" s="100" t="s">
        <v>59</v>
      </c>
      <c r="D47" s="100">
        <v>712</v>
      </c>
      <c r="E47" s="100">
        <v>854.4</v>
      </c>
    </row>
    <row r="48" spans="1:5">
      <c r="B48" s="99" t="s">
        <v>218</v>
      </c>
      <c r="C48" s="100" t="s">
        <v>59</v>
      </c>
      <c r="D48" s="100">
        <v>450</v>
      </c>
      <c r="E48" s="100">
        <v>540</v>
      </c>
    </row>
    <row r="49" spans="2:5">
      <c r="B49" s="99" t="s">
        <v>219</v>
      </c>
      <c r="C49" s="100" t="s">
        <v>59</v>
      </c>
      <c r="D49" s="100">
        <v>339</v>
      </c>
      <c r="E49" s="100">
        <v>406.8</v>
      </c>
    </row>
    <row r="50" spans="2:5">
      <c r="B50" s="99" t="s">
        <v>220</v>
      </c>
      <c r="C50" s="100" t="s">
        <v>59</v>
      </c>
      <c r="D50" s="100">
        <v>279</v>
      </c>
      <c r="E50" s="100">
        <v>334.8</v>
      </c>
    </row>
    <row r="51" spans="2:5">
      <c r="B51" s="99" t="s">
        <v>221</v>
      </c>
      <c r="C51" s="100" t="s">
        <v>59</v>
      </c>
      <c r="D51" s="100">
        <v>553</v>
      </c>
      <c r="E51" s="100">
        <v>663.6</v>
      </c>
    </row>
    <row r="52" spans="2:5">
      <c r="B52" s="99" t="s">
        <v>222</v>
      </c>
      <c r="C52" s="100" t="s">
        <v>46</v>
      </c>
      <c r="D52" s="100">
        <v>818</v>
      </c>
      <c r="E52" s="100">
        <v>981.59999999999991</v>
      </c>
    </row>
    <row r="53" spans="2:5">
      <c r="B53" s="99" t="s">
        <v>223</v>
      </c>
      <c r="C53" s="100" t="s">
        <v>59</v>
      </c>
      <c r="D53" s="100">
        <v>1176</v>
      </c>
      <c r="E53" s="100">
        <v>1411.2</v>
      </c>
    </row>
    <row r="54" spans="2:5">
      <c r="B54" s="99" t="s">
        <v>224</v>
      </c>
      <c r="C54" s="100" t="s">
        <v>22</v>
      </c>
      <c r="D54" s="100">
        <v>981</v>
      </c>
      <c r="E54" s="100">
        <v>1177.2</v>
      </c>
    </row>
    <row r="55" spans="2:5">
      <c r="B55" s="99" t="s">
        <v>225</v>
      </c>
      <c r="C55" s="100" t="s">
        <v>59</v>
      </c>
      <c r="D55" s="100">
        <v>253</v>
      </c>
      <c r="E55" s="100">
        <v>303.59999999999997</v>
      </c>
    </row>
    <row r="56" spans="2:5">
      <c r="B56" s="99" t="s">
        <v>226</v>
      </c>
      <c r="C56" s="100" t="s">
        <v>59</v>
      </c>
      <c r="D56" s="100">
        <v>543</v>
      </c>
      <c r="E56" s="100">
        <v>651.6</v>
      </c>
    </row>
    <row r="57" spans="2:5">
      <c r="B57" s="99" t="s">
        <v>227</v>
      </c>
      <c r="C57" s="100" t="s">
        <v>59</v>
      </c>
      <c r="D57" s="100">
        <v>793</v>
      </c>
      <c r="E57" s="100">
        <v>951.59999999999991</v>
      </c>
    </row>
    <row r="58" spans="2:5">
      <c r="B58" s="99" t="s">
        <v>228</v>
      </c>
      <c r="C58" s="100" t="s">
        <v>46</v>
      </c>
      <c r="D58" s="100">
        <v>1391</v>
      </c>
      <c r="E58" s="100">
        <v>1669.2</v>
      </c>
    </row>
    <row r="59" spans="2:5">
      <c r="B59" s="99" t="s">
        <v>229</v>
      </c>
      <c r="C59" s="100" t="s">
        <v>59</v>
      </c>
      <c r="D59" s="100">
        <v>663</v>
      </c>
      <c r="E59" s="100">
        <v>795.6</v>
      </c>
    </row>
    <row r="60" spans="2:5">
      <c r="B60" s="99" t="s">
        <v>230</v>
      </c>
      <c r="C60" s="100" t="s">
        <v>59</v>
      </c>
      <c r="D60" s="100">
        <v>841</v>
      </c>
      <c r="E60" s="100">
        <v>1009.1999999999998</v>
      </c>
    </row>
    <row r="61" spans="2:5">
      <c r="B61" s="99" t="s">
        <v>231</v>
      </c>
      <c r="C61" s="100" t="s">
        <v>59</v>
      </c>
      <c r="D61" s="100">
        <v>855</v>
      </c>
      <c r="E61" s="100">
        <v>1026</v>
      </c>
    </row>
    <row r="62" spans="2:5">
      <c r="B62" s="99" t="s">
        <v>232</v>
      </c>
      <c r="C62" s="100" t="s">
        <v>59</v>
      </c>
      <c r="D62" s="100">
        <v>992</v>
      </c>
      <c r="E62" s="100">
        <v>1190.3999999999999</v>
      </c>
    </row>
    <row r="63" spans="2:5">
      <c r="B63" s="99" t="s">
        <v>233</v>
      </c>
      <c r="C63" s="100" t="s">
        <v>59</v>
      </c>
      <c r="D63" s="100">
        <v>936</v>
      </c>
      <c r="E63" s="100">
        <v>1123.2</v>
      </c>
    </row>
    <row r="64" spans="2:5">
      <c r="B64" s="99" t="s">
        <v>234</v>
      </c>
      <c r="C64" s="100" t="s">
        <v>59</v>
      </c>
      <c r="D64" s="100">
        <v>861</v>
      </c>
      <c r="E64" s="100">
        <v>1033.2</v>
      </c>
    </row>
    <row r="65" spans="1:5">
      <c r="B65" s="99" t="s">
        <v>235</v>
      </c>
      <c r="C65" s="100" t="s">
        <v>59</v>
      </c>
      <c r="D65" s="100">
        <v>632</v>
      </c>
      <c r="E65" s="100">
        <v>758.4</v>
      </c>
    </row>
    <row r="66" spans="1:5">
      <c r="B66" s="99" t="s">
        <v>236</v>
      </c>
      <c r="C66" s="100" t="s">
        <v>59</v>
      </c>
      <c r="D66" s="100">
        <v>446</v>
      </c>
      <c r="E66" s="100">
        <v>535.19999999999993</v>
      </c>
    </row>
    <row r="67" spans="1:5">
      <c r="A67" s="99" t="s">
        <v>130</v>
      </c>
      <c r="B67" s="99" t="s">
        <v>237</v>
      </c>
      <c r="C67" s="100" t="s">
        <v>22</v>
      </c>
      <c r="D67" s="100">
        <v>470</v>
      </c>
      <c r="E67" s="100">
        <v>564</v>
      </c>
    </row>
    <row r="68" spans="1:5">
      <c r="B68" s="99" t="s">
        <v>238</v>
      </c>
      <c r="C68" s="100" t="s">
        <v>22</v>
      </c>
      <c r="D68" s="100">
        <v>62</v>
      </c>
      <c r="E68" s="100">
        <v>74.399999999999991</v>
      </c>
    </row>
    <row r="69" spans="1:5">
      <c r="B69" s="99" t="s">
        <v>239</v>
      </c>
      <c r="C69" s="100" t="s">
        <v>22</v>
      </c>
      <c r="D69" s="100">
        <v>466</v>
      </c>
      <c r="E69" s="100">
        <v>559.19999999999993</v>
      </c>
    </row>
    <row r="70" spans="1:5">
      <c r="B70" s="99" t="s">
        <v>240</v>
      </c>
      <c r="C70" s="100" t="s">
        <v>22</v>
      </c>
      <c r="D70" s="100">
        <v>336</v>
      </c>
      <c r="E70" s="100">
        <v>403.2</v>
      </c>
    </row>
    <row r="71" spans="1:5">
      <c r="B71" s="99" t="s">
        <v>241</v>
      </c>
      <c r="C71" s="100" t="s">
        <v>22</v>
      </c>
      <c r="D71" s="100">
        <v>536</v>
      </c>
      <c r="E71" s="100">
        <v>643.19999999999993</v>
      </c>
    </row>
    <row r="72" spans="1:5">
      <c r="B72" s="99" t="s">
        <v>242</v>
      </c>
      <c r="C72" s="100" t="s">
        <v>22</v>
      </c>
      <c r="D72" s="100">
        <v>649</v>
      </c>
      <c r="E72" s="100">
        <v>778.8</v>
      </c>
    </row>
    <row r="73" spans="1:5">
      <c r="B73" s="99" t="s">
        <v>243</v>
      </c>
      <c r="C73" s="100" t="s">
        <v>22</v>
      </c>
      <c r="D73" s="100">
        <v>232</v>
      </c>
      <c r="E73" s="100">
        <v>278.39999999999998</v>
      </c>
    </row>
    <row r="74" spans="1:5">
      <c r="B74" s="99" t="s">
        <v>244</v>
      </c>
      <c r="C74" s="100" t="s">
        <v>22</v>
      </c>
      <c r="D74" s="100">
        <v>460</v>
      </c>
      <c r="E74" s="100">
        <v>552</v>
      </c>
    </row>
    <row r="75" spans="1:5">
      <c r="B75" s="99" t="s">
        <v>245</v>
      </c>
      <c r="C75" s="100" t="s">
        <v>22</v>
      </c>
      <c r="D75" s="100">
        <v>631</v>
      </c>
      <c r="E75" s="100">
        <v>757.19999999999993</v>
      </c>
    </row>
    <row r="76" spans="1:5">
      <c r="B76" s="99" t="s">
        <v>246</v>
      </c>
      <c r="C76" s="100" t="s">
        <v>22</v>
      </c>
      <c r="D76" s="100">
        <v>671</v>
      </c>
      <c r="E76" s="100">
        <v>805.19999999999993</v>
      </c>
    </row>
    <row r="77" spans="1:5">
      <c r="B77" s="99" t="s">
        <v>247</v>
      </c>
      <c r="C77" s="100" t="s">
        <v>22</v>
      </c>
      <c r="D77" s="100">
        <v>628</v>
      </c>
      <c r="E77" s="100">
        <v>753.6</v>
      </c>
    </row>
    <row r="78" spans="1:5">
      <c r="B78" s="99" t="s">
        <v>248</v>
      </c>
      <c r="C78" s="100" t="s">
        <v>22</v>
      </c>
      <c r="D78" s="100">
        <v>424</v>
      </c>
      <c r="E78" s="100">
        <v>508.7999999999999</v>
      </c>
    </row>
    <row r="79" spans="1:5">
      <c r="B79" s="99" t="s">
        <v>249</v>
      </c>
      <c r="C79" s="100" t="s">
        <v>22</v>
      </c>
      <c r="D79" s="100">
        <v>717</v>
      </c>
      <c r="E79" s="100">
        <v>860.4</v>
      </c>
    </row>
    <row r="80" spans="1:5">
      <c r="B80" s="99" t="s">
        <v>250</v>
      </c>
      <c r="C80" s="100" t="s">
        <v>22</v>
      </c>
      <c r="D80" s="100">
        <v>651</v>
      </c>
      <c r="E80" s="100">
        <v>781.19999999999993</v>
      </c>
    </row>
    <row r="81" spans="1:5">
      <c r="B81" s="99" t="s">
        <v>251</v>
      </c>
      <c r="C81" s="100" t="s">
        <v>22</v>
      </c>
      <c r="D81" s="100">
        <v>125</v>
      </c>
      <c r="E81" s="100">
        <v>150</v>
      </c>
    </row>
    <row r="82" spans="1:5">
      <c r="B82" s="99" t="s">
        <v>252</v>
      </c>
      <c r="C82" s="100" t="s">
        <v>22</v>
      </c>
      <c r="D82" s="100">
        <v>450</v>
      </c>
      <c r="E82" s="100">
        <v>540</v>
      </c>
    </row>
    <row r="83" spans="1:5">
      <c r="A83" s="99" t="s">
        <v>131</v>
      </c>
      <c r="B83" s="99" t="s">
        <v>253</v>
      </c>
      <c r="C83" s="100" t="s">
        <v>46</v>
      </c>
      <c r="D83" s="100">
        <v>895</v>
      </c>
      <c r="E83" s="100">
        <v>1074</v>
      </c>
    </row>
    <row r="84" spans="1:5">
      <c r="B84" s="99" t="s">
        <v>254</v>
      </c>
      <c r="C84" s="100" t="s">
        <v>46</v>
      </c>
      <c r="D84" s="100">
        <v>827</v>
      </c>
      <c r="E84" s="100">
        <v>992.4</v>
      </c>
    </row>
    <row r="85" spans="1:5">
      <c r="B85" s="99" t="s">
        <v>255</v>
      </c>
      <c r="C85" s="100" t="s">
        <v>46</v>
      </c>
      <c r="D85" s="100">
        <v>885</v>
      </c>
      <c r="E85" s="100">
        <v>1062</v>
      </c>
    </row>
    <row r="86" spans="1:5">
      <c r="B86" s="99" t="s">
        <v>256</v>
      </c>
      <c r="C86" s="100" t="s">
        <v>46</v>
      </c>
      <c r="D86" s="100">
        <v>924</v>
      </c>
      <c r="E86" s="100">
        <v>1108.8</v>
      </c>
    </row>
    <row r="87" spans="1:5">
      <c r="B87" s="99" t="s">
        <v>257</v>
      </c>
      <c r="C87" s="100" t="s">
        <v>46</v>
      </c>
      <c r="D87" s="100">
        <v>947</v>
      </c>
      <c r="E87" s="100">
        <v>1136.3999999999999</v>
      </c>
    </row>
    <row r="88" spans="1:5">
      <c r="B88" s="99" t="s">
        <v>258</v>
      </c>
      <c r="C88" s="100" t="s">
        <v>46</v>
      </c>
      <c r="D88" s="100">
        <v>654</v>
      </c>
      <c r="E88" s="100">
        <v>784.8</v>
      </c>
    </row>
    <row r="89" spans="1:5">
      <c r="B89" s="99" t="s">
        <v>259</v>
      </c>
      <c r="C89" s="100" t="s">
        <v>46</v>
      </c>
      <c r="D89" s="100">
        <v>578</v>
      </c>
      <c r="E89" s="100">
        <v>693.6</v>
      </c>
    </row>
    <row r="90" spans="1:5">
      <c r="B90" s="99" t="s">
        <v>260</v>
      </c>
      <c r="C90" s="100" t="s">
        <v>46</v>
      </c>
      <c r="D90" s="100">
        <v>994</v>
      </c>
      <c r="E90" s="100">
        <v>1192.8</v>
      </c>
    </row>
    <row r="91" spans="1:5">
      <c r="A91" s="99" t="s">
        <v>132</v>
      </c>
      <c r="B91" s="99" t="s">
        <v>261</v>
      </c>
      <c r="C91" s="100" t="s">
        <v>46</v>
      </c>
      <c r="D91" s="100">
        <v>274</v>
      </c>
      <c r="E91" s="100">
        <v>328.8</v>
      </c>
    </row>
    <row r="92" spans="1:5">
      <c r="B92" s="99" t="s">
        <v>262</v>
      </c>
      <c r="C92" s="100" t="s">
        <v>46</v>
      </c>
      <c r="D92" s="100">
        <v>579</v>
      </c>
      <c r="E92" s="100">
        <v>694.8</v>
      </c>
    </row>
    <row r="93" spans="1:5">
      <c r="B93" s="99" t="s">
        <v>263</v>
      </c>
      <c r="C93" s="100" t="s">
        <v>46</v>
      </c>
      <c r="D93" s="100">
        <v>327</v>
      </c>
      <c r="E93" s="100">
        <v>392.4</v>
      </c>
    </row>
    <row r="94" spans="1:5">
      <c r="B94" s="99" t="s">
        <v>264</v>
      </c>
      <c r="C94" s="100" t="s">
        <v>46</v>
      </c>
      <c r="D94" s="100">
        <v>438</v>
      </c>
      <c r="E94" s="100">
        <v>525.6</v>
      </c>
    </row>
    <row r="95" spans="1:5">
      <c r="B95" s="99" t="s">
        <v>265</v>
      </c>
      <c r="C95" s="100" t="s">
        <v>46</v>
      </c>
      <c r="D95" s="100">
        <v>3507</v>
      </c>
      <c r="E95" s="100">
        <v>4208.3999999999996</v>
      </c>
    </row>
    <row r="96" spans="1:5">
      <c r="B96" s="99" t="s">
        <v>266</v>
      </c>
      <c r="C96" s="100" t="s">
        <v>46</v>
      </c>
      <c r="D96" s="100">
        <v>270</v>
      </c>
      <c r="E96" s="100">
        <v>324</v>
      </c>
    </row>
    <row r="97" spans="2:5">
      <c r="B97" s="99" t="s">
        <v>267</v>
      </c>
      <c r="C97" s="100" t="s">
        <v>46</v>
      </c>
      <c r="D97" s="100">
        <v>603</v>
      </c>
      <c r="E97" s="100">
        <v>723.6</v>
      </c>
    </row>
    <row r="98" spans="2:5">
      <c r="B98" s="99" t="s">
        <v>268</v>
      </c>
      <c r="C98" s="100" t="s">
        <v>46</v>
      </c>
      <c r="D98" s="100">
        <v>443</v>
      </c>
      <c r="E98" s="100">
        <v>531.6</v>
      </c>
    </row>
    <row r="99" spans="2:5">
      <c r="B99" s="99" t="s">
        <v>269</v>
      </c>
      <c r="C99" s="100" t="s">
        <v>46</v>
      </c>
      <c r="D99" s="100">
        <v>491</v>
      </c>
      <c r="E99" s="100">
        <v>589.19999999999993</v>
      </c>
    </row>
    <row r="100" spans="2:5">
      <c r="B100" s="99" t="s">
        <v>270</v>
      </c>
      <c r="C100" s="100" t="s">
        <v>46</v>
      </c>
      <c r="D100" s="100">
        <v>527</v>
      </c>
      <c r="E100" s="100">
        <v>632.4</v>
      </c>
    </row>
    <row r="101" spans="2:5">
      <c r="B101" s="99" t="s">
        <v>271</v>
      </c>
      <c r="C101" s="100" t="s">
        <v>46</v>
      </c>
      <c r="D101" s="100">
        <v>464</v>
      </c>
      <c r="E101" s="100">
        <v>556.79999999999995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basic_info</vt:lpstr>
      <vt:lpstr>facilities</vt:lpstr>
      <vt:lpstr>raw_materials</vt:lpstr>
      <vt:lpstr>shipping_manufacturing</vt:lpstr>
      <vt:lpstr>pricing</vt:lpstr>
      <vt:lpstr>annual_report</vt:lpstr>
      <vt:lpstr>grove</vt:lpstr>
      <vt:lpstr>P05</vt:lpstr>
      <vt:lpstr>P07</vt:lpstr>
      <vt:lpstr>S15</vt:lpstr>
      <vt:lpstr>S48</vt:lpstr>
      <vt:lpstr>S61</vt:lpstr>
      <vt:lpstr>ORA</vt:lpstr>
      <vt:lpstr>POJ</vt:lpstr>
      <vt:lpstr>ROJ</vt:lpstr>
      <vt:lpstr>FCOJ</vt:lpstr>
      <vt:lpstr>market</vt:lpstr>
    </vt:vector>
  </TitlesOfParts>
  <Company>Princeton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Stella Ma</dc:creator>
  <cp:lastModifiedBy>Student</cp:lastModifiedBy>
  <dcterms:created xsi:type="dcterms:W3CDTF">2003-07-09T21:14:27Z</dcterms:created>
  <dcterms:modified xsi:type="dcterms:W3CDTF">2015-01-12T21:15:20Z</dcterms:modified>
</cp:coreProperties>
</file>