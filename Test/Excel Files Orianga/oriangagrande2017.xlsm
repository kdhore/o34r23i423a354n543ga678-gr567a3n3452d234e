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Karthik\Dropbox\All Things Princeton\Senior Year\ORF 411\OJ Game\Test\Excel Files Orianga\"/>
    </mc:Choice>
  </mc:AlternateContent>
  <bookViews>
    <workbookView xWindow="0" yWindow="45" windowWidth="15480" windowHeight="11640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<sst xmlns="http://schemas.openxmlformats.org/spreadsheetml/2006/main" count="516" uniqueCount="167">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</sst>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workbookViewId="0"/>
  </sheetViews>
  <sheetFormatPr defaultColWidth="8.85546875"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2017</v>
      </c>
      <c r="E5" s="103"/>
      <c r="F5" s="104"/>
    </row>
    <row r="6" spans="2:6" x14ac:dyDescent="0.2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ColWidth="8.85546875"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8.8554687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200</v>
      </c>
      <c r="E6" s="15" t="s">
        <v>166</v>
      </c>
      <c r="F6" s="15" t="s">
        <v>6</v>
      </c>
      <c r="G6" s="15">
        <f t="shared" ref="G6:G15" si="0">$D6+$C6</f>
        <v>200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5000</v>
      </c>
      <c r="E63" s="15" t="s">
        <v>166</v>
      </c>
      <c r="F63" s="15" t="s">
        <v>6</v>
      </c>
      <c r="G63" s="15">
        <f t="shared" si="3"/>
        <v>5000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10000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ColWidth="8.85546875"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8.8554687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</row>
    <row r="7" spans="2:14" x14ac:dyDescent="0.2">
      <c r="B7" s="36" t="s">
        <v>105</v>
      </c>
      <c r="C7" s="88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</row>
    <row r="8" spans="2:14" x14ac:dyDescent="0.2">
      <c r="B8" s="36" t="s">
        <v>106</v>
      </c>
      <c r="C8" s="88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</row>
    <row r="9" spans="2:14" x14ac:dyDescent="0.2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 x14ac:dyDescent="0.2">
      <c r="B10" s="36" t="s">
        <v>108</v>
      </c>
      <c r="C10" s="88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</row>
    <row r="11" spans="2:14" x14ac:dyDescent="0.2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/>
      <c r="D17" s="90"/>
      <c r="E17" s="90"/>
      <c r="F17" s="90"/>
      <c r="G17" s="90"/>
      <c r="H17" s="90"/>
      <c r="I17" s="29" t="s">
        <v>110</v>
      </c>
    </row>
    <row r="18" spans="2:33" x14ac:dyDescent="0.2">
      <c r="B18" s="36" t="s">
        <v>105</v>
      </c>
      <c r="C18" s="91"/>
      <c r="D18" s="91"/>
      <c r="E18" s="91"/>
      <c r="F18" s="91"/>
      <c r="G18" s="91"/>
      <c r="H18" s="91"/>
      <c r="I18" s="29" t="s">
        <v>110</v>
      </c>
    </row>
    <row r="19" spans="2:33" x14ac:dyDescent="0.2">
      <c r="B19" s="36" t="s">
        <v>106</v>
      </c>
      <c r="C19" s="91"/>
      <c r="D19" s="91"/>
      <c r="E19" s="91"/>
      <c r="F19" s="91"/>
      <c r="G19" s="91"/>
      <c r="H19" s="91"/>
      <c r="I19" s="29" t="s">
        <v>110</v>
      </c>
    </row>
    <row r="20" spans="2:33" x14ac:dyDescent="0.2">
      <c r="B20" s="36" t="s">
        <v>107</v>
      </c>
      <c r="C20" s="91"/>
      <c r="D20" s="91"/>
      <c r="E20" s="91"/>
      <c r="F20" s="91"/>
      <c r="G20" s="91"/>
      <c r="H20" s="91"/>
    </row>
    <row r="21" spans="2:33" x14ac:dyDescent="0.2">
      <c r="B21" s="36" t="s">
        <v>108</v>
      </c>
      <c r="C21" s="91"/>
      <c r="D21" s="91"/>
      <c r="E21" s="91"/>
      <c r="F21" s="91"/>
      <c r="G21" s="91"/>
      <c r="H21" s="91"/>
    </row>
    <row r="22" spans="2:33" x14ac:dyDescent="0.2">
      <c r="B22" s="37" t="s">
        <v>109</v>
      </c>
      <c r="C22" s="91"/>
      <c r="D22" s="91"/>
      <c r="E22" s="91"/>
      <c r="F22" s="91"/>
      <c r="G22" s="91"/>
      <c r="H22" s="91"/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 x14ac:dyDescent="0.2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9"/>
      <c r="P31" s="63">
        <f>O31+M31+K31+I31+G31</f>
        <v>8000</v>
      </c>
    </row>
    <row r="32" spans="2:33" x14ac:dyDescent="0.2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9"/>
      <c r="P32" s="63">
        <f>O32+M32+K32+I32</f>
        <v>8000</v>
      </c>
    </row>
    <row r="33" spans="2:17" x14ac:dyDescent="0.2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9"/>
      <c r="P33" s="63">
        <f>O33+M33+K33</f>
        <v>1145.3</v>
      </c>
    </row>
    <row r="34" spans="2:17" x14ac:dyDescent="0.2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9"/>
      <c r="P34" s="63">
        <f>O34+M34</f>
        <v>2000</v>
      </c>
    </row>
    <row r="35" spans="2:17" x14ac:dyDescent="0.2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9"/>
      <c r="P35" s="65">
        <f>O35</f>
        <v>0</v>
      </c>
    </row>
    <row r="36" spans="2:17" x14ac:dyDescent="0.2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 x14ac:dyDescent="0.2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9"/>
      <c r="P37" s="63">
        <f>O37+M37+K37+I37+G37</f>
        <v>11500</v>
      </c>
    </row>
    <row r="38" spans="2:17" x14ac:dyDescent="0.2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9"/>
      <c r="P38" s="63">
        <f>O38+M38+K38+I38</f>
        <v>12000</v>
      </c>
    </row>
    <row r="39" spans="2:17" x14ac:dyDescent="0.2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9"/>
      <c r="P39" s="63">
        <f>O39+M39+K39</f>
        <v>15298.272000000001</v>
      </c>
    </row>
    <row r="40" spans="2:17" x14ac:dyDescent="0.2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9"/>
      <c r="P40" s="63">
        <f>O40+M40</f>
        <v>20000</v>
      </c>
    </row>
    <row r="41" spans="2:17" x14ac:dyDescent="0.2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9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33">
        <f>SUM(C47:N47)</f>
        <v>0</v>
      </c>
    </row>
    <row r="48" spans="2:17" x14ac:dyDescent="0.2">
      <c r="B48" s="37" t="s">
        <v>113</v>
      </c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33">
        <f>SUM(C48:N48)</f>
        <v>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5"/>
  <sheetViews>
    <sheetView showGridLines="0" tabSelected="1" workbookViewId="0">
      <selection activeCell="C6" sqref="C6:H11"/>
    </sheetView>
  </sheetViews>
  <sheetFormatPr defaultColWidth="8.85546875" defaultRowHeight="12.75" x14ac:dyDescent="0.2"/>
  <cols>
    <col min="1" max="1" width="4.7109375" style="29" customWidth="1"/>
    <col min="2" max="2" width="17.28515625" style="29" customWidth="1"/>
    <col min="3" max="16384" width="8.85546875" style="29"/>
  </cols>
  <sheetData>
    <row r="2" spans="2:18" x14ac:dyDescent="0.2">
      <c r="B2" s="28" t="s">
        <v>114</v>
      </c>
    </row>
    <row r="3" spans="2:18" x14ac:dyDescent="0.2">
      <c r="B3" s="30" t="s">
        <v>144</v>
      </c>
    </row>
    <row r="4" spans="2:18" x14ac:dyDescent="0.2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 x14ac:dyDescent="0.2">
      <c r="B6" s="45" t="s">
        <v>163</v>
      </c>
      <c r="C6" s="93">
        <v>3.0488758488177286E-8</v>
      </c>
      <c r="D6" s="93">
        <v>0</v>
      </c>
      <c r="E6" s="93">
        <v>75.243894581424172</v>
      </c>
      <c r="F6" s="93">
        <v>0</v>
      </c>
      <c r="G6" s="93">
        <v>0</v>
      </c>
      <c r="H6" s="93">
        <v>24.756105388087075</v>
      </c>
      <c r="I6" s="97">
        <f>SUM($C$6:$H$6)</f>
        <v>100.00000000000001</v>
      </c>
      <c r="J6" s="49"/>
      <c r="K6" s="49"/>
      <c r="L6" s="49"/>
      <c r="M6" s="49"/>
      <c r="N6" s="49"/>
      <c r="O6" s="49"/>
      <c r="P6" s="50"/>
      <c r="Q6" s="50"/>
      <c r="R6" s="50"/>
    </row>
    <row r="7" spans="2:18" x14ac:dyDescent="0.2">
      <c r="B7" s="45" t="s">
        <v>105</v>
      </c>
      <c r="C7" s="93">
        <v>5.0036228869120223E-8</v>
      </c>
      <c r="D7" s="93">
        <v>71.942450315241885</v>
      </c>
      <c r="E7" s="93">
        <v>0</v>
      </c>
      <c r="F7" s="93">
        <v>0</v>
      </c>
      <c r="G7" s="93">
        <v>28.057549634721902</v>
      </c>
      <c r="H7" s="93">
        <v>0</v>
      </c>
      <c r="I7" s="97">
        <f>SUM($C$7:$H$7)</f>
        <v>100.00000000000003</v>
      </c>
      <c r="J7" s="49"/>
      <c r="K7" s="49"/>
      <c r="L7" s="49"/>
      <c r="M7" s="49"/>
      <c r="N7" s="49"/>
      <c r="O7" s="49"/>
      <c r="P7" s="50"/>
      <c r="Q7" s="50"/>
      <c r="R7" s="50"/>
    </row>
    <row r="8" spans="2:18" x14ac:dyDescent="0.2">
      <c r="B8" s="45" t="s">
        <v>106</v>
      </c>
      <c r="C8" s="93">
        <v>2.4235677253905108E-7</v>
      </c>
      <c r="D8" s="93">
        <v>0</v>
      </c>
      <c r="E8" s="93">
        <v>0</v>
      </c>
      <c r="F8" s="93">
        <v>99.999999757643238</v>
      </c>
      <c r="G8" s="93">
        <v>1.0150610486257881E-15</v>
      </c>
      <c r="H8" s="93">
        <v>0</v>
      </c>
      <c r="I8" s="97">
        <f>SUM($C$8:$H$8)</f>
        <v>100.00000000000001</v>
      </c>
      <c r="J8" s="49"/>
      <c r="K8" s="49"/>
      <c r="L8" s="49"/>
      <c r="M8" s="49"/>
      <c r="N8" s="49"/>
      <c r="O8" s="49"/>
      <c r="P8" s="50"/>
      <c r="Q8" s="50"/>
      <c r="R8" s="50"/>
    </row>
    <row r="9" spans="2:18" x14ac:dyDescent="0.2">
      <c r="B9" s="45" t="s">
        <v>107</v>
      </c>
      <c r="C9" s="93">
        <v>0</v>
      </c>
      <c r="D9" s="93">
        <v>0</v>
      </c>
      <c r="E9" s="93">
        <v>100</v>
      </c>
      <c r="F9" s="93">
        <v>0</v>
      </c>
      <c r="G9" s="93">
        <v>0</v>
      </c>
      <c r="H9" s="93">
        <v>0</v>
      </c>
      <c r="I9" s="97">
        <f>SUM($C$9:$H$9)</f>
        <v>100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 x14ac:dyDescent="0.2">
      <c r="B10" s="45" t="s">
        <v>108</v>
      </c>
      <c r="C10" s="93">
        <v>0</v>
      </c>
      <c r="D10" s="93">
        <v>0</v>
      </c>
      <c r="E10" s="93">
        <v>0</v>
      </c>
      <c r="F10" s="93">
        <v>0</v>
      </c>
      <c r="G10" s="93">
        <v>0</v>
      </c>
      <c r="H10" s="93">
        <v>0</v>
      </c>
      <c r="I10" s="97">
        <f>SUM($C$10:$H$10)</f>
        <v>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 x14ac:dyDescent="0.2">
      <c r="B11" s="45" t="s">
        <v>109</v>
      </c>
      <c r="C11" s="94">
        <v>0</v>
      </c>
      <c r="D11" s="94">
        <v>0</v>
      </c>
      <c r="E11" s="94">
        <v>0</v>
      </c>
      <c r="F11" s="94">
        <v>0</v>
      </c>
      <c r="G11" s="94">
        <v>0</v>
      </c>
      <c r="H11" s="94">
        <v>100</v>
      </c>
      <c r="I11" s="96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 x14ac:dyDescent="0.2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8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/>
      <c r="D19" s="44">
        <f>100-$C$19</f>
        <v>100</v>
      </c>
      <c r="E19" s="94"/>
      <c r="F19" s="44">
        <f>100-$E$19</f>
        <v>100</v>
      </c>
      <c r="G19" s="94"/>
      <c r="H19" s="33">
        <f>100-$G$19</f>
        <v>100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/>
      <c r="D27" s="93"/>
      <c r="E27" s="93"/>
      <c r="F27" s="93"/>
      <c r="G27" s="93"/>
      <c r="H27" s="93"/>
      <c r="I27" s="95"/>
      <c r="P27" s="50"/>
      <c r="Q27" s="50"/>
      <c r="R27" s="50"/>
    </row>
    <row r="28" spans="2:18" x14ac:dyDescent="0.2">
      <c r="B28" s="45" t="s">
        <v>46</v>
      </c>
      <c r="C28" s="93"/>
      <c r="D28" s="93"/>
      <c r="E28" s="93"/>
      <c r="F28" s="93"/>
      <c r="G28" s="93"/>
      <c r="H28" s="93"/>
      <c r="I28" s="95"/>
      <c r="P28" s="50"/>
      <c r="Q28" s="50"/>
      <c r="R28" s="50"/>
    </row>
    <row r="29" spans="2:18" x14ac:dyDescent="0.2">
      <c r="B29" s="45" t="s">
        <v>59</v>
      </c>
      <c r="C29" s="93"/>
      <c r="D29" s="93"/>
      <c r="E29" s="93"/>
      <c r="F29" s="93"/>
      <c r="G29" s="93"/>
      <c r="H29" s="93"/>
      <c r="I29" s="95"/>
      <c r="P29" s="50"/>
      <c r="Q29" s="50"/>
      <c r="R29" s="50"/>
    </row>
    <row r="30" spans="2:18" x14ac:dyDescent="0.2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8">
        <f>SUM($G$27:$G$29)</f>
        <v>0</v>
      </c>
      <c r="H30" s="98">
        <f>SUM($H$27:$H$29)</f>
        <v>0</v>
      </c>
      <c r="I30" s="96">
        <f>SUM($I$27:$I$29)</f>
        <v>0</v>
      </c>
      <c r="P30" s="50"/>
      <c r="Q30" s="50"/>
      <c r="R30" s="50"/>
    </row>
    <row r="31" spans="2:18" x14ac:dyDescent="0.2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 x14ac:dyDescent="0.2">
      <c r="I32" s="50"/>
      <c r="J32" s="50"/>
      <c r="K32" s="50"/>
    </row>
    <row r="33" spans="2:14" x14ac:dyDescent="0.2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2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 x14ac:dyDescent="0.2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 x14ac:dyDescent="0.2">
      <c r="B37" s="45" t="s">
        <v>22</v>
      </c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5"/>
    </row>
    <row r="38" spans="2:14" x14ac:dyDescent="0.2">
      <c r="B38" s="45" t="s">
        <v>46</v>
      </c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5"/>
    </row>
    <row r="39" spans="2:14" x14ac:dyDescent="0.2">
      <c r="B39" s="45" t="s">
        <v>59</v>
      </c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89"/>
    </row>
    <row r="40" spans="2:14" x14ac:dyDescent="0.2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 x14ac:dyDescent="0.2">
      <c r="I41" s="50"/>
      <c r="J41" s="50"/>
      <c r="K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2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2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 x14ac:dyDescent="0.2">
      <c r="P51" s="50"/>
      <c r="Q51" s="50"/>
      <c r="R51" s="50"/>
      <c r="S51" s="50"/>
      <c r="T51" s="50"/>
      <c r="U51" s="50"/>
      <c r="V51" s="50"/>
      <c r="W51" s="50"/>
      <c r="X51" s="50"/>
    </row>
    <row r="63" spans="2:24" x14ac:dyDescent="0.2">
      <c r="I63" s="50"/>
      <c r="J63" s="50"/>
    </row>
    <row r="64" spans="2:24" x14ac:dyDescent="0.2">
      <c r="I64" s="50"/>
      <c r="J64" s="50"/>
    </row>
    <row r="65" spans="9:10" x14ac:dyDescent="0.2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ColWidth="8.85546875"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8.8554687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</row>
    <row r="7" spans="2:15" x14ac:dyDescent="0.2">
      <c r="C7" s="36" t="s">
        <v>127</v>
      </c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</row>
    <row r="8" spans="2:15" x14ac:dyDescent="0.2">
      <c r="C8" s="36" t="s">
        <v>128</v>
      </c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</row>
    <row r="9" spans="2:15" x14ac:dyDescent="0.2">
      <c r="C9" s="36" t="s">
        <v>129</v>
      </c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</row>
    <row r="10" spans="2:15" x14ac:dyDescent="0.2">
      <c r="C10" s="36" t="s">
        <v>130</v>
      </c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</row>
    <row r="11" spans="2:15" x14ac:dyDescent="0.2">
      <c r="C11" s="36" t="s">
        <v>131</v>
      </c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</row>
    <row r="12" spans="2:15" x14ac:dyDescent="0.2">
      <c r="C12" s="37" t="s">
        <v>132</v>
      </c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</row>
    <row r="16" spans="2:15" x14ac:dyDescent="0.2">
      <c r="C16" s="36" t="s">
        <v>127</v>
      </c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</row>
    <row r="17" spans="2:15" x14ac:dyDescent="0.2">
      <c r="C17" s="36" t="s">
        <v>128</v>
      </c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</row>
    <row r="18" spans="2:15" x14ac:dyDescent="0.2">
      <c r="C18" s="36" t="s">
        <v>129</v>
      </c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</row>
    <row r="19" spans="2:15" x14ac:dyDescent="0.2">
      <c r="C19" s="36" t="s">
        <v>130</v>
      </c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</row>
    <row r="20" spans="2:15" x14ac:dyDescent="0.2">
      <c r="C20" s="36" t="s">
        <v>131</v>
      </c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</row>
    <row r="21" spans="2:15" x14ac:dyDescent="0.2">
      <c r="C21" s="37" t="s">
        <v>132</v>
      </c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</row>
    <row r="25" spans="2:15" x14ac:dyDescent="0.2">
      <c r="C25" s="36" t="s">
        <v>127</v>
      </c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</row>
    <row r="26" spans="2:15" x14ac:dyDescent="0.2">
      <c r="C26" s="36" t="s">
        <v>128</v>
      </c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</row>
    <row r="27" spans="2:15" x14ac:dyDescent="0.2">
      <c r="C27" s="36" t="s">
        <v>129</v>
      </c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</row>
    <row r="28" spans="2:15" x14ac:dyDescent="0.2">
      <c r="C28" s="36" t="s">
        <v>130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</row>
    <row r="29" spans="2:15" x14ac:dyDescent="0.2">
      <c r="C29" s="36" t="s">
        <v>131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</row>
    <row r="30" spans="2:15" x14ac:dyDescent="0.2">
      <c r="C30" s="37" t="s">
        <v>132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</row>
    <row r="34" spans="3:15" x14ac:dyDescent="0.2">
      <c r="C34" s="36" t="s">
        <v>127</v>
      </c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</row>
    <row r="35" spans="3:15" x14ac:dyDescent="0.2">
      <c r="C35" s="36" t="s">
        <v>128</v>
      </c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</row>
    <row r="36" spans="3:15" x14ac:dyDescent="0.2">
      <c r="C36" s="36" t="s">
        <v>129</v>
      </c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</row>
    <row r="37" spans="3:15" x14ac:dyDescent="0.2">
      <c r="C37" s="36" t="s">
        <v>130</v>
      </c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</row>
    <row r="38" spans="3:15" x14ac:dyDescent="0.2">
      <c r="C38" s="36" t="s">
        <v>131</v>
      </c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</row>
    <row r="39" spans="3:15" x14ac:dyDescent="0.2">
      <c r="C39" s="37" t="s">
        <v>132</v>
      </c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Karthik Dhore</cp:lastModifiedBy>
  <dcterms:created xsi:type="dcterms:W3CDTF">2003-07-09T21:14:27Z</dcterms:created>
  <dcterms:modified xsi:type="dcterms:W3CDTF">2014-12-05T16:45:45Z</dcterms:modified>
</cp:coreProperties>
</file>